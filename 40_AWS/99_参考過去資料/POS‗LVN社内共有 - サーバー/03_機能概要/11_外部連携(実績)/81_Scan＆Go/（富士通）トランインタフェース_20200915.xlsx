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16"/>
  <workbookPr codeName="ThisWorkbook" defaultThemeVersion="124226"/>
  <mc:AlternateContent xmlns:mc="http://schemas.openxmlformats.org/markup-compatibility/2006">
    <mc:Choice Requires="x15">
      <x15ac:absPath xmlns:x15ac="http://schemas.microsoft.com/office/spreadsheetml/2010/11/ac" url="C:\Users\takeda.tooru\Desktop\ライフ・マルエツ共通仕様書\"/>
    </mc:Choice>
  </mc:AlternateContent>
  <xr:revisionPtr revIDLastSave="9" documentId="13_ncr:20001_{68A80D78-BA93-43A8-A848-E6E0DE9DF6FB}" xr6:coauthVersionLast="47" xr6:coauthVersionMax="47" xr10:uidLastSave="{D90F6482-66BF-4381-B982-7EA4487C9195}"/>
  <bookViews>
    <workbookView xWindow="-120" yWindow="-120" windowWidth="27780" windowHeight="16440" tabRatio="904" firstSheet="5" activeTab="1" xr2:uid="{00000000-000D-0000-FFFF-FFFF00000000}"/>
  </bookViews>
  <sheets>
    <sheet name="vTLogTransfer" sheetId="76" r:id="rId1"/>
    <sheet name="TransactionHeader" sheetId="41" r:id="rId2"/>
    <sheet name="SalesHeader" sheetId="17" r:id="rId3"/>
    <sheet name="LineItem" sheetId="10" r:id="rId4"/>
    <sheet name="LineItemSurcharge" sheetId="77" r:id="rId5"/>
    <sheet name="LineItemDiscount" sheetId="11" r:id="rId6"/>
    <sheet name="Tax" sheetId="19" r:id="rId7"/>
    <sheet name="SalesDiscount" sheetId="16" r:id="rId8"/>
    <sheet name="Payment" sheetId="15" r:id="rId9"/>
    <sheet name="OriginalTransactionHeader" sheetId="49" r:id="rId10"/>
    <sheet name="OpenCount" sheetId="14" r:id="rId11"/>
    <sheet name="CloseCount" sheetId="7" r:id="rId12"/>
    <sheet name="MasterData" sheetId="42" r:id="rId13"/>
    <sheet name="Version" sheetId="44" r:id="rId14"/>
    <sheet name="CalculatedCash" sheetId="5" r:id="rId15"/>
    <sheet name="CalculatedCashChanger" sheetId="65" r:id="rId16"/>
    <sheet name="BusinessCounter" sheetId="72" r:id="rId17"/>
    <sheet name="SmartPOSMember" sheetId="78" r:id="rId18"/>
    <sheet name="AcsCredit" sheetId="80" r:id="rId19"/>
  </sheets>
  <definedNames>
    <definedName name="_Order1" hidden="1">255</definedName>
    <definedName name="AccessDatabase" hidden="1">"\\NTIS-SYSKS01660\ﾌｧｲﾙ共用\マツモトキヨシ\次期ＰＯＳ関連\ＰＯＳ関連\ANY-ＣＵＢＥ関連\システムテスト\運用テストデータ\柏加賀店\mktest.mdb"</definedName>
    <definedName name="_xlnm.Print_Area" localSheetId="18">AcsCredit!$A$1:$L$1</definedName>
    <definedName name="_xlnm.Print_Area" localSheetId="17">SmartPOSMember!$A$1:$M$12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3" i="10" l="1"/>
  <c r="A79" i="10" l="1"/>
  <c r="A57" i="10"/>
  <c r="A50" i="10"/>
  <c r="J58" i="72" l="1"/>
  <c r="J53" i="72"/>
  <c r="J48" i="72"/>
  <c r="J43" i="72"/>
  <c r="J38" i="72"/>
  <c r="J33" i="72"/>
  <c r="J28" i="72"/>
  <c r="J23" i="72"/>
  <c r="J18" i="72"/>
  <c r="J13" i="72"/>
  <c r="A26" i="80" l="1"/>
  <c r="A25" i="80"/>
  <c r="A24" i="80"/>
  <c r="A23" i="80"/>
  <c r="A22" i="80"/>
  <c r="A21" i="80"/>
  <c r="A20" i="80"/>
  <c r="A19" i="80"/>
  <c r="A18" i="80"/>
  <c r="A17" i="80"/>
  <c r="A16" i="80"/>
  <c r="A15" i="80"/>
  <c r="A14" i="80"/>
  <c r="A13" i="80"/>
  <c r="A12" i="80"/>
  <c r="A11" i="80"/>
  <c r="A10" i="80"/>
  <c r="A9" i="80"/>
  <c r="A8" i="80"/>
  <c r="A7" i="80"/>
  <c r="A6" i="80"/>
  <c r="A5" i="80"/>
  <c r="A4" i="80"/>
  <c r="A4" i="78" l="1"/>
  <c r="A5" i="78"/>
  <c r="A6" i="78"/>
  <c r="A7" i="78"/>
  <c r="A8" i="78"/>
  <c r="A9" i="78"/>
  <c r="A10" i="78"/>
  <c r="A11" i="78"/>
  <c r="A12" i="78"/>
  <c r="A85" i="10" l="1"/>
  <c r="A86" i="10"/>
  <c r="A87" i="10"/>
  <c r="A88" i="10"/>
  <c r="A89" i="10"/>
  <c r="A90" i="10"/>
  <c r="A91" i="10"/>
  <c r="A92" i="10"/>
  <c r="A78" i="10" l="1"/>
  <c r="A77" i="10"/>
  <c r="A76" i="10"/>
  <c r="A75" i="10"/>
  <c r="A74" i="10"/>
  <c r="A73" i="10"/>
  <c r="A72" i="10"/>
  <c r="A71" i="10"/>
  <c r="A70" i="10"/>
  <c r="A69" i="10"/>
  <c r="A68" i="10"/>
  <c r="A67" i="10"/>
  <c r="A66" i="10"/>
  <c r="A65" i="10"/>
  <c r="A64" i="10"/>
  <c r="A63" i="10"/>
  <c r="A46" i="10"/>
  <c r="A47" i="10"/>
  <c r="A14" i="77"/>
  <c r="A13" i="77"/>
  <c r="A12" i="77"/>
  <c r="A11" i="77"/>
  <c r="A10" i="77"/>
  <c r="A9" i="77"/>
  <c r="A8" i="77"/>
  <c r="A7" i="77"/>
  <c r="A6" i="77"/>
  <c r="A5" i="77"/>
  <c r="A4" i="77"/>
  <c r="A19" i="11"/>
  <c r="A18" i="11"/>
  <c r="A17" i="11"/>
  <c r="A16" i="11"/>
  <c r="A15" i="11"/>
  <c r="A14" i="11"/>
  <c r="A13" i="11"/>
  <c r="A12" i="11"/>
  <c r="A11" i="11"/>
  <c r="A10" i="11"/>
  <c r="A9" i="11"/>
  <c r="A8" i="11"/>
  <c r="A7" i="11"/>
  <c r="A6" i="11"/>
  <c r="A5" i="11"/>
  <c r="A4" i="11"/>
  <c r="A9" i="19"/>
  <c r="A23" i="15"/>
  <c r="A7" i="76" l="1"/>
  <c r="A8" i="76"/>
  <c r="A9" i="76"/>
  <c r="A10" i="76"/>
  <c r="A11" i="76"/>
  <c r="A12" i="76"/>
  <c r="A13" i="76"/>
  <c r="A6" i="76"/>
  <c r="A5" i="76"/>
  <c r="A4" i="76"/>
  <c r="A22" i="15" l="1"/>
  <c r="A84" i="10" l="1"/>
  <c r="A83" i="10"/>
  <c r="A82" i="10"/>
  <c r="A81" i="10"/>
  <c r="A80" i="10"/>
  <c r="A11" i="16" l="1"/>
  <c r="A46" i="5" l="1"/>
  <c r="A47" i="5"/>
  <c r="A34" i="17"/>
  <c r="A35" i="17"/>
  <c r="A33" i="17"/>
  <c r="A7" i="72"/>
  <c r="A6" i="72"/>
  <c r="A5" i="72"/>
  <c r="A4" i="72"/>
  <c r="A62" i="10"/>
  <c r="A59" i="10"/>
  <c r="A17" i="65"/>
  <c r="A16" i="65"/>
  <c r="A15" i="65"/>
  <c r="A14" i="65"/>
  <c r="A13" i="65"/>
  <c r="A12" i="65"/>
  <c r="A11" i="65"/>
  <c r="A10" i="65"/>
  <c r="A9" i="65"/>
  <c r="A8" i="65"/>
  <c r="A7" i="65"/>
  <c r="A6" i="65"/>
  <c r="A5" i="65"/>
  <c r="A4" i="65"/>
  <c r="A61" i="10"/>
  <c r="A60" i="10"/>
  <c r="A20" i="15"/>
  <c r="A5" i="14"/>
  <c r="A6" i="14"/>
  <c r="A12" i="10"/>
  <c r="A55" i="10"/>
  <c r="A54" i="10"/>
  <c r="A22" i="5"/>
  <c r="A21" i="15"/>
  <c r="A14" i="16"/>
  <c r="A26" i="17"/>
  <c r="A25" i="17"/>
  <c r="A24" i="17"/>
  <c r="A56" i="10"/>
  <c r="A58" i="10"/>
  <c r="A53" i="10"/>
  <c r="A8" i="19"/>
  <c r="A32" i="17"/>
  <c r="A31" i="17"/>
  <c r="A30" i="17"/>
  <c r="A29" i="17"/>
  <c r="A28" i="17"/>
  <c r="A27" i="17"/>
  <c r="A23" i="17"/>
  <c r="A22" i="17"/>
  <c r="A6" i="17"/>
  <c r="A7" i="17"/>
  <c r="A19" i="15"/>
  <c r="A52" i="10"/>
  <c r="A51" i="10"/>
  <c r="A49" i="10"/>
  <c r="A48" i="10"/>
  <c r="A45" i="10"/>
  <c r="A44" i="10"/>
  <c r="A43" i="10"/>
  <c r="A36" i="17"/>
  <c r="A42" i="10"/>
  <c r="A41" i="10"/>
  <c r="A5" i="44"/>
  <c r="A4" i="49"/>
  <c r="A13" i="49"/>
  <c r="A12" i="49"/>
  <c r="A11" i="49"/>
  <c r="A10" i="49"/>
  <c r="A9" i="49"/>
  <c r="A8" i="49"/>
  <c r="A7" i="49"/>
  <c r="A6" i="49"/>
  <c r="A5" i="49"/>
  <c r="A4" i="44"/>
  <c r="A4" i="42"/>
  <c r="A15" i="41"/>
  <c r="A14" i="41"/>
  <c r="A13" i="41"/>
  <c r="A12" i="41"/>
  <c r="A11" i="41"/>
  <c r="A10" i="41"/>
  <c r="A9" i="41"/>
  <c r="A8" i="41"/>
  <c r="A7" i="41"/>
  <c r="A6" i="41"/>
  <c r="A5" i="41"/>
  <c r="A4" i="41"/>
  <c r="A42" i="5"/>
  <c r="A37" i="5"/>
  <c r="A23" i="5"/>
  <c r="A24" i="5"/>
  <c r="A25" i="5"/>
  <c r="A26" i="5"/>
  <c r="A27" i="5"/>
  <c r="A28" i="5"/>
  <c r="A29" i="5"/>
  <c r="A30" i="5"/>
  <c r="A31" i="5"/>
  <c r="A32" i="5"/>
  <c r="A33" i="5"/>
  <c r="A34" i="5"/>
  <c r="A36" i="5"/>
  <c r="A38" i="5"/>
  <c r="A39" i="5"/>
  <c r="A40" i="5"/>
  <c r="A41" i="5"/>
  <c r="A43" i="5"/>
  <c r="A44" i="5"/>
  <c r="A40" i="10"/>
  <c r="A39" i="10"/>
  <c r="A38" i="10"/>
  <c r="A37" i="10"/>
  <c r="A28" i="10"/>
  <c r="A29" i="10"/>
  <c r="A30" i="10"/>
  <c r="A18" i="15"/>
  <c r="A17" i="15"/>
  <c r="A5" i="17"/>
  <c r="A4" i="19"/>
  <c r="A5" i="19"/>
  <c r="A6" i="19"/>
  <c r="A7" i="19"/>
  <c r="A4" i="17"/>
  <c r="A8" i="17"/>
  <c r="A9" i="17"/>
  <c r="A10" i="17"/>
  <c r="A11" i="17"/>
  <c r="A12" i="17"/>
  <c r="A13" i="17"/>
  <c r="A14" i="17"/>
  <c r="A15" i="17"/>
  <c r="A16" i="17"/>
  <c r="A17" i="17"/>
  <c r="A18" i="17"/>
  <c r="A19" i="17"/>
  <c r="A20" i="17"/>
  <c r="A21" i="17"/>
  <c r="A4" i="16"/>
  <c r="A5" i="16"/>
  <c r="A6" i="16"/>
  <c r="A7" i="16"/>
  <c r="A8" i="16"/>
  <c r="A9" i="16"/>
  <c r="A10" i="16"/>
  <c r="A12" i="16"/>
  <c r="A13" i="16"/>
  <c r="A4" i="15"/>
  <c r="A5" i="15"/>
  <c r="A6" i="15"/>
  <c r="A7" i="15"/>
  <c r="A8" i="15"/>
  <c r="A9" i="15"/>
  <c r="A10" i="15"/>
  <c r="A11" i="15"/>
  <c r="A12" i="15"/>
  <c r="A13" i="15"/>
  <c r="A14" i="15"/>
  <c r="A15" i="15"/>
  <c r="A16" i="15"/>
  <c r="A4" i="14"/>
  <c r="A4" i="10"/>
  <c r="A5" i="10"/>
  <c r="A6" i="10"/>
  <c r="A7" i="10"/>
  <c r="A8" i="10"/>
  <c r="A9" i="10"/>
  <c r="A10" i="10"/>
  <c r="A11" i="10"/>
  <c r="A13" i="10"/>
  <c r="A14" i="10"/>
  <c r="A15" i="10"/>
  <c r="A16" i="10"/>
  <c r="A17" i="10"/>
  <c r="A18" i="10"/>
  <c r="A19" i="10"/>
  <c r="A20" i="10"/>
  <c r="A21" i="10"/>
  <c r="A22" i="10"/>
  <c r="A23" i="10"/>
  <c r="A24" i="10"/>
  <c r="A25" i="10"/>
  <c r="A26" i="10"/>
  <c r="A27" i="10"/>
  <c r="A31" i="10"/>
  <c r="A32" i="10"/>
  <c r="A33" i="10"/>
  <c r="A34" i="10"/>
  <c r="A35" i="10"/>
  <c r="A36" i="10"/>
  <c r="A4" i="7"/>
  <c r="A5" i="7"/>
  <c r="A6" i="5"/>
  <c r="A7" i="5"/>
  <c r="A8" i="5"/>
  <c r="A9" i="5"/>
  <c r="A10" i="5"/>
  <c r="A11" i="5"/>
  <c r="A12" i="5"/>
  <c r="A13" i="5"/>
  <c r="A14" i="5"/>
  <c r="A15" i="5"/>
  <c r="A16" i="5"/>
  <c r="A17" i="5"/>
  <c r="A18" i="5"/>
  <c r="A19" i="5"/>
  <c r="A20" i="5"/>
  <c r="A35" i="5"/>
  <c r="A21" i="5"/>
  <c r="A45" i="5"/>
  <c r="A48" i="5"/>
  <c r="A5" i="5"/>
  <c r="A4" i="5"/>
</calcChain>
</file>

<file path=xl/sharedStrings.xml><?xml version="1.0" encoding="utf-8"?>
<sst xmlns="http://schemas.openxmlformats.org/spreadsheetml/2006/main" count="2954" uniqueCount="1097">
  <si>
    <t>vTLogTransfer</t>
    <phoneticPr fontId="4"/>
  </si>
  <si>
    <t>No.</t>
  </si>
  <si>
    <t>Column Name</t>
  </si>
  <si>
    <t>Description</t>
  </si>
  <si>
    <t>Data Type</t>
  </si>
  <si>
    <t>Precision,Scale</t>
  </si>
  <si>
    <t>NotNull</t>
  </si>
  <si>
    <t>Identity_x000D_
(Seed,_x000D_
Increment)</t>
  </si>
  <si>
    <t>Primary Key</t>
  </si>
  <si>
    <t>Note</t>
  </si>
  <si>
    <t>Scan&amp;Go
連携仕様</t>
    <rPh sb="8" eb="10">
      <t>レンケイ</t>
    </rPh>
    <rPh sb="10" eb="12">
      <t>シヨウ</t>
    </rPh>
    <phoneticPr fontId="24"/>
  </si>
  <si>
    <t>カスミ様</t>
    <rPh sb="3" eb="4">
      <t>サマ</t>
    </rPh>
    <phoneticPr fontId="4"/>
  </si>
  <si>
    <t>マルエツ様</t>
    <rPh sb="4" eb="5">
      <t>サマ</t>
    </rPh>
    <phoneticPr fontId="4"/>
  </si>
  <si>
    <t>MV関東様</t>
    <rPh sb="2" eb="4">
      <t>カントウ</t>
    </rPh>
    <rPh sb="4" eb="5">
      <t>サマ</t>
    </rPh>
    <phoneticPr fontId="4"/>
  </si>
  <si>
    <t>CompanyCode</t>
  </si>
  <si>
    <t>会社コード</t>
    <rPh sb="0" eb="2">
      <t>カイシャ</t>
    </rPh>
    <phoneticPr fontId="24"/>
  </si>
  <si>
    <t>標準仕様準拠</t>
    <rPh sb="0" eb="2">
      <t>ヒョウジュン</t>
    </rPh>
    <rPh sb="2" eb="4">
      <t>シヨウ</t>
    </rPh>
    <rPh sb="4" eb="6">
      <t>ジュンキョ</t>
    </rPh>
    <phoneticPr fontId="24"/>
  </si>
  <si>
    <t>StoreCode</t>
    <phoneticPr fontId="4"/>
  </si>
  <si>
    <t>店舗コード</t>
    <rPh sb="0" eb="2">
      <t>テンポ</t>
    </rPh>
    <phoneticPr fontId="24"/>
  </si>
  <si>
    <t>固定値 [100]</t>
    <rPh sb="0" eb="3">
      <t>コテイチ</t>
    </rPh>
    <phoneticPr fontId="4"/>
  </si>
  <si>
    <t>固定値 [200]</t>
    <rPh sb="0" eb="3">
      <t>コテイチ</t>
    </rPh>
    <phoneticPr fontId="4"/>
  </si>
  <si>
    <t>固定値 [300]</t>
    <rPh sb="0" eb="3">
      <t>コテイチ</t>
    </rPh>
    <phoneticPr fontId="4"/>
  </si>
  <si>
    <t>TerminalNo</t>
  </si>
  <si>
    <t>ターミナル番号</t>
    <rPh sb="5" eb="7">
      <t>バンゴウ</t>
    </rPh>
    <phoneticPr fontId="24"/>
  </si>
  <si>
    <t>TransactionNo</t>
  </si>
  <si>
    <t>取引番号</t>
    <phoneticPr fontId="4"/>
  </si>
  <si>
    <t>GenerateDatetime</t>
  </si>
  <si>
    <t>トラン生成日時</t>
    <rPh sb="3" eb="5">
      <t>セイセイ</t>
    </rPh>
    <rPh sb="5" eb="7">
      <t>ニチジ</t>
    </rPh>
    <phoneticPr fontId="24"/>
  </si>
  <si>
    <t>BusinessDate</t>
  </si>
  <si>
    <t>営業日</t>
    <phoneticPr fontId="4"/>
  </si>
  <si>
    <t>BusinessCount</t>
  </si>
  <si>
    <t>営業回数</t>
    <phoneticPr fontId="4"/>
  </si>
  <si>
    <t>標準仕様準拠
固定値 [1]
一日一回のみ</t>
    <rPh sb="7" eb="10">
      <t>コテイチ</t>
    </rPh>
    <rPh sb="15" eb="17">
      <t>イチニチ</t>
    </rPh>
    <rPh sb="17" eb="19">
      <t>イッカイ</t>
    </rPh>
    <phoneticPr fontId="24"/>
  </si>
  <si>
    <t>TransactionType</t>
  </si>
  <si>
    <t>取引タイプ</t>
  </si>
  <si>
    <t>標準仕様準拠
以下のパターンのみ
 ・売上 [101] 
 ・返品 [111] .
 ・開設 [201] 
 ・精算 [202]</t>
    <rPh sb="7" eb="9">
      <t>イカ</t>
    </rPh>
    <phoneticPr fontId="24"/>
  </si>
  <si>
    <t>ReceiptNo</t>
  </si>
  <si>
    <t>レシート番号</t>
    <phoneticPr fontId="4"/>
  </si>
  <si>
    <t>TransactionData</t>
  </si>
  <si>
    <t>各テーブル情報</t>
    <rPh sb="0" eb="1">
      <t>カク</t>
    </rPh>
    <rPh sb="5" eb="7">
      <t>ジョウホウ</t>
    </rPh>
    <phoneticPr fontId="24"/>
  </si>
  <si>
    <t>TransactionHeader</t>
    <phoneticPr fontId="4"/>
  </si>
  <si>
    <t>Int64</t>
  </si>
  <si>
    <t>Y</t>
  </si>
  <si>
    <t>1～999999999999999999（18桁）
※端末内での取引連番
営業日が変わっても初期化しない</t>
    <phoneticPr fontId="4"/>
  </si>
  <si>
    <t>CompanyCode</t>
    <phoneticPr fontId="4"/>
  </si>
  <si>
    <t>企業コード</t>
    <rPh sb="0" eb="2">
      <t>キギョウ</t>
    </rPh>
    <phoneticPr fontId="4"/>
  </si>
  <si>
    <t>String</t>
  </si>
  <si>
    <t>StoreCode</t>
  </si>
  <si>
    <t>店舗コード</t>
    <phoneticPr fontId="4"/>
  </si>
  <si>
    <t>端末番号</t>
    <phoneticPr fontId="4"/>
  </si>
  <si>
    <t>Int32</t>
    <phoneticPr fontId="4"/>
  </si>
  <si>
    <t>レジ番号</t>
    <rPh sb="2" eb="4">
      <t>バンゴウ</t>
    </rPh>
    <phoneticPr fontId="4"/>
  </si>
  <si>
    <t>SystemDateTime</t>
    <phoneticPr fontId="4"/>
  </si>
  <si>
    <t>システム時刻</t>
    <phoneticPr fontId="4"/>
  </si>
  <si>
    <t>DateTime</t>
    <phoneticPr fontId="4"/>
  </si>
  <si>
    <t>決済完了時点の日時</t>
    <phoneticPr fontId="4"/>
  </si>
  <si>
    <t>BusinessDate</t>
    <phoneticPr fontId="4"/>
  </si>
  <si>
    <t>DateTime</t>
  </si>
  <si>
    <t>開設時点の日付
※0:00:00～23:59:59が同一の営業日</t>
    <phoneticPr fontId="4"/>
  </si>
  <si>
    <t>システム時刻と同値</t>
    <rPh sb="4" eb="6">
      <t>ジコク</t>
    </rPh>
    <rPh sb="7" eb="8">
      <t>オナ</t>
    </rPh>
    <rPh sb="8" eb="9">
      <t>アタイ</t>
    </rPh>
    <phoneticPr fontId="4"/>
  </si>
  <si>
    <t>1～999999999999999999（18桁）
※端末内での開設連番
営業日が変わっても初期化しない</t>
    <phoneticPr fontId="4"/>
  </si>
  <si>
    <t>標準仕様準拠
固定値 [1]</t>
    <rPh sb="7" eb="10">
      <t>コテイチ</t>
    </rPh>
    <phoneticPr fontId="4"/>
  </si>
  <si>
    <t>固定値 [1]</t>
    <rPh sb="0" eb="3">
      <t>コテイチ</t>
    </rPh>
    <phoneticPr fontId="24"/>
  </si>
  <si>
    <t>日跨ぎ永久通番</t>
    <rPh sb="0" eb="1">
      <t>ヒ</t>
    </rPh>
    <rPh sb="1" eb="2">
      <t>マタ</t>
    </rPh>
    <rPh sb="3" eb="5">
      <t>エイキュウ</t>
    </rPh>
    <rPh sb="5" eb="6">
      <t>トオル</t>
    </rPh>
    <phoneticPr fontId="4"/>
  </si>
  <si>
    <t>TransactionType</t>
    <phoneticPr fontId="4"/>
  </si>
  <si>
    <t>取引タイプ</t>
    <phoneticPr fontId="4"/>
  </si>
  <si>
    <t>Int32</t>
  </si>
  <si>
    <t>101：売上登録
102：売上登録（取引中止）
103：売上登録トレーニング
104：売上登録トレーニング（取引中止）
111：返品登録
112：返品登録（取引中止）
113：返品登録トレーニング
114：返品登録トレーニング（取引中止）
121：取消登録
122：取消登録（取引中止）
123：取消登録トレーニング
124：取消登録トレーニング（取引中止）
131：入金登録
132：入金登録トレーニング
133:入金登録(取引中止)
134:入金登録トレーニング(取引中止)
136：釣銭補充
138：釣銭補充(釣機←ドロア）
141：出金登録
142：出金登録トレーニング
143:出金登録(取引中止)
144:出金登録トレーニング(取引中止)
146：釣銭回収
148：釣銭回収(釣機→ドロア）
151：在高登録
155：釣銭機在高登録
161：領収書発行
162：領収証発行トレーニング
171：両替
172：両替トレーニング
176：釣銭機両替
177：釣銭機両替トレーニング
181：ポイント加算
182：ポイント加算トレーニング
185：ポイント切替
186：ポイント切替トレーニング
187：サービス券発行
191：釣銭準備金登録
194：現金報告
198：精算時釣銭回収(釣機→ドロア）
201：開設
202：精算
203：電源ON
204：電源OFF
205：サインイン
206：サインアウト
301：釣銭機精査
501：電子マネーチャージ
502：電子マネーチャージトレーニング
503：電子マネーチャージ取消
504：電子マネーチャージ取消トレーニング
901：センターサーバ連携集計データ</t>
  </si>
  <si>
    <t>IsTrainingMode</t>
    <phoneticPr fontId="4"/>
  </si>
  <si>
    <t>トレーニングモードフラグ</t>
    <phoneticPr fontId="4"/>
  </si>
  <si>
    <t>Boolean</t>
    <phoneticPr fontId="4"/>
  </si>
  <si>
    <t>1：練習
0：通常</t>
    <rPh sb="2" eb="4">
      <t>レンシュウ</t>
    </rPh>
    <rPh sb="7" eb="9">
      <t>ツウジョウ</t>
    </rPh>
    <phoneticPr fontId="8"/>
  </si>
  <si>
    <t>標準仕様準拠
固定値 [false]</t>
    <phoneticPr fontId="4"/>
  </si>
  <si>
    <t>端末内でのレシート発行連番
1～9999 営業日が変わっても初期化しない</t>
    <rPh sb="9" eb="11">
      <t>ハッコウ</t>
    </rPh>
    <rPh sb="11" eb="13">
      <t>レンバン</t>
    </rPh>
    <phoneticPr fontId="8"/>
  </si>
  <si>
    <t>OperatorCode</t>
  </si>
  <si>
    <t>担当者コード</t>
    <phoneticPr fontId="4"/>
  </si>
  <si>
    <t>標準仕様準拠
固定値 [9999999]</t>
    <rPh sb="7" eb="10">
      <t>コテイチ</t>
    </rPh>
    <phoneticPr fontId="4"/>
  </si>
  <si>
    <t>OperatorName</t>
  </si>
  <si>
    <t>担当者名</t>
    <phoneticPr fontId="4"/>
  </si>
  <si>
    <t>標準仕様準拠
固定値 [FjSmartPOS]</t>
    <rPh sb="7" eb="10">
      <t>コテイチ</t>
    </rPh>
    <phoneticPr fontId="4"/>
  </si>
  <si>
    <t>SalesHeader</t>
    <phoneticPr fontId="4"/>
  </si>
  <si>
    <r>
      <t xml:space="preserve">ReferenceDateTime </t>
    </r>
    <r>
      <rPr>
        <b/>
        <sz val="11"/>
        <color theme="1"/>
        <rFont val="ＭＳ Ｐゴシック"/>
        <family val="3"/>
        <charset val="128"/>
      </rPr>
      <t>⇒ ReferenceDataTime</t>
    </r>
    <phoneticPr fontId="4"/>
  </si>
  <si>
    <t>基準日</t>
    <rPh sb="0" eb="3">
      <t>キジュンビ</t>
    </rPh>
    <phoneticPr fontId="4"/>
  </si>
  <si>
    <t>端末のシステム日時</t>
    <rPh sb="0" eb="2">
      <t>タンマツ</t>
    </rPh>
    <rPh sb="7" eb="9">
      <t>ニチジ</t>
    </rPh>
    <phoneticPr fontId="8"/>
  </si>
  <si>
    <t>取引発生時点のシステム日時</t>
    <rPh sb="0" eb="2">
      <t>トリヒキ</t>
    </rPh>
    <rPh sb="2" eb="4">
      <t>ハッセイ</t>
    </rPh>
    <rPh sb="4" eb="6">
      <t>ジテン</t>
    </rPh>
    <rPh sb="11" eb="13">
      <t>ニチジ</t>
    </rPh>
    <phoneticPr fontId="4"/>
  </si>
  <si>
    <r>
      <t xml:space="preserve">端末のシステム日時
</t>
    </r>
    <r>
      <rPr>
        <b/>
        <sz val="11"/>
        <color rgb="FFFF0000"/>
        <rFont val="ＭＳ Ｐゴシック"/>
        <family val="3"/>
        <charset val="128"/>
      </rPr>
      <t>※呼出返品操作時は元取引のシステム日時</t>
    </r>
    <phoneticPr fontId="4"/>
  </si>
  <si>
    <t>ReferenceBusinessDate</t>
    <phoneticPr fontId="4"/>
  </si>
  <si>
    <t>買上日</t>
    <phoneticPr fontId="4"/>
  </si>
  <si>
    <t>買上日変更にて使用</t>
    <rPh sb="7" eb="9">
      <t>シヨウ</t>
    </rPh>
    <phoneticPr fontId="4"/>
  </si>
  <si>
    <r>
      <t xml:space="preserve">買上日(営業日付)変更にて使用 
(元取引と再売上の営業日の判定に利用)
</t>
    </r>
    <r>
      <rPr>
        <b/>
        <sz val="11"/>
        <color rgb="FFFF0000"/>
        <rFont val="ＭＳ Ｐゴシック"/>
        <family val="3"/>
        <charset val="128"/>
      </rPr>
      <t>※呼出返品操作時は元取引の買上日</t>
    </r>
    <phoneticPr fontId="4"/>
  </si>
  <si>
    <t>TotalAmount</t>
  </si>
  <si>
    <t>取引合計金額（外税抜き）</t>
    <phoneticPr fontId="4"/>
  </si>
  <si>
    <t>Decimal</t>
  </si>
  <si>
    <t>内税込み外税抜き</t>
    <rPh sb="0" eb="2">
      <t>ウチゼイ</t>
    </rPh>
    <rPh sb="2" eb="3">
      <t>コ</t>
    </rPh>
    <rPh sb="4" eb="5">
      <t>ソト</t>
    </rPh>
    <rPh sb="5" eb="6">
      <t>ゼイ</t>
    </rPh>
    <rPh sb="6" eb="7">
      <t>ヌ</t>
    </rPh>
    <phoneticPr fontId="8"/>
  </si>
  <si>
    <t>TotalAmountWithTaxes</t>
  </si>
  <si>
    <t>取引合計金額（税込）</t>
    <phoneticPr fontId="4"/>
  </si>
  <si>
    <t>内税込み外税込み</t>
    <rPh sb="0" eb="2">
      <t>ウチゼイ</t>
    </rPh>
    <rPh sb="2" eb="3">
      <t>コ</t>
    </rPh>
    <rPh sb="4" eb="5">
      <t>ソト</t>
    </rPh>
    <rPh sb="5" eb="6">
      <t>ゼイ</t>
    </rPh>
    <rPh sb="6" eb="7">
      <t>コ</t>
    </rPh>
    <phoneticPr fontId="8"/>
  </si>
  <si>
    <t>TotalAmountWithNoTaxes</t>
  </si>
  <si>
    <t>取引合計金額（税抜き）</t>
    <phoneticPr fontId="4"/>
  </si>
  <si>
    <t>内税抜き外税抜き</t>
    <rPh sb="0" eb="2">
      <t>ウチゼイ</t>
    </rPh>
    <rPh sb="2" eb="3">
      <t>ヌ</t>
    </rPh>
    <rPh sb="4" eb="5">
      <t>ソト</t>
    </rPh>
    <rPh sb="5" eb="6">
      <t>ゼイ</t>
    </rPh>
    <rPh sb="6" eb="7">
      <t>ヌ</t>
    </rPh>
    <phoneticPr fontId="8"/>
  </si>
  <si>
    <t>TotalAmountForNonCountForSales</t>
    <phoneticPr fontId="4"/>
  </si>
  <si>
    <t>売上外取引合計金額（税抜き）</t>
    <phoneticPr fontId="4"/>
  </si>
  <si>
    <t>内税込み外税抜き、売上外含む</t>
    <rPh sb="0" eb="2">
      <t>ウチゼイ</t>
    </rPh>
    <rPh sb="2" eb="3">
      <t>コ</t>
    </rPh>
    <rPh sb="4" eb="5">
      <t>ソト</t>
    </rPh>
    <rPh sb="5" eb="6">
      <t>ゼイ</t>
    </rPh>
    <rPh sb="6" eb="7">
      <t>ヌ</t>
    </rPh>
    <rPh sb="9" eb="11">
      <t>ウリアゲ</t>
    </rPh>
    <rPh sb="11" eb="12">
      <t>ガイ</t>
    </rPh>
    <rPh sb="12" eb="13">
      <t>フク</t>
    </rPh>
    <phoneticPr fontId="8"/>
  </si>
  <si>
    <t>TaxesAmount</t>
  </si>
  <si>
    <t>税額</t>
    <phoneticPr fontId="4"/>
  </si>
  <si>
    <t>内税額＋外税額</t>
    <rPh sb="0" eb="2">
      <t>ウチゼイ</t>
    </rPh>
    <rPh sb="2" eb="3">
      <t>ガク</t>
    </rPh>
    <rPh sb="4" eb="5">
      <t>ソト</t>
    </rPh>
    <rPh sb="5" eb="6">
      <t>ゼイ</t>
    </rPh>
    <rPh sb="6" eb="7">
      <t>ガク</t>
    </rPh>
    <phoneticPr fontId="8"/>
  </si>
  <si>
    <t>IncludedTaxesAmount</t>
    <phoneticPr fontId="4"/>
  </si>
  <si>
    <t>内税額</t>
    <phoneticPr fontId="4"/>
  </si>
  <si>
    <t>ExcludedTaxesAmount</t>
  </si>
  <si>
    <t>外税額</t>
    <phoneticPr fontId="4"/>
  </si>
  <si>
    <t>DiscountsAmount</t>
  </si>
  <si>
    <t>値引合計金額</t>
    <phoneticPr fontId="4"/>
  </si>
  <si>
    <t>小計値引額を含む</t>
    <rPh sb="0" eb="2">
      <t>ショウケイ</t>
    </rPh>
    <rPh sb="2" eb="4">
      <t>ネビキ</t>
    </rPh>
    <rPh sb="4" eb="5">
      <t>ガク</t>
    </rPh>
    <rPh sb="6" eb="7">
      <t>フク</t>
    </rPh>
    <phoneticPr fontId="4"/>
  </si>
  <si>
    <t>TotalQuantity</t>
  </si>
  <si>
    <t>総個数</t>
    <phoneticPr fontId="4"/>
  </si>
  <si>
    <t>取引合計点数
　取引中の売上合計点数</t>
    <rPh sb="0" eb="2">
      <t>トリヒキ</t>
    </rPh>
    <rPh sb="2" eb="4">
      <t>ゴウケイ</t>
    </rPh>
    <rPh sb="4" eb="6">
      <t>テンスウ</t>
    </rPh>
    <phoneticPr fontId="8"/>
  </si>
  <si>
    <t>取引中の売上合計点数から
部門点数を引いた合計点数</t>
    <rPh sb="13" eb="15">
      <t>ブモン</t>
    </rPh>
    <rPh sb="15" eb="17">
      <t>テンスウ</t>
    </rPh>
    <rPh sb="18" eb="19">
      <t>ヒ</t>
    </rPh>
    <rPh sb="21" eb="23">
      <t>ゴウケイ</t>
    </rPh>
    <rPh sb="23" eb="25">
      <t>テンスウ</t>
    </rPh>
    <phoneticPr fontId="4"/>
  </si>
  <si>
    <t>ChangeAmount</t>
    <phoneticPr fontId="4"/>
  </si>
  <si>
    <t>お釣り金額</t>
    <phoneticPr fontId="4"/>
  </si>
  <si>
    <t>預かり金額－取引合計金額（税込）</t>
    <rPh sb="0" eb="1">
      <t>アズ</t>
    </rPh>
    <rPh sb="3" eb="5">
      <t>キンガク</t>
    </rPh>
    <phoneticPr fontId="8"/>
  </si>
  <si>
    <t>IsCanceled</t>
  </si>
  <si>
    <t>取引中止フラグ</t>
    <phoneticPr fontId="4"/>
  </si>
  <si>
    <t>1:取引中止
0:取引中止以外</t>
    <rPh sb="2" eb="4">
      <t>トリヒキ</t>
    </rPh>
    <rPh sb="4" eb="6">
      <t>チュウシ</t>
    </rPh>
    <rPh sb="9" eb="11">
      <t>トリヒキ</t>
    </rPh>
    <rPh sb="11" eb="13">
      <t>チュウシ</t>
    </rPh>
    <rPh sb="13" eb="15">
      <t>イガイ</t>
    </rPh>
    <phoneticPr fontId="8"/>
  </si>
  <si>
    <t>固定 [false]</t>
    <rPh sb="0" eb="2">
      <t>コテイ</t>
    </rPh>
    <phoneticPr fontId="4"/>
  </si>
  <si>
    <t>Scan&amp;Go仕様準拠</t>
    <rPh sb="7" eb="9">
      <t>シヨウ</t>
    </rPh>
    <rPh sb="9" eb="11">
      <t>ジュンキョ</t>
    </rPh>
    <phoneticPr fontId="24"/>
  </si>
  <si>
    <t>1:取引中止
0:取引中止以外</t>
  </si>
  <si>
    <t>NonExchangeTicketCount</t>
  </si>
  <si>
    <t>万券枚数</t>
    <phoneticPr fontId="4"/>
  </si>
  <si>
    <t>支払時に【万券】キー押下、又はタッチした回数</t>
    <rPh sb="0" eb="2">
      <t>シハラ</t>
    </rPh>
    <rPh sb="2" eb="3">
      <t>ジ</t>
    </rPh>
    <rPh sb="5" eb="6">
      <t>マン</t>
    </rPh>
    <rPh sb="6" eb="7">
      <t>ケン</t>
    </rPh>
    <rPh sb="10" eb="12">
      <t>オウカ</t>
    </rPh>
    <rPh sb="13" eb="14">
      <t>マタ</t>
    </rPh>
    <rPh sb="20" eb="22">
      <t>カイスウ</t>
    </rPh>
    <phoneticPr fontId="8"/>
  </si>
  <si>
    <t>固定 [0]</t>
    <rPh sb="0" eb="2">
      <t>コテイ</t>
    </rPh>
    <phoneticPr fontId="4"/>
  </si>
  <si>
    <t>CheckerCode</t>
  </si>
  <si>
    <t>チェッカーコード</t>
    <phoneticPr fontId="4"/>
  </si>
  <si>
    <t>固定 空タグ[&lt;tagname /&gt;]</t>
    <rPh sb="0" eb="2">
      <t>コテイ</t>
    </rPh>
    <rPh sb="3" eb="4">
      <t>カラ</t>
    </rPh>
    <phoneticPr fontId="4"/>
  </si>
  <si>
    <t>未使用（二人制）</t>
  </si>
  <si>
    <t>CheckerName</t>
    <phoneticPr fontId="4"/>
  </si>
  <si>
    <t>チェッカー名</t>
    <phoneticPr fontId="4"/>
  </si>
  <si>
    <t>スマートPOSからの実績では本項目に
スマートPOS会員情報の会員IDに変換を行う</t>
    <phoneticPr fontId="4"/>
  </si>
  <si>
    <t>CustomerTypeCode1</t>
  </si>
  <si>
    <t>客層コード１(未使用)</t>
    <phoneticPr fontId="4"/>
  </si>
  <si>
    <t>（未使用）</t>
    <rPh sb="1" eb="2">
      <t>ミ</t>
    </rPh>
    <rPh sb="2" eb="4">
      <t>シヨウ</t>
    </rPh>
    <phoneticPr fontId="4"/>
  </si>
  <si>
    <t>CustomerTypeCode2</t>
  </si>
  <si>
    <t>客層コード２(未使用)</t>
    <phoneticPr fontId="4"/>
  </si>
  <si>
    <t>CustomerTypeCode3</t>
  </si>
  <si>
    <t>客層コード３(未使用)</t>
    <phoneticPr fontId="4"/>
  </si>
  <si>
    <t>CustomerTypeDescription1</t>
    <phoneticPr fontId="4"/>
  </si>
  <si>
    <t>客層名称１(未使用)</t>
    <rPh sb="2" eb="4">
      <t>メイショウ</t>
    </rPh>
    <phoneticPr fontId="4"/>
  </si>
  <si>
    <t>String</t>
    <phoneticPr fontId="4"/>
  </si>
  <si>
    <t>CustomerTypeDescription2</t>
    <phoneticPr fontId="4"/>
  </si>
  <si>
    <t>客層名称２(未使用)</t>
    <rPh sb="2" eb="4">
      <t>メイショウ</t>
    </rPh>
    <phoneticPr fontId="4"/>
  </si>
  <si>
    <t>CustomerTypeDescription3</t>
    <phoneticPr fontId="4"/>
  </si>
  <si>
    <t>客層名称３(未使用)</t>
    <rPh sb="2" eb="4">
      <t>メイショウ</t>
    </rPh>
    <phoneticPr fontId="4"/>
  </si>
  <si>
    <t>RevenueStampAmount</t>
    <phoneticPr fontId="4"/>
  </si>
  <si>
    <t>収入印紙金額</t>
    <rPh sb="0" eb="2">
      <t>シュウニュウ</t>
    </rPh>
    <rPh sb="2" eb="4">
      <t>インシ</t>
    </rPh>
    <rPh sb="4" eb="6">
      <t>キンガク</t>
    </rPh>
    <phoneticPr fontId="4"/>
  </si>
  <si>
    <t>Decimal</t>
    <phoneticPr fontId="4"/>
  </si>
  <si>
    <t>取引合計金額に応じた出力</t>
    <rPh sb="0" eb="2">
      <t>トリヒキ</t>
    </rPh>
    <rPh sb="2" eb="4">
      <t>ゴウケイ</t>
    </rPh>
    <rPh sb="4" eb="6">
      <t>キンガク</t>
    </rPh>
    <rPh sb="7" eb="8">
      <t>オウ</t>
    </rPh>
    <rPh sb="10" eb="12">
      <t>シュツリョク</t>
    </rPh>
    <phoneticPr fontId="8"/>
  </si>
  <si>
    <t>固定 [0.0000]</t>
    <rPh sb="0" eb="2">
      <t>コテイ</t>
    </rPh>
    <phoneticPr fontId="4"/>
  </si>
  <si>
    <t>取引合計金額に応じた出力</t>
  </si>
  <si>
    <t>ReturnVoidedCashAmount</t>
  </si>
  <si>
    <t>返金しないといけない元取引の支払額</t>
    <phoneticPr fontId="4"/>
  </si>
  <si>
    <t>釣銭機から元取引返金額＋釣銭額</t>
    <phoneticPr fontId="8"/>
  </si>
  <si>
    <t>釣銭機から元取引返金額＋釣銭額</t>
  </si>
  <si>
    <t>AutoPromotionPurchaseAmount</t>
  </si>
  <si>
    <t>自動プロモーション対象金額</t>
    <phoneticPr fontId="4"/>
  </si>
  <si>
    <t>小計金額から算出した税込金額</t>
    <phoneticPr fontId="4"/>
  </si>
  <si>
    <t>CanAutoPromotion</t>
  </si>
  <si>
    <t>自動プロモーション適用フラグ</t>
    <phoneticPr fontId="4"/>
  </si>
  <si>
    <t>Boolean</t>
  </si>
  <si>
    <t>True:適用する
False:適用しない</t>
    <phoneticPr fontId="4"/>
  </si>
  <si>
    <t>固定 [true]</t>
    <rPh sb="0" eb="2">
      <t>コテイ</t>
    </rPh>
    <phoneticPr fontId="4"/>
  </si>
  <si>
    <t>IsTaxFree</t>
  </si>
  <si>
    <t>消費税免税フラグ</t>
    <rPh sb="0" eb="3">
      <t>ショウヒゼイ</t>
    </rPh>
    <rPh sb="3" eb="5">
      <t>メンゼイ</t>
    </rPh>
    <phoneticPr fontId="4"/>
  </si>
  <si>
    <t>1:免税取引
0:免税非取引</t>
    <rPh sb="2" eb="4">
      <t>メンゼイ</t>
    </rPh>
    <rPh sb="4" eb="6">
      <t>トリヒキ</t>
    </rPh>
    <rPh sb="9" eb="11">
      <t>メンゼイ</t>
    </rPh>
    <rPh sb="11" eb="12">
      <t>ヒ</t>
    </rPh>
    <rPh sb="12" eb="14">
      <t>トリヒキ</t>
    </rPh>
    <phoneticPr fontId="8"/>
  </si>
  <si>
    <t>IsExpendablesTaxFree</t>
  </si>
  <si>
    <t>消耗品免税フラグ</t>
    <phoneticPr fontId="4"/>
  </si>
  <si>
    <t>《商品マスタ》&lt;消費税免税タイプ&gt;が消耗品の場合且つ、免税条件を満たす場合：1、そうでない場合：0</t>
    <rPh sb="1" eb="3">
      <t>ショウヒン</t>
    </rPh>
    <rPh sb="18" eb="20">
      <t>ショウモウ</t>
    </rPh>
    <rPh sb="20" eb="21">
      <t>ヒン</t>
    </rPh>
    <rPh sb="22" eb="24">
      <t>バアイ</t>
    </rPh>
    <rPh sb="24" eb="25">
      <t>カ</t>
    </rPh>
    <rPh sb="27" eb="29">
      <t>メンゼイ</t>
    </rPh>
    <rPh sb="29" eb="31">
      <t>ジョウケン</t>
    </rPh>
    <rPh sb="32" eb="33">
      <t>ミ</t>
    </rPh>
    <rPh sb="35" eb="37">
      <t>バアイ</t>
    </rPh>
    <phoneticPr fontId="8"/>
  </si>
  <si>
    <t>IsGeneralTaxFree</t>
  </si>
  <si>
    <t>一般品免税フラグ</t>
    <phoneticPr fontId="4"/>
  </si>
  <si>
    <t>《商品マスタ》&lt;消費税免税タイプ&gt;が一般品の場合且つ、免税条件を満たす場合：1、そうでない場合：0</t>
  </si>
  <si>
    <t>RefundReasonCode</t>
    <phoneticPr fontId="4"/>
  </si>
  <si>
    <t>返金理由コード</t>
  </si>
  <si>
    <t>返品操作時の返金理由コード（2桁）</t>
  </si>
  <si>
    <t>返品時のみタグを出力
固定 [00]</t>
    <rPh sb="0" eb="2">
      <t>ヘンピン</t>
    </rPh>
    <rPh sb="2" eb="3">
      <t>ジ</t>
    </rPh>
    <rPh sb="8" eb="10">
      <t>シュツリョク</t>
    </rPh>
    <rPh sb="11" eb="13">
      <t>コテイ</t>
    </rPh>
    <phoneticPr fontId="4"/>
  </si>
  <si>
    <t>＜お客様都合＞…返金理由区分：1
・11：返品
・12：お取替え
・13：値引券あと出し
・14：回収(ビンなど)
・15：ｸﾚｼﾞｯﾄ一部返金
・16：その他
＜レジ＞…返金理由区分：2
・21：二重登録
・22：個数違い
・23：小計後値引もれ
・24：プリセット押し間違い
・25：値引もれ
・26：商品登録間違い
・27：その他
＜部門＞…返金理由区分：3
・31：値引シール貼付ミス
・32：表示売価とスキャン売価違い
・33：その他
※返品操作時の返金理由コード（2桁）</t>
  </si>
  <si>
    <t>RefundReasonType</t>
  </si>
  <si>
    <t>返金理由区分</t>
  </si>
  <si>
    <t>返品操作時の返金理由区分（1桁）
1:お客様都合　2:レジ　3:部門</t>
  </si>
  <si>
    <t>返品時のみタグを出力
固定 [1]</t>
    <rPh sb="0" eb="2">
      <t>ヘンピン</t>
    </rPh>
    <rPh sb="2" eb="3">
      <t>ジ</t>
    </rPh>
    <rPh sb="8" eb="10">
      <t>シュツリョク</t>
    </rPh>
    <rPh sb="11" eb="13">
      <t>コテイ</t>
    </rPh>
    <phoneticPr fontId="4"/>
  </si>
  <si>
    <t>RefundReasonDescription</t>
  </si>
  <si>
    <t>返金理由名称</t>
  </si>
  <si>
    <t>返品操作時の返金理由名称
※返金理由マスタの名称1と名称2を結合してセット</t>
  </si>
  <si>
    <t>返品時のみタグを出力
固定 [NONE]</t>
    <rPh sb="0" eb="2">
      <t>ヘンピン</t>
    </rPh>
    <rPh sb="2" eb="3">
      <t>ジ</t>
    </rPh>
    <rPh sb="8" eb="10">
      <t>シュツリョク</t>
    </rPh>
    <rPh sb="11" eb="13">
      <t>コテイ</t>
    </rPh>
    <phoneticPr fontId="4"/>
  </si>
  <si>
    <t>返品操作時の返金理由名称
※返金理由マスタの名称1と名称2を結合してセット
上記の返金理由コードのNote欄を参照（名称1と名称2を結合済み）</t>
  </si>
  <si>
    <t>ItemEntryCount</t>
    <phoneticPr fontId="4"/>
  </si>
  <si>
    <t>商品登録件数
　商品明細.手入力アイテム登録数の総計</t>
    <phoneticPr fontId="4"/>
  </si>
  <si>
    <t>固定 [1]</t>
    <phoneticPr fontId="4"/>
  </si>
  <si>
    <r>
      <t xml:space="preserve">商品登録件数
　商品明細.手入力アイテム登録数の総計
</t>
    </r>
    <r>
      <rPr>
        <sz val="11"/>
        <color rgb="FFFF0000"/>
        <rFont val="ＭＳ Ｐゴシック"/>
        <family val="3"/>
        <charset val="128"/>
      </rPr>
      <t>⇒ 固定値 [0]</t>
    </r>
    <rPh sb="29" eb="32">
      <t>コテイチ</t>
    </rPh>
    <phoneticPr fontId="4"/>
  </si>
  <si>
    <t>ItemScanEntryCount</t>
    <phoneticPr fontId="4"/>
  </si>
  <si>
    <t>商品スキャン登録件数
　商品明細.スキャンアイテム登録数の総計</t>
    <phoneticPr fontId="4"/>
  </si>
  <si>
    <r>
      <t xml:space="preserve">商品スキャン登録件数
　商品明細.スキャンアイテム登録数の総計
</t>
    </r>
    <r>
      <rPr>
        <sz val="11"/>
        <color rgb="FFFF0000"/>
        <rFont val="ＭＳ Ｐゴシック"/>
        <family val="3"/>
        <charset val="128"/>
      </rPr>
      <t>⇒ ABS(商品総数) （※明細数ではないよ）</t>
    </r>
    <r>
      <rPr>
        <sz val="11"/>
        <color rgb="FF0000FF"/>
        <rFont val="ＭＳ Ｐゴシック"/>
        <family val="3"/>
        <charset val="128"/>
      </rPr>
      <t xml:space="preserve">
　　</t>
    </r>
    <rPh sb="38" eb="40">
      <t>ショウヒン</t>
    </rPh>
    <rPh sb="40" eb="42">
      <t>ソウスウ</t>
    </rPh>
    <rPh sb="46" eb="48">
      <t>メイサイ</t>
    </rPh>
    <rPh sb="48" eb="49">
      <t>スウ</t>
    </rPh>
    <phoneticPr fontId="4"/>
  </si>
  <si>
    <t>ItemEntryTime</t>
    <phoneticPr fontId="4"/>
  </si>
  <si>
    <t>商品登録時間
　累積登録時間（秒）</t>
    <phoneticPr fontId="4"/>
  </si>
  <si>
    <r>
      <t xml:space="preserve">商品登録時間
　累積登録時間（秒）
</t>
    </r>
    <r>
      <rPr>
        <sz val="11"/>
        <color rgb="FFFF0000"/>
        <rFont val="ＭＳ Ｐゴシック"/>
        <family val="3"/>
        <charset val="128"/>
      </rPr>
      <t>⇒ 固定値 [空タグ]</t>
    </r>
    <rPh sb="20" eb="23">
      <t>コテイチ</t>
    </rPh>
    <rPh sb="25" eb="26">
      <t>カラ</t>
    </rPh>
    <phoneticPr fontId="4"/>
  </si>
  <si>
    <t>TotalAmountForNonCountForSalesWithTaxes</t>
    <phoneticPr fontId="4"/>
  </si>
  <si>
    <t>売上外取引合計金額（税込）
　内税込み外税込み</t>
    <phoneticPr fontId="4"/>
  </si>
  <si>
    <t>部門売上金額（現在非課税のみ）</t>
    <rPh sb="0" eb="2">
      <t>ブモン</t>
    </rPh>
    <rPh sb="2" eb="4">
      <t>ウリアゲ</t>
    </rPh>
    <rPh sb="4" eb="6">
      <t>キンガク</t>
    </rPh>
    <rPh sb="7" eb="9">
      <t>ゲンザイ</t>
    </rPh>
    <rPh sb="9" eb="12">
      <t>ヒカゼイ</t>
    </rPh>
    <phoneticPr fontId="4"/>
  </si>
  <si>
    <t xml:space="preserve">売上外取引合計金額（税込）
　内税込み外税込み
</t>
    <phoneticPr fontId="4"/>
  </si>
  <si>
    <t>TotalAmountForNonCountForSalesWithNoTaxes</t>
    <phoneticPr fontId="4"/>
  </si>
  <si>
    <t>売上外取引合計金額（税抜き）
　内税抜き外税抜き</t>
    <phoneticPr fontId="4"/>
  </si>
  <si>
    <t>部門売上金額（現在非課税のみ）</t>
    <rPh sb="0" eb="2">
      <t>ブモン</t>
    </rPh>
    <rPh sb="2" eb="4">
      <t>ウリアゲ</t>
    </rPh>
    <rPh sb="4" eb="6">
      <t>キンガク</t>
    </rPh>
    <phoneticPr fontId="4"/>
  </si>
  <si>
    <t xml:space="preserve">売上外取引合計金額（税抜き）
　内税抜き外税抜き
</t>
    <phoneticPr fontId="4"/>
  </si>
  <si>
    <t>TotalQuantityForNonCountForSales</t>
    <phoneticPr fontId="4"/>
  </si>
  <si>
    <t>売上外取引個数
　取引中の売上外合計点数</t>
    <phoneticPr fontId="4"/>
  </si>
  <si>
    <t>部門売上点数（現在非課税のみ）</t>
    <rPh sb="0" eb="2">
      <t>ブモン</t>
    </rPh>
    <rPh sb="2" eb="4">
      <t>ウリアゲ</t>
    </rPh>
    <rPh sb="4" eb="6">
      <t>テンスウ</t>
    </rPh>
    <phoneticPr fontId="4"/>
  </si>
  <si>
    <t xml:space="preserve">売上外取引個数
　取引中の売上外合計点数
</t>
    <phoneticPr fontId="4"/>
  </si>
  <si>
    <t>IsRestoreTransaction</t>
    <phoneticPr fontId="4"/>
  </si>
  <si>
    <t>元取引復元フラグ
　取引データ作成方法
　1：元取引から復元された取引
　0：この取引で発生した取引</t>
    <phoneticPr fontId="4"/>
  </si>
  <si>
    <t>取引を復元した場合、本項目が"True"となります。
弊社POSの取引に関するオペレーションは以下4種です
・売上
・返品（レシート無し返品）
・一部返品交換
・一括返品
このうち、
・一部返品交換
・一括返品
は、元取引を復元し、返品ないし再売上を行います。
そのため、これらのオペレーションを行なった際に出力される実績データはSalesHeader.IsRestoreTransaction ＝True
※一部返品交換の場合、TransactionTypeが売上・返品問わず、Trueです。</t>
    <phoneticPr fontId="4"/>
  </si>
  <si>
    <t>LineItem</t>
    <phoneticPr fontId="4"/>
  </si>
  <si>
    <t>LineItemNo</t>
  </si>
  <si>
    <t>行番号</t>
    <phoneticPr fontId="4"/>
  </si>
  <si>
    <t>※取引内での明細連番
１商品につき１行番号（１明細）</t>
    <phoneticPr fontId="4"/>
  </si>
  <si>
    <t>但し、同じ商品でも属性値が異なる場合は別明細となる（販促情報等）</t>
    <phoneticPr fontId="4"/>
  </si>
  <si>
    <t>EntryType</t>
    <phoneticPr fontId="4"/>
  </si>
  <si>
    <t>アイテム登録タイプ</t>
    <phoneticPr fontId="4"/>
  </si>
  <si>
    <t>01：PLU
02：NON-PLU
03：部門登録</t>
    <phoneticPr fontId="4"/>
  </si>
  <si>
    <t>05：品種登録</t>
    <phoneticPr fontId="4"/>
  </si>
  <si>
    <t>SKUCode</t>
  </si>
  <si>
    <t>SKUコード</t>
    <phoneticPr fontId="4"/>
  </si>
  <si>
    <t>スキャンしたバーコード
部門登録時は、【&amp;lt;SKUCode /&amp;gt;】</t>
    <phoneticPr fontId="4"/>
  </si>
  <si>
    <t>ItemCode</t>
  </si>
  <si>
    <t>アイテムコード</t>
    <phoneticPr fontId="4"/>
  </si>
  <si>
    <t>部門登録時、クラス登録時は「0000000000000」をセット</t>
    <rPh sb="0" eb="2">
      <t>ブモン</t>
    </rPh>
    <rPh sb="2" eb="4">
      <t>トウロク</t>
    </rPh>
    <rPh sb="4" eb="5">
      <t>ジ</t>
    </rPh>
    <rPh sb="9" eb="11">
      <t>トウロク</t>
    </rPh>
    <rPh sb="11" eb="12">
      <t>ジ</t>
    </rPh>
    <phoneticPr fontId="4"/>
  </si>
  <si>
    <t>ParentCode</t>
  </si>
  <si>
    <t>親分類コード</t>
    <phoneticPr fontId="4"/>
  </si>
  <si>
    <t>クラスコード（部門登録時には、部門コードがセットされます）</t>
    <phoneticPr fontId="4"/>
  </si>
  <si>
    <t>ParentLevel</t>
  </si>
  <si>
    <t>親階層レベル</t>
    <phoneticPr fontId="4"/>
  </si>
  <si>
    <t>クラスコードのMD階層レベル（部門登録時には、部門階層のMD階層レベルがセットされます）</t>
    <rPh sb="9" eb="11">
      <t>カイソウ</t>
    </rPh>
    <rPh sb="25" eb="27">
      <t>カイソウ</t>
    </rPh>
    <rPh sb="30" eb="32">
      <t>カイソウ</t>
    </rPh>
    <phoneticPr fontId="4"/>
  </si>
  <si>
    <t>DepartmentCode</t>
  </si>
  <si>
    <t>部門コード</t>
    <phoneticPr fontId="4"/>
  </si>
  <si>
    <t>DepartmentLevel</t>
  </si>
  <si>
    <t>部門レベル</t>
    <phoneticPr fontId="4"/>
  </si>
  <si>
    <t>1固定</t>
    <phoneticPr fontId="4"/>
  </si>
  <si>
    <t>名称</t>
    <phoneticPr fontId="4"/>
  </si>
  <si>
    <t>商品マスタの同項目値</t>
    <phoneticPr fontId="4"/>
  </si>
  <si>
    <t>DescriptionShort</t>
  </si>
  <si>
    <t>略称</t>
    <phoneticPr fontId="4"/>
  </si>
  <si>
    <t>固定値 空タグ [&amp;lt;DescriptionShort /&amp;gt;]</t>
    <phoneticPr fontId="4"/>
  </si>
  <si>
    <t>商品マスタの同項目値</t>
    <rPh sb="0" eb="2">
      <t>ショウヒン</t>
    </rPh>
    <rPh sb="6" eb="7">
      <t>ドウ</t>
    </rPh>
    <rPh sb="7" eb="9">
      <t>コウモク</t>
    </rPh>
    <rPh sb="9" eb="10">
      <t>チ</t>
    </rPh>
    <phoneticPr fontId="4"/>
  </si>
  <si>
    <t>DescriptionLong</t>
  </si>
  <si>
    <t>フル名称</t>
    <phoneticPr fontId="4"/>
  </si>
  <si>
    <t>UnitPriceNormal</t>
  </si>
  <si>
    <t>通常単価</t>
    <phoneticPr fontId="4"/>
  </si>
  <si>
    <t>UnitPriceOverrided</t>
  </si>
  <si>
    <t>売価変更額</t>
    <phoneticPr fontId="4"/>
  </si>
  <si>
    <t>※税率変更前の価格</t>
    <phoneticPr fontId="4"/>
  </si>
  <si>
    <t>固定値 空タグ [0]</t>
    <phoneticPr fontId="4"/>
  </si>
  <si>
    <t>ゼロ、もしくはPOS操作で売価を変更した場合の価格
※税率変更前の価格</t>
  </si>
  <si>
    <t>UnitPriceForSpecialSale</t>
    <phoneticPr fontId="4"/>
  </si>
  <si>
    <t>特売価格</t>
    <phoneticPr fontId="4"/>
  </si>
  <si>
    <t>特売の場合
①特売(売変)
　・特売売価
②特売(割引)
　・特売(割引)を適用した特売売価
※税率変更前の価格
-----------------------------------------------
特売(売価指定)採用時、特売価格を設定する。
特売(値割引)採用時、値割引適用後の価格を設定する。
特売設定無しの場合、0を設定する。
※税率変更前の価格</t>
    <rPh sb="0" eb="2">
      <t>トクバイ</t>
    </rPh>
    <rPh sb="3" eb="5">
      <t>バアイ</t>
    </rPh>
    <rPh sb="7" eb="9">
      <t>トクバイ</t>
    </rPh>
    <rPh sb="10" eb="11">
      <t>バイ</t>
    </rPh>
    <rPh sb="11" eb="12">
      <t>ヘン</t>
    </rPh>
    <rPh sb="16" eb="18">
      <t>トクバイ</t>
    </rPh>
    <rPh sb="18" eb="20">
      <t>バイカ</t>
    </rPh>
    <rPh sb="22" eb="24">
      <t>トクバイ</t>
    </rPh>
    <rPh sb="25" eb="27">
      <t>ワリビキ</t>
    </rPh>
    <rPh sb="31" eb="33">
      <t>トクバイ</t>
    </rPh>
    <rPh sb="34" eb="36">
      <t>ワリビキ</t>
    </rPh>
    <rPh sb="38" eb="40">
      <t>テキヨウ</t>
    </rPh>
    <rPh sb="42" eb="44">
      <t>トクバイ</t>
    </rPh>
    <rPh sb="44" eb="46">
      <t>バイカ</t>
    </rPh>
    <phoneticPr fontId="4"/>
  </si>
  <si>
    <t>特売（売変）の場合：絶対値（特売価格)
特売（割引）の場合：絶対値（特売価格)
特売が掛からない場合：固定値[0]</t>
    <rPh sb="0" eb="2">
      <t>トクバイ</t>
    </rPh>
    <rPh sb="3" eb="5">
      <t>バイヘン</t>
    </rPh>
    <rPh sb="7" eb="9">
      <t>バアイ</t>
    </rPh>
    <rPh sb="22" eb="24">
      <t>ワリビキ</t>
    </rPh>
    <rPh sb="39" eb="41">
      <t>トクバイ</t>
    </rPh>
    <rPh sb="42" eb="43">
      <t>カ</t>
    </rPh>
    <rPh sb="47" eb="49">
      <t>バアイ</t>
    </rPh>
    <rPh sb="50" eb="53">
      <t>コテイチ</t>
    </rPh>
    <phoneticPr fontId="4"/>
  </si>
  <si>
    <t>固定値[0]</t>
    <rPh sb="0" eb="3">
      <t>コテイチ</t>
    </rPh>
    <phoneticPr fontId="4"/>
  </si>
  <si>
    <t>UnitPriceForPurchase</t>
  </si>
  <si>
    <t>販売のため採用された売単価</t>
    <phoneticPr fontId="4"/>
  </si>
  <si>
    <t>※税率変更前の価格
特売(売価指定)採用時、特売価格を設定する。
特売(値割引)採用時、値割引適用後の価格を設定する。
強制売価採用時、強制売価値段を設定する。
特売設定・強制売価設定無しの場合、商品マスタの通常単価（NON-PLU商品の場合、バーコード内売価）を設定する。
※税率変更前の価格</t>
    <phoneticPr fontId="4"/>
  </si>
  <si>
    <t>特売（売変）の場合：絶対値（特売価格)
特売（割引）の場合：絶対値（特売価格)
特売が掛からない場合：絶対値（元売価)</t>
    <rPh sb="0" eb="2">
      <t>トクバイ</t>
    </rPh>
    <rPh sb="3" eb="5">
      <t>バイヘン</t>
    </rPh>
    <rPh sb="7" eb="9">
      <t>バアイ</t>
    </rPh>
    <rPh sb="14" eb="16">
      <t>トクバイ</t>
    </rPh>
    <rPh sb="16" eb="18">
      <t>カカク</t>
    </rPh>
    <rPh sb="23" eb="25">
      <t>ワリビキ</t>
    </rPh>
    <rPh sb="40" eb="42">
      <t>トクバイ</t>
    </rPh>
    <rPh sb="43" eb="44">
      <t>カ</t>
    </rPh>
    <rPh sb="48" eb="50">
      <t>バアイ</t>
    </rPh>
    <rPh sb="55" eb="56">
      <t>モト</t>
    </rPh>
    <rPh sb="56" eb="58">
      <t>バイカ</t>
    </rPh>
    <phoneticPr fontId="4"/>
  </si>
  <si>
    <t>絶対値（元売価)</t>
    <phoneticPr fontId="4"/>
  </si>
  <si>
    <t>CostPrice</t>
  </si>
  <si>
    <t>原価</t>
    <phoneticPr fontId="4"/>
  </si>
  <si>
    <t>特売(売価指定、値割引)採用時、特売原価を設定する。</t>
    <phoneticPr fontId="4"/>
  </si>
  <si>
    <t>固定値 [0]</t>
    <phoneticPr fontId="4"/>
  </si>
  <si>
    <t>Quantity</t>
  </si>
  <si>
    <t>個数</t>
    <phoneticPr fontId="4"/>
  </si>
  <si>
    <t>1～99
※明細内での商品点数</t>
    <phoneticPr fontId="4"/>
  </si>
  <si>
    <t>絶対値（数量）</t>
    <rPh sb="0" eb="3">
      <t>ゼッタイチ</t>
    </rPh>
    <rPh sb="4" eb="6">
      <t>スウリョウ</t>
    </rPh>
    <phoneticPr fontId="4"/>
  </si>
  <si>
    <t>DiscountTotal</t>
    <phoneticPr fontId="4"/>
  </si>
  <si>
    <t>割引合計(小計値下げ案分額抜き)</t>
    <phoneticPr fontId="4"/>
  </si>
  <si>
    <t>単品値引額（計）
※小計値下げ按分額は含まない</t>
    <rPh sb="0" eb="2">
      <t>タンピン</t>
    </rPh>
    <rPh sb="2" eb="4">
      <t>ネビキ</t>
    </rPh>
    <rPh sb="4" eb="5">
      <t>ガク</t>
    </rPh>
    <rPh sb="6" eb="7">
      <t>ケイ</t>
    </rPh>
    <rPh sb="10" eb="12">
      <t>ショウケイ</t>
    </rPh>
    <rPh sb="12" eb="14">
      <t>ネサ</t>
    </rPh>
    <rPh sb="15" eb="17">
      <t>アンブン</t>
    </rPh>
    <rPh sb="17" eb="18">
      <t>ガク</t>
    </rPh>
    <rPh sb="19" eb="20">
      <t>フク</t>
    </rPh>
    <phoneticPr fontId="4"/>
  </si>
  <si>
    <t>絶対値（小計値引割引按分金額を除いた値引割引計）</t>
    <rPh sb="0" eb="3">
      <t>ゼッタイチ</t>
    </rPh>
    <rPh sb="4" eb="6">
      <t>ショウケイ</t>
    </rPh>
    <rPh sb="6" eb="8">
      <t>ネビ</t>
    </rPh>
    <rPh sb="8" eb="10">
      <t>ワリビキ</t>
    </rPh>
    <rPh sb="10" eb="12">
      <t>アンブン</t>
    </rPh>
    <rPh sb="12" eb="14">
      <t>キンガク</t>
    </rPh>
    <rPh sb="15" eb="16">
      <t>ノゾ</t>
    </rPh>
    <rPh sb="18" eb="20">
      <t>ネビ</t>
    </rPh>
    <rPh sb="20" eb="22">
      <t>ワリビキ</t>
    </rPh>
    <rPh sb="22" eb="23">
      <t>ケイ</t>
    </rPh>
    <phoneticPr fontId="4"/>
  </si>
  <si>
    <t>DiscountDivided</t>
    <phoneticPr fontId="4"/>
  </si>
  <si>
    <t>小計値下げ案分額</t>
    <phoneticPr fontId="4"/>
  </si>
  <si>
    <t>小計値下げを複数適用した場合、小計値下げの合算値を按分する</t>
    <phoneticPr fontId="4"/>
  </si>
  <si>
    <t>TaxDivided</t>
  </si>
  <si>
    <t>税案分額</t>
    <phoneticPr fontId="4"/>
  </si>
  <si>
    <t>税按分額（計）
※小計値引後の金額に対する税按分額</t>
    <rPh sb="0" eb="1">
      <t>ゼイ</t>
    </rPh>
    <rPh sb="1" eb="3">
      <t>アンブン</t>
    </rPh>
    <rPh sb="3" eb="4">
      <t>ガク</t>
    </rPh>
    <rPh sb="5" eb="6">
      <t>ケイ</t>
    </rPh>
    <rPh sb="9" eb="11">
      <t>ショウケイ</t>
    </rPh>
    <rPh sb="11" eb="13">
      <t>ネビキ</t>
    </rPh>
    <rPh sb="13" eb="14">
      <t>ゴ</t>
    </rPh>
    <rPh sb="15" eb="17">
      <t>キンガク</t>
    </rPh>
    <rPh sb="18" eb="19">
      <t>タイ</t>
    </rPh>
    <rPh sb="21" eb="22">
      <t>ゼイ</t>
    </rPh>
    <rPh sb="22" eb="24">
      <t>アンブン</t>
    </rPh>
    <rPh sb="24" eb="25">
      <t>ガク</t>
    </rPh>
    <phoneticPr fontId="4"/>
  </si>
  <si>
    <t>DescriptionForSpecialSale</t>
    <phoneticPr fontId="4"/>
  </si>
  <si>
    <t>特売名称</t>
    <phoneticPr fontId="4"/>
  </si>
  <si>
    <t>特売採用時、特売マスタの名称を設定する。</t>
    <phoneticPr fontId="4"/>
  </si>
  <si>
    <t>固定値 [空タグ]</t>
    <rPh sb="0" eb="3">
      <t>コテイチ</t>
    </rPh>
    <rPh sb="5" eb="6">
      <t>カラ</t>
    </rPh>
    <phoneticPr fontId="4"/>
  </si>
  <si>
    <t>DifferenceForSpecialSale</t>
    <phoneticPr fontId="4"/>
  </si>
  <si>
    <t>特売の差額</t>
    <phoneticPr fontId="4"/>
  </si>
  <si>
    <t>特売の場合
①特売(売変)
　・通常売価と特売売価の差額
②特売(割引)
　・特売割引額
※税率変更前の価格に対する差額を設定する
特売採用時、商品マスタの通常単価と特売価格との差額を設定する。
※税率変更前の価格に対する差額を設定する</t>
    <rPh sb="0" eb="2">
      <t>トクバイ</t>
    </rPh>
    <rPh sb="3" eb="5">
      <t>バアイ</t>
    </rPh>
    <rPh sb="7" eb="9">
      <t>トクバイ</t>
    </rPh>
    <rPh sb="16" eb="18">
      <t>ツウジョウ</t>
    </rPh>
    <rPh sb="18" eb="20">
      <t>バイカ</t>
    </rPh>
    <rPh sb="21" eb="23">
      <t>トクバイ</t>
    </rPh>
    <rPh sb="23" eb="25">
      <t>バイカ</t>
    </rPh>
    <rPh sb="26" eb="28">
      <t>サガク</t>
    </rPh>
    <rPh sb="30" eb="32">
      <t>トクバイ</t>
    </rPh>
    <rPh sb="33" eb="35">
      <t>ワリビキ</t>
    </rPh>
    <rPh sb="39" eb="41">
      <t>トクバイ</t>
    </rPh>
    <rPh sb="41" eb="43">
      <t>ワリビキ</t>
    </rPh>
    <rPh sb="43" eb="44">
      <t>ガク</t>
    </rPh>
    <phoneticPr fontId="4"/>
  </si>
  <si>
    <t>PromotionCodeForSpecialSale</t>
    <phoneticPr fontId="4"/>
  </si>
  <si>
    <t>特売企画コード</t>
    <phoneticPr fontId="4"/>
  </si>
  <si>
    <t>固定値[空タグ]</t>
    <rPh sb="4" eb="5">
      <t>カラ</t>
    </rPh>
    <phoneticPr fontId="4"/>
  </si>
  <si>
    <t>StartDateTimeSpecialSale</t>
    <phoneticPr fontId="4"/>
  </si>
  <si>
    <t>特売開始日時</t>
    <rPh sb="0" eb="2">
      <t>トクバイ</t>
    </rPh>
    <rPh sb="2" eb="4">
      <t>カイシ</t>
    </rPh>
    <rPh sb="4" eb="6">
      <t>ニチジ</t>
    </rPh>
    <phoneticPr fontId="4"/>
  </si>
  <si>
    <t>※特売採用時のみ設定</t>
    <rPh sb="1" eb="3">
      <t>トクバイ</t>
    </rPh>
    <rPh sb="3" eb="6">
      <t>サイヨウジ</t>
    </rPh>
    <rPh sb="8" eb="10">
      <t>セッテイ</t>
    </rPh>
    <phoneticPr fontId="8"/>
  </si>
  <si>
    <t>タグ出力無し</t>
    <rPh sb="2" eb="4">
      <t>シュツリョク</t>
    </rPh>
    <rPh sb="4" eb="5">
      <t>ナ</t>
    </rPh>
    <phoneticPr fontId="4"/>
  </si>
  <si>
    <t>EndDateTimeSpecialSale</t>
    <phoneticPr fontId="4"/>
  </si>
  <si>
    <t>特売終了日時</t>
    <rPh sb="0" eb="2">
      <t>トクバイ</t>
    </rPh>
    <rPh sb="2" eb="4">
      <t>シュウリョウ</t>
    </rPh>
    <rPh sb="4" eb="6">
      <t>ニチジ</t>
    </rPh>
    <phoneticPr fontId="4"/>
  </si>
  <si>
    <t>CostPriceSpecialSale</t>
    <phoneticPr fontId="8"/>
  </si>
  <si>
    <t>特売原価</t>
    <rPh sb="0" eb="2">
      <t>トクバイ</t>
    </rPh>
    <rPh sb="2" eb="4">
      <t>ゲンカ</t>
    </rPh>
    <phoneticPr fontId="4"/>
  </si>
  <si>
    <t>Decimal</t>
    <phoneticPr fontId="8"/>
  </si>
  <si>
    <t>部門以外の場合：固定[0.0000]
部門の場合：タグ出力無し</t>
    <rPh sb="0" eb="2">
      <t>ブモン</t>
    </rPh>
    <rPh sb="2" eb="4">
      <t>イガイ</t>
    </rPh>
    <rPh sb="5" eb="7">
      <t>バアイ</t>
    </rPh>
    <rPh sb="8" eb="10">
      <t>コテイ</t>
    </rPh>
    <rPh sb="19" eb="21">
      <t>ブモン</t>
    </rPh>
    <rPh sb="22" eb="24">
      <t>バアイ</t>
    </rPh>
    <rPh sb="27" eb="29">
      <t>シュツリョク</t>
    </rPh>
    <rPh sb="29" eb="30">
      <t>ナ</t>
    </rPh>
    <phoneticPr fontId="4"/>
  </si>
  <si>
    <t>Amount</t>
    <phoneticPr fontId="4"/>
  </si>
  <si>
    <t>金額（内税込、外税抜）</t>
    <phoneticPr fontId="4"/>
  </si>
  <si>
    <t>内税込、単品値引後、外税抜の明細額（計）
※小計値引前の金額</t>
    <rPh sb="0" eb="2">
      <t>ウチゼイ</t>
    </rPh>
    <rPh sb="2" eb="3">
      <t>コミ</t>
    </rPh>
    <rPh sb="4" eb="6">
      <t>タンピン</t>
    </rPh>
    <rPh sb="6" eb="8">
      <t>ネビキ</t>
    </rPh>
    <rPh sb="8" eb="9">
      <t>ゴ</t>
    </rPh>
    <rPh sb="10" eb="12">
      <t>ソトゼイ</t>
    </rPh>
    <rPh sb="12" eb="13">
      <t>ヌ</t>
    </rPh>
    <rPh sb="14" eb="16">
      <t>メイサイ</t>
    </rPh>
    <rPh sb="16" eb="17">
      <t>ガク</t>
    </rPh>
    <rPh sb="18" eb="19">
      <t>ケイ</t>
    </rPh>
    <rPh sb="22" eb="24">
      <t>ショウケイ</t>
    </rPh>
    <rPh sb="24" eb="26">
      <t>ネビキ</t>
    </rPh>
    <rPh sb="26" eb="27">
      <t>マエ</t>
    </rPh>
    <rPh sb="28" eb="30">
      <t>キンガク</t>
    </rPh>
    <phoneticPr fontId="4"/>
  </si>
  <si>
    <t>PriceType</t>
    <phoneticPr fontId="4"/>
  </si>
  <si>
    <t>採用値段区分</t>
    <phoneticPr fontId="4"/>
  </si>
  <si>
    <t>01：通常
02：特売
03：売変
04：強制単価入力
05：強制売価</t>
    <rPh sb="31" eb="33">
      <t>キョウセイ</t>
    </rPh>
    <rPh sb="33" eb="35">
      <t>バイカ</t>
    </rPh>
    <phoneticPr fontId="4"/>
  </si>
  <si>
    <t>TaxGroupCode</t>
    <phoneticPr fontId="4"/>
  </si>
  <si>
    <t>税グループコード</t>
    <phoneticPr fontId="4"/>
  </si>
  <si>
    <t>税グループマスタの税グループコード</t>
    <rPh sb="0" eb="1">
      <t>ゼイ</t>
    </rPh>
    <rPh sb="9" eb="10">
      <t>ゼイ</t>
    </rPh>
    <phoneticPr fontId="24"/>
  </si>
  <si>
    <t>01：外税
02：内税
03：非課税</t>
  </si>
  <si>
    <t>IsTaxExempted</t>
    <phoneticPr fontId="4"/>
  </si>
  <si>
    <t>非課税フラグ</t>
    <phoneticPr fontId="4"/>
  </si>
  <si>
    <t>標準仕様準拠
非課税の場合、true, 
非課税以外の場合、false</t>
    <rPh sb="0" eb="2">
      <t>ヒョウジュン</t>
    </rPh>
    <rPh sb="2" eb="4">
      <t>シヨウ</t>
    </rPh>
    <rPh sb="4" eb="6">
      <t>ジュンキョ</t>
    </rPh>
    <phoneticPr fontId="24"/>
  </si>
  <si>
    <t>IsCanceled</t>
    <phoneticPr fontId="4"/>
  </si>
  <si>
    <t>行訂正フラグ</t>
    <phoneticPr fontId="4"/>
  </si>
  <si>
    <t>True：行訂正対象
False：行訂正対象外
※明細行を削除した場合は、True：行訂正対象を設定する。</t>
    <phoneticPr fontId="4"/>
  </si>
  <si>
    <t>DepartmentTypeCode</t>
  </si>
  <si>
    <t>部門区分コード</t>
    <phoneticPr fontId="4"/>
  </si>
  <si>
    <t>00：通常部門
01：売上外部門</t>
    <phoneticPr fontId="4"/>
  </si>
  <si>
    <t>PriorityType</t>
    <phoneticPr fontId="4"/>
  </si>
  <si>
    <t>重点区分</t>
    <rPh sb="0" eb="2">
      <t>ジュウテン</t>
    </rPh>
    <rPh sb="2" eb="4">
      <t>クブン</t>
    </rPh>
    <phoneticPr fontId="4"/>
  </si>
  <si>
    <t>Int16</t>
    <phoneticPr fontId="4"/>
  </si>
  <si>
    <t>0:通常商品
1:重点商品</t>
    <phoneticPr fontId="4"/>
  </si>
  <si>
    <t>CostRate</t>
    <phoneticPr fontId="4"/>
  </si>
  <si>
    <t>原価率</t>
    <rPh sb="0" eb="2">
      <t>ゲンカ</t>
    </rPh>
    <rPh sb="2" eb="3">
      <t>リツ</t>
    </rPh>
    <phoneticPr fontId="4"/>
  </si>
  <si>
    <t>GrossMargin</t>
    <phoneticPr fontId="4"/>
  </si>
  <si>
    <t>粗利金額</t>
    <rPh sb="0" eb="2">
      <t>アラリ</t>
    </rPh>
    <rPh sb="2" eb="4">
      <t>キンガク</t>
    </rPh>
    <phoneticPr fontId="4"/>
  </si>
  <si>
    <t>粗利計</t>
    <rPh sb="0" eb="2">
      <t>アラリ</t>
    </rPh>
    <rPh sb="2" eb="3">
      <t>ケイ</t>
    </rPh>
    <phoneticPr fontId="4"/>
  </si>
  <si>
    <t>明細合計金額 - 0</t>
    <rPh sb="0" eb="2">
      <t>メイサイ</t>
    </rPh>
    <rPh sb="2" eb="4">
      <t>ゴウケイ</t>
    </rPh>
    <rPh sb="4" eb="6">
      <t>キンガク</t>
    </rPh>
    <phoneticPr fontId="4"/>
  </si>
  <si>
    <t>TaxDividedBefore</t>
    <phoneticPr fontId="4"/>
  </si>
  <si>
    <t>税額（按分前の税額）</t>
    <rPh sb="3" eb="5">
      <t>アンブン</t>
    </rPh>
    <rPh sb="5" eb="6">
      <t>マエ</t>
    </rPh>
    <rPh sb="7" eb="9">
      <t>ゼイガク</t>
    </rPh>
    <phoneticPr fontId="4"/>
  </si>
  <si>
    <t>按分前税額（計）</t>
    <rPh sb="0" eb="2">
      <t>アンブン</t>
    </rPh>
    <rPh sb="2" eb="3">
      <t>マエ</t>
    </rPh>
    <rPh sb="3" eb="5">
      <t>ゼイガク</t>
    </rPh>
    <rPh sb="6" eb="7">
      <t>ケイ</t>
    </rPh>
    <phoneticPr fontId="4"/>
  </si>
  <si>
    <t>固定値 [0]</t>
    <rPh sb="0" eb="3">
      <t>コテイチ</t>
    </rPh>
    <phoneticPr fontId="4"/>
  </si>
  <si>
    <t>IsWarrantyPaste</t>
    <phoneticPr fontId="4"/>
  </si>
  <si>
    <t>保証書貼付フラグ</t>
    <rPh sb="0" eb="3">
      <t>ホショウショ</t>
    </rPh>
    <rPh sb="3" eb="5">
      <t>テンプ</t>
    </rPh>
    <phoneticPr fontId="4"/>
  </si>
  <si>
    <t>固定値 [false]</t>
    <rPh sb="0" eb="3">
      <t>コテイチ</t>
    </rPh>
    <phoneticPr fontId="4"/>
  </si>
  <si>
    <t>BookBarcode</t>
    <phoneticPr fontId="4"/>
  </si>
  <si>
    <t>書籍バーコード</t>
    <rPh sb="0" eb="2">
      <t>ショセキ</t>
    </rPh>
    <phoneticPr fontId="4"/>
  </si>
  <si>
    <t>書籍、雑誌登録時にセット</t>
    <rPh sb="0" eb="2">
      <t>ショセキ</t>
    </rPh>
    <rPh sb="3" eb="5">
      <t>ザッシ</t>
    </rPh>
    <rPh sb="5" eb="7">
      <t>トウロク</t>
    </rPh>
    <rPh sb="7" eb="8">
      <t>ジ</t>
    </rPh>
    <phoneticPr fontId="4"/>
  </si>
  <si>
    <t>固定値 [&amp;lt;BookBarcode /&amp;gt;]</t>
    <rPh sb="0" eb="3">
      <t>コテイチ</t>
    </rPh>
    <phoneticPr fontId="4"/>
  </si>
  <si>
    <t>CombinationCode</t>
    <phoneticPr fontId="4"/>
  </si>
  <si>
    <t>ミックスマッチコード</t>
    <phoneticPr fontId="4"/>
  </si>
  <si>
    <t>採用したMMマスタのミックスマッチコード
※MM採用時のみ設定</t>
    <phoneticPr fontId="4"/>
  </si>
  <si>
    <t>MM値引が無い場合[&amp;lt;CombinationCode /&amp;gt;]
MM値引がある場合[ミックスマッチコード]</t>
    <rPh sb="2" eb="4">
      <t>ネビキ</t>
    </rPh>
    <rPh sb="5" eb="6">
      <t>ナ</t>
    </rPh>
    <rPh sb="7" eb="9">
      <t>バアイ</t>
    </rPh>
    <phoneticPr fontId="4"/>
  </si>
  <si>
    <t>CostPriceCombination</t>
    <phoneticPr fontId="4"/>
  </si>
  <si>
    <t>ミックスマッチ原価</t>
    <rPh sb="7" eb="9">
      <t>ゲンカ</t>
    </rPh>
    <phoneticPr fontId="4"/>
  </si>
  <si>
    <t>※BM採用時のみ設定
商品マスタの原価
※MM採用時のみ設定
MMマスタのミックスマッチ成立時原価を設定するが、ミックスマッチ成立時原価が未設定(NULL)の場合は、商品マスタの原価を設定する。（ミックスマッチ成立時原価が設定されていないため、商品マスタの原価が採用される）</t>
    <rPh sb="3" eb="6">
      <t>サイヨウジ</t>
    </rPh>
    <rPh sb="8" eb="10">
      <t>セッテイ</t>
    </rPh>
    <phoneticPr fontId="8"/>
  </si>
  <si>
    <t>MM値引が無い場合：タグ出力無し
MM値引がある場合：固定値 [0.0000]</t>
    <phoneticPr fontId="4"/>
  </si>
  <si>
    <t>IsPOSA</t>
    <phoneticPr fontId="4"/>
  </si>
  <si>
    <t>POSAアイテムフラグ</t>
    <phoneticPr fontId="4"/>
  </si>
  <si>
    <t>True:POSAアイテム
False:POSAでない</t>
    <phoneticPr fontId="4"/>
  </si>
  <si>
    <t>POSACode</t>
    <phoneticPr fontId="4"/>
  </si>
  <si>
    <t>POSAコード</t>
    <phoneticPr fontId="4"/>
  </si>
  <si>
    <t>そのようなタグ無し</t>
    <rPh sb="7" eb="8">
      <t>ナ</t>
    </rPh>
    <phoneticPr fontId="4"/>
  </si>
  <si>
    <t>（未使用）</t>
    <rPh sb="1" eb="4">
      <t>ミシヨウ</t>
    </rPh>
    <phoneticPr fontId="4"/>
  </si>
  <si>
    <t>POSAStatus</t>
    <phoneticPr fontId="4"/>
  </si>
  <si>
    <t>POSA状態</t>
  </si>
  <si>
    <t>POSAOriginalResultCode</t>
    <phoneticPr fontId="4"/>
  </si>
  <si>
    <t>オリジナルのPOSA最終問合わせ結果</t>
    <phoneticPr fontId="4"/>
  </si>
  <si>
    <t>POSAIsVariable</t>
    <phoneticPr fontId="4"/>
  </si>
  <si>
    <t>POSA価格変更商品フラグ</t>
    <rPh sb="4" eb="6">
      <t>カカク</t>
    </rPh>
    <rPh sb="6" eb="8">
      <t>ヘンコウ</t>
    </rPh>
    <rPh sb="8" eb="10">
      <t>ショウヒン</t>
    </rPh>
    <phoneticPr fontId="4"/>
  </si>
  <si>
    <t>True:可能
False:不可</t>
    <rPh sb="5" eb="7">
      <t>カノウ</t>
    </rPh>
    <rPh sb="14" eb="16">
      <t>フカ</t>
    </rPh>
    <phoneticPr fontId="4"/>
  </si>
  <si>
    <t>TaxFreeType</t>
    <phoneticPr fontId="4"/>
  </si>
  <si>
    <t>消費税免税タイプ</t>
    <phoneticPr fontId="4"/>
  </si>
  <si>
    <t>1：消耗品
2：一般品</t>
    <phoneticPr fontId="4"/>
  </si>
  <si>
    <t>固定値 [1]</t>
    <rPh sb="0" eb="3">
      <t>コテイチ</t>
    </rPh>
    <phoneticPr fontId="4"/>
  </si>
  <si>
    <t>IsExclude</t>
    <phoneticPr fontId="4"/>
  </si>
  <si>
    <t>割引除外フラグ</t>
    <rPh sb="0" eb="2">
      <t>ワリビキ</t>
    </rPh>
    <rPh sb="2" eb="4">
      <t>ジョガイ</t>
    </rPh>
    <phoneticPr fontId="4"/>
  </si>
  <si>
    <t>True:割引除外
False:割引除外でない</t>
    <phoneticPr fontId="4"/>
  </si>
  <si>
    <t>TaxType</t>
    <phoneticPr fontId="4"/>
  </si>
  <si>
    <t>税タイプ</t>
    <rPh sb="0" eb="1">
      <t>ゼイ</t>
    </rPh>
    <phoneticPr fontId="4"/>
  </si>
  <si>
    <t>税タイプマスタに準じた税タイプコード</t>
    <rPh sb="0" eb="1">
      <t>ゼイ</t>
    </rPh>
    <rPh sb="8" eb="9">
      <t>ジュン</t>
    </rPh>
    <rPh sb="11" eb="12">
      <t>ゼイ</t>
    </rPh>
    <phoneticPr fontId="24"/>
  </si>
  <si>
    <t>01：外税
02：内税
03：非課税
※商品マスタの同項目値</t>
  </si>
  <si>
    <t>TaxRate</t>
    <phoneticPr fontId="4"/>
  </si>
  <si>
    <t>税率</t>
    <rPh sb="0" eb="2">
      <t>ゼイリツ</t>
    </rPh>
    <phoneticPr fontId="4"/>
  </si>
  <si>
    <t>商品マスタの同項目値</t>
  </si>
  <si>
    <t>ClassCode</t>
  </si>
  <si>
    <t>分類コード</t>
    <phoneticPr fontId="4"/>
  </si>
  <si>
    <t>部門の場合：固定値：[&amp;lt;ClassCode /&amp;gt;]
部門以外の場合：固定値[0]</t>
    <rPh sb="0" eb="2">
      <t>ブモン</t>
    </rPh>
    <rPh sb="3" eb="5">
      <t>バアイ</t>
    </rPh>
    <rPh sb="6" eb="9">
      <t>コテイチ</t>
    </rPh>
    <rPh sb="40" eb="43">
      <t>コテイチブモンイガイバアイ</t>
    </rPh>
    <phoneticPr fontId="4"/>
  </si>
  <si>
    <t xml:space="preserve">分類マスタの同項目値、品種登録時は未設定
※親分類コードから分類マスタの分類レベル＝4のレコードを特定
</t>
    <phoneticPr fontId="4"/>
  </si>
  <si>
    <t>ClassLevel</t>
  </si>
  <si>
    <t>分類レベル</t>
    <phoneticPr fontId="4"/>
  </si>
  <si>
    <t>部門の場合：item.BNRUICD4
部門以外の場合：固定値[4]</t>
    <rPh sb="0" eb="2">
      <t>ブモン</t>
    </rPh>
    <rPh sb="3" eb="5">
      <t>バアイ</t>
    </rPh>
    <rPh sb="28" eb="31">
      <t>コテイチブモンイガイバアイ</t>
    </rPh>
    <phoneticPr fontId="4"/>
  </si>
  <si>
    <t>4固定、品種登録時は0</t>
  </si>
  <si>
    <t>SalesRestrictionItemArea</t>
    <phoneticPr fontId="4"/>
  </si>
  <si>
    <t>販売制限商品区分</t>
    <phoneticPr fontId="4"/>
  </si>
  <si>
    <t>採用された販売制限商品区分をセット</t>
    <rPh sb="0" eb="2">
      <t>サイヨウ</t>
    </rPh>
    <rPh sb="5" eb="7">
      <t>ハンバイ</t>
    </rPh>
    <rPh sb="7" eb="9">
      <t>セイゲン</t>
    </rPh>
    <rPh sb="9" eb="11">
      <t>ショウヒン</t>
    </rPh>
    <rPh sb="11" eb="13">
      <t>クブン</t>
    </rPh>
    <phoneticPr fontId="16"/>
  </si>
  <si>
    <t>固定値[1]</t>
    <rPh sb="0" eb="3">
      <t>コテイチ</t>
    </rPh>
    <phoneticPr fontId="4"/>
  </si>
  <si>
    <t>1:分類なし固定
※採用された販売制限商品区分をセット</t>
  </si>
  <si>
    <t>IsPointProhibition</t>
    <phoneticPr fontId="4"/>
  </si>
  <si>
    <t>ポイント適用禁止フラグ</t>
    <phoneticPr fontId="4"/>
  </si>
  <si>
    <t>True：禁止
False：許可</t>
    <rPh sb="5" eb="7">
      <t>キンシ</t>
    </rPh>
    <rPh sb="14" eb="16">
      <t>キョカ</t>
    </rPh>
    <phoneticPr fontId="4"/>
  </si>
  <si>
    <t>固定値[false]</t>
    <rPh sb="0" eb="3">
      <t>コテイチ</t>
    </rPh>
    <phoneticPr fontId="4"/>
  </si>
  <si>
    <t>固定値[false]</t>
    <phoneticPr fontId="4"/>
  </si>
  <si>
    <t>SalesRestrictionItemAreaDescription</t>
    <phoneticPr fontId="4"/>
  </si>
  <si>
    <t>販売制限商品区分レシート印字名称</t>
    <phoneticPr fontId="4"/>
  </si>
  <si>
    <t>採用された販売制限商品区分のレシート印字名称をセット</t>
    <rPh sb="18" eb="20">
      <t>インジ</t>
    </rPh>
    <rPh sb="20" eb="22">
      <t>メイショウ</t>
    </rPh>
    <phoneticPr fontId="16"/>
  </si>
  <si>
    <t>ApparelBarcode</t>
    <phoneticPr fontId="4"/>
  </si>
  <si>
    <t>衣料バーコード</t>
    <rPh sb="0" eb="2">
      <t>イリョウ</t>
    </rPh>
    <phoneticPr fontId="4"/>
  </si>
  <si>
    <t>固定値[&amp;lt;ApparelBarcode /&amp;gt;]</t>
    <rPh sb="0" eb="3">
      <t>コテイチ</t>
    </rPh>
    <phoneticPr fontId="4"/>
  </si>
  <si>
    <t>固定値[&amp;lt;ApparelBarcode /&amp;gt;]</t>
    <phoneticPr fontId="4"/>
  </si>
  <si>
    <t>IsSelfMedication</t>
    <phoneticPr fontId="4"/>
  </si>
  <si>
    <t>セルフメディケーションフラグ</t>
    <phoneticPr fontId="4"/>
  </si>
  <si>
    <t>True：セルフメディケーション対象
False：セルフメディケーション非対象</t>
    <rPh sb="16" eb="18">
      <t>タイショウ</t>
    </rPh>
    <rPh sb="36" eb="37">
      <t>ヒ</t>
    </rPh>
    <phoneticPr fontId="4"/>
  </si>
  <si>
    <t>IsUnitPriceForced</t>
    <phoneticPr fontId="4"/>
  </si>
  <si>
    <t>単価強制入力フラグ</t>
    <phoneticPr fontId="4"/>
  </si>
  <si>
    <t>True：単価強制入力なし
False：単価強制入力あり</t>
    <phoneticPr fontId="4"/>
  </si>
  <si>
    <t>UnitPriceForced</t>
    <phoneticPr fontId="4"/>
  </si>
  <si>
    <t>単価強制入力額</t>
    <rPh sb="0" eb="2">
      <t>タンカ</t>
    </rPh>
    <rPh sb="2" eb="4">
      <t>キョウセイ</t>
    </rPh>
    <rPh sb="4" eb="6">
      <t>ニュウリョク</t>
    </rPh>
    <rPh sb="6" eb="7">
      <t>ガク</t>
    </rPh>
    <phoneticPr fontId="4"/>
  </si>
  <si>
    <t xml:space="preserve">※税率変更前の価格
ゼロ、または単価強制入力時の価格を設定する。
※税率変更前の価格
</t>
    <phoneticPr fontId="4"/>
  </si>
  <si>
    <t>固定値[-1]</t>
    <rPh sb="0" eb="3">
      <t>コテイチ</t>
    </rPh>
    <phoneticPr fontId="4"/>
  </si>
  <si>
    <t>ManualEntryCount</t>
    <phoneticPr fontId="4"/>
  </si>
  <si>
    <t xml:space="preserve">手入力アイテム登録数
　スキャナデバイス以外による商品登録数
</t>
    <phoneticPr fontId="4"/>
  </si>
  <si>
    <t>⇒ 富士通としては空タグ</t>
    <phoneticPr fontId="4"/>
  </si>
  <si>
    <t>ScanEntryCount</t>
    <phoneticPr fontId="4"/>
  </si>
  <si>
    <t xml:space="preserve">スキャンアイテム登録数
　スキャナデバイスによる商品登録数
</t>
    <phoneticPr fontId="4"/>
  </si>
  <si>
    <t>⇒ 富士通としては商品数(※明細数ではない)</t>
    <rPh sb="9" eb="11">
      <t>ショウヒン</t>
    </rPh>
    <rPh sb="11" eb="12">
      <t>スウ</t>
    </rPh>
    <rPh sb="14" eb="16">
      <t>メイサイ</t>
    </rPh>
    <rPh sb="16" eb="17">
      <t>スウ</t>
    </rPh>
    <phoneticPr fontId="4"/>
  </si>
  <si>
    <t>ParentItemCode</t>
    <phoneticPr fontId="4"/>
  </si>
  <si>
    <t>親単品コード</t>
  </si>
  <si>
    <t>単品コードが紐づく親コード</t>
  </si>
  <si>
    <t>MyCompanyCode</t>
  </si>
  <si>
    <t>商品コード</t>
    <phoneticPr fontId="4"/>
  </si>
  <si>
    <t>単品コードを管理する商品コード</t>
  </si>
  <si>
    <t>IsSubTotalDiscountProhibition</t>
    <phoneticPr fontId="4"/>
  </si>
  <si>
    <t>小計値引禁止フラグ</t>
    <phoneticPr fontId="4"/>
  </si>
  <si>
    <t>1：小計値引対象外
0：小計値引対象
NULL：上位参照</t>
    <rPh sb="2" eb="4">
      <t>ショウケイ</t>
    </rPh>
    <rPh sb="4" eb="6">
      <t>ネビ</t>
    </rPh>
    <rPh sb="8" eb="9">
      <t>ソト</t>
    </rPh>
    <rPh sb="12" eb="14">
      <t>ショウケイ</t>
    </rPh>
    <rPh sb="14" eb="16">
      <t>ネビ</t>
    </rPh>
    <phoneticPr fontId="4"/>
  </si>
  <si>
    <t>部門の場合：固定値:[true]
部門以外の場合：固定値:[false]</t>
    <rPh sb="0" eb="2">
      <t>ブモン</t>
    </rPh>
    <rPh sb="3" eb="5">
      <t>バアイ</t>
    </rPh>
    <rPh sb="6" eb="9">
      <t>コテイチ</t>
    </rPh>
    <rPh sb="19" eb="21">
      <t>イガイ</t>
    </rPh>
    <phoneticPr fontId="4"/>
  </si>
  <si>
    <t>LargeClassCode</t>
    <phoneticPr fontId="4"/>
  </si>
  <si>
    <t>品郡コード</t>
    <rPh sb="0" eb="1">
      <t>ヒン</t>
    </rPh>
    <rPh sb="1" eb="2">
      <t>グン</t>
    </rPh>
    <phoneticPr fontId="4"/>
  </si>
  <si>
    <t>分類マスタの同項目値
※親分類コードから分類マスタの分類レベル＝2のレコードを特定</t>
    <phoneticPr fontId="4"/>
  </si>
  <si>
    <t>標準仕様準拠
BNRUICD2</t>
    <phoneticPr fontId="4"/>
  </si>
  <si>
    <t>LargeClassLevel</t>
    <phoneticPr fontId="4"/>
  </si>
  <si>
    <t>品郡レベル</t>
    <rPh sb="0" eb="1">
      <t>ヒン</t>
    </rPh>
    <rPh sb="1" eb="2">
      <t>グン</t>
    </rPh>
    <phoneticPr fontId="4"/>
  </si>
  <si>
    <t>2固定</t>
    <phoneticPr fontId="4"/>
  </si>
  <si>
    <t>標準仕様準拠
固定値[2]</t>
    <rPh sb="7" eb="10">
      <t>コテイチ</t>
    </rPh>
    <phoneticPr fontId="4"/>
  </si>
  <si>
    <t>MiddleClassCode</t>
    <phoneticPr fontId="4"/>
  </si>
  <si>
    <t>品種コード</t>
    <rPh sb="0" eb="2">
      <t>ヒンシュ</t>
    </rPh>
    <phoneticPr fontId="4"/>
  </si>
  <si>
    <t>分類マスタの同項目値
※親分類コードから分類マスタの分類レベル＝3のレコードを特定</t>
    <phoneticPr fontId="4"/>
  </si>
  <si>
    <t>標準仕様準拠
BNRUICD3</t>
    <phoneticPr fontId="4"/>
  </si>
  <si>
    <t>MiddleClassLevel</t>
    <phoneticPr fontId="4"/>
  </si>
  <si>
    <t>品種レベル</t>
    <rPh sb="0" eb="2">
      <t>ヒンシュ</t>
    </rPh>
    <phoneticPr fontId="4"/>
  </si>
  <si>
    <t>3固定</t>
    <phoneticPr fontId="4"/>
  </si>
  <si>
    <t>標準仕様準拠
固定値[3]</t>
    <rPh sb="7" eb="10">
      <t>コテイチ</t>
    </rPh>
    <phoneticPr fontId="4"/>
  </si>
  <si>
    <t>ScheduleNoForForcePrice</t>
    <phoneticPr fontId="4"/>
  </si>
  <si>
    <t>標準仕様準拠?</t>
    <rPh sb="0" eb="2">
      <t>ヒョウジュン</t>
    </rPh>
    <rPh sb="2" eb="4">
      <t>シヨウ</t>
    </rPh>
    <rPh sb="4" eb="6">
      <t>ジュンキョ</t>
    </rPh>
    <phoneticPr fontId="24"/>
  </si>
  <si>
    <r>
      <t xml:space="preserve">強制売価スケジュールコード
　強制売価採用時、《強制売価マスタ》の
　スケジュール番号を設定する。
</t>
    </r>
    <r>
      <rPr>
        <sz val="11"/>
        <color rgb="FFFF0000"/>
        <rFont val="ＭＳ Ｐゴシック"/>
        <family val="3"/>
        <charset val="128"/>
      </rPr>
      <t>⇒ 富士通としては空タグ</t>
    </r>
    <rPh sb="52" eb="55">
      <t>フジツウ</t>
    </rPh>
    <rPh sb="59" eb="60">
      <t>カラ</t>
    </rPh>
    <phoneticPr fontId="4"/>
  </si>
  <si>
    <t>PromotionCodeForForcePrice</t>
    <phoneticPr fontId="4"/>
  </si>
  <si>
    <r>
      <t xml:space="preserve">強制売価企画コード
　強制売価採用時、《強制売価マスタ》の
　販促コードを設定する。
</t>
    </r>
    <r>
      <rPr>
        <sz val="11"/>
        <color rgb="FFFF0000"/>
        <rFont val="ＭＳ Ｐゴシック"/>
        <family val="3"/>
        <charset val="128"/>
      </rPr>
      <t>⇒ 富士通としては空タグ</t>
    </r>
    <phoneticPr fontId="4"/>
  </si>
  <si>
    <t>UnitPriceForForcePrice</t>
    <phoneticPr fontId="4"/>
  </si>
  <si>
    <r>
      <t xml:space="preserve">強制価格
　強制売価採用時、強制売価値段を設定する。
　強制売価設定無しの場合、未設定。
　※税率変更前の価格
</t>
    </r>
    <r>
      <rPr>
        <sz val="11"/>
        <color rgb="FFFF0000"/>
        <rFont val="ＭＳ Ｐゴシック"/>
        <family val="3"/>
        <charset val="128"/>
      </rPr>
      <t>⇒ 富士通としては空タグ</t>
    </r>
    <phoneticPr fontId="4"/>
  </si>
  <si>
    <t>ScheduleNoForSpecialSale</t>
    <phoneticPr fontId="4"/>
  </si>
  <si>
    <r>
      <t xml:space="preserve">特売スケジュールコード
 特売情報のスケジュール番号を設定する
</t>
    </r>
    <r>
      <rPr>
        <sz val="11"/>
        <color rgb="FFFF0000"/>
        <rFont val="ＭＳ Ｐゴシック"/>
        <family val="3"/>
        <charset val="128"/>
      </rPr>
      <t>⇒ 富士通としては空タグ</t>
    </r>
    <phoneticPr fontId="4"/>
  </si>
  <si>
    <t>SpecialPriceTypeCode</t>
    <phoneticPr fontId="4"/>
  </si>
  <si>
    <r>
      <t xml:space="preserve">特売タイプコード
　特売タイプコードを設定する
　01：タイムサービス
　02：期間特売
</t>
    </r>
    <r>
      <rPr>
        <sz val="11"/>
        <color rgb="FFFF0000"/>
        <rFont val="ＭＳ Ｐゴシック"/>
        <family val="3"/>
        <charset val="128"/>
      </rPr>
      <t>⇒ 富士通としては空タグ</t>
    </r>
    <phoneticPr fontId="4"/>
  </si>
  <si>
    <t>DiscountMethodCodeForSpecialSale</t>
    <phoneticPr fontId="4"/>
  </si>
  <si>
    <t>特売の場合
①特売(売変)
　・"03"固定
②特売(割引)
　・"02"固定</t>
    <rPh sb="20" eb="22">
      <t>コテイ</t>
    </rPh>
    <rPh sb="37" eb="39">
      <t>コテイ</t>
    </rPh>
    <phoneticPr fontId="4"/>
  </si>
  <si>
    <r>
      <t xml:space="preserve">特売方法コード
　特売の方法を設定する
　01：値引　02：割引　03：金額指定、
　未設定：金額指定（特売価格設定有り時）
</t>
    </r>
    <r>
      <rPr>
        <sz val="11"/>
        <color rgb="FFFF0000"/>
        <rFont val="ＭＳ Ｐゴシック"/>
        <family val="3"/>
        <charset val="128"/>
      </rPr>
      <t>⇒ 富士通としては空タグ</t>
    </r>
    <phoneticPr fontId="4"/>
  </si>
  <si>
    <t>WaonScheduleNo</t>
    <phoneticPr fontId="4"/>
  </si>
  <si>
    <t>WAONスケジュール番号</t>
  </si>
  <si>
    <t>nvarchar</t>
  </si>
  <si>
    <t>適用した販促のスケジュール番号</t>
    <rPh sb="0" eb="2">
      <t>テキヨウ</t>
    </rPh>
    <rPh sb="4" eb="6">
      <t>ハンソク</t>
    </rPh>
    <rPh sb="13" eb="15">
      <t>バンゴウ</t>
    </rPh>
    <phoneticPr fontId="4"/>
  </si>
  <si>
    <t>適用した販促のスケジュール番号</t>
    <rPh sb="0" eb="2">
      <t>テキヨウ</t>
    </rPh>
    <rPh sb="4" eb="6">
      <t>ハンソク</t>
    </rPh>
    <rPh sb="13" eb="15">
      <t>バンゴウ</t>
    </rPh>
    <phoneticPr fontId="5"/>
  </si>
  <si>
    <t>WaonPromotionCode</t>
    <phoneticPr fontId="4"/>
  </si>
  <si>
    <t>WAON販促コード　</t>
  </si>
  <si>
    <t>適用した販促の販促コード</t>
    <rPh sb="0" eb="2">
      <t>テキヨウ</t>
    </rPh>
    <rPh sb="4" eb="6">
      <t>ハンソク</t>
    </rPh>
    <rPh sb="7" eb="9">
      <t>ハンソク</t>
    </rPh>
    <phoneticPr fontId="4"/>
  </si>
  <si>
    <t>適用した販促の販促コード</t>
    <rPh sb="0" eb="2">
      <t>テキヨウ</t>
    </rPh>
    <rPh sb="4" eb="6">
      <t>ハンソク</t>
    </rPh>
    <rPh sb="7" eb="9">
      <t>ハンソク</t>
    </rPh>
    <phoneticPr fontId="5"/>
  </si>
  <si>
    <t>WaonStartDate</t>
    <phoneticPr fontId="4"/>
  </si>
  <si>
    <t>WAON開始日付</t>
  </si>
  <si>
    <t>datetime2</t>
  </si>
  <si>
    <t>適用した販促の開始日付</t>
    <rPh sb="0" eb="2">
      <t>テキヨウ</t>
    </rPh>
    <rPh sb="4" eb="6">
      <t>ハンソク</t>
    </rPh>
    <rPh sb="7" eb="9">
      <t>カイシ</t>
    </rPh>
    <rPh sb="9" eb="11">
      <t>ヒヅケ</t>
    </rPh>
    <phoneticPr fontId="4"/>
  </si>
  <si>
    <t>適用した販促の開始日付</t>
    <rPh sb="0" eb="2">
      <t>テキヨウ</t>
    </rPh>
    <rPh sb="4" eb="6">
      <t>ハンソク</t>
    </rPh>
    <rPh sb="7" eb="9">
      <t>カイシ</t>
    </rPh>
    <rPh sb="9" eb="11">
      <t>ヒヅケ</t>
    </rPh>
    <phoneticPr fontId="5"/>
  </si>
  <si>
    <t>WaonEndDate</t>
    <phoneticPr fontId="4"/>
  </si>
  <si>
    <t>WAON終了日付</t>
  </si>
  <si>
    <t>適用した販促の終了日付</t>
    <rPh sb="0" eb="2">
      <t>テキヨウ</t>
    </rPh>
    <rPh sb="4" eb="6">
      <t>ハンソク</t>
    </rPh>
    <rPh sb="7" eb="9">
      <t>シュウリョウ</t>
    </rPh>
    <rPh sb="9" eb="11">
      <t>ヒヅケ</t>
    </rPh>
    <phoneticPr fontId="4"/>
  </si>
  <si>
    <t>適用した販促の終了日付</t>
    <rPh sb="0" eb="2">
      <t>テキヨウ</t>
    </rPh>
    <rPh sb="4" eb="6">
      <t>ハンソク</t>
    </rPh>
    <rPh sb="7" eb="9">
      <t>シュウリョウ</t>
    </rPh>
    <rPh sb="9" eb="11">
      <t>ヒヅケ</t>
    </rPh>
    <phoneticPr fontId="5"/>
  </si>
  <si>
    <t>WaonTypeCode</t>
    <phoneticPr fontId="4"/>
  </si>
  <si>
    <t>WAON種別コード</t>
  </si>
  <si>
    <t>10：倍付(未使用)、20：加算</t>
  </si>
  <si>
    <t>WaonSettingValue</t>
    <phoneticPr fontId="4"/>
  </si>
  <si>
    <t>WAON設定値</t>
  </si>
  <si>
    <t>int</t>
  </si>
  <si>
    <t>WAON種別コード=20の場合
　　１個当たりの加算ポイント数</t>
    <rPh sb="13" eb="15">
      <t>バアイ</t>
    </rPh>
    <rPh sb="19" eb="20">
      <t>コ</t>
    </rPh>
    <rPh sb="20" eb="21">
      <t>ア</t>
    </rPh>
    <rPh sb="24" eb="26">
      <t>カサン</t>
    </rPh>
    <rPh sb="30" eb="31">
      <t>スウ</t>
    </rPh>
    <phoneticPr fontId="3"/>
  </si>
  <si>
    <t>WaonAddPoint</t>
    <phoneticPr fontId="4"/>
  </si>
  <si>
    <t>WAON加算ポイント</t>
    <rPh sb="4" eb="6">
      <t>カサン</t>
    </rPh>
    <phoneticPr fontId="3"/>
  </si>
  <si>
    <t>WAON種別コード=20の場合
　　該当商品への加算ポイント合計数</t>
    <rPh sb="13" eb="15">
      <t>バアイ</t>
    </rPh>
    <rPh sb="18" eb="20">
      <t>ガイトウ</t>
    </rPh>
    <rPh sb="20" eb="22">
      <t>ショウヒン</t>
    </rPh>
    <rPh sb="24" eb="26">
      <t>カサン</t>
    </rPh>
    <rPh sb="30" eb="33">
      <t>ゴウケイスウ</t>
    </rPh>
    <phoneticPr fontId="3"/>
  </si>
  <si>
    <t>UnitPriceForTaxRateSwitch</t>
    <phoneticPr fontId="4"/>
  </si>
  <si>
    <t>税率変更売価</t>
    <rPh sb="0" eb="2">
      <t>ゼイリツ</t>
    </rPh>
    <rPh sb="2" eb="4">
      <t>ヘンコウ</t>
    </rPh>
    <rPh sb="4" eb="6">
      <t>バイカ</t>
    </rPh>
    <phoneticPr fontId="5"/>
  </si>
  <si>
    <t>税率変更を行なった場合、税率変更後売価
上記以外は-1</t>
    <rPh sb="0" eb="2">
      <t>ゼイリツ</t>
    </rPh>
    <rPh sb="2" eb="4">
      <t>ヘンコウ</t>
    </rPh>
    <rPh sb="5" eb="6">
      <t>オコ</t>
    </rPh>
    <rPh sb="9" eb="11">
      <t>バアイ</t>
    </rPh>
    <rPh sb="12" eb="14">
      <t>ゼイリツ</t>
    </rPh>
    <rPh sb="14" eb="16">
      <t>ヘンコウ</t>
    </rPh>
    <rPh sb="16" eb="17">
      <t>ゴ</t>
    </rPh>
    <rPh sb="17" eb="19">
      <t>バイカ</t>
    </rPh>
    <rPh sb="20" eb="22">
      <t>ジョウキ</t>
    </rPh>
    <rPh sb="22" eb="24">
      <t>イガイ</t>
    </rPh>
    <phoneticPr fontId="5"/>
  </si>
  <si>
    <t>IsTaxRateSwitch</t>
    <phoneticPr fontId="4"/>
  </si>
  <si>
    <t>税率変更フラグ</t>
    <rPh sb="0" eb="2">
      <t>ゼイリツ</t>
    </rPh>
    <rPh sb="2" eb="4">
      <t>ヘンコウ</t>
    </rPh>
    <phoneticPr fontId="5"/>
  </si>
  <si>
    <t>True:税率変更あり
False:税率変更なし</t>
    <rPh sb="5" eb="7">
      <t>ゼイリツ</t>
    </rPh>
    <rPh sb="7" eb="9">
      <t>ヘンコウ</t>
    </rPh>
    <rPh sb="18" eb="20">
      <t>ゼイリツ</t>
    </rPh>
    <rPh sb="20" eb="22">
      <t>ヘンコウ</t>
    </rPh>
    <phoneticPr fontId="5"/>
  </si>
  <si>
    <t>イートインの場合：固定値[true]
税率未変更の場合：固定値[false]</t>
    <rPh sb="6" eb="8">
      <t>バアイ</t>
    </rPh>
    <rPh sb="9" eb="12">
      <t>コテイチ</t>
    </rPh>
    <rPh sb="19" eb="21">
      <t>ゼイリツ</t>
    </rPh>
    <rPh sb="21" eb="22">
      <t>ミ</t>
    </rPh>
    <rPh sb="22" eb="24">
      <t>ヘンコウ</t>
    </rPh>
    <rPh sb="25" eb="27">
      <t>バアイ</t>
    </rPh>
    <phoneticPr fontId="4"/>
  </si>
  <si>
    <t>BeforeSwitchTaxGroupCode</t>
  </si>
  <si>
    <t>変更前税グループコード</t>
    <rPh sb="0" eb="2">
      <t>ヘンコウ</t>
    </rPh>
    <rPh sb="2" eb="3">
      <t>マエ</t>
    </rPh>
    <rPh sb="3" eb="4">
      <t>ゼイ</t>
    </rPh>
    <phoneticPr fontId="5"/>
  </si>
  <si>
    <t>イートインの場合：変更前税コード
税率未変更の場合：既存の税コード</t>
    <rPh sb="6" eb="8">
      <t>バアイ</t>
    </rPh>
    <rPh sb="9" eb="11">
      <t>ヘンコウ</t>
    </rPh>
    <rPh sb="11" eb="12">
      <t>マエ</t>
    </rPh>
    <rPh sb="12" eb="13">
      <t>ゼイ</t>
    </rPh>
    <rPh sb="17" eb="19">
      <t>ゼイリツ</t>
    </rPh>
    <rPh sb="19" eb="20">
      <t>ミ</t>
    </rPh>
    <rPh sb="20" eb="22">
      <t>ヘンコウ</t>
    </rPh>
    <rPh sb="23" eb="25">
      <t>バアイ</t>
    </rPh>
    <rPh sb="26" eb="28">
      <t>キゾン</t>
    </rPh>
    <rPh sb="29" eb="30">
      <t>ゼイ</t>
    </rPh>
    <phoneticPr fontId="4"/>
  </si>
  <si>
    <t>OverRideForTaxRateSwitch</t>
    <phoneticPr fontId="4"/>
  </si>
  <si>
    <t>税率変更後売価変更額</t>
    <rPh sb="0" eb="2">
      <t>ゼイリツ</t>
    </rPh>
    <rPh sb="2" eb="4">
      <t>ヘンコウ</t>
    </rPh>
    <rPh sb="4" eb="5">
      <t>ゴ</t>
    </rPh>
    <phoneticPr fontId="5"/>
  </si>
  <si>
    <t>売価変更を行なった商品に税率変更を行なった場合のみ設定
上記以外は-1</t>
    <rPh sb="0" eb="2">
      <t>バイカ</t>
    </rPh>
    <rPh sb="2" eb="4">
      <t>ヘンコウ</t>
    </rPh>
    <rPh sb="5" eb="6">
      <t>オコ</t>
    </rPh>
    <rPh sb="9" eb="11">
      <t>ショウヒン</t>
    </rPh>
    <rPh sb="12" eb="14">
      <t>ゼイリツ</t>
    </rPh>
    <rPh sb="14" eb="16">
      <t>ヘンコウ</t>
    </rPh>
    <rPh sb="17" eb="18">
      <t>オコ</t>
    </rPh>
    <rPh sb="21" eb="23">
      <t>バアイ</t>
    </rPh>
    <rPh sb="25" eb="27">
      <t>セッテイ</t>
    </rPh>
    <rPh sb="28" eb="30">
      <t>ジョウキ</t>
    </rPh>
    <rPh sb="30" eb="32">
      <t>イガイ</t>
    </rPh>
    <phoneticPr fontId="5"/>
  </si>
  <si>
    <t>固定値 [-1]</t>
    <rPh sb="0" eb="3">
      <t>コテイチ</t>
    </rPh>
    <phoneticPr fontId="4"/>
  </si>
  <si>
    <t>SpecialSaleForTaxRateSwitch</t>
  </si>
  <si>
    <t>税率変更後特売価格</t>
    <rPh sb="5" eb="7">
      <t>トクバイ</t>
    </rPh>
    <rPh sb="7" eb="9">
      <t>カカク</t>
    </rPh>
    <phoneticPr fontId="5"/>
  </si>
  <si>
    <t>特売を適用した商品に税率変更を行なった場合のみ設定
上記以外は-1</t>
    <rPh sb="0" eb="2">
      <t>トクバイ</t>
    </rPh>
    <rPh sb="3" eb="5">
      <t>テキヨウ</t>
    </rPh>
    <rPh sb="7" eb="9">
      <t>ショウヒン</t>
    </rPh>
    <rPh sb="10" eb="12">
      <t>ゼイリツ</t>
    </rPh>
    <rPh sb="12" eb="14">
      <t>ヘンコウ</t>
    </rPh>
    <rPh sb="15" eb="16">
      <t>オコ</t>
    </rPh>
    <rPh sb="19" eb="21">
      <t>バアイ</t>
    </rPh>
    <rPh sb="23" eb="25">
      <t>セッテイ</t>
    </rPh>
    <rPh sb="26" eb="28">
      <t>ジョウキ</t>
    </rPh>
    <rPh sb="28" eb="30">
      <t>イガイ</t>
    </rPh>
    <phoneticPr fontId="5"/>
  </si>
  <si>
    <t>ForcePriceForTaxRateSwitch</t>
  </si>
  <si>
    <t>税率変更後強制売価</t>
    <rPh sb="0" eb="2">
      <t>ゼイリツ</t>
    </rPh>
    <rPh sb="2" eb="4">
      <t>ヘンコウ</t>
    </rPh>
    <rPh sb="4" eb="5">
      <t>ゴ</t>
    </rPh>
    <rPh sb="5" eb="7">
      <t>キョウセイ</t>
    </rPh>
    <rPh sb="7" eb="9">
      <t>バイカ</t>
    </rPh>
    <phoneticPr fontId="5"/>
  </si>
  <si>
    <t>強制売価を適用した商品に税率変更を行なった場合のみ設定
上記以外は-1</t>
    <rPh sb="0" eb="2">
      <t>キョウセイ</t>
    </rPh>
    <rPh sb="2" eb="4">
      <t>バイカ</t>
    </rPh>
    <rPh sb="5" eb="7">
      <t>テキヨウ</t>
    </rPh>
    <rPh sb="9" eb="11">
      <t>ショウヒン</t>
    </rPh>
    <rPh sb="12" eb="14">
      <t>ゼイリツ</t>
    </rPh>
    <rPh sb="14" eb="16">
      <t>ヘンコウ</t>
    </rPh>
    <rPh sb="17" eb="18">
      <t>オコ</t>
    </rPh>
    <rPh sb="21" eb="23">
      <t>バアイ</t>
    </rPh>
    <rPh sb="25" eb="27">
      <t>セッテイ</t>
    </rPh>
    <rPh sb="28" eb="30">
      <t>ジョウキ</t>
    </rPh>
    <rPh sb="30" eb="32">
      <t>イガイ</t>
    </rPh>
    <phoneticPr fontId="5"/>
  </si>
  <si>
    <t>UnitPriceForcedForTaxRateSwitch</t>
    <phoneticPr fontId="4"/>
  </si>
  <si>
    <t>税率変更後単価強制入力額</t>
    <rPh sb="0" eb="2">
      <t>ゼイリツ</t>
    </rPh>
    <rPh sb="2" eb="4">
      <t>ヘンコウ</t>
    </rPh>
    <rPh sb="4" eb="5">
      <t>ゴ</t>
    </rPh>
    <phoneticPr fontId="5"/>
  </si>
  <si>
    <t>単価強制入力商品に税率変更を行なった場合のみ設定
上記外は-1</t>
    <rPh sb="0" eb="2">
      <t>タンカ</t>
    </rPh>
    <rPh sb="2" eb="4">
      <t>キョウセイ</t>
    </rPh>
    <rPh sb="4" eb="6">
      <t>ニュウリョク</t>
    </rPh>
    <rPh sb="6" eb="8">
      <t>ショウヒン</t>
    </rPh>
    <rPh sb="9" eb="11">
      <t>ゼイリツ</t>
    </rPh>
    <rPh sb="11" eb="13">
      <t>ヘンコウ</t>
    </rPh>
    <rPh sb="14" eb="15">
      <t>オコ</t>
    </rPh>
    <rPh sb="18" eb="20">
      <t>バアイ</t>
    </rPh>
    <rPh sb="22" eb="24">
      <t>セッテイ</t>
    </rPh>
    <rPh sb="25" eb="27">
      <t>ジョウキ</t>
    </rPh>
    <rPh sb="27" eb="28">
      <t>ガイ</t>
    </rPh>
    <phoneticPr fontId="5"/>
  </si>
  <si>
    <t>PurchaseForTaxRateBeforeSwitch</t>
    <phoneticPr fontId="4"/>
  </si>
  <si>
    <t>税率変更前採用単価</t>
    <rPh sb="0" eb="2">
      <t>ゼイリツ</t>
    </rPh>
    <rPh sb="2" eb="4">
      <t>ヘンコウ</t>
    </rPh>
    <rPh sb="4" eb="5">
      <t>マエ</t>
    </rPh>
    <rPh sb="5" eb="7">
      <t>サイヨウ</t>
    </rPh>
    <rPh sb="7" eb="9">
      <t>タンカ</t>
    </rPh>
    <phoneticPr fontId="5"/>
  </si>
  <si>
    <t>税率変更を行なった場合、税率変更前の「販売のため採用された売単価」を設定、
上記以外は-1</t>
    <rPh sb="0" eb="2">
      <t>ゼイリツ</t>
    </rPh>
    <rPh sb="2" eb="4">
      <t>ヘンコウ</t>
    </rPh>
    <rPh sb="5" eb="6">
      <t>オコ</t>
    </rPh>
    <rPh sb="9" eb="11">
      <t>バアイ</t>
    </rPh>
    <rPh sb="12" eb="14">
      <t>ゼイリツ</t>
    </rPh>
    <rPh sb="14" eb="16">
      <t>ヘンコウ</t>
    </rPh>
    <rPh sb="16" eb="17">
      <t>マエ</t>
    </rPh>
    <rPh sb="34" eb="36">
      <t>セッテイ</t>
    </rPh>
    <rPh sb="38" eb="40">
      <t>ジョウキ</t>
    </rPh>
    <rPh sb="40" eb="42">
      <t>イガイ</t>
    </rPh>
    <phoneticPr fontId="5"/>
  </si>
  <si>
    <t>ScanData</t>
    <phoneticPr fontId="4"/>
  </si>
  <si>
    <t>スキャンデータ</t>
    <phoneticPr fontId="4"/>
  </si>
  <si>
    <t>スキャンコードを出力</t>
    <rPh sb="8" eb="10">
      <t>シュツリョク</t>
    </rPh>
    <phoneticPr fontId="4"/>
  </si>
  <si>
    <t xml:space="preserve">スキャンコードを出力
24桁の場合のみ出力。
それ以外は、ALLZERO 24桁
</t>
    <rPh sb="8" eb="10">
      <t>シュツリョク</t>
    </rPh>
    <rPh sb="13" eb="14">
      <t>ケタ</t>
    </rPh>
    <rPh sb="15" eb="17">
      <t>バアイ</t>
    </rPh>
    <rPh sb="19" eb="21">
      <t>シュツリョク</t>
    </rPh>
    <rPh sb="25" eb="27">
      <t>イガイ</t>
    </rPh>
    <rPh sb="39" eb="40">
      <t>ケタ</t>
    </rPh>
    <phoneticPr fontId="4"/>
  </si>
  <si>
    <t xml:space="preserve">  &amp;lt;/LineItem&amp;gt;</t>
  </si>
  <si>
    <t xml:space="preserve">  &amp;lt;LineItem&amp;gt;</t>
  </si>
  <si>
    <t xml:space="preserve">    &amp;lt;TransactionNo&amp;gt;24281&amp;lt;/TransactionNo&amp;gt;</t>
  </si>
  <si>
    <t xml:space="preserve">    &amp;lt;LineItemNo&amp;gt;2&amp;lt;/LineItemNo&amp;gt;</t>
  </si>
  <si>
    <t xml:space="preserve">    &amp;lt;EntryType&amp;gt;01&amp;lt;/EntryType&amp;gt;</t>
  </si>
  <si>
    <t xml:space="preserve">    &amp;lt;SKUCode&amp;gt;0000000636018&amp;lt;/SKUCode&amp;gt;</t>
  </si>
  <si>
    <t xml:space="preserve">    &amp;lt;ItemCode&amp;gt;0000000636018&amp;lt;/ItemCode&amp;gt;</t>
  </si>
  <si>
    <t xml:space="preserve">    &amp;lt;ParentCode&amp;gt;30404&amp;lt;/ParentCode&amp;gt;</t>
  </si>
  <si>
    <t xml:space="preserve">    &amp;lt;ParentLevel&amp;gt;4&amp;lt;/ParentLevel&amp;gt;</t>
  </si>
  <si>
    <t xml:space="preserve">    &amp;lt;DepartmentCode&amp;gt;30&amp;lt;/DepartmentCode&amp;gt;</t>
  </si>
  <si>
    <t xml:space="preserve">    &amp;lt;DepartmentLevel&amp;gt;1&amp;lt;/DepartmentLevel&amp;gt;</t>
  </si>
  <si>
    <t xml:space="preserve">    &amp;lt;Description&amp;gt;菓子パン　　　　　　　&amp;lt;/Description&amp;gt;</t>
  </si>
  <si>
    <t xml:space="preserve">    &amp;lt;DescriptionShort /&amp;gt;</t>
  </si>
  <si>
    <t xml:space="preserve">    &amp;lt;DescriptionLong&amp;gt;菓子パン　　　　　　　&amp;lt;/DescriptionLong&amp;gt;</t>
  </si>
  <si>
    <t xml:space="preserve">    &amp;lt;UnitPriceNormal&amp;gt;0.0000&amp;lt;/UnitPriceNormal&amp;gt;</t>
  </si>
  <si>
    <t xml:space="preserve">    &amp;lt;UnitPriceOverrided&amp;gt;0&amp;lt;/UnitPriceOverrided&amp;gt;</t>
  </si>
  <si>
    <t xml:space="preserve">    &amp;lt;UnitPriceForSpecialSale&amp;gt;0&amp;lt;/UnitPriceForSpecialSale&amp;gt;</t>
  </si>
  <si>
    <t xml:space="preserve">    &amp;lt;UnitPriceForPurchase&amp;gt;100&amp;lt;/UnitPriceForPurchase&amp;gt;</t>
  </si>
  <si>
    <t xml:space="preserve">    &amp;lt;CostPrice&amp;gt;0.0000&amp;lt;/CostPrice&amp;gt;</t>
  </si>
  <si>
    <t xml:space="preserve">    &amp;lt;Quantity&amp;gt;3&amp;lt;/Quantity&amp;gt;</t>
  </si>
  <si>
    <t xml:space="preserve">    &amp;lt;DiscountTotal&amp;gt;0&amp;lt;/DiscountTotal&amp;gt;</t>
  </si>
  <si>
    <t xml:space="preserve">    &amp;lt;DiscountDivided&amp;gt;0&amp;lt;/DiscountDivided&amp;gt;</t>
  </si>
  <si>
    <t xml:space="preserve">    &amp;lt;TaxDivided&amp;gt;24&amp;lt;/TaxDivided&amp;gt;</t>
  </si>
  <si>
    <t xml:space="preserve">    &amp;lt;DescriptionForSpecialSale /&amp;gt;</t>
  </si>
  <si>
    <t xml:space="preserve">    &amp;lt;DifferenceForSpecialSale&amp;gt;0&amp;lt;/DifferenceForSpecialSale&amp;gt;</t>
  </si>
  <si>
    <t xml:space="preserve">    &amp;lt;PromotionCodeForSpecialSale /&amp;gt;</t>
  </si>
  <si>
    <t xml:space="preserve">    &amp;lt;CostPriceSpecialSale&amp;gt;0&amp;lt;/CostPriceSpecialSale&amp;gt;</t>
  </si>
  <si>
    <t xml:space="preserve">    &amp;lt;Amount&amp;gt;300&amp;lt;/Amount&amp;gt;</t>
  </si>
  <si>
    <t xml:space="preserve">    &amp;lt;PriceType&amp;gt;04&amp;lt;/PriceType&amp;gt;</t>
  </si>
  <si>
    <t xml:space="preserve">    &amp;lt;TaxGroupCode&amp;gt;01&amp;lt;/TaxGroupCode&amp;gt;</t>
  </si>
  <si>
    <t xml:space="preserve">    &amp;lt;IsTaxExempted&amp;gt;false&amp;lt;/IsTaxExempted&amp;gt;</t>
  </si>
  <si>
    <t xml:space="preserve">    &amp;lt;IsCanceled&amp;gt;false&amp;lt;/IsCanceled&amp;gt;</t>
  </si>
  <si>
    <t xml:space="preserve">    &amp;lt;DepartmentTypeCode&amp;gt;00&amp;lt;/DepartmentTypeCode&amp;gt;</t>
  </si>
  <si>
    <t xml:space="preserve">    &amp;lt;PriorityType&amp;gt;0&amp;lt;/PriorityType&amp;gt;</t>
  </si>
  <si>
    <t xml:space="preserve">    &amp;lt;CostRate&amp;gt;0&amp;lt;/CostRate&amp;gt;</t>
  </si>
  <si>
    <t xml:space="preserve">    &amp;lt;GrossMargin&amp;gt;300.0000&amp;lt;/GrossMargin&amp;gt;</t>
  </si>
  <si>
    <t xml:space="preserve">    &amp;lt;TaxDividedBefore&amp;gt;0&amp;lt;/TaxDividedBefore&amp;gt;</t>
  </si>
  <si>
    <t xml:space="preserve">    &amp;lt;IsWarrantyPaste&amp;gt;false&amp;lt;/IsWarrantyPaste&amp;gt;</t>
  </si>
  <si>
    <t xml:space="preserve">    &amp;lt;BookBarcode /&amp;gt;</t>
  </si>
  <si>
    <t xml:space="preserve">    &amp;lt;CombinationCode /&amp;gt;</t>
  </si>
  <si>
    <t xml:space="preserve">    &amp;lt;IsPOSA&amp;gt;false&amp;lt;/IsPOSA&amp;gt;</t>
  </si>
  <si>
    <t xml:space="preserve">    &amp;lt;TaxFreeType&amp;gt;1&amp;lt;/TaxFreeType&amp;gt;</t>
  </si>
  <si>
    <t xml:space="preserve">    &amp;lt;IsExclude&amp;gt;false&amp;lt;/IsExclude&amp;gt;</t>
  </si>
  <si>
    <t xml:space="preserve">    &amp;lt;TaxType&amp;gt;01&amp;lt;/TaxType&amp;gt;</t>
  </si>
  <si>
    <t xml:space="preserve">    &amp;lt;TaxRate&amp;gt;8.00&amp;lt;/TaxRate&amp;gt;</t>
  </si>
  <si>
    <t xml:space="preserve">    &amp;lt;ClassCode&amp;gt;30404&amp;lt;/ClassCode&amp;gt;</t>
  </si>
  <si>
    <t xml:space="preserve">    &amp;lt;ClassLevel&amp;gt;4&amp;lt;/ClassLevel&amp;gt;</t>
  </si>
  <si>
    <t xml:space="preserve">    &amp;lt;SalesRestrictionItemArea&amp;gt;1&amp;lt;/SalesRestrictionItemArea&amp;gt;</t>
  </si>
  <si>
    <t xml:space="preserve">    &amp;lt;IsPointProhibition&amp;gt;false&amp;lt;/IsPointProhibition&amp;gt;</t>
  </si>
  <si>
    <t xml:space="preserve">    &amp;lt;ApparelBarcode /&amp;gt;</t>
  </si>
  <si>
    <t xml:space="preserve">    &amp;lt;IsSelfMedication&amp;gt;false&amp;lt;/IsSelfMedication&amp;gt;</t>
  </si>
  <si>
    <t xml:space="preserve">    &amp;lt;IsUnitPriceForced&amp;gt;true&amp;lt;/IsUnitPriceForced&amp;gt;</t>
  </si>
  <si>
    <t xml:space="preserve">    &amp;lt;UnitPriceForced&amp;gt;100&amp;lt;/UnitPriceForced&amp;gt;</t>
  </si>
  <si>
    <t xml:space="preserve">    &amp;lt;ManualEntryCount&amp;gt;1&amp;lt;/ManualEntryCount&amp;gt;</t>
  </si>
  <si>
    <t xml:space="preserve">    &amp;lt;ScanEntryCount&amp;gt;0&amp;lt;/ScanEntryCount&amp;gt;</t>
  </si>
  <si>
    <t xml:space="preserve">    &amp;lt;ParentItemCode&amp;gt;0000000636018&amp;lt;/ParentItemCode&amp;gt;</t>
  </si>
  <si>
    <t xml:space="preserve">    &amp;lt;MyCompanyCode&amp;gt;0000030106836&amp;lt;/MyCompanyCode&amp;gt;</t>
  </si>
  <si>
    <t xml:space="preserve">    &amp;lt;IsSubTotalDiscountProhibition&amp;gt;false&amp;lt;/IsSubTotalDiscountProhibition&amp;gt;</t>
  </si>
  <si>
    <t xml:space="preserve">    &amp;lt;LargeClassCode&amp;gt;30013&amp;lt;/LargeClassCode&amp;gt;</t>
  </si>
  <si>
    <t xml:space="preserve">    &amp;lt;LargeClassLevel&amp;gt;2&amp;lt;/LargeClassLevel&amp;gt;</t>
  </si>
  <si>
    <t xml:space="preserve">    &amp;lt;MiddleClassCode&amp;gt;30400&amp;lt;/MiddleClassCode&amp;gt;</t>
  </si>
  <si>
    <t xml:space="preserve">    &amp;lt;MiddleClassLevel&amp;gt;3&amp;lt;/MiddleClassLevel&amp;gt;</t>
  </si>
  <si>
    <t>LineItemSurcharge</t>
    <phoneticPr fontId="4"/>
  </si>
  <si>
    <t>取引通番</t>
    <rPh sb="0" eb="2">
      <t>トリヒキ</t>
    </rPh>
    <rPh sb="2" eb="3">
      <t>トオル</t>
    </rPh>
    <rPh sb="3" eb="4">
      <t>バン</t>
    </rPh>
    <phoneticPr fontId="24"/>
  </si>
  <si>
    <t>行番号
　1取引内の明細行番号</t>
    <phoneticPr fontId="24"/>
  </si>
  <si>
    <t>SurchargeTypeCode</t>
    <phoneticPr fontId="24"/>
  </si>
  <si>
    <t>値増タイプコード</t>
    <phoneticPr fontId="24"/>
  </si>
  <si>
    <t>　1：マニュアル単品
　7：マークダウン</t>
  </si>
  <si>
    <t>固定値 [7]</t>
    <rPh sb="0" eb="2">
      <t>コテイ</t>
    </rPh>
    <rPh sb="2" eb="3">
      <t>アタイ</t>
    </rPh>
    <phoneticPr fontId="24"/>
  </si>
  <si>
    <t>SurchargeCode</t>
    <phoneticPr fontId="24"/>
  </si>
  <si>
    <t>値増コード</t>
    <phoneticPr fontId="24"/>
  </si>
  <si>
    <t>　値引バーコード
　　6：マークダウン価格指定　
　マニュアル
　　06：マニュアル売価変更</t>
    <phoneticPr fontId="24"/>
  </si>
  <si>
    <t>固定値 [6]</t>
    <rPh sb="0" eb="2">
      <t>コテイ</t>
    </rPh>
    <rPh sb="2" eb="3">
      <t>アタイ</t>
    </rPh>
    <phoneticPr fontId="24"/>
  </si>
  <si>
    <t>PromotionCode</t>
    <phoneticPr fontId="24"/>
  </si>
  <si>
    <t>企画コード</t>
    <phoneticPr fontId="24"/>
  </si>
  <si>
    <t>値引バーコード
　　000008：マークダウン
　マニュアル：
　　000010：マニュアル売価変更</t>
    <phoneticPr fontId="24"/>
  </si>
  <si>
    <t>固定値[000008]</t>
    <rPh sb="0" eb="3">
      <t>コテイチ</t>
    </rPh>
    <phoneticPr fontId="24"/>
  </si>
  <si>
    <t>MethodCode</t>
    <phoneticPr fontId="24"/>
  </si>
  <si>
    <t>値増方法コード</t>
    <phoneticPr fontId="24"/>
  </si>
  <si>
    <t>　01：値増
　02：割増
　03：金額指定</t>
    <phoneticPr fontId="24"/>
  </si>
  <si>
    <t>固定値 [03]</t>
    <phoneticPr fontId="24"/>
  </si>
  <si>
    <t>SurchargeValue</t>
  </si>
  <si>
    <t>値増指定金額</t>
    <phoneticPr fontId="24"/>
  </si>
  <si>
    <t>値増時は値増金額
割引時は割引率
売価変更かつマークダウン時は指定売価
売価変更かつマニュアル売価変更時は値増金額</t>
    <phoneticPr fontId="24"/>
  </si>
  <si>
    <t>値増後の金額</t>
    <rPh sb="0" eb="2">
      <t>ネマ</t>
    </rPh>
    <rPh sb="2" eb="3">
      <t>ゴ</t>
    </rPh>
    <rPh sb="4" eb="6">
      <t>キンガク</t>
    </rPh>
    <phoneticPr fontId="24"/>
  </si>
  <si>
    <t>TotalAmount</t>
    <phoneticPr fontId="24"/>
  </si>
  <si>
    <t>金額</t>
    <phoneticPr fontId="24"/>
  </si>
  <si>
    <t>特売の場合：特売価格との差額
特売以外の場合：標準価格との差額</t>
    <rPh sb="0" eb="2">
      <t>トクバイ</t>
    </rPh>
    <rPh sb="3" eb="5">
      <t>バアイ</t>
    </rPh>
    <rPh sb="6" eb="8">
      <t>トクバイ</t>
    </rPh>
    <rPh sb="8" eb="10">
      <t>カカク</t>
    </rPh>
    <rPh sb="12" eb="14">
      <t>サガク</t>
    </rPh>
    <rPh sb="15" eb="17">
      <t>トクバイ</t>
    </rPh>
    <rPh sb="17" eb="19">
      <t>イガイ</t>
    </rPh>
    <rPh sb="20" eb="22">
      <t>バアイ</t>
    </rPh>
    <rPh sb="23" eb="25">
      <t>ヒョウジュン</t>
    </rPh>
    <rPh sb="25" eb="27">
      <t>カカク</t>
    </rPh>
    <rPh sb="29" eb="31">
      <t>サガク</t>
    </rPh>
    <phoneticPr fontId="24"/>
  </si>
  <si>
    <t>単品値増額（計）</t>
    <phoneticPr fontId="24"/>
  </si>
  <si>
    <t>TargetQuantity</t>
    <phoneticPr fontId="24"/>
  </si>
  <si>
    <t>対象個数</t>
    <phoneticPr fontId="24"/>
  </si>
  <si>
    <t>数量</t>
    <rPh sb="0" eb="2">
      <t>スウリョウ</t>
    </rPh>
    <phoneticPr fontId="24"/>
  </si>
  <si>
    <t>Description</t>
    <phoneticPr fontId="24"/>
  </si>
  <si>
    <t>値増名称</t>
    <phoneticPr fontId="24"/>
  </si>
  <si>
    <t>　値引バーコード
　　販促マスタの説明を設定
　マニュアル
　　マニュアル値引マスタの説明を設定</t>
    <phoneticPr fontId="24"/>
  </si>
  <si>
    <t>固定値 [ジャスト]</t>
    <phoneticPr fontId="24"/>
  </si>
  <si>
    <t>LongDescription</t>
    <phoneticPr fontId="24"/>
  </si>
  <si>
    <t>値増名称詳細</t>
    <phoneticPr fontId="24"/>
  </si>
  <si>
    <t>固定値 [Mﾀﾞｳﾝ（値増）価格]</t>
    <rPh sb="0" eb="3">
      <t>コテイチ</t>
    </rPh>
    <phoneticPr fontId="24"/>
  </si>
  <si>
    <t>DiscountTypeCodeに紐付く名称 + 値引種別名称を設定
DiscountTypeCode=1:単品
DiscountTypeCode=7:Mﾀﾞｳﾝ
DiscountTypeCode=8:ＭＭ
値引種別名称:「値引」「割引」「価格」
のうち適用された値引方法の名称</t>
    <phoneticPr fontId="24"/>
  </si>
  <si>
    <t>LineItemDiscount</t>
    <phoneticPr fontId="4"/>
  </si>
  <si>
    <t>1取引内の明細行番号</t>
    <rPh sb="1" eb="3">
      <t>トリヒキ</t>
    </rPh>
    <rPh sb="3" eb="4">
      <t>ウチ</t>
    </rPh>
    <rPh sb="5" eb="7">
      <t>メイサイ</t>
    </rPh>
    <rPh sb="7" eb="8">
      <t>ギョウ</t>
    </rPh>
    <rPh sb="8" eb="10">
      <t>バンゴウ</t>
    </rPh>
    <phoneticPr fontId="8"/>
  </si>
  <si>
    <t>DiscountTypeCode</t>
  </si>
  <si>
    <t>値下タイプコード</t>
    <phoneticPr fontId="4"/>
  </si>
  <si>
    <r>
      <t xml:space="preserve">値引きバーコード（売価変更）の場合：固定値[7]
分類値引の場合：固定値[11]
分類割引の場合：固定値[11]
値引きバーコード（割引）の場合：固定値[7]
</t>
    </r>
    <r>
      <rPr>
        <sz val="11"/>
        <color rgb="FFFF0000"/>
        <rFont val="ＭＳ Ｐゴシック"/>
        <family val="3"/>
        <charset val="128"/>
      </rPr>
      <t xml:space="preserve">値引きバーコード（値引）の場合：固定値[7]
</t>
    </r>
    <r>
      <rPr>
        <sz val="11"/>
        <color theme="1"/>
        <rFont val="ＭＳ Ｐゴシック"/>
        <family val="3"/>
        <charset val="128"/>
      </rPr>
      <t xml:space="preserve">ミックスマッチの場合：固定値[8]
</t>
    </r>
    <rPh sb="18" eb="21">
      <t>コテイチ</t>
    </rPh>
    <rPh sb="89" eb="91">
      <t>ネビ</t>
    </rPh>
    <rPh sb="111" eb="113">
      <t>バアイ</t>
    </rPh>
    <phoneticPr fontId="4"/>
  </si>
  <si>
    <r>
      <t xml:space="preserve">1：マニュアル単品
</t>
    </r>
    <r>
      <rPr>
        <strike/>
        <sz val="11"/>
        <rFont val="ＭＳ Ｐゴシック"/>
        <family val="3"/>
        <charset val="128"/>
        <scheme val="minor"/>
      </rPr>
      <t>2：マニュアル小計
3：クーポン小計値引</t>
    </r>
    <r>
      <rPr>
        <sz val="11"/>
        <rFont val="ＭＳ Ｐゴシック"/>
        <family val="3"/>
        <charset val="128"/>
        <scheme val="minor"/>
      </rPr>
      <t xml:space="preserve">
4：クラス割引
5：価格上位割引
6：クーポン値引
7：マークダウン
8：ミックスマッチ
9：組合せ販売(PM)
10：クラス割引２
11：MD階層自動値引
</t>
    </r>
    <r>
      <rPr>
        <strike/>
        <sz val="11"/>
        <rFont val="ＭＳ Ｐゴシック"/>
        <family val="3"/>
        <charset val="128"/>
        <scheme val="minor"/>
      </rPr>
      <t>13：クレジット小計割引
14：メガ割
15：朝割</t>
    </r>
    <r>
      <rPr>
        <sz val="11"/>
        <rFont val="ＭＳ Ｐゴシック"/>
        <family val="3"/>
        <charset val="128"/>
        <scheme val="minor"/>
      </rPr>
      <t xml:space="preserve">
</t>
    </r>
    <r>
      <rPr>
        <strike/>
        <sz val="11"/>
        <rFont val="ＭＳ Ｐゴシック"/>
        <family val="3"/>
        <charset val="128"/>
        <scheme val="minor"/>
      </rPr>
      <t>16：特売値引
17：特売割引</t>
    </r>
    <r>
      <rPr>
        <sz val="11"/>
        <rFont val="ＭＳ Ｐゴシック"/>
        <family val="3"/>
        <charset val="128"/>
        <scheme val="minor"/>
      </rPr>
      <t xml:space="preserve">
</t>
    </r>
    <phoneticPr fontId="4"/>
  </si>
  <si>
    <t>DiscountCode</t>
  </si>
  <si>
    <t>値下コード</t>
    <phoneticPr fontId="4"/>
  </si>
  <si>
    <r>
      <t xml:space="preserve">値引きバーコード（売価変更）の場合：固定値[6]
分類値引の場合：分類自動値引コード
分類割引の場合：分類自動値引コード
値引きバーコード（割引）の場合：固定値[5]
</t>
    </r>
    <r>
      <rPr>
        <sz val="11"/>
        <color rgb="FFFF0000"/>
        <rFont val="ＭＳ Ｐゴシック"/>
        <family val="3"/>
        <charset val="128"/>
      </rPr>
      <t xml:space="preserve">値引きバーコード（値引）の場合：固定値[4]
</t>
    </r>
    <r>
      <rPr>
        <sz val="11"/>
        <color theme="1"/>
        <rFont val="ＭＳ Ｐゴシック"/>
        <family val="3"/>
        <charset val="128"/>
      </rPr>
      <t xml:space="preserve">ミックスマッチの場合：ミックスマッチコード
</t>
    </r>
    <rPh sb="18" eb="21">
      <t>コテイチ</t>
    </rPh>
    <rPh sb="33" eb="35">
      <t>ブンルイ</t>
    </rPh>
    <rPh sb="35" eb="37">
      <t>ジドウ</t>
    </rPh>
    <rPh sb="37" eb="39">
      <t>ネビ</t>
    </rPh>
    <rPh sb="93" eb="95">
      <t>ネビバアイ</t>
    </rPh>
    <phoneticPr fontId="4"/>
  </si>
  <si>
    <t xml:space="preserve">値引バーコード：
　4：マークダウン値引
　5：マークダウン割引
　6：マークダウン価格指定
マニュアル：
　01：マニュアル値引
　02：マニュアル割引
MM：
　0000～9999：テナント店ユーザ定義
　1～9999901：直営店ユーザ定義
MD階層自動値引:
　MD階層自動値引コード
MD階層値引：MD階層自動値引コード
マニュアル値引：マニュアル値引コード
MM：組合せコード
</t>
    <phoneticPr fontId="4"/>
  </si>
  <si>
    <t>PromotionCode</t>
  </si>
  <si>
    <t>企画コード</t>
    <phoneticPr fontId="4"/>
  </si>
  <si>
    <r>
      <t xml:space="preserve">値引きバーコード（売価変更）の場合：固定値[000008]
分類値引の場合：プロモーションコード
分類割引の場合：プロモーションコード
値引きバーコード（割引）の場合：固定値[000008]
</t>
    </r>
    <r>
      <rPr>
        <sz val="11"/>
        <color rgb="FFFF0000"/>
        <rFont val="ＭＳ Ｐゴシック"/>
        <family val="3"/>
        <charset val="128"/>
      </rPr>
      <t xml:space="preserve">値引きバーコード（値引）の場合：固定値[000008]
</t>
    </r>
    <r>
      <rPr>
        <sz val="11"/>
        <color theme="1"/>
        <rFont val="ＭＳ Ｐゴシック"/>
        <family val="3"/>
        <charset val="128"/>
      </rPr>
      <t xml:space="preserve">ミックスマッチの場合：企画コード
</t>
    </r>
    <rPh sb="18" eb="21">
      <t>コテイチ</t>
    </rPh>
    <rPh sb="82" eb="84">
      <t>バアイ</t>
    </rPh>
    <rPh sb="105" eb="107">
      <t>ネビ</t>
    </rPh>
    <phoneticPr fontId="4"/>
  </si>
  <si>
    <t xml:space="preserve">値引バーコード
　000008：マークダウン
マニュアル：
　000005：マニュアル単品値引
　000006：マニュアル単品割引
MM：
　MM適用時、MMマスタの企画コードを設定。
但し、テナント店のベーカリー商品の場合に限り、MM適用時は「99000」が設定される。
※「99000」はVINX側独自マスタ設定。MVIFから連携されるMMマスタの企画コードではない。
MD階層自動値引:
　MD階層自動値引適用時、MD階層値引マスタの企画コードを設定
</t>
    <phoneticPr fontId="4"/>
  </si>
  <si>
    <t>MethodCode</t>
    <phoneticPr fontId="4"/>
  </si>
  <si>
    <t>値下方法コード</t>
    <phoneticPr fontId="4"/>
  </si>
  <si>
    <t>値引
　・"01"固定
割引
　・"02"固定
売変
　・"03"固定</t>
    <rPh sb="0" eb="2">
      <t>ネビ</t>
    </rPh>
    <rPh sb="9" eb="11">
      <t>コテイ</t>
    </rPh>
    <rPh sb="12" eb="14">
      <t>ワリビキ</t>
    </rPh>
    <rPh sb="21" eb="23">
      <t>コテイ</t>
    </rPh>
    <rPh sb="24" eb="25">
      <t>バイ</t>
    </rPh>
    <rPh sb="25" eb="26">
      <t>ヘン</t>
    </rPh>
    <rPh sb="33" eb="35">
      <t>コテイ</t>
    </rPh>
    <phoneticPr fontId="4"/>
  </si>
  <si>
    <r>
      <t xml:space="preserve">値引きバーコード（売価変更）の場合：固定値[03]
分類値引の場合：固定値[01]
分類割引の場合：固定値[02]
値引きバーコード（割引）の場合：固定値[02]
</t>
    </r>
    <r>
      <rPr>
        <sz val="11"/>
        <color rgb="FFFF0000"/>
        <rFont val="ＭＳ Ｐゴシック"/>
        <family val="3"/>
        <charset val="128"/>
      </rPr>
      <t xml:space="preserve">値引きバーコード（割引）の場合：固定値[01]
</t>
    </r>
    <r>
      <rPr>
        <sz val="11"/>
        <color theme="1"/>
        <rFont val="ＭＳ Ｐゴシック"/>
        <family val="3"/>
        <charset val="128"/>
      </rPr>
      <t xml:space="preserve">ミックスマッチの場合：固定値[01]
</t>
    </r>
    <rPh sb="18" eb="21">
      <t>コテイチ</t>
    </rPh>
    <rPh sb="72" eb="74">
      <t>バアイ</t>
    </rPh>
    <phoneticPr fontId="4"/>
  </si>
  <si>
    <t>01：値引
02：割引
03：金額指定</t>
    <phoneticPr fontId="4"/>
  </si>
  <si>
    <t>DiscountValue</t>
    <phoneticPr fontId="4"/>
  </si>
  <si>
    <t>値下指定金額</t>
    <phoneticPr fontId="4"/>
  </si>
  <si>
    <t>割引時は割引率、値引時は値引金額</t>
    <rPh sb="0" eb="2">
      <t>ワリビキ</t>
    </rPh>
    <rPh sb="2" eb="3">
      <t>ジ</t>
    </rPh>
    <rPh sb="4" eb="6">
      <t>ワリビキ</t>
    </rPh>
    <rPh sb="6" eb="7">
      <t>リツ</t>
    </rPh>
    <rPh sb="8" eb="10">
      <t>ネビ</t>
    </rPh>
    <rPh sb="10" eb="11">
      <t>ジ</t>
    </rPh>
    <rPh sb="12" eb="14">
      <t>ネビ</t>
    </rPh>
    <rPh sb="14" eb="16">
      <t>キンガク</t>
    </rPh>
    <phoneticPr fontId="8"/>
  </si>
  <si>
    <r>
      <t xml:space="preserve">値引きバーコード（売価変更）の場合：絶対値（値下額）
分類値引の場合：絶対値（数量一つあたりの値下額）
分類割引の場合：絶対値（割引率）
値引きバーコード（割引）の場合：絶対値（割引率）
</t>
    </r>
    <r>
      <rPr>
        <sz val="11"/>
        <color rgb="FFFF0000"/>
        <rFont val="ＭＳ Ｐゴシック"/>
        <family val="3"/>
        <charset val="128"/>
      </rPr>
      <t xml:space="preserve">値引きバーコード（値引）の場合：絶対値（数量一つあたりの値下額）
</t>
    </r>
    <r>
      <rPr>
        <sz val="11"/>
        <color theme="1"/>
        <rFont val="ＭＳ Ｐゴシック"/>
        <family val="3"/>
        <charset val="128"/>
      </rPr>
      <t>ミックスマッチの場合：（一組あたりの値下額）</t>
    </r>
    <rPh sb="18" eb="21">
      <t>ゼッタイチ</t>
    </rPh>
    <rPh sb="22" eb="24">
      <t>ネサ</t>
    </rPh>
    <rPh sb="24" eb="25">
      <t>ガク</t>
    </rPh>
    <rPh sb="39" eb="41">
      <t>スウリョウ</t>
    </rPh>
    <rPh sb="41" eb="42">
      <t>ヒト</t>
    </rPh>
    <rPh sb="64" eb="66">
      <t>ワリビキ</t>
    </rPh>
    <rPh sb="66" eb="67">
      <t>リツ</t>
    </rPh>
    <rPh sb="83" eb="85">
      <t>バアイ</t>
    </rPh>
    <rPh sb="103" eb="105">
      <t>ネビ</t>
    </rPh>
    <rPh sb="140" eb="141">
      <t>クミ</t>
    </rPh>
    <phoneticPr fontId="4"/>
  </si>
  <si>
    <t>割引時は割引率、
値引時は値引金額
売価変更時は指定売価</t>
    <phoneticPr fontId="4"/>
  </si>
  <si>
    <t>金額</t>
    <phoneticPr fontId="4"/>
  </si>
  <si>
    <t>単品値引額（計）</t>
    <rPh sb="0" eb="2">
      <t>タンピン</t>
    </rPh>
    <rPh sb="2" eb="4">
      <t>ネビキ</t>
    </rPh>
    <rPh sb="4" eb="5">
      <t>ガク</t>
    </rPh>
    <rPh sb="6" eb="7">
      <t>ケイ</t>
    </rPh>
    <phoneticPr fontId="4"/>
  </si>
  <si>
    <r>
      <t xml:space="preserve">値引きバーコード（売価変更）の場合：売変値と標準売価の差額
分類値引の場合：数量一つあたりの値引額
分類割引の場合：明細割引額（単数ではない）
値引きバーコード（割引）の場合：明細割引額
</t>
    </r>
    <r>
      <rPr>
        <sz val="11"/>
        <color rgb="FFFF0000"/>
        <rFont val="ＭＳ Ｐゴシック"/>
        <family val="3"/>
        <charset val="128"/>
      </rPr>
      <t xml:space="preserve">値引きバーコード（値引）の場合：明細割引額
</t>
    </r>
    <r>
      <rPr>
        <sz val="11"/>
        <color theme="1"/>
        <rFont val="ＭＳ Ｐゴシック"/>
        <family val="3"/>
        <charset val="128"/>
      </rPr>
      <t>ミックスマッチの場合：明細値引まとめ按分金額</t>
    </r>
    <rPh sb="18" eb="20">
      <t>バイヘン</t>
    </rPh>
    <rPh sb="20" eb="21">
      <t>アタイ</t>
    </rPh>
    <rPh sb="22" eb="24">
      <t>ヒョウジュン</t>
    </rPh>
    <rPh sb="24" eb="26">
      <t>バイカ</t>
    </rPh>
    <rPh sb="27" eb="29">
      <t>サガク</t>
    </rPh>
    <rPh sb="38" eb="40">
      <t>スウリョウ</t>
    </rPh>
    <rPh sb="40" eb="41">
      <t>ヒト</t>
    </rPh>
    <rPh sb="46" eb="48">
      <t>ネビ</t>
    </rPh>
    <rPh sb="48" eb="49">
      <t>ガク</t>
    </rPh>
    <rPh sb="64" eb="66">
      <t>タンスウ</t>
    </rPh>
    <rPh sb="88" eb="90">
      <t>メイサイ</t>
    </rPh>
    <rPh sb="90" eb="93">
      <t>ワリビキガク</t>
    </rPh>
    <rPh sb="103" eb="105">
      <t>ネビ</t>
    </rPh>
    <rPh sb="127" eb="129">
      <t>メイサイ</t>
    </rPh>
    <rPh sb="129" eb="131">
      <t>ネビ</t>
    </rPh>
    <rPh sb="134" eb="136">
      <t>アンブン</t>
    </rPh>
    <rPh sb="136" eb="138">
      <t>キンガク</t>
    </rPh>
    <phoneticPr fontId="4"/>
  </si>
  <si>
    <t>単品値引額（計）
売価変更の場合、採用売価との差額×個数の合計
MMの場合、値引按分額×対象商品個数の合計</t>
    <phoneticPr fontId="4"/>
  </si>
  <si>
    <t>TargetQuantity</t>
  </si>
  <si>
    <t>対象個数</t>
    <phoneticPr fontId="4"/>
  </si>
  <si>
    <r>
      <t>値引きバーコード（売価変更）の場合：数量
分類値引の場合：数量
分類割引の場合：数量
値引きバーコード（割引）の場合：数量
値引きバーコード（</t>
    </r>
    <r>
      <rPr>
        <sz val="11"/>
        <color rgb="FFFF0000"/>
        <rFont val="ＭＳ Ｐゴシック"/>
        <family val="3"/>
        <charset val="128"/>
      </rPr>
      <t>値引</t>
    </r>
    <r>
      <rPr>
        <sz val="11"/>
        <color theme="1"/>
        <rFont val="ＭＳ Ｐゴシック"/>
        <family val="3"/>
        <charset val="128"/>
      </rPr>
      <t>）の場合：数量
ミックスマッチの場合：数量</t>
    </r>
    <rPh sb="18" eb="20">
      <t>スウリョウ</t>
    </rPh>
    <rPh sb="59" eb="61">
      <t>スウリョウ</t>
    </rPh>
    <rPh sb="71" eb="73">
      <t>ネビ</t>
    </rPh>
    <rPh sb="92" eb="94">
      <t>スウリョウ</t>
    </rPh>
    <phoneticPr fontId="4"/>
  </si>
  <si>
    <t>該当明細行の商品の内、値下げ対象となる個数</t>
    <phoneticPr fontId="4"/>
  </si>
  <si>
    <t>値下名称</t>
    <phoneticPr fontId="4"/>
  </si>
  <si>
    <t>値引バーコード
　・"ジャスト"固定
分類値引割引
　・分類値引マスタ.説明</t>
    <rPh sb="0" eb="2">
      <t>ネビキ</t>
    </rPh>
    <rPh sb="16" eb="18">
      <t>コテイ</t>
    </rPh>
    <rPh sb="19" eb="21">
      <t>ブンルイ</t>
    </rPh>
    <rPh sb="21" eb="23">
      <t>ネビ</t>
    </rPh>
    <rPh sb="36" eb="38">
      <t>セツメイ</t>
    </rPh>
    <phoneticPr fontId="4"/>
  </si>
  <si>
    <r>
      <t xml:space="preserve">値引きバーコード（売価変更）の場合：固定値[ジャスト]
分類値引の場合：名称
分類割引の場合：名称
値引きバーコード（割引）の場合：固定値[ジャスト]
</t>
    </r>
    <r>
      <rPr>
        <sz val="11"/>
        <color rgb="FFFF0000"/>
        <rFont val="ＭＳ Ｐゴシック"/>
        <family val="3"/>
        <charset val="128"/>
      </rPr>
      <t xml:space="preserve">値引きバーコード（値引）の場合：固定値[ジャスト]
</t>
    </r>
    <r>
      <rPr>
        <sz val="11"/>
        <color theme="1"/>
        <rFont val="ＭＳ Ｐゴシック"/>
        <family val="3"/>
        <charset val="128"/>
      </rPr>
      <t>ミックスマッチの場合：固定値[まとめ値引]</t>
    </r>
    <rPh sb="18" eb="21">
      <t>コテイチ</t>
    </rPh>
    <rPh sb="36" eb="38">
      <t>メイショウ</t>
    </rPh>
    <rPh sb="85" eb="87">
      <t>ネビ</t>
    </rPh>
    <rPh sb="113" eb="116">
      <t>コテイチ</t>
    </rPh>
    <phoneticPr fontId="4"/>
  </si>
  <si>
    <t>値引バーコード
　販促マスタの説明を設定
マニュアル
　マニュアル値引マスタの説明を設定
MM：
　MMマスタの説明を設定
MD階層自動値引:
　MD階層値引マスタの説明を設定</t>
    <phoneticPr fontId="4"/>
  </si>
  <si>
    <t>LongDescription</t>
    <phoneticPr fontId="4"/>
  </si>
  <si>
    <t>値下名称詳細</t>
    <rPh sb="4" eb="6">
      <t>ショウサイ</t>
    </rPh>
    <phoneticPr fontId="4"/>
  </si>
  <si>
    <t>値引バーコード(売変)
　・"Mﾀﾞｳﾝ価格"固定
値引バーコード(割引)
　・"Mﾀﾞｳﾝ割引"固定
値引バーコード(値引)
　・"Mﾀﾞｳﾝ値引"固定
分類値引
　・"MD自動値引"固定
分類割引
　・"MD自動割引"固定</t>
    <rPh sb="0" eb="2">
      <t>ネビキ</t>
    </rPh>
    <rPh sb="8" eb="9">
      <t>バイ</t>
    </rPh>
    <rPh sb="9" eb="10">
      <t>ヘン</t>
    </rPh>
    <rPh sb="20" eb="22">
      <t>カカク</t>
    </rPh>
    <rPh sb="23" eb="25">
      <t>コテイ</t>
    </rPh>
    <rPh sb="26" eb="28">
      <t>ネビキ</t>
    </rPh>
    <rPh sb="34" eb="36">
      <t>ワリビキ</t>
    </rPh>
    <rPh sb="46" eb="48">
      <t>ワリビキ</t>
    </rPh>
    <rPh sb="49" eb="51">
      <t>コテイ</t>
    </rPh>
    <rPh sb="60" eb="62">
      <t>ネビ</t>
    </rPh>
    <rPh sb="72" eb="74">
      <t>ネビキ</t>
    </rPh>
    <rPh sb="78" eb="80">
      <t>ブンルイ</t>
    </rPh>
    <rPh sb="80" eb="82">
      <t>ネビ</t>
    </rPh>
    <rPh sb="88" eb="90">
      <t>ジドウ</t>
    </rPh>
    <rPh sb="90" eb="92">
      <t>ネビ</t>
    </rPh>
    <rPh sb="93" eb="95">
      <t>コテイ</t>
    </rPh>
    <rPh sb="96" eb="98">
      <t>ブンルイ</t>
    </rPh>
    <rPh sb="98" eb="100">
      <t>ワリビキ</t>
    </rPh>
    <rPh sb="106" eb="108">
      <t>ジドウ</t>
    </rPh>
    <rPh sb="108" eb="110">
      <t>ワリビキ</t>
    </rPh>
    <rPh sb="111" eb="113">
      <t>コテイ</t>
    </rPh>
    <phoneticPr fontId="4"/>
  </si>
  <si>
    <r>
      <t xml:space="preserve">値引きバーコード（売価変更）の場合：固定値Mﾀﾞｳﾝ価格]
分類値引の場合：固定値[MD自動値引]
分類割引の場合：固定値[MD自動割引]
値引きバーコード（割引）の場合：固定値[Mﾀﾞｳﾝ割引]
</t>
    </r>
    <r>
      <rPr>
        <sz val="11"/>
        <color rgb="FFFF0000"/>
        <rFont val="ＭＳ Ｐゴシック"/>
        <family val="3"/>
        <charset val="128"/>
      </rPr>
      <t xml:space="preserve">値引きバーコード（値引）の場合：固定値[Mﾀﾞｳﾝ値引]
</t>
    </r>
    <r>
      <rPr>
        <sz val="11"/>
        <color theme="1"/>
        <rFont val="ＭＳ Ｐゴシック"/>
        <family val="3"/>
        <charset val="128"/>
      </rPr>
      <t>ミックスマッチの場合：固定値[ＢＭ値引]</t>
    </r>
    <rPh sb="18" eb="21">
      <t>コテイチ</t>
    </rPh>
    <rPh sb="58" eb="61">
      <t>コテイチ</t>
    </rPh>
    <rPh sb="108" eb="110">
      <t>ネビ</t>
    </rPh>
    <rPh sb="124" eb="126">
      <t>ネビキ</t>
    </rPh>
    <rPh sb="139" eb="142">
      <t>コテイチ</t>
    </rPh>
    <phoneticPr fontId="4"/>
  </si>
  <si>
    <t>DiscountTypeCodeに紐付く名称 + 値引種別名称を設定
DiscountTypeCode=1:単品
DiscountTypeCode=7:Mﾀﾞｳﾝ
DiscountTypeCode=8:ＭＭ
DiscountTypeCode=11:MD自動
値引種別名称:「値引」「割引」「価格」のうち適用された値引方法の名称</t>
    <phoneticPr fontId="4"/>
  </si>
  <si>
    <r>
      <t xml:space="preserve">値引きバーコード（売価変更）の場合：固定値[&amp;lt;CombinationCode /&amp;gt;]
分類値引の場合：固定値[&amp;lt;CombinationCode /&amp;gt;]
分類割引の場合：固定値[&amp;lt;CombinationCode /&amp;gt;]
値引きバーコード（割引）の場合：固定値[&amp;lt;CombinationCode /&amp;gt;]
</t>
    </r>
    <r>
      <rPr>
        <sz val="11"/>
        <color rgb="FFFF0000"/>
        <rFont val="ＭＳ Ｐゴシック"/>
        <family val="3"/>
        <charset val="128"/>
      </rPr>
      <t xml:space="preserve">値引きバーコード（値引）の場合：固定値[&amp;lt;CombinationCode /&amp;gt;]
</t>
    </r>
    <r>
      <rPr>
        <sz val="11"/>
        <color theme="1"/>
        <rFont val="ＭＳ Ｐゴシック"/>
        <family val="3"/>
        <charset val="128"/>
      </rPr>
      <t xml:space="preserve">ミックスマッチの場合：固定値[ミックスマッチコード]
</t>
    </r>
    <rPh sb="18" eb="21">
      <t>コテイチ</t>
    </rPh>
    <rPh sb="96" eb="99">
      <t>コテイチ</t>
    </rPh>
    <rPh sb="183" eb="185">
      <t>ネビ</t>
    </rPh>
    <rPh sb="232" eb="235">
      <t>コテイチ</t>
    </rPh>
    <phoneticPr fontId="4"/>
  </si>
  <si>
    <t>値引バーコード：
　未設定
マニュアル：
　未設定
MM：
　MM適用時、MMマスタのミックスマッチコードを設定。</t>
    <phoneticPr fontId="4"/>
  </si>
  <si>
    <t>CombinationType</t>
    <phoneticPr fontId="4"/>
  </si>
  <si>
    <t>ミックスマッチタイプ</t>
    <phoneticPr fontId="4"/>
  </si>
  <si>
    <t>1桁
2：バンドルミックス
3：組合せ販売（ＰＭ）</t>
    <phoneticPr fontId="4"/>
  </si>
  <si>
    <r>
      <t xml:space="preserve">値引きバーコード（売価変更）の場合：固定値[&amp;lt;CombinationType /&amp;gt;]
分類値引の場合：固定値[&amp;lt;CombinationType /&amp;gt;]
分類割引の場合：固定値[&amp;lt;CombinationType /&amp;gt;]
値引きバーコード（割引）の場合：固定値[&amp;lt;CombinationType /&amp;gt;]
</t>
    </r>
    <r>
      <rPr>
        <sz val="11"/>
        <color rgb="FFFF0000"/>
        <rFont val="ＭＳ Ｐゴシック"/>
        <family val="3"/>
        <charset val="128"/>
      </rPr>
      <t xml:space="preserve">値引きバーコード（値引）の場合：固定値[&amp;lt;CombinationType /&amp;gt;]
</t>
    </r>
    <r>
      <rPr>
        <sz val="11"/>
        <color theme="1"/>
        <rFont val="ＭＳ Ｐゴシック"/>
        <family val="3"/>
        <charset val="128"/>
      </rPr>
      <t xml:space="preserve">ミックスマッチの場合：固定値[2]
</t>
    </r>
    <rPh sb="18" eb="21">
      <t>コテイチ</t>
    </rPh>
    <rPh sb="96" eb="99">
      <t>コテイチ</t>
    </rPh>
    <rPh sb="183" eb="185">
      <t>ネビ</t>
    </rPh>
    <rPh sb="232" eb="235">
      <t>コテイチ</t>
    </rPh>
    <phoneticPr fontId="4"/>
  </si>
  <si>
    <t>値引バーコード：
　未設定
マニュアル：
　未設定
MM：
　2：MM
MD階層自動値引:
　未設定</t>
    <phoneticPr fontId="4"/>
  </si>
  <si>
    <t>CombinationCount</t>
    <phoneticPr fontId="4"/>
  </si>
  <si>
    <t>成立数</t>
    <rPh sb="0" eb="2">
      <t>セイリツ</t>
    </rPh>
    <rPh sb="2" eb="3">
      <t>スウ</t>
    </rPh>
    <phoneticPr fontId="7"/>
  </si>
  <si>
    <t>int32</t>
    <phoneticPr fontId="4"/>
  </si>
  <si>
    <t>組合せ販売の場合は、成立に必要な個数をセットする</t>
    <rPh sb="0" eb="2">
      <t>クミアワ</t>
    </rPh>
    <rPh sb="3" eb="5">
      <t>ハンバイ</t>
    </rPh>
    <rPh sb="6" eb="8">
      <t>バアイ</t>
    </rPh>
    <rPh sb="10" eb="12">
      <t>セイリツ</t>
    </rPh>
    <rPh sb="13" eb="15">
      <t>ヒツヨウ</t>
    </rPh>
    <rPh sb="16" eb="18">
      <t>コスウ</t>
    </rPh>
    <phoneticPr fontId="4"/>
  </si>
  <si>
    <r>
      <t xml:space="preserve">値引きバーコード（売価変更）の場合：固定値[0]
分類値引の場合：固定値[0]
分類割引の場合：固定値[0]
値引きバーコード（割引）の場合：固定値[0]
</t>
    </r>
    <r>
      <rPr>
        <sz val="11"/>
        <color rgb="FFFF0000"/>
        <rFont val="ＭＳ Ｐゴシック"/>
        <family val="3"/>
        <charset val="128"/>
      </rPr>
      <t xml:space="preserve">値引きバーコード（値引）の場合：固定値[0]
</t>
    </r>
    <r>
      <rPr>
        <sz val="11"/>
        <color theme="1"/>
        <rFont val="ＭＳ Ｐゴシック"/>
        <family val="3"/>
        <charset val="128"/>
      </rPr>
      <t>ミックスマッチの場合：成立数</t>
    </r>
    <rPh sb="18" eb="21">
      <t>コテイチ</t>
    </rPh>
    <rPh sb="87" eb="89">
      <t>ネビ</t>
    </rPh>
    <rPh sb="112" eb="114">
      <t>セイリツ</t>
    </rPh>
    <rPh sb="114" eb="115">
      <t>スウ</t>
    </rPh>
    <phoneticPr fontId="4"/>
  </si>
  <si>
    <t>値引バーコード：
　未設定
マニュアル：
　未設定
MM：
　成立に必要な個数をセットする
MD階層自動値引:
　未設定</t>
    <phoneticPr fontId="4"/>
  </si>
  <si>
    <t>CombinationPrice</t>
    <phoneticPr fontId="4"/>
  </si>
  <si>
    <t>成立価格</t>
    <rPh sb="0" eb="2">
      <t>セイリツ</t>
    </rPh>
    <rPh sb="2" eb="4">
      <t>カカク</t>
    </rPh>
    <phoneticPr fontId="7"/>
  </si>
  <si>
    <t>組合せタイプBM　 ：成立価格
組合せタイプセット：値引金額</t>
    <rPh sb="0" eb="2">
      <t>クミアワ</t>
    </rPh>
    <rPh sb="11" eb="13">
      <t>セイリツ</t>
    </rPh>
    <rPh sb="13" eb="15">
      <t>カカク</t>
    </rPh>
    <rPh sb="16" eb="18">
      <t>クミアワ</t>
    </rPh>
    <rPh sb="26" eb="28">
      <t>ネビキ</t>
    </rPh>
    <rPh sb="28" eb="30">
      <t>キンガク</t>
    </rPh>
    <phoneticPr fontId="9"/>
  </si>
  <si>
    <r>
      <t xml:space="preserve">値引きバーコード（売価変更）の場合：固定値[0]
分類値引の場合：固定値[0]
分類割引の場合：固定値[0]
値引きバーコード（割引）の場合：固定値[0]
</t>
    </r>
    <r>
      <rPr>
        <sz val="11"/>
        <color rgb="FFFF0000"/>
        <rFont val="ＭＳ Ｐゴシック"/>
        <family val="3"/>
        <charset val="128"/>
      </rPr>
      <t xml:space="preserve">値引きバーコード（値引）の場合：固定値[0]
</t>
    </r>
    <r>
      <rPr>
        <sz val="11"/>
        <color theme="1"/>
        <rFont val="ＭＳ Ｐゴシック"/>
        <family val="3"/>
        <charset val="128"/>
      </rPr>
      <t>ミックスマッチの場合：成立単価</t>
    </r>
    <rPh sb="18" eb="21">
      <t>コテイチ</t>
    </rPh>
    <rPh sb="87" eb="89">
      <t>ネビ</t>
    </rPh>
    <rPh sb="112" eb="114">
      <t>セイリツ</t>
    </rPh>
    <rPh sb="114" eb="116">
      <t>タンカ</t>
    </rPh>
    <phoneticPr fontId="4"/>
  </si>
  <si>
    <t>値引バーコード：
　未設定
マニュアル：
　未設定
MM：
　MM成立価格
MD階層自動値引:
　未設定</t>
    <phoneticPr fontId="4"/>
  </si>
  <si>
    <t>CombinationOnePrice</t>
    <phoneticPr fontId="4"/>
  </si>
  <si>
    <t>成立後単品価格</t>
    <rPh sb="0" eb="2">
      <t>セイリツ</t>
    </rPh>
    <rPh sb="2" eb="3">
      <t>ゴ</t>
    </rPh>
    <rPh sb="3" eb="5">
      <t>タンピン</t>
    </rPh>
    <rPh sb="5" eb="7">
      <t>カカク</t>
    </rPh>
    <phoneticPr fontId="7"/>
  </si>
  <si>
    <t>組合せ販売の場合は値なし</t>
    <phoneticPr fontId="4"/>
  </si>
  <si>
    <r>
      <t xml:space="preserve">値引きバーコード（売価変更）の場合：固定値[0]
分類値引の場合：固定値[0]
分類割引の場合：固定値[0]
値引きバーコード（割引）の場合：固定値[0]
</t>
    </r>
    <r>
      <rPr>
        <sz val="11"/>
        <color rgb="FFFF0000"/>
        <rFont val="ＭＳ Ｐゴシック"/>
        <family val="3"/>
        <charset val="128"/>
      </rPr>
      <t xml:space="preserve">値引きバーコード（値引）の場合：固定値[0]
</t>
    </r>
    <r>
      <rPr>
        <sz val="11"/>
        <color theme="1"/>
        <rFont val="ＭＳ Ｐゴシック"/>
        <family val="3"/>
        <charset val="128"/>
      </rPr>
      <t>ミックスマッチの場合：固定値[0]</t>
    </r>
    <rPh sb="18" eb="21">
      <t>コテイチ</t>
    </rPh>
    <rPh sb="87" eb="89">
      <t>ネビ</t>
    </rPh>
    <rPh sb="112" eb="115">
      <t>コテイチ</t>
    </rPh>
    <phoneticPr fontId="4"/>
  </si>
  <si>
    <t>値引バーコード：
　未設定
マニュアル：
　未設定
MM：
　MM溢れ単価
MD階層自動値引:
　未設定</t>
    <phoneticPr fontId="4"/>
  </si>
  <si>
    <t>Tax</t>
  </si>
  <si>
    <t>TaxCode</t>
  </si>
  <si>
    <t>税コード</t>
    <phoneticPr fontId="4"/>
  </si>
  <si>
    <t>01:消費税（外税）8%
02:消費税（内税）8%
03:非課税
11:消費税（外税）10%
12:消費税（内税）10%
21:消費税（外税）8%（軽減）
22:消費税（内税）8%（軽減）
31:消費税（外税）8%（返品）
32:消費税（内税）8%（返品）
※軽減税率制度開始以降、「01」「02」は発生しない</t>
    <rPh sb="3" eb="6">
      <t>ショウヒゼイ</t>
    </rPh>
    <rPh sb="16" eb="19">
      <t>ショウヒゼイ</t>
    </rPh>
    <rPh sb="36" eb="39">
      <t>ショウヒゼイ</t>
    </rPh>
    <rPh sb="40" eb="42">
      <t>ソトゼイ</t>
    </rPh>
    <rPh sb="50" eb="53">
      <t>ショウヒゼイ</t>
    </rPh>
    <rPh sb="54" eb="56">
      <t>ウチゼイ</t>
    </rPh>
    <rPh sb="64" eb="67">
      <t>ショウヒゼイ</t>
    </rPh>
    <rPh sb="68" eb="70">
      <t>ソトゼイ</t>
    </rPh>
    <rPh sb="74" eb="76">
      <t>ケイゲン</t>
    </rPh>
    <rPh sb="81" eb="84">
      <t>ショウヒゼイ</t>
    </rPh>
    <rPh sb="85" eb="87">
      <t>ウチゼイ</t>
    </rPh>
    <rPh sb="91" eb="93">
      <t>ケイゲン</t>
    </rPh>
    <rPh sb="98" eb="101">
      <t>ショウヒゼイ</t>
    </rPh>
    <rPh sb="102" eb="104">
      <t>ソトゼイ</t>
    </rPh>
    <rPh sb="108" eb="110">
      <t>ヘンピン</t>
    </rPh>
    <rPh sb="115" eb="118">
      <t>ショウヒゼイ</t>
    </rPh>
    <rPh sb="119" eb="121">
      <t>ウチゼイ</t>
    </rPh>
    <rPh sb="125" eb="127">
      <t>ヘンピン</t>
    </rPh>
    <rPh sb="130" eb="132">
      <t>ケイゲン</t>
    </rPh>
    <rPh sb="132" eb="134">
      <t>ゼイリツ</t>
    </rPh>
    <rPh sb="134" eb="136">
      <t>セイド</t>
    </rPh>
    <rPh sb="136" eb="138">
      <t>カイシ</t>
    </rPh>
    <rPh sb="138" eb="140">
      <t>イコウ</t>
    </rPh>
    <rPh sb="150" eb="152">
      <t>ハッセイ</t>
    </rPh>
    <phoneticPr fontId="4"/>
  </si>
  <si>
    <t>TargetAmount</t>
  </si>
  <si>
    <t>課税対象金額</t>
    <phoneticPr fontId="4"/>
  </si>
  <si>
    <t>内税時：内税込み、外税時：外税抜き</t>
    <rPh sb="0" eb="2">
      <t>ウチゼイ</t>
    </rPh>
    <rPh sb="2" eb="3">
      <t>ジ</t>
    </rPh>
    <rPh sb="4" eb="6">
      <t>ウチゼイ</t>
    </rPh>
    <rPh sb="6" eb="7">
      <t>コ</t>
    </rPh>
    <rPh sb="9" eb="10">
      <t>ソト</t>
    </rPh>
    <rPh sb="10" eb="11">
      <t>ゼイ</t>
    </rPh>
    <rPh sb="11" eb="12">
      <t>ジ</t>
    </rPh>
    <rPh sb="13" eb="14">
      <t>ソト</t>
    </rPh>
    <rPh sb="14" eb="15">
      <t>ゼイ</t>
    </rPh>
    <rPh sb="15" eb="16">
      <t>ヌ</t>
    </rPh>
    <phoneticPr fontId="8"/>
  </si>
  <si>
    <t>課税対象個数</t>
    <phoneticPr fontId="4"/>
  </si>
  <si>
    <t>TaxAmount</t>
  </si>
  <si>
    <t>DepartmentTypeCode</t>
    <phoneticPr fontId="4"/>
  </si>
  <si>
    <t>商品区分</t>
    <rPh sb="0" eb="2">
      <t>ショウヒン</t>
    </rPh>
    <rPh sb="2" eb="4">
      <t>クブン</t>
    </rPh>
    <phoneticPr fontId="4"/>
  </si>
  <si>
    <t>部門区分コード
　00：通常部門
　01：売上外部門
　※未設定時、「00：通常部門」と同義</t>
    <phoneticPr fontId="4"/>
  </si>
  <si>
    <t>SalesDiscount</t>
    <phoneticPr fontId="4"/>
  </si>
  <si>
    <t>マニュアル小計
　・"2"固定
メガ割
　・"14"固定
朝割
　・"15"固定</t>
    <rPh sb="5" eb="7">
      <t>ショウケイ</t>
    </rPh>
    <rPh sb="13" eb="15">
      <t>コテイ</t>
    </rPh>
    <rPh sb="18" eb="19">
      <t>ワリ</t>
    </rPh>
    <rPh sb="26" eb="28">
      <t>コテイ</t>
    </rPh>
    <rPh sb="29" eb="30">
      <t>アサ</t>
    </rPh>
    <rPh sb="30" eb="31">
      <t>ワリ</t>
    </rPh>
    <rPh sb="38" eb="40">
      <t>コテイ</t>
    </rPh>
    <phoneticPr fontId="4"/>
  </si>
  <si>
    <t>&lt;小計値引曜日指定マスタ.値引コード="07"の場合&gt;
固定値[15]
&lt;小計値引曜日指定マスタ.値引コード="08"の場合&gt;
固定値[14]</t>
    <rPh sb="24" eb="26">
      <t>バアイ</t>
    </rPh>
    <rPh sb="28" eb="31">
      <t>コテイチ</t>
    </rPh>
    <phoneticPr fontId="4"/>
  </si>
  <si>
    <r>
      <rPr>
        <strike/>
        <sz val="11"/>
        <rFont val="ＭＳ Ｐゴシック"/>
        <family val="3"/>
        <charset val="128"/>
        <scheme val="minor"/>
      </rPr>
      <t>1：マニュアル単品</t>
    </r>
    <r>
      <rPr>
        <sz val="11"/>
        <rFont val="ＭＳ Ｐゴシック"/>
        <family val="3"/>
        <charset val="128"/>
        <scheme val="minor"/>
      </rPr>
      <t xml:space="preserve">
2：マニュアル小計
3：クーポン小計値引
</t>
    </r>
    <r>
      <rPr>
        <strike/>
        <sz val="11"/>
        <rFont val="ＭＳ Ｐゴシック"/>
        <family val="3"/>
        <charset val="128"/>
        <scheme val="minor"/>
      </rPr>
      <t>4：クラス割引
5：価格上位割引
6：クーポン値引
7：マークダウン
8：ミックスマッチ
9：組合せ販売(PM)
10：クラス割引２
11：MD階層自動値引</t>
    </r>
    <r>
      <rPr>
        <sz val="11"/>
        <rFont val="ＭＳ Ｐゴシック"/>
        <family val="3"/>
        <charset val="128"/>
        <scheme val="minor"/>
      </rPr>
      <t xml:space="preserve">
13：クレジット小計割引
14：メガ割
15：朝割
</t>
    </r>
    <r>
      <rPr>
        <strike/>
        <sz val="11"/>
        <rFont val="ＭＳ Ｐゴシック"/>
        <family val="3"/>
        <charset val="128"/>
        <scheme val="minor"/>
      </rPr>
      <t>16：特売値引
17：特売割引</t>
    </r>
    <r>
      <rPr>
        <sz val="11"/>
        <rFont val="ＭＳ Ｐゴシック"/>
        <family val="3"/>
        <charset val="128"/>
        <scheme val="minor"/>
      </rPr>
      <t xml:space="preserve">
</t>
    </r>
    <phoneticPr fontId="4"/>
  </si>
  <si>
    <t>マニュアル小計値引
　・"04"固定
マニュアル小計割引
　・"05"固定
メガ割
　・"08"固定
朝割
　・"07"固定</t>
    <rPh sb="5" eb="7">
      <t>ショウケイ</t>
    </rPh>
    <rPh sb="7" eb="9">
      <t>ネビ</t>
    </rPh>
    <rPh sb="16" eb="18">
      <t>コテイ</t>
    </rPh>
    <rPh sb="24" eb="26">
      <t>ショウケイ</t>
    </rPh>
    <rPh sb="26" eb="28">
      <t>ワリビキ</t>
    </rPh>
    <rPh sb="35" eb="37">
      <t>コテイ</t>
    </rPh>
    <rPh sb="40" eb="41">
      <t>ワリ</t>
    </rPh>
    <rPh sb="48" eb="50">
      <t>コテイ</t>
    </rPh>
    <rPh sb="51" eb="52">
      <t>アサ</t>
    </rPh>
    <rPh sb="52" eb="53">
      <t>ワリ</t>
    </rPh>
    <rPh sb="60" eb="62">
      <t>コテイ</t>
    </rPh>
    <phoneticPr fontId="4"/>
  </si>
  <si>
    <t>&lt;小計値引曜日指定マスタ.値引コード="07"の場合&gt;
固定値[07]
&lt;小計値引曜日指定マスタ.値引コード="08"の場合&gt;
固定値[08]</t>
    <rPh sb="24" eb="26">
      <t>バアイ</t>
    </rPh>
    <rPh sb="28" eb="31">
      <t>コテイチ</t>
    </rPh>
    <phoneticPr fontId="4"/>
  </si>
  <si>
    <t>07：朝割
08：メガ割</t>
    <phoneticPr fontId="4"/>
  </si>
  <si>
    <t>販促コード</t>
    <phoneticPr fontId="4"/>
  </si>
  <si>
    <t>マニュアル小計値引・割引
　・"0001"固定
メガ割
　・"000103"固定
朝割
　・"000102"固定</t>
    <rPh sb="5" eb="7">
      <t>ショウケイ</t>
    </rPh>
    <rPh sb="7" eb="9">
      <t>ネビ</t>
    </rPh>
    <rPh sb="10" eb="12">
      <t>ワリビキ</t>
    </rPh>
    <rPh sb="21" eb="23">
      <t>コテイ</t>
    </rPh>
    <rPh sb="26" eb="27">
      <t>ワリ</t>
    </rPh>
    <rPh sb="38" eb="40">
      <t>コテイ</t>
    </rPh>
    <rPh sb="41" eb="42">
      <t>アサ</t>
    </rPh>
    <rPh sb="42" eb="43">
      <t>ワリ</t>
    </rPh>
    <rPh sb="54" eb="56">
      <t>コテイ</t>
    </rPh>
    <phoneticPr fontId="4"/>
  </si>
  <si>
    <t>&lt;小計値引曜日指定マスタ.値引コード="07"の場合&gt;
固定値[000102]
&lt;小計値引曜日指定マスタ.値引コード="08"の場合&gt;
固定値[000103]</t>
    <rPh sb="24" eb="26">
      <t>バアイ</t>
    </rPh>
    <rPh sb="28" eb="31">
      <t>コテイチ</t>
    </rPh>
    <phoneticPr fontId="4"/>
  </si>
  <si>
    <t>000101：クレジット小計割引
000102：朝割
000103：メガ割</t>
    <phoneticPr fontId="4"/>
  </si>
  <si>
    <t>MethodCode</t>
  </si>
  <si>
    <t>固定値[02]</t>
    <rPh sb="0" eb="3">
      <t>コテイチ</t>
    </rPh>
    <phoneticPr fontId="4"/>
  </si>
  <si>
    <t>DiscountValue</t>
  </si>
  <si>
    <t>（小計割引率）</t>
    <rPh sb="1" eb="3">
      <t>ショウケイ</t>
    </rPh>
    <rPh sb="3" eb="5">
      <t>ワリビキ</t>
    </rPh>
    <rPh sb="5" eb="6">
      <t>リツ</t>
    </rPh>
    <phoneticPr fontId="4"/>
  </si>
  <si>
    <t>割引時は割引率、値引時は値引金額</t>
    <phoneticPr fontId="4"/>
  </si>
  <si>
    <t>小計値引額（計）</t>
    <rPh sb="0" eb="2">
      <t>ショウケイ</t>
    </rPh>
    <phoneticPr fontId="8"/>
  </si>
  <si>
    <t>小計値引額＋小計割引額</t>
    <rPh sb="0" eb="2">
      <t>ショウケイ</t>
    </rPh>
    <rPh sb="2" eb="4">
      <t>ネビ</t>
    </rPh>
    <rPh sb="4" eb="5">
      <t>ガク</t>
    </rPh>
    <rPh sb="6" eb="8">
      <t>ショウケイ</t>
    </rPh>
    <rPh sb="8" eb="11">
      <t>ワリビキガク</t>
    </rPh>
    <phoneticPr fontId="4"/>
  </si>
  <si>
    <t>小計値引額（計）</t>
    <phoneticPr fontId="4"/>
  </si>
  <si>
    <t>TargetAmount</t>
    <phoneticPr fontId="4"/>
  </si>
  <si>
    <t>商品明細の中で値下対象となる金額</t>
    <rPh sb="14" eb="16">
      <t>キンガク</t>
    </rPh>
    <phoneticPr fontId="4"/>
  </si>
  <si>
    <t>小計額</t>
    <rPh sb="0" eb="2">
      <t>ショウケイ</t>
    </rPh>
    <rPh sb="2" eb="3">
      <t>ガク</t>
    </rPh>
    <phoneticPr fontId="4"/>
  </si>
  <si>
    <t>商品明細の中で値下対象となる個数</t>
    <phoneticPr fontId="4"/>
  </si>
  <si>
    <t>小計額対象数</t>
    <rPh sb="0" eb="2">
      <t>ショウケイ</t>
    </rPh>
    <rPh sb="2" eb="3">
      <t>ガク</t>
    </rPh>
    <rPh sb="3" eb="5">
      <t>タイショウ</t>
    </rPh>
    <rPh sb="5" eb="6">
      <t>スウ</t>
    </rPh>
    <phoneticPr fontId="4"/>
  </si>
  <si>
    <t>マニュアル小計値引
　・"小計値引"固定
マニュアル小計割引
　・"小計割引"固定
メガ割
　・"対象品割引合計額割引"固定
朝割
　・"対象品割引合計額割引"固定</t>
    <rPh sb="5" eb="7">
      <t>ショウケイ</t>
    </rPh>
    <rPh sb="7" eb="9">
      <t>ネビ</t>
    </rPh>
    <rPh sb="13" eb="15">
      <t>ショウケイ</t>
    </rPh>
    <rPh sb="15" eb="17">
      <t>ネビ</t>
    </rPh>
    <rPh sb="18" eb="20">
      <t>コテイ</t>
    </rPh>
    <rPh sb="26" eb="28">
      <t>ショウケイ</t>
    </rPh>
    <rPh sb="28" eb="30">
      <t>ワリビキ</t>
    </rPh>
    <rPh sb="34" eb="36">
      <t>ショウケイ</t>
    </rPh>
    <rPh sb="36" eb="38">
      <t>ワリビキ</t>
    </rPh>
    <rPh sb="39" eb="41">
      <t>コテイ</t>
    </rPh>
    <rPh sb="44" eb="45">
      <t>ワリ</t>
    </rPh>
    <rPh sb="63" eb="64">
      <t>アサ</t>
    </rPh>
    <rPh sb="64" eb="65">
      <t>ワリ</t>
    </rPh>
    <rPh sb="69" eb="72">
      <t>タイショウヒン</t>
    </rPh>
    <rPh sb="72" eb="74">
      <t>ワリビキ</t>
    </rPh>
    <rPh sb="74" eb="76">
      <t>ゴウケイ</t>
    </rPh>
    <rPh sb="76" eb="77">
      <t>ガク</t>
    </rPh>
    <rPh sb="77" eb="79">
      <t>ワリビキ</t>
    </rPh>
    <rPh sb="80" eb="82">
      <t>コテイ</t>
    </rPh>
    <phoneticPr fontId="4"/>
  </si>
  <si>
    <t>固定値[対象品割引合計額割引]</t>
    <rPh sb="0" eb="3">
      <t>コテイチ</t>
    </rPh>
    <phoneticPr fontId="4"/>
  </si>
  <si>
    <t>マニュアル小計値引
　・"小計値引"固定
マニュアル小計割引
　・"小計割引"固定
メガ割
　・"対象品割引合計額割引"固定
朝割
　・"対象品割引合計額割引"固定</t>
    <rPh sb="5" eb="7">
      <t>ショウケイ</t>
    </rPh>
    <rPh sb="7" eb="9">
      <t>ネビ</t>
    </rPh>
    <rPh sb="13" eb="15">
      <t>ショウケイ</t>
    </rPh>
    <rPh sb="15" eb="17">
      <t>ネビ</t>
    </rPh>
    <rPh sb="18" eb="20">
      <t>コテイ</t>
    </rPh>
    <rPh sb="26" eb="28">
      <t>ショウケイ</t>
    </rPh>
    <rPh sb="28" eb="30">
      <t>ワリビキ</t>
    </rPh>
    <rPh sb="34" eb="36">
      <t>ショウケイ</t>
    </rPh>
    <rPh sb="36" eb="38">
      <t>ワリビキ</t>
    </rPh>
    <rPh sb="39" eb="41">
      <t>コテイ</t>
    </rPh>
    <rPh sb="44" eb="45">
      <t>ワリ</t>
    </rPh>
    <rPh sb="57" eb="59">
      <t>ワリビキ</t>
    </rPh>
    <rPh sb="60" eb="62">
      <t>コテイ</t>
    </rPh>
    <rPh sb="63" eb="64">
      <t>アサ</t>
    </rPh>
    <rPh sb="64" eb="65">
      <t>ワリ</t>
    </rPh>
    <rPh sb="69" eb="72">
      <t>タイショウヒン</t>
    </rPh>
    <rPh sb="72" eb="74">
      <t>ワリビキ</t>
    </rPh>
    <rPh sb="74" eb="76">
      <t>ゴウケイ</t>
    </rPh>
    <rPh sb="76" eb="77">
      <t>ガク</t>
    </rPh>
    <rPh sb="77" eb="79">
      <t>ワリビキ</t>
    </rPh>
    <rPh sb="80" eb="82">
      <t>コテイ</t>
    </rPh>
    <phoneticPr fontId="4"/>
  </si>
  <si>
    <t>固定値[対象品割引合計額割引]</t>
    <phoneticPr fontId="4"/>
  </si>
  <si>
    <t>Payment</t>
  </si>
  <si>
    <t>LineNo</t>
    <phoneticPr fontId="4"/>
  </si>
  <si>
    <t>支払行番号</t>
    <phoneticPr fontId="4"/>
  </si>
  <si>
    <t>1取引内の支払行番号</t>
    <rPh sb="1" eb="3">
      <t>トリヒキ</t>
    </rPh>
    <rPh sb="3" eb="4">
      <t>ウチ</t>
    </rPh>
    <rPh sb="5" eb="7">
      <t>シハライ</t>
    </rPh>
    <rPh sb="7" eb="8">
      <t>ギョウ</t>
    </rPh>
    <rPh sb="8" eb="10">
      <t>バンゴウ</t>
    </rPh>
    <phoneticPr fontId="8"/>
  </si>
  <si>
    <t>PaymentCode</t>
  </si>
  <si>
    <t>支払コード</t>
    <phoneticPr fontId="4"/>
  </si>
  <si>
    <t>クレジット支払時：11
ApplePay支払時：14
GooglePay支払時：15
バリュー支払時：16</t>
    <rPh sb="5" eb="7">
      <t>シハライ</t>
    </rPh>
    <rPh sb="7" eb="8">
      <t>ジ</t>
    </rPh>
    <rPh sb="20" eb="22">
      <t>シハライ</t>
    </rPh>
    <rPh sb="22" eb="23">
      <t>ジ</t>
    </rPh>
    <rPh sb="36" eb="38">
      <t>シハライ</t>
    </rPh>
    <rPh sb="38" eb="39">
      <t>ジ</t>
    </rPh>
    <phoneticPr fontId="4"/>
  </si>
  <si>
    <t>ACSの場合、:[11;手書きクレジット]
バリューの場合、:[16;バリュー]
PayPayの場合、:[17;PayPay]</t>
    <rPh sb="48" eb="50">
      <t>バアイ</t>
    </rPh>
    <phoneticPr fontId="4"/>
  </si>
  <si>
    <t>01：現金
02：券類
03：クレジット
06：電子マネー
10：その他現金
11：手書きクレジット
12：オフWAON
13：WAON所持金不足
ACSの場合：固定値[03]</t>
  </si>
  <si>
    <t>PaymentSubCode</t>
    <phoneticPr fontId="4"/>
  </si>
  <si>
    <t>支払サブコード</t>
    <rPh sb="0" eb="2">
      <t>シハライ</t>
    </rPh>
    <phoneticPr fontId="4"/>
  </si>
  <si>
    <t>券類支払時：TicketCodeセット
電子マネー支払時：EmoneyCodeセット</t>
    <rPh sb="0" eb="1">
      <t>ケン</t>
    </rPh>
    <rPh sb="1" eb="2">
      <t>ルイ</t>
    </rPh>
    <rPh sb="2" eb="4">
      <t>シハラ</t>
    </rPh>
    <rPh sb="4" eb="5">
      <t>トキ</t>
    </rPh>
    <rPh sb="20" eb="22">
      <t>デンシ</t>
    </rPh>
    <rPh sb="25" eb="27">
      <t>シハラ</t>
    </rPh>
    <rPh sb="27" eb="28">
      <t>トキ</t>
    </rPh>
    <phoneticPr fontId="4"/>
  </si>
  <si>
    <t>ACS、バリューの場合
　固定値 [&amp;lt;PaymentSubCode /&amp;gt;]
PayPayの場合
　固定値 [7]</t>
    <rPh sb="9" eb="11">
      <t>バアイ</t>
    </rPh>
    <rPh sb="13" eb="16">
      <t>コテイチ</t>
    </rPh>
    <rPh sb="51" eb="53">
      <t>バアイ</t>
    </rPh>
    <rPh sb="55" eb="58">
      <t>コテイチ</t>
    </rPh>
    <phoneticPr fontId="4"/>
  </si>
  <si>
    <t>PaymentSummaryGroupCode</t>
  </si>
  <si>
    <t>集計グループコード</t>
    <phoneticPr fontId="4"/>
  </si>
  <si>
    <r>
      <t>クレジット支払時：03
ApplePay支払時：18
GooglePay支払時：</t>
    </r>
    <r>
      <rPr>
        <sz val="11"/>
        <color rgb="FFFF0000"/>
        <rFont val="ＭＳ Ｐゴシック"/>
        <family val="3"/>
        <charset val="128"/>
      </rPr>
      <t>21</t>
    </r>
    <r>
      <rPr>
        <sz val="11"/>
        <color theme="1"/>
        <rFont val="ＭＳ Ｐゴシック"/>
        <family val="3"/>
        <charset val="128"/>
      </rPr>
      <t xml:space="preserve">
バリュー支払時：20</t>
    </r>
    <rPh sb="5" eb="7">
      <t>シハライ</t>
    </rPh>
    <rPh sb="7" eb="8">
      <t>ジ</t>
    </rPh>
    <rPh sb="20" eb="22">
      <t>シハライ</t>
    </rPh>
    <rPh sb="22" eb="23">
      <t>ジ</t>
    </rPh>
    <rPh sb="36" eb="38">
      <t>シハライ</t>
    </rPh>
    <rPh sb="38" eb="39">
      <t>ジ</t>
    </rPh>
    <phoneticPr fontId="4"/>
  </si>
  <si>
    <t>ACSの場合、:固定値 [13]
バリューの場合、:固定値 [20]
PayPayの場合、:固定値 [35]</t>
    <rPh sb="10" eb="11">
      <t>アタイ</t>
    </rPh>
    <phoneticPr fontId="4"/>
  </si>
  <si>
    <t xml:space="preserve">01：現金
02：商品券
03：カスミイオン
04：カード売上
14：その他現金
15：WAON
16：オフWAON
17：WAON所持金不足
</t>
    <phoneticPr fontId="4"/>
  </si>
  <si>
    <t>PaymentSummaryGroupDescription</t>
  </si>
  <si>
    <t>集計グループ名称</t>
    <phoneticPr fontId="4"/>
  </si>
  <si>
    <t>取引別レポートの支払種別毎の印字される名称
クレジット支払時：ｶｽﾐｲｵﾝ
ApplePay支払時：ApplePay
GooglePay支払時：GooglePay
バリュー支払時：バリュー</t>
    <phoneticPr fontId="8"/>
  </si>
  <si>
    <t>ACSの場合、:固定値 [ｶｽﾐｲｵﾝ]
バリューの場合、固定値 [バリュー]
PayPayの場合、固定値 [PayPay]</t>
    <phoneticPr fontId="4"/>
  </si>
  <si>
    <t>ACSの場合、:固定値 [ｶｽﾐｲｵﾝ]
バリューの場合、固定値 [バリュー]</t>
    <rPh sb="4" eb="6">
      <t>バアイ</t>
    </rPh>
    <rPh sb="8" eb="11">
      <t>コテイチ</t>
    </rPh>
    <rPh sb="26" eb="28">
      <t>バアイ</t>
    </rPh>
    <rPh sb="29" eb="32">
      <t>コテイチ</t>
    </rPh>
    <phoneticPr fontId="24"/>
  </si>
  <si>
    <t>FaceAmount</t>
    <phoneticPr fontId="4"/>
  </si>
  <si>
    <t>券額面金額</t>
    <phoneticPr fontId="4"/>
  </si>
  <si>
    <t>DepositAmount</t>
  </si>
  <si>
    <t>預かり金額</t>
    <phoneticPr fontId="4"/>
  </si>
  <si>
    <t>絶対値（支払金額）</t>
    <rPh sb="0" eb="3">
      <t>ゼッタイチ</t>
    </rPh>
    <rPh sb="4" eb="6">
      <t>シハライ</t>
    </rPh>
    <rPh sb="6" eb="8">
      <t>キンガク</t>
    </rPh>
    <phoneticPr fontId="4"/>
  </si>
  <si>
    <t>支払金額</t>
    <phoneticPr fontId="4"/>
  </si>
  <si>
    <t>支払行番号毎の支払金額
※同一支払種別である場合、レシート上は合算
　 取引ログは額面毎にセット(支払行番号単位)</t>
    <phoneticPr fontId="8"/>
  </si>
  <si>
    <t>支払金額に小数部4桁を付与
絶対値（支払金額 + ".0000"）</t>
    <rPh sb="0" eb="2">
      <t>シハライ</t>
    </rPh>
    <rPh sb="2" eb="4">
      <t>キンガク</t>
    </rPh>
    <rPh sb="5" eb="8">
      <t>ショウスウブ</t>
    </rPh>
    <rPh sb="9" eb="10">
      <t>ケタ</t>
    </rPh>
    <rPh sb="11" eb="13">
      <t>フヨ</t>
    </rPh>
    <rPh sb="14" eb="17">
      <t>ゼッタイチ</t>
    </rPh>
    <rPh sb="18" eb="20">
      <t>シハライ</t>
    </rPh>
    <rPh sb="20" eb="22">
      <t>キンガク</t>
    </rPh>
    <phoneticPr fontId="4"/>
  </si>
  <si>
    <t>TicketCount</t>
  </si>
  <si>
    <t>チケット枚数</t>
    <phoneticPr fontId="4"/>
  </si>
  <si>
    <t>券類支払：1
上記以外：0</t>
    <phoneticPr fontId="4"/>
  </si>
  <si>
    <t>TicketNoChangeAmount</t>
  </si>
  <si>
    <t>券釣り</t>
    <phoneticPr fontId="4"/>
  </si>
  <si>
    <t>支払種別名称</t>
    <phoneticPr fontId="4"/>
  </si>
  <si>
    <t>クレジット支払時：手書ｸﾚｼﾞｯﾄ
ApplePay支払時：ApplePay
GooglePay支払時：GooglePay
バリュー支払時：バリュー</t>
    <rPh sb="9" eb="11">
      <t>テガ</t>
    </rPh>
    <phoneticPr fontId="4"/>
  </si>
  <si>
    <t>ACSの場合、固定値[手書ｸﾚｼﾞｯﾄ]
バリューの場合、固定値[バリュー]
PayPayの場合、固定値[PayPay]</t>
    <rPh sb="4" eb="6">
      <t>バアイ</t>
    </rPh>
    <rPh sb="7" eb="10">
      <t>コテイチ</t>
    </rPh>
    <phoneticPr fontId="4"/>
  </si>
  <si>
    <t>TicketChangeAmount</t>
  </si>
  <si>
    <t>現金券釣り</t>
    <phoneticPr fontId="4"/>
  </si>
  <si>
    <t>IsRevenueStampTarget</t>
    <phoneticPr fontId="4"/>
  </si>
  <si>
    <t>収入印紙対象であるか</t>
    <rPh sb="0" eb="2">
      <t>シュウニュウ</t>
    </rPh>
    <rPh sb="2" eb="4">
      <t>インシ</t>
    </rPh>
    <rPh sb="4" eb="6">
      <t>タイショウ</t>
    </rPh>
    <phoneticPr fontId="4"/>
  </si>
  <si>
    <t>1：印紙対象
0：印紙対象外</t>
    <phoneticPr fontId="8"/>
  </si>
  <si>
    <t>TaxDivided</t>
    <phoneticPr fontId="4"/>
  </si>
  <si>
    <t>税の按分額</t>
    <rPh sb="0" eb="1">
      <t>ゼイ</t>
    </rPh>
    <rPh sb="2" eb="4">
      <t>アンブン</t>
    </rPh>
    <rPh sb="4" eb="5">
      <t>ガク</t>
    </rPh>
    <phoneticPr fontId="4"/>
  </si>
  <si>
    <t>外税対象金額を支払金額で按分した値を格納</t>
    <rPh sb="7" eb="9">
      <t>シハライ</t>
    </rPh>
    <rPh sb="9" eb="11">
      <t>キンガク</t>
    </rPh>
    <rPh sb="12" eb="14">
      <t>アンブン</t>
    </rPh>
    <rPh sb="16" eb="17">
      <t>アタイ</t>
    </rPh>
    <rPh sb="18" eb="20">
      <t>カクノウ</t>
    </rPh>
    <phoneticPr fontId="4"/>
  </si>
  <si>
    <t>VoidedTranCashDepositAmount</t>
  </si>
  <si>
    <t>元取引現金返金額</t>
    <rPh sb="3" eb="5">
      <t>ゲンキン</t>
    </rPh>
    <phoneticPr fontId="4"/>
  </si>
  <si>
    <t>ポイント除外フラグ</t>
    <phoneticPr fontId="4"/>
  </si>
  <si>
    <t>True：ポイント対象外
False：ポイント対象</t>
    <phoneticPr fontId="4"/>
  </si>
  <si>
    <t>IsRestorePayment</t>
    <phoneticPr fontId="4"/>
  </si>
  <si>
    <t>元取引復元明細</t>
    <rPh sb="0" eb="1">
      <t>モト</t>
    </rPh>
    <rPh sb="1" eb="3">
      <t>トリヒキ</t>
    </rPh>
    <rPh sb="3" eb="5">
      <t>フクゲン</t>
    </rPh>
    <rPh sb="5" eb="7">
      <t>メイサイ</t>
    </rPh>
    <phoneticPr fontId="4"/>
  </si>
  <si>
    <t>True：元取引から復元された明細
False：この取引で発生した明細</t>
    <rPh sb="5" eb="6">
      <t>モト</t>
    </rPh>
    <rPh sb="6" eb="8">
      <t>トリヒキ</t>
    </rPh>
    <rPh sb="10" eb="12">
      <t>フクゲン</t>
    </rPh>
    <rPh sb="15" eb="17">
      <t>メイサイ</t>
    </rPh>
    <rPh sb="26" eb="28">
      <t>トリヒキ</t>
    </rPh>
    <rPh sb="29" eb="31">
      <t>ハッセイ</t>
    </rPh>
    <rPh sb="33" eb="35">
      <t>メイサイ</t>
    </rPh>
    <phoneticPr fontId="4"/>
  </si>
  <si>
    <t>返品時には固定値[false]、返品以外は[true]</t>
    <rPh sb="0" eb="2">
      <t>ヘンピン</t>
    </rPh>
    <rPh sb="2" eb="3">
      <t>ジ</t>
    </rPh>
    <rPh sb="5" eb="8">
      <t>コテイチ</t>
    </rPh>
    <rPh sb="16" eb="18">
      <t>ヘンピン</t>
    </rPh>
    <rPh sb="18" eb="20">
      <t>イガイ</t>
    </rPh>
    <phoneticPr fontId="4"/>
  </si>
  <si>
    <t>InputDepositAmount</t>
  </si>
  <si>
    <t>入力金額</t>
    <phoneticPr fontId="4"/>
  </si>
  <si>
    <t>支払行番号毎の支払金額</t>
  </si>
  <si>
    <t>NonCountForSales</t>
    <phoneticPr fontId="4"/>
  </si>
  <si>
    <t>売上外充当額</t>
    <phoneticPr fontId="4"/>
  </si>
  <si>
    <t>支払金額のうち、売上外商品に充当した金額</t>
    <phoneticPr fontId="4"/>
  </si>
  <si>
    <t>OriginalTransactionHeader</t>
    <phoneticPr fontId="4"/>
  </si>
  <si>
    <t>TransactionNo</t>
    <phoneticPr fontId="4"/>
  </si>
  <si>
    <t>店別永続通番18桁（サイクリック）</t>
    <phoneticPr fontId="4"/>
  </si>
  <si>
    <t>OriginalTransactionNo</t>
    <phoneticPr fontId="4"/>
  </si>
  <si>
    <t>元取引の取引番号</t>
    <rPh sb="0" eb="1">
      <t>モト</t>
    </rPh>
    <rPh sb="1" eb="3">
      <t>トリヒキ</t>
    </rPh>
    <phoneticPr fontId="4"/>
  </si>
  <si>
    <t>元取引（店別永続通番18桁（サイクリック））</t>
    <rPh sb="0" eb="1">
      <t>モト</t>
    </rPh>
    <rPh sb="1" eb="3">
      <t>トリヒキ</t>
    </rPh>
    <rPh sb="4" eb="5">
      <t>ミセ</t>
    </rPh>
    <rPh sb="5" eb="6">
      <t>ベツ</t>
    </rPh>
    <rPh sb="6" eb="8">
      <t>エイゾク</t>
    </rPh>
    <rPh sb="8" eb="10">
      <t>ツウバン</t>
    </rPh>
    <rPh sb="12" eb="13">
      <t>ケタ</t>
    </rPh>
    <phoneticPr fontId="4"/>
  </si>
  <si>
    <t>OriginalStoreCode</t>
    <phoneticPr fontId="4"/>
  </si>
  <si>
    <t>元取引の店舗コード</t>
    <phoneticPr fontId="4"/>
  </si>
  <si>
    <t>元取引（店舗コード）</t>
    <rPh sb="4" eb="6">
      <t>テンポ</t>
    </rPh>
    <phoneticPr fontId="4"/>
  </si>
  <si>
    <t>OriginalTerminalNo</t>
    <phoneticPr fontId="4"/>
  </si>
  <si>
    <t>元取引の端末番号</t>
    <phoneticPr fontId="4"/>
  </si>
  <si>
    <t>元取引（端末コード）</t>
    <rPh sb="4" eb="6">
      <t>タンマツ</t>
    </rPh>
    <phoneticPr fontId="4"/>
  </si>
  <si>
    <t>OriginalSystemDateTime</t>
    <phoneticPr fontId="4"/>
  </si>
  <si>
    <t>元取引のシステム時刻</t>
    <phoneticPr fontId="4"/>
  </si>
  <si>
    <t>元取引（取引日時）</t>
    <rPh sb="4" eb="6">
      <t>トリヒキ</t>
    </rPh>
    <rPh sb="6" eb="8">
      <t>ニチジ</t>
    </rPh>
    <phoneticPr fontId="4"/>
  </si>
  <si>
    <t>OriginalBusinessDate</t>
    <phoneticPr fontId="4"/>
  </si>
  <si>
    <t>元取引の営業日</t>
    <phoneticPr fontId="4"/>
  </si>
  <si>
    <t>OriginalTransactionType</t>
    <phoneticPr fontId="4"/>
  </si>
  <si>
    <t>元取引の取引種別</t>
    <phoneticPr fontId="4"/>
  </si>
  <si>
    <t>売上[101]
返品 [111]
開設 [201]
精算 [202]</t>
    <phoneticPr fontId="4"/>
  </si>
  <si>
    <t>売上[101]
開設 [201]
精算 [202]
※返品無し</t>
    <rPh sb="0" eb="2">
      <t>ウリアゲ</t>
    </rPh>
    <rPh sb="8" eb="10">
      <t>カイセツ</t>
    </rPh>
    <rPh sb="17" eb="19">
      <t>セイサン</t>
    </rPh>
    <rPh sb="27" eb="29">
      <t>ヘンピン</t>
    </rPh>
    <rPh sb="29" eb="30">
      <t>ナ</t>
    </rPh>
    <phoneticPr fontId="24"/>
  </si>
  <si>
    <t>OriginalReceiptNo</t>
    <phoneticPr fontId="4"/>
  </si>
  <si>
    <t>元取引のレシート番号</t>
    <phoneticPr fontId="4"/>
  </si>
  <si>
    <t>店別永続通番4桁（サイクリック）</t>
    <phoneticPr fontId="4"/>
  </si>
  <si>
    <t>OriginalOperatorCode</t>
    <phoneticPr fontId="4"/>
  </si>
  <si>
    <t>元取引の担当者コード</t>
    <phoneticPr fontId="4"/>
  </si>
  <si>
    <t>固定値 [9999999]</t>
    <rPh sb="0" eb="3">
      <t>コテイチ</t>
    </rPh>
    <phoneticPr fontId="4"/>
  </si>
  <si>
    <t>OriginalOperatorName</t>
    <phoneticPr fontId="4"/>
  </si>
  <si>
    <t>元取引の担当者名</t>
    <phoneticPr fontId="4"/>
  </si>
  <si>
    <t>固定値 [FjSmartPOS]</t>
    <rPh sb="0" eb="3">
      <t>コテイチ</t>
    </rPh>
    <phoneticPr fontId="4"/>
  </si>
  <si>
    <t>OpenCount</t>
    <phoneticPr fontId="4"/>
  </si>
  <si>
    <t>ChangeReserveAmount</t>
  </si>
  <si>
    <t>釣銭準備金（ドロア＋釣銭機）</t>
    <rPh sb="0" eb="2">
      <t>ツリセン</t>
    </rPh>
    <rPh sb="2" eb="5">
      <t>ジュンビキン</t>
    </rPh>
    <rPh sb="10" eb="13">
      <t>ツリセンキ</t>
    </rPh>
    <phoneticPr fontId="4"/>
  </si>
  <si>
    <t>開設時に画面で入力された汚損金＋釣銭機</t>
  </si>
  <si>
    <t>固定値 [0]</t>
    <rPh sb="0" eb="3">
      <t>コテイチ</t>
    </rPh>
    <phoneticPr fontId="8"/>
  </si>
  <si>
    <t>OpenCount</t>
  </si>
  <si>
    <t>開設回数</t>
    <phoneticPr fontId="4"/>
  </si>
  <si>
    <t>同営業日内での開設回数</t>
    <phoneticPr fontId="8"/>
  </si>
  <si>
    <t>固定値 [&amp;lt;OpenCount /&amp;gt]</t>
    <rPh sb="0" eb="3">
      <t>コテイチ</t>
    </rPh>
    <phoneticPr fontId="8"/>
  </si>
  <si>
    <t>CloseCount</t>
  </si>
  <si>
    <t>同営業日内での開設回数</t>
  </si>
  <si>
    <t>MasterData</t>
    <phoneticPr fontId="4"/>
  </si>
  <si>
    <t>XmlString</t>
    <phoneticPr fontId="4"/>
  </si>
  <si>
    <t>マスタデータ</t>
    <phoneticPr fontId="4"/>
  </si>
  <si>
    <t>TranMasterDataSetをxml化したデータ</t>
  </si>
  <si>
    <t>本タグは出力無し</t>
    <phoneticPr fontId="4"/>
  </si>
  <si>
    <t>空タグのみ
[&amp;lt;MasterData /&amp;gt;] とする。</t>
    <rPh sb="0" eb="1">
      <t>カラ</t>
    </rPh>
    <phoneticPr fontId="4"/>
  </si>
  <si>
    <t>Version</t>
    <phoneticPr fontId="4"/>
  </si>
  <si>
    <t>CurrentVersion</t>
    <phoneticPr fontId="4"/>
  </si>
  <si>
    <t>バージョン番号</t>
    <phoneticPr fontId="4"/>
  </si>
  <si>
    <t>Y</t>
    <phoneticPr fontId="4"/>
  </si>
  <si>
    <t>取引ログ作成時の取引ログバージョン</t>
    <rPh sb="0" eb="2">
      <t>トリヒキ</t>
    </rPh>
    <rPh sb="4" eb="6">
      <t>サクセイ</t>
    </rPh>
    <rPh sb="6" eb="7">
      <t>ジ</t>
    </rPh>
    <phoneticPr fontId="4"/>
  </si>
  <si>
    <t>本タグは出力無し</t>
    <rPh sb="0" eb="1">
      <t>ホン</t>
    </rPh>
    <rPh sb="4" eb="6">
      <t>シュツリョク</t>
    </rPh>
    <rPh sb="6" eb="7">
      <t>ナ</t>
    </rPh>
    <phoneticPr fontId="4"/>
  </si>
  <si>
    <t>ProgramVersion</t>
    <phoneticPr fontId="4"/>
  </si>
  <si>
    <t>プログラムバージョン番号</t>
    <phoneticPr fontId="4"/>
  </si>
  <si>
    <r>
      <t xml:space="preserve">プログラムのバージョン </t>
    </r>
    <r>
      <rPr>
        <sz val="11"/>
        <rFont val="ＭＳ Ｐゴシック"/>
        <family val="3"/>
        <charset val="128"/>
      </rPr>
      <t>V1.1</t>
    </r>
    <phoneticPr fontId="4"/>
  </si>
  <si>
    <t>空タグのみ
[&amp;lt;Version /&amp;gt;] とする。</t>
    <rPh sb="0" eb="1">
      <t>カラ</t>
    </rPh>
    <phoneticPr fontId="4"/>
  </si>
  <si>
    <t>CalculatedCash</t>
  </si>
  <si>
    <t>在高登録
　設定項目</t>
    <rPh sb="0" eb="1">
      <t>ア</t>
    </rPh>
    <rPh sb="1" eb="2">
      <t>ダカ</t>
    </rPh>
    <rPh sb="2" eb="4">
      <t>トウロク</t>
    </rPh>
    <rPh sb="6" eb="8">
      <t>セッテイ</t>
    </rPh>
    <rPh sb="8" eb="10">
      <t>コウモク</t>
    </rPh>
    <phoneticPr fontId="4"/>
  </si>
  <si>
    <t>釣銭準備金登録
　設定項目</t>
    <rPh sb="0" eb="2">
      <t>ツリセン</t>
    </rPh>
    <rPh sb="2" eb="4">
      <t>ジュンビ</t>
    </rPh>
    <rPh sb="4" eb="5">
      <t>キン</t>
    </rPh>
    <rPh sb="5" eb="7">
      <t>トウロク</t>
    </rPh>
    <rPh sb="9" eb="11">
      <t>セッテイ</t>
    </rPh>
    <rPh sb="11" eb="13">
      <t>コウモク</t>
    </rPh>
    <phoneticPr fontId="4"/>
  </si>
  <si>
    <t>○</t>
    <phoneticPr fontId="4"/>
  </si>
  <si>
    <t>TenThousandCount</t>
  </si>
  <si>
    <t>1万円札の数</t>
    <phoneticPr fontId="4"/>
  </si>
  <si>
    <t>FiveThousandCount</t>
  </si>
  <si>
    <t>5千円札の数</t>
    <phoneticPr fontId="4"/>
  </si>
  <si>
    <t>TwoThousandCount</t>
  </si>
  <si>
    <t>2千円札の数</t>
    <phoneticPr fontId="4"/>
  </si>
  <si>
    <t>OneThousandCount</t>
  </si>
  <si>
    <t>千円札の数</t>
    <phoneticPr fontId="4"/>
  </si>
  <si>
    <t>FiveHundredCount</t>
  </si>
  <si>
    <t>500円硬貨の数</t>
    <phoneticPr fontId="4"/>
  </si>
  <si>
    <t>FiveHundredSticks</t>
  </si>
  <si>
    <t>500円本数</t>
    <phoneticPr fontId="4"/>
  </si>
  <si>
    <t>OneHundredCount</t>
  </si>
  <si>
    <t>100円硬貨の数</t>
    <phoneticPr fontId="4"/>
  </si>
  <si>
    <t>OneHundredSticks</t>
  </si>
  <si>
    <t>１00円本数</t>
    <phoneticPr fontId="4"/>
  </si>
  <si>
    <t>FiftyCount</t>
  </si>
  <si>
    <t>50円硬貨の数</t>
    <phoneticPr fontId="4"/>
  </si>
  <si>
    <t>FiftySticks</t>
  </si>
  <si>
    <t>50円本数</t>
    <phoneticPr fontId="4"/>
  </si>
  <si>
    <t>TenCount</t>
  </si>
  <si>
    <t>10円硬貨の数</t>
    <phoneticPr fontId="4"/>
  </si>
  <si>
    <t>TenSticks</t>
  </si>
  <si>
    <t>10円本数</t>
    <phoneticPr fontId="4"/>
  </si>
  <si>
    <t>FiveCount</t>
  </si>
  <si>
    <t>5円硬貨の数</t>
    <phoneticPr fontId="4"/>
  </si>
  <si>
    <t>FiveSticks</t>
  </si>
  <si>
    <t>5円本数</t>
    <phoneticPr fontId="4"/>
  </si>
  <si>
    <t>OneCount</t>
  </si>
  <si>
    <t>1円硬貨の数</t>
    <phoneticPr fontId="4"/>
  </si>
  <si>
    <t>OneSticks</t>
  </si>
  <si>
    <t>1円本数</t>
    <phoneticPr fontId="4"/>
  </si>
  <si>
    <t>InputCash</t>
  </si>
  <si>
    <t>ドロア合計</t>
    <rPh sb="3" eb="5">
      <t>ゴウケイ</t>
    </rPh>
    <phoneticPr fontId="4"/>
  </si>
  <si>
    <t>HasCashChanger</t>
    <phoneticPr fontId="4"/>
  </si>
  <si>
    <t>釣銭機接続設定</t>
    <rPh sb="3" eb="5">
      <t>セツゾク</t>
    </rPh>
    <rPh sb="5" eb="7">
      <t>セッテイ</t>
    </rPh>
    <phoneticPr fontId="4"/>
  </si>
  <si>
    <t>DevicePlugin.xmlの設定</t>
    <rPh sb="17" eb="19">
      <t>セッテイ</t>
    </rPh>
    <phoneticPr fontId="4"/>
  </si>
  <si>
    <t>CashChangerTenThousandCount</t>
    <phoneticPr fontId="4"/>
  </si>
  <si>
    <t>釣銭機10000円の枚数</t>
    <rPh sb="0" eb="2">
      <t>ツリセン</t>
    </rPh>
    <rPh sb="2" eb="3">
      <t>キ</t>
    </rPh>
    <phoneticPr fontId="0"/>
  </si>
  <si>
    <t>CashChangerFiveThousandCount</t>
    <phoneticPr fontId="4"/>
  </si>
  <si>
    <t>釣銭機5000円の枚数</t>
    <phoneticPr fontId="4"/>
  </si>
  <si>
    <t>CashChangerTwoThousandCount</t>
    <phoneticPr fontId="4"/>
  </si>
  <si>
    <t>釣銭機2000円の枚数</t>
    <phoneticPr fontId="4"/>
  </si>
  <si>
    <t>CashChangerOneThousandCount</t>
    <phoneticPr fontId="4"/>
  </si>
  <si>
    <t>釣銭機1000円の枚数</t>
    <phoneticPr fontId="4"/>
  </si>
  <si>
    <t>CashChangerFiveHundredCount</t>
    <phoneticPr fontId="4"/>
  </si>
  <si>
    <t>釣銭機500円の枚数</t>
    <phoneticPr fontId="4"/>
  </si>
  <si>
    <t>CashChangerOneHundredCount</t>
    <phoneticPr fontId="4"/>
  </si>
  <si>
    <t>釣銭機100円の枚数</t>
    <phoneticPr fontId="4"/>
  </si>
  <si>
    <t>CashChangerFiftyCount</t>
    <phoneticPr fontId="4"/>
  </si>
  <si>
    <t>釣銭機50円の枚数</t>
    <phoneticPr fontId="4"/>
  </si>
  <si>
    <t>CashChangerTenCount</t>
    <phoneticPr fontId="4"/>
  </si>
  <si>
    <t>釣銭機10円の枚数</t>
    <phoneticPr fontId="4"/>
  </si>
  <si>
    <t>CashChangerFiveCount</t>
    <phoneticPr fontId="4"/>
  </si>
  <si>
    <t>釣銭機5円の枚数</t>
    <phoneticPr fontId="4"/>
  </si>
  <si>
    <t>CashChangerOneCount</t>
    <phoneticPr fontId="4"/>
  </si>
  <si>
    <t>釣銭機1円の枚数</t>
    <phoneticPr fontId="4"/>
  </si>
  <si>
    <t>CashChangerRecoveryBox</t>
    <phoneticPr fontId="4"/>
  </si>
  <si>
    <t>釣銭機回収庫金額</t>
    <rPh sb="0" eb="2">
      <t>ツリセン</t>
    </rPh>
    <rPh sb="2" eb="3">
      <t>キ</t>
    </rPh>
    <rPh sb="3" eb="5">
      <t>カイシュウ</t>
    </rPh>
    <rPh sb="5" eb="6">
      <t>コ</t>
    </rPh>
    <rPh sb="6" eb="8">
      <t>キンガク</t>
    </rPh>
    <phoneticPr fontId="0"/>
  </si>
  <si>
    <t>CashInChanger</t>
  </si>
  <si>
    <t>釣銭機在高</t>
    <phoneticPr fontId="4"/>
  </si>
  <si>
    <t>釣銭機合計</t>
    <rPh sb="0" eb="2">
      <t>ツリセン</t>
    </rPh>
    <rPh sb="2" eb="3">
      <t>キ</t>
    </rPh>
    <rPh sb="3" eb="5">
      <t>ゴウケイ</t>
    </rPh>
    <phoneticPr fontId="4"/>
  </si>
  <si>
    <t>CashTotal</t>
    <phoneticPr fontId="4"/>
  </si>
  <si>
    <t>現金在高</t>
    <phoneticPr fontId="4"/>
  </si>
  <si>
    <t>ドロア合計+釣銭機合計</t>
    <rPh sb="3" eb="5">
      <t>ゴウケイ</t>
    </rPh>
    <rPh sb="6" eb="9">
      <t>ツリセンキ</t>
    </rPh>
    <rPh sb="9" eb="11">
      <t>ゴウケイ</t>
    </rPh>
    <phoneticPr fontId="4"/>
  </si>
  <si>
    <t>-</t>
    <phoneticPr fontId="4"/>
  </si>
  <si>
    <t>ChangeReserveAmount</t>
    <phoneticPr fontId="4"/>
  </si>
  <si>
    <t>釣銭準備金</t>
    <rPh sb="0" eb="2">
      <t>ツリセン</t>
    </rPh>
    <rPh sb="2" eb="4">
      <t>ジュンビ</t>
    </rPh>
    <rPh sb="4" eb="5">
      <t>キン</t>
    </rPh>
    <phoneticPr fontId="0"/>
  </si>
  <si>
    <t>CashSalesAmount</t>
    <phoneticPr fontId="4"/>
  </si>
  <si>
    <t>現金売上金額</t>
    <rPh sb="0" eb="2">
      <t>ゲンキン</t>
    </rPh>
    <rPh sb="2" eb="4">
      <t>ウリアゲ</t>
    </rPh>
    <rPh sb="4" eb="6">
      <t>キンガク</t>
    </rPh>
    <phoneticPr fontId="4"/>
  </si>
  <si>
    <t>CashInAmount</t>
  </si>
  <si>
    <t>入金金額</t>
    <rPh sb="0" eb="2">
      <t>ニュウキン</t>
    </rPh>
    <rPh sb="2" eb="4">
      <t>キンガク</t>
    </rPh>
    <phoneticPr fontId="0"/>
  </si>
  <si>
    <t>CashOutAmount</t>
  </si>
  <si>
    <t>出金金額</t>
    <rPh sb="0" eb="2">
      <t>シュッキン</t>
    </rPh>
    <rPh sb="2" eb="4">
      <t>キンガク</t>
    </rPh>
    <phoneticPr fontId="0"/>
  </si>
  <si>
    <t>CashChangerRecoveryAmount</t>
    <phoneticPr fontId="4"/>
  </si>
  <si>
    <t>釣銭機回収金額</t>
    <rPh sb="0" eb="2">
      <t>ツリセン</t>
    </rPh>
    <rPh sb="2" eb="3">
      <t>キ</t>
    </rPh>
    <rPh sb="3" eb="5">
      <t>カイシュウ</t>
    </rPh>
    <rPh sb="5" eb="7">
      <t>キンガク</t>
    </rPh>
    <phoneticPr fontId="0"/>
  </si>
  <si>
    <t>CashChangerReplenishAmount</t>
    <phoneticPr fontId="4"/>
  </si>
  <si>
    <t>釣銭機補充金額</t>
    <rPh sb="0" eb="2">
      <t>ツリセン</t>
    </rPh>
    <rPh sb="2" eb="3">
      <t>キ</t>
    </rPh>
    <rPh sb="3" eb="5">
      <t>ホジュウ</t>
    </rPh>
    <rPh sb="5" eb="7">
      <t>キンガク</t>
    </rPh>
    <phoneticPr fontId="0"/>
  </si>
  <si>
    <t>CalculatedCashTotal</t>
    <phoneticPr fontId="4"/>
  </si>
  <si>
    <t>あるべき現金(計算された金額）</t>
    <rPh sb="4" eb="6">
      <t>ゲンキン</t>
    </rPh>
    <rPh sb="7" eb="9">
      <t>ケイサン</t>
    </rPh>
    <rPh sb="12" eb="14">
      <t>キンガク</t>
    </rPh>
    <phoneticPr fontId="4"/>
  </si>
  <si>
    <t>DifferenceCash</t>
  </si>
  <si>
    <t>現金差額</t>
    <phoneticPr fontId="4"/>
  </si>
  <si>
    <t>現金在高　-　あるべき現金</t>
    <rPh sb="0" eb="2">
      <t>ゲンキン</t>
    </rPh>
    <rPh sb="2" eb="3">
      <t>ア</t>
    </rPh>
    <rPh sb="3" eb="4">
      <t>ダカ</t>
    </rPh>
    <rPh sb="11" eb="13">
      <t>ゲンキン</t>
    </rPh>
    <phoneticPr fontId="4"/>
  </si>
  <si>
    <t>InputNonExchangeTicketCount</t>
  </si>
  <si>
    <t>入力万券枚数</t>
    <phoneticPr fontId="4"/>
  </si>
  <si>
    <t>【万】キーを押下した回数</t>
  </si>
  <si>
    <t>DifferenceNonExchangeTicketCount</t>
  </si>
  <si>
    <t>万券枚数差分</t>
    <phoneticPr fontId="4"/>
  </si>
  <si>
    <t>OtherCash</t>
  </si>
  <si>
    <t>その他現金</t>
    <phoneticPr fontId="4"/>
  </si>
  <si>
    <t>PreviewAmount</t>
  </si>
  <si>
    <t>釣銭機残置金額</t>
    <phoneticPr fontId="4"/>
  </si>
  <si>
    <t>CalculatedCashChanger</t>
  </si>
  <si>
    <t>Int64</t>
    <phoneticPr fontId="4"/>
  </si>
  <si>
    <t>CashChangerTenThousandCount</t>
  </si>
  <si>
    <t>釣銭機10000円枚数</t>
    <phoneticPr fontId="4"/>
  </si>
  <si>
    <t>CashChangerFiveThousandCount</t>
  </si>
  <si>
    <t>釣銭機5000円枚数</t>
    <phoneticPr fontId="4"/>
  </si>
  <si>
    <t>CashChangerTwoThousandCount</t>
  </si>
  <si>
    <t>釣銭機2000円枚数</t>
    <phoneticPr fontId="4"/>
  </si>
  <si>
    <t>CashChangerOneThousandCount</t>
  </si>
  <si>
    <t>釣銭機1000円枚数</t>
    <phoneticPr fontId="4"/>
  </si>
  <si>
    <t>釣銭機500円枚数</t>
    <phoneticPr fontId="4"/>
  </si>
  <si>
    <t>CashChangerOneHundredCount</t>
  </si>
  <si>
    <t>釣銭機100円枚数</t>
    <phoneticPr fontId="4"/>
  </si>
  <si>
    <t>CashChangerFiftyCount</t>
  </si>
  <si>
    <t>釣銭機50円枚数</t>
    <phoneticPr fontId="4"/>
  </si>
  <si>
    <t>CashChangerTenCount</t>
  </si>
  <si>
    <t>釣銭機10円枚数</t>
    <phoneticPr fontId="4"/>
  </si>
  <si>
    <t>CashChangerFiveCount</t>
  </si>
  <si>
    <t>釣銭機5円枚数</t>
    <phoneticPr fontId="4"/>
  </si>
  <si>
    <t>CashChangerOneCount</t>
  </si>
  <si>
    <t>釣銭機1円枚数</t>
    <phoneticPr fontId="4"/>
  </si>
  <si>
    <t>CashChangerRecoveryBox</t>
  </si>
  <si>
    <t>釣銭機回収庫金額</t>
    <phoneticPr fontId="4"/>
  </si>
  <si>
    <t xml:space="preserve">decimal </t>
  </si>
  <si>
    <t>釣銭機合計金額</t>
    <phoneticPr fontId="4"/>
  </si>
  <si>
    <t>CashChangerError</t>
    <phoneticPr fontId="4"/>
  </si>
  <si>
    <t>釣銭機エラー</t>
    <phoneticPr fontId="4"/>
  </si>
  <si>
    <t>1=異常あり、0=異常なし</t>
  </si>
  <si>
    <t>BusinessCounter</t>
    <phoneticPr fontId="20"/>
  </si>
  <si>
    <t>CounterCode</t>
    <phoneticPr fontId="20"/>
  </si>
  <si>
    <t>コード</t>
    <phoneticPr fontId="20"/>
  </si>
  <si>
    <t>nvarchar</t>
    <phoneticPr fontId="20"/>
  </si>
  <si>
    <t>Y</t>
    <phoneticPr fontId="20"/>
  </si>
  <si>
    <r>
      <rPr>
        <sz val="11"/>
        <color rgb="FF000000"/>
        <rFont val="ＭＳ Ｐゴシック"/>
      </rPr>
      <t xml:space="preserve">BusinessCount     ：営業回数
CreditSlipNo         ：クレジット承認番号
EJournalNo          ：電子ジャーナル番号
EJournalSeqNo     ：電子ジャーナルシーケンシャル番号
EvidenceReceiptNo：領収証番号
MTransactionNo    ：中間取引番号
OpenCount           ：開設回数
ReceiptNo            ：レシート番号
TransactionNo       ：取引番号
WarrantyPasteNo    ：保証書発行番号
</t>
    </r>
    <r>
      <rPr>
        <sz val="11"/>
        <color rgb="FF000000"/>
        <rFont val="Calibri"/>
        <scheme val="minor"/>
      </rPr>
      <t xml:space="preserve">※上記データはカウンター同期用にセンターサーバーに連携しているが
　電子ジャーナルデータは取引ログ作成後に作成されるため、
　「EJournalNo」、「EJournalSeqNo」は、前回取引の値がセットされる。
　なお、「EJournalNo」、「EJournalSeqNo」は電子ジャーナルデータを
　利用してセンターサーバーに連携される。
</t>
    </r>
  </si>
  <si>
    <t>Number</t>
    <phoneticPr fontId="20"/>
  </si>
  <si>
    <t>現在番号</t>
    <phoneticPr fontId="19"/>
  </si>
  <si>
    <t>bigint</t>
    <phoneticPr fontId="20"/>
  </si>
  <si>
    <t>StartNumber</t>
    <phoneticPr fontId="20"/>
  </si>
  <si>
    <t>開始番号</t>
    <phoneticPr fontId="19"/>
  </si>
  <si>
    <t>EndNumber</t>
    <phoneticPr fontId="20"/>
  </si>
  <si>
    <t>終了番号</t>
    <phoneticPr fontId="19"/>
  </si>
  <si>
    <t>&lt;&lt; 営業回数 &gt;&gt;</t>
    <phoneticPr fontId="19"/>
  </si>
  <si>
    <t>CounterCode</t>
    <phoneticPr fontId="19"/>
  </si>
  <si>
    <t>固定</t>
    <rPh sb="0" eb="2">
      <t>コテイ</t>
    </rPh>
    <phoneticPr fontId="19"/>
  </si>
  <si>
    <t>[BusinessCount]</t>
    <phoneticPr fontId="19"/>
  </si>
  <si>
    <t>Number</t>
    <phoneticPr fontId="19"/>
  </si>
  <si>
    <t>[1]</t>
    <phoneticPr fontId="19"/>
  </si>
  <si>
    <t>StartNumber</t>
    <phoneticPr fontId="19"/>
  </si>
  <si>
    <t>EndNumber</t>
    <phoneticPr fontId="19"/>
  </si>
  <si>
    <t>[999999999999999999]</t>
    <phoneticPr fontId="19"/>
  </si>
  <si>
    <t>&lt;&lt; クレジット承認番号 &gt;&gt;</t>
    <phoneticPr fontId="19"/>
  </si>
  <si>
    <t>[CreditSlipNo]</t>
    <phoneticPr fontId="19"/>
  </si>
  <si>
    <t>[0]</t>
    <phoneticPr fontId="19"/>
  </si>
  <si>
    <t>[9999]</t>
    <phoneticPr fontId="19"/>
  </si>
  <si>
    <t>&lt;&lt; 電子ジャーナル番号 &gt;&gt;</t>
    <phoneticPr fontId="19"/>
  </si>
  <si>
    <t>[EJournalNo]</t>
    <phoneticPr fontId="19"/>
  </si>
  <si>
    <t>&lt;&lt; 電子ジャーナルシーケンシャル番号 &gt;&gt;</t>
    <phoneticPr fontId="19"/>
  </si>
  <si>
    <t>[EJournalSeqNo]</t>
    <phoneticPr fontId="19"/>
  </si>
  <si>
    <t>&lt;&lt; 領収証番号 &gt;&gt;</t>
    <phoneticPr fontId="19"/>
  </si>
  <si>
    <t>[EvidenceReceiptNo]</t>
    <phoneticPr fontId="19"/>
  </si>
  <si>
    <t>&lt;&lt; 中間取引番号 &gt;&gt;</t>
    <phoneticPr fontId="19"/>
  </si>
  <si>
    <t>[MTransactionNo]</t>
    <phoneticPr fontId="19"/>
  </si>
  <si>
    <t>[99999]</t>
    <phoneticPr fontId="19"/>
  </si>
  <si>
    <t>&lt;&lt; 開設回数 &gt;&gt;</t>
    <phoneticPr fontId="19"/>
  </si>
  <si>
    <t>[OpenCount]</t>
    <phoneticPr fontId="19"/>
  </si>
  <si>
    <t>&lt;&lt; レシート番号 &gt;&gt;</t>
    <phoneticPr fontId="19"/>
  </si>
  <si>
    <t>[ReceiptNo]</t>
    <phoneticPr fontId="19"/>
  </si>
  <si>
    <t>非固定</t>
    <rPh sb="0" eb="1">
      <t>ヒ</t>
    </rPh>
    <rPh sb="1" eb="3">
      <t>コテイ</t>
    </rPh>
    <phoneticPr fontId="19"/>
  </si>
  <si>
    <t>店別永続通番4桁（サイクリック）</t>
    <phoneticPr fontId="19"/>
  </si>
  <si>
    <t>&lt;&lt; 取引番号 &gt;&gt;</t>
    <phoneticPr fontId="19"/>
  </si>
  <si>
    <t>[TransactionNo]</t>
    <phoneticPr fontId="19"/>
  </si>
  <si>
    <t>店別永続通番18桁（サイクリック）</t>
    <rPh sb="0" eb="1">
      <t>ミセ</t>
    </rPh>
    <rPh sb="1" eb="2">
      <t>ベツ</t>
    </rPh>
    <rPh sb="2" eb="4">
      <t>エイゾク</t>
    </rPh>
    <rPh sb="4" eb="6">
      <t>ツウバン</t>
    </rPh>
    <rPh sb="8" eb="9">
      <t>ケタ</t>
    </rPh>
    <phoneticPr fontId="19"/>
  </si>
  <si>
    <t>&lt;&lt; 保証書発行番号 &gt;&gt;</t>
    <phoneticPr fontId="19"/>
  </si>
  <si>
    <t>[WarrantyPasteNo]</t>
    <phoneticPr fontId="19"/>
  </si>
  <si>
    <t>SmartPOSMember</t>
    <phoneticPr fontId="4"/>
  </si>
  <si>
    <t>※本項目は全ての取引でセットしていただきますようお願いいたします。</t>
    <rPh sb="1" eb="2">
      <t>ホン</t>
    </rPh>
    <rPh sb="2" eb="4">
      <t>コウモク</t>
    </rPh>
    <rPh sb="5" eb="6">
      <t>スベ</t>
    </rPh>
    <rPh sb="8" eb="10">
      <t>トリヒキ</t>
    </rPh>
    <rPh sb="25" eb="26">
      <t>ネガ</t>
    </rPh>
    <phoneticPr fontId="24"/>
  </si>
  <si>
    <t>取引番号</t>
  </si>
  <si>
    <t>MemberID</t>
    <phoneticPr fontId="4"/>
  </si>
  <si>
    <t>会員番号</t>
    <rPh sb="0" eb="2">
      <t>カイイン</t>
    </rPh>
    <rPh sb="2" eb="4">
      <t>バンゴウ</t>
    </rPh>
    <phoneticPr fontId="4"/>
  </si>
  <si>
    <t>アカウントID</t>
  </si>
  <si>
    <t>TranBeforePointAmount</t>
    <phoneticPr fontId="4"/>
  </si>
  <si>
    <t>取引前ポイント数</t>
    <rPh sb="2" eb="3">
      <t>マエ</t>
    </rPh>
    <rPh sb="7" eb="8">
      <t>スウ</t>
    </rPh>
    <phoneticPr fontId="4"/>
  </si>
  <si>
    <t>取引前のポイント保有数</t>
    <rPh sb="0" eb="2">
      <t>トリヒキ</t>
    </rPh>
    <rPh sb="2" eb="3">
      <t>マエ</t>
    </rPh>
    <rPh sb="8" eb="10">
      <t>ホユウ</t>
    </rPh>
    <rPh sb="10" eb="11">
      <t>スウ</t>
    </rPh>
    <phoneticPr fontId="24"/>
  </si>
  <si>
    <t>GetPointAmount</t>
    <phoneticPr fontId="4"/>
  </si>
  <si>
    <t>今回付与ポイント数</t>
    <rPh sb="0" eb="2">
      <t>コンカイ</t>
    </rPh>
    <rPh sb="2" eb="4">
      <t>フヨ</t>
    </rPh>
    <rPh sb="8" eb="9">
      <t>スウ</t>
    </rPh>
    <phoneticPr fontId="4"/>
  </si>
  <si>
    <t>今回取引で付与されるポイント数</t>
    <rPh sb="0" eb="2">
      <t>コンカイ</t>
    </rPh>
    <rPh sb="2" eb="4">
      <t>トリヒキ</t>
    </rPh>
    <rPh sb="5" eb="7">
      <t>フヨ</t>
    </rPh>
    <rPh sb="14" eb="15">
      <t>スウ</t>
    </rPh>
    <phoneticPr fontId="24"/>
  </si>
  <si>
    <t>UsePointAmount</t>
    <phoneticPr fontId="4"/>
  </si>
  <si>
    <t>使用ポイント数</t>
    <rPh sb="0" eb="2">
      <t>シヨウ</t>
    </rPh>
    <rPh sb="6" eb="7">
      <t>スウ</t>
    </rPh>
    <phoneticPr fontId="4"/>
  </si>
  <si>
    <t>今回取引で使用したポイント数</t>
    <rPh sb="0" eb="2">
      <t>コンカイ</t>
    </rPh>
    <rPh sb="2" eb="4">
      <t>トリヒキ</t>
    </rPh>
    <rPh sb="5" eb="7">
      <t>シヨウ</t>
    </rPh>
    <rPh sb="13" eb="14">
      <t>スウ</t>
    </rPh>
    <phoneticPr fontId="24"/>
  </si>
  <si>
    <t>UseValueAmount</t>
    <phoneticPr fontId="4"/>
  </si>
  <si>
    <t>使用バリュー数</t>
    <rPh sb="0" eb="2">
      <t>シヨウ</t>
    </rPh>
    <rPh sb="6" eb="7">
      <t>スウ</t>
    </rPh>
    <phoneticPr fontId="4"/>
  </si>
  <si>
    <t>使用バリュー数</t>
    <rPh sb="0" eb="2">
      <t>シヨウ</t>
    </rPh>
    <rPh sb="6" eb="7">
      <t>スウ</t>
    </rPh>
    <phoneticPr fontId="24"/>
  </si>
  <si>
    <t>TotalPointAmount</t>
    <phoneticPr fontId="4"/>
  </si>
  <si>
    <t>ポイント残高</t>
    <rPh sb="4" eb="6">
      <t>ザンダカ</t>
    </rPh>
    <phoneticPr fontId="24"/>
  </si>
  <si>
    <t>取引後のポイント保有数</t>
    <rPh sb="0" eb="2">
      <t>トリヒキ</t>
    </rPh>
    <rPh sb="2" eb="3">
      <t>ゴ</t>
    </rPh>
    <rPh sb="8" eb="10">
      <t>ホユウ</t>
    </rPh>
    <rPh sb="10" eb="11">
      <t>スウ</t>
    </rPh>
    <phoneticPr fontId="24"/>
  </si>
  <si>
    <t>ValueAmount</t>
    <phoneticPr fontId="4"/>
  </si>
  <si>
    <t>バリュー残高</t>
    <rPh sb="4" eb="6">
      <t>ザンダカ</t>
    </rPh>
    <phoneticPr fontId="4"/>
  </si>
  <si>
    <t>バリュー残高</t>
    <rPh sb="4" eb="6">
      <t>ザンダカ</t>
    </rPh>
    <phoneticPr fontId="24"/>
  </si>
  <si>
    <t>PointExpirationDate</t>
    <phoneticPr fontId="24"/>
  </si>
  <si>
    <t>ポイント有効期限</t>
    <rPh sb="4" eb="6">
      <t>ユウコウ</t>
    </rPh>
    <rPh sb="6" eb="8">
      <t>キゲン</t>
    </rPh>
    <phoneticPr fontId="24"/>
  </si>
  <si>
    <t>保有ポイントの有効期限</t>
    <rPh sb="0" eb="2">
      <t>ホユウ</t>
    </rPh>
    <rPh sb="7" eb="9">
      <t>ユウコウ</t>
    </rPh>
    <rPh sb="9" eb="11">
      <t>キゲン</t>
    </rPh>
    <phoneticPr fontId="24"/>
  </si>
  <si>
    <t>ISO8601形式</t>
    <rPh sb="7" eb="9">
      <t>ケイシキ</t>
    </rPh>
    <phoneticPr fontId="24"/>
  </si>
  <si>
    <t>AcsCredit</t>
    <phoneticPr fontId="4"/>
  </si>
  <si>
    <t>クレジット決済情報</t>
    <rPh sb="5" eb="7">
      <t>ケッサイ</t>
    </rPh>
    <rPh sb="7" eb="9">
      <t>ジョウホウ</t>
    </rPh>
    <phoneticPr fontId="36"/>
  </si>
  <si>
    <t>※SalesHeaderに併せる</t>
    <rPh sb="13" eb="14">
      <t>アワ</t>
    </rPh>
    <phoneticPr fontId="36"/>
  </si>
  <si>
    <t>LineNo</t>
    <phoneticPr fontId="36"/>
  </si>
  <si>
    <t>支払行番号</t>
    <phoneticPr fontId="36"/>
  </si>
  <si>
    <t>現時点では "1" 固定</t>
    <rPh sb="0" eb="3">
      <t>ゲンジテン</t>
    </rPh>
    <rPh sb="10" eb="12">
      <t>コテイ</t>
    </rPh>
    <phoneticPr fontId="36"/>
  </si>
  <si>
    <t>SHOP_ID</t>
    <phoneticPr fontId="36"/>
  </si>
  <si>
    <t>基本加盟店ID</t>
    <phoneticPr fontId="36"/>
  </si>
  <si>
    <t>string</t>
    <phoneticPr fontId="36"/>
  </si>
  <si>
    <t>加盟店番号 
&lt;重要情報の為、具体的な値は別途ご連絡&gt;
Scan&amp;Go 、 NetSuperで別々</t>
    <rPh sb="0" eb="2">
      <t>カメイ</t>
    </rPh>
    <rPh sb="2" eb="3">
      <t>テン</t>
    </rPh>
    <rPh sb="3" eb="5">
      <t>バンゴウ</t>
    </rPh>
    <rPh sb="8" eb="10">
      <t>ジュウヨウ</t>
    </rPh>
    <rPh sb="10" eb="12">
      <t>ジョウホウ</t>
    </rPh>
    <rPh sb="13" eb="14">
      <t>タメ</t>
    </rPh>
    <rPh sb="15" eb="18">
      <t>グタイテキ</t>
    </rPh>
    <rPh sb="19" eb="20">
      <t>アタイ</t>
    </rPh>
    <rPh sb="21" eb="23">
      <t>ベット</t>
    </rPh>
    <rPh sb="24" eb="26">
      <t>レンラク</t>
    </rPh>
    <rPh sb="47" eb="49">
      <t>ベツベツ</t>
    </rPh>
    <phoneticPr fontId="36"/>
  </si>
  <si>
    <t>ORDER_ID</t>
    <phoneticPr fontId="36"/>
  </si>
  <si>
    <t>基本加盟店注文番号</t>
    <phoneticPr fontId="36"/>
  </si>
  <si>
    <t>[全20桁コード]
　企業識別コード（１桁）
　＋店舗コード（5桁）
　＋アカウントID（9桁）
　＋ジャーナルNo（5桁）
[例]
A0039700000000100012
企業識別コード=Ａ　カスミ様
企業識別コード＝B　マルエツ様
企業識別コード＝C　ＭＶ関東様</t>
    <rPh sb="1" eb="2">
      <t>ゼン</t>
    </rPh>
    <rPh sb="4" eb="5">
      <t>ケタ</t>
    </rPh>
    <rPh sb="11" eb="13">
      <t>キギョウ</t>
    </rPh>
    <rPh sb="13" eb="15">
      <t>シキベツ</t>
    </rPh>
    <rPh sb="20" eb="21">
      <t>ケタ</t>
    </rPh>
    <rPh sb="25" eb="27">
      <t>テンポ</t>
    </rPh>
    <rPh sb="32" eb="33">
      <t>ケタ</t>
    </rPh>
    <rPh sb="46" eb="47">
      <t>ケタ</t>
    </rPh>
    <rPh sb="60" eb="61">
      <t>ケタ</t>
    </rPh>
    <rPh sb="64" eb="65">
      <t>レイ</t>
    </rPh>
    <rPh sb="118" eb="119">
      <t>サマ</t>
    </rPh>
    <rPh sb="132" eb="134">
      <t>カントウ</t>
    </rPh>
    <rPh sb="134" eb="135">
      <t>サマ</t>
    </rPh>
    <phoneticPr fontId="36"/>
  </si>
  <si>
    <t>企業識別コード＝
Ａカスミ様</t>
    <rPh sb="0" eb="2">
      <t>キギョウ</t>
    </rPh>
    <rPh sb="2" eb="4">
      <t>シキベツ</t>
    </rPh>
    <rPh sb="13" eb="14">
      <t>サマ</t>
    </rPh>
    <phoneticPr fontId="24"/>
  </si>
  <si>
    <t>企業識別コード＝B
マルエツ様</t>
    <rPh sb="0" eb="2">
      <t>キギョウ</t>
    </rPh>
    <rPh sb="2" eb="4">
      <t>シキベツ</t>
    </rPh>
    <rPh sb="14" eb="15">
      <t>サマ</t>
    </rPh>
    <phoneticPr fontId="24"/>
  </si>
  <si>
    <t>企業識別コード＝C
ＭＶ関東様</t>
    <phoneticPr fontId="24"/>
  </si>
  <si>
    <t>TOTAL_AMOUNT</t>
    <phoneticPr fontId="36"/>
  </si>
  <si>
    <t>基本決済金額</t>
    <rPh sb="0" eb="2">
      <t>キホン</t>
    </rPh>
    <rPh sb="2" eb="4">
      <t>ケッサイ</t>
    </rPh>
    <rPh sb="4" eb="6">
      <t>キンガク</t>
    </rPh>
    <phoneticPr fontId="36"/>
  </si>
  <si>
    <t>Int32</t>
    <phoneticPr fontId="36"/>
  </si>
  <si>
    <t>8,0</t>
    <phoneticPr fontId="36"/>
  </si>
  <si>
    <t>ABS(絶対値)　※他I/Fに仕様に準じて絶対値
返品時は未設定</t>
    <rPh sb="4" eb="7">
      <t>ゼッタイチ</t>
    </rPh>
    <rPh sb="10" eb="11">
      <t>タ</t>
    </rPh>
    <rPh sb="15" eb="17">
      <t>シヨウ</t>
    </rPh>
    <rPh sb="18" eb="19">
      <t>ジュン</t>
    </rPh>
    <rPh sb="21" eb="24">
      <t>ゼッタイチ</t>
    </rPh>
    <rPh sb="25" eb="27">
      <t>ヘンピン</t>
    </rPh>
    <rPh sb="27" eb="28">
      <t>ジ</t>
    </rPh>
    <rPh sb="29" eb="32">
      <t>ミセッテイ</t>
    </rPh>
    <phoneticPr fontId="36"/>
  </si>
  <si>
    <t>LID_M</t>
    <phoneticPr fontId="36"/>
  </si>
  <si>
    <t>基本AEONREGI注文番号</t>
    <rPh sb="10" eb="12">
      <t>チュウモン</t>
    </rPh>
    <rPh sb="12" eb="14">
      <t>バンゴウ</t>
    </rPh>
    <phoneticPr fontId="35"/>
  </si>
  <si>
    <t>イオンレジ側の注文番号
返品時は注文時の番号</t>
    <rPh sb="5" eb="6">
      <t>ガワ</t>
    </rPh>
    <rPh sb="7" eb="9">
      <t>チュウモン</t>
    </rPh>
    <rPh sb="9" eb="11">
      <t>バンゴウ</t>
    </rPh>
    <rPh sb="16" eb="18">
      <t>チュウモン</t>
    </rPh>
    <rPh sb="18" eb="19">
      <t>ジ</t>
    </rPh>
    <rPh sb="20" eb="22">
      <t>バンゴウ</t>
    </rPh>
    <phoneticPr fontId="35"/>
  </si>
  <si>
    <t>AUTH_DATE</t>
  </si>
  <si>
    <t>基本取引年月日</t>
    <rPh sb="2" eb="4">
      <t>トリヒキ</t>
    </rPh>
    <rPh sb="4" eb="7">
      <t>ネンガッピ</t>
    </rPh>
    <phoneticPr fontId="35"/>
  </si>
  <si>
    <t>オーソリを行った日付
返品時未設定</t>
    <rPh sb="5" eb="6">
      <t>オコナ</t>
    </rPh>
    <rPh sb="8" eb="10">
      <t>ヒヅケ</t>
    </rPh>
    <rPh sb="11" eb="13">
      <t>ヘンピン</t>
    </rPh>
    <rPh sb="13" eb="14">
      <t>ジ</t>
    </rPh>
    <rPh sb="14" eb="17">
      <t>ミセッテイ</t>
    </rPh>
    <phoneticPr fontId="35"/>
  </si>
  <si>
    <t>AUTH_TIME</t>
  </si>
  <si>
    <t>基本取引時刻</t>
    <rPh sb="2" eb="4">
      <t>トリヒキ</t>
    </rPh>
    <rPh sb="4" eb="6">
      <t>ジコク</t>
    </rPh>
    <phoneticPr fontId="35"/>
  </si>
  <si>
    <t>オーソリを行った時刻
返品時未設定</t>
    <rPh sb="5" eb="6">
      <t>オコナ</t>
    </rPh>
    <rPh sb="8" eb="10">
      <t>ジコク</t>
    </rPh>
    <rPh sb="11" eb="13">
      <t>ヘンピン</t>
    </rPh>
    <rPh sb="13" eb="14">
      <t>ジ</t>
    </rPh>
    <rPh sb="14" eb="17">
      <t>ミセッテイ</t>
    </rPh>
    <phoneticPr fontId="35"/>
  </si>
  <si>
    <t>CARD_APPLOVAL_CODE</t>
  </si>
  <si>
    <t>カード承認番号</t>
    <rPh sb="3" eb="5">
      <t>ショウニン</t>
    </rPh>
    <rPh sb="5" eb="7">
      <t>バンゴウ</t>
    </rPh>
    <phoneticPr fontId="35"/>
  </si>
  <si>
    <t>返品時未設定</t>
    <phoneticPr fontId="24"/>
  </si>
  <si>
    <t>CARD_COCODE</t>
  </si>
  <si>
    <t>カード仕向先会社コード</t>
    <rPh sb="3" eb="5">
      <t>シム</t>
    </rPh>
    <rPh sb="5" eb="6">
      <t>サキ</t>
    </rPh>
    <rPh sb="6" eb="8">
      <t>カイシャ</t>
    </rPh>
    <phoneticPr fontId="35"/>
  </si>
  <si>
    <t>CARD_SUBCOCODE</t>
  </si>
  <si>
    <t>カード仕向先会社サブコード</t>
    <rPh sb="3" eb="5">
      <t>シム</t>
    </rPh>
    <rPh sb="5" eb="6">
      <t>サキ</t>
    </rPh>
    <rPh sb="6" eb="8">
      <t>カイシャ</t>
    </rPh>
    <phoneticPr fontId="35"/>
  </si>
  <si>
    <t>CARD_ORDER_MODE</t>
  </si>
  <si>
    <t>カード支払方法</t>
    <rPh sb="3" eb="5">
      <t>シハライ</t>
    </rPh>
    <rPh sb="5" eb="7">
      <t>ホウホウ</t>
    </rPh>
    <phoneticPr fontId="35"/>
  </si>
  <si>
    <t>CARD_AEONREGI_ID</t>
  </si>
  <si>
    <t>カードイオンレジID</t>
  </si>
  <si>
    <t>PREV_LID_M</t>
  </si>
  <si>
    <t>前回AEONREGI注文番号</t>
    <rPh sb="0" eb="2">
      <t>ゼンカイ</t>
    </rPh>
    <rPh sb="10" eb="12">
      <t>チュウモン</t>
    </rPh>
    <rPh sb="12" eb="14">
      <t>バンゴウ</t>
    </rPh>
    <phoneticPr fontId="35"/>
  </si>
  <si>
    <t>AEONREGI_ID</t>
    <phoneticPr fontId="36"/>
  </si>
  <si>
    <t>会員イオンレジID</t>
    <phoneticPr fontId="36"/>
  </si>
  <si>
    <t>CARDEXPIRY</t>
    <phoneticPr fontId="36"/>
  </si>
  <si>
    <t>会員カード有効期限</t>
    <phoneticPr fontId="36"/>
  </si>
  <si>
    <t>APPLOVAL_CODE</t>
    <phoneticPr fontId="36"/>
  </si>
  <si>
    <t>会員承認番号</t>
    <phoneticPr fontId="36"/>
  </si>
  <si>
    <t>COCODE</t>
    <phoneticPr fontId="36"/>
  </si>
  <si>
    <t>会員仕向先会社コード</t>
    <rPh sb="0" eb="2">
      <t>カイイン</t>
    </rPh>
    <rPh sb="2" eb="4">
      <t>シムケ</t>
    </rPh>
    <rPh sb="4" eb="5">
      <t>サキ</t>
    </rPh>
    <rPh sb="5" eb="7">
      <t>カイシャ</t>
    </rPh>
    <phoneticPr fontId="36"/>
  </si>
  <si>
    <t>[2S63046] イオンカード、VISA、master
[2a99661] JCB、ダイナース
[2a99819] AMEX
返品時未設定</t>
    <rPh sb="0" eb="63">
      <t>ケタケタレイキギョウシキベツサマ</t>
    </rPh>
    <phoneticPr fontId="36"/>
  </si>
  <si>
    <t>SUBCOCODE</t>
    <phoneticPr fontId="36"/>
  </si>
  <si>
    <t>会員仕向先会社サブコード</t>
    <rPh sb="0" eb="2">
      <t>カイイン</t>
    </rPh>
    <rPh sb="2" eb="4">
      <t>シムケ</t>
    </rPh>
    <rPh sb="4" eb="5">
      <t>サキ</t>
    </rPh>
    <rPh sb="5" eb="7">
      <t>カイシャ</t>
    </rPh>
    <phoneticPr fontId="36"/>
  </si>
  <si>
    <t>DISTINCT_CODE</t>
    <phoneticPr fontId="36"/>
  </si>
  <si>
    <t>会員端末機識別番号</t>
    <phoneticPr fontId="3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</si>
</sst>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theme="1"/>
      <name val="ＭＳ Ｐゴシック"/>
      <family val="3"/>
      <charset val="128"/>
      <scheme val="minor"/>
    </font>
    <font>
      <sz val="11"/>
      <color indexed="8"/>
      <name val="ＭＳ Ｐゴシック"/>
      <family val="3"/>
      <charset val="128"/>
    </font>
    <font>
      <sz val="11"/>
      <color indexed="8"/>
      <name val="ＭＳ Ｐゴシック"/>
      <family val="3"/>
      <charset val="128"/>
    </font>
    <font>
      <sz val="10"/>
      <color indexed="8"/>
      <name val="ＭＳ Ｐゴシック"/>
      <family val="3"/>
      <charset val="128"/>
    </font>
    <font>
      <sz val="6"/>
      <name val="ＭＳ Ｐゴシック"/>
      <family val="3"/>
      <charset val="128"/>
    </font>
    <font>
      <b/>
      <sz val="10"/>
      <color indexed="8"/>
      <name val="ＭＳ Ｐゴシック"/>
      <family val="3"/>
      <charset val="128"/>
    </font>
    <font>
      <b/>
      <sz val="8"/>
      <color indexed="8"/>
      <name val="ＭＳ Ｐゴシック"/>
      <family val="3"/>
      <charset val="128"/>
    </font>
    <font>
      <sz val="11"/>
      <color indexed="8"/>
      <name val="メイリオ"/>
      <family val="3"/>
      <charset val="128"/>
    </font>
    <font>
      <sz val="6"/>
      <name val="ＭＳ Ｐゴシック"/>
      <family val="3"/>
      <charset val="128"/>
    </font>
    <font>
      <sz val="11"/>
      <color indexed="8"/>
      <name val="ＭＳ Ｐゴシック"/>
      <family val="3"/>
      <charset val="128"/>
    </font>
    <font>
      <sz val="11"/>
      <name val="ＭＳ Ｐゴシック"/>
      <family val="3"/>
      <charset val="128"/>
    </font>
    <font>
      <sz val="11"/>
      <name val="ＭＳ Ｐ明朝"/>
      <family val="1"/>
      <charset val="128"/>
    </font>
    <font>
      <sz val="10"/>
      <name val="ＭＳ ゴシック"/>
      <family val="3"/>
      <charset val="128"/>
    </font>
    <font>
      <b/>
      <sz val="10"/>
      <name val="ＭＳ Ｐゴシック"/>
      <family val="3"/>
      <charset val="128"/>
    </font>
    <font>
      <b/>
      <sz val="8"/>
      <name val="ＭＳ Ｐゴシック"/>
      <family val="3"/>
      <charset val="128"/>
    </font>
    <font>
      <sz val="11"/>
      <color indexed="17"/>
      <name val="ＭＳ Ｐゴシック"/>
      <family val="3"/>
      <charset val="128"/>
    </font>
    <font>
      <sz val="11"/>
      <color indexed="10"/>
      <name val="ＭＳ Ｐゴシック"/>
      <family val="3"/>
      <charset val="128"/>
    </font>
    <font>
      <sz val="11"/>
      <color indexed="12"/>
      <name val="ＭＳ Ｐゴシック"/>
      <family val="3"/>
      <charset val="128"/>
    </font>
    <font>
      <sz val="11"/>
      <color indexed="60"/>
      <name val="ＭＳ Ｐゴシック"/>
      <family val="3"/>
      <charset val="128"/>
    </font>
    <font>
      <sz val="6"/>
      <name val="ＭＳ Ｐゴシック"/>
      <family val="3"/>
      <charset val="128"/>
    </font>
    <font>
      <sz val="6"/>
      <name val="ＭＳ Ｐゴシック"/>
      <family val="3"/>
      <charset val="128"/>
    </font>
    <font>
      <sz val="11"/>
      <color theme="1"/>
      <name val="ＭＳ Ｐゴシック"/>
      <family val="3"/>
      <charset val="128"/>
      <scheme val="minor"/>
    </font>
    <font>
      <sz val="10"/>
      <color theme="1"/>
      <name val="ＭＳ Ｐゴシック"/>
      <family val="3"/>
      <charset val="128"/>
      <scheme val="minor"/>
    </font>
    <font>
      <sz val="11"/>
      <color theme="1"/>
      <name val="ＭＳ Ｐゴシック"/>
      <family val="3"/>
      <charset val="128"/>
    </font>
    <font>
      <sz val="6"/>
      <name val="ＭＳ Ｐゴシック"/>
      <family val="3"/>
      <charset val="128"/>
      <scheme val="minor"/>
    </font>
    <font>
      <sz val="11"/>
      <color rgb="FF0000FF"/>
      <name val="ＭＳ Ｐゴシック"/>
      <family val="3"/>
      <charset val="128"/>
      <scheme val="minor"/>
    </font>
    <font>
      <b/>
      <sz val="11"/>
      <color rgb="FFFF0000"/>
      <name val="ＭＳ Ｐゴシック"/>
      <family val="3"/>
      <charset val="128"/>
      <scheme val="minor"/>
    </font>
    <font>
      <sz val="10"/>
      <name val="Meiryo UI"/>
      <family val="3"/>
      <charset val="128"/>
    </font>
    <font>
      <sz val="11"/>
      <color indexed="8"/>
      <name val="Meiryo UI"/>
      <family val="3"/>
      <charset val="128"/>
    </font>
    <font>
      <sz val="10"/>
      <color theme="1" tint="4.9989318521683403E-2"/>
      <name val="Meiryo UI"/>
      <family val="3"/>
      <charset val="128"/>
    </font>
    <font>
      <sz val="11"/>
      <color rgb="FF0000FF"/>
      <name val="ＭＳ Ｐゴシック"/>
      <family val="3"/>
      <charset val="128"/>
    </font>
    <font>
      <b/>
      <sz val="11"/>
      <color theme="1"/>
      <name val="ＭＳ Ｐゴシック"/>
      <family val="3"/>
      <charset val="128"/>
    </font>
    <font>
      <b/>
      <sz val="10"/>
      <color theme="1"/>
      <name val="ＭＳ Ｐゴシック"/>
      <family val="3"/>
      <charset val="128"/>
    </font>
    <font>
      <b/>
      <sz val="8"/>
      <color theme="1"/>
      <name val="ＭＳ Ｐゴシック"/>
      <family val="3"/>
      <charset val="128"/>
    </font>
    <font>
      <sz val="11"/>
      <color theme="1"/>
      <name val="Meiryo UI"/>
      <family val="3"/>
      <charset val="128"/>
    </font>
    <font>
      <b/>
      <sz val="13"/>
      <color theme="3"/>
      <name val="ＭＳ Ｐゴシック"/>
      <family val="2"/>
      <charset val="128"/>
      <scheme val="minor"/>
    </font>
    <font>
      <sz val="6"/>
      <name val="ＭＳ Ｐゴシック"/>
      <family val="2"/>
      <charset val="128"/>
      <scheme val="minor"/>
    </font>
    <font>
      <b/>
      <sz val="10"/>
      <name val="Meiryo UI"/>
      <family val="3"/>
      <charset val="128"/>
    </font>
    <font>
      <b/>
      <sz val="8"/>
      <name val="Meiryo UI"/>
      <family val="3"/>
      <charset val="128"/>
    </font>
    <font>
      <sz val="11"/>
      <name val="Meiryo UI"/>
      <family val="3"/>
      <charset val="128"/>
    </font>
    <font>
      <sz val="11"/>
      <color rgb="FFFF0000"/>
      <name val="Meiryo UI"/>
      <family val="3"/>
      <charset val="128"/>
    </font>
    <font>
      <sz val="11"/>
      <color rgb="FFFF0000"/>
      <name val="ＭＳ Ｐゴシック"/>
      <family val="3"/>
      <charset val="128"/>
    </font>
    <font>
      <b/>
      <sz val="12"/>
      <name val="ＭＳ Ｐゴシック"/>
      <family val="3"/>
      <charset val="128"/>
    </font>
    <font>
      <b/>
      <sz val="12"/>
      <color theme="0"/>
      <name val="ＭＳ Ｐゴシック"/>
      <family val="3"/>
      <charset val="128"/>
    </font>
    <font>
      <sz val="9"/>
      <color theme="1"/>
      <name val="ＭＳ Ｐゴシック"/>
      <family val="3"/>
      <charset val="128"/>
    </font>
    <font>
      <sz val="6"/>
      <color theme="1"/>
      <name val="ＭＳ Ｐゴシック"/>
      <family val="3"/>
      <charset val="128"/>
    </font>
    <font>
      <sz val="9"/>
      <name val="ＭＳ Ｐゴシック"/>
      <family val="3"/>
      <charset val="128"/>
    </font>
    <font>
      <b/>
      <sz val="11"/>
      <color rgb="FFFF0000"/>
      <name val="ＭＳ Ｐゴシック"/>
      <family val="3"/>
      <charset val="128"/>
    </font>
    <font>
      <sz val="11"/>
      <name val="ＭＳ Ｐゴシック"/>
      <family val="3"/>
      <charset val="128"/>
      <scheme val="minor"/>
    </font>
    <font>
      <strike/>
      <sz val="11"/>
      <name val="ＭＳ Ｐゴシック"/>
      <family val="3"/>
      <charset val="128"/>
      <scheme val="minor"/>
    </font>
    <font>
      <b/>
      <sz val="9"/>
      <name val="ＭＳ Ｐゴシック"/>
      <family val="3"/>
      <charset val="128"/>
    </font>
    <font>
      <sz val="9"/>
      <color theme="1"/>
      <name val="ＭＳ Ｐゴシック"/>
      <family val="3"/>
      <charset val="128"/>
      <scheme val="minor"/>
    </font>
    <font>
      <b/>
      <sz val="22"/>
      <color rgb="FFFF0000"/>
      <name val="ＭＳ Ｐゴシック"/>
      <family val="3"/>
      <charset val="128"/>
      <scheme val="minor"/>
    </font>
    <font>
      <sz val="11"/>
      <color theme="0"/>
      <name val="ＭＳ Ｐゴシック"/>
      <family val="3"/>
      <charset val="128"/>
    </font>
    <font>
      <sz val="11"/>
      <color theme="0"/>
      <name val="ＭＳ Ｐゴシック"/>
      <family val="3"/>
      <charset val="128"/>
      <scheme val="minor"/>
    </font>
    <font>
      <sz val="11"/>
      <color rgb="FF000000"/>
      <name val="ＭＳ Ｐゴシック"/>
    </font>
    <font>
      <sz val="11"/>
      <color rgb="FF000000"/>
      <name val="Calibri"/>
      <scheme val="minor"/>
    </font>
    <font>
      <sz val="11"/>
      <color rgb="FF000000"/>
      <name val="ＭＳ Ｐゴシック"/>
      <family val="3"/>
      <charset val="128"/>
    </font>
  </fonts>
  <fills count="11">
    <fill>
      <patternFill patternType="none"/>
    </fill>
    <fill>
      <patternFill patternType="gray125"/>
    </fill>
    <fill>
      <patternFill patternType="solid">
        <fgColor indexed="52"/>
        <bgColor indexed="64"/>
      </patternFill>
    </fill>
    <fill>
      <patternFill patternType="solid">
        <fgColor indexed="13"/>
        <bgColor indexed="64"/>
      </patternFill>
    </fill>
    <fill>
      <patternFill patternType="solid">
        <fgColor theme="5" tint="0.79998168889431442"/>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theme="1" tint="0.499984740745262"/>
        <bgColor indexed="64"/>
      </patternFill>
    </fill>
  </fills>
  <borders count="76">
    <border>
      <left/>
      <right/>
      <top/>
      <bottom/>
      <diagonal/>
    </border>
    <border>
      <left style="thin">
        <color indexed="64"/>
      </left>
      <right style="thin">
        <color indexed="64"/>
      </right>
      <top style="dotted">
        <color indexed="64"/>
      </top>
      <bottom style="dotted">
        <color indexed="64"/>
      </bottom>
      <diagonal/>
    </border>
    <border>
      <left/>
      <right/>
      <top style="thin">
        <color indexed="64"/>
      </top>
      <bottom/>
      <diagonal/>
    </border>
    <border>
      <left style="thin">
        <color indexed="64"/>
      </left>
      <right style="thin">
        <color indexed="64"/>
      </right>
      <top/>
      <bottom style="dotted">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medium">
        <color indexed="64"/>
      </left>
      <right style="thin">
        <color indexed="64"/>
      </right>
      <top/>
      <bottom style="dotted">
        <color indexed="64"/>
      </bottom>
      <diagonal/>
    </border>
    <border>
      <left style="medium">
        <color indexed="64"/>
      </left>
      <right style="thin">
        <color indexed="64"/>
      </right>
      <top style="dotted">
        <color indexed="64"/>
      </top>
      <bottom style="dotted">
        <color indexed="64"/>
      </bottom>
      <diagonal/>
    </border>
    <border>
      <left style="medium">
        <color indexed="64"/>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dotted">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medium">
        <color indexed="64"/>
      </bottom>
      <diagonal/>
    </border>
    <border>
      <left style="medium">
        <color indexed="64"/>
      </left>
      <right style="thin">
        <color indexed="64"/>
      </right>
      <top style="dotted">
        <color indexed="64"/>
      </top>
      <bottom/>
      <diagonal/>
    </border>
    <border>
      <left style="thin">
        <color indexed="64"/>
      </left>
      <right style="thin">
        <color indexed="64"/>
      </right>
      <top style="dotted">
        <color indexed="64"/>
      </top>
      <bottom/>
      <diagonal/>
    </border>
    <border>
      <left style="thin">
        <color indexed="64"/>
      </left>
      <right style="thin">
        <color indexed="64"/>
      </right>
      <top/>
      <bottom style="medium">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style="dotted">
        <color indexed="64"/>
      </top>
      <bottom style="medium">
        <color indexed="64"/>
      </bottom>
      <diagonal/>
    </border>
    <border>
      <left style="thin">
        <color indexed="64"/>
      </left>
      <right style="medium">
        <color indexed="64"/>
      </right>
      <top style="dotted">
        <color indexed="64"/>
      </top>
      <bottom/>
      <diagonal/>
    </border>
    <border>
      <left style="thin">
        <color indexed="64"/>
      </left>
      <right style="medium">
        <color indexed="64"/>
      </right>
      <top/>
      <bottom style="dotted">
        <color indexed="64"/>
      </bottom>
      <diagonal/>
    </border>
    <border>
      <left style="thin">
        <color indexed="64"/>
      </left>
      <right/>
      <top style="medium">
        <color indexed="64"/>
      </top>
      <bottom style="double">
        <color indexed="64"/>
      </bottom>
      <diagonal/>
    </border>
    <border>
      <left style="thin">
        <color indexed="64"/>
      </left>
      <right/>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medium">
        <color indexed="64"/>
      </bottom>
      <diagonal/>
    </border>
    <border>
      <left style="thin">
        <color indexed="64"/>
      </left>
      <right style="thin">
        <color indexed="64"/>
      </right>
      <top style="double">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hair">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hair">
        <color indexed="64"/>
      </top>
      <bottom style="dotted">
        <color indexed="64"/>
      </bottom>
      <diagonal/>
    </border>
    <border>
      <left style="thin">
        <color indexed="64"/>
      </left>
      <right style="thin">
        <color indexed="64"/>
      </right>
      <top style="dotted">
        <color indexed="64"/>
      </top>
      <bottom style="dashed">
        <color indexed="64"/>
      </bottom>
      <diagonal/>
    </border>
    <border>
      <left style="thin">
        <color indexed="64"/>
      </left>
      <right style="medium">
        <color indexed="64"/>
      </right>
      <top style="dotted">
        <color indexed="64"/>
      </top>
      <bottom style="dashed">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medium">
        <color indexed="64"/>
      </top>
      <bottom style="dotted">
        <color indexed="64"/>
      </bottom>
      <diagonal/>
    </border>
    <border>
      <left style="thin">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dashed">
        <color indexed="64"/>
      </bottom>
      <diagonal/>
    </border>
    <border>
      <left style="thin">
        <color indexed="64"/>
      </left>
      <right style="medium">
        <color indexed="64"/>
      </right>
      <top/>
      <bottom style="dashed">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dotted">
        <color indexed="64"/>
      </bottom>
      <diagonal/>
    </border>
    <border>
      <left style="thin">
        <color indexed="64"/>
      </left>
      <right/>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bottom style="dotted">
        <color indexed="64"/>
      </bottom>
      <diagonal/>
    </border>
    <border>
      <left style="medium">
        <color indexed="64"/>
      </left>
      <right/>
      <top style="dotted">
        <color indexed="64"/>
      </top>
      <bottom style="dotted">
        <color indexed="64"/>
      </bottom>
      <diagonal/>
    </border>
    <border>
      <left style="medium">
        <color indexed="64"/>
      </left>
      <right/>
      <top style="dotted">
        <color indexed="64"/>
      </top>
      <bottom style="medium">
        <color indexed="64"/>
      </bottom>
      <diagonal/>
    </border>
    <border>
      <left/>
      <right style="medium">
        <color indexed="64"/>
      </right>
      <top style="medium">
        <color indexed="64"/>
      </top>
      <bottom style="double">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thin">
        <color indexed="64"/>
      </right>
      <top style="double">
        <color indexed="64"/>
      </top>
      <bottom style="dotted">
        <color indexed="64"/>
      </bottom>
      <diagonal/>
    </border>
    <border>
      <left style="medium">
        <color indexed="64"/>
      </left>
      <right style="thin">
        <color indexed="64"/>
      </right>
      <top style="thin">
        <color indexed="64"/>
      </top>
      <bottom style="dotted">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dotted">
        <color indexed="64"/>
      </top>
      <bottom style="dotted">
        <color indexed="64"/>
      </bottom>
      <diagonal/>
    </border>
    <border>
      <left style="thin">
        <color indexed="64"/>
      </left>
      <right style="medium">
        <color indexed="64"/>
      </right>
      <top style="double">
        <color indexed="64"/>
      </top>
      <bottom style="dotted">
        <color indexed="64"/>
      </bottom>
      <diagonal/>
    </border>
    <border>
      <left style="medium">
        <color indexed="64"/>
      </left>
      <right style="thin">
        <color indexed="64"/>
      </right>
      <top style="double">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dashed">
        <color indexed="64"/>
      </top>
      <bottom style="medium">
        <color indexed="64"/>
      </bottom>
      <diagonal/>
    </border>
    <border>
      <left style="thin">
        <color indexed="64"/>
      </left>
      <right style="thin">
        <color indexed="64"/>
      </right>
      <top style="dashed">
        <color indexed="64"/>
      </top>
      <bottom style="dashed">
        <color indexed="64"/>
      </bottom>
      <diagonal/>
    </border>
    <border>
      <left style="thin">
        <color indexed="64"/>
      </left>
      <right style="medium">
        <color indexed="64"/>
      </right>
      <top style="dashed">
        <color indexed="64"/>
      </top>
      <bottom style="dashed">
        <color indexed="64"/>
      </bottom>
      <diagonal/>
    </border>
    <border>
      <left style="thin">
        <color indexed="64"/>
      </left>
      <right style="thin">
        <color indexed="64"/>
      </right>
      <top style="dashed">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dotted">
        <color indexed="64"/>
      </top>
      <bottom style="hair">
        <color indexed="64"/>
      </bottom>
      <diagonal/>
    </border>
    <border>
      <left style="medium">
        <color indexed="64"/>
      </left>
      <right style="thin">
        <color indexed="64"/>
      </right>
      <top style="hair">
        <color indexed="64"/>
      </top>
      <bottom style="dotted">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bottom/>
      <diagonal/>
    </border>
    <border>
      <left style="thin">
        <color indexed="64"/>
      </left>
      <right style="medium">
        <color indexed="64"/>
      </right>
      <top style="dotted">
        <color indexed="64"/>
      </top>
      <bottom style="hair">
        <color indexed="64"/>
      </bottom>
      <diagonal/>
    </border>
    <border>
      <left style="thin">
        <color indexed="64"/>
      </left>
      <right style="medium">
        <color indexed="64"/>
      </right>
      <top style="hair">
        <color indexed="64"/>
      </top>
      <bottom style="dotted">
        <color indexed="64"/>
      </bottom>
      <diagonal/>
    </border>
    <border>
      <left style="thin">
        <color indexed="64"/>
      </left>
      <right style="medium">
        <color indexed="64"/>
      </right>
      <top style="hair">
        <color indexed="64"/>
      </top>
      <bottom style="hair">
        <color indexed="64"/>
      </bottom>
      <diagonal/>
    </border>
    <border>
      <left style="thin">
        <color indexed="64"/>
      </left>
      <right/>
      <top/>
      <bottom/>
      <diagonal/>
    </border>
  </borders>
  <cellStyleXfs count="9">
    <xf numFmtId="0" fontId="0" fillId="0" borderId="0">
      <alignment vertical="center"/>
    </xf>
    <xf numFmtId="0" fontId="11" fillId="0" borderId="0">
      <alignment vertical="top"/>
    </xf>
    <xf numFmtId="0" fontId="21" fillId="0" borderId="0">
      <alignment vertical="center"/>
    </xf>
    <xf numFmtId="0" fontId="21" fillId="0" borderId="0">
      <alignment vertical="center"/>
    </xf>
    <xf numFmtId="0" fontId="21" fillId="0" borderId="0">
      <alignment vertical="center"/>
    </xf>
    <xf numFmtId="0" fontId="2" fillId="0" borderId="0">
      <alignment vertical="center"/>
    </xf>
    <xf numFmtId="0" fontId="22" fillId="0" borderId="0">
      <alignment vertical="center"/>
    </xf>
    <xf numFmtId="0" fontId="12" fillId="0" borderId="0"/>
    <xf numFmtId="0" fontId="21" fillId="0" borderId="0">
      <alignment vertical="center"/>
    </xf>
  </cellStyleXfs>
  <cellXfs count="353">
    <xf numFmtId="0" fontId="0" fillId="0" borderId="0" xfId="0">
      <alignment vertical="center"/>
    </xf>
    <xf numFmtId="0" fontId="0" fillId="0" borderId="1" xfId="0" applyBorder="1">
      <alignment vertical="center"/>
    </xf>
    <xf numFmtId="0" fontId="0" fillId="0" borderId="1" xfId="0" applyBorder="1" applyAlignment="1">
      <alignment horizontal="center" vertical="center"/>
    </xf>
    <xf numFmtId="0" fontId="0" fillId="0" borderId="2" xfId="0" applyBorder="1">
      <alignment vertical="center"/>
    </xf>
    <xf numFmtId="0" fontId="0" fillId="0" borderId="3" xfId="0" applyBorder="1">
      <alignment vertical="center"/>
    </xf>
    <xf numFmtId="0" fontId="0" fillId="0" borderId="3" xfId="0" applyBorder="1" applyAlignment="1">
      <alignment horizontal="center" vertical="center"/>
    </xf>
    <xf numFmtId="0" fontId="5" fillId="2" borderId="5"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5" xfId="0" applyFont="1" applyFill="1" applyBorder="1" applyAlignment="1">
      <alignment horizontal="center"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9" xfId="0" applyBorder="1" applyAlignment="1">
      <alignment horizontal="center" vertical="center"/>
    </xf>
    <xf numFmtId="0" fontId="0" fillId="0" borderId="11" xfId="0" applyBorder="1" applyAlignment="1">
      <alignment horizontal="center" vertical="center"/>
    </xf>
    <xf numFmtId="0" fontId="10" fillId="0" borderId="1" xfId="0" applyFont="1" applyBorder="1">
      <alignment vertical="center"/>
    </xf>
    <xf numFmtId="0" fontId="0" fillId="0" borderId="12" xfId="0" applyBorder="1">
      <alignment vertical="center"/>
    </xf>
    <xf numFmtId="0" fontId="0" fillId="0" borderId="12" xfId="0" applyBorder="1" applyAlignment="1">
      <alignment horizontal="center" vertical="center"/>
    </xf>
    <xf numFmtId="0" fontId="0" fillId="0" borderId="17" xfId="0" applyBorder="1">
      <alignment vertical="center"/>
    </xf>
    <xf numFmtId="0" fontId="0" fillId="0" borderId="0" xfId="0" applyAlignment="1">
      <alignment vertical="center" wrapText="1"/>
    </xf>
    <xf numFmtId="0" fontId="0" fillId="0" borderId="2" xfId="0" applyBorder="1" applyAlignment="1">
      <alignment vertical="center" wrapText="1"/>
    </xf>
    <xf numFmtId="0" fontId="10" fillId="0" borderId="10" xfId="0" applyFont="1" applyBorder="1" applyAlignment="1">
      <alignment vertical="center" wrapText="1"/>
    </xf>
    <xf numFmtId="0" fontId="10" fillId="0" borderId="0" xfId="0" applyFont="1">
      <alignment vertical="center"/>
    </xf>
    <xf numFmtId="0" fontId="13" fillId="2" borderId="4" xfId="0" applyFont="1" applyFill="1" applyBorder="1" applyAlignment="1">
      <alignment horizontal="center" vertical="center"/>
    </xf>
    <xf numFmtId="0" fontId="13" fillId="2" borderId="5" xfId="0" applyFont="1" applyFill="1" applyBorder="1" applyAlignment="1">
      <alignment horizontal="center" vertical="center"/>
    </xf>
    <xf numFmtId="0" fontId="14" fillId="2" borderId="5" xfId="0" applyFont="1" applyFill="1" applyBorder="1" applyAlignment="1">
      <alignment horizontal="center" vertical="center" wrapText="1"/>
    </xf>
    <xf numFmtId="0" fontId="14" fillId="2" borderId="5" xfId="0" applyFont="1" applyFill="1" applyBorder="1" applyAlignment="1">
      <alignment horizontal="center" vertical="center"/>
    </xf>
    <xf numFmtId="0" fontId="17" fillId="0" borderId="0" xfId="0" applyFont="1">
      <alignment vertical="center"/>
    </xf>
    <xf numFmtId="0" fontId="0" fillId="0" borderId="26" xfId="0" applyBorder="1">
      <alignment vertical="center"/>
    </xf>
    <xf numFmtId="0" fontId="0" fillId="0" borderId="26" xfId="0" applyBorder="1" applyAlignment="1">
      <alignment horizontal="center" vertical="center"/>
    </xf>
    <xf numFmtId="0" fontId="13" fillId="2" borderId="5" xfId="0" applyFont="1" applyFill="1" applyBorder="1" applyAlignment="1">
      <alignment horizontal="center" vertical="center" wrapText="1"/>
    </xf>
    <xf numFmtId="0" fontId="10" fillId="0" borderId="3" xfId="0" applyFont="1" applyBorder="1">
      <alignment vertical="center"/>
    </xf>
    <xf numFmtId="0" fontId="10" fillId="0" borderId="14" xfId="0" applyFont="1" applyBorder="1">
      <alignment vertical="center"/>
    </xf>
    <xf numFmtId="0" fontId="10" fillId="0" borderId="9" xfId="0" applyFont="1" applyBorder="1">
      <alignment vertical="center"/>
    </xf>
    <xf numFmtId="0" fontId="21" fillId="0" borderId="0" xfId="8">
      <alignment vertical="center"/>
    </xf>
    <xf numFmtId="0" fontId="21" fillId="0" borderId="27" xfId="8" applyBorder="1">
      <alignment vertical="center"/>
    </xf>
    <xf numFmtId="0" fontId="21" fillId="0" borderId="27" xfId="8" applyBorder="1" applyAlignment="1">
      <alignment horizontal="center" vertical="center"/>
    </xf>
    <xf numFmtId="0" fontId="21" fillId="0" borderId="14" xfId="8" applyBorder="1">
      <alignment vertical="center"/>
    </xf>
    <xf numFmtId="0" fontId="21" fillId="0" borderId="14" xfId="8" applyBorder="1" applyAlignment="1">
      <alignment horizontal="center" vertical="center"/>
    </xf>
    <xf numFmtId="0" fontId="21" fillId="0" borderId="9" xfId="8" applyBorder="1">
      <alignment vertical="center"/>
    </xf>
    <xf numFmtId="0" fontId="21" fillId="0" borderId="9" xfId="8" applyBorder="1" applyAlignment="1">
      <alignment horizontal="center" vertical="center"/>
    </xf>
    <xf numFmtId="0" fontId="23" fillId="0" borderId="7" xfId="0" applyFont="1" applyBorder="1">
      <alignment vertical="center"/>
    </xf>
    <xf numFmtId="0" fontId="23" fillId="0" borderId="1" xfId="0" applyFont="1" applyBorder="1">
      <alignment vertical="center"/>
    </xf>
    <xf numFmtId="0" fontId="23" fillId="0" borderId="1" xfId="0" applyFont="1" applyBorder="1" applyAlignment="1">
      <alignment horizontal="center" vertical="center"/>
    </xf>
    <xf numFmtId="0" fontId="23" fillId="0" borderId="13" xfId="0" applyFont="1" applyBorder="1">
      <alignment vertical="center"/>
    </xf>
    <xf numFmtId="0" fontId="23" fillId="0" borderId="14" xfId="0" applyFont="1" applyBorder="1">
      <alignment vertical="center"/>
    </xf>
    <xf numFmtId="0" fontId="23" fillId="0" borderId="14" xfId="0" applyFont="1" applyBorder="1" applyAlignment="1">
      <alignment horizontal="center" vertical="center"/>
    </xf>
    <xf numFmtId="0" fontId="23" fillId="0" borderId="3" xfId="0" applyFont="1" applyBorder="1">
      <alignment vertical="center"/>
    </xf>
    <xf numFmtId="0" fontId="23" fillId="0" borderId="3" xfId="0" applyFont="1" applyBorder="1" applyAlignment="1">
      <alignment horizontal="center" vertical="center"/>
    </xf>
    <xf numFmtId="0" fontId="23" fillId="0" borderId="14" xfId="0" applyFont="1" applyBorder="1" applyAlignment="1">
      <alignment vertical="center" wrapText="1"/>
    </xf>
    <xf numFmtId="0" fontId="23" fillId="0" borderId="20" xfId="0" applyFont="1" applyBorder="1" applyAlignment="1">
      <alignment vertical="center" wrapText="1"/>
    </xf>
    <xf numFmtId="0" fontId="23" fillId="0" borderId="9" xfId="0" applyFont="1" applyBorder="1">
      <alignment vertical="center"/>
    </xf>
    <xf numFmtId="0" fontId="23" fillId="0" borderId="9" xfId="0" applyFont="1" applyBorder="1" applyAlignment="1">
      <alignment horizontal="center" vertical="center"/>
    </xf>
    <xf numFmtId="0" fontId="23" fillId="0" borderId="0" xfId="0" applyFont="1">
      <alignment vertical="center"/>
    </xf>
    <xf numFmtId="0" fontId="23" fillId="0" borderId="10" xfId="0" applyFont="1" applyBorder="1" applyAlignment="1">
      <alignment vertical="center" wrapText="1"/>
    </xf>
    <xf numFmtId="0" fontId="23" fillId="0" borderId="32" xfId="0" applyFont="1" applyBorder="1">
      <alignment vertical="center"/>
    </xf>
    <xf numFmtId="0" fontId="23" fillId="0" borderId="32" xfId="0" applyFont="1" applyBorder="1" applyAlignment="1">
      <alignment horizontal="center" vertical="center"/>
    </xf>
    <xf numFmtId="0" fontId="13" fillId="2" borderId="29" xfId="0" applyFont="1" applyFill="1" applyBorder="1" applyAlignment="1">
      <alignment horizontal="center" vertical="center"/>
    </xf>
    <xf numFmtId="0" fontId="13" fillId="2" borderId="30" xfId="0" applyFont="1" applyFill="1" applyBorder="1" applyAlignment="1">
      <alignment horizontal="center" vertical="center"/>
    </xf>
    <xf numFmtId="0" fontId="13" fillId="2" borderId="30"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4" fillId="2" borderId="30" xfId="0" applyFont="1" applyFill="1" applyBorder="1" applyAlignment="1">
      <alignment horizontal="center" vertical="center"/>
    </xf>
    <xf numFmtId="0" fontId="10" fillId="0" borderId="37" xfId="0" applyFont="1" applyBorder="1" applyAlignment="1">
      <alignment vertical="center" wrapText="1"/>
    </xf>
    <xf numFmtId="0" fontId="10" fillId="0" borderId="1" xfId="0" applyFont="1" applyBorder="1" applyAlignment="1">
      <alignment vertical="center" wrapText="1"/>
    </xf>
    <xf numFmtId="0" fontId="10" fillId="0" borderId="14" xfId="0" applyFont="1" applyBorder="1" applyAlignment="1">
      <alignment vertical="center" wrapText="1"/>
    </xf>
    <xf numFmtId="0" fontId="10" fillId="0" borderId="3" xfId="0" applyFont="1" applyBorder="1" applyAlignment="1">
      <alignment vertical="center" wrapText="1"/>
    </xf>
    <xf numFmtId="0" fontId="10" fillId="0" borderId="15" xfId="0" applyFont="1" applyBorder="1">
      <alignment vertical="center"/>
    </xf>
    <xf numFmtId="0" fontId="10" fillId="0" borderId="18" xfId="0" applyFont="1" applyBorder="1">
      <alignment vertical="center"/>
    </xf>
    <xf numFmtId="0" fontId="0" fillId="0" borderId="0" xfId="8" applyFont="1">
      <alignment vertical="center"/>
    </xf>
    <xf numFmtId="0" fontId="0" fillId="0" borderId="27" xfId="8" applyFont="1" applyBorder="1">
      <alignment vertical="center"/>
    </xf>
    <xf numFmtId="0" fontId="0" fillId="0" borderId="14" xfId="8" applyFont="1" applyBorder="1">
      <alignment vertical="center"/>
    </xf>
    <xf numFmtId="0" fontId="0" fillId="0" borderId="14" xfId="8" applyFont="1" applyBorder="1" applyAlignment="1">
      <alignment vertical="center" wrapText="1"/>
    </xf>
    <xf numFmtId="0" fontId="0" fillId="0" borderId="9" xfId="8" applyFont="1" applyBorder="1" applyAlignment="1">
      <alignment vertical="center" wrapText="1"/>
    </xf>
    <xf numFmtId="0" fontId="26" fillId="0" borderId="0" xfId="8" applyFont="1">
      <alignment vertical="center"/>
    </xf>
    <xf numFmtId="0" fontId="28" fillId="0" borderId="11" xfId="0" applyFont="1" applyBorder="1" applyAlignment="1">
      <alignment horizontal="center" vertical="center"/>
    </xf>
    <xf numFmtId="0" fontId="27" fillId="0" borderId="11" xfId="0" applyFont="1" applyBorder="1" applyAlignment="1">
      <alignment horizontal="left" vertical="center"/>
    </xf>
    <xf numFmtId="0" fontId="29" fillId="0" borderId="11" xfId="0" applyFont="1" applyBorder="1" applyAlignment="1">
      <alignment horizontal="left" vertical="center"/>
    </xf>
    <xf numFmtId="0" fontId="29" fillId="0" borderId="11" xfId="0" applyFont="1" applyBorder="1" applyAlignment="1">
      <alignment horizontal="left" vertical="center" wrapText="1"/>
    </xf>
    <xf numFmtId="0" fontId="28" fillId="0" borderId="39" xfId="0" applyFont="1" applyBorder="1" applyAlignment="1">
      <alignment horizontal="center" vertical="center"/>
    </xf>
    <xf numFmtId="0" fontId="29" fillId="0" borderId="39" xfId="0" applyFont="1" applyBorder="1" applyAlignment="1">
      <alignment horizontal="left" vertical="center" wrapText="1"/>
    </xf>
    <xf numFmtId="0" fontId="0" fillId="0" borderId="26" xfId="8" applyFont="1" applyBorder="1">
      <alignment vertical="center"/>
    </xf>
    <xf numFmtId="0" fontId="21" fillId="0" borderId="26" xfId="8" applyBorder="1">
      <alignment vertical="center"/>
    </xf>
    <xf numFmtId="0" fontId="21" fillId="0" borderId="26" xfId="8" applyBorder="1" applyAlignment="1">
      <alignment horizontal="center" vertical="center"/>
    </xf>
    <xf numFmtId="0" fontId="0" fillId="0" borderId="35" xfId="8" applyFont="1" applyBorder="1">
      <alignment vertical="center"/>
    </xf>
    <xf numFmtId="0" fontId="21" fillId="0" borderId="35" xfId="8" applyBorder="1">
      <alignment vertical="center"/>
    </xf>
    <xf numFmtId="0" fontId="21" fillId="0" borderId="35" xfId="8" applyBorder="1" applyAlignment="1">
      <alignment horizontal="center" vertical="center"/>
    </xf>
    <xf numFmtId="0" fontId="28" fillId="0" borderId="35" xfId="0" applyFont="1" applyBorder="1" applyAlignment="1">
      <alignment horizontal="center" vertical="center"/>
    </xf>
    <xf numFmtId="0" fontId="29" fillId="0" borderId="35" xfId="0" applyFont="1" applyBorder="1" applyAlignment="1">
      <alignment horizontal="left" vertical="center" wrapText="1"/>
    </xf>
    <xf numFmtId="0" fontId="23" fillId="0" borderId="40" xfId="0" applyFont="1" applyBorder="1">
      <alignment vertical="center"/>
    </xf>
    <xf numFmtId="0" fontId="23" fillId="0" borderId="40" xfId="0" applyFont="1" applyBorder="1" applyAlignment="1">
      <alignment horizontal="center" vertical="center"/>
    </xf>
    <xf numFmtId="0" fontId="23" fillId="0" borderId="1" xfId="0" applyFont="1" applyBorder="1" applyAlignment="1">
      <alignment vertical="center" wrapText="1"/>
    </xf>
    <xf numFmtId="0" fontId="23" fillId="0" borderId="18" xfId="0" applyFont="1" applyBorder="1">
      <alignment vertical="center"/>
    </xf>
    <xf numFmtId="0" fontId="23" fillId="0" borderId="18" xfId="0" applyFont="1" applyBorder="1" applyAlignment="1">
      <alignment vertical="center" wrapText="1"/>
    </xf>
    <xf numFmtId="0" fontId="23" fillId="0" borderId="18" xfId="0" applyFont="1" applyBorder="1" applyAlignment="1">
      <alignment horizontal="center" vertical="center"/>
    </xf>
    <xf numFmtId="0" fontId="23" fillId="0" borderId="28" xfId="0" applyFont="1" applyBorder="1">
      <alignment vertical="center"/>
    </xf>
    <xf numFmtId="0" fontId="23" fillId="0" borderId="28" xfId="0" applyFont="1" applyBorder="1" applyAlignment="1">
      <alignment vertical="center" wrapText="1"/>
    </xf>
    <xf numFmtId="0" fontId="23" fillId="0" borderId="28" xfId="0" applyFont="1" applyBorder="1" applyAlignment="1">
      <alignment horizontal="center" vertical="center"/>
    </xf>
    <xf numFmtId="0" fontId="23" fillId="0" borderId="16" xfId="0" applyFont="1" applyBorder="1">
      <alignment vertical="center"/>
    </xf>
    <xf numFmtId="0" fontId="23" fillId="0" borderId="16" xfId="0" applyFont="1" applyBorder="1" applyAlignment="1">
      <alignment vertical="center" wrapText="1"/>
    </xf>
    <xf numFmtId="0" fontId="23" fillId="0" borderId="16" xfId="0" applyFont="1" applyBorder="1" applyAlignment="1">
      <alignment horizontal="center" vertical="center"/>
    </xf>
    <xf numFmtId="0" fontId="18" fillId="0" borderId="0" xfId="0" applyFont="1">
      <alignment vertical="center"/>
    </xf>
    <xf numFmtId="0" fontId="10" fillId="0" borderId="31" xfId="0" applyFont="1" applyBorder="1" applyAlignment="1">
      <alignment vertical="center" wrapText="1"/>
    </xf>
    <xf numFmtId="0" fontId="15" fillId="0" borderId="0" xfId="0" applyFont="1">
      <alignment vertical="center"/>
    </xf>
    <xf numFmtId="0" fontId="25" fillId="0" borderId="0" xfId="0" applyFont="1">
      <alignment vertical="center"/>
    </xf>
    <xf numFmtId="0" fontId="30" fillId="0" borderId="1" xfId="0" applyFont="1" applyBorder="1" applyAlignment="1">
      <alignment vertical="center" wrapText="1"/>
    </xf>
    <xf numFmtId="0" fontId="30" fillId="0" borderId="1" xfId="0" applyFont="1" applyBorder="1">
      <alignment vertical="center"/>
    </xf>
    <xf numFmtId="0" fontId="30" fillId="0" borderId="33" xfId="0" applyFont="1" applyBorder="1" applyAlignment="1">
      <alignment vertical="center" wrapText="1"/>
    </xf>
    <xf numFmtId="0" fontId="30" fillId="0" borderId="32" xfId="0" applyFont="1" applyBorder="1" applyAlignment="1">
      <alignment vertical="center" wrapText="1"/>
    </xf>
    <xf numFmtId="0" fontId="30" fillId="0" borderId="32" xfId="0" applyFont="1" applyBorder="1">
      <alignment vertical="center"/>
    </xf>
    <xf numFmtId="0" fontId="30" fillId="0" borderId="40" xfId="0" applyFont="1" applyBorder="1" applyAlignment="1">
      <alignment vertical="center" wrapText="1"/>
    </xf>
    <xf numFmtId="0" fontId="30" fillId="0" borderId="40" xfId="0" applyFont="1" applyBorder="1">
      <alignment vertical="center"/>
    </xf>
    <xf numFmtId="0" fontId="30" fillId="0" borderId="41" xfId="0" applyFont="1" applyBorder="1" applyAlignment="1">
      <alignment vertical="center" wrapText="1"/>
    </xf>
    <xf numFmtId="0" fontId="30" fillId="0" borderId="9" xfId="0" applyFont="1" applyBorder="1" applyAlignment="1">
      <alignment vertical="center" wrapText="1"/>
    </xf>
    <xf numFmtId="0" fontId="30" fillId="0" borderId="9" xfId="0" applyFont="1" applyBorder="1">
      <alignment vertical="center"/>
    </xf>
    <xf numFmtId="0" fontId="30" fillId="0" borderId="19" xfId="0" applyFont="1" applyBorder="1" applyAlignment="1">
      <alignment vertical="center" wrapText="1"/>
    </xf>
    <xf numFmtId="0" fontId="30" fillId="0" borderId="3" xfId="0" applyFont="1" applyBorder="1" applyAlignment="1">
      <alignment vertical="center" wrapText="1"/>
    </xf>
    <xf numFmtId="0" fontId="30" fillId="0" borderId="3" xfId="0" applyFont="1" applyBorder="1">
      <alignment vertical="center"/>
    </xf>
    <xf numFmtId="0" fontId="10" fillId="0" borderId="3" xfId="0" applyFont="1" applyBorder="1" applyAlignment="1">
      <alignment horizontal="center" vertical="center"/>
    </xf>
    <xf numFmtId="0" fontId="10" fillId="0" borderId="1" xfId="0" applyFont="1" applyBorder="1" applyAlignment="1">
      <alignment horizontal="center" vertical="center"/>
    </xf>
    <xf numFmtId="0" fontId="10" fillId="0" borderId="9" xfId="0" applyFont="1" applyBorder="1" applyAlignment="1">
      <alignment vertical="center" wrapText="1"/>
    </xf>
    <xf numFmtId="0" fontId="10" fillId="0" borderId="9" xfId="0" applyFont="1" applyBorder="1" applyAlignment="1">
      <alignment horizontal="center" vertical="center"/>
    </xf>
    <xf numFmtId="0" fontId="23" fillId="0" borderId="0" xfId="0" applyFont="1" applyAlignment="1">
      <alignment vertical="center" wrapText="1"/>
    </xf>
    <xf numFmtId="0" fontId="32" fillId="2" borderId="30" xfId="0" applyFont="1" applyFill="1" applyBorder="1" applyAlignment="1">
      <alignment horizontal="center" vertical="center"/>
    </xf>
    <xf numFmtId="0" fontId="33" fillId="2" borderId="30" xfId="0" applyFont="1" applyFill="1" applyBorder="1" applyAlignment="1">
      <alignment horizontal="center" vertical="center" wrapText="1"/>
    </xf>
    <xf numFmtId="0" fontId="33" fillId="2" borderId="30" xfId="0" applyFont="1" applyFill="1" applyBorder="1" applyAlignment="1">
      <alignment horizontal="center" vertical="center"/>
    </xf>
    <xf numFmtId="0" fontId="32" fillId="2" borderId="5" xfId="0" applyFont="1" applyFill="1" applyBorder="1" applyAlignment="1">
      <alignment horizontal="center" vertical="center"/>
    </xf>
    <xf numFmtId="0" fontId="33" fillId="2" borderId="5" xfId="0" applyFont="1" applyFill="1" applyBorder="1" applyAlignment="1">
      <alignment horizontal="center" vertical="center" wrapText="1"/>
    </xf>
    <xf numFmtId="0" fontId="33" fillId="2" borderId="5" xfId="0" applyFont="1" applyFill="1" applyBorder="1" applyAlignment="1">
      <alignment horizontal="center" vertical="center"/>
    </xf>
    <xf numFmtId="0" fontId="23" fillId="0" borderId="15" xfId="0" applyFont="1" applyBorder="1">
      <alignment vertical="center"/>
    </xf>
    <xf numFmtId="0" fontId="23" fillId="0" borderId="15" xfId="0" applyFont="1" applyBorder="1" applyAlignment="1">
      <alignment horizontal="center" vertical="center"/>
    </xf>
    <xf numFmtId="0" fontId="30" fillId="0" borderId="0" xfId="0" applyFont="1">
      <alignment vertical="center"/>
    </xf>
    <xf numFmtId="0" fontId="30" fillId="0" borderId="0" xfId="0" applyFont="1" applyAlignment="1">
      <alignment vertical="center" wrapText="1"/>
    </xf>
    <xf numFmtId="0" fontId="30" fillId="0" borderId="3" xfId="0" applyFont="1" applyBorder="1" applyAlignment="1">
      <alignment horizontal="center" vertical="center"/>
    </xf>
    <xf numFmtId="0" fontId="30" fillId="0" borderId="1" xfId="0" applyFont="1" applyBorder="1" applyAlignment="1">
      <alignment horizontal="center" vertical="center"/>
    </xf>
    <xf numFmtId="0" fontId="30" fillId="0" borderId="9" xfId="0" applyFont="1" applyBorder="1" applyAlignment="1">
      <alignment horizontal="center" vertical="center"/>
    </xf>
    <xf numFmtId="0" fontId="34" fillId="0" borderId="0" xfId="0" applyFont="1">
      <alignment vertical="center"/>
    </xf>
    <xf numFmtId="0" fontId="37" fillId="2" borderId="5" xfId="0" applyFont="1" applyFill="1" applyBorder="1" applyAlignment="1">
      <alignment horizontal="center" vertical="center"/>
    </xf>
    <xf numFmtId="0" fontId="38" fillId="2" borderId="5" xfId="0" applyFont="1" applyFill="1" applyBorder="1" applyAlignment="1">
      <alignment horizontal="center" vertical="center" wrapText="1"/>
    </xf>
    <xf numFmtId="0" fontId="38" fillId="2" borderId="5" xfId="0" applyFont="1" applyFill="1" applyBorder="1" applyAlignment="1">
      <alignment horizontal="center" vertical="center"/>
    </xf>
    <xf numFmtId="0" fontId="34" fillId="0" borderId="1" xfId="0" applyFont="1" applyBorder="1">
      <alignment vertical="center"/>
    </xf>
    <xf numFmtId="0" fontId="39" fillId="0" borderId="1" xfId="0" applyFont="1" applyBorder="1">
      <alignment vertical="center"/>
    </xf>
    <xf numFmtId="0" fontId="34" fillId="0" borderId="1" xfId="0" applyFont="1" applyBorder="1" applyAlignment="1">
      <alignment horizontal="center" vertical="center"/>
    </xf>
    <xf numFmtId="0" fontId="39" fillId="4" borderId="1" xfId="0" applyFont="1" applyFill="1" applyBorder="1">
      <alignment vertical="center"/>
    </xf>
    <xf numFmtId="0" fontId="39" fillId="4" borderId="1" xfId="0" applyFont="1" applyFill="1" applyBorder="1" applyAlignment="1">
      <alignment horizontal="center" vertical="center"/>
    </xf>
    <xf numFmtId="0" fontId="34" fillId="4" borderId="1" xfId="0" applyFont="1" applyFill="1" applyBorder="1">
      <alignment vertical="center"/>
    </xf>
    <xf numFmtId="0" fontId="39" fillId="4" borderId="3" xfId="0" applyFont="1" applyFill="1" applyBorder="1">
      <alignment vertical="center"/>
    </xf>
    <xf numFmtId="0" fontId="39" fillId="4" borderId="3" xfId="0" applyFont="1" applyFill="1" applyBorder="1" applyAlignment="1">
      <alignment horizontal="center" vertical="center"/>
    </xf>
    <xf numFmtId="0" fontId="34" fillId="4" borderId="1" xfId="0" applyFont="1" applyFill="1" applyBorder="1" applyAlignment="1">
      <alignment horizontal="center" vertical="center"/>
    </xf>
    <xf numFmtId="0" fontId="34" fillId="4" borderId="1" xfId="0" applyFont="1" applyFill="1" applyBorder="1" applyAlignment="1">
      <alignment horizontal="right" vertical="center"/>
    </xf>
    <xf numFmtId="0" fontId="39" fillId="0" borderId="1" xfId="0" applyFont="1" applyBorder="1" applyAlignment="1">
      <alignment horizontal="center" vertical="center"/>
    </xf>
    <xf numFmtId="0" fontId="34" fillId="0" borderId="9" xfId="0" applyFont="1" applyBorder="1">
      <alignment vertical="center"/>
    </xf>
    <xf numFmtId="0" fontId="39" fillId="0" borderId="9" xfId="0" applyFont="1" applyBorder="1" applyAlignment="1">
      <alignment horizontal="center" vertical="center"/>
    </xf>
    <xf numFmtId="0" fontId="34" fillId="0" borderId="9" xfId="0" applyFont="1" applyBorder="1" applyAlignment="1">
      <alignment horizontal="center" vertical="center"/>
    </xf>
    <xf numFmtId="0" fontId="23" fillId="0" borderId="9" xfId="0" applyFont="1" applyBorder="1" applyAlignment="1">
      <alignment vertical="center" wrapText="1"/>
    </xf>
    <xf numFmtId="0" fontId="37" fillId="2" borderId="5" xfId="0" applyFont="1" applyFill="1" applyBorder="1" applyAlignment="1">
      <alignment horizontal="center" vertical="center" wrapText="1"/>
    </xf>
    <xf numFmtId="0" fontId="34" fillId="0" borderId="1" xfId="0" applyFont="1" applyBorder="1" applyAlignment="1">
      <alignment vertical="center" wrapText="1"/>
    </xf>
    <xf numFmtId="0" fontId="39" fillId="4" borderId="1" xfId="0" applyFont="1" applyFill="1" applyBorder="1" applyAlignment="1">
      <alignment vertical="center" wrapText="1"/>
    </xf>
    <xf numFmtId="0" fontId="39" fillId="4" borderId="3" xfId="0" applyFont="1" applyFill="1" applyBorder="1" applyAlignment="1">
      <alignment vertical="center" wrapText="1"/>
    </xf>
    <xf numFmtId="0" fontId="34" fillId="4" borderId="1" xfId="0" applyFont="1" applyFill="1" applyBorder="1" applyAlignment="1">
      <alignment vertical="center" wrapText="1"/>
    </xf>
    <xf numFmtId="0" fontId="40" fillId="4" borderId="1" xfId="0" applyFont="1" applyFill="1" applyBorder="1" applyAlignment="1">
      <alignment vertical="center" wrapText="1"/>
    </xf>
    <xf numFmtId="0" fontId="34" fillId="0" borderId="9" xfId="0" applyFont="1" applyBorder="1" applyAlignment="1">
      <alignment vertical="center" wrapText="1"/>
    </xf>
    <xf numFmtId="0" fontId="32" fillId="2" borderId="5" xfId="0" applyFont="1" applyFill="1" applyBorder="1" applyAlignment="1">
      <alignment horizontal="center" vertical="center" wrapText="1"/>
    </xf>
    <xf numFmtId="0" fontId="1" fillId="0" borderId="27" xfId="8" applyFont="1" applyBorder="1" applyAlignment="1">
      <alignment vertical="center" wrapText="1"/>
    </xf>
    <xf numFmtId="0" fontId="21" fillId="0" borderId="14" xfId="8" applyBorder="1" applyAlignment="1">
      <alignment vertical="center" wrapText="1"/>
    </xf>
    <xf numFmtId="0" fontId="21" fillId="0" borderId="9" xfId="8" applyBorder="1" applyAlignment="1">
      <alignment vertical="center" wrapText="1"/>
    </xf>
    <xf numFmtId="0" fontId="1" fillId="0" borderId="26" xfId="8" applyFont="1" applyBorder="1" applyAlignment="1">
      <alignment vertical="center" wrapText="1"/>
    </xf>
    <xf numFmtId="0" fontId="1" fillId="0" borderId="35" xfId="8" applyFont="1" applyBorder="1" applyAlignment="1">
      <alignment vertical="center" wrapText="1"/>
    </xf>
    <xf numFmtId="0" fontId="5" fillId="2" borderId="5" xfId="0" applyFont="1" applyFill="1" applyBorder="1" applyAlignment="1">
      <alignment horizontal="center" vertical="center" wrapText="1"/>
    </xf>
    <xf numFmtId="0" fontId="0" fillId="0" borderId="3" xfId="0" applyBorder="1" applyAlignment="1">
      <alignment vertical="center" wrapText="1"/>
    </xf>
    <xf numFmtId="0" fontId="0" fillId="0" borderId="1" xfId="0" applyBorder="1" applyAlignment="1">
      <alignment vertical="center" wrapText="1"/>
    </xf>
    <xf numFmtId="0" fontId="0" fillId="0" borderId="9" xfId="0" applyBorder="1" applyAlignment="1">
      <alignment vertical="center" wrapText="1"/>
    </xf>
    <xf numFmtId="0" fontId="0" fillId="0" borderId="39" xfId="0" applyBorder="1" applyAlignment="1">
      <alignment horizontal="center" vertical="center"/>
    </xf>
    <xf numFmtId="0" fontId="0" fillId="0" borderId="26" xfId="0" applyBorder="1" applyAlignment="1">
      <alignment vertical="center" wrapText="1"/>
    </xf>
    <xf numFmtId="0" fontId="0" fillId="0" borderId="12" xfId="0" applyBorder="1" applyAlignment="1">
      <alignment vertical="center" wrapText="1"/>
    </xf>
    <xf numFmtId="0" fontId="23" fillId="0" borderId="3" xfId="0" applyFont="1" applyBorder="1" applyAlignment="1">
      <alignment vertical="center" wrapText="1"/>
    </xf>
    <xf numFmtId="0" fontId="23" fillId="0" borderId="15" xfId="0" applyFont="1" applyBorder="1" applyAlignment="1">
      <alignment vertical="center" wrapText="1"/>
    </xf>
    <xf numFmtId="0" fontId="32" fillId="2" borderId="30" xfId="0" applyFont="1" applyFill="1" applyBorder="1" applyAlignment="1">
      <alignment horizontal="center" vertical="center" wrapText="1"/>
    </xf>
    <xf numFmtId="0" fontId="23" fillId="0" borderId="1" xfId="0" applyFont="1" applyBorder="1" applyAlignment="1">
      <alignment vertical="top" wrapText="1"/>
    </xf>
    <xf numFmtId="0" fontId="10" fillId="0" borderId="28" xfId="0" applyFont="1" applyBorder="1" applyAlignment="1">
      <alignment vertical="center" wrapText="1"/>
    </xf>
    <xf numFmtId="0" fontId="44" fillId="0" borderId="14" xfId="0" applyFont="1" applyBorder="1" applyAlignment="1">
      <alignment vertical="center" wrapText="1"/>
    </xf>
    <xf numFmtId="0" fontId="45" fillId="0" borderId="14" xfId="0" applyFont="1" applyBorder="1" applyAlignment="1">
      <alignment vertical="center" wrapText="1"/>
    </xf>
    <xf numFmtId="0" fontId="10" fillId="6" borderId="24" xfId="0" applyFont="1" applyFill="1" applyBorder="1" applyAlignment="1">
      <alignment vertical="center" wrapText="1"/>
    </xf>
    <xf numFmtId="0" fontId="10" fillId="6" borderId="25" xfId="0" applyFont="1" applyFill="1" applyBorder="1" applyAlignment="1">
      <alignment vertical="center" wrapText="1"/>
    </xf>
    <xf numFmtId="0" fontId="10" fillId="6" borderId="23" xfId="0" applyFont="1" applyFill="1" applyBorder="1" applyAlignment="1">
      <alignment vertical="center" wrapText="1"/>
    </xf>
    <xf numFmtId="0" fontId="43" fillId="5" borderId="22" xfId="0" applyFont="1" applyFill="1" applyBorder="1" applyAlignment="1">
      <alignment horizontal="center" vertical="center" wrapText="1"/>
    </xf>
    <xf numFmtId="0" fontId="10" fillId="6" borderId="21" xfId="0" applyFont="1" applyFill="1" applyBorder="1" applyAlignment="1">
      <alignment vertical="center" wrapText="1"/>
    </xf>
    <xf numFmtId="0" fontId="10" fillId="6" borderId="10" xfId="0" applyFont="1" applyFill="1" applyBorder="1" applyAlignment="1">
      <alignment vertical="center" wrapText="1"/>
    </xf>
    <xf numFmtId="0" fontId="10" fillId="6" borderId="19" xfId="0" applyFont="1" applyFill="1" applyBorder="1" applyAlignment="1">
      <alignment vertical="center" wrapText="1"/>
    </xf>
    <xf numFmtId="0" fontId="10" fillId="0" borderId="24" xfId="0" applyFont="1" applyBorder="1" applyAlignment="1">
      <alignment vertical="center" wrapText="1"/>
    </xf>
    <xf numFmtId="0" fontId="10" fillId="6" borderId="9" xfId="0" applyFont="1" applyFill="1" applyBorder="1" applyAlignment="1">
      <alignment vertical="center" wrapText="1"/>
    </xf>
    <xf numFmtId="0" fontId="47" fillId="0" borderId="1" xfId="0" applyFont="1" applyBorder="1" applyAlignment="1">
      <alignment vertical="center" wrapText="1"/>
    </xf>
    <xf numFmtId="0" fontId="10" fillId="6" borderId="47" xfId="0" applyFont="1" applyFill="1" applyBorder="1" applyAlignment="1">
      <alignment vertical="center" wrapText="1"/>
    </xf>
    <xf numFmtId="0" fontId="10" fillId="0" borderId="48" xfId="0" applyFont="1" applyBorder="1" applyAlignment="1">
      <alignment vertical="center" wrapText="1"/>
    </xf>
    <xf numFmtId="0" fontId="10" fillId="6" borderId="48" xfId="0" applyFont="1" applyFill="1" applyBorder="1" applyAlignment="1">
      <alignment vertical="center" wrapText="1"/>
    </xf>
    <xf numFmtId="0" fontId="10" fillId="4" borderId="1" xfId="0" applyFont="1" applyFill="1" applyBorder="1" applyAlignment="1">
      <alignment vertical="center" wrapText="1"/>
    </xf>
    <xf numFmtId="0" fontId="10" fillId="6" borderId="43" xfId="0" applyFont="1" applyFill="1" applyBorder="1" applyAlignment="1">
      <alignment vertical="center" wrapText="1"/>
    </xf>
    <xf numFmtId="0" fontId="10" fillId="0" borderId="40" xfId="0" applyFont="1" applyBorder="1" applyAlignment="1">
      <alignment vertical="center" wrapText="1"/>
    </xf>
    <xf numFmtId="0" fontId="10" fillId="0" borderId="32" xfId="0" applyFont="1" applyBorder="1" applyAlignment="1">
      <alignment vertical="center" wrapText="1"/>
    </xf>
    <xf numFmtId="0" fontId="23" fillId="0" borderId="25" xfId="0" applyFont="1" applyBorder="1" applyAlignment="1">
      <alignment vertical="center" wrapText="1"/>
    </xf>
    <xf numFmtId="0" fontId="10" fillId="7" borderId="1" xfId="0" applyFont="1" applyFill="1" applyBorder="1" applyAlignment="1">
      <alignment vertical="center" wrapText="1"/>
    </xf>
    <xf numFmtId="0" fontId="10" fillId="8" borderId="1" xfId="0" applyFont="1" applyFill="1" applyBorder="1" applyAlignment="1">
      <alignment vertical="center" wrapText="1"/>
    </xf>
    <xf numFmtId="0" fontId="10" fillId="7" borderId="9" xfId="0" applyFont="1" applyFill="1" applyBorder="1" applyAlignment="1">
      <alignment vertical="center" wrapText="1"/>
    </xf>
    <xf numFmtId="0" fontId="10" fillId="6" borderId="24" xfId="0" applyFont="1" applyFill="1" applyBorder="1" applyAlignment="1">
      <alignment horizontal="left" vertical="center" wrapText="1"/>
    </xf>
    <xf numFmtId="0" fontId="46" fillId="6" borderId="24" xfId="0" applyFont="1" applyFill="1" applyBorder="1" applyAlignment="1">
      <alignment horizontal="left" vertical="center" wrapText="1"/>
    </xf>
    <xf numFmtId="0" fontId="23" fillId="6" borderId="24" xfId="0" applyFont="1" applyFill="1" applyBorder="1" applyAlignment="1">
      <alignment vertical="center" wrapText="1"/>
    </xf>
    <xf numFmtId="0" fontId="10" fillId="6" borderId="49" xfId="0" applyFont="1" applyFill="1" applyBorder="1" applyAlignment="1">
      <alignment vertical="center" wrapText="1"/>
    </xf>
    <xf numFmtId="0" fontId="48" fillId="6" borderId="18" xfId="0" applyFont="1" applyFill="1" applyBorder="1" applyAlignment="1">
      <alignment vertical="top" wrapText="1"/>
    </xf>
    <xf numFmtId="0" fontId="23" fillId="6" borderId="1" xfId="0" applyFont="1" applyFill="1" applyBorder="1" applyAlignment="1">
      <alignment vertical="center" wrapText="1"/>
    </xf>
    <xf numFmtId="0" fontId="23" fillId="6" borderId="9" xfId="0" applyFont="1" applyFill="1" applyBorder="1" applyAlignment="1">
      <alignment vertical="center" wrapText="1"/>
    </xf>
    <xf numFmtId="0" fontId="42" fillId="7" borderId="46" xfId="0" applyFont="1" applyFill="1" applyBorder="1" applyAlignment="1">
      <alignment horizontal="center" vertical="center"/>
    </xf>
    <xf numFmtId="0" fontId="42" fillId="7" borderId="42" xfId="0" applyFont="1" applyFill="1" applyBorder="1" applyAlignment="1">
      <alignment horizontal="center" vertical="center"/>
    </xf>
    <xf numFmtId="0" fontId="42" fillId="7" borderId="45" xfId="0" applyFont="1" applyFill="1" applyBorder="1" applyAlignment="1">
      <alignment horizontal="center" vertical="center"/>
    </xf>
    <xf numFmtId="0" fontId="46" fillId="0" borderId="0" xfId="0" applyFont="1" applyAlignment="1">
      <alignment vertical="center" wrapText="1"/>
    </xf>
    <xf numFmtId="0" fontId="50" fillId="2" borderId="30" xfId="0" applyFont="1" applyFill="1" applyBorder="1" applyAlignment="1">
      <alignment horizontal="center" vertical="center" wrapText="1"/>
    </xf>
    <xf numFmtId="0" fontId="44" fillId="0" borderId="3" xfId="0" applyFont="1" applyBorder="1" applyAlignment="1">
      <alignment vertical="center" wrapText="1"/>
    </xf>
    <xf numFmtId="0" fontId="44" fillId="0" borderId="1" xfId="0" applyFont="1" applyBorder="1" applyAlignment="1">
      <alignment vertical="center" wrapText="1"/>
    </xf>
    <xf numFmtId="0" fontId="44" fillId="0" borderId="9" xfId="0" applyFont="1" applyBorder="1" applyAlignment="1">
      <alignment vertical="center" wrapText="1"/>
    </xf>
    <xf numFmtId="0" fontId="51" fillId="0" borderId="0" xfId="0" applyFont="1" applyAlignment="1">
      <alignment vertical="center" wrapText="1"/>
    </xf>
    <xf numFmtId="0" fontId="48" fillId="0" borderId="18" xfId="0" applyFont="1" applyBorder="1" applyAlignment="1">
      <alignment vertical="top" wrapText="1"/>
    </xf>
    <xf numFmtId="0" fontId="10" fillId="0" borderId="1" xfId="0" applyFont="1" applyBorder="1" applyAlignment="1">
      <alignment vertical="top" wrapText="1"/>
    </xf>
    <xf numFmtId="0" fontId="23" fillId="4" borderId="24" xfId="0" applyFont="1" applyFill="1" applyBorder="1" applyAlignment="1">
      <alignment vertical="center" wrapText="1"/>
    </xf>
    <xf numFmtId="0" fontId="41" fillId="0" borderId="1" xfId="0" applyFont="1" applyBorder="1" applyAlignment="1">
      <alignment vertical="center" wrapText="1"/>
    </xf>
    <xf numFmtId="0" fontId="23" fillId="4" borderId="1" xfId="0" applyFont="1" applyFill="1" applyBorder="1" applyAlignment="1">
      <alignment vertical="center" wrapText="1"/>
    </xf>
    <xf numFmtId="0" fontId="37" fillId="2" borderId="4" xfId="0" applyFont="1" applyFill="1" applyBorder="1" applyAlignment="1">
      <alignment horizontal="center" vertical="center"/>
    </xf>
    <xf numFmtId="0" fontId="39" fillId="0" borderId="7" xfId="0" applyFont="1" applyBorder="1">
      <alignment vertical="center"/>
    </xf>
    <xf numFmtId="0" fontId="39" fillId="4" borderId="7" xfId="0" applyFont="1" applyFill="1" applyBorder="1">
      <alignment vertical="center"/>
    </xf>
    <xf numFmtId="0" fontId="39" fillId="0" borderId="8" xfId="0" applyFont="1" applyBorder="1">
      <alignment vertical="center"/>
    </xf>
    <xf numFmtId="0" fontId="10" fillId="4" borderId="9" xfId="0" applyFont="1" applyFill="1" applyBorder="1" applyAlignment="1">
      <alignment vertical="center" wrapText="1"/>
    </xf>
    <xf numFmtId="0" fontId="32" fillId="2" borderId="4" xfId="0" applyFont="1" applyFill="1" applyBorder="1" applyAlignment="1">
      <alignment horizontal="center" vertical="center"/>
    </xf>
    <xf numFmtId="0" fontId="30" fillId="0" borderId="6" xfId="0" applyFont="1" applyBorder="1">
      <alignment vertical="center"/>
    </xf>
    <xf numFmtId="0" fontId="30" fillId="0" borderId="7" xfId="0" applyFont="1" applyBorder="1">
      <alignment vertical="center"/>
    </xf>
    <xf numFmtId="0" fontId="30" fillId="0" borderId="8" xfId="0" applyFont="1" applyBorder="1">
      <alignment vertical="center"/>
    </xf>
    <xf numFmtId="0" fontId="10" fillId="6" borderId="1" xfId="0" applyFont="1" applyFill="1" applyBorder="1" applyAlignment="1">
      <alignment vertical="center" wrapText="1"/>
    </xf>
    <xf numFmtId="0" fontId="1" fillId="7" borderId="27" xfId="8" applyFont="1" applyFill="1" applyBorder="1" applyAlignment="1">
      <alignment vertical="center" wrapText="1"/>
    </xf>
    <xf numFmtId="0" fontId="21" fillId="0" borderId="53" xfId="8" applyBorder="1">
      <alignment vertical="center"/>
    </xf>
    <xf numFmtId="0" fontId="10" fillId="4" borderId="10" xfId="0" applyFont="1" applyFill="1" applyBorder="1" applyAlignment="1">
      <alignment vertical="center" wrapText="1"/>
    </xf>
    <xf numFmtId="0" fontId="21" fillId="0" borderId="54" xfId="8" applyBorder="1">
      <alignment vertical="center"/>
    </xf>
    <xf numFmtId="0" fontId="21" fillId="0" borderId="55" xfId="8" applyBorder="1">
      <alignment vertical="center"/>
    </xf>
    <xf numFmtId="0" fontId="21" fillId="0" borderId="56" xfId="8" applyBorder="1">
      <alignment vertical="center"/>
    </xf>
    <xf numFmtId="0" fontId="0" fillId="0" borderId="39" xfId="8" applyFont="1" applyBorder="1">
      <alignment vertical="center"/>
    </xf>
    <xf numFmtId="0" fontId="21" fillId="0" borderId="39" xfId="8" applyBorder="1">
      <alignment vertical="center"/>
    </xf>
    <xf numFmtId="0" fontId="21" fillId="0" borderId="39" xfId="8" applyBorder="1" applyAlignment="1">
      <alignment horizontal="center" vertical="center"/>
    </xf>
    <xf numFmtId="0" fontId="1" fillId="0" borderId="39" xfId="8" applyFont="1" applyBorder="1" applyAlignment="1">
      <alignment vertical="center" wrapText="1"/>
    </xf>
    <xf numFmtId="0" fontId="10" fillId="4" borderId="19" xfId="0" applyFont="1" applyFill="1" applyBorder="1" applyAlignment="1">
      <alignment vertical="center" wrapText="1"/>
    </xf>
    <xf numFmtId="0" fontId="13" fillId="2" borderId="46" xfId="0" applyFont="1" applyFill="1" applyBorder="1" applyAlignment="1">
      <alignment horizontal="center" vertical="center"/>
    </xf>
    <xf numFmtId="0" fontId="13" fillId="2" borderId="42" xfId="0" applyFont="1" applyFill="1" applyBorder="1" applyAlignment="1">
      <alignment horizontal="center" vertical="center"/>
    </xf>
    <xf numFmtId="0" fontId="14" fillId="2" borderId="42" xfId="0" applyFont="1" applyFill="1" applyBorder="1" applyAlignment="1">
      <alignment horizontal="center" vertical="center" wrapText="1"/>
    </xf>
    <xf numFmtId="0" fontId="14" fillId="2" borderId="42" xfId="0" applyFont="1" applyFill="1" applyBorder="1" applyAlignment="1">
      <alignment horizontal="center" vertical="center"/>
    </xf>
    <xf numFmtId="0" fontId="13" fillId="2" borderId="42" xfId="0" applyFont="1" applyFill="1" applyBorder="1" applyAlignment="1">
      <alignment horizontal="center" vertical="center" wrapText="1"/>
    </xf>
    <xf numFmtId="0" fontId="43" fillId="5" borderId="57" xfId="0" applyFont="1" applyFill="1" applyBorder="1" applyAlignment="1">
      <alignment horizontal="center" vertical="center" wrapText="1"/>
    </xf>
    <xf numFmtId="0" fontId="23" fillId="0" borderId="8" xfId="0" applyFont="1" applyBorder="1">
      <alignment vertical="center"/>
    </xf>
    <xf numFmtId="0" fontId="5" fillId="2" borderId="4" xfId="0" applyFont="1" applyFill="1" applyBorder="1" applyAlignment="1">
      <alignment horizontal="center" vertical="center"/>
    </xf>
    <xf numFmtId="0" fontId="0" fillId="0" borderId="6" xfId="0" applyBorder="1">
      <alignment vertical="center"/>
    </xf>
    <xf numFmtId="0" fontId="0" fillId="0" borderId="53" xfId="0" applyBorder="1">
      <alignment vertical="center"/>
    </xf>
    <xf numFmtId="0" fontId="52" fillId="0" borderId="0" xfId="0" applyFont="1" applyAlignment="1">
      <alignment vertical="center" wrapText="1"/>
    </xf>
    <xf numFmtId="0" fontId="0" fillId="7" borderId="26" xfId="0" applyFill="1" applyBorder="1" applyAlignment="1">
      <alignment vertical="center" wrapText="1"/>
    </xf>
    <xf numFmtId="0" fontId="0" fillId="7" borderId="59" xfId="0" applyFill="1" applyBorder="1" applyAlignment="1">
      <alignment vertical="center" wrapText="1"/>
    </xf>
    <xf numFmtId="0" fontId="10" fillId="7" borderId="19" xfId="0" applyFont="1" applyFill="1" applyBorder="1" applyAlignment="1">
      <alignment vertical="center" wrapText="1"/>
    </xf>
    <xf numFmtId="0" fontId="0" fillId="0" borderId="60" xfId="0" applyBorder="1">
      <alignment vertical="center"/>
    </xf>
    <xf numFmtId="0" fontId="0" fillId="0" borderId="34" xfId="0" applyBorder="1" applyAlignment="1">
      <alignment horizontal="center" vertical="center"/>
    </xf>
    <xf numFmtId="0" fontId="5" fillId="2" borderId="46" xfId="0" applyFont="1" applyFill="1" applyBorder="1" applyAlignment="1">
      <alignment horizontal="center" vertical="center"/>
    </xf>
    <xf numFmtId="0" fontId="5" fillId="2" borderId="42" xfId="0" applyFont="1" applyFill="1" applyBorder="1" applyAlignment="1">
      <alignment horizontal="center" vertical="center"/>
    </xf>
    <xf numFmtId="0" fontId="6" fillId="2" borderId="42" xfId="0" applyFont="1" applyFill="1" applyBorder="1" applyAlignment="1">
      <alignment horizontal="center" vertical="center" wrapText="1"/>
    </xf>
    <xf numFmtId="0" fontId="6" fillId="2" borderId="42" xfId="0" applyFont="1" applyFill="1" applyBorder="1" applyAlignment="1">
      <alignment horizontal="center" vertical="center"/>
    </xf>
    <xf numFmtId="0" fontId="5" fillId="2" borderId="42" xfId="0" applyFont="1" applyFill="1" applyBorder="1" applyAlignment="1">
      <alignment horizontal="center" vertical="center" wrapText="1"/>
    </xf>
    <xf numFmtId="0" fontId="0" fillId="3" borderId="42" xfId="0" applyFill="1" applyBorder="1" applyAlignment="1">
      <alignment horizontal="center" vertical="center" wrapText="1"/>
    </xf>
    <xf numFmtId="0" fontId="23" fillId="0" borderId="6" xfId="0" applyFont="1" applyBorder="1">
      <alignment vertical="center"/>
    </xf>
    <xf numFmtId="0" fontId="23" fillId="0" borderId="58" xfId="0" applyFont="1" applyBorder="1" applyAlignment="1">
      <alignment vertical="center" wrapText="1"/>
    </xf>
    <xf numFmtId="0" fontId="1" fillId="0" borderId="1" xfId="0" applyFont="1" applyBorder="1" applyAlignment="1">
      <alignment vertical="center" wrapText="1"/>
    </xf>
    <xf numFmtId="0" fontId="1" fillId="0" borderId="9" xfId="0" applyFont="1" applyBorder="1" applyAlignment="1">
      <alignment vertical="center" wrapText="1"/>
    </xf>
    <xf numFmtId="0" fontId="10" fillId="4" borderId="14" xfId="0" applyFont="1" applyFill="1" applyBorder="1" applyAlignment="1">
      <alignment vertical="center" wrapText="1"/>
    </xf>
    <xf numFmtId="0" fontId="10" fillId="4" borderId="20" xfId="0" applyFont="1" applyFill="1" applyBorder="1" applyAlignment="1">
      <alignment vertical="center" wrapText="1"/>
    </xf>
    <xf numFmtId="0" fontId="10" fillId="4" borderId="63" xfId="0" applyFont="1" applyFill="1" applyBorder="1" applyAlignment="1">
      <alignment vertical="center" wrapText="1"/>
    </xf>
    <xf numFmtId="0" fontId="10" fillId="4" borderId="64" xfId="0" applyFont="1" applyFill="1" applyBorder="1" applyAlignment="1">
      <alignment vertical="center" wrapText="1"/>
    </xf>
    <xf numFmtId="0" fontId="10" fillId="4" borderId="65" xfId="0" applyFont="1" applyFill="1" applyBorder="1" applyAlignment="1">
      <alignment vertical="center" wrapText="1"/>
    </xf>
    <xf numFmtId="0" fontId="10" fillId="4" borderId="62" xfId="0" applyFont="1" applyFill="1" applyBorder="1" applyAlignment="1">
      <alignment vertical="center" wrapText="1"/>
    </xf>
    <xf numFmtId="0" fontId="23" fillId="0" borderId="61" xfId="0" applyFont="1" applyBorder="1">
      <alignment vertical="center"/>
    </xf>
    <xf numFmtId="0" fontId="23" fillId="0" borderId="66" xfId="0" applyFont="1" applyBorder="1" applyAlignment="1">
      <alignment vertical="center" wrapText="1"/>
    </xf>
    <xf numFmtId="0" fontId="10" fillId="6" borderId="44" xfId="0" applyFont="1" applyFill="1" applyBorder="1" applyAlignment="1">
      <alignment vertical="center" wrapText="1"/>
    </xf>
    <xf numFmtId="0" fontId="10" fillId="6" borderId="67" xfId="0" applyFont="1" applyFill="1" applyBorder="1" applyAlignment="1">
      <alignment vertical="center" wrapText="1"/>
    </xf>
    <xf numFmtId="0" fontId="32" fillId="2" borderId="29" xfId="0" applyFont="1" applyFill="1" applyBorder="1" applyAlignment="1">
      <alignment horizontal="center" vertical="center"/>
    </xf>
    <xf numFmtId="0" fontId="10" fillId="0" borderId="23" xfId="0" applyFont="1" applyBorder="1" applyAlignment="1">
      <alignment vertical="center" wrapText="1"/>
    </xf>
    <xf numFmtId="0" fontId="23" fillId="0" borderId="21" xfId="0" applyFont="1" applyBorder="1" applyAlignment="1">
      <alignment vertical="center" wrapText="1"/>
    </xf>
    <xf numFmtId="0" fontId="23" fillId="0" borderId="19" xfId="0" applyFont="1" applyBorder="1" applyAlignment="1">
      <alignment vertical="center" wrapText="1"/>
    </xf>
    <xf numFmtId="0" fontId="0" fillId="0" borderId="18" xfId="0" applyBorder="1">
      <alignment vertical="center"/>
    </xf>
    <xf numFmtId="0" fontId="53" fillId="9" borderId="14" xfId="0" applyFont="1" applyFill="1" applyBorder="1" applyAlignment="1">
      <alignment vertical="center" wrapText="1"/>
    </xf>
    <xf numFmtId="0" fontId="10" fillId="0" borderId="31" xfId="0" applyFont="1" applyBorder="1">
      <alignment vertical="center"/>
    </xf>
    <xf numFmtId="0" fontId="23" fillId="9" borderId="1" xfId="0" applyFont="1" applyFill="1" applyBorder="1">
      <alignment vertical="center"/>
    </xf>
    <xf numFmtId="0" fontId="23" fillId="9" borderId="1" xfId="0" applyFont="1" applyFill="1" applyBorder="1" applyAlignment="1">
      <alignment vertical="center" wrapText="1"/>
    </xf>
    <xf numFmtId="0" fontId="23" fillId="9" borderId="1" xfId="0" applyFont="1" applyFill="1" applyBorder="1" applyAlignment="1">
      <alignment horizontal="center" vertical="center"/>
    </xf>
    <xf numFmtId="0" fontId="23" fillId="9" borderId="32" xfId="0" applyFont="1" applyFill="1" applyBorder="1" applyAlignment="1">
      <alignment vertical="center" wrapText="1"/>
    </xf>
    <xf numFmtId="0" fontId="25" fillId="9" borderId="0" xfId="0" applyFont="1" applyFill="1">
      <alignment vertical="center"/>
    </xf>
    <xf numFmtId="0" fontId="23" fillId="0" borderId="17" xfId="0" applyFont="1" applyBorder="1">
      <alignment vertical="center"/>
    </xf>
    <xf numFmtId="0" fontId="23" fillId="0" borderId="68" xfId="0" applyFont="1" applyBorder="1">
      <alignment vertical="center"/>
    </xf>
    <xf numFmtId="0" fontId="23" fillId="0" borderId="70" xfId="0" applyFont="1" applyBorder="1">
      <alignment vertical="center"/>
    </xf>
    <xf numFmtId="0" fontId="23" fillId="9" borderId="70" xfId="0" applyFont="1" applyFill="1" applyBorder="1">
      <alignment vertical="center"/>
    </xf>
    <xf numFmtId="0" fontId="23" fillId="9" borderId="7" xfId="0" applyFont="1" applyFill="1" applyBorder="1">
      <alignment vertical="center"/>
    </xf>
    <xf numFmtId="0" fontId="10" fillId="0" borderId="7" xfId="0" applyFont="1" applyBorder="1">
      <alignment vertical="center"/>
    </xf>
    <xf numFmtId="0" fontId="10" fillId="0" borderId="8" xfId="0" applyFont="1" applyBorder="1">
      <alignment vertical="center"/>
    </xf>
    <xf numFmtId="0" fontId="23" fillId="0" borderId="10" xfId="0" applyFont="1" applyBorder="1" applyAlignment="1">
      <alignment vertical="top" wrapText="1"/>
    </xf>
    <xf numFmtId="0" fontId="23" fillId="0" borderId="71" xfId="0" applyFont="1" applyBorder="1" applyAlignment="1">
      <alignment vertical="center" wrapText="1"/>
    </xf>
    <xf numFmtId="0" fontId="23" fillId="0" borderId="72" xfId="0" applyFont="1" applyBorder="1" applyAlignment="1">
      <alignment vertical="center" wrapText="1"/>
    </xf>
    <xf numFmtId="0" fontId="23" fillId="0" borderId="74" xfId="0" applyFont="1" applyBorder="1" applyAlignment="1">
      <alignment vertical="center" wrapText="1"/>
    </xf>
    <xf numFmtId="0" fontId="10" fillId="0" borderId="72" xfId="0" applyFont="1" applyBorder="1" applyAlignment="1">
      <alignment vertical="center" wrapText="1"/>
    </xf>
    <xf numFmtId="0" fontId="30" fillId="0" borderId="21" xfId="0" applyFont="1" applyBorder="1" applyAlignment="1">
      <alignment vertical="center" wrapText="1"/>
    </xf>
    <xf numFmtId="0" fontId="23" fillId="9" borderId="33" xfId="0" applyFont="1" applyFill="1" applyBorder="1" applyAlignment="1">
      <alignment vertical="center" wrapText="1"/>
    </xf>
    <xf numFmtId="0" fontId="23" fillId="9" borderId="10" xfId="0" applyFont="1" applyFill="1" applyBorder="1" applyAlignment="1">
      <alignment vertical="center" wrapText="1"/>
    </xf>
    <xf numFmtId="0" fontId="10" fillId="0" borderId="21" xfId="0" applyFont="1" applyBorder="1" applyAlignment="1">
      <alignment vertical="center" wrapText="1"/>
    </xf>
    <xf numFmtId="0" fontId="10" fillId="0" borderId="19" xfId="0" applyFont="1" applyBorder="1" applyAlignment="1">
      <alignment vertical="center" wrapText="1"/>
    </xf>
    <xf numFmtId="0" fontId="10" fillId="9" borderId="1" xfId="0" applyFont="1" applyFill="1" applyBorder="1" applyAlignment="1">
      <alignment vertical="center" wrapText="1"/>
    </xf>
    <xf numFmtId="0" fontId="53" fillId="9" borderId="13" xfId="0" applyFont="1" applyFill="1" applyBorder="1">
      <alignment vertical="center"/>
    </xf>
    <xf numFmtId="0" fontId="53" fillId="9" borderId="14" xfId="0" applyFont="1" applyFill="1" applyBorder="1">
      <alignment vertical="center"/>
    </xf>
    <xf numFmtId="0" fontId="53" fillId="9" borderId="14" xfId="0" applyFont="1" applyFill="1" applyBorder="1" applyAlignment="1">
      <alignment horizontal="center" vertical="center"/>
    </xf>
    <xf numFmtId="0" fontId="53" fillId="9" borderId="1" xfId="0" applyFont="1" applyFill="1" applyBorder="1" applyAlignment="1">
      <alignment vertical="center" wrapText="1"/>
    </xf>
    <xf numFmtId="0" fontId="53" fillId="9" borderId="20" xfId="0" applyFont="1" applyFill="1" applyBorder="1" applyAlignment="1">
      <alignment vertical="center" wrapText="1"/>
    </xf>
    <xf numFmtId="0" fontId="54" fillId="9" borderId="0" xfId="0" applyFont="1" applyFill="1">
      <alignment vertical="center"/>
    </xf>
    <xf numFmtId="0" fontId="53" fillId="9" borderId="68" xfId="0" applyFont="1" applyFill="1" applyBorder="1">
      <alignment vertical="center"/>
    </xf>
    <xf numFmtId="0" fontId="53" fillId="9" borderId="28" xfId="0" applyFont="1" applyFill="1" applyBorder="1">
      <alignment vertical="center"/>
    </xf>
    <xf numFmtId="0" fontId="53" fillId="9" borderId="28" xfId="0" applyFont="1" applyFill="1" applyBorder="1" applyAlignment="1">
      <alignment vertical="center" wrapText="1"/>
    </xf>
    <xf numFmtId="0" fontId="53" fillId="9" borderId="28" xfId="0" applyFont="1" applyFill="1" applyBorder="1" applyAlignment="1">
      <alignment horizontal="center" vertical="center"/>
    </xf>
    <xf numFmtId="0" fontId="53" fillId="9" borderId="72" xfId="0" applyFont="1" applyFill="1" applyBorder="1" applyAlignment="1">
      <alignment vertical="center" wrapText="1"/>
    </xf>
    <xf numFmtId="0" fontId="10" fillId="0" borderId="13" xfId="0" applyFont="1" applyBorder="1">
      <alignment vertical="center"/>
    </xf>
    <xf numFmtId="0" fontId="10" fillId="0" borderId="14" xfId="0" applyFont="1" applyBorder="1" applyAlignment="1">
      <alignment horizontal="center" vertical="center"/>
    </xf>
    <xf numFmtId="0" fontId="10" fillId="6" borderId="75" xfId="0" applyFont="1" applyFill="1" applyBorder="1" applyAlignment="1">
      <alignment vertical="center" wrapText="1"/>
    </xf>
    <xf numFmtId="0" fontId="10" fillId="0" borderId="20" xfId="0" applyFont="1" applyBorder="1" applyAlignment="1">
      <alignment vertical="center" wrapText="1"/>
    </xf>
    <xf numFmtId="0" fontId="41" fillId="10" borderId="9" xfId="0" applyFont="1" applyFill="1" applyBorder="1" applyAlignment="1">
      <alignment vertical="center" wrapText="1"/>
    </xf>
    <xf numFmtId="0" fontId="10" fillId="0" borderId="0" xfId="0" applyFont="1" applyAlignment="1">
      <alignment vertical="center" wrapText="1"/>
    </xf>
    <xf numFmtId="0" fontId="10" fillId="0" borderId="6" xfId="0" applyFont="1" applyBorder="1">
      <alignment vertical="center"/>
    </xf>
    <xf numFmtId="0" fontId="10" fillId="0" borderId="36" xfId="0" applyFont="1" applyBorder="1">
      <alignment vertical="center"/>
    </xf>
    <xf numFmtId="0" fontId="10" fillId="0" borderId="37" xfId="0" applyFont="1" applyBorder="1">
      <alignment vertical="center"/>
    </xf>
    <xf numFmtId="0" fontId="10" fillId="0" borderId="37" xfId="0" applyFont="1" applyBorder="1" applyAlignment="1">
      <alignment horizontal="center" vertical="center"/>
    </xf>
    <xf numFmtId="0" fontId="10" fillId="0" borderId="38" xfId="0" applyFont="1" applyBorder="1" applyAlignment="1">
      <alignment vertical="center" wrapText="1"/>
    </xf>
    <xf numFmtId="0" fontId="10" fillId="0" borderId="69" xfId="0" applyFont="1" applyBorder="1">
      <alignment vertical="center"/>
    </xf>
    <xf numFmtId="0" fontId="10" fillId="0" borderId="31" xfId="0" applyFont="1" applyBorder="1" applyAlignment="1">
      <alignment horizontal="center" vertical="center"/>
    </xf>
    <xf numFmtId="0" fontId="10" fillId="0" borderId="73" xfId="0" applyFont="1" applyBorder="1" applyAlignment="1">
      <alignment vertical="center" wrapText="1"/>
    </xf>
    <xf numFmtId="0" fontId="10" fillId="0" borderId="68" xfId="0" applyFont="1" applyBorder="1">
      <alignment vertical="center"/>
    </xf>
    <xf numFmtId="0" fontId="10" fillId="0" borderId="28" xfId="0" applyFont="1" applyBorder="1">
      <alignment vertical="center"/>
    </xf>
    <xf numFmtId="0" fontId="10" fillId="0" borderId="28" xfId="0" applyFont="1" applyBorder="1" applyAlignment="1">
      <alignment horizontal="center" vertical="center"/>
    </xf>
    <xf numFmtId="0" fontId="1" fillId="0" borderId="1" xfId="0" applyFont="1" applyBorder="1">
      <alignment vertical="center"/>
    </xf>
    <xf numFmtId="0" fontId="10" fillId="0" borderId="18" xfId="0" applyFont="1" applyBorder="1" applyAlignment="1">
      <alignment horizontal="center" vertical="center"/>
    </xf>
    <xf numFmtId="0" fontId="10" fillId="0" borderId="61" xfId="0" applyFont="1" applyBorder="1">
      <alignment vertical="center"/>
    </xf>
    <xf numFmtId="0" fontId="10" fillId="0" borderId="15" xfId="0" applyFont="1" applyBorder="1" applyAlignment="1">
      <alignment horizontal="center" vertical="center"/>
    </xf>
    <xf numFmtId="0" fontId="5" fillId="2" borderId="5" xfId="8" applyFont="1" applyFill="1" applyBorder="1" applyAlignment="1">
      <alignment horizontal="center" vertical="center"/>
    </xf>
    <xf numFmtId="0" fontId="6" fillId="2" borderId="5" xfId="8" applyFont="1" applyFill="1" applyBorder="1" applyAlignment="1">
      <alignment horizontal="center" vertical="center" wrapText="1"/>
    </xf>
    <xf numFmtId="0" fontId="6" fillId="2" borderId="5" xfId="8" applyFont="1" applyFill="1" applyBorder="1" applyAlignment="1">
      <alignment horizontal="center" vertical="center"/>
    </xf>
    <xf numFmtId="0" fontId="5" fillId="2" borderId="29" xfId="8" applyFont="1" applyFill="1" applyBorder="1" applyAlignment="1">
      <alignment horizontal="center" vertical="center"/>
    </xf>
    <xf numFmtId="0" fontId="5" fillId="2" borderId="30" xfId="8" applyFont="1" applyFill="1" applyBorder="1" applyAlignment="1">
      <alignment horizontal="center" vertical="center"/>
    </xf>
    <xf numFmtId="0" fontId="6" fillId="2" borderId="30" xfId="8" applyFont="1" applyFill="1" applyBorder="1" applyAlignment="1">
      <alignment horizontal="center" vertical="center" wrapText="1"/>
    </xf>
    <xf numFmtId="0" fontId="6" fillId="2" borderId="30" xfId="8" applyFont="1" applyFill="1" applyBorder="1" applyAlignment="1">
      <alignment horizontal="center" vertical="center"/>
    </xf>
    <xf numFmtId="0" fontId="43" fillId="5" borderId="22" xfId="0" applyFont="1" applyFill="1" applyBorder="1" applyAlignment="1">
      <alignment horizontal="center" vertical="center" wrapText="1"/>
    </xf>
    <xf numFmtId="0" fontId="43" fillId="5" borderId="50" xfId="0" applyFont="1" applyFill="1" applyBorder="1" applyAlignment="1">
      <alignment horizontal="center" vertical="center" wrapText="1"/>
    </xf>
    <xf numFmtId="0" fontId="0" fillId="0" borderId="51" xfId="8" applyFont="1" applyBorder="1" applyAlignment="1">
      <alignment horizontal="left" vertical="center"/>
    </xf>
    <xf numFmtId="0" fontId="0" fillId="0" borderId="52" xfId="8" applyFont="1" applyBorder="1" applyAlignment="1">
      <alignment horizontal="left" vertical="center"/>
    </xf>
    <xf numFmtId="0" fontId="57" fillId="0" borderId="27" xfId="8" applyFont="1" applyBorder="1" applyAlignment="1">
      <alignment vertical="center" wrapText="1"/>
    </xf>
  </cellXfs>
  <cellStyles count="9">
    <cellStyle name="Normal" xfId="0" builtinId="0"/>
    <cellStyle name="標準 10" xfId="1" xr:uid="{00000000-0005-0000-0000-000001000000}"/>
    <cellStyle name="標準 11" xfId="2" xr:uid="{00000000-0005-0000-0000-000002000000}"/>
    <cellStyle name="標準 2" xfId="3" xr:uid="{00000000-0005-0000-0000-000003000000}"/>
    <cellStyle name="標準 2 2 2" xfId="4" xr:uid="{00000000-0005-0000-0000-000004000000}"/>
    <cellStyle name="標準 2_ベーカリーパイロット時の発生データ" xfId="5" xr:uid="{00000000-0005-0000-0000-000005000000}"/>
    <cellStyle name="標準 3" xfId="6" xr:uid="{00000000-0005-0000-0000-000006000000}"/>
    <cellStyle name="標準 4" xfId="7" xr:uid="{00000000-0005-0000-0000-000007000000}"/>
    <cellStyle name="標準 5" xfId="8" xr:uid="{00000000-0005-0000-0000-000008000000}"/>
  </cellStyles>
  <dxfs count="0"/>
  <tableStyles count="0" defaultTableStyle="TableStyleMedium2" defaultPivotStyle="PivotStyleLight16"/>
  <colors>
    <mruColors>
      <color rgb="FF0000FF"/>
      <color rgb="FF99CCFF"/>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3216087</xdr:colOff>
      <xdr:row>71</xdr:row>
      <xdr:rowOff>179294</xdr:rowOff>
    </xdr:from>
    <xdr:to>
      <xdr:col>10</xdr:col>
      <xdr:colOff>1994645</xdr:colOff>
      <xdr:row>72</xdr:row>
      <xdr:rowOff>616323</xdr:rowOff>
    </xdr:to>
    <xdr:sp macro="" textlink="">
      <xdr:nvSpPr>
        <xdr:cNvPr id="2049" name="Text Box 1">
          <a:extLst>
            <a:ext uri="{FF2B5EF4-FFF2-40B4-BE49-F238E27FC236}">
              <a16:creationId xmlns:a16="http://schemas.microsoft.com/office/drawing/2014/main" id="{424F250C-FED9-4209-88B5-0829FF2FBC6C}"/>
            </a:ext>
          </a:extLst>
        </xdr:cNvPr>
        <xdr:cNvSpPr txBox="1">
          <a:spLocks noChangeArrowheads="1"/>
        </xdr:cNvSpPr>
      </xdr:nvSpPr>
      <xdr:spPr bwMode="auto">
        <a:xfrm>
          <a:off x="13256558" y="33718500"/>
          <a:ext cx="2879911" cy="1232647"/>
        </a:xfrm>
        <a:prstGeom prst="rect">
          <a:avLst/>
        </a:prstGeom>
        <a:solidFill>
          <a:schemeClr val="accent3">
            <a:lumMod val="40000"/>
            <a:lumOff val="60000"/>
          </a:schemeClr>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a:t>
          </a:r>
        </a:p>
        <a:p>
          <a:pPr algn="l" rtl="0">
            <a:defRPr sz="1000"/>
          </a:pPr>
          <a:r>
            <a:rPr lang="ja-JP" altLang="en-US" sz="1100" b="0" i="0" u="none" strike="noStrike" baseline="0">
              <a:solidFill>
                <a:srgbClr val="000000"/>
              </a:solidFill>
              <a:latin typeface="ＭＳ Ｐゴシック"/>
              <a:ea typeface="ＭＳ Ｐゴシック"/>
            </a:rPr>
            <a:t>① &lt;hoge&gt;&lt;/hoge&gt;    :データ無し</a:t>
          </a:r>
        </a:p>
        <a:p>
          <a:pPr algn="l" rtl="0">
            <a:defRPr sz="1000"/>
          </a:pPr>
          <a:r>
            <a:rPr lang="ja-JP" altLang="en-US" sz="1100" b="0" i="0" u="none" strike="noStrike" baseline="0">
              <a:solidFill>
                <a:srgbClr val="000000"/>
              </a:solidFill>
              <a:latin typeface="ＭＳ Ｐゴシック"/>
              <a:ea typeface="ＭＳ Ｐゴシック"/>
            </a:rPr>
            <a:t>② &lt;hoge/&gt;          :空タグ</a:t>
          </a:r>
        </a:p>
        <a:p>
          <a:pPr algn="l" rtl="0">
            <a:defRPr sz="1000"/>
          </a:pPr>
          <a:r>
            <a:rPr lang="ja-JP" altLang="en-US" sz="1100" b="0" i="0" u="none" strike="noStrike" baseline="0">
              <a:solidFill>
                <a:srgbClr val="000000"/>
              </a:solidFill>
              <a:latin typeface="ＭＳ Ｐゴシック"/>
              <a:ea typeface="ＭＳ Ｐゴシック"/>
            </a:rPr>
            <a:t>③ タグ無し         :タグ無し</a:t>
          </a:r>
        </a:p>
        <a:p>
          <a:pPr algn="l" rtl="0">
            <a:defRPr sz="1000"/>
          </a:pPr>
          <a:r>
            <a:rPr lang="ja-JP" altLang="en-US" sz="1100" b="0" i="0" u="none" strike="noStrike" baseline="0">
              <a:solidFill>
                <a:srgbClr val="000000"/>
              </a:solidFill>
              <a:latin typeface="ＭＳ Ｐゴシック"/>
              <a:ea typeface="ＭＳ Ｐゴシック"/>
            </a:rPr>
            <a:t>---------------------</a:t>
          </a:r>
        </a:p>
        <a:p>
          <a:pPr algn="l" rtl="0">
            <a:defRPr sz="1000"/>
          </a:pP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299357</xdr:colOff>
      <xdr:row>7</xdr:row>
      <xdr:rowOff>95250</xdr:rowOff>
    </xdr:from>
    <xdr:to>
      <xdr:col>1</xdr:col>
      <xdr:colOff>925285</xdr:colOff>
      <xdr:row>10</xdr:row>
      <xdr:rowOff>95250</xdr:rowOff>
    </xdr:to>
    <xdr:sp macro="" textlink="">
      <xdr:nvSpPr>
        <xdr:cNvPr id="2" name="下矢印 1">
          <a:extLst>
            <a:ext uri="{FF2B5EF4-FFF2-40B4-BE49-F238E27FC236}">
              <a16:creationId xmlns:a16="http://schemas.microsoft.com/office/drawing/2014/main" id="{00000000-0008-0000-1000-000002000000}"/>
            </a:ext>
          </a:extLst>
        </xdr:cNvPr>
        <xdr:cNvSpPr/>
      </xdr:nvSpPr>
      <xdr:spPr>
        <a:xfrm>
          <a:off x="299357" y="4490357"/>
          <a:ext cx="1061357" cy="530679"/>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M17"/>
  <sheetViews>
    <sheetView zoomScale="130" zoomScaleNormal="130" workbookViewId="0">
      <selection activeCell="B17" sqref="B17"/>
    </sheetView>
  </sheetViews>
  <sheetFormatPr defaultColWidth="9" defaultRowHeight="13.5" outlineLevelCol="1"/>
  <cols>
    <col min="2" max="3" width="28.42578125" customWidth="1"/>
    <col min="4" max="5" width="13.5703125" hidden="1" customWidth="1" outlineLevel="1"/>
    <col min="6" max="7" width="0" hidden="1" customWidth="1" outlineLevel="1"/>
    <col min="8" max="8" width="9" collapsed="1"/>
    <col min="9" max="9" width="15" style="18" customWidth="1"/>
    <col min="10" max="10" width="18.42578125" style="18" bestFit="1" customWidth="1"/>
    <col min="11" max="13" width="17.140625" style="18" bestFit="1" customWidth="1"/>
  </cols>
  <sheetData>
    <row r="1" spans="1:13">
      <c r="A1" s="21" t="s">
        <v>0</v>
      </c>
      <c r="B1" s="21"/>
      <c r="C1" s="21"/>
      <c r="D1" s="21"/>
      <c r="E1" s="21"/>
      <c r="F1" s="21"/>
      <c r="G1" s="21"/>
      <c r="H1" s="21"/>
      <c r="I1" s="325"/>
      <c r="J1" s="325"/>
      <c r="K1" s="325"/>
      <c r="L1" s="325"/>
      <c r="M1" s="325"/>
    </row>
    <row r="2" spans="1:13" ht="14.25" thickBot="1">
      <c r="A2" s="21"/>
      <c r="B2" s="21"/>
      <c r="C2" s="21"/>
      <c r="D2" s="21"/>
      <c r="E2" s="21"/>
      <c r="F2" s="21"/>
      <c r="G2" s="21"/>
      <c r="H2" s="21"/>
      <c r="I2" s="325"/>
      <c r="J2" s="325"/>
      <c r="K2" s="325"/>
      <c r="L2" s="325"/>
      <c r="M2" s="325"/>
    </row>
    <row r="3" spans="1:13" ht="48" customHeight="1" thickBot="1">
      <c r="A3" s="22" t="s">
        <v>1</v>
      </c>
      <c r="B3" s="23" t="s">
        <v>2</v>
      </c>
      <c r="C3" s="23" t="s">
        <v>3</v>
      </c>
      <c r="D3" s="23" t="s">
        <v>4</v>
      </c>
      <c r="E3" s="23" t="s">
        <v>5</v>
      </c>
      <c r="F3" s="23" t="s">
        <v>6</v>
      </c>
      <c r="G3" s="24" t="s">
        <v>7</v>
      </c>
      <c r="H3" s="25" t="s">
        <v>8</v>
      </c>
      <c r="I3" s="29" t="s">
        <v>9</v>
      </c>
      <c r="J3" s="183" t="s">
        <v>10</v>
      </c>
      <c r="K3" s="208" t="s">
        <v>11</v>
      </c>
      <c r="L3" s="209" t="s">
        <v>12</v>
      </c>
      <c r="M3" s="210" t="s">
        <v>13</v>
      </c>
    </row>
    <row r="4" spans="1:13" ht="14.25" thickTop="1">
      <c r="A4" s="326">
        <f>ROW() - 3</f>
        <v>1</v>
      </c>
      <c r="B4" s="30" t="s">
        <v>14</v>
      </c>
      <c r="C4" s="30" t="s">
        <v>15</v>
      </c>
      <c r="D4" s="30"/>
      <c r="E4" s="30"/>
      <c r="F4" s="116"/>
      <c r="G4" s="30"/>
      <c r="H4" s="30"/>
      <c r="I4" s="64"/>
      <c r="J4" s="182" t="s">
        <v>16</v>
      </c>
      <c r="K4" s="182" t="s">
        <v>16</v>
      </c>
      <c r="L4" s="182" t="s">
        <v>16</v>
      </c>
      <c r="M4" s="184" t="s">
        <v>16</v>
      </c>
    </row>
    <row r="5" spans="1:13">
      <c r="A5" s="326">
        <f>ROW() - 3</f>
        <v>2</v>
      </c>
      <c r="B5" s="30" t="s">
        <v>17</v>
      </c>
      <c r="C5" s="30" t="s">
        <v>18</v>
      </c>
      <c r="D5" s="30"/>
      <c r="E5" s="30"/>
      <c r="F5" s="116"/>
      <c r="G5" s="30"/>
      <c r="H5" s="30"/>
      <c r="I5" s="64"/>
      <c r="J5" s="182" t="s">
        <v>16</v>
      </c>
      <c r="K5" s="187" t="s">
        <v>19</v>
      </c>
      <c r="L5" s="187" t="s">
        <v>20</v>
      </c>
      <c r="M5" s="20" t="s">
        <v>21</v>
      </c>
    </row>
    <row r="6" spans="1:13">
      <c r="A6" s="296">
        <f>ROW() - 3</f>
        <v>3</v>
      </c>
      <c r="B6" s="14" t="s">
        <v>22</v>
      </c>
      <c r="C6" s="14" t="s">
        <v>23</v>
      </c>
      <c r="D6" s="14"/>
      <c r="E6" s="14"/>
      <c r="F6" s="117"/>
      <c r="G6" s="14"/>
      <c r="H6" s="14"/>
      <c r="I6" s="62"/>
      <c r="J6" s="182" t="s">
        <v>16</v>
      </c>
      <c r="K6" s="180" t="s">
        <v>16</v>
      </c>
      <c r="L6" s="180" t="s">
        <v>16</v>
      </c>
      <c r="M6" s="185" t="s">
        <v>16</v>
      </c>
    </row>
    <row r="7" spans="1:13">
      <c r="A7" s="296">
        <f t="shared" ref="A7:A13" si="0">ROW() - 3</f>
        <v>4</v>
      </c>
      <c r="B7" s="41" t="s">
        <v>24</v>
      </c>
      <c r="C7" s="14" t="s">
        <v>25</v>
      </c>
      <c r="D7" s="41"/>
      <c r="E7" s="41"/>
      <c r="F7" s="42"/>
      <c r="G7" s="41"/>
      <c r="H7" s="41"/>
      <c r="I7" s="89"/>
      <c r="J7" s="182" t="s">
        <v>16</v>
      </c>
      <c r="K7" s="180" t="s">
        <v>16</v>
      </c>
      <c r="L7" s="180" t="s">
        <v>16</v>
      </c>
      <c r="M7" s="185" t="s">
        <v>16</v>
      </c>
    </row>
    <row r="8" spans="1:13">
      <c r="A8" s="296">
        <f t="shared" si="0"/>
        <v>5</v>
      </c>
      <c r="B8" s="41" t="s">
        <v>26</v>
      </c>
      <c r="C8" s="41" t="s">
        <v>27</v>
      </c>
      <c r="D8" s="41"/>
      <c r="E8" s="41"/>
      <c r="F8" s="42"/>
      <c r="G8" s="41"/>
      <c r="H8" s="41"/>
      <c r="I8" s="89"/>
      <c r="J8" s="182" t="s">
        <v>16</v>
      </c>
      <c r="K8" s="180" t="s">
        <v>16</v>
      </c>
      <c r="L8" s="180" t="s">
        <v>16</v>
      </c>
      <c r="M8" s="185" t="s">
        <v>16</v>
      </c>
    </row>
    <row r="9" spans="1:13">
      <c r="A9" s="296">
        <f t="shared" si="0"/>
        <v>6</v>
      </c>
      <c r="B9" s="41" t="s">
        <v>28</v>
      </c>
      <c r="C9" s="41" t="s">
        <v>29</v>
      </c>
      <c r="D9" s="41"/>
      <c r="E9" s="41"/>
      <c r="F9" s="42"/>
      <c r="G9" s="41"/>
      <c r="H9" s="41"/>
      <c r="I9" s="89"/>
      <c r="J9" s="182" t="s">
        <v>16</v>
      </c>
      <c r="K9" s="180" t="s">
        <v>16</v>
      </c>
      <c r="L9" s="180" t="s">
        <v>16</v>
      </c>
      <c r="M9" s="185" t="s">
        <v>16</v>
      </c>
    </row>
    <row r="10" spans="1:13" ht="60" customHeight="1">
      <c r="A10" s="296">
        <f t="shared" si="0"/>
        <v>7</v>
      </c>
      <c r="B10" s="41" t="s">
        <v>30</v>
      </c>
      <c r="C10" s="41" t="s">
        <v>31</v>
      </c>
      <c r="D10" s="41"/>
      <c r="E10" s="41"/>
      <c r="F10" s="42"/>
      <c r="G10" s="41"/>
      <c r="H10" s="41"/>
      <c r="I10" s="89"/>
      <c r="J10" s="201" t="s">
        <v>32</v>
      </c>
      <c r="K10" s="180" t="s">
        <v>16</v>
      </c>
      <c r="L10" s="180" t="s">
        <v>16</v>
      </c>
      <c r="M10" s="185" t="s">
        <v>16</v>
      </c>
    </row>
    <row r="11" spans="1:13" ht="93" customHeight="1">
      <c r="A11" s="296">
        <f t="shared" si="0"/>
        <v>8</v>
      </c>
      <c r="B11" s="41" t="s">
        <v>33</v>
      </c>
      <c r="C11" s="41" t="s">
        <v>34</v>
      </c>
      <c r="D11" s="41"/>
      <c r="E11" s="41"/>
      <c r="F11" s="42"/>
      <c r="G11" s="41"/>
      <c r="H11" s="41"/>
      <c r="I11" s="89"/>
      <c r="J11" s="201" t="s">
        <v>35</v>
      </c>
      <c r="K11" s="180" t="s">
        <v>16</v>
      </c>
      <c r="L11" s="180" t="s">
        <v>16</v>
      </c>
      <c r="M11" s="185" t="s">
        <v>16</v>
      </c>
    </row>
    <row r="12" spans="1:13" ht="15" customHeight="1">
      <c r="A12" s="296">
        <f t="shared" si="0"/>
        <v>9</v>
      </c>
      <c r="B12" s="41" t="s">
        <v>36</v>
      </c>
      <c r="C12" s="41" t="s">
        <v>37</v>
      </c>
      <c r="D12" s="41"/>
      <c r="E12" s="41"/>
      <c r="F12" s="42"/>
      <c r="G12" s="41"/>
      <c r="H12" s="41"/>
      <c r="I12" s="89"/>
      <c r="J12" s="182" t="s">
        <v>16</v>
      </c>
      <c r="K12" s="180" t="s">
        <v>16</v>
      </c>
      <c r="L12" s="180" t="s">
        <v>16</v>
      </c>
      <c r="M12" s="185" t="s">
        <v>16</v>
      </c>
    </row>
    <row r="13" spans="1:13" ht="15" customHeight="1" thickBot="1">
      <c r="A13" s="297">
        <f t="shared" si="0"/>
        <v>10</v>
      </c>
      <c r="B13" s="50" t="s">
        <v>38</v>
      </c>
      <c r="C13" s="50" t="s">
        <v>39</v>
      </c>
      <c r="D13" s="50"/>
      <c r="E13" s="50"/>
      <c r="F13" s="51"/>
      <c r="G13" s="50"/>
      <c r="H13" s="50"/>
      <c r="I13" s="152"/>
      <c r="J13" s="188" t="s">
        <v>16</v>
      </c>
      <c r="K13" s="181" t="s">
        <v>16</v>
      </c>
      <c r="L13" s="181" t="s">
        <v>16</v>
      </c>
      <c r="M13" s="186" t="s">
        <v>16</v>
      </c>
    </row>
    <row r="17" spans="8:8">
      <c r="H17" s="18"/>
    </row>
  </sheetData>
  <phoneticPr fontId="2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4">
    <tabColor rgb="FFC00000"/>
  </sheetPr>
  <dimension ref="A1:M16"/>
  <sheetViews>
    <sheetView tabSelected="1" topLeftCell="A8" zoomScale="115" zoomScaleNormal="115" workbookViewId="0">
      <selection activeCell="C15" sqref="C15"/>
    </sheetView>
  </sheetViews>
  <sheetFormatPr defaultRowHeight="13.5" outlineLevelCol="1"/>
  <cols>
    <col min="2" max="3" width="28.42578125" customWidth="1"/>
    <col min="4" max="5" width="13.5703125" hidden="1" customWidth="1" outlineLevel="1"/>
    <col min="6" max="7" width="9" hidden="1" customWidth="1" outlineLevel="1"/>
    <col min="8" max="8" width="9" collapsed="1"/>
    <col min="9" max="9" width="42.5703125" style="18" customWidth="1"/>
    <col min="10" max="12" width="19.42578125" style="18" bestFit="1" customWidth="1"/>
    <col min="13" max="13" width="17.5703125" style="18" customWidth="1"/>
  </cols>
  <sheetData>
    <row r="1" spans="1:13">
      <c r="A1" s="21" t="s">
        <v>40</v>
      </c>
      <c r="B1" s="21"/>
      <c r="C1" s="21"/>
      <c r="D1" s="21"/>
      <c r="E1" s="21"/>
      <c r="F1" s="21"/>
      <c r="G1" s="21"/>
      <c r="H1" s="21"/>
      <c r="I1" s="325"/>
      <c r="J1" s="325"/>
      <c r="K1" s="325"/>
      <c r="L1" s="325"/>
      <c r="M1" s="325"/>
    </row>
    <row r="2" spans="1:13" ht="14.25" thickBot="1">
      <c r="A2" s="21"/>
      <c r="B2" s="21"/>
      <c r="C2" s="21"/>
      <c r="D2" s="21"/>
      <c r="E2" s="21"/>
      <c r="F2" s="21"/>
      <c r="G2" s="21"/>
      <c r="H2" s="21"/>
      <c r="I2" s="325"/>
      <c r="J2" s="325"/>
      <c r="K2" s="325"/>
      <c r="L2" s="325"/>
      <c r="M2" s="325"/>
    </row>
    <row r="3" spans="1:13" ht="31.5" customHeight="1" thickBot="1">
      <c r="A3" s="22" t="s">
        <v>1</v>
      </c>
      <c r="B3" s="23" t="s">
        <v>2</v>
      </c>
      <c r="C3" s="23" t="s">
        <v>3</v>
      </c>
      <c r="D3" s="23" t="s">
        <v>4</v>
      </c>
      <c r="E3" s="23" t="s">
        <v>5</v>
      </c>
      <c r="F3" s="23" t="s">
        <v>6</v>
      </c>
      <c r="G3" s="24" t="s">
        <v>7</v>
      </c>
      <c r="H3" s="25" t="s">
        <v>8</v>
      </c>
      <c r="I3" s="29" t="s">
        <v>9</v>
      </c>
      <c r="J3" s="183" t="s">
        <v>10</v>
      </c>
      <c r="K3" s="208" t="s">
        <v>11</v>
      </c>
      <c r="L3" s="209" t="s">
        <v>12</v>
      </c>
      <c r="M3" s="210" t="s">
        <v>13</v>
      </c>
    </row>
    <row r="4" spans="1:13" ht="41.25" thickTop="1">
      <c r="A4" s="296">
        <f>ROW() - 3</f>
        <v>1</v>
      </c>
      <c r="B4" s="14" t="s">
        <v>24</v>
      </c>
      <c r="C4" s="14" t="s">
        <v>25</v>
      </c>
      <c r="D4" s="14" t="s">
        <v>41</v>
      </c>
      <c r="E4" s="14"/>
      <c r="F4" s="117" t="s">
        <v>42</v>
      </c>
      <c r="G4" s="14"/>
      <c r="H4" s="14">
        <v>1</v>
      </c>
      <c r="I4" s="62" t="s">
        <v>43</v>
      </c>
      <c r="J4" s="182" t="s">
        <v>16</v>
      </c>
      <c r="K4" s="190" t="s">
        <v>16</v>
      </c>
      <c r="L4" s="182" t="s">
        <v>16</v>
      </c>
      <c r="M4" s="184" t="s">
        <v>16</v>
      </c>
    </row>
    <row r="5" spans="1:13">
      <c r="A5" s="326">
        <f>ROW() - 3</f>
        <v>2</v>
      </c>
      <c r="B5" s="30" t="s">
        <v>44</v>
      </c>
      <c r="C5" s="30" t="s">
        <v>45</v>
      </c>
      <c r="D5" s="30" t="s">
        <v>46</v>
      </c>
      <c r="E5" s="30"/>
      <c r="F5" s="116" t="s">
        <v>42</v>
      </c>
      <c r="G5" s="30"/>
      <c r="H5" s="30"/>
      <c r="I5" s="64"/>
      <c r="J5" s="182" t="s">
        <v>16</v>
      </c>
      <c r="K5" s="191" t="s">
        <v>19</v>
      </c>
      <c r="L5" s="187" t="s">
        <v>20</v>
      </c>
      <c r="M5" s="20" t="s">
        <v>21</v>
      </c>
    </row>
    <row r="6" spans="1:13">
      <c r="A6" s="296">
        <f>ROW() - 3</f>
        <v>3</v>
      </c>
      <c r="B6" s="14" t="s">
        <v>47</v>
      </c>
      <c r="C6" s="14" t="s">
        <v>48</v>
      </c>
      <c r="D6" s="14" t="s">
        <v>46</v>
      </c>
      <c r="E6" s="14"/>
      <c r="F6" s="117" t="s">
        <v>42</v>
      </c>
      <c r="G6" s="14"/>
      <c r="H6" s="14"/>
      <c r="I6" s="62"/>
      <c r="J6" s="182" t="s">
        <v>16</v>
      </c>
      <c r="K6" s="192" t="s">
        <v>16</v>
      </c>
      <c r="L6" s="180" t="s">
        <v>16</v>
      </c>
      <c r="M6" s="185" t="s">
        <v>16</v>
      </c>
    </row>
    <row r="7" spans="1:13">
      <c r="A7" s="40">
        <f t="shared" ref="A7:A14" si="0">ROW() - 3</f>
        <v>4</v>
      </c>
      <c r="B7" s="41" t="s">
        <v>22</v>
      </c>
      <c r="C7" s="41" t="s">
        <v>49</v>
      </c>
      <c r="D7" s="41" t="s">
        <v>50</v>
      </c>
      <c r="E7" s="41"/>
      <c r="F7" s="42" t="s">
        <v>42</v>
      </c>
      <c r="G7" s="41"/>
      <c r="H7" s="41"/>
      <c r="I7" s="89" t="s">
        <v>51</v>
      </c>
      <c r="J7" s="182" t="s">
        <v>16</v>
      </c>
      <c r="K7" s="192" t="s">
        <v>16</v>
      </c>
      <c r="L7" s="180" t="s">
        <v>16</v>
      </c>
      <c r="M7" s="185" t="s">
        <v>16</v>
      </c>
    </row>
    <row r="8" spans="1:13">
      <c r="A8" s="40">
        <f t="shared" si="0"/>
        <v>5</v>
      </c>
      <c r="B8" s="41" t="s">
        <v>52</v>
      </c>
      <c r="C8" s="41" t="s">
        <v>53</v>
      </c>
      <c r="D8" s="41" t="s">
        <v>54</v>
      </c>
      <c r="E8" s="41"/>
      <c r="F8" s="42"/>
      <c r="G8" s="41"/>
      <c r="H8" s="41"/>
      <c r="I8" s="89" t="s">
        <v>55</v>
      </c>
      <c r="J8" s="182" t="s">
        <v>16</v>
      </c>
      <c r="K8" s="192" t="s">
        <v>16</v>
      </c>
      <c r="L8" s="180" t="s">
        <v>16</v>
      </c>
      <c r="M8" s="185" t="s">
        <v>16</v>
      </c>
    </row>
    <row r="9" spans="1:13" ht="27">
      <c r="A9" s="40">
        <f t="shared" si="0"/>
        <v>6</v>
      </c>
      <c r="B9" s="41" t="s">
        <v>56</v>
      </c>
      <c r="C9" s="41" t="s">
        <v>29</v>
      </c>
      <c r="D9" s="41" t="s">
        <v>57</v>
      </c>
      <c r="E9" s="41"/>
      <c r="F9" s="42"/>
      <c r="G9" s="41"/>
      <c r="H9" s="41"/>
      <c r="I9" s="89" t="s">
        <v>58</v>
      </c>
      <c r="J9" s="219" t="s">
        <v>59</v>
      </c>
      <c r="K9" s="192" t="s">
        <v>16</v>
      </c>
      <c r="L9" s="180" t="s">
        <v>16</v>
      </c>
      <c r="M9" s="185" t="s">
        <v>16</v>
      </c>
    </row>
    <row r="10" spans="1:13" ht="40.5">
      <c r="A10" s="40">
        <f t="shared" si="0"/>
        <v>7</v>
      </c>
      <c r="B10" s="41" t="s">
        <v>30</v>
      </c>
      <c r="C10" s="41" t="s">
        <v>31</v>
      </c>
      <c r="D10" s="41" t="s">
        <v>41</v>
      </c>
      <c r="E10" s="41"/>
      <c r="F10" s="42"/>
      <c r="G10" s="41"/>
      <c r="H10" s="41"/>
      <c r="I10" s="89" t="s">
        <v>60</v>
      </c>
      <c r="J10" s="203" t="s">
        <v>61</v>
      </c>
      <c r="K10" s="192" t="s">
        <v>62</v>
      </c>
      <c r="L10" s="187" t="s">
        <v>63</v>
      </c>
      <c r="M10" s="185" t="s">
        <v>62</v>
      </c>
    </row>
    <row r="11" spans="1:13" ht="114" customHeight="1">
      <c r="A11" s="43">
        <f t="shared" si="0"/>
        <v>8</v>
      </c>
      <c r="B11" s="44" t="s">
        <v>64</v>
      </c>
      <c r="C11" s="44" t="s">
        <v>65</v>
      </c>
      <c r="D11" s="44" t="s">
        <v>66</v>
      </c>
      <c r="E11" s="44"/>
      <c r="F11" s="45"/>
      <c r="G11" s="44"/>
      <c r="H11" s="44"/>
      <c r="I11" s="179" t="s">
        <v>67</v>
      </c>
      <c r="J11" s="202" t="s">
        <v>35</v>
      </c>
      <c r="K11" s="192" t="s">
        <v>16</v>
      </c>
      <c r="L11" s="180" t="s">
        <v>16</v>
      </c>
      <c r="M11" s="185" t="s">
        <v>16</v>
      </c>
    </row>
    <row r="12" spans="1:13" ht="42" customHeight="1">
      <c r="A12" s="40">
        <f t="shared" si="0"/>
        <v>9</v>
      </c>
      <c r="B12" s="41" t="s">
        <v>68</v>
      </c>
      <c r="C12" s="41" t="s">
        <v>69</v>
      </c>
      <c r="D12" s="41" t="s">
        <v>70</v>
      </c>
      <c r="E12" s="41"/>
      <c r="F12" s="42"/>
      <c r="G12" s="41"/>
      <c r="H12" s="41"/>
      <c r="I12" s="89" t="s">
        <v>71</v>
      </c>
      <c r="J12" s="203" t="s">
        <v>72</v>
      </c>
      <c r="K12" s="192" t="s">
        <v>16</v>
      </c>
      <c r="L12" s="180" t="s">
        <v>16</v>
      </c>
      <c r="M12" s="185" t="s">
        <v>16</v>
      </c>
    </row>
    <row r="13" spans="1:13" ht="27">
      <c r="A13" s="40">
        <f t="shared" si="0"/>
        <v>10</v>
      </c>
      <c r="B13" s="41" t="s">
        <v>36</v>
      </c>
      <c r="C13" s="41" t="s">
        <v>37</v>
      </c>
      <c r="D13" s="41" t="s">
        <v>41</v>
      </c>
      <c r="E13" s="41"/>
      <c r="F13" s="42"/>
      <c r="G13" s="41"/>
      <c r="H13" s="41"/>
      <c r="I13" s="89" t="s">
        <v>73</v>
      </c>
      <c r="J13" s="182" t="s">
        <v>16</v>
      </c>
      <c r="K13" s="192" t="s">
        <v>16</v>
      </c>
      <c r="L13" s="180" t="s">
        <v>16</v>
      </c>
      <c r="M13" s="185" t="s">
        <v>16</v>
      </c>
    </row>
    <row r="14" spans="1:13" ht="27">
      <c r="A14" s="296">
        <f t="shared" si="0"/>
        <v>11</v>
      </c>
      <c r="B14" s="14" t="s">
        <v>74</v>
      </c>
      <c r="C14" s="14" t="s">
        <v>75</v>
      </c>
      <c r="D14" s="14" t="s">
        <v>46</v>
      </c>
      <c r="E14" s="14"/>
      <c r="F14" s="117"/>
      <c r="G14" s="14"/>
      <c r="H14" s="14"/>
      <c r="I14" s="62"/>
      <c r="J14" s="180" t="s">
        <v>76</v>
      </c>
      <c r="K14" s="192" t="s">
        <v>16</v>
      </c>
      <c r="L14" s="180" t="s">
        <v>16</v>
      </c>
      <c r="M14" s="185" t="s">
        <v>16</v>
      </c>
    </row>
    <row r="15" spans="1:13" ht="27.75" thickBot="1">
      <c r="A15" s="297">
        <f>ROW() - 3</f>
        <v>12</v>
      </c>
      <c r="B15" s="32" t="s">
        <v>77</v>
      </c>
      <c r="C15" s="32" t="s">
        <v>78</v>
      </c>
      <c r="D15" s="32" t="s">
        <v>46</v>
      </c>
      <c r="E15" s="32"/>
      <c r="F15" s="119"/>
      <c r="G15" s="32"/>
      <c r="H15" s="32"/>
      <c r="I15" s="118"/>
      <c r="J15" s="181" t="s">
        <v>79</v>
      </c>
      <c r="K15" s="204" t="s">
        <v>16</v>
      </c>
      <c r="L15" s="181" t="s">
        <v>16</v>
      </c>
      <c r="M15" s="186" t="s">
        <v>16</v>
      </c>
    </row>
    <row r="16" spans="1:13">
      <c r="A16" s="21"/>
      <c r="B16" s="21"/>
      <c r="C16" s="21"/>
      <c r="D16" s="21"/>
      <c r="E16" s="21"/>
      <c r="F16" s="21"/>
      <c r="G16" s="21"/>
      <c r="H16" s="21"/>
      <c r="I16" s="325"/>
      <c r="J16" s="325"/>
      <c r="K16" s="325"/>
      <c r="L16" s="325"/>
      <c r="M16" s="325"/>
    </row>
  </sheetData>
  <phoneticPr fontId="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1">
    <tabColor rgb="FFC00000"/>
  </sheetPr>
  <dimension ref="A1:M43"/>
  <sheetViews>
    <sheetView topLeftCell="A14" zoomScale="85" zoomScaleNormal="85" workbookViewId="0">
      <selection activeCell="C30" sqref="C30"/>
    </sheetView>
  </sheetViews>
  <sheetFormatPr defaultRowHeight="13.5" outlineLevelCol="1"/>
  <cols>
    <col min="2" max="2" width="46" customWidth="1"/>
    <col min="3" max="3" width="28.42578125" style="18" customWidth="1"/>
    <col min="4" max="4" width="13.5703125" hidden="1" customWidth="1" outlineLevel="1"/>
    <col min="5" max="5" width="14.7109375" hidden="1" customWidth="1" outlineLevel="1"/>
    <col min="6" max="6" width="7.42578125" hidden="1" customWidth="1" outlineLevel="1"/>
    <col min="7" max="7" width="9.28515625" hidden="1" customWidth="1" outlineLevel="1"/>
    <col min="8" max="8" width="9.85546875" bestFit="1" customWidth="1" collapsed="1"/>
    <col min="9" max="9" width="45.7109375" style="18" customWidth="1"/>
    <col min="10" max="10" width="43.42578125" style="18" customWidth="1"/>
    <col min="11" max="11" width="26.42578125" style="18" customWidth="1"/>
    <col min="12" max="12" width="47.85546875" style="18" customWidth="1"/>
    <col min="13" max="13" width="27.42578125" style="18" customWidth="1"/>
  </cols>
  <sheetData>
    <row r="1" spans="1:13">
      <c r="A1" s="21" t="s">
        <v>80</v>
      </c>
      <c r="B1" s="21"/>
      <c r="C1" s="325"/>
      <c r="D1" s="21"/>
      <c r="E1" s="21"/>
      <c r="F1" s="21"/>
      <c r="G1" s="21"/>
      <c r="H1" s="21"/>
      <c r="I1" s="325"/>
      <c r="J1" s="325"/>
      <c r="K1" s="325"/>
      <c r="L1" s="325"/>
      <c r="M1" s="325"/>
    </row>
    <row r="2" spans="1:13" ht="14.25" thickBot="1">
      <c r="A2" s="21"/>
      <c r="B2" s="21"/>
      <c r="C2" s="325"/>
      <c r="D2" s="21"/>
      <c r="E2" s="21"/>
      <c r="F2" s="21"/>
      <c r="G2" s="21"/>
      <c r="H2" s="21"/>
      <c r="I2" s="325"/>
      <c r="J2" s="325"/>
      <c r="K2" s="325"/>
      <c r="L2" s="325"/>
      <c r="M2" s="325"/>
    </row>
    <row r="3" spans="1:13" ht="58.5" customHeight="1" thickBot="1">
      <c r="A3" s="56" t="s">
        <v>1</v>
      </c>
      <c r="B3" s="57" t="s">
        <v>2</v>
      </c>
      <c r="C3" s="58" t="s">
        <v>3</v>
      </c>
      <c r="D3" s="57" t="s">
        <v>4</v>
      </c>
      <c r="E3" s="57" t="s">
        <v>5</v>
      </c>
      <c r="F3" s="57" t="s">
        <v>6</v>
      </c>
      <c r="G3" s="59" t="s">
        <v>7</v>
      </c>
      <c r="H3" s="60" t="s">
        <v>8</v>
      </c>
      <c r="I3" s="58" t="s">
        <v>9</v>
      </c>
      <c r="J3" s="183" t="s">
        <v>10</v>
      </c>
      <c r="K3" s="208" t="s">
        <v>11</v>
      </c>
      <c r="L3" s="209" t="s">
        <v>12</v>
      </c>
      <c r="M3" s="210" t="s">
        <v>13</v>
      </c>
    </row>
    <row r="4" spans="1:13" ht="14.25" thickTop="1">
      <c r="A4" s="327">
        <f t="shared" ref="A4:A36" si="0">ROW() - 3</f>
        <v>1</v>
      </c>
      <c r="B4" s="328" t="s">
        <v>24</v>
      </c>
      <c r="C4" s="61" t="s">
        <v>25</v>
      </c>
      <c r="D4" s="328" t="s">
        <v>41</v>
      </c>
      <c r="E4" s="328"/>
      <c r="F4" s="329" t="s">
        <v>42</v>
      </c>
      <c r="G4" s="328"/>
      <c r="H4" s="328">
        <v>1</v>
      </c>
      <c r="I4" s="61"/>
      <c r="J4" s="194" t="s">
        <v>16</v>
      </c>
      <c r="K4" s="194" t="s">
        <v>16</v>
      </c>
      <c r="L4" s="194" t="s">
        <v>16</v>
      </c>
      <c r="M4" s="330"/>
    </row>
    <row r="5" spans="1:13" ht="63" customHeight="1">
      <c r="A5" s="296">
        <f t="shared" si="0"/>
        <v>2</v>
      </c>
      <c r="B5" s="41" t="s">
        <v>81</v>
      </c>
      <c r="C5" s="62" t="s">
        <v>82</v>
      </c>
      <c r="D5" s="14" t="s">
        <v>54</v>
      </c>
      <c r="E5" s="14"/>
      <c r="F5" s="117"/>
      <c r="G5" s="14"/>
      <c r="H5" s="14"/>
      <c r="I5" s="62" t="s">
        <v>83</v>
      </c>
      <c r="J5" s="193" t="s">
        <v>84</v>
      </c>
      <c r="K5" s="193" t="s">
        <v>84</v>
      </c>
      <c r="L5" s="62" t="s">
        <v>85</v>
      </c>
      <c r="M5" s="20"/>
    </row>
    <row r="6" spans="1:13" ht="72" customHeight="1">
      <c r="A6" s="296">
        <f t="shared" si="0"/>
        <v>3</v>
      </c>
      <c r="B6" s="14" t="s">
        <v>86</v>
      </c>
      <c r="C6" s="62" t="s">
        <v>87</v>
      </c>
      <c r="D6" s="14" t="s">
        <v>54</v>
      </c>
      <c r="E6" s="14"/>
      <c r="F6" s="117"/>
      <c r="G6" s="14"/>
      <c r="H6" s="14"/>
      <c r="I6" s="62" t="s">
        <v>88</v>
      </c>
      <c r="J6" s="193" t="s">
        <v>84</v>
      </c>
      <c r="K6" s="193" t="s">
        <v>84</v>
      </c>
      <c r="L6" s="62" t="s">
        <v>89</v>
      </c>
      <c r="M6" s="20"/>
    </row>
    <row r="7" spans="1:13">
      <c r="A7" s="296">
        <f>ROW() - 3</f>
        <v>4</v>
      </c>
      <c r="B7" s="14" t="s">
        <v>90</v>
      </c>
      <c r="C7" s="62" t="s">
        <v>91</v>
      </c>
      <c r="D7" s="14" t="s">
        <v>92</v>
      </c>
      <c r="E7" s="14"/>
      <c r="F7" s="117"/>
      <c r="G7" s="14"/>
      <c r="H7" s="14"/>
      <c r="I7" s="62" t="s">
        <v>93</v>
      </c>
      <c r="J7" s="180" t="s">
        <v>16</v>
      </c>
      <c r="K7" s="180" t="s">
        <v>16</v>
      </c>
      <c r="L7" s="180" t="s">
        <v>16</v>
      </c>
      <c r="M7" s="20"/>
    </row>
    <row r="8" spans="1:13">
      <c r="A8" s="296">
        <f t="shared" si="0"/>
        <v>5</v>
      </c>
      <c r="B8" s="14" t="s">
        <v>94</v>
      </c>
      <c r="C8" s="62" t="s">
        <v>95</v>
      </c>
      <c r="D8" s="14" t="s">
        <v>92</v>
      </c>
      <c r="E8" s="14"/>
      <c r="F8" s="117"/>
      <c r="G8" s="14"/>
      <c r="H8" s="14"/>
      <c r="I8" s="62" t="s">
        <v>96</v>
      </c>
      <c r="J8" s="180" t="s">
        <v>16</v>
      </c>
      <c r="K8" s="180" t="s">
        <v>16</v>
      </c>
      <c r="L8" s="180" t="s">
        <v>16</v>
      </c>
      <c r="M8" s="20"/>
    </row>
    <row r="9" spans="1:13">
      <c r="A9" s="296">
        <f t="shared" si="0"/>
        <v>6</v>
      </c>
      <c r="B9" s="14" t="s">
        <v>97</v>
      </c>
      <c r="C9" s="62" t="s">
        <v>98</v>
      </c>
      <c r="D9" s="14" t="s">
        <v>92</v>
      </c>
      <c r="E9" s="14"/>
      <c r="F9" s="117"/>
      <c r="G9" s="14"/>
      <c r="H9" s="14"/>
      <c r="I9" s="62" t="s">
        <v>99</v>
      </c>
      <c r="J9" s="180" t="s">
        <v>16</v>
      </c>
      <c r="K9" s="180" t="s">
        <v>16</v>
      </c>
      <c r="L9" s="180" t="s">
        <v>16</v>
      </c>
      <c r="M9" s="20"/>
    </row>
    <row r="10" spans="1:13">
      <c r="A10" s="296">
        <f t="shared" si="0"/>
        <v>7</v>
      </c>
      <c r="B10" s="14" t="s">
        <v>100</v>
      </c>
      <c r="C10" s="62" t="s">
        <v>101</v>
      </c>
      <c r="D10" s="14" t="s">
        <v>92</v>
      </c>
      <c r="E10" s="14"/>
      <c r="F10" s="117"/>
      <c r="G10" s="14"/>
      <c r="H10" s="14"/>
      <c r="I10" s="62" t="s">
        <v>102</v>
      </c>
      <c r="J10" s="180" t="s">
        <v>16</v>
      </c>
      <c r="K10" s="180" t="s">
        <v>16</v>
      </c>
      <c r="L10" s="180" t="s">
        <v>16</v>
      </c>
      <c r="M10" s="20"/>
    </row>
    <row r="11" spans="1:13">
      <c r="A11" s="296">
        <f t="shared" si="0"/>
        <v>8</v>
      </c>
      <c r="B11" s="14" t="s">
        <v>103</v>
      </c>
      <c r="C11" s="62" t="s">
        <v>104</v>
      </c>
      <c r="D11" s="14" t="s">
        <v>92</v>
      </c>
      <c r="E11" s="14"/>
      <c r="F11" s="117"/>
      <c r="G11" s="14"/>
      <c r="H11" s="14"/>
      <c r="I11" s="62" t="s">
        <v>105</v>
      </c>
      <c r="J11" s="180" t="s">
        <v>16</v>
      </c>
      <c r="K11" s="180" t="s">
        <v>16</v>
      </c>
      <c r="L11" s="180" t="s">
        <v>16</v>
      </c>
      <c r="M11" s="20"/>
    </row>
    <row r="12" spans="1:13">
      <c r="A12" s="296">
        <f t="shared" si="0"/>
        <v>9</v>
      </c>
      <c r="B12" s="14" t="s">
        <v>106</v>
      </c>
      <c r="C12" s="62" t="s">
        <v>107</v>
      </c>
      <c r="D12" s="14" t="s">
        <v>92</v>
      </c>
      <c r="E12" s="14"/>
      <c r="F12" s="117"/>
      <c r="G12" s="14"/>
      <c r="H12" s="14"/>
      <c r="I12" s="62"/>
      <c r="J12" s="180" t="s">
        <v>16</v>
      </c>
      <c r="K12" s="180" t="s">
        <v>16</v>
      </c>
      <c r="L12" s="180" t="s">
        <v>16</v>
      </c>
      <c r="M12" s="20"/>
    </row>
    <row r="13" spans="1:13">
      <c r="A13" s="296">
        <f t="shared" si="0"/>
        <v>10</v>
      </c>
      <c r="B13" s="14" t="s">
        <v>108</v>
      </c>
      <c r="C13" s="62" t="s">
        <v>109</v>
      </c>
      <c r="D13" s="14" t="s">
        <v>92</v>
      </c>
      <c r="E13" s="14"/>
      <c r="F13" s="117"/>
      <c r="G13" s="14"/>
      <c r="H13" s="14"/>
      <c r="I13" s="62"/>
      <c r="J13" s="180" t="s">
        <v>16</v>
      </c>
      <c r="K13" s="180" t="s">
        <v>16</v>
      </c>
      <c r="L13" s="180" t="s">
        <v>16</v>
      </c>
      <c r="M13" s="20"/>
    </row>
    <row r="14" spans="1:13" ht="123.75" customHeight="1">
      <c r="A14" s="296">
        <f t="shared" si="0"/>
        <v>11</v>
      </c>
      <c r="B14" s="14" t="s">
        <v>110</v>
      </c>
      <c r="C14" s="62" t="s">
        <v>111</v>
      </c>
      <c r="D14" s="14" t="s">
        <v>92</v>
      </c>
      <c r="E14" s="14"/>
      <c r="F14" s="117"/>
      <c r="G14" s="14"/>
      <c r="H14" s="14"/>
      <c r="I14" s="62" t="s">
        <v>112</v>
      </c>
      <c r="J14" s="180" t="s">
        <v>16</v>
      </c>
      <c r="K14" s="180" t="s">
        <v>16</v>
      </c>
      <c r="L14" s="180" t="s">
        <v>16</v>
      </c>
      <c r="M14" s="20"/>
    </row>
    <row r="15" spans="1:13" ht="37.5" customHeight="1">
      <c r="A15" s="296">
        <f t="shared" si="0"/>
        <v>12</v>
      </c>
      <c r="B15" s="14" t="s">
        <v>113</v>
      </c>
      <c r="C15" s="89" t="s">
        <v>114</v>
      </c>
      <c r="D15" s="41" t="s">
        <v>66</v>
      </c>
      <c r="E15" s="41"/>
      <c r="F15" s="42"/>
      <c r="G15" s="41"/>
      <c r="H15" s="41"/>
      <c r="I15" s="89" t="s">
        <v>115</v>
      </c>
      <c r="J15" s="189" t="s">
        <v>116</v>
      </c>
      <c r="K15" s="180" t="s">
        <v>16</v>
      </c>
      <c r="L15" s="180" t="s">
        <v>16</v>
      </c>
      <c r="M15" s="20"/>
    </row>
    <row r="16" spans="1:13" ht="20.25" customHeight="1">
      <c r="A16" s="296">
        <f t="shared" si="0"/>
        <v>13</v>
      </c>
      <c r="B16" s="14" t="s">
        <v>117</v>
      </c>
      <c r="C16" s="62" t="s">
        <v>118</v>
      </c>
      <c r="D16" s="14" t="s">
        <v>92</v>
      </c>
      <c r="E16" s="14"/>
      <c r="F16" s="117"/>
      <c r="G16" s="14"/>
      <c r="H16" s="14"/>
      <c r="I16" s="62" t="s">
        <v>119</v>
      </c>
      <c r="J16" s="180" t="s">
        <v>16</v>
      </c>
      <c r="K16" s="180" t="s">
        <v>16</v>
      </c>
      <c r="L16" s="180" t="s">
        <v>16</v>
      </c>
      <c r="M16" s="20"/>
    </row>
    <row r="17" spans="1:13" ht="27">
      <c r="A17" s="296">
        <f t="shared" si="0"/>
        <v>14</v>
      </c>
      <c r="B17" s="14" t="s">
        <v>120</v>
      </c>
      <c r="C17" s="62" t="s">
        <v>121</v>
      </c>
      <c r="D17" s="14" t="s">
        <v>70</v>
      </c>
      <c r="E17" s="14"/>
      <c r="F17" s="117"/>
      <c r="G17" s="14"/>
      <c r="H17" s="14"/>
      <c r="I17" s="62" t="s">
        <v>122</v>
      </c>
      <c r="J17" s="187" t="s">
        <v>123</v>
      </c>
      <c r="K17" s="193" t="s">
        <v>124</v>
      </c>
      <c r="L17" s="62" t="s">
        <v>125</v>
      </c>
      <c r="M17" s="20"/>
    </row>
    <row r="18" spans="1:13" ht="45.75" customHeight="1">
      <c r="A18" s="296">
        <f t="shared" si="0"/>
        <v>15</v>
      </c>
      <c r="B18" s="14" t="s">
        <v>126</v>
      </c>
      <c r="C18" s="62" t="s">
        <v>127</v>
      </c>
      <c r="D18" s="14" t="s">
        <v>66</v>
      </c>
      <c r="E18" s="14"/>
      <c r="F18" s="117"/>
      <c r="G18" s="14"/>
      <c r="H18" s="14"/>
      <c r="I18" s="62" t="s">
        <v>128</v>
      </c>
      <c r="J18" s="62" t="s">
        <v>129</v>
      </c>
      <c r="K18" s="193" t="s">
        <v>124</v>
      </c>
      <c r="L18" s="180" t="s">
        <v>16</v>
      </c>
      <c r="M18" s="20"/>
    </row>
    <row r="19" spans="1:13" ht="29.25" customHeight="1">
      <c r="A19" s="296">
        <f t="shared" si="0"/>
        <v>16</v>
      </c>
      <c r="B19" s="14" t="s">
        <v>130</v>
      </c>
      <c r="C19" s="62" t="s">
        <v>131</v>
      </c>
      <c r="D19" s="14" t="s">
        <v>46</v>
      </c>
      <c r="E19" s="14"/>
      <c r="F19" s="117"/>
      <c r="G19" s="14"/>
      <c r="H19" s="14"/>
      <c r="I19" s="62"/>
      <c r="J19" s="62" t="s">
        <v>132</v>
      </c>
      <c r="K19" s="193" t="s">
        <v>124</v>
      </c>
      <c r="L19" s="62" t="s">
        <v>133</v>
      </c>
      <c r="M19" s="20"/>
    </row>
    <row r="20" spans="1:13" ht="52.5" customHeight="1">
      <c r="A20" s="296">
        <f t="shared" si="0"/>
        <v>17</v>
      </c>
      <c r="B20" s="14" t="s">
        <v>134</v>
      </c>
      <c r="C20" s="62" t="s">
        <v>135</v>
      </c>
      <c r="D20" s="14" t="s">
        <v>46</v>
      </c>
      <c r="E20" s="14"/>
      <c r="F20" s="117"/>
      <c r="G20" s="14"/>
      <c r="H20" s="14"/>
      <c r="I20" s="62"/>
      <c r="J20" s="62" t="s">
        <v>132</v>
      </c>
      <c r="K20" s="193" t="s">
        <v>124</v>
      </c>
      <c r="L20" s="189" t="s">
        <v>136</v>
      </c>
      <c r="M20" s="20"/>
    </row>
    <row r="21" spans="1:13">
      <c r="A21" s="296">
        <f t="shared" si="0"/>
        <v>18</v>
      </c>
      <c r="B21" s="14" t="s">
        <v>137</v>
      </c>
      <c r="C21" s="62" t="s">
        <v>138</v>
      </c>
      <c r="D21" s="14" t="s">
        <v>46</v>
      </c>
      <c r="E21" s="14"/>
      <c r="F21" s="117"/>
      <c r="G21" s="14"/>
      <c r="H21" s="14"/>
      <c r="I21" s="62"/>
      <c r="J21" s="62" t="s">
        <v>132</v>
      </c>
      <c r="K21" s="193" t="s">
        <v>124</v>
      </c>
      <c r="L21" s="62" t="s">
        <v>139</v>
      </c>
      <c r="M21" s="20"/>
    </row>
    <row r="22" spans="1:13">
      <c r="A22" s="296">
        <f t="shared" si="0"/>
        <v>19</v>
      </c>
      <c r="B22" s="14" t="s">
        <v>140</v>
      </c>
      <c r="C22" s="62" t="s">
        <v>141</v>
      </c>
      <c r="D22" s="14" t="s">
        <v>46</v>
      </c>
      <c r="E22" s="14"/>
      <c r="F22" s="117"/>
      <c r="G22" s="14"/>
      <c r="H22" s="14"/>
      <c r="I22" s="62"/>
      <c r="J22" s="62" t="s">
        <v>132</v>
      </c>
      <c r="K22" s="193" t="s">
        <v>124</v>
      </c>
      <c r="L22" s="62" t="s">
        <v>139</v>
      </c>
      <c r="M22" s="20"/>
    </row>
    <row r="23" spans="1:13">
      <c r="A23" s="296">
        <f t="shared" si="0"/>
        <v>20</v>
      </c>
      <c r="B23" s="14" t="s">
        <v>142</v>
      </c>
      <c r="C23" s="62" t="s">
        <v>143</v>
      </c>
      <c r="D23" s="14" t="s">
        <v>46</v>
      </c>
      <c r="E23" s="14"/>
      <c r="F23" s="117"/>
      <c r="G23" s="14"/>
      <c r="H23" s="14"/>
      <c r="I23" s="62"/>
      <c r="J23" s="62" t="s">
        <v>132</v>
      </c>
      <c r="K23" s="193" t="s">
        <v>124</v>
      </c>
      <c r="L23" s="62" t="s">
        <v>139</v>
      </c>
      <c r="M23" s="20"/>
    </row>
    <row r="24" spans="1:13" s="26" customFormat="1">
      <c r="A24" s="296">
        <f t="shared" si="0"/>
        <v>21</v>
      </c>
      <c r="B24" s="31" t="s">
        <v>144</v>
      </c>
      <c r="C24" s="63" t="s">
        <v>145</v>
      </c>
      <c r="D24" s="31" t="s">
        <v>146</v>
      </c>
      <c r="E24" s="31"/>
      <c r="F24" s="321"/>
      <c r="G24" s="31"/>
      <c r="H24" s="31"/>
      <c r="I24" s="63"/>
      <c r="J24" s="62" t="s">
        <v>132</v>
      </c>
      <c r="K24" s="193" t="s">
        <v>124</v>
      </c>
      <c r="L24" s="63" t="s">
        <v>139</v>
      </c>
      <c r="M24" s="323"/>
    </row>
    <row r="25" spans="1:13" s="26" customFormat="1">
      <c r="A25" s="296">
        <f t="shared" si="0"/>
        <v>22</v>
      </c>
      <c r="B25" s="31" t="s">
        <v>147</v>
      </c>
      <c r="C25" s="63" t="s">
        <v>148</v>
      </c>
      <c r="D25" s="31" t="s">
        <v>146</v>
      </c>
      <c r="E25" s="31"/>
      <c r="F25" s="321"/>
      <c r="G25" s="31"/>
      <c r="H25" s="31"/>
      <c r="I25" s="63"/>
      <c r="J25" s="62" t="s">
        <v>132</v>
      </c>
      <c r="K25" s="193" t="s">
        <v>124</v>
      </c>
      <c r="L25" s="63" t="s">
        <v>139</v>
      </c>
      <c r="M25" s="323"/>
    </row>
    <row r="26" spans="1:13" s="26" customFormat="1">
      <c r="A26" s="296">
        <f t="shared" si="0"/>
        <v>23</v>
      </c>
      <c r="B26" s="31" t="s">
        <v>149</v>
      </c>
      <c r="C26" s="63" t="s">
        <v>150</v>
      </c>
      <c r="D26" s="31" t="s">
        <v>146</v>
      </c>
      <c r="E26" s="31"/>
      <c r="F26" s="321"/>
      <c r="G26" s="31"/>
      <c r="H26" s="31"/>
      <c r="I26" s="63"/>
      <c r="J26" s="62" t="s">
        <v>132</v>
      </c>
      <c r="K26" s="193" t="s">
        <v>124</v>
      </c>
      <c r="L26" s="63" t="s">
        <v>139</v>
      </c>
      <c r="M26" s="323"/>
    </row>
    <row r="27" spans="1:13">
      <c r="A27" s="296">
        <f t="shared" si="0"/>
        <v>24</v>
      </c>
      <c r="B27" s="31" t="s">
        <v>151</v>
      </c>
      <c r="C27" s="63" t="s">
        <v>152</v>
      </c>
      <c r="D27" s="31" t="s">
        <v>153</v>
      </c>
      <c r="E27" s="31"/>
      <c r="F27" s="321"/>
      <c r="G27" s="31"/>
      <c r="H27" s="31"/>
      <c r="I27" s="63" t="s">
        <v>154</v>
      </c>
      <c r="J27" s="62" t="s">
        <v>155</v>
      </c>
      <c r="K27" s="193" t="s">
        <v>124</v>
      </c>
      <c r="L27" s="63" t="s">
        <v>156</v>
      </c>
      <c r="M27" s="323"/>
    </row>
    <row r="28" spans="1:13" ht="27">
      <c r="A28" s="296">
        <f t="shared" si="0"/>
        <v>25</v>
      </c>
      <c r="B28" s="31" t="s">
        <v>157</v>
      </c>
      <c r="C28" s="63" t="s">
        <v>158</v>
      </c>
      <c r="D28" s="31" t="s">
        <v>92</v>
      </c>
      <c r="E28" s="31"/>
      <c r="F28" s="321"/>
      <c r="G28" s="31"/>
      <c r="H28" s="31"/>
      <c r="I28" s="63" t="s">
        <v>159</v>
      </c>
      <c r="J28" s="62" t="s">
        <v>129</v>
      </c>
      <c r="K28" s="193" t="s">
        <v>124</v>
      </c>
      <c r="L28" s="63" t="s">
        <v>160</v>
      </c>
      <c r="M28" s="323"/>
    </row>
    <row r="29" spans="1:13">
      <c r="A29" s="296">
        <f t="shared" si="0"/>
        <v>26</v>
      </c>
      <c r="B29" s="31" t="s">
        <v>161</v>
      </c>
      <c r="C29" s="63" t="s">
        <v>162</v>
      </c>
      <c r="D29" s="31" t="s">
        <v>92</v>
      </c>
      <c r="E29" s="31"/>
      <c r="F29" s="321"/>
      <c r="G29" s="31"/>
      <c r="H29" s="31"/>
      <c r="I29" s="63"/>
      <c r="J29" s="63" t="s">
        <v>163</v>
      </c>
      <c r="K29" s="180" t="s">
        <v>16</v>
      </c>
      <c r="L29" s="63" t="s">
        <v>139</v>
      </c>
      <c r="M29" s="323"/>
    </row>
    <row r="30" spans="1:13" ht="42" customHeight="1">
      <c r="A30" s="296">
        <f t="shared" si="0"/>
        <v>27</v>
      </c>
      <c r="B30" s="31" t="s">
        <v>164</v>
      </c>
      <c r="C30" s="63" t="s">
        <v>165</v>
      </c>
      <c r="D30" s="31" t="s">
        <v>166</v>
      </c>
      <c r="E30" s="31"/>
      <c r="F30" s="321"/>
      <c r="G30" s="31"/>
      <c r="H30" s="31"/>
      <c r="I30" s="63" t="s">
        <v>167</v>
      </c>
      <c r="J30" s="62" t="s">
        <v>168</v>
      </c>
      <c r="K30" s="193" t="s">
        <v>124</v>
      </c>
      <c r="L30" s="63" t="s">
        <v>139</v>
      </c>
      <c r="M30" s="323"/>
    </row>
    <row r="31" spans="1:13" ht="27">
      <c r="A31" s="296">
        <f t="shared" si="0"/>
        <v>28</v>
      </c>
      <c r="B31" s="14" t="s">
        <v>169</v>
      </c>
      <c r="C31" s="62" t="s">
        <v>170</v>
      </c>
      <c r="D31" s="14" t="s">
        <v>166</v>
      </c>
      <c r="E31" s="14"/>
      <c r="F31" s="117"/>
      <c r="G31" s="14"/>
      <c r="H31" s="14"/>
      <c r="I31" s="62" t="s">
        <v>171</v>
      </c>
      <c r="J31" s="62" t="s">
        <v>123</v>
      </c>
      <c r="K31" s="193" t="s">
        <v>124</v>
      </c>
      <c r="L31" s="62" t="s">
        <v>139</v>
      </c>
      <c r="M31" s="20"/>
    </row>
    <row r="32" spans="1:13" ht="27">
      <c r="A32" s="296">
        <f t="shared" si="0"/>
        <v>29</v>
      </c>
      <c r="B32" s="31" t="s">
        <v>172</v>
      </c>
      <c r="C32" s="63" t="s">
        <v>173</v>
      </c>
      <c r="D32" s="31" t="s">
        <v>166</v>
      </c>
      <c r="E32" s="31"/>
      <c r="F32" s="321"/>
      <c r="G32" s="31"/>
      <c r="H32" s="31"/>
      <c r="I32" s="63" t="s">
        <v>174</v>
      </c>
      <c r="J32" s="62" t="s">
        <v>123</v>
      </c>
      <c r="K32" s="193" t="s">
        <v>124</v>
      </c>
      <c r="L32" s="63" t="s">
        <v>139</v>
      </c>
      <c r="M32" s="323"/>
    </row>
    <row r="33" spans="1:13" ht="27">
      <c r="A33" s="43">
        <f t="shared" si="0"/>
        <v>30</v>
      </c>
      <c r="B33" s="44" t="s">
        <v>175</v>
      </c>
      <c r="C33" s="48" t="s">
        <v>176</v>
      </c>
      <c r="D33" s="44" t="s">
        <v>166</v>
      </c>
      <c r="E33" s="44"/>
      <c r="F33" s="45"/>
      <c r="G33" s="44"/>
      <c r="H33" s="44"/>
      <c r="I33" s="48" t="s">
        <v>177</v>
      </c>
      <c r="J33" s="62" t="s">
        <v>123</v>
      </c>
      <c r="K33" s="193" t="s">
        <v>124</v>
      </c>
      <c r="L33" s="48" t="s">
        <v>139</v>
      </c>
      <c r="M33" s="49"/>
    </row>
    <row r="34" spans="1:13" ht="352.5" customHeight="1">
      <c r="A34" s="40">
        <f t="shared" si="0"/>
        <v>31</v>
      </c>
      <c r="B34" s="41" t="s">
        <v>178</v>
      </c>
      <c r="C34" s="89" t="s">
        <v>179</v>
      </c>
      <c r="D34" s="41" t="s">
        <v>46</v>
      </c>
      <c r="E34" s="41"/>
      <c r="F34" s="42"/>
      <c r="G34" s="41"/>
      <c r="H34" s="41"/>
      <c r="I34" s="89" t="s">
        <v>180</v>
      </c>
      <c r="J34" s="220" t="s">
        <v>181</v>
      </c>
      <c r="K34" s="193" t="s">
        <v>124</v>
      </c>
      <c r="L34" s="89" t="s">
        <v>182</v>
      </c>
      <c r="M34" s="53"/>
    </row>
    <row r="35" spans="1:13" ht="33.75" customHeight="1">
      <c r="A35" s="40">
        <f t="shared" si="0"/>
        <v>32</v>
      </c>
      <c r="B35" s="41" t="s">
        <v>183</v>
      </c>
      <c r="C35" s="89" t="s">
        <v>184</v>
      </c>
      <c r="D35" s="41" t="s">
        <v>46</v>
      </c>
      <c r="E35" s="41"/>
      <c r="F35" s="42"/>
      <c r="G35" s="41"/>
      <c r="H35" s="41"/>
      <c r="I35" s="89" t="s">
        <v>185</v>
      </c>
      <c r="J35" s="62" t="s">
        <v>186</v>
      </c>
      <c r="K35" s="193" t="s">
        <v>124</v>
      </c>
      <c r="L35" s="89" t="s">
        <v>185</v>
      </c>
      <c r="M35" s="53"/>
    </row>
    <row r="36" spans="1:13" ht="54">
      <c r="A36" s="40">
        <f t="shared" si="0"/>
        <v>33</v>
      </c>
      <c r="B36" s="41" t="s">
        <v>187</v>
      </c>
      <c r="C36" s="89" t="s">
        <v>188</v>
      </c>
      <c r="D36" s="41" t="s">
        <v>46</v>
      </c>
      <c r="E36" s="41"/>
      <c r="F36" s="42"/>
      <c r="G36" s="41"/>
      <c r="H36" s="41"/>
      <c r="I36" s="62" t="s">
        <v>189</v>
      </c>
      <c r="J36" s="62" t="s">
        <v>190</v>
      </c>
      <c r="K36" s="193" t="s">
        <v>124</v>
      </c>
      <c r="L36" s="89" t="s">
        <v>191</v>
      </c>
      <c r="M36" s="53"/>
    </row>
    <row r="37" spans="1:13" ht="64.5" customHeight="1">
      <c r="A37" s="17">
        <v>31</v>
      </c>
      <c r="B37" s="283" t="s">
        <v>192</v>
      </c>
      <c r="C37" s="108"/>
      <c r="D37" s="109"/>
      <c r="E37" s="87"/>
      <c r="F37" s="88"/>
      <c r="G37" s="87"/>
      <c r="H37" s="87"/>
      <c r="I37" s="195" t="s">
        <v>193</v>
      </c>
      <c r="J37" s="108" t="s">
        <v>194</v>
      </c>
      <c r="K37" s="193" t="s">
        <v>124</v>
      </c>
      <c r="L37" s="108" t="s">
        <v>195</v>
      </c>
      <c r="M37" s="110"/>
    </row>
    <row r="38" spans="1:13" ht="71.25" customHeight="1">
      <c r="A38" s="9">
        <v>32</v>
      </c>
      <c r="B38" s="1" t="s">
        <v>196</v>
      </c>
      <c r="C38" s="106"/>
      <c r="D38" s="107"/>
      <c r="E38" s="54"/>
      <c r="F38" s="55"/>
      <c r="G38" s="54"/>
      <c r="H38" s="54"/>
      <c r="I38" s="196" t="s">
        <v>197</v>
      </c>
      <c r="J38" s="108" t="s">
        <v>194</v>
      </c>
      <c r="K38" s="193" t="s">
        <v>124</v>
      </c>
      <c r="L38" s="106" t="s">
        <v>198</v>
      </c>
      <c r="M38" s="105"/>
    </row>
    <row r="39" spans="1:13" ht="63" customHeight="1">
      <c r="A39" s="9">
        <v>33</v>
      </c>
      <c r="B39" s="1" t="s">
        <v>199</v>
      </c>
      <c r="C39" s="106"/>
      <c r="D39" s="107"/>
      <c r="E39" s="54"/>
      <c r="F39" s="55"/>
      <c r="G39" s="54"/>
      <c r="H39" s="54"/>
      <c r="I39" s="196" t="s">
        <v>200</v>
      </c>
      <c r="J39" s="108" t="s">
        <v>194</v>
      </c>
      <c r="K39" s="193" t="s">
        <v>124</v>
      </c>
      <c r="L39" s="106" t="s">
        <v>201</v>
      </c>
      <c r="M39" s="105"/>
    </row>
    <row r="40" spans="1:13" ht="65.25" customHeight="1">
      <c r="A40" s="9">
        <v>32</v>
      </c>
      <c r="B40" s="1" t="s">
        <v>202</v>
      </c>
      <c r="C40" s="103"/>
      <c r="D40" s="104"/>
      <c r="E40" s="54"/>
      <c r="F40" s="55"/>
      <c r="G40" s="54"/>
      <c r="H40" s="54"/>
      <c r="I40" s="196" t="s">
        <v>203</v>
      </c>
      <c r="J40" s="108" t="s">
        <v>204</v>
      </c>
      <c r="K40" s="193" t="s">
        <v>124</v>
      </c>
      <c r="L40" s="106" t="s">
        <v>205</v>
      </c>
      <c r="M40" s="105"/>
    </row>
    <row r="41" spans="1:13" ht="60.75" customHeight="1">
      <c r="A41" s="9">
        <v>33</v>
      </c>
      <c r="B41" s="1" t="s">
        <v>206</v>
      </c>
      <c r="C41" s="103"/>
      <c r="D41" s="104"/>
      <c r="E41" s="54"/>
      <c r="F41" s="55"/>
      <c r="G41" s="54"/>
      <c r="H41" s="54"/>
      <c r="I41" s="196" t="s">
        <v>207</v>
      </c>
      <c r="J41" s="108" t="s">
        <v>208</v>
      </c>
      <c r="K41" s="193" t="s">
        <v>124</v>
      </c>
      <c r="L41" s="106" t="s">
        <v>209</v>
      </c>
      <c r="M41" s="105"/>
    </row>
    <row r="42" spans="1:13" ht="62.25" customHeight="1">
      <c r="A42" s="9">
        <v>32</v>
      </c>
      <c r="B42" s="1" t="s">
        <v>210</v>
      </c>
      <c r="C42" s="106"/>
      <c r="D42" s="107"/>
      <c r="E42" s="54"/>
      <c r="F42" s="55"/>
      <c r="G42" s="54"/>
      <c r="H42" s="54"/>
      <c r="I42" s="196" t="s">
        <v>211</v>
      </c>
      <c r="J42" s="108" t="s">
        <v>212</v>
      </c>
      <c r="K42" s="193" t="s">
        <v>124</v>
      </c>
      <c r="L42" s="106" t="s">
        <v>213</v>
      </c>
      <c r="M42" s="105"/>
    </row>
    <row r="43" spans="1:13" ht="224.25" customHeight="1" thickBot="1">
      <c r="A43" s="10">
        <v>33</v>
      </c>
      <c r="B43" s="11" t="s">
        <v>214</v>
      </c>
      <c r="C43" s="111"/>
      <c r="D43" s="112"/>
      <c r="E43" s="50"/>
      <c r="F43" s="51"/>
      <c r="G43" s="50"/>
      <c r="H43" s="50"/>
      <c r="I43" s="118" t="s">
        <v>215</v>
      </c>
      <c r="J43" s="111" t="s">
        <v>216</v>
      </c>
      <c r="K43" s="181" t="s">
        <v>16</v>
      </c>
      <c r="L43" s="111" t="s">
        <v>215</v>
      </c>
      <c r="M43" s="113"/>
    </row>
  </sheetData>
  <phoneticPr fontId="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5">
    <tabColor rgb="FFC00000"/>
  </sheetPr>
  <dimension ref="A1:M209"/>
  <sheetViews>
    <sheetView zoomScale="70" zoomScaleNormal="70" workbookViewId="0">
      <selection activeCell="K8" sqref="K8"/>
    </sheetView>
  </sheetViews>
  <sheetFormatPr defaultRowHeight="13.5" outlineLevelCol="1"/>
  <cols>
    <col min="2" max="2" width="28.42578125" customWidth="1"/>
    <col min="3" max="3" width="28.42578125" style="18" customWidth="1"/>
    <col min="4" max="5" width="13.5703125" hidden="1" customWidth="1" outlineLevel="1"/>
    <col min="6" max="7" width="9" hidden="1" customWidth="1" outlineLevel="1"/>
    <col min="8" max="8" width="9" collapsed="1"/>
    <col min="9" max="9" width="57.140625" style="18" customWidth="1"/>
    <col min="10" max="10" width="26.140625" style="18" customWidth="1"/>
    <col min="11" max="11" width="35.42578125" style="18" customWidth="1"/>
    <col min="12" max="12" width="37.42578125" style="18" customWidth="1"/>
    <col min="13" max="13" width="40.42578125" style="18" customWidth="1"/>
  </cols>
  <sheetData>
    <row r="1" spans="1:13">
      <c r="A1" s="21" t="s">
        <v>217</v>
      </c>
      <c r="B1" s="21"/>
      <c r="C1" s="325"/>
      <c r="D1" s="21"/>
      <c r="E1" s="21"/>
      <c r="F1" s="21"/>
      <c r="G1" s="21"/>
      <c r="H1" s="21"/>
      <c r="I1" s="325"/>
      <c r="J1" s="325"/>
      <c r="K1" s="325"/>
      <c r="L1" s="325"/>
      <c r="M1" s="325"/>
    </row>
    <row r="2" spans="1:13" ht="14.25" thickBot="1">
      <c r="A2" s="21"/>
      <c r="B2" s="21"/>
      <c r="C2" s="325"/>
      <c r="D2" s="21"/>
      <c r="E2" s="21"/>
      <c r="F2" s="21"/>
      <c r="G2" s="21"/>
      <c r="H2" s="21"/>
      <c r="I2" s="325"/>
      <c r="J2" s="325"/>
      <c r="K2" s="325"/>
      <c r="L2" s="325"/>
      <c r="M2" s="325"/>
    </row>
    <row r="3" spans="1:13" ht="32.25" thickBot="1">
      <c r="A3" s="22" t="s">
        <v>1</v>
      </c>
      <c r="B3" s="23" t="s">
        <v>2</v>
      </c>
      <c r="C3" s="29" t="s">
        <v>3</v>
      </c>
      <c r="D3" s="23" t="s">
        <v>4</v>
      </c>
      <c r="E3" s="23" t="s">
        <v>5</v>
      </c>
      <c r="F3" s="23" t="s">
        <v>6</v>
      </c>
      <c r="G3" s="24" t="s">
        <v>7</v>
      </c>
      <c r="H3" s="25" t="s">
        <v>8</v>
      </c>
      <c r="I3" s="29" t="s">
        <v>9</v>
      </c>
      <c r="J3" s="183" t="s">
        <v>10</v>
      </c>
      <c r="K3" s="208" t="s">
        <v>11</v>
      </c>
      <c r="L3" s="209" t="s">
        <v>12</v>
      </c>
      <c r="M3" s="210" t="s">
        <v>13</v>
      </c>
    </row>
    <row r="4" spans="1:13" ht="46.5" customHeight="1" thickTop="1">
      <c r="A4" s="326">
        <f t="shared" ref="A4:A71" si="0">ROW() - 3</f>
        <v>1</v>
      </c>
      <c r="B4" s="30" t="s">
        <v>24</v>
      </c>
      <c r="C4" s="64" t="s">
        <v>25</v>
      </c>
      <c r="D4" s="30" t="s">
        <v>41</v>
      </c>
      <c r="E4" s="30"/>
      <c r="F4" s="116" t="s">
        <v>42</v>
      </c>
      <c r="G4" s="30"/>
      <c r="H4" s="30">
        <v>1</v>
      </c>
      <c r="I4" s="64"/>
      <c r="J4" s="182" t="s">
        <v>16</v>
      </c>
      <c r="K4" s="182" t="s">
        <v>16</v>
      </c>
      <c r="L4" s="182" t="s">
        <v>16</v>
      </c>
      <c r="M4" s="306"/>
    </row>
    <row r="5" spans="1:13" ht="46.5" customHeight="1">
      <c r="A5" s="296">
        <f t="shared" si="0"/>
        <v>2</v>
      </c>
      <c r="B5" s="14" t="s">
        <v>218</v>
      </c>
      <c r="C5" s="62" t="s">
        <v>219</v>
      </c>
      <c r="D5" s="14" t="s">
        <v>66</v>
      </c>
      <c r="E5" s="14"/>
      <c r="F5" s="117" t="s">
        <v>42</v>
      </c>
      <c r="G5" s="14"/>
      <c r="H5" s="14">
        <v>2</v>
      </c>
      <c r="I5" s="62" t="s">
        <v>220</v>
      </c>
      <c r="J5" s="182" t="s">
        <v>16</v>
      </c>
      <c r="K5" s="182" t="s">
        <v>16</v>
      </c>
      <c r="L5" s="193" t="s">
        <v>221</v>
      </c>
      <c r="M5" s="20"/>
    </row>
    <row r="6" spans="1:13" ht="46.5" customHeight="1">
      <c r="A6" s="40">
        <f t="shared" si="0"/>
        <v>3</v>
      </c>
      <c r="B6" s="41" t="s">
        <v>222</v>
      </c>
      <c r="C6" s="89" t="s">
        <v>223</v>
      </c>
      <c r="D6" s="41" t="s">
        <v>46</v>
      </c>
      <c r="E6" s="41"/>
      <c r="F6" s="42"/>
      <c r="G6" s="41"/>
      <c r="H6" s="41"/>
      <c r="I6" s="89" t="s">
        <v>224</v>
      </c>
      <c r="J6" s="182" t="s">
        <v>16</v>
      </c>
      <c r="K6" s="182" t="s">
        <v>16</v>
      </c>
      <c r="L6" s="221" t="s">
        <v>225</v>
      </c>
      <c r="M6" s="53"/>
    </row>
    <row r="7" spans="1:13" ht="46.5" customHeight="1">
      <c r="A7" s="40">
        <f t="shared" si="0"/>
        <v>4</v>
      </c>
      <c r="B7" s="41" t="s">
        <v>226</v>
      </c>
      <c r="C7" s="89" t="s">
        <v>227</v>
      </c>
      <c r="D7" s="41" t="s">
        <v>46</v>
      </c>
      <c r="E7" s="41"/>
      <c r="F7" s="42"/>
      <c r="G7" s="41"/>
      <c r="H7" s="41"/>
      <c r="I7" s="89" t="s">
        <v>228</v>
      </c>
      <c r="J7" s="182" t="s">
        <v>16</v>
      </c>
      <c r="K7" s="182" t="s">
        <v>16</v>
      </c>
      <c r="L7" s="182" t="s">
        <v>16</v>
      </c>
      <c r="M7" s="53"/>
    </row>
    <row r="8" spans="1:13" ht="46.5" customHeight="1">
      <c r="A8" s="40">
        <f t="shared" si="0"/>
        <v>5</v>
      </c>
      <c r="B8" s="41" t="s">
        <v>229</v>
      </c>
      <c r="C8" s="89" t="s">
        <v>230</v>
      </c>
      <c r="D8" s="41" t="s">
        <v>46</v>
      </c>
      <c r="E8" s="41"/>
      <c r="F8" s="42"/>
      <c r="G8" s="41"/>
      <c r="H8" s="41"/>
      <c r="I8" s="89" t="s">
        <v>231</v>
      </c>
      <c r="J8" s="182" t="s">
        <v>16</v>
      </c>
      <c r="K8" s="182" t="s">
        <v>16</v>
      </c>
      <c r="L8" s="182" t="s">
        <v>16</v>
      </c>
      <c r="M8" s="53"/>
    </row>
    <row r="9" spans="1:13" ht="46.5" customHeight="1">
      <c r="A9" s="40">
        <f t="shared" si="0"/>
        <v>6</v>
      </c>
      <c r="B9" s="41" t="s">
        <v>232</v>
      </c>
      <c r="C9" s="89" t="s">
        <v>233</v>
      </c>
      <c r="D9" s="41" t="s">
        <v>46</v>
      </c>
      <c r="E9" s="41"/>
      <c r="F9" s="42"/>
      <c r="G9" s="41"/>
      <c r="H9" s="41"/>
      <c r="I9" s="89" t="s">
        <v>234</v>
      </c>
      <c r="J9" s="182" t="s">
        <v>16</v>
      </c>
      <c r="K9" s="182" t="s">
        <v>16</v>
      </c>
      <c r="L9" s="182" t="s">
        <v>16</v>
      </c>
      <c r="M9" s="53"/>
    </row>
    <row r="10" spans="1:13" ht="46.5" customHeight="1">
      <c r="A10" s="40">
        <f t="shared" si="0"/>
        <v>7</v>
      </c>
      <c r="B10" s="41" t="s">
        <v>235</v>
      </c>
      <c r="C10" s="89" t="s">
        <v>236</v>
      </c>
      <c r="D10" s="41" t="s">
        <v>66</v>
      </c>
      <c r="E10" s="41"/>
      <c r="F10" s="42"/>
      <c r="G10" s="41"/>
      <c r="H10" s="41"/>
      <c r="I10" s="89" t="s">
        <v>237</v>
      </c>
      <c r="J10" s="182" t="s">
        <v>16</v>
      </c>
      <c r="K10" s="182" t="s">
        <v>16</v>
      </c>
      <c r="L10" s="182" t="s">
        <v>16</v>
      </c>
      <c r="M10" s="53"/>
    </row>
    <row r="11" spans="1:13" ht="50.25" customHeight="1">
      <c r="A11" s="40">
        <f t="shared" si="0"/>
        <v>8</v>
      </c>
      <c r="B11" s="41" t="s">
        <v>238</v>
      </c>
      <c r="C11" s="89" t="s">
        <v>239</v>
      </c>
      <c r="D11" s="41" t="s">
        <v>46</v>
      </c>
      <c r="E11" s="41"/>
      <c r="F11" s="42"/>
      <c r="G11" s="41"/>
      <c r="H11" s="41"/>
      <c r="I11" s="89"/>
      <c r="J11" s="182" t="s">
        <v>16</v>
      </c>
      <c r="K11" s="182" t="s">
        <v>16</v>
      </c>
      <c r="L11" s="182" t="s">
        <v>16</v>
      </c>
      <c r="M11" s="53"/>
    </row>
    <row r="12" spans="1:13">
      <c r="A12" s="40">
        <f t="shared" si="0"/>
        <v>9</v>
      </c>
      <c r="B12" s="41" t="s">
        <v>240</v>
      </c>
      <c r="C12" s="89" t="s">
        <v>241</v>
      </c>
      <c r="D12" s="41" t="s">
        <v>66</v>
      </c>
      <c r="E12" s="41"/>
      <c r="F12" s="42"/>
      <c r="G12" s="41"/>
      <c r="H12" s="41"/>
      <c r="I12" s="89" t="s">
        <v>242</v>
      </c>
      <c r="J12" s="182" t="s">
        <v>16</v>
      </c>
      <c r="K12" s="182" t="s">
        <v>16</v>
      </c>
      <c r="L12" s="182" t="s">
        <v>16</v>
      </c>
      <c r="M12" s="53"/>
    </row>
    <row r="13" spans="1:13">
      <c r="A13" s="40">
        <f t="shared" si="0"/>
        <v>10</v>
      </c>
      <c r="B13" s="41" t="s">
        <v>3</v>
      </c>
      <c r="C13" s="89" t="s">
        <v>243</v>
      </c>
      <c r="D13" s="41" t="s">
        <v>46</v>
      </c>
      <c r="E13" s="41"/>
      <c r="F13" s="42"/>
      <c r="G13" s="41"/>
      <c r="H13" s="41"/>
      <c r="I13" s="89" t="s">
        <v>244</v>
      </c>
      <c r="J13" s="182" t="s">
        <v>16</v>
      </c>
      <c r="K13" s="182" t="s">
        <v>16</v>
      </c>
      <c r="L13" s="182" t="s">
        <v>16</v>
      </c>
      <c r="M13" s="53"/>
    </row>
    <row r="14" spans="1:13" ht="27">
      <c r="A14" s="296">
        <f t="shared" si="0"/>
        <v>11</v>
      </c>
      <c r="B14" s="14" t="s">
        <v>245</v>
      </c>
      <c r="C14" s="62" t="s">
        <v>246</v>
      </c>
      <c r="D14" s="14" t="s">
        <v>46</v>
      </c>
      <c r="E14" s="14"/>
      <c r="F14" s="117"/>
      <c r="G14" s="14"/>
      <c r="H14" s="14"/>
      <c r="I14" s="62" t="s">
        <v>244</v>
      </c>
      <c r="J14" s="62" t="s">
        <v>247</v>
      </c>
      <c r="K14" s="193" t="s">
        <v>124</v>
      </c>
      <c r="L14" s="62" t="s">
        <v>248</v>
      </c>
      <c r="M14" s="20"/>
    </row>
    <row r="15" spans="1:13">
      <c r="A15" s="296">
        <f t="shared" si="0"/>
        <v>12</v>
      </c>
      <c r="B15" s="14" t="s">
        <v>249</v>
      </c>
      <c r="C15" s="62" t="s">
        <v>250</v>
      </c>
      <c r="D15" s="14" t="s">
        <v>46</v>
      </c>
      <c r="E15" s="14"/>
      <c r="F15" s="117"/>
      <c r="G15" s="14"/>
      <c r="H15" s="14"/>
      <c r="I15" s="62" t="s">
        <v>244</v>
      </c>
      <c r="J15" s="182" t="s">
        <v>16</v>
      </c>
      <c r="K15" s="182" t="s">
        <v>16</v>
      </c>
      <c r="L15" s="62" t="s">
        <v>248</v>
      </c>
      <c r="M15" s="20"/>
    </row>
    <row r="16" spans="1:13">
      <c r="A16" s="296">
        <f t="shared" si="0"/>
        <v>13</v>
      </c>
      <c r="B16" s="14" t="s">
        <v>251</v>
      </c>
      <c r="C16" s="62" t="s">
        <v>252</v>
      </c>
      <c r="D16" s="14" t="s">
        <v>92</v>
      </c>
      <c r="E16" s="14"/>
      <c r="F16" s="117"/>
      <c r="G16" s="14"/>
      <c r="H16" s="14"/>
      <c r="I16" s="62" t="s">
        <v>244</v>
      </c>
      <c r="J16" s="182" t="s">
        <v>16</v>
      </c>
      <c r="K16" s="182" t="s">
        <v>16</v>
      </c>
      <c r="L16" s="62" t="s">
        <v>248</v>
      </c>
      <c r="M16" s="20"/>
    </row>
    <row r="17" spans="1:13" ht="40.5">
      <c r="A17" s="296">
        <f t="shared" si="0"/>
        <v>14</v>
      </c>
      <c r="B17" s="14" t="s">
        <v>253</v>
      </c>
      <c r="C17" s="62" t="s">
        <v>254</v>
      </c>
      <c r="D17" s="14" t="s">
        <v>92</v>
      </c>
      <c r="E17" s="14"/>
      <c r="F17" s="117"/>
      <c r="G17" s="14"/>
      <c r="H17" s="14"/>
      <c r="I17" s="62" t="s">
        <v>255</v>
      </c>
      <c r="J17" s="62" t="s">
        <v>256</v>
      </c>
      <c r="K17" s="193" t="s">
        <v>124</v>
      </c>
      <c r="L17" s="62" t="s">
        <v>257</v>
      </c>
      <c r="M17" s="20"/>
    </row>
    <row r="18" spans="1:13" ht="202.5" customHeight="1">
      <c r="A18" s="296">
        <f t="shared" si="0"/>
        <v>15</v>
      </c>
      <c r="B18" s="14" t="s">
        <v>258</v>
      </c>
      <c r="C18" s="62" t="s">
        <v>259</v>
      </c>
      <c r="D18" s="14" t="s">
        <v>92</v>
      </c>
      <c r="E18" s="14"/>
      <c r="F18" s="117"/>
      <c r="G18" s="14"/>
      <c r="H18" s="14"/>
      <c r="I18" s="89" t="s">
        <v>260</v>
      </c>
      <c r="J18" s="62" t="s">
        <v>261</v>
      </c>
      <c r="K18" s="193" t="s">
        <v>124</v>
      </c>
      <c r="L18" s="89" t="s">
        <v>262</v>
      </c>
      <c r="M18" s="53"/>
    </row>
    <row r="19" spans="1:13" ht="147.75" customHeight="1">
      <c r="A19" s="296">
        <f t="shared" si="0"/>
        <v>16</v>
      </c>
      <c r="B19" s="14" t="s">
        <v>263</v>
      </c>
      <c r="C19" s="62" t="s">
        <v>264</v>
      </c>
      <c r="D19" s="14" t="s">
        <v>92</v>
      </c>
      <c r="E19" s="14"/>
      <c r="F19" s="117"/>
      <c r="G19" s="14"/>
      <c r="H19" s="14"/>
      <c r="I19" s="62" t="s">
        <v>265</v>
      </c>
      <c r="J19" s="62" t="s">
        <v>266</v>
      </c>
      <c r="K19" s="193" t="s">
        <v>124</v>
      </c>
      <c r="L19" s="62" t="s">
        <v>267</v>
      </c>
      <c r="M19" s="20"/>
    </row>
    <row r="20" spans="1:13">
      <c r="A20" s="296">
        <f t="shared" si="0"/>
        <v>17</v>
      </c>
      <c r="B20" s="14" t="s">
        <v>268</v>
      </c>
      <c r="C20" s="62" t="s">
        <v>269</v>
      </c>
      <c r="D20" s="14" t="s">
        <v>92</v>
      </c>
      <c r="E20" s="14"/>
      <c r="F20" s="117"/>
      <c r="G20" s="14"/>
      <c r="H20" s="14"/>
      <c r="I20" s="62" t="s">
        <v>270</v>
      </c>
      <c r="J20" s="62" t="s">
        <v>271</v>
      </c>
      <c r="K20" s="193" t="s">
        <v>124</v>
      </c>
      <c r="L20" s="193" t="s">
        <v>124</v>
      </c>
      <c r="M20" s="20"/>
    </row>
    <row r="21" spans="1:13" ht="36.75" customHeight="1">
      <c r="A21" s="296">
        <f t="shared" si="0"/>
        <v>18</v>
      </c>
      <c r="B21" s="14" t="s">
        <v>272</v>
      </c>
      <c r="C21" s="62" t="s">
        <v>273</v>
      </c>
      <c r="D21" s="14" t="s">
        <v>50</v>
      </c>
      <c r="E21" s="14"/>
      <c r="F21" s="117"/>
      <c r="G21" s="14"/>
      <c r="H21" s="14"/>
      <c r="I21" s="62" t="s">
        <v>274</v>
      </c>
      <c r="J21" s="62" t="s">
        <v>275</v>
      </c>
      <c r="K21" s="193" t="s">
        <v>124</v>
      </c>
      <c r="L21" s="193" t="s">
        <v>124</v>
      </c>
      <c r="M21" s="20"/>
    </row>
    <row r="22" spans="1:13" ht="77.25" customHeight="1">
      <c r="A22" s="296">
        <f t="shared" si="0"/>
        <v>19</v>
      </c>
      <c r="B22" s="14" t="s">
        <v>276</v>
      </c>
      <c r="C22" s="62" t="s">
        <v>277</v>
      </c>
      <c r="D22" s="14" t="s">
        <v>92</v>
      </c>
      <c r="E22" s="14"/>
      <c r="F22" s="117"/>
      <c r="G22" s="14"/>
      <c r="H22" s="14"/>
      <c r="I22" s="62" t="s">
        <v>278</v>
      </c>
      <c r="J22" s="62" t="s">
        <v>279</v>
      </c>
      <c r="K22" s="193" t="s">
        <v>124</v>
      </c>
      <c r="L22" s="193" t="s">
        <v>124</v>
      </c>
      <c r="M22" s="20"/>
    </row>
    <row r="23" spans="1:13">
      <c r="A23" s="296">
        <f t="shared" si="0"/>
        <v>20</v>
      </c>
      <c r="B23" s="14" t="s">
        <v>280</v>
      </c>
      <c r="C23" s="62" t="s">
        <v>281</v>
      </c>
      <c r="D23" s="14" t="s">
        <v>92</v>
      </c>
      <c r="E23" s="14"/>
      <c r="F23" s="117"/>
      <c r="G23" s="14"/>
      <c r="H23" s="14"/>
      <c r="I23" s="62" t="s">
        <v>282</v>
      </c>
      <c r="J23" s="182" t="s">
        <v>16</v>
      </c>
      <c r="K23" s="231" t="s">
        <v>124</v>
      </c>
      <c r="L23" s="231" t="s">
        <v>124</v>
      </c>
      <c r="M23" s="20"/>
    </row>
    <row r="24" spans="1:13" ht="39.75" customHeight="1">
      <c r="A24" s="40">
        <f t="shared" si="0"/>
        <v>21</v>
      </c>
      <c r="B24" s="41" t="s">
        <v>283</v>
      </c>
      <c r="C24" s="89" t="s">
        <v>284</v>
      </c>
      <c r="D24" s="41" t="s">
        <v>92</v>
      </c>
      <c r="E24" s="41"/>
      <c r="F24" s="42"/>
      <c r="G24" s="41"/>
      <c r="H24" s="41"/>
      <c r="I24" s="89" t="s">
        <v>285</v>
      </c>
      <c r="J24" s="182" t="s">
        <v>16</v>
      </c>
      <c r="K24" s="231" t="s">
        <v>124</v>
      </c>
      <c r="L24" s="231" t="s">
        <v>124</v>
      </c>
      <c r="M24" s="53"/>
    </row>
    <row r="25" spans="1:13">
      <c r="A25" s="40">
        <f t="shared" si="0"/>
        <v>22</v>
      </c>
      <c r="B25" s="41" t="s">
        <v>286</v>
      </c>
      <c r="C25" s="89" t="s">
        <v>287</v>
      </c>
      <c r="D25" s="41" t="s">
        <v>46</v>
      </c>
      <c r="E25" s="41"/>
      <c r="F25" s="42"/>
      <c r="G25" s="41"/>
      <c r="H25" s="41"/>
      <c r="I25" s="89" t="s">
        <v>288</v>
      </c>
      <c r="J25" s="182" t="s">
        <v>16</v>
      </c>
      <c r="K25" s="231" t="s">
        <v>124</v>
      </c>
      <c r="L25" s="89" t="s">
        <v>289</v>
      </c>
      <c r="M25" s="53"/>
    </row>
    <row r="26" spans="1:13" ht="153.75" customHeight="1">
      <c r="A26" s="40">
        <f t="shared" si="0"/>
        <v>23</v>
      </c>
      <c r="B26" s="41" t="s">
        <v>290</v>
      </c>
      <c r="C26" s="89" t="s">
        <v>291</v>
      </c>
      <c r="D26" s="41" t="s">
        <v>92</v>
      </c>
      <c r="E26" s="41"/>
      <c r="F26" s="42"/>
      <c r="G26" s="41"/>
      <c r="H26" s="41"/>
      <c r="I26" s="89" t="s">
        <v>292</v>
      </c>
      <c r="J26" s="182" t="s">
        <v>16</v>
      </c>
      <c r="K26" s="182" t="s">
        <v>16</v>
      </c>
      <c r="L26" s="89" t="s">
        <v>262</v>
      </c>
      <c r="M26" s="53"/>
    </row>
    <row r="27" spans="1:13" ht="18" customHeight="1">
      <c r="A27" s="40">
        <f t="shared" si="0"/>
        <v>24</v>
      </c>
      <c r="B27" s="41" t="s">
        <v>293</v>
      </c>
      <c r="C27" s="89" t="s">
        <v>294</v>
      </c>
      <c r="D27" s="41" t="s">
        <v>46</v>
      </c>
      <c r="E27" s="41"/>
      <c r="F27" s="42"/>
      <c r="G27" s="41"/>
      <c r="H27" s="41"/>
      <c r="I27" s="89"/>
      <c r="J27" s="182" t="s">
        <v>16</v>
      </c>
      <c r="K27" s="182" t="s">
        <v>16</v>
      </c>
      <c r="L27" s="89" t="s">
        <v>295</v>
      </c>
      <c r="M27" s="53"/>
    </row>
    <row r="28" spans="1:13" ht="18" customHeight="1">
      <c r="A28" s="40">
        <f t="shared" si="0"/>
        <v>25</v>
      </c>
      <c r="B28" s="41" t="s">
        <v>296</v>
      </c>
      <c r="C28" s="89" t="s">
        <v>297</v>
      </c>
      <c r="D28" s="41" t="s">
        <v>54</v>
      </c>
      <c r="E28" s="41"/>
      <c r="F28" s="42"/>
      <c r="G28" s="41"/>
      <c r="H28" s="41"/>
      <c r="I28" s="176" t="s">
        <v>298</v>
      </c>
      <c r="J28" s="182" t="s">
        <v>16</v>
      </c>
      <c r="K28" s="182" t="s">
        <v>16</v>
      </c>
      <c r="L28" s="176" t="s">
        <v>299</v>
      </c>
      <c r="M28" s="298"/>
    </row>
    <row r="29" spans="1:13" ht="18" customHeight="1">
      <c r="A29" s="40">
        <f t="shared" si="0"/>
        <v>26</v>
      </c>
      <c r="B29" s="41" t="s">
        <v>300</v>
      </c>
      <c r="C29" s="89" t="s">
        <v>301</v>
      </c>
      <c r="D29" s="41" t="s">
        <v>54</v>
      </c>
      <c r="E29" s="41"/>
      <c r="F29" s="42"/>
      <c r="G29" s="41"/>
      <c r="H29" s="41"/>
      <c r="I29" s="176" t="s">
        <v>298</v>
      </c>
      <c r="J29" s="182" t="s">
        <v>16</v>
      </c>
      <c r="K29" s="182" t="s">
        <v>16</v>
      </c>
      <c r="L29" s="176" t="s">
        <v>299</v>
      </c>
      <c r="M29" s="298"/>
    </row>
    <row r="30" spans="1:13" ht="39" customHeight="1">
      <c r="A30" s="40">
        <f t="shared" si="0"/>
        <v>27</v>
      </c>
      <c r="B30" s="41" t="s">
        <v>302</v>
      </c>
      <c r="C30" s="89" t="s">
        <v>303</v>
      </c>
      <c r="D30" s="41" t="s">
        <v>304</v>
      </c>
      <c r="E30" s="41"/>
      <c r="F30" s="42"/>
      <c r="G30" s="41"/>
      <c r="H30" s="41"/>
      <c r="I30" s="89"/>
      <c r="J30" s="89" t="s">
        <v>305</v>
      </c>
      <c r="K30" s="193" t="s">
        <v>124</v>
      </c>
      <c r="L30" s="193" t="s">
        <v>124</v>
      </c>
      <c r="M30" s="53"/>
    </row>
    <row r="31" spans="1:13" ht="27">
      <c r="A31" s="40">
        <f t="shared" si="0"/>
        <v>28</v>
      </c>
      <c r="B31" s="41" t="s">
        <v>306</v>
      </c>
      <c r="C31" s="89" t="s">
        <v>307</v>
      </c>
      <c r="D31" s="41" t="s">
        <v>92</v>
      </c>
      <c r="E31" s="41"/>
      <c r="F31" s="42"/>
      <c r="G31" s="41"/>
      <c r="H31" s="41"/>
      <c r="I31" s="89" t="s">
        <v>308</v>
      </c>
      <c r="J31" s="182" t="s">
        <v>16</v>
      </c>
      <c r="K31" s="182" t="s">
        <v>16</v>
      </c>
      <c r="L31" s="182" t="s">
        <v>16</v>
      </c>
      <c r="M31" s="53"/>
    </row>
    <row r="32" spans="1:13" ht="67.5">
      <c r="A32" s="40">
        <f t="shared" si="0"/>
        <v>29</v>
      </c>
      <c r="B32" s="41" t="s">
        <v>309</v>
      </c>
      <c r="C32" s="89" t="s">
        <v>310</v>
      </c>
      <c r="D32" s="41" t="s">
        <v>46</v>
      </c>
      <c r="E32" s="41"/>
      <c r="F32" s="42"/>
      <c r="G32" s="41"/>
      <c r="H32" s="41"/>
      <c r="I32" s="89" t="s">
        <v>311</v>
      </c>
      <c r="J32" s="182" t="s">
        <v>16</v>
      </c>
      <c r="K32" s="182" t="s">
        <v>16</v>
      </c>
      <c r="L32" s="182" t="s">
        <v>16</v>
      </c>
      <c r="M32" s="53"/>
    </row>
    <row r="33" spans="1:13" ht="70.5" customHeight="1">
      <c r="A33" s="40">
        <f t="shared" si="0"/>
        <v>30</v>
      </c>
      <c r="B33" s="41" t="s">
        <v>312</v>
      </c>
      <c r="C33" s="89" t="s">
        <v>313</v>
      </c>
      <c r="D33" s="41" t="s">
        <v>46</v>
      </c>
      <c r="E33" s="41"/>
      <c r="F33" s="42"/>
      <c r="G33" s="41"/>
      <c r="H33" s="41"/>
      <c r="I33" s="89"/>
      <c r="J33" s="62" t="s">
        <v>314</v>
      </c>
      <c r="K33" s="193" t="s">
        <v>124</v>
      </c>
      <c r="L33" s="89" t="s">
        <v>315</v>
      </c>
      <c r="M33" s="53"/>
    </row>
    <row r="34" spans="1:13" ht="51" customHeight="1">
      <c r="A34" s="40">
        <f t="shared" si="0"/>
        <v>31</v>
      </c>
      <c r="B34" s="41" t="s">
        <v>316</v>
      </c>
      <c r="C34" s="89" t="s">
        <v>317</v>
      </c>
      <c r="D34" s="41" t="s">
        <v>166</v>
      </c>
      <c r="E34" s="41"/>
      <c r="F34" s="42"/>
      <c r="G34" s="41"/>
      <c r="H34" s="41"/>
      <c r="I34" s="89"/>
      <c r="J34" s="182" t="s">
        <v>318</v>
      </c>
      <c r="K34" s="193" t="s">
        <v>124</v>
      </c>
      <c r="L34" s="193" t="s">
        <v>124</v>
      </c>
      <c r="M34" s="53"/>
    </row>
    <row r="35" spans="1:13" ht="40.5">
      <c r="A35" s="40">
        <f t="shared" si="0"/>
        <v>32</v>
      </c>
      <c r="B35" s="41" t="s">
        <v>319</v>
      </c>
      <c r="C35" s="89" t="s">
        <v>320</v>
      </c>
      <c r="D35" s="41" t="s">
        <v>70</v>
      </c>
      <c r="E35" s="41"/>
      <c r="F35" s="42"/>
      <c r="G35" s="41"/>
      <c r="H35" s="41"/>
      <c r="I35" s="89" t="s">
        <v>321</v>
      </c>
      <c r="J35" s="89" t="s">
        <v>123</v>
      </c>
      <c r="K35" s="193" t="s">
        <v>124</v>
      </c>
      <c r="L35" s="193" t="s">
        <v>124</v>
      </c>
      <c r="M35" s="53"/>
    </row>
    <row r="36" spans="1:13" ht="27">
      <c r="A36" s="40">
        <f t="shared" si="0"/>
        <v>33</v>
      </c>
      <c r="B36" s="41" t="s">
        <v>322</v>
      </c>
      <c r="C36" s="89" t="s">
        <v>323</v>
      </c>
      <c r="D36" s="41" t="s">
        <v>46</v>
      </c>
      <c r="E36" s="41"/>
      <c r="F36" s="42"/>
      <c r="G36" s="41"/>
      <c r="H36" s="41"/>
      <c r="I36" s="89" t="s">
        <v>324</v>
      </c>
      <c r="J36" s="182" t="s">
        <v>16</v>
      </c>
      <c r="K36" s="182" t="s">
        <v>16</v>
      </c>
      <c r="L36" s="182" t="s">
        <v>16</v>
      </c>
      <c r="M36" s="53"/>
    </row>
    <row r="37" spans="1:13" ht="27">
      <c r="A37" s="40">
        <f t="shared" si="0"/>
        <v>34</v>
      </c>
      <c r="B37" s="41" t="s">
        <v>325</v>
      </c>
      <c r="C37" s="89" t="s">
        <v>326</v>
      </c>
      <c r="D37" s="41" t="s">
        <v>327</v>
      </c>
      <c r="E37" s="41"/>
      <c r="F37" s="42"/>
      <c r="G37" s="41"/>
      <c r="H37" s="41"/>
      <c r="I37" s="89" t="s">
        <v>328</v>
      </c>
      <c r="J37" s="89" t="s">
        <v>129</v>
      </c>
      <c r="K37" s="193" t="s">
        <v>124</v>
      </c>
      <c r="L37" s="193" t="s">
        <v>124</v>
      </c>
      <c r="M37" s="53"/>
    </row>
    <row r="38" spans="1:13">
      <c r="A38" s="40">
        <f t="shared" si="0"/>
        <v>35</v>
      </c>
      <c r="B38" s="41" t="s">
        <v>329</v>
      </c>
      <c r="C38" s="89" t="s">
        <v>330</v>
      </c>
      <c r="D38" s="41" t="s">
        <v>153</v>
      </c>
      <c r="E38" s="41"/>
      <c r="F38" s="42"/>
      <c r="G38" s="41"/>
      <c r="H38" s="41"/>
      <c r="I38" s="89"/>
      <c r="J38" s="89" t="s">
        <v>129</v>
      </c>
      <c r="K38" s="193" t="s">
        <v>124</v>
      </c>
      <c r="L38" s="193" t="s">
        <v>124</v>
      </c>
      <c r="M38" s="53"/>
    </row>
    <row r="39" spans="1:13">
      <c r="A39" s="40">
        <f t="shared" si="0"/>
        <v>36</v>
      </c>
      <c r="B39" s="41" t="s">
        <v>331</v>
      </c>
      <c r="C39" s="89" t="s">
        <v>332</v>
      </c>
      <c r="D39" s="41" t="s">
        <v>304</v>
      </c>
      <c r="E39" s="41"/>
      <c r="F39" s="42"/>
      <c r="G39" s="41"/>
      <c r="H39" s="41"/>
      <c r="I39" s="89" t="s">
        <v>333</v>
      </c>
      <c r="J39" s="89" t="s">
        <v>334</v>
      </c>
      <c r="K39" s="193" t="s">
        <v>124</v>
      </c>
      <c r="L39" s="193" t="s">
        <v>124</v>
      </c>
      <c r="M39" s="53"/>
    </row>
    <row r="40" spans="1:13">
      <c r="A40" s="43">
        <f t="shared" si="0"/>
        <v>37</v>
      </c>
      <c r="B40" s="44" t="s">
        <v>335</v>
      </c>
      <c r="C40" s="48" t="s">
        <v>336</v>
      </c>
      <c r="D40" s="44" t="s">
        <v>304</v>
      </c>
      <c r="E40" s="44"/>
      <c r="F40" s="45"/>
      <c r="G40" s="44"/>
      <c r="H40" s="44"/>
      <c r="I40" s="48" t="s">
        <v>337</v>
      </c>
      <c r="J40" s="89" t="s">
        <v>338</v>
      </c>
      <c r="K40" s="193" t="s">
        <v>124</v>
      </c>
      <c r="L40" s="193" t="s">
        <v>124</v>
      </c>
      <c r="M40" s="49"/>
    </row>
    <row r="41" spans="1:13">
      <c r="A41" s="43">
        <f t="shared" si="0"/>
        <v>38</v>
      </c>
      <c r="B41" s="44" t="s">
        <v>339</v>
      </c>
      <c r="C41" s="48" t="s">
        <v>340</v>
      </c>
      <c r="D41" s="44" t="s">
        <v>70</v>
      </c>
      <c r="E41" s="44"/>
      <c r="F41" s="45"/>
      <c r="G41" s="44"/>
      <c r="H41" s="44"/>
      <c r="I41" s="48"/>
      <c r="J41" s="89" t="s">
        <v>341</v>
      </c>
      <c r="K41" s="193" t="s">
        <v>124</v>
      </c>
      <c r="L41" s="193" t="s">
        <v>124</v>
      </c>
      <c r="M41" s="49"/>
    </row>
    <row r="42" spans="1:13">
      <c r="A42" s="43">
        <f t="shared" si="0"/>
        <v>39</v>
      </c>
      <c r="B42" s="44" t="s">
        <v>342</v>
      </c>
      <c r="C42" s="48" t="s">
        <v>343</v>
      </c>
      <c r="D42" s="44" t="s">
        <v>146</v>
      </c>
      <c r="E42" s="44"/>
      <c r="F42" s="45"/>
      <c r="G42" s="44"/>
      <c r="H42" s="44"/>
      <c r="I42" s="48" t="s">
        <v>344</v>
      </c>
      <c r="J42" s="89" t="s">
        <v>345</v>
      </c>
      <c r="K42" s="193" t="s">
        <v>124</v>
      </c>
      <c r="L42" s="193" t="s">
        <v>124</v>
      </c>
      <c r="M42" s="49"/>
    </row>
    <row r="43" spans="1:13" ht="41.25" customHeight="1">
      <c r="A43" s="43">
        <f t="shared" si="0"/>
        <v>40</v>
      </c>
      <c r="B43" s="44" t="s">
        <v>346</v>
      </c>
      <c r="C43" s="48" t="s">
        <v>347</v>
      </c>
      <c r="D43" s="44" t="s">
        <v>146</v>
      </c>
      <c r="E43" s="44"/>
      <c r="F43" s="45"/>
      <c r="G43" s="44"/>
      <c r="H43" s="44"/>
      <c r="I43" s="48" t="s">
        <v>348</v>
      </c>
      <c r="J43" s="48" t="s">
        <v>349</v>
      </c>
      <c r="K43" s="193" t="s">
        <v>124</v>
      </c>
      <c r="L43" s="193" t="s">
        <v>124</v>
      </c>
      <c r="M43" s="49"/>
    </row>
    <row r="44" spans="1:13" ht="94.5">
      <c r="A44" s="43">
        <f t="shared" si="0"/>
        <v>41</v>
      </c>
      <c r="B44" s="44" t="s">
        <v>350</v>
      </c>
      <c r="C44" s="48" t="s">
        <v>351</v>
      </c>
      <c r="D44" s="44" t="s">
        <v>92</v>
      </c>
      <c r="E44" s="44"/>
      <c r="F44" s="45"/>
      <c r="G44" s="44"/>
      <c r="H44" s="44"/>
      <c r="I44" s="176" t="s">
        <v>352</v>
      </c>
      <c r="J44" s="48" t="s">
        <v>353</v>
      </c>
      <c r="K44" s="193" t="s">
        <v>124</v>
      </c>
      <c r="L44" s="193" t="s">
        <v>124</v>
      </c>
      <c r="M44" s="298"/>
    </row>
    <row r="45" spans="1:13" ht="27">
      <c r="A45" s="43">
        <f t="shared" si="0"/>
        <v>42</v>
      </c>
      <c r="B45" s="44" t="s">
        <v>354</v>
      </c>
      <c r="C45" s="48" t="s">
        <v>355</v>
      </c>
      <c r="D45" s="44" t="s">
        <v>166</v>
      </c>
      <c r="E45" s="44"/>
      <c r="F45" s="45"/>
      <c r="G45" s="44"/>
      <c r="H45" s="44"/>
      <c r="I45" s="48" t="s">
        <v>356</v>
      </c>
      <c r="J45" s="48" t="s">
        <v>341</v>
      </c>
      <c r="K45" s="193" t="s">
        <v>124</v>
      </c>
      <c r="L45" s="193" t="s">
        <v>124</v>
      </c>
      <c r="M45" s="49"/>
    </row>
    <row r="46" spans="1:13" s="314" customFormat="1">
      <c r="A46" s="309">
        <f t="shared" si="0"/>
        <v>43</v>
      </c>
      <c r="B46" s="310" t="s">
        <v>357</v>
      </c>
      <c r="C46" s="284" t="s">
        <v>358</v>
      </c>
      <c r="D46" s="310" t="s">
        <v>46</v>
      </c>
      <c r="E46" s="310"/>
      <c r="F46" s="311"/>
      <c r="G46" s="310"/>
      <c r="H46" s="310"/>
      <c r="I46" s="284"/>
      <c r="J46" s="284" t="s">
        <v>359</v>
      </c>
      <c r="K46" s="312" t="s">
        <v>124</v>
      </c>
      <c r="L46" s="284" t="s">
        <v>360</v>
      </c>
      <c r="M46" s="313"/>
    </row>
    <row r="47" spans="1:13" s="314" customFormat="1">
      <c r="A47" s="309">
        <f t="shared" si="0"/>
        <v>44</v>
      </c>
      <c r="B47" s="310" t="s">
        <v>361</v>
      </c>
      <c r="C47" s="284" t="s">
        <v>362</v>
      </c>
      <c r="D47" s="310" t="s">
        <v>66</v>
      </c>
      <c r="E47" s="310"/>
      <c r="F47" s="311"/>
      <c r="G47" s="310"/>
      <c r="H47" s="310"/>
      <c r="I47" s="284"/>
      <c r="J47" s="284" t="s">
        <v>359</v>
      </c>
      <c r="K47" s="312" t="s">
        <v>124</v>
      </c>
      <c r="L47" s="284" t="s">
        <v>360</v>
      </c>
      <c r="M47" s="313"/>
    </row>
    <row r="48" spans="1:13" s="314" customFormat="1" ht="27">
      <c r="A48" s="309">
        <f t="shared" si="0"/>
        <v>45</v>
      </c>
      <c r="B48" s="310" t="s">
        <v>363</v>
      </c>
      <c r="C48" s="284" t="s">
        <v>364</v>
      </c>
      <c r="D48" s="310" t="s">
        <v>46</v>
      </c>
      <c r="E48" s="310"/>
      <c r="F48" s="311"/>
      <c r="G48" s="310"/>
      <c r="H48" s="310"/>
      <c r="I48" s="284"/>
      <c r="J48" s="284" t="s">
        <v>359</v>
      </c>
      <c r="K48" s="312" t="s">
        <v>124</v>
      </c>
      <c r="L48" s="284" t="s">
        <v>360</v>
      </c>
      <c r="M48" s="313"/>
    </row>
    <row r="49" spans="1:13" s="314" customFormat="1" ht="27">
      <c r="A49" s="309">
        <f t="shared" si="0"/>
        <v>46</v>
      </c>
      <c r="B49" s="310" t="s">
        <v>365</v>
      </c>
      <c r="C49" s="284" t="s">
        <v>366</v>
      </c>
      <c r="D49" s="310" t="s">
        <v>166</v>
      </c>
      <c r="E49" s="310"/>
      <c r="F49" s="311"/>
      <c r="G49" s="310"/>
      <c r="H49" s="310"/>
      <c r="I49" s="284" t="s">
        <v>367</v>
      </c>
      <c r="J49" s="284" t="s">
        <v>359</v>
      </c>
      <c r="K49" s="312" t="s">
        <v>124</v>
      </c>
      <c r="L49" s="284" t="s">
        <v>360</v>
      </c>
      <c r="M49" s="313"/>
    </row>
    <row r="50" spans="1:13" ht="33.75" customHeight="1">
      <c r="A50" s="320">
        <f>ROW() - 3</f>
        <v>47</v>
      </c>
      <c r="B50" s="31" t="s">
        <v>368</v>
      </c>
      <c r="C50" s="63" t="s">
        <v>369</v>
      </c>
      <c r="D50" s="31" t="s">
        <v>66</v>
      </c>
      <c r="E50" s="31"/>
      <c r="F50" s="321"/>
      <c r="G50" s="31"/>
      <c r="H50" s="31"/>
      <c r="I50" s="63" t="s">
        <v>370</v>
      </c>
      <c r="J50" s="48" t="s">
        <v>371</v>
      </c>
      <c r="K50" s="193" t="s">
        <v>124</v>
      </c>
      <c r="L50" s="193" t="s">
        <v>124</v>
      </c>
      <c r="M50" s="323"/>
    </row>
    <row r="51" spans="1:13" ht="33.75" customHeight="1">
      <c r="A51" s="43">
        <f t="shared" si="0"/>
        <v>48</v>
      </c>
      <c r="B51" s="44" t="s">
        <v>372</v>
      </c>
      <c r="C51" s="48" t="s">
        <v>373</v>
      </c>
      <c r="D51" s="44" t="s">
        <v>166</v>
      </c>
      <c r="E51" s="44"/>
      <c r="F51" s="45"/>
      <c r="G51" s="44"/>
      <c r="H51" s="44"/>
      <c r="I51" s="48" t="s">
        <v>374</v>
      </c>
      <c r="J51" s="48" t="s">
        <v>341</v>
      </c>
      <c r="K51" s="193" t="s">
        <v>124</v>
      </c>
      <c r="L51" s="193" t="s">
        <v>124</v>
      </c>
      <c r="M51" s="49"/>
    </row>
    <row r="52" spans="1:13" ht="64.5" customHeight="1">
      <c r="A52" s="43">
        <f t="shared" si="0"/>
        <v>49</v>
      </c>
      <c r="B52" s="44" t="s">
        <v>375</v>
      </c>
      <c r="C52" s="48" t="s">
        <v>376</v>
      </c>
      <c r="D52" s="44" t="s">
        <v>46</v>
      </c>
      <c r="E52" s="44"/>
      <c r="F52" s="45"/>
      <c r="G52" s="44"/>
      <c r="H52" s="44"/>
      <c r="I52" s="48"/>
      <c r="J52" s="182" t="s">
        <v>377</v>
      </c>
      <c r="K52" s="193" t="s">
        <v>124</v>
      </c>
      <c r="L52" s="48" t="s">
        <v>378</v>
      </c>
      <c r="M52" s="49"/>
    </row>
    <row r="53" spans="1:13">
      <c r="A53" s="43">
        <f t="shared" si="0"/>
        <v>50</v>
      </c>
      <c r="B53" s="44" t="s">
        <v>379</v>
      </c>
      <c r="C53" s="48" t="s">
        <v>380</v>
      </c>
      <c r="D53" s="44" t="s">
        <v>92</v>
      </c>
      <c r="E53" s="44"/>
      <c r="F53" s="45"/>
      <c r="G53" s="44"/>
      <c r="H53" s="44"/>
      <c r="I53" s="48"/>
      <c r="J53" s="182" t="s">
        <v>16</v>
      </c>
      <c r="K53" s="193" t="s">
        <v>124</v>
      </c>
      <c r="L53" s="48" t="s">
        <v>381</v>
      </c>
      <c r="M53" s="49"/>
    </row>
    <row r="54" spans="1:13" ht="54">
      <c r="A54" s="43">
        <f t="shared" si="0"/>
        <v>51</v>
      </c>
      <c r="B54" s="44" t="s">
        <v>382</v>
      </c>
      <c r="C54" s="48" t="s">
        <v>383</v>
      </c>
      <c r="D54" s="44" t="s">
        <v>46</v>
      </c>
      <c r="E54" s="44"/>
      <c r="F54" s="45"/>
      <c r="G54" s="44"/>
      <c r="H54" s="44"/>
      <c r="I54" s="48"/>
      <c r="J54" s="48" t="s">
        <v>384</v>
      </c>
      <c r="K54" s="193" t="s">
        <v>124</v>
      </c>
      <c r="L54" s="48" t="s">
        <v>385</v>
      </c>
      <c r="M54" s="49"/>
    </row>
    <row r="55" spans="1:13" ht="27">
      <c r="A55" s="43">
        <f t="shared" si="0"/>
        <v>52</v>
      </c>
      <c r="B55" s="44" t="s">
        <v>386</v>
      </c>
      <c r="C55" s="48" t="s">
        <v>387</v>
      </c>
      <c r="D55" s="44" t="s">
        <v>66</v>
      </c>
      <c r="E55" s="44"/>
      <c r="F55" s="45"/>
      <c r="G55" s="44"/>
      <c r="H55" s="44"/>
      <c r="I55" s="48"/>
      <c r="J55" s="48" t="s">
        <v>388</v>
      </c>
      <c r="K55" s="193" t="s">
        <v>124</v>
      </c>
      <c r="L55" s="48" t="s">
        <v>389</v>
      </c>
      <c r="M55" s="49"/>
    </row>
    <row r="56" spans="1:13" ht="32.25" customHeight="1">
      <c r="A56" s="291">
        <f t="shared" si="0"/>
        <v>53</v>
      </c>
      <c r="B56" s="90" t="s">
        <v>390</v>
      </c>
      <c r="C56" s="91" t="s">
        <v>391</v>
      </c>
      <c r="D56" s="90" t="s">
        <v>146</v>
      </c>
      <c r="E56" s="90"/>
      <c r="F56" s="92"/>
      <c r="G56" s="90"/>
      <c r="H56" s="90"/>
      <c r="I56" s="91" t="s">
        <v>392</v>
      </c>
      <c r="J56" s="91" t="s">
        <v>393</v>
      </c>
      <c r="K56" s="193" t="s">
        <v>124</v>
      </c>
      <c r="L56" s="91" t="s">
        <v>394</v>
      </c>
      <c r="M56" s="299"/>
    </row>
    <row r="57" spans="1:13" ht="32.25" customHeight="1">
      <c r="A57" s="40">
        <f>ROW() - 3</f>
        <v>54</v>
      </c>
      <c r="B57" s="41" t="s">
        <v>395</v>
      </c>
      <c r="C57" s="89" t="s">
        <v>396</v>
      </c>
      <c r="D57" s="41" t="s">
        <v>166</v>
      </c>
      <c r="E57" s="41"/>
      <c r="F57" s="42"/>
      <c r="G57" s="41"/>
      <c r="H57" s="41"/>
      <c r="I57" s="89" t="s">
        <v>397</v>
      </c>
      <c r="J57" s="89" t="s">
        <v>398</v>
      </c>
      <c r="K57" s="193" t="s">
        <v>124</v>
      </c>
      <c r="L57" s="89" t="s">
        <v>399</v>
      </c>
      <c r="M57" s="53"/>
    </row>
    <row r="58" spans="1:13" s="314" customFormat="1" ht="27">
      <c r="A58" s="315">
        <f t="shared" si="0"/>
        <v>55</v>
      </c>
      <c r="B58" s="316" t="s">
        <v>400</v>
      </c>
      <c r="C58" s="317" t="s">
        <v>401</v>
      </c>
      <c r="D58" s="316" t="s">
        <v>146</v>
      </c>
      <c r="E58" s="316"/>
      <c r="F58" s="318"/>
      <c r="G58" s="316"/>
      <c r="H58" s="316"/>
      <c r="I58" s="317" t="s">
        <v>402</v>
      </c>
      <c r="J58" s="284" t="s">
        <v>359</v>
      </c>
      <c r="K58" s="312" t="s">
        <v>124</v>
      </c>
      <c r="L58" s="317" t="s">
        <v>360</v>
      </c>
      <c r="M58" s="319"/>
    </row>
    <row r="59" spans="1:13" s="52" customFormat="1" ht="27">
      <c r="A59" s="292">
        <f t="shared" si="0"/>
        <v>56</v>
      </c>
      <c r="B59" s="93" t="s">
        <v>403</v>
      </c>
      <c r="C59" s="94" t="s">
        <v>404</v>
      </c>
      <c r="D59" s="93" t="s">
        <v>146</v>
      </c>
      <c r="E59" s="93"/>
      <c r="F59" s="95"/>
      <c r="G59" s="93"/>
      <c r="H59" s="93"/>
      <c r="I59" s="94"/>
      <c r="J59" s="91" t="s">
        <v>405</v>
      </c>
      <c r="K59" s="193" t="s">
        <v>124</v>
      </c>
      <c r="L59" s="94" t="s">
        <v>406</v>
      </c>
      <c r="M59" s="300"/>
    </row>
    <row r="60" spans="1:13" s="101" customFormat="1" ht="27">
      <c r="A60" s="331">
        <f t="shared" si="0"/>
        <v>57</v>
      </c>
      <c r="B60" s="285" t="s">
        <v>407</v>
      </c>
      <c r="C60" s="100" t="s">
        <v>408</v>
      </c>
      <c r="D60" s="285" t="s">
        <v>70</v>
      </c>
      <c r="E60" s="285"/>
      <c r="F60" s="332"/>
      <c r="G60" s="285"/>
      <c r="H60" s="285"/>
      <c r="I60" s="100" t="s">
        <v>409</v>
      </c>
      <c r="J60" s="89" t="s">
        <v>398</v>
      </c>
      <c r="K60" s="193" t="s">
        <v>124</v>
      </c>
      <c r="L60" s="100" t="s">
        <v>399</v>
      </c>
      <c r="M60" s="333"/>
    </row>
    <row r="61" spans="1:13" ht="27">
      <c r="A61" s="293">
        <f t="shared" si="0"/>
        <v>58</v>
      </c>
      <c r="B61" s="96" t="s">
        <v>410</v>
      </c>
      <c r="C61" s="97" t="s">
        <v>411</v>
      </c>
      <c r="D61" s="96" t="s">
        <v>70</v>
      </c>
      <c r="E61" s="96"/>
      <c r="F61" s="98"/>
      <c r="G61" s="96"/>
      <c r="H61" s="96"/>
      <c r="I61" s="97" t="s">
        <v>412</v>
      </c>
      <c r="J61" s="89" t="s">
        <v>398</v>
      </c>
      <c r="K61" s="193" t="s">
        <v>124</v>
      </c>
      <c r="L61" s="97" t="s">
        <v>399</v>
      </c>
      <c r="M61" s="301"/>
    </row>
    <row r="62" spans="1:13" s="99" customFormat="1" ht="54">
      <c r="A62" s="334">
        <f t="shared" si="0"/>
        <v>59</v>
      </c>
      <c r="B62" s="335" t="s">
        <v>413</v>
      </c>
      <c r="C62" s="177" t="s">
        <v>414</v>
      </c>
      <c r="D62" s="335" t="s">
        <v>153</v>
      </c>
      <c r="E62" s="335"/>
      <c r="F62" s="336"/>
      <c r="G62" s="335"/>
      <c r="H62" s="335"/>
      <c r="I62" s="177" t="s">
        <v>415</v>
      </c>
      <c r="J62" s="89" t="s">
        <v>416</v>
      </c>
      <c r="K62" s="193" t="s">
        <v>124</v>
      </c>
      <c r="L62" s="89" t="s">
        <v>416</v>
      </c>
      <c r="M62" s="302"/>
    </row>
    <row r="63" spans="1:13" s="101" customFormat="1" ht="40.5">
      <c r="A63" s="293">
        <f t="shared" si="0"/>
        <v>60</v>
      </c>
      <c r="B63" s="1" t="s">
        <v>417</v>
      </c>
      <c r="C63" s="114"/>
      <c r="D63" s="115"/>
      <c r="E63" s="30"/>
      <c r="F63" s="116"/>
      <c r="G63" s="30"/>
      <c r="H63" s="30"/>
      <c r="I63" s="114" t="s">
        <v>418</v>
      </c>
      <c r="J63" s="89" t="s">
        <v>262</v>
      </c>
      <c r="K63" s="193" t="s">
        <v>124</v>
      </c>
      <c r="L63" s="220" t="s">
        <v>419</v>
      </c>
      <c r="M63" s="303"/>
    </row>
    <row r="64" spans="1:13" s="101" customFormat="1" ht="40.5">
      <c r="A64" s="293">
        <f t="shared" si="0"/>
        <v>61</v>
      </c>
      <c r="B64" s="1" t="s">
        <v>420</v>
      </c>
      <c r="C64" s="114"/>
      <c r="D64" s="115"/>
      <c r="E64" s="30"/>
      <c r="F64" s="116"/>
      <c r="G64" s="30"/>
      <c r="H64" s="30"/>
      <c r="I64" s="114" t="s">
        <v>421</v>
      </c>
      <c r="J64" s="89" t="s">
        <v>393</v>
      </c>
      <c r="K64" s="193" t="s">
        <v>124</v>
      </c>
      <c r="L64" s="220" t="s">
        <v>422</v>
      </c>
      <c r="M64" s="303"/>
    </row>
    <row r="65" spans="1:13">
      <c r="A65" s="293">
        <f t="shared" si="0"/>
        <v>62</v>
      </c>
      <c r="B65" s="41" t="s">
        <v>423</v>
      </c>
      <c r="C65" s="89" t="s">
        <v>424</v>
      </c>
      <c r="D65" s="41" t="s">
        <v>46</v>
      </c>
      <c r="E65" s="41"/>
      <c r="F65" s="42"/>
      <c r="G65" s="41"/>
      <c r="H65" s="41"/>
      <c r="I65" s="89" t="s">
        <v>425</v>
      </c>
      <c r="J65" s="182" t="s">
        <v>16</v>
      </c>
      <c r="K65" s="182" t="s">
        <v>16</v>
      </c>
      <c r="L65" s="182" t="s">
        <v>16</v>
      </c>
      <c r="M65" s="53"/>
    </row>
    <row r="66" spans="1:13">
      <c r="A66" s="293">
        <f t="shared" si="0"/>
        <v>63</v>
      </c>
      <c r="B66" s="41" t="s">
        <v>426</v>
      </c>
      <c r="C66" s="89" t="s">
        <v>427</v>
      </c>
      <c r="D66" s="41" t="s">
        <v>46</v>
      </c>
      <c r="E66" s="41"/>
      <c r="F66" s="42"/>
      <c r="G66" s="41"/>
      <c r="H66" s="41"/>
      <c r="I66" s="89" t="s">
        <v>428</v>
      </c>
      <c r="J66" s="182" t="s">
        <v>16</v>
      </c>
      <c r="K66" s="182" t="s">
        <v>16</v>
      </c>
      <c r="L66" s="182" t="s">
        <v>16</v>
      </c>
      <c r="M66" s="53"/>
    </row>
    <row r="67" spans="1:13" s="52" customFormat="1" ht="53.25" customHeight="1">
      <c r="A67" s="293">
        <f t="shared" si="0"/>
        <v>64</v>
      </c>
      <c r="B67" s="41" t="s">
        <v>429</v>
      </c>
      <c r="C67" s="89" t="s">
        <v>430</v>
      </c>
      <c r="D67" s="41" t="s">
        <v>70</v>
      </c>
      <c r="E67" s="41"/>
      <c r="F67" s="42"/>
      <c r="G67" s="41"/>
      <c r="H67" s="41"/>
      <c r="I67" s="89" t="s">
        <v>431</v>
      </c>
      <c r="J67" s="89" t="s">
        <v>432</v>
      </c>
      <c r="K67" s="193" t="s">
        <v>124</v>
      </c>
      <c r="L67" s="193" t="s">
        <v>124</v>
      </c>
      <c r="M67" s="53"/>
    </row>
    <row r="68" spans="1:13" s="52" customFormat="1" ht="27">
      <c r="A68" s="293">
        <f t="shared" si="0"/>
        <v>65</v>
      </c>
      <c r="B68" s="41" t="s">
        <v>433</v>
      </c>
      <c r="C68" s="89" t="s">
        <v>434</v>
      </c>
      <c r="D68" s="41" t="s">
        <v>46</v>
      </c>
      <c r="E68" s="41"/>
      <c r="F68" s="42"/>
      <c r="G68" s="41"/>
      <c r="H68" s="41"/>
      <c r="I68" s="89" t="s">
        <v>435</v>
      </c>
      <c r="J68" s="206" t="s">
        <v>436</v>
      </c>
      <c r="K68" s="182" t="s">
        <v>16</v>
      </c>
      <c r="L68" s="182" t="s">
        <v>16</v>
      </c>
      <c r="M68" s="53"/>
    </row>
    <row r="69" spans="1:13" s="52" customFormat="1" ht="27">
      <c r="A69" s="293">
        <f t="shared" si="0"/>
        <v>66</v>
      </c>
      <c r="B69" s="41" t="s">
        <v>437</v>
      </c>
      <c r="C69" s="89" t="s">
        <v>438</v>
      </c>
      <c r="D69" s="41" t="s">
        <v>66</v>
      </c>
      <c r="E69" s="41"/>
      <c r="F69" s="42"/>
      <c r="G69" s="41"/>
      <c r="H69" s="41"/>
      <c r="I69" s="89" t="s">
        <v>439</v>
      </c>
      <c r="J69" s="206" t="s">
        <v>440</v>
      </c>
      <c r="K69" s="182" t="s">
        <v>16</v>
      </c>
      <c r="L69" s="182" t="s">
        <v>16</v>
      </c>
      <c r="M69" s="53"/>
    </row>
    <row r="70" spans="1:13" s="52" customFormat="1" ht="27">
      <c r="A70" s="293">
        <f t="shared" si="0"/>
        <v>67</v>
      </c>
      <c r="B70" s="41" t="s">
        <v>441</v>
      </c>
      <c r="C70" s="89" t="s">
        <v>442</v>
      </c>
      <c r="D70" s="41" t="s">
        <v>46</v>
      </c>
      <c r="E70" s="41"/>
      <c r="F70" s="42"/>
      <c r="G70" s="41"/>
      <c r="H70" s="41"/>
      <c r="I70" s="89" t="s">
        <v>443</v>
      </c>
      <c r="J70" s="206" t="s">
        <v>444</v>
      </c>
      <c r="K70" s="193" t="s">
        <v>124</v>
      </c>
      <c r="L70" s="89"/>
      <c r="M70" s="53"/>
    </row>
    <row r="71" spans="1:13" s="52" customFormat="1" ht="27">
      <c r="A71" s="293">
        <f t="shared" si="0"/>
        <v>68</v>
      </c>
      <c r="B71" s="41" t="s">
        <v>445</v>
      </c>
      <c r="C71" s="89" t="s">
        <v>446</v>
      </c>
      <c r="D71" s="41" t="s">
        <v>66</v>
      </c>
      <c r="E71" s="41"/>
      <c r="F71" s="42"/>
      <c r="G71" s="41"/>
      <c r="H71" s="41"/>
      <c r="I71" s="89" t="s">
        <v>447</v>
      </c>
      <c r="J71" s="206" t="s">
        <v>448</v>
      </c>
      <c r="K71" s="193" t="s">
        <v>124</v>
      </c>
      <c r="L71" s="89"/>
      <c r="M71" s="53"/>
    </row>
    <row r="72" spans="1:13" s="101" customFormat="1" ht="62.25" customHeight="1">
      <c r="A72" s="293">
        <f t="shared" ref="A72:A78" si="1">ROW() - 3</f>
        <v>69</v>
      </c>
      <c r="B72" s="1" t="s">
        <v>449</v>
      </c>
      <c r="C72" s="114"/>
      <c r="D72" s="115"/>
      <c r="E72" s="30"/>
      <c r="F72" s="116"/>
      <c r="G72" s="30"/>
      <c r="H72" s="30"/>
      <c r="I72" s="114"/>
      <c r="J72" s="182" t="s">
        <v>450</v>
      </c>
      <c r="K72" s="193" t="s">
        <v>124</v>
      </c>
      <c r="L72" s="114" t="s">
        <v>451</v>
      </c>
      <c r="M72" s="303"/>
    </row>
    <row r="73" spans="1:13" s="101" customFormat="1" ht="63" customHeight="1">
      <c r="A73" s="293">
        <f t="shared" si="1"/>
        <v>70</v>
      </c>
      <c r="B73" s="1" t="s">
        <v>452</v>
      </c>
      <c r="C73" s="114"/>
      <c r="D73" s="115"/>
      <c r="E73" s="30"/>
      <c r="F73" s="116"/>
      <c r="G73" s="30"/>
      <c r="H73" s="30"/>
      <c r="I73" s="114"/>
      <c r="J73" s="182"/>
      <c r="K73" s="193" t="s">
        <v>124</v>
      </c>
      <c r="L73" s="114" t="s">
        <v>453</v>
      </c>
      <c r="M73" s="303"/>
    </row>
    <row r="74" spans="1:13" s="101" customFormat="1" ht="67.5">
      <c r="A74" s="293">
        <f t="shared" si="1"/>
        <v>71</v>
      </c>
      <c r="B74" s="1" t="s">
        <v>454</v>
      </c>
      <c r="C74" s="114"/>
      <c r="D74" s="115"/>
      <c r="E74" s="30"/>
      <c r="F74" s="116"/>
      <c r="G74" s="30"/>
      <c r="H74" s="30"/>
      <c r="I74" s="62" t="s">
        <v>255</v>
      </c>
      <c r="J74" s="182" t="s">
        <v>450</v>
      </c>
      <c r="K74" s="193" t="s">
        <v>124</v>
      </c>
      <c r="L74" s="62" t="s">
        <v>455</v>
      </c>
      <c r="M74" s="20"/>
    </row>
    <row r="75" spans="1:13" s="101" customFormat="1" ht="59.25" customHeight="1">
      <c r="A75" s="293">
        <f t="shared" si="1"/>
        <v>72</v>
      </c>
      <c r="B75" s="1" t="s">
        <v>456</v>
      </c>
      <c r="C75" s="114"/>
      <c r="D75" s="115"/>
      <c r="E75" s="30"/>
      <c r="F75" s="116"/>
      <c r="G75" s="30"/>
      <c r="H75" s="30"/>
      <c r="I75" s="114"/>
      <c r="J75" s="182" t="s">
        <v>450</v>
      </c>
      <c r="K75" s="193" t="s">
        <v>124</v>
      </c>
      <c r="L75" s="114" t="s">
        <v>457</v>
      </c>
      <c r="M75" s="303"/>
    </row>
    <row r="76" spans="1:13" s="101" customFormat="1" ht="69.75" customHeight="1">
      <c r="A76" s="293">
        <f t="shared" si="1"/>
        <v>73</v>
      </c>
      <c r="B76" s="1" t="s">
        <v>458</v>
      </c>
      <c r="C76" s="114"/>
      <c r="D76" s="115"/>
      <c r="E76" s="30"/>
      <c r="F76" s="116"/>
      <c r="G76" s="30"/>
      <c r="H76" s="30"/>
      <c r="I76" s="114"/>
      <c r="J76" s="182" t="s">
        <v>450</v>
      </c>
      <c r="K76" s="193" t="s">
        <v>124</v>
      </c>
      <c r="L76" s="114" t="s">
        <v>459</v>
      </c>
      <c r="M76" s="303"/>
    </row>
    <row r="77" spans="1:13" s="101" customFormat="1" ht="96" customHeight="1">
      <c r="A77" s="293">
        <f t="shared" si="1"/>
        <v>74</v>
      </c>
      <c r="B77" s="1" t="s">
        <v>460</v>
      </c>
      <c r="C77" s="103"/>
      <c r="D77" s="104"/>
      <c r="E77" s="30"/>
      <c r="F77" s="116"/>
      <c r="G77" s="30"/>
      <c r="H77" s="30"/>
      <c r="I77" s="173" t="s">
        <v>461</v>
      </c>
      <c r="J77" s="182" t="s">
        <v>450</v>
      </c>
      <c r="K77" s="193" t="s">
        <v>124</v>
      </c>
      <c r="L77" s="173" t="s">
        <v>462</v>
      </c>
      <c r="M77" s="281"/>
    </row>
    <row r="78" spans="1:13" s="290" customFormat="1" ht="28.5" customHeight="1">
      <c r="A78" s="294">
        <f t="shared" si="1"/>
        <v>75</v>
      </c>
      <c r="B78" s="286" t="s">
        <v>463</v>
      </c>
      <c r="C78" s="287" t="s">
        <v>464</v>
      </c>
      <c r="D78" s="286" t="s">
        <v>465</v>
      </c>
      <c r="E78" s="286"/>
      <c r="F78" s="288"/>
      <c r="G78" s="286"/>
      <c r="H78" s="286"/>
      <c r="I78" s="289" t="s">
        <v>466</v>
      </c>
      <c r="J78" s="284" t="s">
        <v>359</v>
      </c>
      <c r="K78" s="308"/>
      <c r="L78" s="289" t="s">
        <v>467</v>
      </c>
      <c r="M78" s="304"/>
    </row>
    <row r="79" spans="1:13" s="290" customFormat="1" ht="28.5" customHeight="1">
      <c r="A79" s="295">
        <f>ROW() - 3</f>
        <v>76</v>
      </c>
      <c r="B79" s="286" t="s">
        <v>468</v>
      </c>
      <c r="C79" s="287" t="s">
        <v>469</v>
      </c>
      <c r="D79" s="286" t="s">
        <v>465</v>
      </c>
      <c r="E79" s="286"/>
      <c r="F79" s="288"/>
      <c r="G79" s="286"/>
      <c r="H79" s="286"/>
      <c r="I79" s="289" t="s">
        <v>470</v>
      </c>
      <c r="J79" s="284" t="s">
        <v>359</v>
      </c>
      <c r="K79" s="308"/>
      <c r="L79" s="289" t="s">
        <v>471</v>
      </c>
      <c r="M79" s="304"/>
    </row>
    <row r="80" spans="1:13" s="290" customFormat="1" ht="28.5" customHeight="1">
      <c r="A80" s="295">
        <f t="shared" ref="A80:A93" si="2">ROW() - 3</f>
        <v>77</v>
      </c>
      <c r="B80" s="286" t="s">
        <v>472</v>
      </c>
      <c r="C80" s="287" t="s">
        <v>473</v>
      </c>
      <c r="D80" s="286" t="s">
        <v>474</v>
      </c>
      <c r="E80" s="286"/>
      <c r="F80" s="288"/>
      <c r="G80" s="286"/>
      <c r="H80" s="286"/>
      <c r="I80" s="289" t="s">
        <v>475</v>
      </c>
      <c r="J80" s="284" t="s">
        <v>359</v>
      </c>
      <c r="K80" s="308"/>
      <c r="L80" s="289" t="s">
        <v>476</v>
      </c>
      <c r="M80" s="304"/>
    </row>
    <row r="81" spans="1:13" s="290" customFormat="1" ht="28.5" customHeight="1">
      <c r="A81" s="295">
        <f t="shared" si="2"/>
        <v>78</v>
      </c>
      <c r="B81" s="286" t="s">
        <v>477</v>
      </c>
      <c r="C81" s="287" t="s">
        <v>478</v>
      </c>
      <c r="D81" s="286" t="s">
        <v>474</v>
      </c>
      <c r="E81" s="286"/>
      <c r="F81" s="288"/>
      <c r="G81" s="286"/>
      <c r="H81" s="286"/>
      <c r="I81" s="289" t="s">
        <v>479</v>
      </c>
      <c r="J81" s="284" t="s">
        <v>359</v>
      </c>
      <c r="K81" s="308"/>
      <c r="L81" s="289" t="s">
        <v>480</v>
      </c>
      <c r="M81" s="304"/>
    </row>
    <row r="82" spans="1:13" s="290" customFormat="1" ht="28.5" customHeight="1">
      <c r="A82" s="295">
        <f t="shared" si="2"/>
        <v>79</v>
      </c>
      <c r="B82" s="286" t="s">
        <v>481</v>
      </c>
      <c r="C82" s="287" t="s">
        <v>482</v>
      </c>
      <c r="D82" s="286" t="s">
        <v>465</v>
      </c>
      <c r="E82" s="286"/>
      <c r="F82" s="288"/>
      <c r="G82" s="286"/>
      <c r="H82" s="286"/>
      <c r="I82" s="287" t="s">
        <v>483</v>
      </c>
      <c r="J82" s="284" t="s">
        <v>359</v>
      </c>
      <c r="K82" s="308"/>
      <c r="L82" s="287" t="s">
        <v>483</v>
      </c>
      <c r="M82" s="305"/>
    </row>
    <row r="83" spans="1:13" s="290" customFormat="1" ht="28.5" customHeight="1">
      <c r="A83" s="295">
        <f t="shared" si="2"/>
        <v>80</v>
      </c>
      <c r="B83" s="286" t="s">
        <v>484</v>
      </c>
      <c r="C83" s="287" t="s">
        <v>485</v>
      </c>
      <c r="D83" s="286" t="s">
        <v>486</v>
      </c>
      <c r="E83" s="286"/>
      <c r="F83" s="288"/>
      <c r="G83" s="286"/>
      <c r="H83" s="286"/>
      <c r="I83" s="287" t="s">
        <v>487</v>
      </c>
      <c r="J83" s="284" t="s">
        <v>359</v>
      </c>
      <c r="K83" s="308"/>
      <c r="L83" s="287" t="s">
        <v>487</v>
      </c>
      <c r="M83" s="305"/>
    </row>
    <row r="84" spans="1:13" s="290" customFormat="1" ht="28.5" customHeight="1">
      <c r="A84" s="295">
        <f t="shared" si="2"/>
        <v>81</v>
      </c>
      <c r="B84" s="286" t="s">
        <v>488</v>
      </c>
      <c r="C84" s="287" t="s">
        <v>489</v>
      </c>
      <c r="D84" s="286" t="s">
        <v>486</v>
      </c>
      <c r="E84" s="286"/>
      <c r="F84" s="288"/>
      <c r="G84" s="286"/>
      <c r="H84" s="286"/>
      <c r="I84" s="287" t="s">
        <v>490</v>
      </c>
      <c r="J84" s="284" t="s">
        <v>359</v>
      </c>
      <c r="K84" s="308"/>
      <c r="L84" s="287" t="s">
        <v>490</v>
      </c>
      <c r="M84" s="305"/>
    </row>
    <row r="85" spans="1:13" s="102" customFormat="1" ht="27">
      <c r="A85" s="296">
        <f t="shared" si="2"/>
        <v>82</v>
      </c>
      <c r="B85" s="30" t="s">
        <v>491</v>
      </c>
      <c r="C85" s="64" t="s">
        <v>492</v>
      </c>
      <c r="D85" s="30" t="s">
        <v>92</v>
      </c>
      <c r="E85" s="30"/>
      <c r="F85" s="116"/>
      <c r="G85" s="30"/>
      <c r="H85" s="30"/>
      <c r="I85" s="64" t="s">
        <v>493</v>
      </c>
      <c r="J85" s="182" t="s">
        <v>16</v>
      </c>
      <c r="K85" s="182" t="s">
        <v>16</v>
      </c>
      <c r="L85" s="182" t="s">
        <v>16</v>
      </c>
      <c r="M85" s="306"/>
    </row>
    <row r="86" spans="1:13" s="102" customFormat="1" ht="39" customHeight="1">
      <c r="A86" s="296">
        <f t="shared" si="2"/>
        <v>83</v>
      </c>
      <c r="B86" s="14" t="s">
        <v>494</v>
      </c>
      <c r="C86" s="62" t="s">
        <v>495</v>
      </c>
      <c r="D86" s="14" t="s">
        <v>166</v>
      </c>
      <c r="E86" s="14"/>
      <c r="F86" s="117"/>
      <c r="G86" s="14"/>
      <c r="H86" s="14"/>
      <c r="I86" s="62" t="s">
        <v>496</v>
      </c>
      <c r="J86" s="62" t="s">
        <v>497</v>
      </c>
      <c r="K86" s="193" t="s">
        <v>124</v>
      </c>
      <c r="L86" s="193" t="s">
        <v>124</v>
      </c>
      <c r="M86" s="20"/>
    </row>
    <row r="87" spans="1:13" s="102" customFormat="1" ht="39" customHeight="1">
      <c r="A87" s="296">
        <f t="shared" si="2"/>
        <v>84</v>
      </c>
      <c r="B87" s="14" t="s">
        <v>498</v>
      </c>
      <c r="C87" s="62" t="s">
        <v>499</v>
      </c>
      <c r="D87" s="14" t="s">
        <v>46</v>
      </c>
      <c r="E87" s="14"/>
      <c r="F87" s="117"/>
      <c r="G87" s="14"/>
      <c r="H87" s="14"/>
      <c r="I87" s="62"/>
      <c r="J87" s="62" t="s">
        <v>500</v>
      </c>
      <c r="K87" s="193" t="s">
        <v>124</v>
      </c>
      <c r="L87" s="193" t="s">
        <v>124</v>
      </c>
      <c r="M87" s="20"/>
    </row>
    <row r="88" spans="1:13" s="102" customFormat="1" ht="27">
      <c r="A88" s="296">
        <f t="shared" si="2"/>
        <v>85</v>
      </c>
      <c r="B88" s="14" t="s">
        <v>501</v>
      </c>
      <c r="C88" s="62" t="s">
        <v>502</v>
      </c>
      <c r="D88" s="14" t="s">
        <v>92</v>
      </c>
      <c r="E88" s="14"/>
      <c r="F88" s="117"/>
      <c r="G88" s="14"/>
      <c r="H88" s="14"/>
      <c r="I88" s="62" t="s">
        <v>503</v>
      </c>
      <c r="J88" s="62" t="s">
        <v>504</v>
      </c>
      <c r="K88" s="193" t="s">
        <v>124</v>
      </c>
      <c r="L88" s="193" t="s">
        <v>124</v>
      </c>
      <c r="M88" s="20"/>
    </row>
    <row r="89" spans="1:13" s="102" customFormat="1" ht="27">
      <c r="A89" s="296">
        <f t="shared" si="2"/>
        <v>86</v>
      </c>
      <c r="B89" s="14" t="s">
        <v>505</v>
      </c>
      <c r="C89" s="62" t="s">
        <v>506</v>
      </c>
      <c r="D89" s="14" t="s">
        <v>92</v>
      </c>
      <c r="E89" s="14"/>
      <c r="F89" s="117"/>
      <c r="G89" s="14"/>
      <c r="H89" s="14"/>
      <c r="I89" s="62" t="s">
        <v>507</v>
      </c>
      <c r="J89" s="182" t="s">
        <v>16</v>
      </c>
      <c r="K89" s="193" t="s">
        <v>124</v>
      </c>
      <c r="L89" s="193" t="s">
        <v>124</v>
      </c>
      <c r="M89" s="20"/>
    </row>
    <row r="90" spans="1:13" s="102" customFormat="1" ht="27">
      <c r="A90" s="296">
        <f t="shared" si="2"/>
        <v>87</v>
      </c>
      <c r="B90" s="14" t="s">
        <v>508</v>
      </c>
      <c r="C90" s="62" t="s">
        <v>509</v>
      </c>
      <c r="D90" s="14" t="s">
        <v>92</v>
      </c>
      <c r="E90" s="14"/>
      <c r="F90" s="117"/>
      <c r="G90" s="14"/>
      <c r="H90" s="14"/>
      <c r="I90" s="62" t="s">
        <v>510</v>
      </c>
      <c r="J90" s="182" t="s">
        <v>16</v>
      </c>
      <c r="K90" s="193" t="s">
        <v>124</v>
      </c>
      <c r="L90" s="193" t="s">
        <v>124</v>
      </c>
      <c r="M90" s="20"/>
    </row>
    <row r="91" spans="1:13" s="102" customFormat="1" ht="27">
      <c r="A91" s="296">
        <f t="shared" si="2"/>
        <v>88</v>
      </c>
      <c r="B91" s="14" t="s">
        <v>511</v>
      </c>
      <c r="C91" s="62" t="s">
        <v>512</v>
      </c>
      <c r="D91" s="14" t="s">
        <v>92</v>
      </c>
      <c r="E91" s="14"/>
      <c r="F91" s="117"/>
      <c r="G91" s="14"/>
      <c r="H91" s="14"/>
      <c r="I91" s="62" t="s">
        <v>513</v>
      </c>
      <c r="J91" s="62" t="s">
        <v>504</v>
      </c>
      <c r="K91" s="193" t="s">
        <v>124</v>
      </c>
      <c r="L91" s="193" t="s">
        <v>124</v>
      </c>
      <c r="M91" s="20"/>
    </row>
    <row r="92" spans="1:13" s="102" customFormat="1" ht="40.5">
      <c r="A92" s="320">
        <f t="shared" si="2"/>
        <v>89</v>
      </c>
      <c r="B92" s="31" t="s">
        <v>514</v>
      </c>
      <c r="C92" s="63" t="s">
        <v>515</v>
      </c>
      <c r="D92" s="31" t="s">
        <v>92</v>
      </c>
      <c r="E92" s="31"/>
      <c r="F92" s="321"/>
      <c r="G92" s="31"/>
      <c r="H92" s="31"/>
      <c r="I92" s="63" t="s">
        <v>516</v>
      </c>
      <c r="J92" s="322" t="s">
        <v>16</v>
      </c>
      <c r="K92" s="269" t="s">
        <v>124</v>
      </c>
      <c r="L92" s="269" t="s">
        <v>124</v>
      </c>
      <c r="M92" s="323"/>
    </row>
    <row r="93" spans="1:13" s="102" customFormat="1" ht="54.75" thickBot="1">
      <c r="A93" s="297">
        <f t="shared" si="2"/>
        <v>90</v>
      </c>
      <c r="B93" s="32" t="s">
        <v>517</v>
      </c>
      <c r="C93" s="118" t="s">
        <v>518</v>
      </c>
      <c r="D93" s="32"/>
      <c r="E93" s="32"/>
      <c r="F93" s="119"/>
      <c r="G93" s="32"/>
      <c r="H93" s="32"/>
      <c r="I93" s="118" t="s">
        <v>519</v>
      </c>
      <c r="J93" s="181"/>
      <c r="K93" s="324" t="s">
        <v>299</v>
      </c>
      <c r="L93" s="324" t="s">
        <v>299</v>
      </c>
      <c r="M93" s="307" t="s">
        <v>520</v>
      </c>
    </row>
    <row r="147" spans="2:2">
      <c r="B147" t="s">
        <v>521</v>
      </c>
    </row>
    <row r="148" spans="2:2">
      <c r="B148" t="s">
        <v>522</v>
      </c>
    </row>
    <row r="149" spans="2:2">
      <c r="B149" t="s">
        <v>523</v>
      </c>
    </row>
    <row r="150" spans="2:2">
      <c r="B150" t="s">
        <v>524</v>
      </c>
    </row>
    <row r="151" spans="2:2">
      <c r="B151" t="s">
        <v>525</v>
      </c>
    </row>
    <row r="152" spans="2:2">
      <c r="B152" t="s">
        <v>526</v>
      </c>
    </row>
    <row r="153" spans="2:2">
      <c r="B153" t="s">
        <v>527</v>
      </c>
    </row>
    <row r="154" spans="2:2">
      <c r="B154" t="s">
        <v>528</v>
      </c>
    </row>
    <row r="155" spans="2:2">
      <c r="B155" t="s">
        <v>529</v>
      </c>
    </row>
    <row r="156" spans="2:2">
      <c r="B156" t="s">
        <v>530</v>
      </c>
    </row>
    <row r="157" spans="2:2">
      <c r="B157" t="s">
        <v>531</v>
      </c>
    </row>
    <row r="158" spans="2:2">
      <c r="B158" t="s">
        <v>532</v>
      </c>
    </row>
    <row r="159" spans="2:2">
      <c r="B159" t="s">
        <v>533</v>
      </c>
    </row>
    <row r="160" spans="2:2">
      <c r="B160" t="s">
        <v>534</v>
      </c>
    </row>
    <row r="161" spans="2:2">
      <c r="B161" t="s">
        <v>535</v>
      </c>
    </row>
    <row r="162" spans="2:2">
      <c r="B162" t="s">
        <v>536</v>
      </c>
    </row>
    <row r="163" spans="2:2">
      <c r="B163" t="s">
        <v>537</v>
      </c>
    </row>
    <row r="164" spans="2:2">
      <c r="B164" t="s">
        <v>538</v>
      </c>
    </row>
    <row r="165" spans="2:2">
      <c r="B165" t="s">
        <v>539</v>
      </c>
    </row>
    <row r="166" spans="2:2">
      <c r="B166" t="s">
        <v>540</v>
      </c>
    </row>
    <row r="167" spans="2:2">
      <c r="B167" t="s">
        <v>541</v>
      </c>
    </row>
    <row r="168" spans="2:2">
      <c r="B168" t="s">
        <v>542</v>
      </c>
    </row>
    <row r="169" spans="2:2">
      <c r="B169" t="s">
        <v>543</v>
      </c>
    </row>
    <row r="170" spans="2:2">
      <c r="B170" t="s">
        <v>544</v>
      </c>
    </row>
    <row r="171" spans="2:2">
      <c r="B171" t="s">
        <v>545</v>
      </c>
    </row>
    <row r="172" spans="2:2">
      <c r="B172" t="s">
        <v>546</v>
      </c>
    </row>
    <row r="173" spans="2:2">
      <c r="B173" t="s">
        <v>547</v>
      </c>
    </row>
    <row r="174" spans="2:2">
      <c r="B174" t="s">
        <v>548</v>
      </c>
    </row>
    <row r="175" spans="2:2">
      <c r="B175" t="s">
        <v>549</v>
      </c>
    </row>
    <row r="176" spans="2:2">
      <c r="B176" t="s">
        <v>550</v>
      </c>
    </row>
    <row r="177" spans="2:2">
      <c r="B177" t="s">
        <v>551</v>
      </c>
    </row>
    <row r="178" spans="2:2">
      <c r="B178" t="s">
        <v>552</v>
      </c>
    </row>
    <row r="179" spans="2:2">
      <c r="B179" t="s">
        <v>553</v>
      </c>
    </row>
    <row r="180" spans="2:2">
      <c r="B180" t="s">
        <v>554</v>
      </c>
    </row>
    <row r="181" spans="2:2">
      <c r="B181" t="s">
        <v>555</v>
      </c>
    </row>
    <row r="182" spans="2:2">
      <c r="B182" t="s">
        <v>556</v>
      </c>
    </row>
    <row r="183" spans="2:2">
      <c r="B183" t="s">
        <v>557</v>
      </c>
    </row>
    <row r="184" spans="2:2">
      <c r="B184" t="s">
        <v>558</v>
      </c>
    </row>
    <row r="185" spans="2:2">
      <c r="B185" t="s">
        <v>559</v>
      </c>
    </row>
    <row r="186" spans="2:2">
      <c r="B186" t="s">
        <v>560</v>
      </c>
    </row>
    <row r="187" spans="2:2">
      <c r="B187" t="s">
        <v>561</v>
      </c>
    </row>
    <row r="188" spans="2:2">
      <c r="B188" t="s">
        <v>562</v>
      </c>
    </row>
    <row r="189" spans="2:2">
      <c r="B189" t="s">
        <v>563</v>
      </c>
    </row>
    <row r="190" spans="2:2">
      <c r="B190" t="s">
        <v>564</v>
      </c>
    </row>
    <row r="191" spans="2:2">
      <c r="B191" t="s">
        <v>565</v>
      </c>
    </row>
    <row r="192" spans="2:2">
      <c r="B192" t="s">
        <v>566</v>
      </c>
    </row>
    <row r="193" spans="2:2">
      <c r="B193" t="s">
        <v>567</v>
      </c>
    </row>
    <row r="194" spans="2:2">
      <c r="B194" t="s">
        <v>568</v>
      </c>
    </row>
    <row r="195" spans="2:2">
      <c r="B195" t="s">
        <v>569</v>
      </c>
    </row>
    <row r="196" spans="2:2">
      <c r="B196" t="s">
        <v>570</v>
      </c>
    </row>
    <row r="197" spans="2:2">
      <c r="B197" t="s">
        <v>571</v>
      </c>
    </row>
    <row r="198" spans="2:2">
      <c r="B198" t="s">
        <v>572</v>
      </c>
    </row>
    <row r="199" spans="2:2">
      <c r="B199" t="s">
        <v>573</v>
      </c>
    </row>
    <row r="200" spans="2:2">
      <c r="B200" t="s">
        <v>574</v>
      </c>
    </row>
    <row r="201" spans="2:2">
      <c r="B201" t="s">
        <v>575</v>
      </c>
    </row>
    <row r="202" spans="2:2">
      <c r="B202" t="s">
        <v>576</v>
      </c>
    </row>
    <row r="203" spans="2:2">
      <c r="B203" t="s">
        <v>577</v>
      </c>
    </row>
    <row r="204" spans="2:2">
      <c r="B204" t="s">
        <v>578</v>
      </c>
    </row>
    <row r="205" spans="2:2">
      <c r="B205" t="s">
        <v>579</v>
      </c>
    </row>
    <row r="206" spans="2:2">
      <c r="B206" t="s">
        <v>580</v>
      </c>
    </row>
    <row r="207" spans="2:2">
      <c r="B207" t="s">
        <v>581</v>
      </c>
    </row>
    <row r="208" spans="2:2">
      <c r="B208" t="s">
        <v>582</v>
      </c>
    </row>
    <row r="209" spans="2:2">
      <c r="B209" t="s">
        <v>521</v>
      </c>
    </row>
  </sheetData>
  <phoneticPr fontId="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M14"/>
  <sheetViews>
    <sheetView topLeftCell="A7" zoomScale="85" zoomScaleNormal="85" workbookViewId="0">
      <selection activeCell="I7" sqref="I7"/>
    </sheetView>
  </sheetViews>
  <sheetFormatPr defaultColWidth="9" defaultRowHeight="13.5" outlineLevelCol="1"/>
  <cols>
    <col min="2" max="3" width="28.42578125" customWidth="1"/>
    <col min="4" max="4" width="13.5703125" hidden="1" customWidth="1" outlineLevel="1"/>
    <col min="5" max="5" width="5.140625" hidden="1" customWidth="1" outlineLevel="1"/>
    <col min="6" max="7" width="0" hidden="1" customWidth="1" outlineLevel="1"/>
    <col min="8" max="8" width="9" collapsed="1"/>
    <col min="9" max="9" width="35.140625" style="216" customWidth="1"/>
    <col min="10" max="10" width="32.42578125" style="18" bestFit="1" customWidth="1"/>
    <col min="11" max="11" width="17.140625" style="18" bestFit="1" customWidth="1"/>
    <col min="12" max="12" width="49.5703125" style="18" bestFit="1" customWidth="1"/>
    <col min="13" max="13" width="25.42578125" style="18" customWidth="1"/>
    <col min="15" max="15" width="9" customWidth="1"/>
  </cols>
  <sheetData>
    <row r="1" spans="1:13">
      <c r="A1" s="21" t="s">
        <v>583</v>
      </c>
      <c r="B1" s="21"/>
      <c r="C1" s="21"/>
      <c r="D1" s="21"/>
      <c r="E1" s="21"/>
      <c r="F1" s="21"/>
      <c r="G1" s="21"/>
      <c r="H1" s="21"/>
      <c r="I1" s="211"/>
      <c r="J1" s="325"/>
      <c r="K1" s="325"/>
      <c r="L1" s="325"/>
      <c r="M1" s="325"/>
    </row>
    <row r="2" spans="1:13" ht="14.25" thickBot="1">
      <c r="A2" s="21"/>
      <c r="B2" s="21"/>
      <c r="C2" s="21"/>
      <c r="D2" s="21"/>
      <c r="E2" s="21"/>
      <c r="F2" s="21"/>
      <c r="G2" s="21"/>
      <c r="H2" s="21"/>
      <c r="I2" s="211"/>
      <c r="J2" s="325"/>
      <c r="K2" s="325"/>
      <c r="L2" s="325"/>
      <c r="M2" s="325"/>
    </row>
    <row r="3" spans="1:13" ht="42" customHeight="1" thickBot="1">
      <c r="A3" s="56" t="s">
        <v>1</v>
      </c>
      <c r="B3" s="57" t="s">
        <v>2</v>
      </c>
      <c r="C3" s="57" t="s">
        <v>3</v>
      </c>
      <c r="D3" s="57" t="s">
        <v>4</v>
      </c>
      <c r="E3" s="57" t="s">
        <v>5</v>
      </c>
      <c r="F3" s="57" t="s">
        <v>6</v>
      </c>
      <c r="G3" s="59" t="s">
        <v>7</v>
      </c>
      <c r="H3" s="60" t="s">
        <v>8</v>
      </c>
      <c r="I3" s="212" t="s">
        <v>9</v>
      </c>
      <c r="J3" s="183" t="s">
        <v>10</v>
      </c>
      <c r="K3" s="208" t="s">
        <v>11</v>
      </c>
      <c r="L3" s="209" t="s">
        <v>12</v>
      </c>
      <c r="M3" s="210" t="s">
        <v>13</v>
      </c>
    </row>
    <row r="4" spans="1:13" ht="14.25" thickTop="1">
      <c r="A4" s="265">
        <f t="shared" ref="A4:A14" si="0">ROW() - 4</f>
        <v>0</v>
      </c>
      <c r="B4" s="46" t="s">
        <v>24</v>
      </c>
      <c r="C4" s="46" t="s">
        <v>584</v>
      </c>
      <c r="D4" s="46"/>
      <c r="E4" s="46"/>
      <c r="F4" s="47"/>
      <c r="G4" s="46"/>
      <c r="H4" s="46"/>
      <c r="I4" s="213"/>
      <c r="J4" s="182" t="s">
        <v>16</v>
      </c>
      <c r="K4" s="182" t="s">
        <v>16</v>
      </c>
      <c r="L4" s="182" t="s">
        <v>16</v>
      </c>
      <c r="M4" s="184" t="s">
        <v>16</v>
      </c>
    </row>
    <row r="5" spans="1:13" ht="27">
      <c r="A5" s="265">
        <f t="shared" si="0"/>
        <v>1</v>
      </c>
      <c r="B5" s="41" t="s">
        <v>218</v>
      </c>
      <c r="C5" s="89" t="s">
        <v>585</v>
      </c>
      <c r="D5" s="41"/>
      <c r="E5" s="41"/>
      <c r="F5" s="42"/>
      <c r="G5" s="41"/>
      <c r="H5" s="41"/>
      <c r="I5" s="213"/>
      <c r="J5" s="182" t="s">
        <v>16</v>
      </c>
      <c r="K5" s="182" t="s">
        <v>16</v>
      </c>
      <c r="L5" s="182" t="s">
        <v>16</v>
      </c>
      <c r="M5" s="281"/>
    </row>
    <row r="6" spans="1:13" ht="27">
      <c r="A6" s="265">
        <f t="shared" si="0"/>
        <v>2</v>
      </c>
      <c r="B6" s="41" t="s">
        <v>586</v>
      </c>
      <c r="C6" s="41" t="s">
        <v>587</v>
      </c>
      <c r="D6" s="41"/>
      <c r="E6" s="41"/>
      <c r="F6" s="42"/>
      <c r="G6" s="41"/>
      <c r="H6" s="41"/>
      <c r="I6" s="214" t="s">
        <v>588</v>
      </c>
      <c r="J6" s="280" t="s">
        <v>589</v>
      </c>
      <c r="K6" s="193" t="s">
        <v>124</v>
      </c>
      <c r="L6" s="89"/>
      <c r="M6" s="53"/>
    </row>
    <row r="7" spans="1:13" ht="45">
      <c r="A7" s="265">
        <f t="shared" si="0"/>
        <v>3</v>
      </c>
      <c r="B7" s="41" t="s">
        <v>590</v>
      </c>
      <c r="C7" s="41" t="s">
        <v>591</v>
      </c>
      <c r="D7" s="41"/>
      <c r="E7" s="41"/>
      <c r="F7" s="42"/>
      <c r="G7" s="41"/>
      <c r="H7" s="41"/>
      <c r="I7" s="214" t="s">
        <v>592</v>
      </c>
      <c r="J7" s="280" t="s">
        <v>593</v>
      </c>
      <c r="K7" s="193" t="s">
        <v>124</v>
      </c>
      <c r="L7" s="89"/>
      <c r="M7" s="53"/>
    </row>
    <row r="8" spans="1:13" ht="45">
      <c r="A8" s="265">
        <f t="shared" si="0"/>
        <v>4</v>
      </c>
      <c r="B8" s="41" t="s">
        <v>594</v>
      </c>
      <c r="C8" s="41" t="s">
        <v>595</v>
      </c>
      <c r="D8" s="41"/>
      <c r="E8" s="41"/>
      <c r="F8" s="42"/>
      <c r="G8" s="41"/>
      <c r="H8" s="41"/>
      <c r="I8" s="214" t="s">
        <v>596</v>
      </c>
      <c r="J8" s="280" t="s">
        <v>597</v>
      </c>
      <c r="K8" s="193" t="s">
        <v>124</v>
      </c>
      <c r="L8" s="89"/>
      <c r="M8" s="53"/>
    </row>
    <row r="9" spans="1:13" ht="33.75">
      <c r="A9" s="265">
        <f t="shared" si="0"/>
        <v>5</v>
      </c>
      <c r="B9" s="41" t="s">
        <v>598</v>
      </c>
      <c r="C9" s="41" t="s">
        <v>599</v>
      </c>
      <c r="D9" s="41"/>
      <c r="E9" s="41"/>
      <c r="F9" s="42"/>
      <c r="G9" s="41"/>
      <c r="H9" s="41"/>
      <c r="I9" s="214" t="s">
        <v>600</v>
      </c>
      <c r="J9" s="280" t="s">
        <v>601</v>
      </c>
      <c r="K9" s="193" t="s">
        <v>124</v>
      </c>
      <c r="L9" s="89"/>
      <c r="M9" s="53"/>
    </row>
    <row r="10" spans="1:13" ht="50.25" customHeight="1">
      <c r="A10" s="265">
        <f t="shared" si="0"/>
        <v>6</v>
      </c>
      <c r="B10" s="41" t="s">
        <v>602</v>
      </c>
      <c r="C10" s="41" t="s">
        <v>603</v>
      </c>
      <c r="D10" s="41"/>
      <c r="E10" s="41"/>
      <c r="F10" s="42"/>
      <c r="G10" s="41"/>
      <c r="H10" s="41"/>
      <c r="I10" s="214" t="s">
        <v>604</v>
      </c>
      <c r="J10" s="280" t="s">
        <v>605</v>
      </c>
      <c r="K10" s="193" t="s">
        <v>124</v>
      </c>
      <c r="L10" s="89"/>
      <c r="M10" s="53"/>
    </row>
    <row r="11" spans="1:13" ht="27">
      <c r="A11" s="265">
        <f t="shared" si="0"/>
        <v>7</v>
      </c>
      <c r="B11" s="41" t="s">
        <v>606</v>
      </c>
      <c r="C11" s="41" t="s">
        <v>607</v>
      </c>
      <c r="D11" s="41"/>
      <c r="E11" s="41"/>
      <c r="F11" s="42"/>
      <c r="G11" s="41"/>
      <c r="H11" s="41"/>
      <c r="I11" s="214"/>
      <c r="J11" s="280" t="s">
        <v>608</v>
      </c>
      <c r="K11" s="193" t="s">
        <v>124</v>
      </c>
      <c r="L11" s="89" t="s">
        <v>609</v>
      </c>
      <c r="M11" s="53"/>
    </row>
    <row r="12" spans="1:13">
      <c r="A12" s="265">
        <f t="shared" si="0"/>
        <v>8</v>
      </c>
      <c r="B12" s="41" t="s">
        <v>610</v>
      </c>
      <c r="C12" s="41" t="s">
        <v>611</v>
      </c>
      <c r="D12" s="41"/>
      <c r="E12" s="41"/>
      <c r="F12" s="42"/>
      <c r="G12" s="41"/>
      <c r="H12" s="41"/>
      <c r="I12" s="214"/>
      <c r="J12" s="280" t="s">
        <v>612</v>
      </c>
      <c r="K12" s="193" t="s">
        <v>124</v>
      </c>
      <c r="L12" s="89"/>
      <c r="M12" s="53"/>
    </row>
    <row r="13" spans="1:13" ht="66.75" customHeight="1">
      <c r="A13" s="265">
        <f t="shared" si="0"/>
        <v>9</v>
      </c>
      <c r="B13" s="44" t="s">
        <v>613</v>
      </c>
      <c r="C13" s="44" t="s">
        <v>614</v>
      </c>
      <c r="D13" s="44"/>
      <c r="E13" s="44"/>
      <c r="F13" s="45"/>
      <c r="G13" s="44"/>
      <c r="H13" s="44"/>
      <c r="I13" s="178" t="s">
        <v>615</v>
      </c>
      <c r="J13" s="48" t="s">
        <v>616</v>
      </c>
      <c r="K13" s="193" t="s">
        <v>124</v>
      </c>
      <c r="L13" s="48" t="s">
        <v>615</v>
      </c>
      <c r="M13" s="49"/>
    </row>
    <row r="14" spans="1:13" s="52" customFormat="1" ht="81.75" thickBot="1">
      <c r="A14" s="275">
        <f t="shared" si="0"/>
        <v>10</v>
      </c>
      <c r="B14" s="50" t="s">
        <v>617</v>
      </c>
      <c r="C14" s="50" t="s">
        <v>618</v>
      </c>
      <c r="D14" s="50"/>
      <c r="E14" s="50"/>
      <c r="F14" s="51"/>
      <c r="G14" s="50"/>
      <c r="H14" s="50"/>
      <c r="I14" s="215"/>
      <c r="J14" s="152" t="s">
        <v>619</v>
      </c>
      <c r="K14" s="226" t="s">
        <v>124</v>
      </c>
      <c r="L14" s="152" t="s">
        <v>620</v>
      </c>
      <c r="M14" s="282"/>
    </row>
  </sheetData>
  <phoneticPr fontId="2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6">
    <tabColor rgb="FFC00000"/>
  </sheetPr>
  <dimension ref="A1:M19"/>
  <sheetViews>
    <sheetView topLeftCell="C1" zoomScaleNormal="100" workbookViewId="0">
      <selection activeCell="J8" sqref="J8"/>
    </sheetView>
  </sheetViews>
  <sheetFormatPr defaultColWidth="9" defaultRowHeight="13.5" outlineLevelCol="1"/>
  <cols>
    <col min="2" max="3" width="28.42578125" customWidth="1"/>
    <col min="4" max="4" width="13.5703125" hidden="1" customWidth="1" outlineLevel="1"/>
    <col min="5" max="5" width="5.140625" hidden="1" customWidth="1" outlineLevel="1"/>
    <col min="6" max="7" width="0" hidden="1" customWidth="1" outlineLevel="1"/>
    <col min="8" max="8" width="9" collapsed="1"/>
    <col min="9" max="9" width="25.42578125" style="18" customWidth="1"/>
    <col min="10" max="10" width="65.42578125" style="18" customWidth="1"/>
    <col min="11" max="11" width="17.28515625" style="18" bestFit="1" customWidth="1"/>
    <col min="12" max="12" width="48.85546875" style="18" customWidth="1"/>
    <col min="13" max="13" width="25.42578125" style="18" customWidth="1"/>
    <col min="15" max="15" width="9" customWidth="1"/>
  </cols>
  <sheetData>
    <row r="1" spans="1:13">
      <c r="A1" s="52" t="s">
        <v>621</v>
      </c>
      <c r="B1" s="52"/>
      <c r="C1" s="52"/>
      <c r="D1" s="52"/>
      <c r="E1" s="52"/>
      <c r="F1" s="52"/>
      <c r="G1" s="52"/>
      <c r="H1" s="52"/>
      <c r="I1" s="120"/>
      <c r="J1" s="120"/>
      <c r="K1" s="120"/>
      <c r="L1" s="120"/>
      <c r="M1" s="120"/>
    </row>
    <row r="2" spans="1:13" ht="14.25" thickBot="1">
      <c r="A2" s="52"/>
      <c r="B2" s="52"/>
      <c r="C2" s="52"/>
      <c r="D2" s="52"/>
      <c r="E2" s="52"/>
      <c r="F2" s="52"/>
      <c r="G2" s="52"/>
      <c r="H2" s="52"/>
      <c r="I2" s="120"/>
      <c r="J2" s="120"/>
      <c r="K2" s="120"/>
      <c r="L2" s="120"/>
      <c r="M2" s="120"/>
    </row>
    <row r="3" spans="1:13" ht="32.25" thickBot="1">
      <c r="A3" s="279" t="s">
        <v>1</v>
      </c>
      <c r="B3" s="121" t="s">
        <v>2</v>
      </c>
      <c r="C3" s="121" t="s">
        <v>3</v>
      </c>
      <c r="D3" s="121" t="s">
        <v>4</v>
      </c>
      <c r="E3" s="121" t="s">
        <v>5</v>
      </c>
      <c r="F3" s="121" t="s">
        <v>6</v>
      </c>
      <c r="G3" s="122" t="s">
        <v>7</v>
      </c>
      <c r="H3" s="123" t="s">
        <v>8</v>
      </c>
      <c r="I3" s="175" t="s">
        <v>9</v>
      </c>
      <c r="J3" s="183" t="s">
        <v>10</v>
      </c>
      <c r="K3" s="208" t="s">
        <v>11</v>
      </c>
      <c r="L3" s="209" t="s">
        <v>12</v>
      </c>
      <c r="M3" s="210" t="s">
        <v>13</v>
      </c>
    </row>
    <row r="4" spans="1:13" ht="14.25" thickTop="1">
      <c r="A4" s="265">
        <f t="shared" ref="A4:A11" si="0">ROW() - 4</f>
        <v>0</v>
      </c>
      <c r="B4" s="46" t="s">
        <v>24</v>
      </c>
      <c r="C4" s="46" t="s">
        <v>25</v>
      </c>
      <c r="D4" s="46" t="s">
        <v>41</v>
      </c>
      <c r="E4" s="46"/>
      <c r="F4" s="47" t="s">
        <v>42</v>
      </c>
      <c r="G4" s="46"/>
      <c r="H4" s="46">
        <v>1</v>
      </c>
      <c r="I4" s="173"/>
      <c r="J4" s="182" t="s">
        <v>16</v>
      </c>
      <c r="K4" s="182" t="s">
        <v>16</v>
      </c>
      <c r="L4" s="182" t="s">
        <v>16</v>
      </c>
      <c r="M4" s="184" t="s">
        <v>16</v>
      </c>
    </row>
    <row r="5" spans="1:13">
      <c r="A5" s="40">
        <f t="shared" si="0"/>
        <v>1</v>
      </c>
      <c r="B5" s="41" t="s">
        <v>218</v>
      </c>
      <c r="C5" s="41" t="s">
        <v>219</v>
      </c>
      <c r="D5" s="41" t="s">
        <v>66</v>
      </c>
      <c r="E5" s="41"/>
      <c r="F5" s="42" t="s">
        <v>42</v>
      </c>
      <c r="G5" s="41"/>
      <c r="H5" s="41">
        <v>2</v>
      </c>
      <c r="I5" s="173" t="s">
        <v>622</v>
      </c>
      <c r="J5" s="182" t="s">
        <v>16</v>
      </c>
      <c r="K5" s="182" t="s">
        <v>16</v>
      </c>
      <c r="L5" s="231" t="s">
        <v>16</v>
      </c>
      <c r="M5" s="184" t="s">
        <v>16</v>
      </c>
    </row>
    <row r="6" spans="1:13" ht="229.5">
      <c r="A6" s="40">
        <f t="shared" si="0"/>
        <v>2</v>
      </c>
      <c r="B6" s="41" t="s">
        <v>623</v>
      </c>
      <c r="C6" s="41" t="s">
        <v>624</v>
      </c>
      <c r="D6" s="41" t="s">
        <v>46</v>
      </c>
      <c r="E6" s="41"/>
      <c r="F6" s="42" t="s">
        <v>42</v>
      </c>
      <c r="G6" s="41"/>
      <c r="H6" s="41">
        <v>3</v>
      </c>
      <c r="I6" s="89"/>
      <c r="J6" s="89" t="s">
        <v>625</v>
      </c>
      <c r="K6" s="193" t="s">
        <v>124</v>
      </c>
      <c r="L6" s="217" t="s">
        <v>626</v>
      </c>
      <c r="M6" s="234"/>
    </row>
    <row r="7" spans="1:13" ht="229.5">
      <c r="A7" s="40">
        <f t="shared" si="0"/>
        <v>3</v>
      </c>
      <c r="B7" s="41" t="s">
        <v>627</v>
      </c>
      <c r="C7" s="41" t="s">
        <v>628</v>
      </c>
      <c r="D7" s="41" t="s">
        <v>46</v>
      </c>
      <c r="E7" s="41"/>
      <c r="F7" s="42" t="s">
        <v>42</v>
      </c>
      <c r="G7" s="41"/>
      <c r="H7" s="41">
        <v>4</v>
      </c>
      <c r="I7" s="89"/>
      <c r="J7" s="89" t="s">
        <v>629</v>
      </c>
      <c r="K7" s="193" t="s">
        <v>124</v>
      </c>
      <c r="L7" s="218" t="s">
        <v>630</v>
      </c>
      <c r="M7" s="234"/>
    </row>
    <row r="8" spans="1:13" ht="202.5">
      <c r="A8" s="40">
        <f t="shared" si="0"/>
        <v>4</v>
      </c>
      <c r="B8" s="41" t="s">
        <v>631</v>
      </c>
      <c r="C8" s="41" t="s">
        <v>632</v>
      </c>
      <c r="D8" s="41" t="s">
        <v>46</v>
      </c>
      <c r="E8" s="41"/>
      <c r="F8" s="42"/>
      <c r="G8" s="41"/>
      <c r="H8" s="41"/>
      <c r="I8" s="89"/>
      <c r="J8" s="89" t="s">
        <v>633</v>
      </c>
      <c r="K8" s="193" t="s">
        <v>124</v>
      </c>
      <c r="L8" s="62" t="s">
        <v>634</v>
      </c>
      <c r="M8" s="234"/>
    </row>
    <row r="9" spans="1:13" ht="93.75" customHeight="1">
      <c r="A9" s="40">
        <f t="shared" si="0"/>
        <v>5</v>
      </c>
      <c r="B9" s="41" t="s">
        <v>635</v>
      </c>
      <c r="C9" s="41" t="s">
        <v>636</v>
      </c>
      <c r="D9" s="41" t="s">
        <v>46</v>
      </c>
      <c r="E9" s="41"/>
      <c r="F9" s="42"/>
      <c r="G9" s="41"/>
      <c r="H9" s="41"/>
      <c r="I9" s="89" t="s">
        <v>637</v>
      </c>
      <c r="J9" s="89" t="s">
        <v>638</v>
      </c>
      <c r="K9" s="193" t="s">
        <v>124</v>
      </c>
      <c r="L9" s="62" t="s">
        <v>639</v>
      </c>
      <c r="M9" s="234"/>
    </row>
    <row r="10" spans="1:13" ht="108" customHeight="1">
      <c r="A10" s="40">
        <f t="shared" si="0"/>
        <v>6</v>
      </c>
      <c r="B10" s="41" t="s">
        <v>640</v>
      </c>
      <c r="C10" s="41" t="s">
        <v>641</v>
      </c>
      <c r="D10" s="41" t="s">
        <v>92</v>
      </c>
      <c r="E10" s="41"/>
      <c r="F10" s="42"/>
      <c r="G10" s="41"/>
      <c r="H10" s="41"/>
      <c r="I10" s="89" t="s">
        <v>642</v>
      </c>
      <c r="J10" s="89" t="s">
        <v>643</v>
      </c>
      <c r="K10" s="193" t="s">
        <v>124</v>
      </c>
      <c r="L10" s="62" t="s">
        <v>644</v>
      </c>
      <c r="M10" s="234"/>
    </row>
    <row r="11" spans="1:13" ht="100.5" customHeight="1">
      <c r="A11" s="40">
        <f t="shared" si="0"/>
        <v>7</v>
      </c>
      <c r="B11" s="41" t="s">
        <v>90</v>
      </c>
      <c r="C11" s="41" t="s">
        <v>645</v>
      </c>
      <c r="D11" s="41" t="s">
        <v>92</v>
      </c>
      <c r="E11" s="41"/>
      <c r="F11" s="42"/>
      <c r="G11" s="41"/>
      <c r="H11" s="41"/>
      <c r="I11" s="89" t="s">
        <v>646</v>
      </c>
      <c r="J11" s="48" t="s">
        <v>647</v>
      </c>
      <c r="K11" s="193" t="s">
        <v>124</v>
      </c>
      <c r="L11" s="62" t="s">
        <v>648</v>
      </c>
      <c r="M11" s="234"/>
    </row>
    <row r="12" spans="1:13" ht="87.75" customHeight="1">
      <c r="A12" s="40">
        <f t="shared" ref="A12:A17" si="1">ROW() - 4</f>
        <v>8</v>
      </c>
      <c r="B12" s="41" t="s">
        <v>649</v>
      </c>
      <c r="C12" s="41" t="s">
        <v>650</v>
      </c>
      <c r="D12" s="41" t="s">
        <v>66</v>
      </c>
      <c r="E12" s="41"/>
      <c r="F12" s="42"/>
      <c r="G12" s="41"/>
      <c r="H12" s="41"/>
      <c r="I12" s="89"/>
      <c r="J12" s="48" t="s">
        <v>651</v>
      </c>
      <c r="K12" s="193" t="s">
        <v>124</v>
      </c>
      <c r="L12" s="62" t="s">
        <v>652</v>
      </c>
      <c r="M12" s="234"/>
    </row>
    <row r="13" spans="1:13" ht="119.25" customHeight="1">
      <c r="A13" s="40">
        <f t="shared" si="1"/>
        <v>9</v>
      </c>
      <c r="B13" s="44" t="s">
        <v>3</v>
      </c>
      <c r="C13" s="44" t="s">
        <v>653</v>
      </c>
      <c r="D13" s="44" t="s">
        <v>46</v>
      </c>
      <c r="E13" s="44"/>
      <c r="F13" s="45"/>
      <c r="G13" s="44"/>
      <c r="H13" s="44"/>
      <c r="I13" s="48" t="s">
        <v>654</v>
      </c>
      <c r="J13" s="48" t="s">
        <v>655</v>
      </c>
      <c r="K13" s="193" t="s">
        <v>124</v>
      </c>
      <c r="L13" s="199" t="s">
        <v>656</v>
      </c>
      <c r="M13" s="234"/>
    </row>
    <row r="14" spans="1:13" s="52" customFormat="1" ht="168.75" customHeight="1">
      <c r="A14" s="40">
        <f t="shared" si="1"/>
        <v>10</v>
      </c>
      <c r="B14" s="44" t="s">
        <v>657</v>
      </c>
      <c r="C14" s="44" t="s">
        <v>658</v>
      </c>
      <c r="D14" s="44" t="s">
        <v>46</v>
      </c>
      <c r="E14" s="44"/>
      <c r="F14" s="45"/>
      <c r="G14" s="44"/>
      <c r="H14" s="44"/>
      <c r="I14" s="48" t="s">
        <v>659</v>
      </c>
      <c r="J14" s="48" t="s">
        <v>660</v>
      </c>
      <c r="K14" s="193" t="s">
        <v>124</v>
      </c>
      <c r="L14" s="198" t="s">
        <v>661</v>
      </c>
      <c r="M14" s="234"/>
    </row>
    <row r="15" spans="1:13" ht="96" customHeight="1">
      <c r="A15" s="40">
        <f t="shared" si="1"/>
        <v>11</v>
      </c>
      <c r="B15" s="41" t="s">
        <v>346</v>
      </c>
      <c r="C15" s="41" t="s">
        <v>347</v>
      </c>
      <c r="D15" s="44" t="s">
        <v>46</v>
      </c>
      <c r="E15" s="41"/>
      <c r="F15" s="42"/>
      <c r="G15" s="41"/>
      <c r="H15" s="41"/>
      <c r="I15" s="89"/>
      <c r="J15" s="48" t="s">
        <v>662</v>
      </c>
      <c r="K15" s="193" t="s">
        <v>124</v>
      </c>
      <c r="L15" s="198" t="s">
        <v>663</v>
      </c>
      <c r="M15" s="234"/>
    </row>
    <row r="16" spans="1:13" ht="108">
      <c r="A16" s="40">
        <f t="shared" si="1"/>
        <v>12</v>
      </c>
      <c r="B16" s="41" t="s">
        <v>664</v>
      </c>
      <c r="C16" s="41" t="s">
        <v>665</v>
      </c>
      <c r="D16" s="44" t="s">
        <v>46</v>
      </c>
      <c r="E16" s="41"/>
      <c r="F16" s="42"/>
      <c r="G16" s="41"/>
      <c r="H16" s="41"/>
      <c r="I16" s="89" t="s">
        <v>666</v>
      </c>
      <c r="J16" s="48" t="s">
        <v>667</v>
      </c>
      <c r="K16" s="193" t="s">
        <v>124</v>
      </c>
      <c r="L16" s="198" t="s">
        <v>668</v>
      </c>
      <c r="M16" s="234"/>
    </row>
    <row r="17" spans="1:13" ht="108">
      <c r="A17" s="40">
        <f t="shared" si="1"/>
        <v>13</v>
      </c>
      <c r="B17" s="41" t="s">
        <v>669</v>
      </c>
      <c r="C17" s="41" t="s">
        <v>670</v>
      </c>
      <c r="D17" s="41" t="s">
        <v>671</v>
      </c>
      <c r="E17" s="41"/>
      <c r="F17" s="42"/>
      <c r="G17" s="41"/>
      <c r="H17" s="41"/>
      <c r="I17" s="89" t="s">
        <v>672</v>
      </c>
      <c r="J17" s="48" t="s">
        <v>673</v>
      </c>
      <c r="K17" s="193" t="s">
        <v>124</v>
      </c>
      <c r="L17" s="198" t="s">
        <v>674</v>
      </c>
      <c r="M17" s="234"/>
    </row>
    <row r="18" spans="1:13" ht="108">
      <c r="A18" s="40">
        <f>ROW() - 4</f>
        <v>14</v>
      </c>
      <c r="B18" s="44" t="s">
        <v>675</v>
      </c>
      <c r="C18" s="44" t="s">
        <v>676</v>
      </c>
      <c r="D18" s="44" t="s">
        <v>92</v>
      </c>
      <c r="E18" s="44"/>
      <c r="F18" s="45"/>
      <c r="G18" s="44"/>
      <c r="H18" s="44"/>
      <c r="I18" s="48" t="s">
        <v>677</v>
      </c>
      <c r="J18" s="48" t="s">
        <v>678</v>
      </c>
      <c r="K18" s="193" t="s">
        <v>124</v>
      </c>
      <c r="L18" s="198" t="s">
        <v>679</v>
      </c>
      <c r="M18" s="234"/>
    </row>
    <row r="19" spans="1:13" ht="108.75" thickBot="1">
      <c r="A19" s="249">
        <f>ROW() - 4</f>
        <v>15</v>
      </c>
      <c r="B19" s="50" t="s">
        <v>680</v>
      </c>
      <c r="C19" s="50" t="s">
        <v>681</v>
      </c>
      <c r="D19" s="50" t="s">
        <v>92</v>
      </c>
      <c r="E19" s="50"/>
      <c r="F19" s="51"/>
      <c r="G19" s="50"/>
      <c r="H19" s="50"/>
      <c r="I19" s="197" t="s">
        <v>682</v>
      </c>
      <c r="J19" s="152" t="s">
        <v>683</v>
      </c>
      <c r="K19" s="226" t="s">
        <v>124</v>
      </c>
      <c r="L19" s="200" t="s">
        <v>684</v>
      </c>
      <c r="M19" s="242"/>
    </row>
  </sheetData>
  <phoneticPr fontId="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3">
    <tabColor rgb="FFC00000"/>
  </sheetPr>
  <dimension ref="A1:M9"/>
  <sheetViews>
    <sheetView zoomScale="70" zoomScaleNormal="70" workbookViewId="0">
      <selection activeCell="M5" sqref="M5"/>
    </sheetView>
  </sheetViews>
  <sheetFormatPr defaultRowHeight="13.5" outlineLevelCol="1"/>
  <cols>
    <col min="2" max="3" width="28.42578125" customWidth="1"/>
    <col min="4" max="5" width="13.5703125" hidden="1" customWidth="1" outlineLevel="1"/>
    <col min="6" max="7" width="0" hidden="1" customWidth="1" outlineLevel="1"/>
    <col min="8" max="8" width="9" collapsed="1"/>
    <col min="9" max="13" width="42.5703125" style="18" customWidth="1"/>
  </cols>
  <sheetData>
    <row r="1" spans="1:13">
      <c r="A1" s="21" t="s">
        <v>685</v>
      </c>
      <c r="B1" s="21"/>
      <c r="C1" s="21"/>
      <c r="D1" s="21"/>
      <c r="E1" s="21"/>
      <c r="F1" s="21"/>
      <c r="G1" s="21"/>
      <c r="H1" s="21"/>
      <c r="I1" s="325"/>
      <c r="J1" s="325"/>
      <c r="K1" s="325"/>
      <c r="L1" s="325"/>
      <c r="M1" s="325"/>
    </row>
    <row r="2" spans="1:13" ht="14.25" thickBot="1">
      <c r="A2" s="21"/>
      <c r="B2" s="21"/>
      <c r="C2" s="21"/>
      <c r="D2" s="21"/>
      <c r="E2" s="21"/>
      <c r="F2" s="21"/>
      <c r="G2" s="21"/>
      <c r="H2" s="21"/>
      <c r="I2" s="325"/>
      <c r="J2" s="325"/>
      <c r="K2" s="325"/>
      <c r="L2" s="325"/>
      <c r="M2" s="325"/>
    </row>
    <row r="3" spans="1:13" ht="54.75" customHeight="1" thickBot="1">
      <c r="A3" s="22" t="s">
        <v>1</v>
      </c>
      <c r="B3" s="23" t="s">
        <v>2</v>
      </c>
      <c r="C3" s="23" t="s">
        <v>3</v>
      </c>
      <c r="D3" s="23" t="s">
        <v>4</v>
      </c>
      <c r="E3" s="23" t="s">
        <v>5</v>
      </c>
      <c r="F3" s="23" t="s">
        <v>6</v>
      </c>
      <c r="G3" s="24" t="s">
        <v>7</v>
      </c>
      <c r="H3" s="25" t="s">
        <v>8</v>
      </c>
      <c r="I3" s="29" t="s">
        <v>9</v>
      </c>
      <c r="J3" s="183" t="s">
        <v>10</v>
      </c>
      <c r="K3" s="208" t="s">
        <v>11</v>
      </c>
      <c r="L3" s="209" t="s">
        <v>12</v>
      </c>
      <c r="M3" s="210" t="s">
        <v>13</v>
      </c>
    </row>
    <row r="4" spans="1:13" ht="14.25" thickTop="1">
      <c r="A4" s="326">
        <f t="shared" ref="A4:A9" si="0">ROW() - 3</f>
        <v>1</v>
      </c>
      <c r="B4" s="30" t="s">
        <v>24</v>
      </c>
      <c r="C4" s="30" t="s">
        <v>25</v>
      </c>
      <c r="D4" s="30" t="s">
        <v>41</v>
      </c>
      <c r="E4" s="30"/>
      <c r="F4" s="116" t="s">
        <v>42</v>
      </c>
      <c r="G4" s="30"/>
      <c r="H4" s="30">
        <v>1</v>
      </c>
      <c r="I4" s="64"/>
      <c r="J4" s="182" t="s">
        <v>16</v>
      </c>
      <c r="K4" s="182" t="s">
        <v>16</v>
      </c>
      <c r="L4" s="182" t="s">
        <v>16</v>
      </c>
      <c r="M4" s="184" t="s">
        <v>16</v>
      </c>
    </row>
    <row r="5" spans="1:13" ht="135">
      <c r="A5" s="296">
        <f t="shared" si="0"/>
        <v>2</v>
      </c>
      <c r="B5" s="14" t="s">
        <v>686</v>
      </c>
      <c r="C5" s="14" t="s">
        <v>687</v>
      </c>
      <c r="D5" s="14" t="s">
        <v>46</v>
      </c>
      <c r="E5" s="14"/>
      <c r="F5" s="117" t="s">
        <v>42</v>
      </c>
      <c r="G5" s="14"/>
      <c r="H5" s="14">
        <v>2</v>
      </c>
      <c r="I5" s="62" t="s">
        <v>688</v>
      </c>
      <c r="J5" s="182" t="s">
        <v>16</v>
      </c>
      <c r="K5" s="182" t="s">
        <v>16</v>
      </c>
      <c r="L5" s="182" t="s">
        <v>16</v>
      </c>
      <c r="M5" s="184" t="s">
        <v>16</v>
      </c>
    </row>
    <row r="6" spans="1:13">
      <c r="A6" s="296">
        <f t="shared" si="0"/>
        <v>3</v>
      </c>
      <c r="B6" s="14" t="s">
        <v>689</v>
      </c>
      <c r="C6" s="14" t="s">
        <v>690</v>
      </c>
      <c r="D6" s="14" t="s">
        <v>92</v>
      </c>
      <c r="E6" s="14"/>
      <c r="F6" s="117"/>
      <c r="G6" s="14"/>
      <c r="H6" s="14"/>
      <c r="I6" s="62" t="s">
        <v>691</v>
      </c>
      <c r="J6" s="182" t="s">
        <v>16</v>
      </c>
      <c r="K6" s="182" t="s">
        <v>16</v>
      </c>
      <c r="L6" s="182" t="s">
        <v>16</v>
      </c>
      <c r="M6" s="184" t="s">
        <v>16</v>
      </c>
    </row>
    <row r="7" spans="1:13">
      <c r="A7" s="296">
        <f t="shared" si="0"/>
        <v>4</v>
      </c>
      <c r="B7" s="14" t="s">
        <v>649</v>
      </c>
      <c r="C7" s="14" t="s">
        <v>692</v>
      </c>
      <c r="D7" s="14" t="s">
        <v>66</v>
      </c>
      <c r="E7" s="14"/>
      <c r="F7" s="117"/>
      <c r="G7" s="14"/>
      <c r="H7" s="14"/>
      <c r="I7" s="62"/>
      <c r="J7" s="182" t="s">
        <v>16</v>
      </c>
      <c r="K7" s="182" t="s">
        <v>16</v>
      </c>
      <c r="L7" s="182" t="s">
        <v>16</v>
      </c>
      <c r="M7" s="184" t="s">
        <v>16</v>
      </c>
    </row>
    <row r="8" spans="1:13">
      <c r="A8" s="296">
        <f t="shared" si="0"/>
        <v>5</v>
      </c>
      <c r="B8" s="31" t="s">
        <v>693</v>
      </c>
      <c r="C8" s="31" t="s">
        <v>104</v>
      </c>
      <c r="D8" s="31" t="s">
        <v>92</v>
      </c>
      <c r="E8" s="31"/>
      <c r="F8" s="321"/>
      <c r="G8" s="31"/>
      <c r="H8" s="31"/>
      <c r="I8" s="63"/>
      <c r="J8" s="182" t="s">
        <v>16</v>
      </c>
      <c r="K8" s="182" t="s">
        <v>16</v>
      </c>
      <c r="L8" s="182" t="s">
        <v>16</v>
      </c>
      <c r="M8" s="184" t="s">
        <v>16</v>
      </c>
    </row>
    <row r="9" spans="1:13" ht="54.75" thickBot="1">
      <c r="A9" s="297">
        <f t="shared" si="0"/>
        <v>6</v>
      </c>
      <c r="B9" s="32" t="s">
        <v>694</v>
      </c>
      <c r="C9" s="32" t="s">
        <v>695</v>
      </c>
      <c r="D9" s="32"/>
      <c r="E9" s="32"/>
      <c r="F9" s="119"/>
      <c r="G9" s="32"/>
      <c r="H9" s="32"/>
      <c r="I9" s="118" t="s">
        <v>696</v>
      </c>
      <c r="J9" s="277" t="s">
        <v>16</v>
      </c>
      <c r="K9" s="277" t="s">
        <v>16</v>
      </c>
      <c r="L9" s="277" t="s">
        <v>16</v>
      </c>
      <c r="M9" s="278" t="s">
        <v>16</v>
      </c>
    </row>
  </sheetData>
  <phoneticPr fontId="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0">
    <tabColor rgb="FFC00000"/>
  </sheetPr>
  <dimension ref="A1:M14"/>
  <sheetViews>
    <sheetView topLeftCell="A3" zoomScale="85" zoomScaleNormal="85" workbookViewId="0">
      <selection activeCell="I6" sqref="I6"/>
    </sheetView>
  </sheetViews>
  <sheetFormatPr defaultColWidth="9" defaultRowHeight="13.5" outlineLevelCol="1"/>
  <cols>
    <col min="2" max="2" width="28.42578125" customWidth="1"/>
    <col min="3" max="3" width="33.42578125" bestFit="1" customWidth="1"/>
    <col min="4" max="5" width="13.5703125" hidden="1" customWidth="1" outlineLevel="1"/>
    <col min="6" max="7" width="0" hidden="1" customWidth="1" outlineLevel="1"/>
    <col min="8" max="8" width="9" collapsed="1"/>
    <col min="9" max="9" width="42.5703125" style="18" customWidth="1"/>
    <col min="10" max="10" width="47.42578125" style="18" customWidth="1"/>
    <col min="11" max="11" width="23" style="18" customWidth="1"/>
    <col min="12" max="12" width="33.7109375" style="18" bestFit="1" customWidth="1"/>
    <col min="13" max="13" width="19.7109375" style="18" customWidth="1"/>
  </cols>
  <sheetData>
    <row r="1" spans="1:13">
      <c r="A1" s="52" t="s">
        <v>697</v>
      </c>
      <c r="B1" s="52"/>
      <c r="C1" s="52"/>
      <c r="D1" s="52"/>
      <c r="E1" s="52"/>
      <c r="F1" s="52"/>
      <c r="G1" s="52"/>
      <c r="H1" s="52"/>
      <c r="I1" s="120"/>
      <c r="J1" s="120"/>
      <c r="K1" s="120"/>
      <c r="L1" s="120"/>
      <c r="M1" s="120"/>
    </row>
    <row r="2" spans="1:13" ht="14.25" thickBot="1">
      <c r="A2" s="52"/>
      <c r="B2" s="52"/>
      <c r="C2" s="52"/>
      <c r="D2" s="52"/>
      <c r="E2" s="52"/>
      <c r="F2" s="52"/>
      <c r="G2" s="52"/>
      <c r="H2" s="52"/>
      <c r="I2" s="120"/>
      <c r="J2" s="120"/>
      <c r="K2" s="120"/>
      <c r="L2" s="120"/>
      <c r="M2" s="120"/>
    </row>
    <row r="3" spans="1:13" ht="48" customHeight="1" thickBot="1">
      <c r="A3" s="227" t="s">
        <v>1</v>
      </c>
      <c r="B3" s="124" t="s">
        <v>2</v>
      </c>
      <c r="C3" s="124" t="s">
        <v>3</v>
      </c>
      <c r="D3" s="124" t="s">
        <v>4</v>
      </c>
      <c r="E3" s="124" t="s">
        <v>5</v>
      </c>
      <c r="F3" s="124" t="s">
        <v>6</v>
      </c>
      <c r="G3" s="125" t="s">
        <v>7</v>
      </c>
      <c r="H3" s="126" t="s">
        <v>8</v>
      </c>
      <c r="I3" s="160" t="s">
        <v>9</v>
      </c>
      <c r="J3" s="183" t="s">
        <v>10</v>
      </c>
      <c r="K3" s="208" t="s">
        <v>11</v>
      </c>
      <c r="L3" s="209" t="s">
        <v>12</v>
      </c>
      <c r="M3" s="210" t="s">
        <v>13</v>
      </c>
    </row>
    <row r="4" spans="1:13" ht="16.5" customHeight="1" thickTop="1">
      <c r="A4" s="265">
        <f t="shared" ref="A4:A14" si="0">ROW() - 3</f>
        <v>1</v>
      </c>
      <c r="B4" s="46" t="s">
        <v>24</v>
      </c>
      <c r="C4" s="46" t="s">
        <v>25</v>
      </c>
      <c r="D4" s="46" t="s">
        <v>41</v>
      </c>
      <c r="E4" s="46"/>
      <c r="F4" s="47" t="s">
        <v>42</v>
      </c>
      <c r="G4" s="46"/>
      <c r="H4" s="46">
        <v>1</v>
      </c>
      <c r="I4" s="173"/>
      <c r="J4" s="182" t="s">
        <v>16</v>
      </c>
      <c r="K4" s="182" t="s">
        <v>16</v>
      </c>
      <c r="L4" s="182" t="s">
        <v>16</v>
      </c>
      <c r="M4" s="184" t="s">
        <v>16</v>
      </c>
    </row>
    <row r="5" spans="1:13" ht="229.5">
      <c r="A5" s="40">
        <f t="shared" si="0"/>
        <v>2</v>
      </c>
      <c r="B5" s="41" t="s">
        <v>623</v>
      </c>
      <c r="C5" s="41" t="s">
        <v>624</v>
      </c>
      <c r="D5" s="41" t="s">
        <v>46</v>
      </c>
      <c r="E5" s="41"/>
      <c r="F5" s="42" t="s">
        <v>42</v>
      </c>
      <c r="G5" s="41"/>
      <c r="H5" s="41">
        <v>2</v>
      </c>
      <c r="I5" s="89" t="s">
        <v>698</v>
      </c>
      <c r="J5" s="89" t="s">
        <v>699</v>
      </c>
      <c r="K5" s="193" t="s">
        <v>124</v>
      </c>
      <c r="L5" s="205" t="s">
        <v>700</v>
      </c>
      <c r="M5" s="266"/>
    </row>
    <row r="6" spans="1:13" ht="108">
      <c r="A6" s="40">
        <f t="shared" si="0"/>
        <v>3</v>
      </c>
      <c r="B6" s="41" t="s">
        <v>627</v>
      </c>
      <c r="C6" s="41" t="s">
        <v>628</v>
      </c>
      <c r="D6" s="41" t="s">
        <v>46</v>
      </c>
      <c r="E6" s="41"/>
      <c r="F6" s="42" t="s">
        <v>42</v>
      </c>
      <c r="G6" s="41"/>
      <c r="H6" s="41">
        <v>3</v>
      </c>
      <c r="I6" s="89" t="s">
        <v>701</v>
      </c>
      <c r="J6" s="89" t="s">
        <v>702</v>
      </c>
      <c r="K6" s="193" t="s">
        <v>124</v>
      </c>
      <c r="L6" s="206" t="s">
        <v>703</v>
      </c>
      <c r="M6" s="266"/>
    </row>
    <row r="7" spans="1:13" ht="81">
      <c r="A7" s="40">
        <f t="shared" si="0"/>
        <v>4</v>
      </c>
      <c r="B7" s="41" t="s">
        <v>631</v>
      </c>
      <c r="C7" s="41" t="s">
        <v>704</v>
      </c>
      <c r="D7" s="41" t="s">
        <v>46</v>
      </c>
      <c r="E7" s="41"/>
      <c r="F7" s="42"/>
      <c r="G7" s="41"/>
      <c r="H7" s="41"/>
      <c r="I7" s="89" t="s">
        <v>705</v>
      </c>
      <c r="J7" s="89" t="s">
        <v>706</v>
      </c>
      <c r="K7" s="193" t="s">
        <v>124</v>
      </c>
      <c r="L7" s="206" t="s">
        <v>707</v>
      </c>
      <c r="M7" s="266"/>
    </row>
    <row r="8" spans="1:13" ht="81">
      <c r="A8" s="40">
        <f t="shared" si="0"/>
        <v>5</v>
      </c>
      <c r="B8" s="41" t="s">
        <v>708</v>
      </c>
      <c r="C8" s="41" t="s">
        <v>636</v>
      </c>
      <c r="D8" s="41" t="s">
        <v>46</v>
      </c>
      <c r="E8" s="41"/>
      <c r="F8" s="42"/>
      <c r="G8" s="41"/>
      <c r="H8" s="41"/>
      <c r="I8" s="89" t="s">
        <v>637</v>
      </c>
      <c r="J8" s="89" t="s">
        <v>709</v>
      </c>
      <c r="K8" s="193" t="s">
        <v>124</v>
      </c>
      <c r="L8" s="206" t="s">
        <v>639</v>
      </c>
      <c r="M8" s="266"/>
    </row>
    <row r="9" spans="1:13">
      <c r="A9" s="40">
        <f t="shared" si="0"/>
        <v>6</v>
      </c>
      <c r="B9" s="41" t="s">
        <v>710</v>
      </c>
      <c r="C9" s="41" t="s">
        <v>641</v>
      </c>
      <c r="D9" s="41" t="s">
        <v>92</v>
      </c>
      <c r="E9" s="41"/>
      <c r="F9" s="42"/>
      <c r="G9" s="41"/>
      <c r="H9" s="41"/>
      <c r="I9" s="89" t="s">
        <v>642</v>
      </c>
      <c r="J9" s="89" t="s">
        <v>711</v>
      </c>
      <c r="K9" s="193" t="s">
        <v>124</v>
      </c>
      <c r="L9" s="206" t="s">
        <v>712</v>
      </c>
      <c r="M9" s="266"/>
    </row>
    <row r="10" spans="1:13">
      <c r="A10" s="40">
        <f t="shared" si="0"/>
        <v>7</v>
      </c>
      <c r="B10" s="41" t="s">
        <v>90</v>
      </c>
      <c r="C10" s="41" t="s">
        <v>645</v>
      </c>
      <c r="D10" s="41" t="s">
        <v>92</v>
      </c>
      <c r="E10" s="41"/>
      <c r="F10" s="42"/>
      <c r="G10" s="41"/>
      <c r="H10" s="41"/>
      <c r="I10" s="89" t="s">
        <v>713</v>
      </c>
      <c r="J10" s="89" t="s">
        <v>714</v>
      </c>
      <c r="K10" s="193" t="s">
        <v>124</v>
      </c>
      <c r="L10" s="206" t="s">
        <v>715</v>
      </c>
      <c r="M10" s="266"/>
    </row>
    <row r="11" spans="1:13">
      <c r="A11" s="40">
        <f t="shared" si="0"/>
        <v>8</v>
      </c>
      <c r="B11" s="41" t="s">
        <v>716</v>
      </c>
      <c r="C11" s="41" t="s">
        <v>717</v>
      </c>
      <c r="D11" s="41" t="s">
        <v>92</v>
      </c>
      <c r="E11" s="41"/>
      <c r="F11" s="42"/>
      <c r="G11" s="41"/>
      <c r="H11" s="41"/>
      <c r="I11" s="89"/>
      <c r="J11" s="89" t="s">
        <v>718</v>
      </c>
      <c r="K11" s="193" t="s">
        <v>124</v>
      </c>
      <c r="L11" s="206"/>
      <c r="M11" s="266"/>
    </row>
    <row r="12" spans="1:13">
      <c r="A12" s="40">
        <f t="shared" si="0"/>
        <v>9</v>
      </c>
      <c r="B12" s="41" t="s">
        <v>649</v>
      </c>
      <c r="C12" s="41" t="s">
        <v>719</v>
      </c>
      <c r="D12" s="41" t="s">
        <v>66</v>
      </c>
      <c r="E12" s="41"/>
      <c r="F12" s="42"/>
      <c r="G12" s="41"/>
      <c r="H12" s="41"/>
      <c r="I12" s="89"/>
      <c r="J12" s="89" t="s">
        <v>720</v>
      </c>
      <c r="K12" s="193" t="s">
        <v>124</v>
      </c>
      <c r="L12" s="206"/>
      <c r="M12" s="266"/>
    </row>
    <row r="13" spans="1:13" ht="108">
      <c r="A13" s="40">
        <f t="shared" si="0"/>
        <v>10</v>
      </c>
      <c r="B13" s="41" t="s">
        <v>3</v>
      </c>
      <c r="C13" s="41" t="s">
        <v>653</v>
      </c>
      <c r="D13" s="41" t="s">
        <v>46</v>
      </c>
      <c r="E13" s="41"/>
      <c r="F13" s="42"/>
      <c r="G13" s="41"/>
      <c r="H13" s="41"/>
      <c r="I13" s="89" t="s">
        <v>721</v>
      </c>
      <c r="J13" s="89" t="s">
        <v>722</v>
      </c>
      <c r="K13" s="193" t="s">
        <v>124</v>
      </c>
      <c r="L13" s="206"/>
      <c r="M13" s="266"/>
    </row>
    <row r="14" spans="1:13" s="52" customFormat="1" ht="108.75" thickBot="1">
      <c r="A14" s="275">
        <f t="shared" si="0"/>
        <v>11</v>
      </c>
      <c r="B14" s="127" t="s">
        <v>657</v>
      </c>
      <c r="C14" s="127" t="s">
        <v>658</v>
      </c>
      <c r="D14" s="127" t="s">
        <v>46</v>
      </c>
      <c r="E14" s="127"/>
      <c r="F14" s="128"/>
      <c r="G14" s="127"/>
      <c r="H14" s="127"/>
      <c r="I14" s="174" t="s">
        <v>723</v>
      </c>
      <c r="J14" s="174" t="s">
        <v>724</v>
      </c>
      <c r="K14" s="226" t="s">
        <v>124</v>
      </c>
      <c r="L14" s="207"/>
      <c r="M14" s="276"/>
    </row>
  </sheetData>
  <phoneticPr fontId="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9">
    <tabColor rgb="FFC00000"/>
  </sheetPr>
  <dimension ref="A1:M23"/>
  <sheetViews>
    <sheetView zoomScale="85" zoomScaleNormal="85" workbookViewId="0">
      <selection activeCell="I6" sqref="I6"/>
    </sheetView>
  </sheetViews>
  <sheetFormatPr defaultColWidth="9" defaultRowHeight="13.5" outlineLevelCol="1"/>
  <cols>
    <col min="2" max="3" width="28.42578125" customWidth="1"/>
    <col min="4" max="5" width="13.5703125" hidden="1" customWidth="1" outlineLevel="1"/>
    <col min="6" max="7" width="0" hidden="1" customWidth="1" outlineLevel="1"/>
    <col min="8" max="8" width="10.28515625" bestFit="1" customWidth="1" collapsed="1"/>
    <col min="9" max="9" width="42.5703125" style="18" customWidth="1"/>
    <col min="10" max="10" width="40.42578125" style="18" bestFit="1" customWidth="1"/>
    <col min="11" max="11" width="30.85546875" style="18" bestFit="1" customWidth="1"/>
    <col min="12" max="12" width="34.7109375" style="18" customWidth="1"/>
    <col min="13" max="13" width="33.85546875" style="18" customWidth="1"/>
  </cols>
  <sheetData>
    <row r="1" spans="1:13">
      <c r="A1" s="52" t="s">
        <v>725</v>
      </c>
      <c r="B1" s="52"/>
      <c r="C1" s="52"/>
      <c r="D1" s="52"/>
      <c r="E1" s="52"/>
      <c r="F1" s="52"/>
      <c r="G1" s="52"/>
      <c r="H1" s="52"/>
      <c r="I1" s="120"/>
      <c r="J1" s="120"/>
      <c r="K1" s="120"/>
      <c r="L1" s="120"/>
      <c r="M1" s="120"/>
    </row>
    <row r="2" spans="1:13" ht="14.25" thickBot="1">
      <c r="A2" s="52"/>
      <c r="B2" s="52"/>
      <c r="C2" s="52"/>
      <c r="D2" s="52"/>
      <c r="E2" s="52"/>
      <c r="F2" s="52"/>
      <c r="G2" s="52"/>
      <c r="H2" s="52"/>
      <c r="I2" s="120"/>
      <c r="J2" s="120"/>
      <c r="K2" s="120"/>
      <c r="L2" s="120"/>
      <c r="M2" s="120"/>
    </row>
    <row r="3" spans="1:13" ht="45.75" customHeight="1" thickBot="1">
      <c r="A3" s="227" t="s">
        <v>1</v>
      </c>
      <c r="B3" s="124" t="s">
        <v>2</v>
      </c>
      <c r="C3" s="124" t="s">
        <v>3</v>
      </c>
      <c r="D3" s="124" t="s">
        <v>4</v>
      </c>
      <c r="E3" s="124" t="s">
        <v>5</v>
      </c>
      <c r="F3" s="124" t="s">
        <v>6</v>
      </c>
      <c r="G3" s="125" t="s">
        <v>7</v>
      </c>
      <c r="H3" s="126" t="s">
        <v>8</v>
      </c>
      <c r="I3" s="160" t="s">
        <v>9</v>
      </c>
      <c r="J3" s="183" t="s">
        <v>10</v>
      </c>
      <c r="K3" s="208" t="s">
        <v>11</v>
      </c>
      <c r="L3" s="209" t="s">
        <v>12</v>
      </c>
      <c r="M3" s="210" t="s">
        <v>13</v>
      </c>
    </row>
    <row r="4" spans="1:13" ht="14.25" thickTop="1">
      <c r="A4" s="265">
        <f t="shared" ref="A4:A23" si="0">ROW() - 3</f>
        <v>1</v>
      </c>
      <c r="B4" s="46" t="s">
        <v>24</v>
      </c>
      <c r="C4" s="46" t="s">
        <v>25</v>
      </c>
      <c r="D4" s="46" t="s">
        <v>41</v>
      </c>
      <c r="E4" s="46"/>
      <c r="F4" s="47" t="s">
        <v>42</v>
      </c>
      <c r="G4" s="46"/>
      <c r="H4" s="46">
        <v>1</v>
      </c>
      <c r="I4" s="173"/>
      <c r="J4" s="182" t="s">
        <v>16</v>
      </c>
      <c r="K4" s="182" t="s">
        <v>16</v>
      </c>
      <c r="L4" s="182" t="s">
        <v>16</v>
      </c>
      <c r="M4" s="184" t="s">
        <v>16</v>
      </c>
    </row>
    <row r="5" spans="1:13">
      <c r="A5" s="40">
        <f t="shared" si="0"/>
        <v>2</v>
      </c>
      <c r="B5" s="41" t="s">
        <v>726</v>
      </c>
      <c r="C5" s="41" t="s">
        <v>727</v>
      </c>
      <c r="D5" s="41" t="s">
        <v>50</v>
      </c>
      <c r="E5" s="41"/>
      <c r="F5" s="42" t="s">
        <v>42</v>
      </c>
      <c r="G5" s="41"/>
      <c r="H5" s="41">
        <v>2</v>
      </c>
      <c r="I5" s="173" t="s">
        <v>728</v>
      </c>
      <c r="J5" s="182" t="s">
        <v>16</v>
      </c>
      <c r="K5" s="182" t="s">
        <v>16</v>
      </c>
      <c r="L5" s="182" t="s">
        <v>16</v>
      </c>
      <c r="M5" s="184" t="s">
        <v>16</v>
      </c>
    </row>
    <row r="6" spans="1:13" ht="183" customHeight="1">
      <c r="A6" s="40">
        <f t="shared" si="0"/>
        <v>3</v>
      </c>
      <c r="B6" s="41" t="s">
        <v>729</v>
      </c>
      <c r="C6" s="41" t="s">
        <v>730</v>
      </c>
      <c r="D6" s="41" t="s">
        <v>46</v>
      </c>
      <c r="E6" s="41"/>
      <c r="F6" s="42"/>
      <c r="G6" s="41"/>
      <c r="H6" s="41"/>
      <c r="I6" s="89" t="s">
        <v>731</v>
      </c>
      <c r="J6" s="89" t="s">
        <v>732</v>
      </c>
      <c r="K6" s="89" t="s">
        <v>732</v>
      </c>
      <c r="L6" s="176" t="s">
        <v>733</v>
      </c>
      <c r="M6" s="266"/>
    </row>
    <row r="7" spans="1:13" ht="54">
      <c r="A7" s="40">
        <f t="shared" si="0"/>
        <v>4</v>
      </c>
      <c r="B7" s="41" t="s">
        <v>734</v>
      </c>
      <c r="C7" s="41" t="s">
        <v>735</v>
      </c>
      <c r="D7" s="41" t="s">
        <v>46</v>
      </c>
      <c r="E7" s="41"/>
      <c r="F7" s="42"/>
      <c r="G7" s="41"/>
      <c r="H7" s="41"/>
      <c r="I7" s="89" t="s">
        <v>736</v>
      </c>
      <c r="J7" s="89" t="s">
        <v>737</v>
      </c>
      <c r="K7" s="193" t="s">
        <v>124</v>
      </c>
      <c r="L7" s="193" t="s">
        <v>124</v>
      </c>
      <c r="M7" s="234" t="s">
        <v>124</v>
      </c>
    </row>
    <row r="8" spans="1:13" ht="121.5">
      <c r="A8" s="40">
        <f t="shared" si="0"/>
        <v>5</v>
      </c>
      <c r="B8" s="41" t="s">
        <v>738</v>
      </c>
      <c r="C8" s="41" t="s">
        <v>739</v>
      </c>
      <c r="D8" s="41" t="s">
        <v>46</v>
      </c>
      <c r="E8" s="41"/>
      <c r="F8" s="42"/>
      <c r="G8" s="41"/>
      <c r="H8" s="41"/>
      <c r="I8" s="89" t="s">
        <v>740</v>
      </c>
      <c r="J8" s="89" t="s">
        <v>741</v>
      </c>
      <c r="K8" s="193" t="s">
        <v>124</v>
      </c>
      <c r="L8" s="176" t="s">
        <v>742</v>
      </c>
      <c r="M8" s="266"/>
    </row>
    <row r="9" spans="1:13" ht="67.5">
      <c r="A9" s="40">
        <f t="shared" si="0"/>
        <v>6</v>
      </c>
      <c r="B9" s="41" t="s">
        <v>743</v>
      </c>
      <c r="C9" s="41" t="s">
        <v>744</v>
      </c>
      <c r="D9" s="41" t="s">
        <v>46</v>
      </c>
      <c r="E9" s="41"/>
      <c r="F9" s="42"/>
      <c r="G9" s="41"/>
      <c r="H9" s="41"/>
      <c r="I9" s="89" t="s">
        <v>745</v>
      </c>
      <c r="J9" s="89" t="s">
        <v>746</v>
      </c>
      <c r="K9" s="62" t="s">
        <v>747</v>
      </c>
      <c r="L9" s="89"/>
      <c r="M9" s="266"/>
    </row>
    <row r="10" spans="1:13">
      <c r="A10" s="40">
        <f t="shared" si="0"/>
        <v>7</v>
      </c>
      <c r="B10" s="41" t="s">
        <v>748</v>
      </c>
      <c r="C10" s="41" t="s">
        <v>749</v>
      </c>
      <c r="D10" s="41" t="s">
        <v>92</v>
      </c>
      <c r="E10" s="41"/>
      <c r="F10" s="42"/>
      <c r="G10" s="41"/>
      <c r="H10" s="41"/>
      <c r="I10" s="89"/>
      <c r="J10" s="89" t="s">
        <v>338</v>
      </c>
      <c r="K10" s="193" t="s">
        <v>124</v>
      </c>
      <c r="L10" s="193" t="s">
        <v>124</v>
      </c>
      <c r="M10" s="234" t="s">
        <v>124</v>
      </c>
    </row>
    <row r="11" spans="1:13">
      <c r="A11" s="40">
        <f t="shared" si="0"/>
        <v>8</v>
      </c>
      <c r="B11" s="41" t="s">
        <v>750</v>
      </c>
      <c r="C11" s="41" t="s">
        <v>751</v>
      </c>
      <c r="D11" s="41" t="s">
        <v>92</v>
      </c>
      <c r="E11" s="41"/>
      <c r="F11" s="42"/>
      <c r="G11" s="41"/>
      <c r="H11" s="41"/>
      <c r="I11" s="89"/>
      <c r="J11" s="89" t="s">
        <v>752</v>
      </c>
      <c r="K11" s="193" t="s">
        <v>124</v>
      </c>
      <c r="L11" s="193" t="s">
        <v>124</v>
      </c>
      <c r="M11" s="234" t="s">
        <v>124</v>
      </c>
    </row>
    <row r="12" spans="1:13" ht="40.5">
      <c r="A12" s="40">
        <f t="shared" si="0"/>
        <v>9</v>
      </c>
      <c r="B12" s="41" t="s">
        <v>306</v>
      </c>
      <c r="C12" s="41" t="s">
        <v>753</v>
      </c>
      <c r="D12" s="41" t="s">
        <v>92</v>
      </c>
      <c r="E12" s="41"/>
      <c r="F12" s="42"/>
      <c r="G12" s="41"/>
      <c r="H12" s="41"/>
      <c r="I12" s="89" t="s">
        <v>754</v>
      </c>
      <c r="J12" s="89" t="s">
        <v>755</v>
      </c>
      <c r="K12" s="193" t="s">
        <v>124</v>
      </c>
      <c r="L12" s="193" t="s">
        <v>124</v>
      </c>
      <c r="M12" s="234" t="s">
        <v>124</v>
      </c>
    </row>
    <row r="13" spans="1:13" ht="27">
      <c r="A13" s="40">
        <f t="shared" si="0"/>
        <v>10</v>
      </c>
      <c r="B13" s="41" t="s">
        <v>756</v>
      </c>
      <c r="C13" s="41" t="s">
        <v>757</v>
      </c>
      <c r="D13" s="41" t="s">
        <v>66</v>
      </c>
      <c r="E13" s="41"/>
      <c r="F13" s="42"/>
      <c r="G13" s="41"/>
      <c r="H13" s="41"/>
      <c r="I13" s="89" t="s">
        <v>758</v>
      </c>
      <c r="J13" s="89" t="s">
        <v>371</v>
      </c>
      <c r="K13" s="193" t="s">
        <v>124</v>
      </c>
      <c r="L13" s="193" t="s">
        <v>124</v>
      </c>
      <c r="M13" s="234" t="s">
        <v>124</v>
      </c>
    </row>
    <row r="14" spans="1:13">
      <c r="A14" s="40">
        <f t="shared" si="0"/>
        <v>11</v>
      </c>
      <c r="B14" s="41" t="s">
        <v>759</v>
      </c>
      <c r="C14" s="41" t="s">
        <v>760</v>
      </c>
      <c r="D14" s="41" t="s">
        <v>92</v>
      </c>
      <c r="E14" s="41"/>
      <c r="F14" s="42"/>
      <c r="G14" s="41"/>
      <c r="H14" s="41"/>
      <c r="I14" s="89"/>
      <c r="J14" s="89" t="s">
        <v>338</v>
      </c>
      <c r="K14" s="193" t="s">
        <v>124</v>
      </c>
      <c r="L14" s="193" t="s">
        <v>124</v>
      </c>
      <c r="M14" s="234" t="s">
        <v>124</v>
      </c>
    </row>
    <row r="15" spans="1:13" ht="54">
      <c r="A15" s="40">
        <f t="shared" si="0"/>
        <v>12</v>
      </c>
      <c r="B15" s="41" t="s">
        <v>3</v>
      </c>
      <c r="C15" s="41" t="s">
        <v>761</v>
      </c>
      <c r="D15" s="41" t="s">
        <v>46</v>
      </c>
      <c r="E15" s="41"/>
      <c r="F15" s="42"/>
      <c r="G15" s="41"/>
      <c r="H15" s="41"/>
      <c r="I15" s="89" t="s">
        <v>762</v>
      </c>
      <c r="J15" s="89" t="s">
        <v>763</v>
      </c>
      <c r="K15" s="193" t="s">
        <v>124</v>
      </c>
      <c r="L15" s="193" t="s">
        <v>124</v>
      </c>
      <c r="M15" s="234" t="s">
        <v>124</v>
      </c>
    </row>
    <row r="16" spans="1:13">
      <c r="A16" s="40">
        <f t="shared" si="0"/>
        <v>13</v>
      </c>
      <c r="B16" s="41" t="s">
        <v>764</v>
      </c>
      <c r="C16" s="41" t="s">
        <v>765</v>
      </c>
      <c r="D16" s="41" t="s">
        <v>92</v>
      </c>
      <c r="E16" s="41"/>
      <c r="F16" s="42"/>
      <c r="G16" s="41"/>
      <c r="H16" s="41"/>
      <c r="I16" s="89"/>
      <c r="J16" s="89" t="s">
        <v>338</v>
      </c>
      <c r="K16" s="193" t="s">
        <v>124</v>
      </c>
      <c r="L16" s="193" t="s">
        <v>124</v>
      </c>
      <c r="M16" s="234" t="s">
        <v>124</v>
      </c>
    </row>
    <row r="17" spans="1:13" ht="27">
      <c r="A17" s="40">
        <f t="shared" si="0"/>
        <v>14</v>
      </c>
      <c r="B17" s="41" t="s">
        <v>766</v>
      </c>
      <c r="C17" s="41" t="s">
        <v>767</v>
      </c>
      <c r="D17" s="41" t="s">
        <v>70</v>
      </c>
      <c r="E17" s="41"/>
      <c r="F17" s="42"/>
      <c r="G17" s="41"/>
      <c r="H17" s="41"/>
      <c r="I17" s="89" t="s">
        <v>768</v>
      </c>
      <c r="J17" s="89" t="s">
        <v>341</v>
      </c>
      <c r="K17" s="193" t="s">
        <v>124</v>
      </c>
      <c r="L17" s="193" t="s">
        <v>124</v>
      </c>
      <c r="M17" s="234" t="s">
        <v>124</v>
      </c>
    </row>
    <row r="18" spans="1:13">
      <c r="A18" s="40">
        <f t="shared" si="0"/>
        <v>15</v>
      </c>
      <c r="B18" s="41" t="s">
        <v>769</v>
      </c>
      <c r="C18" s="41" t="s">
        <v>770</v>
      </c>
      <c r="D18" s="41" t="s">
        <v>153</v>
      </c>
      <c r="E18" s="41"/>
      <c r="F18" s="42"/>
      <c r="G18" s="41"/>
      <c r="H18" s="41"/>
      <c r="I18" s="89"/>
      <c r="J18" s="89" t="s">
        <v>771</v>
      </c>
      <c r="K18" s="193" t="s">
        <v>124</v>
      </c>
      <c r="L18" s="193" t="s">
        <v>124</v>
      </c>
      <c r="M18" s="234" t="s">
        <v>124</v>
      </c>
    </row>
    <row r="19" spans="1:13">
      <c r="A19" s="40">
        <f t="shared" si="0"/>
        <v>16</v>
      </c>
      <c r="B19" s="44" t="s">
        <v>772</v>
      </c>
      <c r="C19" s="44" t="s">
        <v>773</v>
      </c>
      <c r="D19" s="44" t="s">
        <v>92</v>
      </c>
      <c r="E19" s="44"/>
      <c r="F19" s="45"/>
      <c r="G19" s="44"/>
      <c r="H19" s="44"/>
      <c r="I19" s="48"/>
      <c r="J19" s="89" t="s">
        <v>338</v>
      </c>
      <c r="K19" s="193" t="s">
        <v>124</v>
      </c>
      <c r="L19" s="193" t="s">
        <v>124</v>
      </c>
      <c r="M19" s="234" t="s">
        <v>124</v>
      </c>
    </row>
    <row r="20" spans="1:13" ht="27">
      <c r="A20" s="40">
        <f t="shared" si="0"/>
        <v>17</v>
      </c>
      <c r="B20" s="41" t="s">
        <v>395</v>
      </c>
      <c r="C20" s="41" t="s">
        <v>774</v>
      </c>
      <c r="D20" s="41" t="s">
        <v>166</v>
      </c>
      <c r="E20" s="41"/>
      <c r="F20" s="42"/>
      <c r="G20" s="41"/>
      <c r="H20" s="41"/>
      <c r="I20" s="89" t="s">
        <v>775</v>
      </c>
      <c r="J20" s="89" t="s">
        <v>341</v>
      </c>
      <c r="K20" s="193" t="s">
        <v>124</v>
      </c>
      <c r="L20" s="193" t="s">
        <v>124</v>
      </c>
      <c r="M20" s="234" t="s">
        <v>124</v>
      </c>
    </row>
    <row r="21" spans="1:13" ht="27">
      <c r="A21" s="40">
        <f t="shared" si="0"/>
        <v>18</v>
      </c>
      <c r="B21" s="41" t="s">
        <v>776</v>
      </c>
      <c r="C21" s="41" t="s">
        <v>777</v>
      </c>
      <c r="D21" s="41" t="s">
        <v>70</v>
      </c>
      <c r="E21" s="41"/>
      <c r="F21" s="42"/>
      <c r="G21" s="41"/>
      <c r="H21" s="41"/>
      <c r="I21" s="89" t="s">
        <v>778</v>
      </c>
      <c r="J21" s="89" t="s">
        <v>779</v>
      </c>
      <c r="K21" s="193" t="s">
        <v>124</v>
      </c>
      <c r="L21" s="193" t="s">
        <v>124</v>
      </c>
      <c r="M21" s="234" t="s">
        <v>124</v>
      </c>
    </row>
    <row r="22" spans="1:13">
      <c r="A22" s="40">
        <f t="shared" si="0"/>
        <v>19</v>
      </c>
      <c r="B22" s="41" t="s">
        <v>780</v>
      </c>
      <c r="C22" s="41" t="s">
        <v>781</v>
      </c>
      <c r="D22" s="41" t="s">
        <v>92</v>
      </c>
      <c r="E22" s="41"/>
      <c r="F22" s="42"/>
      <c r="G22" s="41"/>
      <c r="H22" s="41"/>
      <c r="I22" s="89" t="s">
        <v>782</v>
      </c>
      <c r="J22" s="89" t="s">
        <v>752</v>
      </c>
      <c r="K22" s="193" t="s">
        <v>124</v>
      </c>
      <c r="L22" s="193" t="s">
        <v>124</v>
      </c>
      <c r="M22" s="234" t="s">
        <v>124</v>
      </c>
    </row>
    <row r="23" spans="1:13" ht="14.25" thickBot="1">
      <c r="A23" s="249">
        <f t="shared" si="0"/>
        <v>20</v>
      </c>
      <c r="B23" s="50" t="s">
        <v>783</v>
      </c>
      <c r="C23" s="50" t="s">
        <v>784</v>
      </c>
      <c r="D23" s="50" t="s">
        <v>92</v>
      </c>
      <c r="E23" s="50"/>
      <c r="F23" s="51"/>
      <c r="G23" s="50"/>
      <c r="H23" s="50"/>
      <c r="I23" s="152" t="s">
        <v>785</v>
      </c>
      <c r="J23" s="152" t="s">
        <v>338</v>
      </c>
      <c r="K23" s="226" t="s">
        <v>124</v>
      </c>
      <c r="L23" s="226" t="s">
        <v>124</v>
      </c>
      <c r="M23" s="242" t="s">
        <v>124</v>
      </c>
    </row>
  </sheetData>
  <phoneticPr fontId="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7">
    <tabColor rgb="FFC00000"/>
  </sheetPr>
  <dimension ref="A1:M13"/>
  <sheetViews>
    <sheetView zoomScale="85" zoomScaleNormal="85" workbookViewId="0">
      <selection activeCell="K19" sqref="K19"/>
    </sheetView>
  </sheetViews>
  <sheetFormatPr defaultRowHeight="13.5" outlineLevelCol="1"/>
  <cols>
    <col min="2" max="3" width="28.42578125" customWidth="1"/>
    <col min="4" max="5" width="13.5703125" hidden="1" customWidth="1" outlineLevel="1"/>
    <col min="6" max="7" width="0" hidden="1" customWidth="1" outlineLevel="1"/>
    <col min="8" max="8" width="9" collapsed="1"/>
    <col min="9" max="9" width="42.5703125" style="18" customWidth="1"/>
    <col min="10" max="10" width="40" style="18" customWidth="1"/>
    <col min="11" max="13" width="17.140625" style="18" bestFit="1" customWidth="1"/>
  </cols>
  <sheetData>
    <row r="1" spans="1:13">
      <c r="A1" t="s">
        <v>786</v>
      </c>
    </row>
    <row r="2" spans="1:13" ht="14.25" thickBot="1"/>
    <row r="3" spans="1:13" ht="38.25" customHeight="1" thickBot="1">
      <c r="A3" s="250" t="s">
        <v>1</v>
      </c>
      <c r="B3" s="6" t="s">
        <v>2</v>
      </c>
      <c r="C3" s="6" t="s">
        <v>3</v>
      </c>
      <c r="D3" s="6" t="s">
        <v>4</v>
      </c>
      <c r="E3" s="6" t="s">
        <v>5</v>
      </c>
      <c r="F3" s="6" t="s">
        <v>6</v>
      </c>
      <c r="G3" s="7" t="s">
        <v>7</v>
      </c>
      <c r="H3" s="8" t="s">
        <v>8</v>
      </c>
      <c r="I3" s="166" t="s">
        <v>9</v>
      </c>
      <c r="J3" s="183" t="s">
        <v>10</v>
      </c>
      <c r="K3" s="208" t="s">
        <v>11</v>
      </c>
      <c r="L3" s="209" t="s">
        <v>12</v>
      </c>
      <c r="M3" s="210" t="s">
        <v>13</v>
      </c>
    </row>
    <row r="4" spans="1:13" ht="14.25" thickTop="1">
      <c r="A4" s="9">
        <f>ROW() - 3</f>
        <v>1</v>
      </c>
      <c r="B4" s="1" t="s">
        <v>787</v>
      </c>
      <c r="C4" s="1" t="s">
        <v>25</v>
      </c>
      <c r="D4" s="1" t="s">
        <v>41</v>
      </c>
      <c r="E4" s="1"/>
      <c r="F4" s="2" t="s">
        <v>42</v>
      </c>
      <c r="G4" s="1"/>
      <c r="H4" s="1">
        <v>1</v>
      </c>
      <c r="I4" s="168"/>
      <c r="J4" s="168" t="s">
        <v>788</v>
      </c>
      <c r="K4" s="193" t="s">
        <v>124</v>
      </c>
      <c r="L4" s="193" t="s">
        <v>124</v>
      </c>
      <c r="M4" s="234" t="s">
        <v>124</v>
      </c>
    </row>
    <row r="5" spans="1:13">
      <c r="A5" s="9">
        <f>ROW() - 3</f>
        <v>2</v>
      </c>
      <c r="B5" s="1" t="s">
        <v>789</v>
      </c>
      <c r="C5" s="1" t="s">
        <v>790</v>
      </c>
      <c r="D5" s="1" t="s">
        <v>41</v>
      </c>
      <c r="E5" s="1"/>
      <c r="F5" s="2" t="s">
        <v>42</v>
      </c>
      <c r="G5" s="1"/>
      <c r="H5" s="1"/>
      <c r="I5" s="168"/>
      <c r="J5" s="168" t="s">
        <v>791</v>
      </c>
      <c r="K5" s="193" t="s">
        <v>124</v>
      </c>
      <c r="L5" s="193" t="s">
        <v>124</v>
      </c>
      <c r="M5" s="234" t="s">
        <v>124</v>
      </c>
    </row>
    <row r="6" spans="1:13">
      <c r="A6" s="9">
        <f>ROW() - 3</f>
        <v>3</v>
      </c>
      <c r="B6" s="1" t="s">
        <v>792</v>
      </c>
      <c r="C6" s="1" t="s">
        <v>793</v>
      </c>
      <c r="D6" s="1" t="s">
        <v>46</v>
      </c>
      <c r="E6" s="1"/>
      <c r="F6" s="2" t="s">
        <v>42</v>
      </c>
      <c r="G6" s="1"/>
      <c r="H6" s="1"/>
      <c r="I6" s="168"/>
      <c r="J6" s="168" t="s">
        <v>794</v>
      </c>
      <c r="K6" s="193" t="s">
        <v>124</v>
      </c>
      <c r="L6" s="193" t="s">
        <v>124</v>
      </c>
      <c r="M6" s="234" t="s">
        <v>124</v>
      </c>
    </row>
    <row r="7" spans="1:13">
      <c r="A7" s="9">
        <f t="shared" ref="A7:A12" si="0">ROW() - 3</f>
        <v>4</v>
      </c>
      <c r="B7" s="337" t="s">
        <v>795</v>
      </c>
      <c r="C7" s="1" t="s">
        <v>796</v>
      </c>
      <c r="D7" s="1" t="s">
        <v>50</v>
      </c>
      <c r="E7" s="1"/>
      <c r="F7" s="2" t="s">
        <v>42</v>
      </c>
      <c r="G7" s="1"/>
      <c r="H7" s="1"/>
      <c r="I7" s="168"/>
      <c r="J7" s="168" t="s">
        <v>797</v>
      </c>
      <c r="K7" s="193" t="s">
        <v>124</v>
      </c>
      <c r="L7" s="193" t="s">
        <v>124</v>
      </c>
      <c r="M7" s="234" t="s">
        <v>124</v>
      </c>
    </row>
    <row r="8" spans="1:13">
      <c r="A8" s="9">
        <f t="shared" si="0"/>
        <v>5</v>
      </c>
      <c r="B8" s="1" t="s">
        <v>798</v>
      </c>
      <c r="C8" s="1" t="s">
        <v>799</v>
      </c>
      <c r="D8" s="1" t="s">
        <v>54</v>
      </c>
      <c r="E8" s="1"/>
      <c r="F8" s="2"/>
      <c r="G8" s="1"/>
      <c r="H8" s="1"/>
      <c r="I8" s="168"/>
      <c r="J8" s="168" t="s">
        <v>800</v>
      </c>
      <c r="K8" s="193" t="s">
        <v>124</v>
      </c>
      <c r="L8" s="193" t="s">
        <v>124</v>
      </c>
      <c r="M8" s="234" t="s">
        <v>124</v>
      </c>
    </row>
    <row r="9" spans="1:13">
      <c r="A9" s="9">
        <f t="shared" si="0"/>
        <v>6</v>
      </c>
      <c r="B9" s="1" t="s">
        <v>801</v>
      </c>
      <c r="C9" s="1" t="s">
        <v>802</v>
      </c>
      <c r="D9" s="1" t="s">
        <v>54</v>
      </c>
      <c r="E9" s="1"/>
      <c r="F9" s="2"/>
      <c r="G9" s="1"/>
      <c r="H9" s="1"/>
      <c r="I9" s="168"/>
      <c r="J9" s="168" t="s">
        <v>800</v>
      </c>
      <c r="K9" s="193" t="s">
        <v>124</v>
      </c>
      <c r="L9" s="193" t="s">
        <v>124</v>
      </c>
      <c r="M9" s="234" t="s">
        <v>124</v>
      </c>
    </row>
    <row r="10" spans="1:13" ht="66" customHeight="1">
      <c r="A10" s="9">
        <f t="shared" si="0"/>
        <v>7</v>
      </c>
      <c r="B10" s="1" t="s">
        <v>803</v>
      </c>
      <c r="C10" s="1" t="s">
        <v>804</v>
      </c>
      <c r="D10" s="1" t="s">
        <v>66</v>
      </c>
      <c r="E10" s="1"/>
      <c r="F10" s="2"/>
      <c r="G10" s="1"/>
      <c r="H10" s="1"/>
      <c r="I10" s="168"/>
      <c r="J10" s="168" t="s">
        <v>805</v>
      </c>
      <c r="K10" s="193" t="s">
        <v>124</v>
      </c>
      <c r="L10" s="62" t="s">
        <v>806</v>
      </c>
      <c r="M10" s="234" t="s">
        <v>124</v>
      </c>
    </row>
    <row r="11" spans="1:13">
      <c r="A11" s="9">
        <f t="shared" si="0"/>
        <v>8</v>
      </c>
      <c r="B11" s="1" t="s">
        <v>807</v>
      </c>
      <c r="C11" s="1" t="s">
        <v>808</v>
      </c>
      <c r="D11" s="1" t="s">
        <v>41</v>
      </c>
      <c r="E11" s="1"/>
      <c r="F11" s="2"/>
      <c r="G11" s="1"/>
      <c r="H11" s="1"/>
      <c r="I11" s="168"/>
      <c r="J11" s="168" t="s">
        <v>809</v>
      </c>
      <c r="K11" s="193" t="s">
        <v>124</v>
      </c>
      <c r="L11" s="193" t="s">
        <v>124</v>
      </c>
      <c r="M11" s="234" t="s">
        <v>124</v>
      </c>
    </row>
    <row r="12" spans="1:13">
      <c r="A12" s="9">
        <f t="shared" si="0"/>
        <v>9</v>
      </c>
      <c r="B12" s="1" t="s">
        <v>810</v>
      </c>
      <c r="C12" s="1" t="s">
        <v>811</v>
      </c>
      <c r="D12" s="1" t="s">
        <v>146</v>
      </c>
      <c r="E12" s="1"/>
      <c r="F12" s="2"/>
      <c r="G12" s="1"/>
      <c r="H12" s="1"/>
      <c r="I12" s="168"/>
      <c r="J12" s="168" t="s">
        <v>812</v>
      </c>
      <c r="K12" s="193" t="s">
        <v>124</v>
      </c>
      <c r="L12" s="193" t="s">
        <v>124</v>
      </c>
      <c r="M12" s="234" t="s">
        <v>124</v>
      </c>
    </row>
    <row r="13" spans="1:13" ht="14.25" thickBot="1">
      <c r="A13" s="10">
        <f>ROW() - 3</f>
        <v>10</v>
      </c>
      <c r="B13" s="11" t="s">
        <v>813</v>
      </c>
      <c r="C13" s="11" t="s">
        <v>814</v>
      </c>
      <c r="D13" s="11" t="s">
        <v>46</v>
      </c>
      <c r="E13" s="11"/>
      <c r="F13" s="12"/>
      <c r="G13" s="11"/>
      <c r="H13" s="11"/>
      <c r="I13" s="169"/>
      <c r="J13" s="169" t="s">
        <v>815</v>
      </c>
      <c r="K13" s="226" t="s">
        <v>124</v>
      </c>
      <c r="L13" s="226" t="s">
        <v>124</v>
      </c>
      <c r="M13" s="242" t="s">
        <v>124</v>
      </c>
    </row>
  </sheetData>
  <phoneticPr fontId="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8">
    <tabColor rgb="FFC00000"/>
  </sheetPr>
  <dimension ref="A1:M6"/>
  <sheetViews>
    <sheetView zoomScale="85" zoomScaleNormal="85" workbookViewId="0">
      <selection activeCell="I5" sqref="I5"/>
    </sheetView>
  </sheetViews>
  <sheetFormatPr defaultRowHeight="13.5" outlineLevelCol="1"/>
  <cols>
    <col min="1" max="1" width="10.5703125" bestFit="1" customWidth="1"/>
    <col min="2" max="2" width="21.28515625" bestFit="1" customWidth="1"/>
    <col min="3" max="3" width="26.5703125" bestFit="1" customWidth="1"/>
    <col min="4" max="4" width="10" hidden="1" customWidth="1" outlineLevel="1"/>
    <col min="5" max="5" width="15.28515625" hidden="1" customWidth="1" outlineLevel="1"/>
    <col min="6" max="6" width="7.7109375" hidden="1" customWidth="1" outlineLevel="1"/>
    <col min="7" max="7" width="9" hidden="1" customWidth="1" outlineLevel="1"/>
    <col min="8" max="8" width="10.28515625" bestFit="1" customWidth="1" collapsed="1"/>
    <col min="9" max="9" width="39.140625" style="18" bestFit="1" customWidth="1"/>
    <col min="10" max="13" width="26.42578125" style="18" bestFit="1" customWidth="1"/>
  </cols>
  <sheetData>
    <row r="1" spans="1:13">
      <c r="A1" s="21" t="s">
        <v>816</v>
      </c>
      <c r="B1" s="21"/>
      <c r="C1" s="21"/>
      <c r="D1" s="21"/>
      <c r="E1" s="21"/>
      <c r="F1" s="21"/>
      <c r="G1" s="21"/>
      <c r="H1" s="21"/>
      <c r="I1" s="325"/>
      <c r="J1" s="325"/>
      <c r="K1" s="325"/>
      <c r="L1" s="325"/>
      <c r="M1" s="325"/>
    </row>
    <row r="2" spans="1:13" ht="14.25" thickBot="1">
      <c r="A2" s="21"/>
      <c r="B2" s="21"/>
      <c r="C2" s="21"/>
      <c r="D2" s="21"/>
      <c r="E2" s="21"/>
      <c r="F2" s="21"/>
      <c r="G2" s="21"/>
      <c r="H2" s="21"/>
      <c r="I2" s="325"/>
      <c r="J2" s="325"/>
      <c r="K2" s="325"/>
      <c r="L2" s="325"/>
      <c r="M2" s="325"/>
    </row>
    <row r="3" spans="1:13" ht="42" customHeight="1" thickBot="1">
      <c r="A3" s="22" t="s">
        <v>1</v>
      </c>
      <c r="B3" s="23" t="s">
        <v>2</v>
      </c>
      <c r="C3" s="23" t="s">
        <v>3</v>
      </c>
      <c r="D3" s="23" t="s">
        <v>4</v>
      </c>
      <c r="E3" s="23" t="s">
        <v>5</v>
      </c>
      <c r="F3" s="23" t="s">
        <v>6</v>
      </c>
      <c r="G3" s="24" t="s">
        <v>7</v>
      </c>
      <c r="H3" s="25" t="s">
        <v>8</v>
      </c>
      <c r="I3" s="29" t="s">
        <v>9</v>
      </c>
      <c r="J3" s="183" t="s">
        <v>10</v>
      </c>
      <c r="K3" s="208" t="s">
        <v>11</v>
      </c>
      <c r="L3" s="209" t="s">
        <v>12</v>
      </c>
      <c r="M3" s="210" t="s">
        <v>13</v>
      </c>
    </row>
    <row r="4" spans="1:13" ht="14.25" thickTop="1">
      <c r="A4" s="326">
        <f>ROW() - 3</f>
        <v>1</v>
      </c>
      <c r="B4" s="30" t="s">
        <v>24</v>
      </c>
      <c r="C4" s="30" t="s">
        <v>25</v>
      </c>
      <c r="D4" s="30" t="s">
        <v>41</v>
      </c>
      <c r="E4" s="30"/>
      <c r="F4" s="116" t="s">
        <v>42</v>
      </c>
      <c r="G4" s="30"/>
      <c r="H4" s="30">
        <v>1</v>
      </c>
      <c r="I4" s="64"/>
      <c r="J4" s="182" t="s">
        <v>16</v>
      </c>
      <c r="K4" s="182" t="s">
        <v>16</v>
      </c>
      <c r="L4" s="182" t="s">
        <v>16</v>
      </c>
      <c r="M4" s="184" t="s">
        <v>16</v>
      </c>
    </row>
    <row r="5" spans="1:13" ht="27">
      <c r="A5" s="326">
        <f>ROW() - 3</f>
        <v>2</v>
      </c>
      <c r="B5" s="66" t="s">
        <v>817</v>
      </c>
      <c r="C5" s="66" t="s">
        <v>818</v>
      </c>
      <c r="D5" s="66" t="s">
        <v>92</v>
      </c>
      <c r="E5" s="66"/>
      <c r="F5" s="338"/>
      <c r="G5" s="66"/>
      <c r="H5" s="66"/>
      <c r="I5" s="267" t="s">
        <v>819</v>
      </c>
      <c r="J5" s="267" t="s">
        <v>820</v>
      </c>
      <c r="K5" s="193" t="s">
        <v>124</v>
      </c>
      <c r="L5" s="193" t="s">
        <v>124</v>
      </c>
      <c r="M5" s="234" t="s">
        <v>124</v>
      </c>
    </row>
    <row r="6" spans="1:13" ht="14.25" thickBot="1">
      <c r="A6" s="339">
        <f>ROW() - 3</f>
        <v>3</v>
      </c>
      <c r="B6" s="65" t="s">
        <v>821</v>
      </c>
      <c r="C6" s="65" t="s">
        <v>822</v>
      </c>
      <c r="D6" s="65" t="s">
        <v>66</v>
      </c>
      <c r="E6" s="65"/>
      <c r="F6" s="340"/>
      <c r="G6" s="65"/>
      <c r="H6" s="65"/>
      <c r="I6" s="268" t="s">
        <v>823</v>
      </c>
      <c r="J6" s="268" t="s">
        <v>824</v>
      </c>
      <c r="K6" s="226" t="s">
        <v>124</v>
      </c>
      <c r="L6" s="226" t="s">
        <v>124</v>
      </c>
      <c r="M6" s="242" t="s">
        <v>124</v>
      </c>
    </row>
  </sheetData>
  <phoneticPr fontId="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tabColor rgb="FFC00000"/>
  </sheetPr>
  <dimension ref="A1:M6"/>
  <sheetViews>
    <sheetView zoomScaleNormal="100" workbookViewId="0">
      <selection activeCell="K5" sqref="K5:M5"/>
    </sheetView>
  </sheetViews>
  <sheetFormatPr defaultRowHeight="13.5" outlineLevelCol="1"/>
  <cols>
    <col min="1" max="1" width="11.28515625" bestFit="1" customWidth="1"/>
    <col min="2" max="2" width="14.5703125" bestFit="1" customWidth="1"/>
    <col min="3" max="3" width="12.28515625" bestFit="1" customWidth="1"/>
    <col min="4" max="4" width="10.5703125" bestFit="1" customWidth="1" outlineLevel="1"/>
    <col min="5" max="5" width="16.42578125" bestFit="1" customWidth="1" outlineLevel="1"/>
    <col min="6" max="6" width="8.42578125" bestFit="1" customWidth="1" outlineLevel="1"/>
    <col min="7" max="7" width="8.7109375" bestFit="1" customWidth="1" outlineLevel="1"/>
    <col min="8" max="8" width="10" bestFit="1" customWidth="1"/>
    <col min="9" max="9" width="23.7109375" style="18" bestFit="1" customWidth="1"/>
    <col min="10" max="10" width="13.42578125" style="18" bestFit="1" customWidth="1"/>
    <col min="11" max="13" width="16.28515625" style="18" customWidth="1"/>
  </cols>
  <sheetData>
    <row r="1" spans="1:13">
      <c r="A1" t="s">
        <v>825</v>
      </c>
    </row>
    <row r="2" spans="1:13" ht="14.25" thickBot="1"/>
    <row r="3" spans="1:13" ht="53.25" customHeight="1" thickBot="1">
      <c r="A3" s="250" t="s">
        <v>1</v>
      </c>
      <c r="B3" s="6" t="s">
        <v>2</v>
      </c>
      <c r="C3" s="6" t="s">
        <v>3</v>
      </c>
      <c r="D3" s="6" t="s">
        <v>4</v>
      </c>
      <c r="E3" s="6" t="s">
        <v>5</v>
      </c>
      <c r="F3" s="6" t="s">
        <v>6</v>
      </c>
      <c r="G3" s="7" t="s">
        <v>7</v>
      </c>
      <c r="H3" s="8" t="s">
        <v>8</v>
      </c>
      <c r="I3" s="166" t="s">
        <v>9</v>
      </c>
      <c r="J3" s="183" t="s">
        <v>10</v>
      </c>
      <c r="K3" s="208" t="s">
        <v>11</v>
      </c>
      <c r="L3" s="209" t="s">
        <v>12</v>
      </c>
      <c r="M3" s="210" t="s">
        <v>13</v>
      </c>
    </row>
    <row r="4" spans="1:13" ht="17.25" customHeight="1" thickTop="1">
      <c r="A4" s="251">
        <f>ROW() - 3</f>
        <v>1</v>
      </c>
      <c r="B4" s="4" t="s">
        <v>24</v>
      </c>
      <c r="C4" s="4" t="s">
        <v>25</v>
      </c>
      <c r="D4" s="4" t="s">
        <v>41</v>
      </c>
      <c r="E4" s="4"/>
      <c r="F4" s="5" t="s">
        <v>42</v>
      </c>
      <c r="G4" s="4"/>
      <c r="H4" s="4">
        <v>1</v>
      </c>
      <c r="I4" s="167"/>
      <c r="J4" s="182" t="s">
        <v>16</v>
      </c>
      <c r="K4" s="182" t="s">
        <v>16</v>
      </c>
      <c r="L4" s="182" t="s">
        <v>16</v>
      </c>
      <c r="M4" s="184" t="s">
        <v>16</v>
      </c>
    </row>
    <row r="5" spans="1:13" ht="14.25" thickBot="1">
      <c r="A5" s="10">
        <f>ROW() - 3</f>
        <v>2</v>
      </c>
      <c r="B5" s="11" t="s">
        <v>821</v>
      </c>
      <c r="C5" s="11" t="s">
        <v>822</v>
      </c>
      <c r="D5" s="11" t="s">
        <v>50</v>
      </c>
      <c r="E5" s="11"/>
      <c r="F5" s="12"/>
      <c r="G5" s="11"/>
      <c r="H5" s="11"/>
      <c r="I5" s="169" t="s">
        <v>826</v>
      </c>
      <c r="J5" s="169" t="s">
        <v>371</v>
      </c>
      <c r="K5" s="193" t="s">
        <v>124</v>
      </c>
      <c r="L5" s="193" t="s">
        <v>124</v>
      </c>
      <c r="M5" s="193" t="s">
        <v>124</v>
      </c>
    </row>
    <row r="6" spans="1:13">
      <c r="A6" s="3"/>
      <c r="B6" s="3"/>
      <c r="C6" s="3"/>
      <c r="D6" s="3"/>
      <c r="E6" s="3"/>
      <c r="F6" s="3"/>
      <c r="G6" s="3"/>
      <c r="H6" s="3"/>
      <c r="I6" s="19"/>
      <c r="J6" s="19"/>
      <c r="K6" s="19"/>
      <c r="L6" s="19"/>
      <c r="M6" s="19"/>
    </row>
  </sheetData>
  <phoneticPr fontId="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5">
    <tabColor rgb="FFC00000"/>
  </sheetPr>
  <dimension ref="A1:M6"/>
  <sheetViews>
    <sheetView zoomScaleNormal="100" workbookViewId="0">
      <selection activeCell="J13" sqref="J13"/>
    </sheetView>
  </sheetViews>
  <sheetFormatPr defaultRowHeight="13.5" outlineLevelCol="1"/>
  <cols>
    <col min="1" max="1" width="10.42578125" bestFit="1" customWidth="1"/>
    <col min="2" max="2" width="12.85546875" bestFit="1" customWidth="1"/>
    <col min="3" max="3" width="11.42578125" bestFit="1" customWidth="1"/>
    <col min="4" max="4" width="9.5703125" bestFit="1" customWidth="1" outlineLevel="1"/>
    <col min="5" max="5" width="14.7109375" bestFit="1" customWidth="1" outlineLevel="1"/>
    <col min="6" max="6" width="7.42578125" bestFit="1" customWidth="1" outlineLevel="1"/>
    <col min="7" max="7" width="8.7109375" bestFit="1" customWidth="1" outlineLevel="1"/>
    <col min="8" max="8" width="9.85546875" bestFit="1" customWidth="1"/>
    <col min="9" max="9" width="33.140625" style="18" bestFit="1" customWidth="1"/>
    <col min="10" max="10" width="56.42578125" style="18" bestFit="1" customWidth="1"/>
    <col min="11" max="11" width="9" style="18" bestFit="1" customWidth="1"/>
    <col min="12" max="12" width="11.7109375" style="18" bestFit="1" customWidth="1"/>
    <col min="13" max="13" width="11.28515625" style="18" bestFit="1" customWidth="1"/>
  </cols>
  <sheetData>
    <row r="1" spans="1:13">
      <c r="A1" t="s">
        <v>827</v>
      </c>
    </row>
    <row r="2" spans="1:13" ht="14.25" thickBot="1"/>
    <row r="3" spans="1:13" ht="49.5" customHeight="1" thickBot="1">
      <c r="A3" s="250" t="s">
        <v>1</v>
      </c>
      <c r="B3" s="6" t="s">
        <v>2</v>
      </c>
      <c r="C3" s="6" t="s">
        <v>3</v>
      </c>
      <c r="D3" s="6" t="s">
        <v>4</v>
      </c>
      <c r="E3" s="6" t="s">
        <v>5</v>
      </c>
      <c r="F3" s="6" t="s">
        <v>6</v>
      </c>
      <c r="G3" s="7" t="s">
        <v>7</v>
      </c>
      <c r="H3" s="8" t="s">
        <v>8</v>
      </c>
      <c r="I3" s="166" t="s">
        <v>9</v>
      </c>
      <c r="J3" s="183" t="s">
        <v>10</v>
      </c>
      <c r="K3" s="208" t="s">
        <v>11</v>
      </c>
      <c r="L3" s="209" t="s">
        <v>12</v>
      </c>
      <c r="M3" s="210" t="s">
        <v>13</v>
      </c>
    </row>
    <row r="4" spans="1:13" ht="75" customHeight="1">
      <c r="A4" s="257">
        <f>ROW() - 3</f>
        <v>1</v>
      </c>
      <c r="B4" s="15" t="s">
        <v>828</v>
      </c>
      <c r="C4" s="15" t="s">
        <v>829</v>
      </c>
      <c r="D4" s="15" t="s">
        <v>146</v>
      </c>
      <c r="E4" s="15"/>
      <c r="F4" s="16"/>
      <c r="G4" s="15"/>
      <c r="H4" s="15"/>
      <c r="I4" s="172" t="s">
        <v>830</v>
      </c>
      <c r="J4" s="172" t="s">
        <v>831</v>
      </c>
      <c r="K4" s="200"/>
      <c r="L4" s="200"/>
      <c r="M4" s="256"/>
    </row>
    <row r="5" spans="1:13" ht="14.25" customHeight="1">
      <c r="A5" s="3"/>
      <c r="B5" s="3"/>
      <c r="C5" s="3"/>
      <c r="D5" s="3"/>
      <c r="E5" s="3"/>
      <c r="F5" s="3"/>
      <c r="G5" s="3"/>
      <c r="H5" s="3"/>
      <c r="I5" s="19"/>
      <c r="J5" s="19"/>
    </row>
    <row r="6" spans="1:13" ht="51">
      <c r="J6" s="253" t="s">
        <v>832</v>
      </c>
      <c r="K6"/>
      <c r="L6"/>
      <c r="M6"/>
    </row>
  </sheetData>
  <phoneticPr fontId="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6">
    <tabColor rgb="FFC00000"/>
  </sheetPr>
  <dimension ref="A1:M7"/>
  <sheetViews>
    <sheetView zoomScale="70" zoomScaleNormal="70" workbookViewId="0">
      <selection activeCell="J22" sqref="J22"/>
    </sheetView>
  </sheetViews>
  <sheetFormatPr defaultRowHeight="13.5" outlineLevelCol="1"/>
  <cols>
    <col min="2" max="3" width="28.42578125" customWidth="1"/>
    <col min="4" max="5" width="13.5703125" hidden="1" customWidth="1" outlineLevel="1"/>
    <col min="6" max="7" width="0" hidden="1" customWidth="1" outlineLevel="1"/>
    <col min="8" max="8" width="9" collapsed="1"/>
    <col min="9" max="9" width="42.5703125" style="18" customWidth="1"/>
    <col min="10" max="10" width="54.7109375" style="18" customWidth="1"/>
    <col min="11" max="13" width="42.5703125" style="18" customWidth="1"/>
  </cols>
  <sheetData>
    <row r="1" spans="1:13">
      <c r="A1" t="s">
        <v>833</v>
      </c>
    </row>
    <row r="2" spans="1:13" ht="14.25" thickBot="1"/>
    <row r="3" spans="1:13" ht="42.75" customHeight="1" thickBot="1">
      <c r="A3" s="250" t="s">
        <v>1</v>
      </c>
      <c r="B3" s="6" t="s">
        <v>2</v>
      </c>
      <c r="C3" s="6" t="s">
        <v>3</v>
      </c>
      <c r="D3" s="6" t="s">
        <v>4</v>
      </c>
      <c r="E3" s="6" t="s">
        <v>5</v>
      </c>
      <c r="F3" s="6" t="s">
        <v>6</v>
      </c>
      <c r="G3" s="7" t="s">
        <v>7</v>
      </c>
      <c r="H3" s="8" t="s">
        <v>8</v>
      </c>
      <c r="I3" s="166" t="s">
        <v>9</v>
      </c>
      <c r="J3" s="183" t="s">
        <v>10</v>
      </c>
      <c r="K3" s="208" t="s">
        <v>11</v>
      </c>
      <c r="L3" s="209" t="s">
        <v>12</v>
      </c>
      <c r="M3" s="210" t="s">
        <v>13</v>
      </c>
    </row>
    <row r="4" spans="1:13" ht="22.5" customHeight="1" thickTop="1">
      <c r="A4" s="252">
        <f>ROW() - 3</f>
        <v>1</v>
      </c>
      <c r="B4" s="27" t="s">
        <v>834</v>
      </c>
      <c r="C4" s="27" t="s">
        <v>835</v>
      </c>
      <c r="D4" s="27" t="s">
        <v>146</v>
      </c>
      <c r="E4" s="27"/>
      <c r="F4" s="28" t="s">
        <v>836</v>
      </c>
      <c r="G4" s="27"/>
      <c r="H4" s="27"/>
      <c r="I4" s="171" t="s">
        <v>837</v>
      </c>
      <c r="J4" s="171" t="s">
        <v>838</v>
      </c>
      <c r="K4" s="254"/>
      <c r="L4" s="254"/>
      <c r="M4" s="255"/>
    </row>
    <row r="5" spans="1:13" ht="22.5" customHeight="1" thickBot="1">
      <c r="A5" s="10">
        <f>ROW() - 3</f>
        <v>2</v>
      </c>
      <c r="B5" s="11" t="s">
        <v>839</v>
      </c>
      <c r="C5" s="11" t="s">
        <v>840</v>
      </c>
      <c r="D5" s="11" t="s">
        <v>146</v>
      </c>
      <c r="E5" s="11"/>
      <c r="F5" s="12" t="s">
        <v>836</v>
      </c>
      <c r="G5" s="11"/>
      <c r="H5" s="11"/>
      <c r="I5" s="118" t="s">
        <v>841</v>
      </c>
      <c r="J5" s="118" t="s">
        <v>831</v>
      </c>
      <c r="K5" s="200"/>
      <c r="L5" s="200"/>
      <c r="M5" s="256"/>
    </row>
    <row r="6" spans="1:13">
      <c r="A6" s="3"/>
      <c r="B6" s="3"/>
      <c r="C6" s="3"/>
      <c r="D6" s="3"/>
      <c r="E6" s="3"/>
      <c r="F6" s="3"/>
      <c r="G6" s="3"/>
      <c r="H6" s="3"/>
      <c r="I6" s="19"/>
      <c r="J6" s="19"/>
      <c r="K6" s="19"/>
      <c r="L6" s="19"/>
      <c r="M6" s="19"/>
    </row>
    <row r="7" spans="1:13" ht="51">
      <c r="J7" s="253" t="s">
        <v>842</v>
      </c>
    </row>
  </sheetData>
  <phoneticPr fontId="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rgb="FFC00000"/>
  </sheetPr>
  <dimension ref="A1:O96"/>
  <sheetViews>
    <sheetView topLeftCell="A20" zoomScale="85" zoomScaleNormal="85" workbookViewId="0">
      <selection activeCell="B38" sqref="B38"/>
    </sheetView>
  </sheetViews>
  <sheetFormatPr defaultRowHeight="13.5" outlineLevelCol="1"/>
  <cols>
    <col min="2" max="2" width="34.5703125" customWidth="1"/>
    <col min="3" max="3" width="28.42578125" customWidth="1"/>
    <col min="4" max="5" width="13.5703125" hidden="1" customWidth="1" outlineLevel="1"/>
    <col min="6" max="7" width="0" hidden="1" customWidth="1" outlineLevel="1"/>
    <col min="8" max="8" width="9" collapsed="1"/>
    <col min="9" max="9" width="36.28515625" style="18" customWidth="1"/>
    <col min="10" max="10" width="14.85546875" customWidth="1"/>
    <col min="11" max="11" width="13.7109375" customWidth="1"/>
    <col min="12" max="12" width="13" style="18" bestFit="1" customWidth="1"/>
    <col min="13" max="15" width="19.5703125" style="18" customWidth="1"/>
  </cols>
  <sheetData>
    <row r="1" spans="1:15">
      <c r="A1" t="s">
        <v>843</v>
      </c>
    </row>
    <row r="2" spans="1:15" ht="14.25" thickBot="1"/>
    <row r="3" spans="1:15" ht="42.75" customHeight="1" thickBot="1">
      <c r="A3" s="259" t="s">
        <v>1</v>
      </c>
      <c r="B3" s="260" t="s">
        <v>2</v>
      </c>
      <c r="C3" s="260" t="s">
        <v>3</v>
      </c>
      <c r="D3" s="260" t="s">
        <v>4</v>
      </c>
      <c r="E3" s="260" t="s">
        <v>5</v>
      </c>
      <c r="F3" s="260" t="s">
        <v>6</v>
      </c>
      <c r="G3" s="261" t="s">
        <v>7</v>
      </c>
      <c r="H3" s="262" t="s">
        <v>8</v>
      </c>
      <c r="I3" s="263" t="s">
        <v>9</v>
      </c>
      <c r="J3" s="264" t="s">
        <v>844</v>
      </c>
      <c r="K3" s="264" t="s">
        <v>845</v>
      </c>
      <c r="L3" s="248" t="s">
        <v>10</v>
      </c>
      <c r="M3" s="208" t="s">
        <v>11</v>
      </c>
      <c r="N3" s="209" t="s">
        <v>12</v>
      </c>
      <c r="O3" s="210" t="s">
        <v>13</v>
      </c>
    </row>
    <row r="4" spans="1:15" ht="14.25" customHeight="1">
      <c r="A4" s="251">
        <f>ROW() - 3</f>
        <v>1</v>
      </c>
      <c r="B4" s="4" t="s">
        <v>24</v>
      </c>
      <c r="C4" s="4" t="s">
        <v>25</v>
      </c>
      <c r="D4" s="4" t="s">
        <v>41</v>
      </c>
      <c r="E4" s="4"/>
      <c r="F4" s="5" t="s">
        <v>42</v>
      </c>
      <c r="G4" s="4"/>
      <c r="H4" s="4">
        <v>1</v>
      </c>
      <c r="I4" s="167"/>
      <c r="J4" s="258" t="s">
        <v>846</v>
      </c>
      <c r="K4" s="258" t="s">
        <v>846</v>
      </c>
      <c r="L4" s="182" t="s">
        <v>16</v>
      </c>
      <c r="M4" s="182" t="s">
        <v>16</v>
      </c>
      <c r="N4" s="182" t="s">
        <v>16</v>
      </c>
      <c r="O4" s="184" t="s">
        <v>16</v>
      </c>
    </row>
    <row r="5" spans="1:15" ht="14.25" customHeight="1">
      <c r="A5" s="9">
        <f>ROW() - 3</f>
        <v>2</v>
      </c>
      <c r="B5" s="1" t="s">
        <v>847</v>
      </c>
      <c r="C5" s="1" t="s">
        <v>848</v>
      </c>
      <c r="D5" s="1" t="s">
        <v>50</v>
      </c>
      <c r="E5" s="1"/>
      <c r="F5" s="2"/>
      <c r="G5" s="1"/>
      <c r="H5" s="1"/>
      <c r="I5" s="168"/>
      <c r="J5" s="13" t="s">
        <v>846</v>
      </c>
      <c r="K5" s="13" t="s">
        <v>846</v>
      </c>
      <c r="L5" s="168" t="s">
        <v>262</v>
      </c>
      <c r="M5" s="269" t="s">
        <v>124</v>
      </c>
      <c r="N5" s="269" t="s">
        <v>124</v>
      </c>
      <c r="O5" s="270" t="s">
        <v>124</v>
      </c>
    </row>
    <row r="6" spans="1:15">
      <c r="A6" s="9">
        <f t="shared" ref="A6:A48" si="0">ROW() - 3</f>
        <v>3</v>
      </c>
      <c r="B6" s="1" t="s">
        <v>849</v>
      </c>
      <c r="C6" s="1" t="s">
        <v>850</v>
      </c>
      <c r="D6" s="1" t="s">
        <v>66</v>
      </c>
      <c r="E6" s="1"/>
      <c r="F6" s="2"/>
      <c r="G6" s="1"/>
      <c r="H6" s="1"/>
      <c r="I6" s="168"/>
      <c r="J6" s="13" t="s">
        <v>846</v>
      </c>
      <c r="K6" s="13" t="s">
        <v>846</v>
      </c>
      <c r="L6" s="168" t="s">
        <v>262</v>
      </c>
      <c r="M6" s="271" t="s">
        <v>124</v>
      </c>
      <c r="N6" s="271" t="s">
        <v>124</v>
      </c>
      <c r="O6" s="272" t="s">
        <v>124</v>
      </c>
    </row>
    <row r="7" spans="1:15">
      <c r="A7" s="9">
        <f t="shared" si="0"/>
        <v>4</v>
      </c>
      <c r="B7" s="1" t="s">
        <v>851</v>
      </c>
      <c r="C7" s="1" t="s">
        <v>852</v>
      </c>
      <c r="D7" s="1" t="s">
        <v>66</v>
      </c>
      <c r="E7" s="1"/>
      <c r="F7" s="2"/>
      <c r="G7" s="1"/>
      <c r="H7" s="1"/>
      <c r="I7" s="168"/>
      <c r="J7" s="13" t="s">
        <v>846</v>
      </c>
      <c r="K7" s="13" t="s">
        <v>846</v>
      </c>
      <c r="L7" s="168" t="s">
        <v>262</v>
      </c>
      <c r="M7" s="271" t="s">
        <v>124</v>
      </c>
      <c r="N7" s="271" t="s">
        <v>124</v>
      </c>
      <c r="O7" s="272" t="s">
        <v>124</v>
      </c>
    </row>
    <row r="8" spans="1:15">
      <c r="A8" s="9">
        <f t="shared" si="0"/>
        <v>5</v>
      </c>
      <c r="B8" s="1" t="s">
        <v>853</v>
      </c>
      <c r="C8" s="1" t="s">
        <v>854</v>
      </c>
      <c r="D8" s="1" t="s">
        <v>66</v>
      </c>
      <c r="E8" s="1"/>
      <c r="F8" s="2"/>
      <c r="G8" s="1"/>
      <c r="H8" s="1"/>
      <c r="I8" s="168"/>
      <c r="J8" s="13" t="s">
        <v>846</v>
      </c>
      <c r="K8" s="13" t="s">
        <v>846</v>
      </c>
      <c r="L8" s="168" t="s">
        <v>262</v>
      </c>
      <c r="M8" s="271" t="s">
        <v>124</v>
      </c>
      <c r="N8" s="271" t="s">
        <v>124</v>
      </c>
      <c r="O8" s="272" t="s">
        <v>124</v>
      </c>
    </row>
    <row r="9" spans="1:15">
      <c r="A9" s="9">
        <f t="shared" si="0"/>
        <v>6</v>
      </c>
      <c r="B9" s="1" t="s">
        <v>855</v>
      </c>
      <c r="C9" s="1" t="s">
        <v>856</v>
      </c>
      <c r="D9" s="1" t="s">
        <v>66</v>
      </c>
      <c r="E9" s="1"/>
      <c r="F9" s="2"/>
      <c r="G9" s="1"/>
      <c r="H9" s="1"/>
      <c r="I9" s="168"/>
      <c r="J9" s="13" t="s">
        <v>846</v>
      </c>
      <c r="K9" s="13" t="s">
        <v>846</v>
      </c>
      <c r="L9" s="168" t="s">
        <v>262</v>
      </c>
      <c r="M9" s="271" t="s">
        <v>124</v>
      </c>
      <c r="N9" s="271" t="s">
        <v>124</v>
      </c>
      <c r="O9" s="272" t="s">
        <v>124</v>
      </c>
    </row>
    <row r="10" spans="1:15">
      <c r="A10" s="9">
        <f t="shared" si="0"/>
        <v>7</v>
      </c>
      <c r="B10" s="1" t="s">
        <v>857</v>
      </c>
      <c r="C10" s="1" t="s">
        <v>858</v>
      </c>
      <c r="D10" s="1" t="s">
        <v>66</v>
      </c>
      <c r="E10" s="1"/>
      <c r="F10" s="2"/>
      <c r="G10" s="1"/>
      <c r="H10" s="1"/>
      <c r="I10" s="168"/>
      <c r="J10" s="13" t="s">
        <v>846</v>
      </c>
      <c r="K10" s="13" t="s">
        <v>846</v>
      </c>
      <c r="L10" s="168" t="s">
        <v>262</v>
      </c>
      <c r="M10" s="271" t="s">
        <v>124</v>
      </c>
      <c r="N10" s="271" t="s">
        <v>124</v>
      </c>
      <c r="O10" s="272" t="s">
        <v>124</v>
      </c>
    </row>
    <row r="11" spans="1:15">
      <c r="A11" s="9">
        <f t="shared" si="0"/>
        <v>8</v>
      </c>
      <c r="B11" s="1" t="s">
        <v>859</v>
      </c>
      <c r="C11" s="1" t="s">
        <v>860</v>
      </c>
      <c r="D11" s="1" t="s">
        <v>66</v>
      </c>
      <c r="E11" s="1"/>
      <c r="F11" s="2"/>
      <c r="G11" s="1"/>
      <c r="H11" s="1"/>
      <c r="I11" s="168"/>
      <c r="J11" s="13" t="s">
        <v>846</v>
      </c>
      <c r="K11" s="13" t="s">
        <v>846</v>
      </c>
      <c r="L11" s="168" t="s">
        <v>262</v>
      </c>
      <c r="M11" s="271" t="s">
        <v>124</v>
      </c>
      <c r="N11" s="271" t="s">
        <v>124</v>
      </c>
      <c r="O11" s="272" t="s">
        <v>124</v>
      </c>
    </row>
    <row r="12" spans="1:15">
      <c r="A12" s="9">
        <f t="shared" si="0"/>
        <v>9</v>
      </c>
      <c r="B12" s="1" t="s">
        <v>861</v>
      </c>
      <c r="C12" s="1" t="s">
        <v>862</v>
      </c>
      <c r="D12" s="1" t="s">
        <v>66</v>
      </c>
      <c r="E12" s="1"/>
      <c r="F12" s="2"/>
      <c r="G12" s="1"/>
      <c r="H12" s="1"/>
      <c r="I12" s="168"/>
      <c r="J12" s="13" t="s">
        <v>846</v>
      </c>
      <c r="K12" s="13" t="s">
        <v>846</v>
      </c>
      <c r="L12" s="168" t="s">
        <v>262</v>
      </c>
      <c r="M12" s="271" t="s">
        <v>124</v>
      </c>
      <c r="N12" s="271" t="s">
        <v>124</v>
      </c>
      <c r="O12" s="272" t="s">
        <v>124</v>
      </c>
    </row>
    <row r="13" spans="1:15">
      <c r="A13" s="9">
        <f t="shared" si="0"/>
        <v>10</v>
      </c>
      <c r="B13" s="1" t="s">
        <v>863</v>
      </c>
      <c r="C13" s="1" t="s">
        <v>864</v>
      </c>
      <c r="D13" s="1" t="s">
        <v>66</v>
      </c>
      <c r="E13" s="1"/>
      <c r="F13" s="2"/>
      <c r="G13" s="1"/>
      <c r="H13" s="1"/>
      <c r="I13" s="168"/>
      <c r="J13" s="13" t="s">
        <v>846</v>
      </c>
      <c r="K13" s="13" t="s">
        <v>846</v>
      </c>
      <c r="L13" s="168" t="s">
        <v>262</v>
      </c>
      <c r="M13" s="271" t="s">
        <v>124</v>
      </c>
      <c r="N13" s="271" t="s">
        <v>124</v>
      </c>
      <c r="O13" s="272" t="s">
        <v>124</v>
      </c>
    </row>
    <row r="14" spans="1:15">
      <c r="A14" s="9">
        <f t="shared" si="0"/>
        <v>11</v>
      </c>
      <c r="B14" s="14" t="s">
        <v>865</v>
      </c>
      <c r="C14" s="1" t="s">
        <v>866</v>
      </c>
      <c r="D14" s="1" t="s">
        <v>66</v>
      </c>
      <c r="E14" s="1"/>
      <c r="F14" s="2"/>
      <c r="G14" s="1"/>
      <c r="H14" s="1"/>
      <c r="I14" s="168"/>
      <c r="J14" s="13" t="s">
        <v>846</v>
      </c>
      <c r="K14" s="13" t="s">
        <v>846</v>
      </c>
      <c r="L14" s="168" t="s">
        <v>262</v>
      </c>
      <c r="M14" s="271" t="s">
        <v>124</v>
      </c>
      <c r="N14" s="271" t="s">
        <v>124</v>
      </c>
      <c r="O14" s="272" t="s">
        <v>124</v>
      </c>
    </row>
    <row r="15" spans="1:15">
      <c r="A15" s="9">
        <f t="shared" si="0"/>
        <v>12</v>
      </c>
      <c r="B15" s="14" t="s">
        <v>867</v>
      </c>
      <c r="C15" s="1" t="s">
        <v>868</v>
      </c>
      <c r="D15" s="1" t="s">
        <v>66</v>
      </c>
      <c r="E15" s="1"/>
      <c r="F15" s="2"/>
      <c r="G15" s="1"/>
      <c r="H15" s="1"/>
      <c r="I15" s="168"/>
      <c r="J15" s="13" t="s">
        <v>846</v>
      </c>
      <c r="K15" s="13" t="s">
        <v>846</v>
      </c>
      <c r="L15" s="168" t="s">
        <v>262</v>
      </c>
      <c r="M15" s="271" t="s">
        <v>124</v>
      </c>
      <c r="N15" s="271" t="s">
        <v>124</v>
      </c>
      <c r="O15" s="272" t="s">
        <v>124</v>
      </c>
    </row>
    <row r="16" spans="1:15">
      <c r="A16" s="9">
        <f t="shared" si="0"/>
        <v>13</v>
      </c>
      <c r="B16" s="14" t="s">
        <v>869</v>
      </c>
      <c r="C16" s="1" t="s">
        <v>870</v>
      </c>
      <c r="D16" s="1" t="s">
        <v>66</v>
      </c>
      <c r="E16" s="1"/>
      <c r="F16" s="2"/>
      <c r="G16" s="1"/>
      <c r="H16" s="1"/>
      <c r="I16" s="168"/>
      <c r="J16" s="13" t="s">
        <v>846</v>
      </c>
      <c r="K16" s="13" t="s">
        <v>846</v>
      </c>
      <c r="L16" s="168" t="s">
        <v>262</v>
      </c>
      <c r="M16" s="271" t="s">
        <v>124</v>
      </c>
      <c r="N16" s="271" t="s">
        <v>124</v>
      </c>
      <c r="O16" s="272" t="s">
        <v>124</v>
      </c>
    </row>
    <row r="17" spans="1:15">
      <c r="A17" s="9">
        <f t="shared" si="0"/>
        <v>14</v>
      </c>
      <c r="B17" s="14" t="s">
        <v>871</v>
      </c>
      <c r="C17" s="1" t="s">
        <v>872</v>
      </c>
      <c r="D17" s="1" t="s">
        <v>66</v>
      </c>
      <c r="E17" s="1"/>
      <c r="F17" s="2"/>
      <c r="G17" s="1"/>
      <c r="H17" s="1"/>
      <c r="I17" s="168"/>
      <c r="J17" s="13" t="s">
        <v>846</v>
      </c>
      <c r="K17" s="13" t="s">
        <v>846</v>
      </c>
      <c r="L17" s="168" t="s">
        <v>262</v>
      </c>
      <c r="M17" s="271" t="s">
        <v>124</v>
      </c>
      <c r="N17" s="271" t="s">
        <v>124</v>
      </c>
      <c r="O17" s="272" t="s">
        <v>124</v>
      </c>
    </row>
    <row r="18" spans="1:15">
      <c r="A18" s="9">
        <f t="shared" si="0"/>
        <v>15</v>
      </c>
      <c r="B18" s="14" t="s">
        <v>873</v>
      </c>
      <c r="C18" s="1" t="s">
        <v>874</v>
      </c>
      <c r="D18" s="1" t="s">
        <v>66</v>
      </c>
      <c r="E18" s="1"/>
      <c r="F18" s="2"/>
      <c r="G18" s="1"/>
      <c r="H18" s="1"/>
      <c r="I18" s="168"/>
      <c r="J18" s="13" t="s">
        <v>846</v>
      </c>
      <c r="K18" s="13" t="s">
        <v>846</v>
      </c>
      <c r="L18" s="168" t="s">
        <v>262</v>
      </c>
      <c r="M18" s="271" t="s">
        <v>124</v>
      </c>
      <c r="N18" s="271" t="s">
        <v>124</v>
      </c>
      <c r="O18" s="272" t="s">
        <v>124</v>
      </c>
    </row>
    <row r="19" spans="1:15">
      <c r="A19" s="9">
        <f t="shared" si="0"/>
        <v>16</v>
      </c>
      <c r="B19" s="14" t="s">
        <v>875</v>
      </c>
      <c r="C19" s="1" t="s">
        <v>876</v>
      </c>
      <c r="D19" s="1" t="s">
        <v>66</v>
      </c>
      <c r="E19" s="1"/>
      <c r="F19" s="2"/>
      <c r="G19" s="1"/>
      <c r="H19" s="1"/>
      <c r="I19" s="168"/>
      <c r="J19" s="13" t="s">
        <v>846</v>
      </c>
      <c r="K19" s="13" t="s">
        <v>846</v>
      </c>
      <c r="L19" s="168" t="s">
        <v>262</v>
      </c>
      <c r="M19" s="271" t="s">
        <v>124</v>
      </c>
      <c r="N19" s="271" t="s">
        <v>124</v>
      </c>
      <c r="O19" s="272" t="s">
        <v>124</v>
      </c>
    </row>
    <row r="20" spans="1:15">
      <c r="A20" s="9">
        <f t="shared" si="0"/>
        <v>17</v>
      </c>
      <c r="B20" s="14" t="s">
        <v>877</v>
      </c>
      <c r="C20" s="1" t="s">
        <v>878</v>
      </c>
      <c r="D20" s="1" t="s">
        <v>66</v>
      </c>
      <c r="E20" s="1"/>
      <c r="F20" s="2"/>
      <c r="G20" s="1"/>
      <c r="H20" s="1"/>
      <c r="I20" s="168"/>
      <c r="J20" s="13" t="s">
        <v>846</v>
      </c>
      <c r="K20" s="13" t="s">
        <v>846</v>
      </c>
      <c r="L20" s="168" t="s">
        <v>262</v>
      </c>
      <c r="M20" s="271" t="s">
        <v>124</v>
      </c>
      <c r="N20" s="271" t="s">
        <v>124</v>
      </c>
      <c r="O20" s="272" t="s">
        <v>124</v>
      </c>
    </row>
    <row r="21" spans="1:15">
      <c r="A21" s="9">
        <f t="shared" si="0"/>
        <v>18</v>
      </c>
      <c r="B21" s="14" t="s">
        <v>879</v>
      </c>
      <c r="C21" s="1" t="s">
        <v>880</v>
      </c>
      <c r="D21" s="1" t="s">
        <v>92</v>
      </c>
      <c r="E21" s="1"/>
      <c r="F21" s="2"/>
      <c r="G21" s="1"/>
      <c r="H21" s="1"/>
      <c r="I21" s="168" t="s">
        <v>880</v>
      </c>
      <c r="J21" s="13" t="s">
        <v>846</v>
      </c>
      <c r="K21" s="13" t="s">
        <v>846</v>
      </c>
      <c r="L21" s="168" t="s">
        <v>262</v>
      </c>
      <c r="M21" s="271" t="s">
        <v>124</v>
      </c>
      <c r="N21" s="271" t="s">
        <v>124</v>
      </c>
      <c r="O21" s="272" t="s">
        <v>124</v>
      </c>
    </row>
    <row r="22" spans="1:15">
      <c r="A22" s="9">
        <f t="shared" si="0"/>
        <v>19</v>
      </c>
      <c r="B22" s="14" t="s">
        <v>881</v>
      </c>
      <c r="C22" s="14" t="s">
        <v>882</v>
      </c>
      <c r="D22" s="14" t="s">
        <v>70</v>
      </c>
      <c r="E22" s="1"/>
      <c r="F22" s="2"/>
      <c r="G22" s="1"/>
      <c r="H22" s="1"/>
      <c r="I22" s="168" t="s">
        <v>883</v>
      </c>
      <c r="J22" s="13" t="s">
        <v>846</v>
      </c>
      <c r="K22" s="13" t="s">
        <v>846</v>
      </c>
      <c r="L22" s="168" t="s">
        <v>398</v>
      </c>
      <c r="M22" s="271" t="s">
        <v>124</v>
      </c>
      <c r="N22" s="271" t="s">
        <v>124</v>
      </c>
      <c r="O22" s="272" t="s">
        <v>124</v>
      </c>
    </row>
    <row r="23" spans="1:15">
      <c r="A23" s="9">
        <f t="shared" si="0"/>
        <v>20</v>
      </c>
      <c r="B23" s="14" t="s">
        <v>884</v>
      </c>
      <c r="C23" s="14" t="s">
        <v>885</v>
      </c>
      <c r="D23" s="14" t="s">
        <v>66</v>
      </c>
      <c r="E23" s="1"/>
      <c r="F23" s="2"/>
      <c r="G23" s="1"/>
      <c r="H23" s="1"/>
      <c r="I23" s="168"/>
      <c r="J23" s="13" t="s">
        <v>846</v>
      </c>
      <c r="K23" s="13" t="s">
        <v>846</v>
      </c>
      <c r="L23" s="168" t="s">
        <v>262</v>
      </c>
      <c r="M23" s="271" t="s">
        <v>124</v>
      </c>
      <c r="N23" s="271" t="s">
        <v>124</v>
      </c>
      <c r="O23" s="272" t="s">
        <v>124</v>
      </c>
    </row>
    <row r="24" spans="1:15">
      <c r="A24" s="9">
        <f t="shared" si="0"/>
        <v>21</v>
      </c>
      <c r="B24" s="14" t="s">
        <v>886</v>
      </c>
      <c r="C24" s="14" t="s">
        <v>887</v>
      </c>
      <c r="D24" s="14" t="s">
        <v>66</v>
      </c>
      <c r="E24" s="1"/>
      <c r="F24" s="2"/>
      <c r="G24" s="1"/>
      <c r="H24" s="1"/>
      <c r="I24" s="168"/>
      <c r="J24" s="13" t="s">
        <v>846</v>
      </c>
      <c r="K24" s="13" t="s">
        <v>846</v>
      </c>
      <c r="L24" s="168" t="s">
        <v>262</v>
      </c>
      <c r="M24" s="271" t="s">
        <v>124</v>
      </c>
      <c r="N24" s="271" t="s">
        <v>124</v>
      </c>
      <c r="O24" s="272" t="s">
        <v>124</v>
      </c>
    </row>
    <row r="25" spans="1:15">
      <c r="A25" s="9">
        <f t="shared" si="0"/>
        <v>22</v>
      </c>
      <c r="B25" s="14" t="s">
        <v>888</v>
      </c>
      <c r="C25" s="14" t="s">
        <v>889</v>
      </c>
      <c r="D25" s="14" t="s">
        <v>66</v>
      </c>
      <c r="E25" s="1"/>
      <c r="F25" s="2"/>
      <c r="G25" s="1"/>
      <c r="H25" s="1"/>
      <c r="I25" s="168"/>
      <c r="J25" s="13" t="s">
        <v>846</v>
      </c>
      <c r="K25" s="13" t="s">
        <v>846</v>
      </c>
      <c r="L25" s="168" t="s">
        <v>262</v>
      </c>
      <c r="M25" s="271" t="s">
        <v>124</v>
      </c>
      <c r="N25" s="271" t="s">
        <v>124</v>
      </c>
      <c r="O25" s="272" t="s">
        <v>124</v>
      </c>
    </row>
    <row r="26" spans="1:15">
      <c r="A26" s="9">
        <f t="shared" si="0"/>
        <v>23</v>
      </c>
      <c r="B26" s="14" t="s">
        <v>890</v>
      </c>
      <c r="C26" s="14" t="s">
        <v>891</v>
      </c>
      <c r="D26" s="14" t="s">
        <v>66</v>
      </c>
      <c r="E26" s="1"/>
      <c r="F26" s="2"/>
      <c r="G26" s="1"/>
      <c r="H26" s="1"/>
      <c r="I26" s="168"/>
      <c r="J26" s="13" t="s">
        <v>846</v>
      </c>
      <c r="K26" s="13" t="s">
        <v>846</v>
      </c>
      <c r="L26" s="168" t="s">
        <v>262</v>
      </c>
      <c r="M26" s="271" t="s">
        <v>124</v>
      </c>
      <c r="N26" s="271" t="s">
        <v>124</v>
      </c>
      <c r="O26" s="272" t="s">
        <v>124</v>
      </c>
    </row>
    <row r="27" spans="1:15">
      <c r="A27" s="9">
        <f t="shared" si="0"/>
        <v>24</v>
      </c>
      <c r="B27" s="14" t="s">
        <v>892</v>
      </c>
      <c r="C27" s="14" t="s">
        <v>893</v>
      </c>
      <c r="D27" s="14" t="s">
        <v>66</v>
      </c>
      <c r="E27" s="1"/>
      <c r="F27" s="2"/>
      <c r="G27" s="1"/>
      <c r="H27" s="1"/>
      <c r="I27" s="168"/>
      <c r="J27" s="13" t="s">
        <v>846</v>
      </c>
      <c r="K27" s="13" t="s">
        <v>846</v>
      </c>
      <c r="L27" s="168" t="s">
        <v>262</v>
      </c>
      <c r="M27" s="271" t="s">
        <v>124</v>
      </c>
      <c r="N27" s="271" t="s">
        <v>124</v>
      </c>
      <c r="O27" s="272" t="s">
        <v>124</v>
      </c>
    </row>
    <row r="28" spans="1:15">
      <c r="A28" s="9">
        <f t="shared" si="0"/>
        <v>25</v>
      </c>
      <c r="B28" s="14" t="s">
        <v>894</v>
      </c>
      <c r="C28" s="14" t="s">
        <v>895</v>
      </c>
      <c r="D28" s="14" t="s">
        <v>66</v>
      </c>
      <c r="E28" s="1"/>
      <c r="F28" s="2"/>
      <c r="G28" s="1"/>
      <c r="H28" s="1"/>
      <c r="I28" s="168"/>
      <c r="J28" s="13" t="s">
        <v>846</v>
      </c>
      <c r="K28" s="13" t="s">
        <v>846</v>
      </c>
      <c r="L28" s="168" t="s">
        <v>262</v>
      </c>
      <c r="M28" s="271" t="s">
        <v>124</v>
      </c>
      <c r="N28" s="271" t="s">
        <v>124</v>
      </c>
      <c r="O28" s="272" t="s">
        <v>124</v>
      </c>
    </row>
    <row r="29" spans="1:15">
      <c r="A29" s="9">
        <f t="shared" si="0"/>
        <v>26</v>
      </c>
      <c r="B29" s="14" t="s">
        <v>896</v>
      </c>
      <c r="C29" s="14" t="s">
        <v>897</v>
      </c>
      <c r="D29" s="14" t="s">
        <v>66</v>
      </c>
      <c r="E29" s="1"/>
      <c r="F29" s="2"/>
      <c r="G29" s="1"/>
      <c r="H29" s="1"/>
      <c r="I29" s="168"/>
      <c r="J29" s="13" t="s">
        <v>846</v>
      </c>
      <c r="K29" s="13" t="s">
        <v>846</v>
      </c>
      <c r="L29" s="168" t="s">
        <v>262</v>
      </c>
      <c r="M29" s="271" t="s">
        <v>124</v>
      </c>
      <c r="N29" s="271" t="s">
        <v>124</v>
      </c>
      <c r="O29" s="272" t="s">
        <v>124</v>
      </c>
    </row>
    <row r="30" spans="1:15">
      <c r="A30" s="9">
        <f t="shared" si="0"/>
        <v>27</v>
      </c>
      <c r="B30" s="14" t="s">
        <v>898</v>
      </c>
      <c r="C30" s="14" t="s">
        <v>899</v>
      </c>
      <c r="D30" s="14" t="s">
        <v>66</v>
      </c>
      <c r="E30" s="1"/>
      <c r="F30" s="2"/>
      <c r="G30" s="1"/>
      <c r="H30" s="1"/>
      <c r="I30" s="168"/>
      <c r="J30" s="13" t="s">
        <v>846</v>
      </c>
      <c r="K30" s="13" t="s">
        <v>846</v>
      </c>
      <c r="L30" s="168" t="s">
        <v>262</v>
      </c>
      <c r="M30" s="271" t="s">
        <v>124</v>
      </c>
      <c r="N30" s="271" t="s">
        <v>124</v>
      </c>
      <c r="O30" s="272" t="s">
        <v>124</v>
      </c>
    </row>
    <row r="31" spans="1:15">
      <c r="A31" s="9">
        <f t="shared" si="0"/>
        <v>28</v>
      </c>
      <c r="B31" s="14" t="s">
        <v>900</v>
      </c>
      <c r="C31" s="14" t="s">
        <v>901</v>
      </c>
      <c r="D31" s="14" t="s">
        <v>66</v>
      </c>
      <c r="E31" s="1"/>
      <c r="F31" s="2"/>
      <c r="G31" s="1"/>
      <c r="H31" s="1"/>
      <c r="I31" s="168"/>
      <c r="J31" s="13" t="s">
        <v>846</v>
      </c>
      <c r="K31" s="13" t="s">
        <v>846</v>
      </c>
      <c r="L31" s="168" t="s">
        <v>262</v>
      </c>
      <c r="M31" s="271" t="s">
        <v>124</v>
      </c>
      <c r="N31" s="271" t="s">
        <v>124</v>
      </c>
      <c r="O31" s="272" t="s">
        <v>124</v>
      </c>
    </row>
    <row r="32" spans="1:15">
      <c r="A32" s="9">
        <f t="shared" si="0"/>
        <v>29</v>
      </c>
      <c r="B32" s="14" t="s">
        <v>902</v>
      </c>
      <c r="C32" s="14" t="s">
        <v>903</v>
      </c>
      <c r="D32" s="14" t="s">
        <v>66</v>
      </c>
      <c r="E32" s="1"/>
      <c r="F32" s="2"/>
      <c r="G32" s="1"/>
      <c r="H32" s="1"/>
      <c r="I32" s="168"/>
      <c r="J32" s="13" t="s">
        <v>846</v>
      </c>
      <c r="K32" s="13" t="s">
        <v>846</v>
      </c>
      <c r="L32" s="168" t="s">
        <v>262</v>
      </c>
      <c r="M32" s="271" t="s">
        <v>124</v>
      </c>
      <c r="N32" s="271" t="s">
        <v>124</v>
      </c>
      <c r="O32" s="272" t="s">
        <v>124</v>
      </c>
    </row>
    <row r="33" spans="1:15">
      <c r="A33" s="9">
        <f t="shared" si="0"/>
        <v>30</v>
      </c>
      <c r="B33" s="14" t="s">
        <v>904</v>
      </c>
      <c r="C33" s="14" t="s">
        <v>905</v>
      </c>
      <c r="D33" s="14" t="s">
        <v>92</v>
      </c>
      <c r="E33" s="1"/>
      <c r="F33" s="2"/>
      <c r="G33" s="1"/>
      <c r="H33" s="1"/>
      <c r="I33" s="168"/>
      <c r="J33" s="13" t="s">
        <v>846</v>
      </c>
      <c r="K33" s="13" t="s">
        <v>846</v>
      </c>
      <c r="L33" s="168" t="s">
        <v>262</v>
      </c>
      <c r="M33" s="271" t="s">
        <v>124</v>
      </c>
      <c r="N33" s="271" t="s">
        <v>124</v>
      </c>
      <c r="O33" s="272" t="s">
        <v>124</v>
      </c>
    </row>
    <row r="34" spans="1:15">
      <c r="A34" s="9">
        <f t="shared" si="0"/>
        <v>31</v>
      </c>
      <c r="B34" s="14" t="s">
        <v>906</v>
      </c>
      <c r="C34" s="14" t="s">
        <v>907</v>
      </c>
      <c r="D34" s="14" t="s">
        <v>92</v>
      </c>
      <c r="E34" s="1"/>
      <c r="F34" s="2"/>
      <c r="G34" s="1"/>
      <c r="H34" s="1"/>
      <c r="I34" s="168" t="s">
        <v>908</v>
      </c>
      <c r="J34" s="13" t="s">
        <v>846</v>
      </c>
      <c r="K34" s="13" t="s">
        <v>846</v>
      </c>
      <c r="L34" s="168" t="s">
        <v>262</v>
      </c>
      <c r="M34" s="271" t="s">
        <v>124</v>
      </c>
      <c r="N34" s="271" t="s">
        <v>124</v>
      </c>
      <c r="O34" s="272" t="s">
        <v>124</v>
      </c>
    </row>
    <row r="35" spans="1:15">
      <c r="A35" s="9">
        <f t="shared" si="0"/>
        <v>32</v>
      </c>
      <c r="B35" s="14" t="s">
        <v>909</v>
      </c>
      <c r="C35" s="14" t="s">
        <v>910</v>
      </c>
      <c r="D35" s="14" t="s">
        <v>153</v>
      </c>
      <c r="E35" s="1"/>
      <c r="F35" s="2"/>
      <c r="G35" s="1"/>
      <c r="H35" s="1"/>
      <c r="I35" s="168" t="s">
        <v>911</v>
      </c>
      <c r="J35" s="13" t="s">
        <v>846</v>
      </c>
      <c r="K35" s="13" t="s">
        <v>912</v>
      </c>
      <c r="L35" s="168" t="s">
        <v>262</v>
      </c>
      <c r="M35" s="271" t="s">
        <v>124</v>
      </c>
      <c r="N35" s="271" t="s">
        <v>124</v>
      </c>
      <c r="O35" s="272" t="s">
        <v>124</v>
      </c>
    </row>
    <row r="36" spans="1:15">
      <c r="A36" s="9">
        <f t="shared" si="0"/>
        <v>33</v>
      </c>
      <c r="B36" s="14" t="s">
        <v>913</v>
      </c>
      <c r="C36" s="14" t="s">
        <v>914</v>
      </c>
      <c r="D36" s="14" t="s">
        <v>92</v>
      </c>
      <c r="E36" s="1"/>
      <c r="F36" s="2"/>
      <c r="G36" s="1"/>
      <c r="H36" s="1"/>
      <c r="I36" s="168"/>
      <c r="J36" s="13" t="s">
        <v>846</v>
      </c>
      <c r="K36" s="13" t="s">
        <v>846</v>
      </c>
      <c r="L36" s="168" t="s">
        <v>262</v>
      </c>
      <c r="M36" s="271" t="s">
        <v>124</v>
      </c>
      <c r="N36" s="271" t="s">
        <v>124</v>
      </c>
      <c r="O36" s="272" t="s">
        <v>124</v>
      </c>
    </row>
    <row r="37" spans="1:15">
      <c r="A37" s="9">
        <f t="shared" si="0"/>
        <v>34</v>
      </c>
      <c r="B37" s="14" t="s">
        <v>915</v>
      </c>
      <c r="C37" s="14" t="s">
        <v>916</v>
      </c>
      <c r="D37" s="14" t="s">
        <v>92</v>
      </c>
      <c r="E37" s="1"/>
      <c r="F37" s="2"/>
      <c r="G37" s="1"/>
      <c r="H37" s="1"/>
      <c r="I37" s="168"/>
      <c r="J37" s="13" t="s">
        <v>846</v>
      </c>
      <c r="K37" s="13" t="s">
        <v>912</v>
      </c>
      <c r="L37" s="168" t="s">
        <v>262</v>
      </c>
      <c r="M37" s="271" t="s">
        <v>124</v>
      </c>
      <c r="N37" s="271" t="s">
        <v>124</v>
      </c>
      <c r="O37" s="272" t="s">
        <v>124</v>
      </c>
    </row>
    <row r="38" spans="1:15">
      <c r="A38" s="9">
        <f t="shared" si="0"/>
        <v>35</v>
      </c>
      <c r="B38" s="14" t="s">
        <v>917</v>
      </c>
      <c r="C38" s="14" t="s">
        <v>918</v>
      </c>
      <c r="D38" s="14" t="s">
        <v>92</v>
      </c>
      <c r="E38" s="1"/>
      <c r="F38" s="2"/>
      <c r="G38" s="1"/>
      <c r="H38" s="1"/>
      <c r="I38" s="168"/>
      <c r="J38" s="13" t="s">
        <v>846</v>
      </c>
      <c r="K38" s="13" t="s">
        <v>912</v>
      </c>
      <c r="L38" s="168" t="s">
        <v>262</v>
      </c>
      <c r="M38" s="271" t="s">
        <v>124</v>
      </c>
      <c r="N38" s="271" t="s">
        <v>124</v>
      </c>
      <c r="O38" s="272" t="s">
        <v>124</v>
      </c>
    </row>
    <row r="39" spans="1:15">
      <c r="A39" s="9">
        <f t="shared" si="0"/>
        <v>36</v>
      </c>
      <c r="B39" s="14" t="s">
        <v>919</v>
      </c>
      <c r="C39" s="14" t="s">
        <v>920</v>
      </c>
      <c r="D39" s="14" t="s">
        <v>92</v>
      </c>
      <c r="E39" s="1"/>
      <c r="F39" s="2"/>
      <c r="G39" s="1"/>
      <c r="H39" s="1"/>
      <c r="I39" s="168"/>
      <c r="J39" s="13" t="s">
        <v>846</v>
      </c>
      <c r="K39" s="13" t="s">
        <v>912</v>
      </c>
      <c r="L39" s="168" t="s">
        <v>262</v>
      </c>
      <c r="M39" s="271" t="s">
        <v>124</v>
      </c>
      <c r="N39" s="271" t="s">
        <v>124</v>
      </c>
      <c r="O39" s="272" t="s">
        <v>124</v>
      </c>
    </row>
    <row r="40" spans="1:15">
      <c r="A40" s="9">
        <f t="shared" si="0"/>
        <v>37</v>
      </c>
      <c r="B40" s="14" t="s">
        <v>921</v>
      </c>
      <c r="C40" s="14" t="s">
        <v>922</v>
      </c>
      <c r="D40" s="14" t="s">
        <v>92</v>
      </c>
      <c r="E40" s="1"/>
      <c r="F40" s="2"/>
      <c r="G40" s="1"/>
      <c r="H40" s="1"/>
      <c r="I40" s="168"/>
      <c r="J40" s="13" t="s">
        <v>846</v>
      </c>
      <c r="K40" s="13" t="s">
        <v>912</v>
      </c>
      <c r="L40" s="168" t="s">
        <v>262</v>
      </c>
      <c r="M40" s="271" t="s">
        <v>124</v>
      </c>
      <c r="N40" s="271" t="s">
        <v>124</v>
      </c>
      <c r="O40" s="272" t="s">
        <v>124</v>
      </c>
    </row>
    <row r="41" spans="1:15">
      <c r="A41" s="9">
        <f t="shared" si="0"/>
        <v>38</v>
      </c>
      <c r="B41" s="14" t="s">
        <v>923</v>
      </c>
      <c r="C41" s="14" t="s">
        <v>924</v>
      </c>
      <c r="D41" s="14" t="s">
        <v>92</v>
      </c>
      <c r="E41" s="1"/>
      <c r="F41" s="2"/>
      <c r="G41" s="1"/>
      <c r="H41" s="1"/>
      <c r="I41" s="168"/>
      <c r="J41" s="13" t="s">
        <v>846</v>
      </c>
      <c r="K41" s="13" t="s">
        <v>912</v>
      </c>
      <c r="L41" s="168" t="s">
        <v>262</v>
      </c>
      <c r="M41" s="271" t="s">
        <v>124</v>
      </c>
      <c r="N41" s="271" t="s">
        <v>124</v>
      </c>
      <c r="O41" s="272" t="s">
        <v>124</v>
      </c>
    </row>
    <row r="42" spans="1:15">
      <c r="A42" s="9">
        <f t="shared" si="0"/>
        <v>39</v>
      </c>
      <c r="B42" s="14" t="s">
        <v>925</v>
      </c>
      <c r="C42" s="14" t="s">
        <v>926</v>
      </c>
      <c r="D42" s="14" t="s">
        <v>153</v>
      </c>
      <c r="E42" s="1"/>
      <c r="F42" s="2"/>
      <c r="G42" s="1"/>
      <c r="H42" s="1"/>
      <c r="I42" s="168"/>
      <c r="J42" s="13" t="s">
        <v>846</v>
      </c>
      <c r="K42" s="13" t="s">
        <v>912</v>
      </c>
      <c r="L42" s="168" t="s">
        <v>262</v>
      </c>
      <c r="M42" s="271" t="s">
        <v>124</v>
      </c>
      <c r="N42" s="271" t="s">
        <v>124</v>
      </c>
      <c r="O42" s="272" t="s">
        <v>124</v>
      </c>
    </row>
    <row r="43" spans="1:15">
      <c r="A43" s="9">
        <f t="shared" si="0"/>
        <v>40</v>
      </c>
      <c r="B43" s="14" t="s">
        <v>927</v>
      </c>
      <c r="C43" s="14" t="s">
        <v>928</v>
      </c>
      <c r="D43" s="14" t="s">
        <v>92</v>
      </c>
      <c r="E43" s="1"/>
      <c r="F43" s="2"/>
      <c r="G43" s="1"/>
      <c r="H43" s="1"/>
      <c r="I43" s="168" t="s">
        <v>929</v>
      </c>
      <c r="J43" s="13" t="s">
        <v>846</v>
      </c>
      <c r="K43" s="13" t="s">
        <v>912</v>
      </c>
      <c r="L43" s="168" t="s">
        <v>262</v>
      </c>
      <c r="M43" s="271" t="s">
        <v>124</v>
      </c>
      <c r="N43" s="271" t="s">
        <v>124</v>
      </c>
      <c r="O43" s="272" t="s">
        <v>124</v>
      </c>
    </row>
    <row r="44" spans="1:15">
      <c r="A44" s="9">
        <f t="shared" si="0"/>
        <v>41</v>
      </c>
      <c r="B44" s="1" t="s">
        <v>126</v>
      </c>
      <c r="C44" s="1" t="s">
        <v>127</v>
      </c>
      <c r="D44" s="1" t="s">
        <v>66</v>
      </c>
      <c r="E44" s="1"/>
      <c r="F44" s="2"/>
      <c r="G44" s="1"/>
      <c r="H44" s="1"/>
      <c r="I44" s="168"/>
      <c r="J44" s="13" t="s">
        <v>846</v>
      </c>
      <c r="K44" s="13" t="s">
        <v>912</v>
      </c>
      <c r="L44" s="168" t="s">
        <v>262</v>
      </c>
      <c r="M44" s="271" t="s">
        <v>124</v>
      </c>
      <c r="N44" s="271" t="s">
        <v>124</v>
      </c>
      <c r="O44" s="272" t="s">
        <v>124</v>
      </c>
    </row>
    <row r="45" spans="1:15">
      <c r="A45" s="9">
        <f t="shared" si="0"/>
        <v>42</v>
      </c>
      <c r="B45" s="1" t="s">
        <v>930</v>
      </c>
      <c r="C45" s="1" t="s">
        <v>931</v>
      </c>
      <c r="D45" s="1" t="s">
        <v>66</v>
      </c>
      <c r="E45" s="1"/>
      <c r="F45" s="2"/>
      <c r="G45" s="1"/>
      <c r="H45" s="1"/>
      <c r="I45" s="168" t="s">
        <v>932</v>
      </c>
      <c r="J45" s="13" t="s">
        <v>846</v>
      </c>
      <c r="K45" s="13" t="s">
        <v>912</v>
      </c>
      <c r="L45" s="168" t="s">
        <v>262</v>
      </c>
      <c r="M45" s="271" t="s">
        <v>124</v>
      </c>
      <c r="N45" s="271" t="s">
        <v>124</v>
      </c>
      <c r="O45" s="272" t="s">
        <v>124</v>
      </c>
    </row>
    <row r="46" spans="1:15">
      <c r="A46" s="9">
        <f t="shared" si="0"/>
        <v>43</v>
      </c>
      <c r="B46" s="1" t="s">
        <v>933</v>
      </c>
      <c r="C46" s="1" t="s">
        <v>934</v>
      </c>
      <c r="D46" s="1" t="s">
        <v>66</v>
      </c>
      <c r="E46" s="1"/>
      <c r="F46" s="2"/>
      <c r="G46" s="1"/>
      <c r="H46" s="1"/>
      <c r="I46" s="168"/>
      <c r="J46" s="13" t="s">
        <v>846</v>
      </c>
      <c r="K46" s="13" t="s">
        <v>912</v>
      </c>
      <c r="L46" s="168" t="s">
        <v>262</v>
      </c>
      <c r="M46" s="271" t="s">
        <v>124</v>
      </c>
      <c r="N46" s="271" t="s">
        <v>124</v>
      </c>
      <c r="O46" s="272" t="s">
        <v>124</v>
      </c>
    </row>
    <row r="47" spans="1:15">
      <c r="A47" s="9">
        <f t="shared" si="0"/>
        <v>44</v>
      </c>
      <c r="B47" s="1" t="s">
        <v>935</v>
      </c>
      <c r="C47" s="1" t="s">
        <v>936</v>
      </c>
      <c r="D47" s="1" t="s">
        <v>92</v>
      </c>
      <c r="E47" s="1"/>
      <c r="F47" s="2"/>
      <c r="G47" s="1"/>
      <c r="H47" s="1"/>
      <c r="I47" s="168"/>
      <c r="J47" s="13" t="s">
        <v>846</v>
      </c>
      <c r="K47" s="13" t="s">
        <v>912</v>
      </c>
      <c r="L47" s="168" t="s">
        <v>262</v>
      </c>
      <c r="M47" s="271" t="s">
        <v>124</v>
      </c>
      <c r="N47" s="271" t="s">
        <v>124</v>
      </c>
      <c r="O47" s="272" t="s">
        <v>124</v>
      </c>
    </row>
    <row r="48" spans="1:15" ht="14.25" thickBot="1">
      <c r="A48" s="10">
        <f t="shared" si="0"/>
        <v>45</v>
      </c>
      <c r="B48" s="11" t="s">
        <v>937</v>
      </c>
      <c r="C48" s="11" t="s">
        <v>938</v>
      </c>
      <c r="D48" s="11" t="s">
        <v>92</v>
      </c>
      <c r="E48" s="11"/>
      <c r="F48" s="12"/>
      <c r="G48" s="11"/>
      <c r="H48" s="11"/>
      <c r="I48" s="169"/>
      <c r="J48" s="170" t="s">
        <v>846</v>
      </c>
      <c r="K48" s="170" t="s">
        <v>912</v>
      </c>
      <c r="L48" s="169" t="s">
        <v>262</v>
      </c>
      <c r="M48" s="273" t="s">
        <v>124</v>
      </c>
      <c r="N48" s="273" t="s">
        <v>124</v>
      </c>
      <c r="O48" s="274" t="s">
        <v>124</v>
      </c>
    </row>
    <row r="52" spans="5:5">
      <c r="E52" s="72"/>
    </row>
    <row r="53" spans="5:5">
      <c r="E53" s="67"/>
    </row>
    <row r="54" spans="5:5">
      <c r="E54" s="67"/>
    </row>
    <row r="55" spans="5:5">
      <c r="E55" s="67"/>
    </row>
    <row r="56" spans="5:5">
      <c r="E56" s="67"/>
    </row>
    <row r="57" spans="5:5">
      <c r="E57" s="67"/>
    </row>
    <row r="58" spans="5:5">
      <c r="E58" s="67"/>
    </row>
    <row r="59" spans="5:5">
      <c r="E59" s="67"/>
    </row>
    <row r="60" spans="5:5">
      <c r="E60" s="67"/>
    </row>
    <row r="61" spans="5:5">
      <c r="E61" s="67"/>
    </row>
    <row r="62" spans="5:5">
      <c r="E62" s="67"/>
    </row>
    <row r="63" spans="5:5">
      <c r="E63" s="67"/>
    </row>
    <row r="64" spans="5:5">
      <c r="E64" s="67"/>
    </row>
    <row r="65" spans="5:5">
      <c r="E65" s="67"/>
    </row>
    <row r="66" spans="5:5">
      <c r="E66" s="67"/>
    </row>
    <row r="67" spans="5:5">
      <c r="E67" s="67"/>
    </row>
    <row r="68" spans="5:5">
      <c r="E68" s="67"/>
    </row>
    <row r="69" spans="5:5">
      <c r="E69" s="67"/>
    </row>
    <row r="70" spans="5:5">
      <c r="E70" s="67"/>
    </row>
    <row r="71" spans="5:5">
      <c r="E71" s="67"/>
    </row>
    <row r="72" spans="5:5">
      <c r="E72" s="67"/>
    </row>
    <row r="73" spans="5:5">
      <c r="E73" s="67"/>
    </row>
    <row r="74" spans="5:5">
      <c r="E74" s="67"/>
    </row>
    <row r="75" spans="5:5">
      <c r="E75" s="67"/>
    </row>
    <row r="76" spans="5:5">
      <c r="E76" s="67"/>
    </row>
    <row r="77" spans="5:5">
      <c r="E77" s="67"/>
    </row>
    <row r="78" spans="5:5">
      <c r="E78" s="67"/>
    </row>
    <row r="79" spans="5:5">
      <c r="E79" s="67"/>
    </row>
    <row r="80" spans="5:5">
      <c r="E80" s="67"/>
    </row>
    <row r="81" spans="5:5">
      <c r="E81" s="67"/>
    </row>
    <row r="82" spans="5:5">
      <c r="E82" s="67"/>
    </row>
    <row r="83" spans="5:5">
      <c r="E83" s="67"/>
    </row>
    <row r="84" spans="5:5">
      <c r="E84" s="67"/>
    </row>
    <row r="85" spans="5:5">
      <c r="E85" s="67"/>
    </row>
    <row r="86" spans="5:5">
      <c r="E86" s="67"/>
    </row>
    <row r="87" spans="5:5">
      <c r="E87" s="67"/>
    </row>
    <row r="88" spans="5:5">
      <c r="E88" s="67"/>
    </row>
    <row r="89" spans="5:5">
      <c r="E89" s="67"/>
    </row>
    <row r="90" spans="5:5">
      <c r="E90" s="67"/>
    </row>
    <row r="91" spans="5:5">
      <c r="E91" s="67"/>
    </row>
    <row r="92" spans="5:5">
      <c r="E92" s="67"/>
    </row>
    <row r="93" spans="5:5">
      <c r="E93" s="67"/>
    </row>
    <row r="94" spans="5:5">
      <c r="E94" s="67"/>
    </row>
    <row r="95" spans="5:5">
      <c r="E95" s="67"/>
    </row>
    <row r="96" spans="5:5">
      <c r="E96" s="67"/>
    </row>
  </sheetData>
  <phoneticPr fontId="4"/>
  <printOptions horizontalCentered="1"/>
  <pageMargins left="0.19685039370078741" right="0.19685039370078741" top="0.62992125984251968" bottom="0.39370078740157483" header="0.19685039370078741" footer="0.31496062992125984"/>
  <pageSetup paperSize="9" scale="76"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2">
    <tabColor rgb="FFC00000"/>
  </sheetPr>
  <dimension ref="A1:M17"/>
  <sheetViews>
    <sheetView zoomScale="115" zoomScaleNormal="115" workbookViewId="0">
      <selection activeCell="C6" sqref="C6"/>
    </sheetView>
  </sheetViews>
  <sheetFormatPr defaultRowHeight="13.5" outlineLevelCol="1"/>
  <cols>
    <col min="2" max="3" width="28.42578125" customWidth="1"/>
    <col min="4" max="4" width="10" hidden="1" customWidth="1" outlineLevel="1"/>
    <col min="5" max="5" width="15.28515625" hidden="1" customWidth="1" outlineLevel="1"/>
    <col min="6" max="7" width="0" hidden="1" customWidth="1" outlineLevel="1"/>
    <col min="8" max="8" width="9" collapsed="1"/>
    <col min="9" max="9" width="41.7109375" style="18" customWidth="1"/>
    <col min="10" max="10" width="13" style="18" bestFit="1" customWidth="1"/>
    <col min="11" max="13" width="17.140625" style="18" bestFit="1" customWidth="1"/>
  </cols>
  <sheetData>
    <row r="1" spans="1:13">
      <c r="A1" s="21" t="s">
        <v>939</v>
      </c>
      <c r="B1" s="21"/>
      <c r="C1" s="21"/>
      <c r="D1" s="21"/>
      <c r="E1" s="21"/>
      <c r="F1" s="21"/>
      <c r="G1" s="21"/>
      <c r="H1" s="21"/>
      <c r="I1" s="325"/>
      <c r="J1" s="325"/>
      <c r="K1" s="325"/>
      <c r="L1" s="325"/>
      <c r="M1" s="325"/>
    </row>
    <row r="2" spans="1:13" ht="14.25" thickBot="1">
      <c r="A2" s="21"/>
      <c r="B2" s="21"/>
      <c r="C2" s="21"/>
      <c r="D2" s="21"/>
      <c r="E2" s="21"/>
      <c r="F2" s="21"/>
      <c r="G2" s="21"/>
      <c r="H2" s="21"/>
      <c r="I2" s="325"/>
      <c r="J2" s="325"/>
      <c r="K2" s="325"/>
      <c r="L2" s="325"/>
      <c r="M2" s="325"/>
    </row>
    <row r="3" spans="1:13" ht="50.25" customHeight="1" thickBot="1">
      <c r="A3" s="243" t="s">
        <v>1</v>
      </c>
      <c r="B3" s="244" t="s">
        <v>2</v>
      </c>
      <c r="C3" s="244" t="s">
        <v>3</v>
      </c>
      <c r="D3" s="244" t="s">
        <v>4</v>
      </c>
      <c r="E3" s="244" t="s">
        <v>5</v>
      </c>
      <c r="F3" s="244" t="s">
        <v>6</v>
      </c>
      <c r="G3" s="245" t="s">
        <v>7</v>
      </c>
      <c r="H3" s="246" t="s">
        <v>8</v>
      </c>
      <c r="I3" s="247" t="s">
        <v>9</v>
      </c>
      <c r="J3" s="248" t="s">
        <v>10</v>
      </c>
      <c r="K3" s="208" t="s">
        <v>11</v>
      </c>
      <c r="L3" s="209" t="s">
        <v>12</v>
      </c>
      <c r="M3" s="210" t="s">
        <v>13</v>
      </c>
    </row>
    <row r="4" spans="1:13">
      <c r="A4" s="326">
        <f t="shared" ref="A4:A17" si="0">ROW() - 3</f>
        <v>1</v>
      </c>
      <c r="B4" s="30" t="s">
        <v>787</v>
      </c>
      <c r="C4" s="30" t="s">
        <v>25</v>
      </c>
      <c r="D4" s="30" t="s">
        <v>940</v>
      </c>
      <c r="E4" s="30"/>
      <c r="F4" s="116" t="s">
        <v>42</v>
      </c>
      <c r="G4" s="30"/>
      <c r="H4" s="30">
        <v>1</v>
      </c>
      <c r="I4" s="64"/>
      <c r="J4" s="182" t="s">
        <v>16</v>
      </c>
      <c r="K4" s="182" t="s">
        <v>16</v>
      </c>
      <c r="L4" s="182" t="s">
        <v>16</v>
      </c>
      <c r="M4" s="184" t="s">
        <v>16</v>
      </c>
    </row>
    <row r="5" spans="1:13">
      <c r="A5" s="296">
        <f t="shared" si="0"/>
        <v>2</v>
      </c>
      <c r="B5" s="30" t="s">
        <v>941</v>
      </c>
      <c r="C5" s="30" t="s">
        <v>942</v>
      </c>
      <c r="D5" s="30" t="s">
        <v>50</v>
      </c>
      <c r="E5" s="30"/>
      <c r="F5" s="116"/>
      <c r="G5" s="30"/>
      <c r="H5" s="30"/>
      <c r="I5" s="64"/>
      <c r="J5" s="64" t="s">
        <v>271</v>
      </c>
      <c r="K5" s="269" t="s">
        <v>124</v>
      </c>
      <c r="L5" s="269" t="s">
        <v>124</v>
      </c>
      <c r="M5" s="270" t="s">
        <v>124</v>
      </c>
    </row>
    <row r="6" spans="1:13">
      <c r="A6" s="296">
        <f t="shared" si="0"/>
        <v>3</v>
      </c>
      <c r="B6" s="30" t="s">
        <v>943</v>
      </c>
      <c r="C6" s="30" t="s">
        <v>944</v>
      </c>
      <c r="D6" s="30" t="s">
        <v>50</v>
      </c>
      <c r="E6" s="30"/>
      <c r="F6" s="116"/>
      <c r="G6" s="30"/>
      <c r="H6" s="30"/>
      <c r="I6" s="64"/>
      <c r="J6" s="64" t="s">
        <v>271</v>
      </c>
      <c r="K6" s="269" t="s">
        <v>124</v>
      </c>
      <c r="L6" s="269" t="s">
        <v>124</v>
      </c>
      <c r="M6" s="270" t="s">
        <v>124</v>
      </c>
    </row>
    <row r="7" spans="1:13">
      <c r="A7" s="296">
        <f t="shared" si="0"/>
        <v>4</v>
      </c>
      <c r="B7" s="30" t="s">
        <v>945</v>
      </c>
      <c r="C7" s="30" t="s">
        <v>946</v>
      </c>
      <c r="D7" s="30" t="s">
        <v>50</v>
      </c>
      <c r="E7" s="30"/>
      <c r="F7" s="116"/>
      <c r="G7" s="30"/>
      <c r="H7" s="30"/>
      <c r="I7" s="64"/>
      <c r="J7" s="64" t="s">
        <v>271</v>
      </c>
      <c r="K7" s="269" t="s">
        <v>124</v>
      </c>
      <c r="L7" s="269" t="s">
        <v>124</v>
      </c>
      <c r="M7" s="270" t="s">
        <v>124</v>
      </c>
    </row>
    <row r="8" spans="1:13">
      <c r="A8" s="296">
        <f t="shared" si="0"/>
        <v>5</v>
      </c>
      <c r="B8" s="30" t="s">
        <v>947</v>
      </c>
      <c r="C8" s="30" t="s">
        <v>948</v>
      </c>
      <c r="D8" s="30" t="s">
        <v>50</v>
      </c>
      <c r="E8" s="30"/>
      <c r="F8" s="116"/>
      <c r="G8" s="30"/>
      <c r="H8" s="30"/>
      <c r="I8" s="64"/>
      <c r="J8" s="64" t="s">
        <v>271</v>
      </c>
      <c r="K8" s="269" t="s">
        <v>124</v>
      </c>
      <c r="L8" s="269" t="s">
        <v>124</v>
      </c>
      <c r="M8" s="270" t="s">
        <v>124</v>
      </c>
    </row>
    <row r="9" spans="1:13">
      <c r="A9" s="296">
        <f t="shared" si="0"/>
        <v>6</v>
      </c>
      <c r="B9" s="30" t="s">
        <v>892</v>
      </c>
      <c r="C9" s="30" t="s">
        <v>949</v>
      </c>
      <c r="D9" s="30" t="s">
        <v>50</v>
      </c>
      <c r="E9" s="30"/>
      <c r="F9" s="116"/>
      <c r="G9" s="30"/>
      <c r="H9" s="30"/>
      <c r="I9" s="64"/>
      <c r="J9" s="64" t="s">
        <v>271</v>
      </c>
      <c r="K9" s="269" t="s">
        <v>124</v>
      </c>
      <c r="L9" s="269" t="s">
        <v>124</v>
      </c>
      <c r="M9" s="270" t="s">
        <v>124</v>
      </c>
    </row>
    <row r="10" spans="1:13" ht="15" customHeight="1">
      <c r="A10" s="296">
        <f t="shared" si="0"/>
        <v>7</v>
      </c>
      <c r="B10" s="64" t="s">
        <v>950</v>
      </c>
      <c r="C10" s="30" t="s">
        <v>951</v>
      </c>
      <c r="D10" s="30" t="s">
        <v>50</v>
      </c>
      <c r="E10" s="30"/>
      <c r="F10" s="116"/>
      <c r="G10" s="30"/>
      <c r="H10" s="30"/>
      <c r="I10" s="64"/>
      <c r="J10" s="64" t="s">
        <v>271</v>
      </c>
      <c r="K10" s="269" t="s">
        <v>124</v>
      </c>
      <c r="L10" s="269" t="s">
        <v>124</v>
      </c>
      <c r="M10" s="270" t="s">
        <v>124</v>
      </c>
    </row>
    <row r="11" spans="1:13">
      <c r="A11" s="296">
        <f t="shared" si="0"/>
        <v>8</v>
      </c>
      <c r="B11" s="14" t="s">
        <v>952</v>
      </c>
      <c r="C11" s="14" t="s">
        <v>953</v>
      </c>
      <c r="D11" s="30" t="s">
        <v>50</v>
      </c>
      <c r="E11" s="14"/>
      <c r="F11" s="117"/>
      <c r="G11" s="14"/>
      <c r="H11" s="14"/>
      <c r="I11" s="62"/>
      <c r="J11" s="64" t="s">
        <v>271</v>
      </c>
      <c r="K11" s="269" t="s">
        <v>124</v>
      </c>
      <c r="L11" s="269" t="s">
        <v>124</v>
      </c>
      <c r="M11" s="270" t="s">
        <v>124</v>
      </c>
    </row>
    <row r="12" spans="1:13">
      <c r="A12" s="296">
        <f t="shared" si="0"/>
        <v>9</v>
      </c>
      <c r="B12" s="14" t="s">
        <v>954</v>
      </c>
      <c r="C12" s="14" t="s">
        <v>955</v>
      </c>
      <c r="D12" s="30" t="s">
        <v>50</v>
      </c>
      <c r="E12" s="14"/>
      <c r="F12" s="117"/>
      <c r="G12" s="14"/>
      <c r="H12" s="14"/>
      <c r="I12" s="62"/>
      <c r="J12" s="64" t="s">
        <v>271</v>
      </c>
      <c r="K12" s="269" t="s">
        <v>124</v>
      </c>
      <c r="L12" s="269" t="s">
        <v>124</v>
      </c>
      <c r="M12" s="270" t="s">
        <v>124</v>
      </c>
    </row>
    <row r="13" spans="1:13">
      <c r="A13" s="296">
        <f t="shared" si="0"/>
        <v>10</v>
      </c>
      <c r="B13" s="14" t="s">
        <v>956</v>
      </c>
      <c r="C13" s="14" t="s">
        <v>957</v>
      </c>
      <c r="D13" s="30" t="s">
        <v>50</v>
      </c>
      <c r="E13" s="14"/>
      <c r="F13" s="117"/>
      <c r="G13" s="14"/>
      <c r="H13" s="14"/>
      <c r="I13" s="62"/>
      <c r="J13" s="64" t="s">
        <v>271</v>
      </c>
      <c r="K13" s="269" t="s">
        <v>124</v>
      </c>
      <c r="L13" s="269" t="s">
        <v>124</v>
      </c>
      <c r="M13" s="270" t="s">
        <v>124</v>
      </c>
    </row>
    <row r="14" spans="1:13">
      <c r="A14" s="296">
        <f t="shared" si="0"/>
        <v>11</v>
      </c>
      <c r="B14" s="31" t="s">
        <v>958</v>
      </c>
      <c r="C14" s="31" t="s">
        <v>959</v>
      </c>
      <c r="D14" s="30" t="s">
        <v>50</v>
      </c>
      <c r="E14" s="31"/>
      <c r="F14" s="321"/>
      <c r="G14" s="31"/>
      <c r="H14" s="31"/>
      <c r="I14" s="63"/>
      <c r="J14" s="64" t="s">
        <v>271</v>
      </c>
      <c r="K14" s="269" t="s">
        <v>124</v>
      </c>
      <c r="L14" s="269" t="s">
        <v>124</v>
      </c>
      <c r="M14" s="270" t="s">
        <v>124</v>
      </c>
    </row>
    <row r="15" spans="1:13">
      <c r="A15" s="296">
        <f t="shared" si="0"/>
        <v>12</v>
      </c>
      <c r="B15" s="31" t="s">
        <v>960</v>
      </c>
      <c r="C15" s="31" t="s">
        <v>961</v>
      </c>
      <c r="D15" s="30" t="s">
        <v>962</v>
      </c>
      <c r="E15" s="31"/>
      <c r="F15" s="321"/>
      <c r="G15" s="31"/>
      <c r="H15" s="31"/>
      <c r="I15" s="63"/>
      <c r="J15" s="64" t="s">
        <v>271</v>
      </c>
      <c r="K15" s="269" t="s">
        <v>124</v>
      </c>
      <c r="L15" s="269" t="s">
        <v>124</v>
      </c>
      <c r="M15" s="270" t="s">
        <v>124</v>
      </c>
    </row>
    <row r="16" spans="1:13">
      <c r="A16" s="40">
        <f t="shared" si="0"/>
        <v>13</v>
      </c>
      <c r="B16" s="44" t="s">
        <v>906</v>
      </c>
      <c r="C16" s="44" t="s">
        <v>963</v>
      </c>
      <c r="D16" s="46" t="s">
        <v>962</v>
      </c>
      <c r="E16" s="44"/>
      <c r="F16" s="45"/>
      <c r="G16" s="44"/>
      <c r="H16" s="44"/>
      <c r="I16" s="48"/>
      <c r="J16" s="64" t="s">
        <v>271</v>
      </c>
      <c r="K16" s="269" t="s">
        <v>124</v>
      </c>
      <c r="L16" s="269" t="s">
        <v>124</v>
      </c>
      <c r="M16" s="270" t="s">
        <v>124</v>
      </c>
    </row>
    <row r="17" spans="1:13" ht="14.25" thickBot="1">
      <c r="A17" s="249">
        <f t="shared" si="0"/>
        <v>14</v>
      </c>
      <c r="B17" s="50" t="s">
        <v>964</v>
      </c>
      <c r="C17" s="50" t="s">
        <v>965</v>
      </c>
      <c r="D17" s="50" t="s">
        <v>166</v>
      </c>
      <c r="E17" s="50"/>
      <c r="F17" s="51"/>
      <c r="G17" s="50"/>
      <c r="H17" s="50"/>
      <c r="I17" s="152" t="s">
        <v>966</v>
      </c>
      <c r="J17" s="152" t="s">
        <v>341</v>
      </c>
      <c r="K17" s="226" t="s">
        <v>124</v>
      </c>
      <c r="L17" s="226" t="s">
        <v>124</v>
      </c>
      <c r="M17" s="242" t="s">
        <v>124</v>
      </c>
    </row>
  </sheetData>
  <phoneticPr fontId="4"/>
  <printOptions horizontalCentered="1"/>
  <pageMargins left="0.19685039370078741" right="0.19685039370078741" top="0.62992125984251968" bottom="0.39370078740157483" header="0.19685039370078741" footer="0.31496062992125984"/>
  <pageSetup paperSize="9" scale="68" orientation="landscape" horizontalDpi="300" verticalDpi="300" r:id="rId1"/>
  <headerFooter alignWithMargins="0">
    <oddFooter>&amp;C&amp;"Times New Roman,標準"&amp;10&amp;P/&amp;N&amp;R&amp;"Times New Roman,標準"&amp;9Copyright(C) 2017 VINX Corporation. All Rights Reserved.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2">
    <tabColor rgb="FFC00000"/>
  </sheetPr>
  <dimension ref="A1:N73"/>
  <sheetViews>
    <sheetView zoomScale="85" zoomScaleNormal="85" workbookViewId="0">
      <selection activeCell="I4" sqref="I4"/>
    </sheetView>
  </sheetViews>
  <sheetFormatPr defaultColWidth="9" defaultRowHeight="13.5" outlineLevelCol="1"/>
  <cols>
    <col min="1" max="1" width="5.5703125" style="33" customWidth="1"/>
    <col min="2" max="2" width="28.42578125" style="33" customWidth="1"/>
    <col min="3" max="3" width="11.42578125" style="33" hidden="1" customWidth="1" outlineLevel="1"/>
    <col min="4" max="4" width="13.5703125" style="33" hidden="1" customWidth="1" outlineLevel="1"/>
    <col min="5" max="5" width="15.28515625" style="33" hidden="1" customWidth="1" outlineLevel="1"/>
    <col min="6" max="7" width="0" style="33" hidden="1" customWidth="1" outlineLevel="1"/>
    <col min="8" max="8" width="9" style="33" collapsed="1"/>
    <col min="9" max="9" width="57.42578125" style="33" customWidth="1"/>
    <col min="10" max="10" width="12.5703125" style="33" customWidth="1"/>
    <col min="11" max="11" width="26.42578125" style="33" bestFit="1" customWidth="1"/>
    <col min="12" max="12" width="17.140625" style="33" bestFit="1" customWidth="1"/>
    <col min="13" max="13" width="16" style="33" customWidth="1"/>
    <col min="14" max="14" width="17" style="33" customWidth="1"/>
    <col min="15" max="16384" width="9" style="33"/>
  </cols>
  <sheetData>
    <row r="1" spans="1:14">
      <c r="A1" s="33" t="s">
        <v>967</v>
      </c>
    </row>
    <row r="2" spans="1:14" ht="14.25" thickBot="1"/>
    <row r="3" spans="1:14" ht="32.25" customHeight="1" thickBot="1">
      <c r="A3" s="341" t="s">
        <v>1</v>
      </c>
      <c r="B3" s="341" t="s">
        <v>2</v>
      </c>
      <c r="C3" s="341" t="s">
        <v>3</v>
      </c>
      <c r="D3" s="341" t="s">
        <v>4</v>
      </c>
      <c r="E3" s="341" t="s">
        <v>5</v>
      </c>
      <c r="F3" s="341" t="s">
        <v>6</v>
      </c>
      <c r="G3" s="342" t="s">
        <v>7</v>
      </c>
      <c r="H3" s="343" t="s">
        <v>8</v>
      </c>
      <c r="I3" s="341" t="s">
        <v>9</v>
      </c>
      <c r="J3" s="348" t="s">
        <v>10</v>
      </c>
      <c r="K3" s="349"/>
      <c r="L3" s="208" t="s">
        <v>11</v>
      </c>
      <c r="M3" s="209" t="s">
        <v>12</v>
      </c>
      <c r="N3" s="210" t="s">
        <v>13</v>
      </c>
    </row>
    <row r="4" spans="1:14" ht="283.5">
      <c r="A4" s="34">
        <f>ROW() - 3</f>
        <v>1</v>
      </c>
      <c r="B4" s="34" t="s">
        <v>968</v>
      </c>
      <c r="C4" s="68" t="s">
        <v>969</v>
      </c>
      <c r="D4" s="34" t="s">
        <v>970</v>
      </c>
      <c r="E4" s="34">
        <v>20</v>
      </c>
      <c r="F4" s="35" t="s">
        <v>971</v>
      </c>
      <c r="G4" s="34"/>
      <c r="H4" s="34">
        <v>1</v>
      </c>
      <c r="I4" s="352" t="s">
        <v>972</v>
      </c>
      <c r="J4" s="232"/>
      <c r="K4" s="232"/>
      <c r="L4" s="232"/>
      <c r="M4" s="232"/>
      <c r="N4" s="232"/>
    </row>
    <row r="5" spans="1:14">
      <c r="A5" s="36">
        <f>ROW() - 3</f>
        <v>2</v>
      </c>
      <c r="B5" s="36" t="s">
        <v>973</v>
      </c>
      <c r="C5" s="69" t="s">
        <v>974</v>
      </c>
      <c r="D5" s="36" t="s">
        <v>975</v>
      </c>
      <c r="E5" s="36"/>
      <c r="F5" s="37" t="s">
        <v>971</v>
      </c>
      <c r="G5" s="36"/>
      <c r="H5" s="36"/>
      <c r="I5" s="36"/>
      <c r="J5" s="36"/>
      <c r="K5" s="36"/>
      <c r="L5" s="36"/>
      <c r="M5" s="36"/>
      <c r="N5" s="36"/>
    </row>
    <row r="6" spans="1:14">
      <c r="A6" s="36">
        <f>ROW() - 3</f>
        <v>3</v>
      </c>
      <c r="B6" s="36" t="s">
        <v>976</v>
      </c>
      <c r="C6" s="70" t="s">
        <v>977</v>
      </c>
      <c r="D6" s="36" t="s">
        <v>975</v>
      </c>
      <c r="E6" s="36"/>
      <c r="F6" s="37" t="s">
        <v>971</v>
      </c>
      <c r="G6" s="36"/>
      <c r="H6" s="36"/>
      <c r="I6" s="162"/>
      <c r="J6" s="162"/>
      <c r="K6" s="162"/>
      <c r="L6" s="162"/>
      <c r="M6" s="162"/>
      <c r="N6" s="162"/>
    </row>
    <row r="7" spans="1:14" ht="14.25" thickBot="1">
      <c r="A7" s="38">
        <f>ROW() - 3</f>
        <v>4</v>
      </c>
      <c r="B7" s="38" t="s">
        <v>978</v>
      </c>
      <c r="C7" s="71" t="s">
        <v>979</v>
      </c>
      <c r="D7" s="38" t="s">
        <v>975</v>
      </c>
      <c r="E7" s="38"/>
      <c r="F7" s="39" t="s">
        <v>971</v>
      </c>
      <c r="G7" s="38"/>
      <c r="H7" s="38"/>
      <c r="I7" s="163"/>
      <c r="J7" s="163"/>
      <c r="K7" s="163"/>
      <c r="L7" s="163"/>
      <c r="M7" s="163"/>
      <c r="N7" s="163"/>
    </row>
    <row r="8" spans="1:14">
      <c r="B8" s="67"/>
      <c r="F8" s="67"/>
    </row>
    <row r="9" spans="1:14">
      <c r="B9" s="67"/>
    </row>
    <row r="10" spans="1:14">
      <c r="F10" s="67"/>
    </row>
    <row r="11" spans="1:14" ht="14.25" thickBot="1"/>
    <row r="12" spans="1:14" ht="42.75" customHeight="1" thickBot="1">
      <c r="A12" s="344" t="s">
        <v>1</v>
      </c>
      <c r="B12" s="345" t="s">
        <v>2</v>
      </c>
      <c r="C12" s="345" t="s">
        <v>3</v>
      </c>
      <c r="D12" s="345" t="s">
        <v>4</v>
      </c>
      <c r="E12" s="345" t="s">
        <v>5</v>
      </c>
      <c r="F12" s="345" t="s">
        <v>6</v>
      </c>
      <c r="G12" s="346" t="s">
        <v>7</v>
      </c>
      <c r="H12" s="347" t="s">
        <v>8</v>
      </c>
      <c r="I12" s="345" t="s">
        <v>9</v>
      </c>
      <c r="J12" s="348" t="s">
        <v>10</v>
      </c>
      <c r="K12" s="349"/>
      <c r="L12" s="208" t="s">
        <v>11</v>
      </c>
      <c r="M12" s="209" t="s">
        <v>12</v>
      </c>
      <c r="N12" s="210" t="s">
        <v>13</v>
      </c>
    </row>
    <row r="13" spans="1:14" ht="14.25" thickTop="1">
      <c r="A13" s="233">
        <v>1</v>
      </c>
      <c r="B13" s="79" t="s">
        <v>980</v>
      </c>
      <c r="C13" s="79"/>
      <c r="D13" s="80"/>
      <c r="E13" s="80"/>
      <c r="F13" s="81"/>
      <c r="G13" s="80"/>
      <c r="H13" s="80"/>
      <c r="I13" s="164"/>
      <c r="J13" s="350" t="str">
        <f>B13</f>
        <v>&lt;&lt; 営業回数 &gt;&gt;</v>
      </c>
      <c r="K13" s="351"/>
      <c r="L13" s="193" t="s">
        <v>124</v>
      </c>
      <c r="M13" s="193" t="s">
        <v>124</v>
      </c>
      <c r="N13" s="234" t="s">
        <v>124</v>
      </c>
    </row>
    <row r="14" spans="1:14" ht="15.75">
      <c r="A14" s="235">
        <v>2</v>
      </c>
      <c r="B14" s="68" t="s">
        <v>981</v>
      </c>
      <c r="C14" s="68"/>
      <c r="D14" s="34"/>
      <c r="E14" s="34"/>
      <c r="F14" s="35"/>
      <c r="G14" s="34"/>
      <c r="H14" s="34"/>
      <c r="I14" s="161"/>
      <c r="J14" s="73" t="s">
        <v>982</v>
      </c>
      <c r="K14" s="74" t="s">
        <v>983</v>
      </c>
      <c r="L14" s="193" t="s">
        <v>124</v>
      </c>
      <c r="M14" s="193" t="s">
        <v>124</v>
      </c>
      <c r="N14" s="234" t="s">
        <v>124</v>
      </c>
    </row>
    <row r="15" spans="1:14" ht="15.75">
      <c r="A15" s="235">
        <v>3</v>
      </c>
      <c r="B15" s="68" t="s">
        <v>984</v>
      </c>
      <c r="C15" s="68"/>
      <c r="D15" s="34"/>
      <c r="E15" s="34"/>
      <c r="F15" s="35"/>
      <c r="G15" s="34"/>
      <c r="H15" s="34"/>
      <c r="I15" s="161"/>
      <c r="J15" s="73" t="s">
        <v>982</v>
      </c>
      <c r="K15" s="75" t="s">
        <v>985</v>
      </c>
      <c r="L15" s="193" t="s">
        <v>124</v>
      </c>
      <c r="M15" s="193" t="s">
        <v>124</v>
      </c>
      <c r="N15" s="234" t="s">
        <v>124</v>
      </c>
    </row>
    <row r="16" spans="1:14" ht="15.75">
      <c r="A16" s="235">
        <v>4</v>
      </c>
      <c r="B16" s="68" t="s">
        <v>986</v>
      </c>
      <c r="C16" s="68"/>
      <c r="D16" s="34"/>
      <c r="E16" s="34"/>
      <c r="F16" s="35"/>
      <c r="G16" s="34"/>
      <c r="H16" s="34"/>
      <c r="I16" s="161"/>
      <c r="J16" s="73" t="s">
        <v>982</v>
      </c>
      <c r="K16" s="76" t="s">
        <v>985</v>
      </c>
      <c r="L16" s="193" t="s">
        <v>124</v>
      </c>
      <c r="M16" s="193" t="s">
        <v>124</v>
      </c>
      <c r="N16" s="234" t="s">
        <v>124</v>
      </c>
    </row>
    <row r="17" spans="1:14" ht="16.5" thickBot="1">
      <c r="A17" s="236">
        <v>5</v>
      </c>
      <c r="B17" s="82" t="s">
        <v>987</v>
      </c>
      <c r="C17" s="82"/>
      <c r="D17" s="83"/>
      <c r="E17" s="83"/>
      <c r="F17" s="84"/>
      <c r="G17" s="83"/>
      <c r="H17" s="83"/>
      <c r="I17" s="165"/>
      <c r="J17" s="85" t="s">
        <v>982</v>
      </c>
      <c r="K17" s="86" t="s">
        <v>988</v>
      </c>
      <c r="L17" s="193" t="s">
        <v>124</v>
      </c>
      <c r="M17" s="193" t="s">
        <v>124</v>
      </c>
      <c r="N17" s="234" t="s">
        <v>124</v>
      </c>
    </row>
    <row r="18" spans="1:14" ht="14.25" thickTop="1">
      <c r="A18" s="233">
        <v>1</v>
      </c>
      <c r="B18" s="79" t="s">
        <v>989</v>
      </c>
      <c r="C18" s="79"/>
      <c r="D18" s="80"/>
      <c r="E18" s="80"/>
      <c r="F18" s="81"/>
      <c r="G18" s="80"/>
      <c r="H18" s="80"/>
      <c r="I18" s="164"/>
      <c r="J18" s="350" t="str">
        <f>B18</f>
        <v>&lt;&lt; クレジット承認番号 &gt;&gt;</v>
      </c>
      <c r="K18" s="351"/>
      <c r="L18" s="193" t="s">
        <v>124</v>
      </c>
      <c r="M18" s="193" t="s">
        <v>124</v>
      </c>
      <c r="N18" s="234" t="s">
        <v>124</v>
      </c>
    </row>
    <row r="19" spans="1:14" ht="15.75">
      <c r="A19" s="235">
        <v>2</v>
      </c>
      <c r="B19" s="68" t="s">
        <v>981</v>
      </c>
      <c r="C19" s="68"/>
      <c r="D19" s="34"/>
      <c r="E19" s="34"/>
      <c r="F19" s="35"/>
      <c r="G19" s="34"/>
      <c r="H19" s="34"/>
      <c r="I19" s="161"/>
      <c r="J19" s="73" t="s">
        <v>982</v>
      </c>
      <c r="K19" s="74" t="s">
        <v>990</v>
      </c>
      <c r="L19" s="193" t="s">
        <v>124</v>
      </c>
      <c r="M19" s="193" t="s">
        <v>124</v>
      </c>
      <c r="N19" s="234" t="s">
        <v>124</v>
      </c>
    </row>
    <row r="20" spans="1:14" ht="15.75">
      <c r="A20" s="235">
        <v>3</v>
      </c>
      <c r="B20" s="68" t="s">
        <v>984</v>
      </c>
      <c r="C20" s="68"/>
      <c r="D20" s="34"/>
      <c r="E20" s="34"/>
      <c r="F20" s="35"/>
      <c r="G20" s="34"/>
      <c r="H20" s="34"/>
      <c r="I20" s="161"/>
      <c r="J20" s="73" t="s">
        <v>982</v>
      </c>
      <c r="K20" s="75" t="s">
        <v>991</v>
      </c>
      <c r="L20" s="193" t="s">
        <v>124</v>
      </c>
      <c r="M20" s="193" t="s">
        <v>124</v>
      </c>
      <c r="N20" s="234" t="s">
        <v>124</v>
      </c>
    </row>
    <row r="21" spans="1:14" ht="15.75">
      <c r="A21" s="235">
        <v>4</v>
      </c>
      <c r="B21" s="68" t="s">
        <v>986</v>
      </c>
      <c r="C21" s="68"/>
      <c r="D21" s="34"/>
      <c r="E21" s="34"/>
      <c r="F21" s="35"/>
      <c r="G21" s="34"/>
      <c r="H21" s="34"/>
      <c r="I21" s="161"/>
      <c r="J21" s="73" t="s">
        <v>982</v>
      </c>
      <c r="K21" s="76" t="s">
        <v>985</v>
      </c>
      <c r="L21" s="193" t="s">
        <v>124</v>
      </c>
      <c r="M21" s="193" t="s">
        <v>124</v>
      </c>
      <c r="N21" s="234" t="s">
        <v>124</v>
      </c>
    </row>
    <row r="22" spans="1:14" ht="16.5" thickBot="1">
      <c r="A22" s="236">
        <v>5</v>
      </c>
      <c r="B22" s="82" t="s">
        <v>987</v>
      </c>
      <c r="C22" s="82"/>
      <c r="D22" s="83"/>
      <c r="E22" s="83"/>
      <c r="F22" s="84"/>
      <c r="G22" s="83"/>
      <c r="H22" s="83"/>
      <c r="I22" s="165"/>
      <c r="J22" s="85" t="s">
        <v>982</v>
      </c>
      <c r="K22" s="86" t="s">
        <v>992</v>
      </c>
      <c r="L22" s="193" t="s">
        <v>124</v>
      </c>
      <c r="M22" s="193" t="s">
        <v>124</v>
      </c>
      <c r="N22" s="234" t="s">
        <v>124</v>
      </c>
    </row>
    <row r="23" spans="1:14" ht="14.25" thickTop="1">
      <c r="A23" s="233">
        <v>1</v>
      </c>
      <c r="B23" s="79" t="s">
        <v>993</v>
      </c>
      <c r="C23" s="79"/>
      <c r="D23" s="80"/>
      <c r="E23" s="80"/>
      <c r="F23" s="81"/>
      <c r="G23" s="80"/>
      <c r="H23" s="80"/>
      <c r="I23" s="164"/>
      <c r="J23" s="350" t="str">
        <f>B23</f>
        <v>&lt;&lt; 電子ジャーナル番号 &gt;&gt;</v>
      </c>
      <c r="K23" s="351"/>
      <c r="L23" s="193" t="s">
        <v>124</v>
      </c>
      <c r="M23" s="193" t="s">
        <v>124</v>
      </c>
      <c r="N23" s="234" t="s">
        <v>124</v>
      </c>
    </row>
    <row r="24" spans="1:14" ht="15.75">
      <c r="A24" s="235">
        <v>2</v>
      </c>
      <c r="B24" s="68" t="s">
        <v>981</v>
      </c>
      <c r="C24" s="68"/>
      <c r="D24" s="34"/>
      <c r="E24" s="34"/>
      <c r="F24" s="35"/>
      <c r="G24" s="34"/>
      <c r="H24" s="34"/>
      <c r="I24" s="161"/>
      <c r="J24" s="73" t="s">
        <v>982</v>
      </c>
      <c r="K24" s="74" t="s">
        <v>994</v>
      </c>
      <c r="L24" s="193" t="s">
        <v>124</v>
      </c>
      <c r="M24" s="193" t="s">
        <v>124</v>
      </c>
      <c r="N24" s="234" t="s">
        <v>124</v>
      </c>
    </row>
    <row r="25" spans="1:14" ht="15.75">
      <c r="A25" s="235">
        <v>3</v>
      </c>
      <c r="B25" s="68" t="s">
        <v>984</v>
      </c>
      <c r="C25" s="68"/>
      <c r="D25" s="34"/>
      <c r="E25" s="34"/>
      <c r="F25" s="35"/>
      <c r="G25" s="34"/>
      <c r="H25" s="34"/>
      <c r="I25" s="161"/>
      <c r="J25" s="73" t="s">
        <v>982</v>
      </c>
      <c r="K25" s="75" t="s">
        <v>991</v>
      </c>
      <c r="L25" s="193" t="s">
        <v>124</v>
      </c>
      <c r="M25" s="193" t="s">
        <v>124</v>
      </c>
      <c r="N25" s="234" t="s">
        <v>124</v>
      </c>
    </row>
    <row r="26" spans="1:14" ht="15.75">
      <c r="A26" s="235">
        <v>4</v>
      </c>
      <c r="B26" s="68" t="s">
        <v>986</v>
      </c>
      <c r="C26" s="68"/>
      <c r="D26" s="34"/>
      <c r="E26" s="34"/>
      <c r="F26" s="35"/>
      <c r="G26" s="34"/>
      <c r="H26" s="34"/>
      <c r="I26" s="161"/>
      <c r="J26" s="73" t="s">
        <v>982</v>
      </c>
      <c r="K26" s="76" t="s">
        <v>985</v>
      </c>
      <c r="L26" s="193" t="s">
        <v>124</v>
      </c>
      <c r="M26" s="193" t="s">
        <v>124</v>
      </c>
      <c r="N26" s="234" t="s">
        <v>124</v>
      </c>
    </row>
    <row r="27" spans="1:14" ht="16.5" thickBot="1">
      <c r="A27" s="236">
        <v>5</v>
      </c>
      <c r="B27" s="82" t="s">
        <v>987</v>
      </c>
      <c r="C27" s="82"/>
      <c r="D27" s="83"/>
      <c r="E27" s="83"/>
      <c r="F27" s="84"/>
      <c r="G27" s="83"/>
      <c r="H27" s="83"/>
      <c r="I27" s="165"/>
      <c r="J27" s="85" t="s">
        <v>982</v>
      </c>
      <c r="K27" s="86" t="s">
        <v>992</v>
      </c>
      <c r="L27" s="193" t="s">
        <v>124</v>
      </c>
      <c r="M27" s="193" t="s">
        <v>124</v>
      </c>
      <c r="N27" s="234" t="s">
        <v>124</v>
      </c>
    </row>
    <row r="28" spans="1:14" ht="14.25" thickTop="1">
      <c r="A28" s="233">
        <v>1</v>
      </c>
      <c r="B28" s="79" t="s">
        <v>995</v>
      </c>
      <c r="C28" s="79"/>
      <c r="D28" s="80"/>
      <c r="E28" s="80"/>
      <c r="F28" s="81"/>
      <c r="G28" s="80"/>
      <c r="H28" s="80"/>
      <c r="I28" s="164"/>
      <c r="J28" s="350" t="str">
        <f>B28</f>
        <v>&lt;&lt; 電子ジャーナルシーケンシャル番号 &gt;&gt;</v>
      </c>
      <c r="K28" s="351"/>
      <c r="L28" s="193" t="s">
        <v>124</v>
      </c>
      <c r="M28" s="193" t="s">
        <v>124</v>
      </c>
      <c r="N28" s="234" t="s">
        <v>124</v>
      </c>
    </row>
    <row r="29" spans="1:14" ht="15.75">
      <c r="A29" s="235">
        <v>2</v>
      </c>
      <c r="B29" s="68" t="s">
        <v>981</v>
      </c>
      <c r="C29" s="68"/>
      <c r="D29" s="34"/>
      <c r="E29" s="34"/>
      <c r="F29" s="35"/>
      <c r="G29" s="34"/>
      <c r="H29" s="34"/>
      <c r="I29" s="161"/>
      <c r="J29" s="73" t="s">
        <v>982</v>
      </c>
      <c r="K29" s="74" t="s">
        <v>996</v>
      </c>
      <c r="L29" s="193" t="s">
        <v>124</v>
      </c>
      <c r="M29" s="193" t="s">
        <v>124</v>
      </c>
      <c r="N29" s="234" t="s">
        <v>124</v>
      </c>
    </row>
    <row r="30" spans="1:14" ht="15.75">
      <c r="A30" s="235">
        <v>3</v>
      </c>
      <c r="B30" s="68" t="s">
        <v>984</v>
      </c>
      <c r="C30" s="68"/>
      <c r="D30" s="34"/>
      <c r="E30" s="34"/>
      <c r="F30" s="35"/>
      <c r="G30" s="34"/>
      <c r="H30" s="34"/>
      <c r="I30" s="161"/>
      <c r="J30" s="73" t="s">
        <v>982</v>
      </c>
      <c r="K30" s="75" t="s">
        <v>991</v>
      </c>
      <c r="L30" s="193" t="s">
        <v>124</v>
      </c>
      <c r="M30" s="193" t="s">
        <v>124</v>
      </c>
      <c r="N30" s="234" t="s">
        <v>124</v>
      </c>
    </row>
    <row r="31" spans="1:14" ht="15.75">
      <c r="A31" s="235">
        <v>4</v>
      </c>
      <c r="B31" s="68" t="s">
        <v>986</v>
      </c>
      <c r="C31" s="68"/>
      <c r="D31" s="34"/>
      <c r="E31" s="34"/>
      <c r="F31" s="35"/>
      <c r="G31" s="34"/>
      <c r="H31" s="34"/>
      <c r="I31" s="161"/>
      <c r="J31" s="73" t="s">
        <v>982</v>
      </c>
      <c r="K31" s="76" t="s">
        <v>985</v>
      </c>
      <c r="L31" s="193" t="s">
        <v>124</v>
      </c>
      <c r="M31" s="193" t="s">
        <v>124</v>
      </c>
      <c r="N31" s="234" t="s">
        <v>124</v>
      </c>
    </row>
    <row r="32" spans="1:14" ht="16.5" thickBot="1">
      <c r="A32" s="236">
        <v>5</v>
      </c>
      <c r="B32" s="82" t="s">
        <v>987</v>
      </c>
      <c r="C32" s="82"/>
      <c r="D32" s="83"/>
      <c r="E32" s="83"/>
      <c r="F32" s="84"/>
      <c r="G32" s="83"/>
      <c r="H32" s="83"/>
      <c r="I32" s="165"/>
      <c r="J32" s="85" t="s">
        <v>982</v>
      </c>
      <c r="K32" s="86" t="s">
        <v>988</v>
      </c>
      <c r="L32" s="193" t="s">
        <v>124</v>
      </c>
      <c r="M32" s="193" t="s">
        <v>124</v>
      </c>
      <c r="N32" s="234" t="s">
        <v>124</v>
      </c>
    </row>
    <row r="33" spans="1:14" ht="14.25" thickTop="1">
      <c r="A33" s="233">
        <v>1</v>
      </c>
      <c r="B33" s="79" t="s">
        <v>997</v>
      </c>
      <c r="C33" s="79"/>
      <c r="D33" s="80"/>
      <c r="E33" s="80"/>
      <c r="F33" s="81"/>
      <c r="G33" s="80"/>
      <c r="H33" s="80"/>
      <c r="I33" s="164"/>
      <c r="J33" s="350" t="str">
        <f>B33</f>
        <v>&lt;&lt; 領収証番号 &gt;&gt;</v>
      </c>
      <c r="K33" s="351"/>
      <c r="L33" s="193" t="s">
        <v>124</v>
      </c>
      <c r="M33" s="193" t="s">
        <v>124</v>
      </c>
      <c r="N33" s="234" t="s">
        <v>124</v>
      </c>
    </row>
    <row r="34" spans="1:14" ht="15.75">
      <c r="A34" s="235">
        <v>2</v>
      </c>
      <c r="B34" s="68" t="s">
        <v>981</v>
      </c>
      <c r="C34" s="68"/>
      <c r="D34" s="34"/>
      <c r="E34" s="34"/>
      <c r="F34" s="35"/>
      <c r="G34" s="34"/>
      <c r="H34" s="34"/>
      <c r="I34" s="161"/>
      <c r="J34" s="73" t="s">
        <v>982</v>
      </c>
      <c r="K34" s="74" t="s">
        <v>998</v>
      </c>
      <c r="L34" s="193" t="s">
        <v>124</v>
      </c>
      <c r="M34" s="193" t="s">
        <v>124</v>
      </c>
      <c r="N34" s="234" t="s">
        <v>124</v>
      </c>
    </row>
    <row r="35" spans="1:14" ht="15.75">
      <c r="A35" s="235">
        <v>3</v>
      </c>
      <c r="B35" s="68" t="s">
        <v>984</v>
      </c>
      <c r="C35" s="68"/>
      <c r="D35" s="34"/>
      <c r="E35" s="34"/>
      <c r="F35" s="35"/>
      <c r="G35" s="34"/>
      <c r="H35" s="34"/>
      <c r="I35" s="161"/>
      <c r="J35" s="73" t="s">
        <v>982</v>
      </c>
      <c r="K35" s="75" t="s">
        <v>991</v>
      </c>
      <c r="L35" s="193" t="s">
        <v>124</v>
      </c>
      <c r="M35" s="193" t="s">
        <v>124</v>
      </c>
      <c r="N35" s="234" t="s">
        <v>124</v>
      </c>
    </row>
    <row r="36" spans="1:14" ht="15.75">
      <c r="A36" s="235">
        <v>4</v>
      </c>
      <c r="B36" s="68" t="s">
        <v>986</v>
      </c>
      <c r="C36" s="68"/>
      <c r="D36" s="34"/>
      <c r="E36" s="34"/>
      <c r="F36" s="35"/>
      <c r="G36" s="34"/>
      <c r="H36" s="34"/>
      <c r="I36" s="161"/>
      <c r="J36" s="73" t="s">
        <v>982</v>
      </c>
      <c r="K36" s="76" t="s">
        <v>985</v>
      </c>
      <c r="L36" s="193" t="s">
        <v>124</v>
      </c>
      <c r="M36" s="193" t="s">
        <v>124</v>
      </c>
      <c r="N36" s="234" t="s">
        <v>124</v>
      </c>
    </row>
    <row r="37" spans="1:14" ht="16.5" thickBot="1">
      <c r="A37" s="236">
        <v>5</v>
      </c>
      <c r="B37" s="82" t="s">
        <v>987</v>
      </c>
      <c r="C37" s="82"/>
      <c r="D37" s="83"/>
      <c r="E37" s="83"/>
      <c r="F37" s="84"/>
      <c r="G37" s="83"/>
      <c r="H37" s="83"/>
      <c r="I37" s="165"/>
      <c r="J37" s="85" t="s">
        <v>982</v>
      </c>
      <c r="K37" s="86" t="s">
        <v>992</v>
      </c>
      <c r="L37" s="193" t="s">
        <v>124</v>
      </c>
      <c r="M37" s="193" t="s">
        <v>124</v>
      </c>
      <c r="N37" s="234" t="s">
        <v>124</v>
      </c>
    </row>
    <row r="38" spans="1:14" ht="14.25" thickTop="1">
      <c r="A38" s="233">
        <v>1</v>
      </c>
      <c r="B38" s="79" t="s">
        <v>999</v>
      </c>
      <c r="C38" s="79"/>
      <c r="D38" s="80"/>
      <c r="E38" s="80"/>
      <c r="F38" s="81"/>
      <c r="G38" s="80"/>
      <c r="H38" s="80"/>
      <c r="I38" s="164"/>
      <c r="J38" s="350" t="str">
        <f>B38</f>
        <v>&lt;&lt; 中間取引番号 &gt;&gt;</v>
      </c>
      <c r="K38" s="351"/>
      <c r="L38" s="193" t="s">
        <v>124</v>
      </c>
      <c r="M38" s="193" t="s">
        <v>124</v>
      </c>
      <c r="N38" s="234" t="s">
        <v>124</v>
      </c>
    </row>
    <row r="39" spans="1:14" ht="15.75">
      <c r="A39" s="235">
        <v>2</v>
      </c>
      <c r="B39" s="68" t="s">
        <v>981</v>
      </c>
      <c r="C39" s="68"/>
      <c r="D39" s="34"/>
      <c r="E39" s="34"/>
      <c r="F39" s="35"/>
      <c r="G39" s="34"/>
      <c r="H39" s="34"/>
      <c r="I39" s="161"/>
      <c r="J39" s="73" t="s">
        <v>982</v>
      </c>
      <c r="K39" s="74" t="s">
        <v>1000</v>
      </c>
      <c r="L39" s="193" t="s">
        <v>124</v>
      </c>
      <c r="M39" s="193" t="s">
        <v>124</v>
      </c>
      <c r="N39" s="234" t="s">
        <v>124</v>
      </c>
    </row>
    <row r="40" spans="1:14" ht="15.75">
      <c r="A40" s="235">
        <v>3</v>
      </c>
      <c r="B40" s="68" t="s">
        <v>984</v>
      </c>
      <c r="C40" s="68"/>
      <c r="D40" s="34"/>
      <c r="E40" s="34"/>
      <c r="F40" s="35"/>
      <c r="G40" s="34"/>
      <c r="H40" s="34"/>
      <c r="I40" s="161"/>
      <c r="J40" s="73" t="s">
        <v>982</v>
      </c>
      <c r="K40" s="75" t="s">
        <v>991</v>
      </c>
      <c r="L40" s="193" t="s">
        <v>124</v>
      </c>
      <c r="M40" s="193" t="s">
        <v>124</v>
      </c>
      <c r="N40" s="234" t="s">
        <v>124</v>
      </c>
    </row>
    <row r="41" spans="1:14" ht="15.75">
      <c r="A41" s="235">
        <v>4</v>
      </c>
      <c r="B41" s="68" t="s">
        <v>986</v>
      </c>
      <c r="C41" s="68"/>
      <c r="D41" s="34"/>
      <c r="E41" s="34"/>
      <c r="F41" s="35"/>
      <c r="G41" s="34"/>
      <c r="H41" s="34"/>
      <c r="I41" s="161"/>
      <c r="J41" s="73" t="s">
        <v>982</v>
      </c>
      <c r="K41" s="76" t="s">
        <v>985</v>
      </c>
      <c r="L41" s="193" t="s">
        <v>124</v>
      </c>
      <c r="M41" s="193" t="s">
        <v>124</v>
      </c>
      <c r="N41" s="234" t="s">
        <v>124</v>
      </c>
    </row>
    <row r="42" spans="1:14" ht="16.5" thickBot="1">
      <c r="A42" s="236">
        <v>5</v>
      </c>
      <c r="B42" s="82" t="s">
        <v>987</v>
      </c>
      <c r="C42" s="82"/>
      <c r="D42" s="83"/>
      <c r="E42" s="83"/>
      <c r="F42" s="84"/>
      <c r="G42" s="83"/>
      <c r="H42" s="83"/>
      <c r="I42" s="165"/>
      <c r="J42" s="85" t="s">
        <v>982</v>
      </c>
      <c r="K42" s="86" t="s">
        <v>1001</v>
      </c>
      <c r="L42" s="193" t="s">
        <v>124</v>
      </c>
      <c r="M42" s="193" t="s">
        <v>124</v>
      </c>
      <c r="N42" s="234" t="s">
        <v>124</v>
      </c>
    </row>
    <row r="43" spans="1:14" ht="14.25" thickTop="1">
      <c r="A43" s="233">
        <v>1</v>
      </c>
      <c r="B43" s="79" t="s">
        <v>1002</v>
      </c>
      <c r="C43" s="79"/>
      <c r="D43" s="80"/>
      <c r="E43" s="80"/>
      <c r="F43" s="81"/>
      <c r="G43" s="80"/>
      <c r="H43" s="80"/>
      <c r="I43" s="164"/>
      <c r="J43" s="350" t="str">
        <f>B43</f>
        <v>&lt;&lt; 開設回数 &gt;&gt;</v>
      </c>
      <c r="K43" s="351"/>
      <c r="L43" s="193" t="s">
        <v>124</v>
      </c>
      <c r="M43" s="193" t="s">
        <v>124</v>
      </c>
      <c r="N43" s="234" t="s">
        <v>124</v>
      </c>
    </row>
    <row r="44" spans="1:14" ht="15.75">
      <c r="A44" s="235">
        <v>2</v>
      </c>
      <c r="B44" s="68" t="s">
        <v>981</v>
      </c>
      <c r="C44" s="68"/>
      <c r="D44" s="34"/>
      <c r="E44" s="34"/>
      <c r="F44" s="35"/>
      <c r="G44" s="34"/>
      <c r="H44" s="34"/>
      <c r="I44" s="161"/>
      <c r="J44" s="73" t="s">
        <v>982</v>
      </c>
      <c r="K44" s="74" t="s">
        <v>1003</v>
      </c>
      <c r="L44" s="193" t="s">
        <v>124</v>
      </c>
      <c r="M44" s="193" t="s">
        <v>124</v>
      </c>
      <c r="N44" s="234" t="s">
        <v>124</v>
      </c>
    </row>
    <row r="45" spans="1:14" ht="15.75">
      <c r="A45" s="235">
        <v>3</v>
      </c>
      <c r="B45" s="68" t="s">
        <v>984</v>
      </c>
      <c r="C45" s="68"/>
      <c r="D45" s="34"/>
      <c r="E45" s="34"/>
      <c r="F45" s="35"/>
      <c r="G45" s="34"/>
      <c r="H45" s="34"/>
      <c r="I45" s="161"/>
      <c r="J45" s="73" t="s">
        <v>982</v>
      </c>
      <c r="K45" s="75" t="s">
        <v>991</v>
      </c>
      <c r="L45" s="193" t="s">
        <v>124</v>
      </c>
      <c r="M45" s="193" t="s">
        <v>124</v>
      </c>
      <c r="N45" s="234" t="s">
        <v>124</v>
      </c>
    </row>
    <row r="46" spans="1:14" ht="15.75">
      <c r="A46" s="235">
        <v>4</v>
      </c>
      <c r="B46" s="68" t="s">
        <v>986</v>
      </c>
      <c r="C46" s="68"/>
      <c r="D46" s="34"/>
      <c r="E46" s="34"/>
      <c r="F46" s="35"/>
      <c r="G46" s="34"/>
      <c r="H46" s="34"/>
      <c r="I46" s="161"/>
      <c r="J46" s="73" t="s">
        <v>982</v>
      </c>
      <c r="K46" s="76" t="s">
        <v>985</v>
      </c>
      <c r="L46" s="193" t="s">
        <v>124</v>
      </c>
      <c r="M46" s="193" t="s">
        <v>124</v>
      </c>
      <c r="N46" s="234" t="s">
        <v>124</v>
      </c>
    </row>
    <row r="47" spans="1:14" ht="16.5" thickBot="1">
      <c r="A47" s="236">
        <v>5</v>
      </c>
      <c r="B47" s="82" t="s">
        <v>987</v>
      </c>
      <c r="C47" s="82"/>
      <c r="D47" s="83"/>
      <c r="E47" s="83"/>
      <c r="F47" s="84"/>
      <c r="G47" s="83"/>
      <c r="H47" s="83"/>
      <c r="I47" s="165"/>
      <c r="J47" s="85" t="s">
        <v>982</v>
      </c>
      <c r="K47" s="86" t="s">
        <v>988</v>
      </c>
      <c r="L47" s="193" t="s">
        <v>124</v>
      </c>
      <c r="M47" s="193" t="s">
        <v>124</v>
      </c>
      <c r="N47" s="234" t="s">
        <v>124</v>
      </c>
    </row>
    <row r="48" spans="1:14" ht="14.25" thickTop="1">
      <c r="A48" s="233">
        <v>1</v>
      </c>
      <c r="B48" s="79" t="s">
        <v>1004</v>
      </c>
      <c r="C48" s="79"/>
      <c r="D48" s="80"/>
      <c r="E48" s="80"/>
      <c r="F48" s="81"/>
      <c r="G48" s="80"/>
      <c r="H48" s="80"/>
      <c r="I48" s="164"/>
      <c r="J48" s="350" t="str">
        <f>B48</f>
        <v>&lt;&lt; レシート番号 &gt;&gt;</v>
      </c>
      <c r="K48" s="351"/>
      <c r="L48" s="193" t="s">
        <v>124</v>
      </c>
      <c r="M48" s="193" t="s">
        <v>124</v>
      </c>
      <c r="N48" s="234" t="s">
        <v>124</v>
      </c>
    </row>
    <row r="49" spans="1:14" ht="15.75">
      <c r="A49" s="235">
        <v>2</v>
      </c>
      <c r="B49" s="68" t="s">
        <v>981</v>
      </c>
      <c r="C49" s="68"/>
      <c r="D49" s="34"/>
      <c r="E49" s="34"/>
      <c r="F49" s="35"/>
      <c r="G49" s="34"/>
      <c r="H49" s="34"/>
      <c r="I49" s="161"/>
      <c r="J49" s="73" t="s">
        <v>982</v>
      </c>
      <c r="K49" s="74" t="s">
        <v>1005</v>
      </c>
      <c r="L49" s="193" t="s">
        <v>124</v>
      </c>
      <c r="M49" s="193" t="s">
        <v>124</v>
      </c>
      <c r="N49" s="234" t="s">
        <v>124</v>
      </c>
    </row>
    <row r="50" spans="1:14" ht="15.75">
      <c r="A50" s="235">
        <v>3</v>
      </c>
      <c r="B50" s="68" t="s">
        <v>984</v>
      </c>
      <c r="C50" s="68"/>
      <c r="D50" s="34"/>
      <c r="E50" s="34"/>
      <c r="F50" s="35"/>
      <c r="G50" s="34"/>
      <c r="H50" s="34"/>
      <c r="I50" s="161"/>
      <c r="J50" s="73" t="s">
        <v>1006</v>
      </c>
      <c r="K50" s="75" t="s">
        <v>1007</v>
      </c>
      <c r="L50" s="193" t="s">
        <v>124</v>
      </c>
      <c r="M50" s="193" t="s">
        <v>124</v>
      </c>
      <c r="N50" s="234" t="s">
        <v>124</v>
      </c>
    </row>
    <row r="51" spans="1:14" ht="15.75">
      <c r="A51" s="235">
        <v>4</v>
      </c>
      <c r="B51" s="68" t="s">
        <v>986</v>
      </c>
      <c r="C51" s="68"/>
      <c r="D51" s="34"/>
      <c r="E51" s="34"/>
      <c r="F51" s="35"/>
      <c r="G51" s="34"/>
      <c r="H51" s="34"/>
      <c r="I51" s="161"/>
      <c r="J51" s="73" t="s">
        <v>982</v>
      </c>
      <c r="K51" s="76" t="s">
        <v>985</v>
      </c>
      <c r="L51" s="193" t="s">
        <v>124</v>
      </c>
      <c r="M51" s="193" t="s">
        <v>124</v>
      </c>
      <c r="N51" s="234" t="s">
        <v>124</v>
      </c>
    </row>
    <row r="52" spans="1:14" ht="16.5" thickBot="1">
      <c r="A52" s="236">
        <v>5</v>
      </c>
      <c r="B52" s="82" t="s">
        <v>987</v>
      </c>
      <c r="C52" s="82"/>
      <c r="D52" s="83"/>
      <c r="E52" s="83"/>
      <c r="F52" s="84"/>
      <c r="G52" s="83"/>
      <c r="H52" s="83"/>
      <c r="I52" s="165"/>
      <c r="J52" s="85" t="s">
        <v>982</v>
      </c>
      <c r="K52" s="86" t="s">
        <v>992</v>
      </c>
      <c r="L52" s="193" t="s">
        <v>124</v>
      </c>
      <c r="M52" s="193" t="s">
        <v>124</v>
      </c>
      <c r="N52" s="234" t="s">
        <v>124</v>
      </c>
    </row>
    <row r="53" spans="1:14" ht="14.25" thickTop="1">
      <c r="A53" s="233">
        <v>1</v>
      </c>
      <c r="B53" s="79" t="s">
        <v>1008</v>
      </c>
      <c r="C53" s="79"/>
      <c r="D53" s="80"/>
      <c r="E53" s="80"/>
      <c r="F53" s="81"/>
      <c r="G53" s="80"/>
      <c r="H53" s="80"/>
      <c r="I53" s="164"/>
      <c r="J53" s="350" t="str">
        <f>B53</f>
        <v>&lt;&lt; 取引番号 &gt;&gt;</v>
      </c>
      <c r="K53" s="351"/>
      <c r="L53" s="193" t="s">
        <v>124</v>
      </c>
      <c r="M53" s="193" t="s">
        <v>124</v>
      </c>
      <c r="N53" s="234" t="s">
        <v>124</v>
      </c>
    </row>
    <row r="54" spans="1:14" ht="15.75">
      <c r="A54" s="235">
        <v>2</v>
      </c>
      <c r="B54" s="68" t="s">
        <v>981</v>
      </c>
      <c r="C54" s="68"/>
      <c r="D54" s="34"/>
      <c r="E54" s="34"/>
      <c r="F54" s="35"/>
      <c r="G54" s="34"/>
      <c r="H54" s="34"/>
      <c r="I54" s="161"/>
      <c r="J54" s="73" t="s">
        <v>982</v>
      </c>
      <c r="K54" s="74" t="s">
        <v>1009</v>
      </c>
      <c r="L54" s="193" t="s">
        <v>124</v>
      </c>
      <c r="M54" s="193" t="s">
        <v>124</v>
      </c>
      <c r="N54" s="234" t="s">
        <v>124</v>
      </c>
    </row>
    <row r="55" spans="1:14" ht="15.75">
      <c r="A55" s="235">
        <v>3</v>
      </c>
      <c r="B55" s="68" t="s">
        <v>984</v>
      </c>
      <c r="C55" s="68"/>
      <c r="D55" s="34"/>
      <c r="E55" s="34"/>
      <c r="F55" s="35"/>
      <c r="G55" s="34"/>
      <c r="H55" s="34"/>
      <c r="I55" s="161"/>
      <c r="J55" s="73" t="s">
        <v>1006</v>
      </c>
      <c r="K55" s="75" t="s">
        <v>1010</v>
      </c>
      <c r="L55" s="193" t="s">
        <v>124</v>
      </c>
      <c r="M55" s="193" t="s">
        <v>124</v>
      </c>
      <c r="N55" s="234" t="s">
        <v>124</v>
      </c>
    </row>
    <row r="56" spans="1:14" ht="15.75">
      <c r="A56" s="235">
        <v>4</v>
      </c>
      <c r="B56" s="68" t="s">
        <v>986</v>
      </c>
      <c r="C56" s="68"/>
      <c r="D56" s="34"/>
      <c r="E56" s="34"/>
      <c r="F56" s="35"/>
      <c r="G56" s="34"/>
      <c r="H56" s="34"/>
      <c r="I56" s="161"/>
      <c r="J56" s="73" t="s">
        <v>982</v>
      </c>
      <c r="K56" s="76" t="s">
        <v>985</v>
      </c>
      <c r="L56" s="193" t="s">
        <v>124</v>
      </c>
      <c r="M56" s="193" t="s">
        <v>124</v>
      </c>
      <c r="N56" s="234" t="s">
        <v>124</v>
      </c>
    </row>
    <row r="57" spans="1:14" ht="16.5" thickBot="1">
      <c r="A57" s="236">
        <v>5</v>
      </c>
      <c r="B57" s="82" t="s">
        <v>987</v>
      </c>
      <c r="C57" s="82"/>
      <c r="D57" s="83"/>
      <c r="E57" s="83"/>
      <c r="F57" s="84"/>
      <c r="G57" s="83"/>
      <c r="H57" s="83"/>
      <c r="I57" s="165"/>
      <c r="J57" s="85" t="s">
        <v>982</v>
      </c>
      <c r="K57" s="86" t="s">
        <v>988</v>
      </c>
      <c r="L57" s="193" t="s">
        <v>124</v>
      </c>
      <c r="M57" s="193" t="s">
        <v>124</v>
      </c>
      <c r="N57" s="234" t="s">
        <v>124</v>
      </c>
    </row>
    <row r="58" spans="1:14" ht="14.25" thickTop="1">
      <c r="A58" s="233">
        <v>1</v>
      </c>
      <c r="B58" s="79" t="s">
        <v>1011</v>
      </c>
      <c r="C58" s="79"/>
      <c r="D58" s="80"/>
      <c r="E58" s="80"/>
      <c r="F58" s="81"/>
      <c r="G58" s="80"/>
      <c r="H58" s="80"/>
      <c r="I58" s="164"/>
      <c r="J58" s="350" t="str">
        <f>B58</f>
        <v>&lt;&lt; 保証書発行番号 &gt;&gt;</v>
      </c>
      <c r="K58" s="351"/>
      <c r="L58" s="193" t="s">
        <v>124</v>
      </c>
      <c r="M58" s="193" t="s">
        <v>124</v>
      </c>
      <c r="N58" s="234" t="s">
        <v>124</v>
      </c>
    </row>
    <row r="59" spans="1:14" ht="15.75">
      <c r="A59" s="235">
        <v>2</v>
      </c>
      <c r="B59" s="68" t="s">
        <v>981</v>
      </c>
      <c r="C59" s="68"/>
      <c r="D59" s="34"/>
      <c r="E59" s="34"/>
      <c r="F59" s="35"/>
      <c r="G59" s="34"/>
      <c r="H59" s="34"/>
      <c r="I59" s="161"/>
      <c r="J59" s="73" t="s">
        <v>982</v>
      </c>
      <c r="K59" s="74" t="s">
        <v>1012</v>
      </c>
      <c r="L59" s="193" t="s">
        <v>124</v>
      </c>
      <c r="M59" s="193" t="s">
        <v>124</v>
      </c>
      <c r="N59" s="234" t="s">
        <v>124</v>
      </c>
    </row>
    <row r="60" spans="1:14" ht="15.75">
      <c r="A60" s="235">
        <v>3</v>
      </c>
      <c r="B60" s="68" t="s">
        <v>984</v>
      </c>
      <c r="C60" s="68"/>
      <c r="D60" s="34"/>
      <c r="E60" s="34"/>
      <c r="F60" s="35"/>
      <c r="G60" s="34"/>
      <c r="H60" s="34"/>
      <c r="I60" s="161"/>
      <c r="J60" s="73" t="s">
        <v>982</v>
      </c>
      <c r="K60" s="76" t="s">
        <v>991</v>
      </c>
      <c r="L60" s="193" t="s">
        <v>124</v>
      </c>
      <c r="M60" s="193" t="s">
        <v>124</v>
      </c>
      <c r="N60" s="234" t="s">
        <v>124</v>
      </c>
    </row>
    <row r="61" spans="1:14" ht="15.75">
      <c r="A61" s="235">
        <v>4</v>
      </c>
      <c r="B61" s="68" t="s">
        <v>986</v>
      </c>
      <c r="C61" s="68"/>
      <c r="D61" s="34"/>
      <c r="E61" s="34"/>
      <c r="F61" s="35"/>
      <c r="G61" s="34"/>
      <c r="H61" s="34"/>
      <c r="I61" s="161"/>
      <c r="J61" s="73" t="s">
        <v>982</v>
      </c>
      <c r="K61" s="76" t="s">
        <v>985</v>
      </c>
      <c r="L61" s="193" t="s">
        <v>124</v>
      </c>
      <c r="M61" s="193" t="s">
        <v>124</v>
      </c>
      <c r="N61" s="234" t="s">
        <v>124</v>
      </c>
    </row>
    <row r="62" spans="1:14" ht="16.5" thickBot="1">
      <c r="A62" s="237">
        <v>5</v>
      </c>
      <c r="B62" s="238" t="s">
        <v>987</v>
      </c>
      <c r="C62" s="238"/>
      <c r="D62" s="239"/>
      <c r="E62" s="239"/>
      <c r="F62" s="240"/>
      <c r="G62" s="239"/>
      <c r="H62" s="239"/>
      <c r="I62" s="241"/>
      <c r="J62" s="77" t="s">
        <v>982</v>
      </c>
      <c r="K62" s="78" t="s">
        <v>992</v>
      </c>
      <c r="L62" s="226" t="s">
        <v>124</v>
      </c>
      <c r="M62" s="226" t="s">
        <v>124</v>
      </c>
      <c r="N62" s="242" t="s">
        <v>124</v>
      </c>
    </row>
    <row r="64" spans="1:14">
      <c r="B64" s="67"/>
    </row>
    <row r="65" spans="2:6">
      <c r="F65" s="72"/>
    </row>
    <row r="66" spans="2:6">
      <c r="F66" s="67"/>
    </row>
    <row r="67" spans="2:6">
      <c r="B67" s="67"/>
      <c r="F67" s="67"/>
    </row>
    <row r="70" spans="2:6">
      <c r="B70" s="67"/>
    </row>
    <row r="71" spans="2:6">
      <c r="F71" s="67"/>
    </row>
    <row r="72" spans="2:6">
      <c r="F72" s="67"/>
    </row>
    <row r="73" spans="2:6">
      <c r="F73" s="67"/>
    </row>
  </sheetData>
  <mergeCells count="12">
    <mergeCell ref="J58:K58"/>
    <mergeCell ref="J53:K53"/>
    <mergeCell ref="J48:K48"/>
    <mergeCell ref="J43:K43"/>
    <mergeCell ref="J38:K38"/>
    <mergeCell ref="J3:K3"/>
    <mergeCell ref="J12:K12"/>
    <mergeCell ref="J13:K13"/>
    <mergeCell ref="J33:K33"/>
    <mergeCell ref="J28:K28"/>
    <mergeCell ref="J23:K23"/>
    <mergeCell ref="J18:K18"/>
  </mergeCells>
  <phoneticPr fontId="19"/>
  <pageMargins left="0.7" right="0.7" top="0.75" bottom="0.75" header="0.3" footer="0.3"/>
  <pageSetup paperSize="9"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00000"/>
    <pageSetUpPr fitToPage="1"/>
  </sheetPr>
  <dimension ref="A1:M12"/>
  <sheetViews>
    <sheetView zoomScaleNormal="100" workbookViewId="0">
      <selection activeCell="K25" sqref="K25"/>
    </sheetView>
  </sheetViews>
  <sheetFormatPr defaultColWidth="9" defaultRowHeight="13.5" outlineLevelCol="1"/>
  <cols>
    <col min="1" max="1" width="7" style="129" customWidth="1"/>
    <col min="2" max="2" width="23.140625" style="129" bestFit="1" customWidth="1"/>
    <col min="3" max="3" width="19.5703125" style="129" bestFit="1" customWidth="1"/>
    <col min="4" max="4" width="11.42578125" style="129" hidden="1" customWidth="1" outlineLevel="1"/>
    <col min="5" max="5" width="17.140625" style="129" hidden="1" customWidth="1" outlineLevel="1"/>
    <col min="6" max="6" width="8.7109375" style="129" hidden="1" customWidth="1" outlineLevel="1"/>
    <col min="7" max="7" width="9.28515625" style="129" hidden="1" customWidth="1" outlineLevel="1"/>
    <col min="8" max="8" width="12.140625" style="129" bestFit="1" customWidth="1" collapsed="1"/>
    <col min="9" max="9" width="32" style="130" bestFit="1" customWidth="1"/>
    <col min="10" max="10" width="31.85546875" style="130" customWidth="1"/>
    <col min="11" max="11" width="17.5703125" style="130" customWidth="1"/>
    <col min="12" max="13" width="17.140625" style="130" bestFit="1" customWidth="1"/>
    <col min="14" max="16384" width="9" style="129"/>
  </cols>
  <sheetData>
    <row r="1" spans="1:13">
      <c r="A1" s="129" t="s">
        <v>1013</v>
      </c>
    </row>
    <row r="2" spans="1:13" ht="14.25" thickBot="1">
      <c r="A2" s="129" t="s">
        <v>1014</v>
      </c>
    </row>
    <row r="3" spans="1:13" s="52" customFormat="1" ht="32.25" thickBot="1">
      <c r="A3" s="227" t="s">
        <v>1</v>
      </c>
      <c r="B3" s="124" t="s">
        <v>2</v>
      </c>
      <c r="C3" s="124" t="s">
        <v>3</v>
      </c>
      <c r="D3" s="124" t="s">
        <v>4</v>
      </c>
      <c r="E3" s="124" t="s">
        <v>5</v>
      </c>
      <c r="F3" s="124" t="s">
        <v>6</v>
      </c>
      <c r="G3" s="125" t="s">
        <v>7</v>
      </c>
      <c r="H3" s="126" t="s">
        <v>8</v>
      </c>
      <c r="I3" s="160" t="s">
        <v>9</v>
      </c>
      <c r="J3" s="183" t="s">
        <v>10</v>
      </c>
      <c r="K3" s="208" t="s">
        <v>11</v>
      </c>
      <c r="L3" s="209" t="s">
        <v>12</v>
      </c>
      <c r="M3" s="210" t="s">
        <v>13</v>
      </c>
    </row>
    <row r="4" spans="1:13" ht="14.25" thickTop="1">
      <c r="A4" s="228">
        <f t="shared" ref="A4:A12" si="0">ROW() - 3</f>
        <v>1</v>
      </c>
      <c r="B4" s="115" t="s">
        <v>787</v>
      </c>
      <c r="C4" s="115" t="s">
        <v>1015</v>
      </c>
      <c r="D4" s="115" t="s">
        <v>940</v>
      </c>
      <c r="E4" s="115"/>
      <c r="F4" s="131" t="s">
        <v>42</v>
      </c>
      <c r="G4" s="115"/>
      <c r="H4" s="115">
        <v>1</v>
      </c>
      <c r="I4" s="114"/>
      <c r="J4" s="182" t="s">
        <v>16</v>
      </c>
      <c r="K4" s="182" t="s">
        <v>16</v>
      </c>
      <c r="L4" s="182" t="s">
        <v>16</v>
      </c>
      <c r="M4" s="184" t="s">
        <v>16</v>
      </c>
    </row>
    <row r="5" spans="1:13">
      <c r="A5" s="229">
        <f t="shared" si="0"/>
        <v>2</v>
      </c>
      <c r="B5" s="104" t="s">
        <v>1016</v>
      </c>
      <c r="C5" s="104" t="s">
        <v>1017</v>
      </c>
      <c r="D5" s="104" t="s">
        <v>146</v>
      </c>
      <c r="E5" s="104"/>
      <c r="F5" s="132"/>
      <c r="G5" s="104"/>
      <c r="H5" s="104"/>
      <c r="I5" s="103"/>
      <c r="J5" s="62" t="s">
        <v>1018</v>
      </c>
      <c r="K5" s="193" t="s">
        <v>124</v>
      </c>
      <c r="L5" s="193" t="s">
        <v>124</v>
      </c>
      <c r="M5" s="193" t="s">
        <v>124</v>
      </c>
    </row>
    <row r="6" spans="1:13">
      <c r="A6" s="229">
        <f t="shared" si="0"/>
        <v>3</v>
      </c>
      <c r="B6" s="104" t="s">
        <v>1019</v>
      </c>
      <c r="C6" s="103" t="s">
        <v>1020</v>
      </c>
      <c r="D6" s="104" t="s">
        <v>153</v>
      </c>
      <c r="E6" s="104"/>
      <c r="F6" s="132"/>
      <c r="G6" s="104"/>
      <c r="H6" s="104"/>
      <c r="I6" s="103"/>
      <c r="J6" s="62" t="s">
        <v>1021</v>
      </c>
      <c r="K6" s="193" t="s">
        <v>124</v>
      </c>
      <c r="L6" s="193" t="s">
        <v>124</v>
      </c>
      <c r="M6" s="193" t="s">
        <v>124</v>
      </c>
    </row>
    <row r="7" spans="1:13">
      <c r="A7" s="229">
        <f t="shared" si="0"/>
        <v>4</v>
      </c>
      <c r="B7" s="104" t="s">
        <v>1022</v>
      </c>
      <c r="C7" s="104" t="s">
        <v>1023</v>
      </c>
      <c r="D7" s="104" t="s">
        <v>153</v>
      </c>
      <c r="E7" s="104"/>
      <c r="F7" s="132"/>
      <c r="G7" s="104"/>
      <c r="H7" s="104"/>
      <c r="I7" s="103"/>
      <c r="J7" s="62" t="s">
        <v>1024</v>
      </c>
      <c r="K7" s="193" t="s">
        <v>124</v>
      </c>
      <c r="L7" s="193" t="s">
        <v>124</v>
      </c>
      <c r="M7" s="193" t="s">
        <v>124</v>
      </c>
    </row>
    <row r="8" spans="1:13">
      <c r="A8" s="229">
        <f t="shared" si="0"/>
        <v>5</v>
      </c>
      <c r="B8" s="104" t="s">
        <v>1025</v>
      </c>
      <c r="C8" s="104" t="s">
        <v>1026</v>
      </c>
      <c r="D8" s="104" t="s">
        <v>153</v>
      </c>
      <c r="E8" s="104"/>
      <c r="F8" s="132"/>
      <c r="G8" s="104"/>
      <c r="H8" s="104"/>
      <c r="I8" s="103"/>
      <c r="J8" s="62" t="s">
        <v>1027</v>
      </c>
      <c r="K8" s="193" t="s">
        <v>124</v>
      </c>
      <c r="L8" s="193" t="s">
        <v>124</v>
      </c>
      <c r="M8" s="193" t="s">
        <v>124</v>
      </c>
    </row>
    <row r="9" spans="1:13">
      <c r="A9" s="229">
        <f t="shared" si="0"/>
        <v>6</v>
      </c>
      <c r="B9" s="104" t="s">
        <v>1028</v>
      </c>
      <c r="C9" s="104" t="s">
        <v>1029</v>
      </c>
      <c r="D9" s="104" t="s">
        <v>153</v>
      </c>
      <c r="E9" s="104"/>
      <c r="F9" s="132"/>
      <c r="G9" s="104"/>
      <c r="H9" s="104"/>
      <c r="I9" s="103"/>
      <c r="J9" s="62" t="s">
        <v>1030</v>
      </c>
      <c r="K9" s="193" t="s">
        <v>124</v>
      </c>
      <c r="L9" s="193" t="s">
        <v>124</v>
      </c>
      <c r="M9" s="193" t="s">
        <v>124</v>
      </c>
    </row>
    <row r="10" spans="1:13">
      <c r="A10" s="229">
        <f t="shared" si="0"/>
        <v>7</v>
      </c>
      <c r="B10" s="104" t="s">
        <v>1031</v>
      </c>
      <c r="C10" s="104" t="s">
        <v>1032</v>
      </c>
      <c r="D10" s="104" t="s">
        <v>153</v>
      </c>
      <c r="E10" s="104"/>
      <c r="F10" s="132"/>
      <c r="G10" s="104"/>
      <c r="H10" s="104"/>
      <c r="I10" s="103"/>
      <c r="J10" s="62" t="s">
        <v>1033</v>
      </c>
      <c r="K10" s="193" t="s">
        <v>124</v>
      </c>
      <c r="L10" s="193" t="s">
        <v>124</v>
      </c>
      <c r="M10" s="193" t="s">
        <v>124</v>
      </c>
    </row>
    <row r="11" spans="1:13">
      <c r="A11" s="229">
        <f t="shared" si="0"/>
        <v>8</v>
      </c>
      <c r="B11" s="104" t="s">
        <v>1034</v>
      </c>
      <c r="C11" s="104" t="s">
        <v>1035</v>
      </c>
      <c r="D11" s="104" t="s">
        <v>153</v>
      </c>
      <c r="E11" s="104"/>
      <c r="F11" s="132"/>
      <c r="G11" s="104"/>
      <c r="H11" s="104"/>
      <c r="I11" s="103"/>
      <c r="J11" s="62" t="s">
        <v>1036</v>
      </c>
      <c r="K11" s="193" t="s">
        <v>124</v>
      </c>
      <c r="L11" s="193" t="s">
        <v>124</v>
      </c>
      <c r="M11" s="193" t="s">
        <v>124</v>
      </c>
    </row>
    <row r="12" spans="1:13" ht="14.25" thickBot="1">
      <c r="A12" s="230">
        <f t="shared" si="0"/>
        <v>9</v>
      </c>
      <c r="B12" s="112" t="s">
        <v>1037</v>
      </c>
      <c r="C12" s="112" t="s">
        <v>1038</v>
      </c>
      <c r="D12" s="112" t="s">
        <v>54</v>
      </c>
      <c r="E12" s="112"/>
      <c r="F12" s="133"/>
      <c r="G12" s="112"/>
      <c r="H12" s="112"/>
      <c r="I12" s="111"/>
      <c r="J12" s="118" t="s">
        <v>1039</v>
      </c>
      <c r="K12" s="226" t="s">
        <v>124</v>
      </c>
      <c r="L12" s="188" t="s">
        <v>1040</v>
      </c>
      <c r="M12" s="226" t="s">
        <v>124</v>
      </c>
    </row>
  </sheetData>
  <phoneticPr fontId="24"/>
  <printOptions horizontalCentered="1"/>
  <pageMargins left="0.19685039370078741" right="0.19685039370078741" top="0.62992125984251968" bottom="0.39370078740157483" header="0.19685039370078741" footer="0.31496062992125984"/>
  <pageSetup paperSize="9" scale="68" fitToHeight="0" orientation="landscape" horizontalDpi="300" verticalDpi="300" r:id="rId1"/>
  <headerFooter alignWithMargins="0">
    <oddFooter>&amp;C&amp;"Times New Roman,標準"&amp;10&amp;P/&amp;N&amp;R&amp;"Times New Roman,標準"&amp;9Copyright(C) 2017-2019 VINX Corporation. All Rights Reserved.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645D8-E6C0-41E5-A9F5-0B2410289BAD}">
  <sheetPr>
    <tabColor rgb="FFC00000"/>
    <pageSetUpPr fitToPage="1"/>
  </sheetPr>
  <dimension ref="A1:M26"/>
  <sheetViews>
    <sheetView topLeftCell="A10" zoomScale="70" zoomScaleNormal="70" workbookViewId="0">
      <selection activeCell="J13" sqref="J13"/>
    </sheetView>
  </sheetViews>
  <sheetFormatPr defaultColWidth="9" defaultRowHeight="13.5" outlineLevelCol="1"/>
  <cols>
    <col min="1" max="1" width="16.42578125" style="129" bestFit="1" customWidth="1"/>
    <col min="2" max="2" width="25.140625" style="129" bestFit="1" customWidth="1"/>
    <col min="3" max="3" width="24" style="129" bestFit="1" customWidth="1"/>
    <col min="4" max="4" width="10.7109375" style="129" bestFit="1" customWidth="1" outlineLevel="1"/>
    <col min="5" max="5" width="22.7109375" style="129" bestFit="1" customWidth="1" outlineLevel="1"/>
    <col min="6" max="6" width="8.42578125" style="129" bestFit="1" customWidth="1" outlineLevel="1"/>
    <col min="7" max="7" width="10" style="129" bestFit="1" customWidth="1" outlineLevel="1"/>
    <col min="8" max="8" width="10.42578125" style="129" bestFit="1" customWidth="1"/>
    <col min="9" max="9" width="24.5703125" style="130" customWidth="1"/>
    <col min="10" max="10" width="60.7109375" style="130" customWidth="1"/>
    <col min="11" max="11" width="17.140625" style="130" bestFit="1" customWidth="1"/>
    <col min="12" max="12" width="16.42578125" style="130" bestFit="1" customWidth="1"/>
    <col min="13" max="13" width="17.140625" style="130" bestFit="1" customWidth="1"/>
    <col min="14" max="16384" width="9" style="129"/>
  </cols>
  <sheetData>
    <row r="1" spans="1:13">
      <c r="A1" s="21" t="s">
        <v>1041</v>
      </c>
    </row>
    <row r="2" spans="1:13" ht="16.5" thickBot="1">
      <c r="A2" s="134" t="s">
        <v>1042</v>
      </c>
      <c r="B2" s="134"/>
      <c r="C2" s="134"/>
      <c r="D2" s="134"/>
      <c r="E2" s="134"/>
      <c r="F2" s="134"/>
      <c r="G2" s="134"/>
      <c r="H2" s="134"/>
      <c r="I2" s="134"/>
      <c r="J2" s="134"/>
      <c r="K2" s="134"/>
      <c r="L2" s="134"/>
      <c r="M2" s="134"/>
    </row>
    <row r="3" spans="1:13" ht="36.75" thickBot="1">
      <c r="A3" s="222" t="s">
        <v>1</v>
      </c>
      <c r="B3" s="135" t="s">
        <v>2</v>
      </c>
      <c r="C3" s="135" t="s">
        <v>3</v>
      </c>
      <c r="D3" s="135" t="s">
        <v>4</v>
      </c>
      <c r="E3" s="135" t="s">
        <v>5</v>
      </c>
      <c r="F3" s="135" t="s">
        <v>6</v>
      </c>
      <c r="G3" s="136" t="s">
        <v>7</v>
      </c>
      <c r="H3" s="137" t="s">
        <v>8</v>
      </c>
      <c r="I3" s="153" t="s">
        <v>9</v>
      </c>
      <c r="J3" s="183" t="s">
        <v>10</v>
      </c>
      <c r="K3" s="208" t="s">
        <v>11</v>
      </c>
      <c r="L3" s="209" t="s">
        <v>12</v>
      </c>
      <c r="M3" s="210" t="s">
        <v>13</v>
      </c>
    </row>
    <row r="4" spans="1:13" ht="16.5" thickTop="1">
      <c r="A4" s="223">
        <f>ROW() - 3</f>
        <v>1</v>
      </c>
      <c r="B4" s="138" t="s">
        <v>24</v>
      </c>
      <c r="C4" s="139" t="s">
        <v>25</v>
      </c>
      <c r="D4" s="140" t="s">
        <v>50</v>
      </c>
      <c r="E4" s="138" t="s">
        <v>1043</v>
      </c>
      <c r="F4" s="140" t="s">
        <v>42</v>
      </c>
      <c r="G4" s="138"/>
      <c r="H4" s="140">
        <v>1</v>
      </c>
      <c r="I4" s="154"/>
      <c r="J4" s="182" t="s">
        <v>16</v>
      </c>
      <c r="K4" s="182" t="s">
        <v>16</v>
      </c>
      <c r="L4" s="182" t="s">
        <v>16</v>
      </c>
      <c r="M4" s="184" t="s">
        <v>16</v>
      </c>
    </row>
    <row r="5" spans="1:13" ht="15.75">
      <c r="A5" s="224">
        <f>ROW() - 3</f>
        <v>2</v>
      </c>
      <c r="B5" s="141" t="s">
        <v>14</v>
      </c>
      <c r="C5" s="141" t="s">
        <v>15</v>
      </c>
      <c r="D5" s="142" t="s">
        <v>41</v>
      </c>
      <c r="E5" s="143" t="s">
        <v>1043</v>
      </c>
      <c r="F5" s="142" t="s">
        <v>42</v>
      </c>
      <c r="G5" s="141"/>
      <c r="H5" s="142">
        <v>2</v>
      </c>
      <c r="I5" s="155"/>
      <c r="J5" s="155"/>
      <c r="K5" s="193" t="s">
        <v>124</v>
      </c>
      <c r="L5" s="193" t="s">
        <v>124</v>
      </c>
      <c r="M5" s="193" t="s">
        <v>124</v>
      </c>
    </row>
    <row r="6" spans="1:13" ht="15.75">
      <c r="A6" s="224">
        <f t="shared" ref="A6:A26" si="0">ROW() - 3</f>
        <v>3</v>
      </c>
      <c r="B6" s="144" t="s">
        <v>17</v>
      </c>
      <c r="C6" s="144" t="s">
        <v>18</v>
      </c>
      <c r="D6" s="145" t="s">
        <v>46</v>
      </c>
      <c r="E6" s="143" t="s">
        <v>1043</v>
      </c>
      <c r="F6" s="145" t="s">
        <v>42</v>
      </c>
      <c r="G6" s="144"/>
      <c r="H6" s="145">
        <v>3</v>
      </c>
      <c r="I6" s="156"/>
      <c r="J6" s="156"/>
      <c r="K6" s="193" t="s">
        <v>124</v>
      </c>
      <c r="L6" s="193" t="s">
        <v>124</v>
      </c>
      <c r="M6" s="193" t="s">
        <v>124</v>
      </c>
    </row>
    <row r="7" spans="1:13" ht="15.75">
      <c r="A7" s="224">
        <f t="shared" si="0"/>
        <v>4</v>
      </c>
      <c r="B7" s="141" t="s">
        <v>22</v>
      </c>
      <c r="C7" s="141" t="s">
        <v>23</v>
      </c>
      <c r="D7" s="142" t="s">
        <v>46</v>
      </c>
      <c r="E7" s="143" t="s">
        <v>1043</v>
      </c>
      <c r="F7" s="142" t="s">
        <v>42</v>
      </c>
      <c r="G7" s="141"/>
      <c r="H7" s="142">
        <v>4</v>
      </c>
      <c r="I7" s="155"/>
      <c r="J7" s="155"/>
      <c r="K7" s="193" t="s">
        <v>124</v>
      </c>
      <c r="L7" s="193" t="s">
        <v>124</v>
      </c>
      <c r="M7" s="193" t="s">
        <v>124</v>
      </c>
    </row>
    <row r="8" spans="1:13" ht="15.75">
      <c r="A8" s="223">
        <f t="shared" si="0"/>
        <v>5</v>
      </c>
      <c r="B8" s="138" t="s">
        <v>1044</v>
      </c>
      <c r="C8" s="138" t="s">
        <v>1045</v>
      </c>
      <c r="D8" s="140" t="s">
        <v>50</v>
      </c>
      <c r="E8" s="138">
        <v>1</v>
      </c>
      <c r="F8" s="140" t="s">
        <v>42</v>
      </c>
      <c r="G8" s="138"/>
      <c r="H8" s="140">
        <v>5</v>
      </c>
      <c r="I8" s="154"/>
      <c r="J8" s="154" t="s">
        <v>1046</v>
      </c>
      <c r="K8" s="193" t="s">
        <v>124</v>
      </c>
      <c r="L8" s="193" t="s">
        <v>124</v>
      </c>
      <c r="M8" s="193" t="s">
        <v>124</v>
      </c>
    </row>
    <row r="9" spans="1:13" ht="47.25">
      <c r="A9" s="224">
        <f t="shared" si="0"/>
        <v>6</v>
      </c>
      <c r="B9" s="143" t="s">
        <v>1047</v>
      </c>
      <c r="C9" s="143" t="s">
        <v>1048</v>
      </c>
      <c r="D9" s="146" t="s">
        <v>1049</v>
      </c>
      <c r="E9" s="143">
        <v>8</v>
      </c>
      <c r="F9" s="146"/>
      <c r="G9" s="143"/>
      <c r="H9" s="143"/>
      <c r="I9" s="157"/>
      <c r="J9" s="157" t="s">
        <v>1050</v>
      </c>
      <c r="K9" s="193" t="s">
        <v>124</v>
      </c>
      <c r="L9" s="193" t="s">
        <v>124</v>
      </c>
      <c r="M9" s="193" t="s">
        <v>124</v>
      </c>
    </row>
    <row r="10" spans="1:13" ht="173.25">
      <c r="A10" s="224">
        <f t="shared" si="0"/>
        <v>7</v>
      </c>
      <c r="B10" s="143" t="s">
        <v>1051</v>
      </c>
      <c r="C10" s="143" t="s">
        <v>1052</v>
      </c>
      <c r="D10" s="146" t="s">
        <v>1049</v>
      </c>
      <c r="E10" s="143">
        <v>20</v>
      </c>
      <c r="F10" s="146"/>
      <c r="G10" s="143"/>
      <c r="H10" s="143"/>
      <c r="I10" s="157"/>
      <c r="J10" s="157" t="s">
        <v>1053</v>
      </c>
      <c r="K10" s="62" t="s">
        <v>1054</v>
      </c>
      <c r="L10" s="62" t="s">
        <v>1055</v>
      </c>
      <c r="M10" s="62" t="s">
        <v>1056</v>
      </c>
    </row>
    <row r="11" spans="1:13" ht="31.5">
      <c r="A11" s="224">
        <f t="shared" si="0"/>
        <v>8</v>
      </c>
      <c r="B11" s="143" t="s">
        <v>1057</v>
      </c>
      <c r="C11" s="143" t="s">
        <v>1058</v>
      </c>
      <c r="D11" s="146" t="s">
        <v>1059</v>
      </c>
      <c r="E11" s="147" t="s">
        <v>1060</v>
      </c>
      <c r="F11" s="146"/>
      <c r="G11" s="143"/>
      <c r="H11" s="143"/>
      <c r="I11" s="158"/>
      <c r="J11" s="158" t="s">
        <v>1061</v>
      </c>
      <c r="K11" s="193" t="s">
        <v>124</v>
      </c>
      <c r="L11" s="193" t="s">
        <v>124</v>
      </c>
      <c r="M11" s="193" t="s">
        <v>124</v>
      </c>
    </row>
    <row r="12" spans="1:13" ht="31.5">
      <c r="A12" s="223">
        <f t="shared" si="0"/>
        <v>9</v>
      </c>
      <c r="B12" s="138" t="s">
        <v>1062</v>
      </c>
      <c r="C12" s="138" t="s">
        <v>1063</v>
      </c>
      <c r="D12" s="140" t="s">
        <v>1049</v>
      </c>
      <c r="E12" s="138">
        <v>14</v>
      </c>
      <c r="F12" s="140"/>
      <c r="G12" s="138"/>
      <c r="H12" s="138"/>
      <c r="I12" s="154"/>
      <c r="J12" s="154" t="s">
        <v>1064</v>
      </c>
      <c r="K12" s="193" t="s">
        <v>124</v>
      </c>
      <c r="L12" s="193" t="s">
        <v>124</v>
      </c>
      <c r="M12" s="193" t="s">
        <v>124</v>
      </c>
    </row>
    <row r="13" spans="1:13" ht="31.5">
      <c r="A13" s="223">
        <f t="shared" si="0"/>
        <v>10</v>
      </c>
      <c r="B13" s="138" t="s">
        <v>1065</v>
      </c>
      <c r="C13" s="138" t="s">
        <v>1066</v>
      </c>
      <c r="D13" s="140" t="s">
        <v>1049</v>
      </c>
      <c r="E13" s="138">
        <v>8</v>
      </c>
      <c r="F13" s="140"/>
      <c r="G13" s="138"/>
      <c r="H13" s="138"/>
      <c r="I13" s="154"/>
      <c r="J13" s="154" t="s">
        <v>1067</v>
      </c>
      <c r="K13" s="193" t="s">
        <v>124</v>
      </c>
      <c r="L13" s="193" t="s">
        <v>124</v>
      </c>
      <c r="M13" s="193" t="s">
        <v>124</v>
      </c>
    </row>
    <row r="14" spans="1:13" ht="31.5">
      <c r="A14" s="223">
        <f t="shared" si="0"/>
        <v>11</v>
      </c>
      <c r="B14" s="138" t="s">
        <v>1068</v>
      </c>
      <c r="C14" s="138" t="s">
        <v>1069</v>
      </c>
      <c r="D14" s="140" t="s">
        <v>1049</v>
      </c>
      <c r="E14" s="138">
        <v>6</v>
      </c>
      <c r="F14" s="140"/>
      <c r="G14" s="138"/>
      <c r="H14" s="138"/>
      <c r="I14" s="154"/>
      <c r="J14" s="154" t="s">
        <v>1070</v>
      </c>
      <c r="K14" s="193" t="s">
        <v>124</v>
      </c>
      <c r="L14" s="193" t="s">
        <v>124</v>
      </c>
      <c r="M14" s="193" t="s">
        <v>124</v>
      </c>
    </row>
    <row r="15" spans="1:13" ht="15.75">
      <c r="A15" s="223">
        <f t="shared" si="0"/>
        <v>12</v>
      </c>
      <c r="B15" s="138" t="s">
        <v>1071</v>
      </c>
      <c r="C15" s="138" t="s">
        <v>1072</v>
      </c>
      <c r="D15" s="140" t="s">
        <v>1049</v>
      </c>
      <c r="E15" s="138">
        <v>14</v>
      </c>
      <c r="F15" s="140"/>
      <c r="G15" s="138"/>
      <c r="H15" s="138"/>
      <c r="I15" s="154"/>
      <c r="J15" s="154" t="s">
        <v>1073</v>
      </c>
      <c r="K15" s="193" t="s">
        <v>124</v>
      </c>
      <c r="L15" s="193" t="s">
        <v>124</v>
      </c>
      <c r="M15" s="193" t="s">
        <v>124</v>
      </c>
    </row>
    <row r="16" spans="1:13" ht="15.75">
      <c r="A16" s="223">
        <f t="shared" si="0"/>
        <v>13</v>
      </c>
      <c r="B16" s="138" t="s">
        <v>1074</v>
      </c>
      <c r="C16" s="138" t="s">
        <v>1075</v>
      </c>
      <c r="D16" s="140" t="s">
        <v>1049</v>
      </c>
      <c r="E16" s="138">
        <v>14</v>
      </c>
      <c r="F16" s="140"/>
      <c r="G16" s="138"/>
      <c r="H16" s="138"/>
      <c r="I16" s="154"/>
      <c r="J16" s="154" t="s">
        <v>1073</v>
      </c>
      <c r="K16" s="193" t="s">
        <v>124</v>
      </c>
      <c r="L16" s="193" t="s">
        <v>124</v>
      </c>
      <c r="M16" s="193" t="s">
        <v>124</v>
      </c>
    </row>
    <row r="17" spans="1:13" ht="15.75">
      <c r="A17" s="223">
        <f t="shared" si="0"/>
        <v>14</v>
      </c>
      <c r="B17" s="138" t="s">
        <v>1076</v>
      </c>
      <c r="C17" s="138" t="s">
        <v>1077</v>
      </c>
      <c r="D17" s="140" t="s">
        <v>1049</v>
      </c>
      <c r="E17" s="138">
        <v>8</v>
      </c>
      <c r="F17" s="140"/>
      <c r="G17" s="138"/>
      <c r="H17" s="138"/>
      <c r="I17" s="154"/>
      <c r="J17" s="154" t="s">
        <v>1073</v>
      </c>
      <c r="K17" s="193" t="s">
        <v>124</v>
      </c>
      <c r="L17" s="193" t="s">
        <v>124</v>
      </c>
      <c r="M17" s="193" t="s">
        <v>124</v>
      </c>
    </row>
    <row r="18" spans="1:13" ht="15.75">
      <c r="A18" s="223">
        <f t="shared" si="0"/>
        <v>15</v>
      </c>
      <c r="B18" s="138" t="s">
        <v>1078</v>
      </c>
      <c r="C18" s="138" t="s">
        <v>1079</v>
      </c>
      <c r="D18" s="140" t="s">
        <v>1049</v>
      </c>
      <c r="E18" s="138">
        <v>2</v>
      </c>
      <c r="F18" s="140"/>
      <c r="G18" s="138"/>
      <c r="H18" s="138"/>
      <c r="I18" s="154"/>
      <c r="J18" s="154" t="s">
        <v>1073</v>
      </c>
      <c r="K18" s="193" t="s">
        <v>124</v>
      </c>
      <c r="L18" s="193" t="s">
        <v>124</v>
      </c>
      <c r="M18" s="193" t="s">
        <v>124</v>
      </c>
    </row>
    <row r="19" spans="1:13" ht="15.75">
      <c r="A19" s="223">
        <f t="shared" si="0"/>
        <v>16</v>
      </c>
      <c r="B19" s="138" t="s">
        <v>1080</v>
      </c>
      <c r="C19" s="138" t="s">
        <v>1081</v>
      </c>
      <c r="D19" s="140" t="s">
        <v>1049</v>
      </c>
      <c r="E19" s="138">
        <v>10</v>
      </c>
      <c r="F19" s="140"/>
      <c r="G19" s="138"/>
      <c r="H19" s="138"/>
      <c r="I19" s="154"/>
      <c r="J19" s="154" t="s">
        <v>1073</v>
      </c>
      <c r="K19" s="193" t="s">
        <v>124</v>
      </c>
      <c r="L19" s="193" t="s">
        <v>124</v>
      </c>
      <c r="M19" s="193" t="s">
        <v>124</v>
      </c>
    </row>
    <row r="20" spans="1:13" ht="15.75">
      <c r="A20" s="223">
        <f t="shared" si="0"/>
        <v>17</v>
      </c>
      <c r="B20" s="138" t="s">
        <v>1082</v>
      </c>
      <c r="C20" s="138" t="s">
        <v>1083</v>
      </c>
      <c r="D20" s="140" t="s">
        <v>1049</v>
      </c>
      <c r="E20" s="138">
        <v>14</v>
      </c>
      <c r="F20" s="140"/>
      <c r="G20" s="138"/>
      <c r="H20" s="138"/>
      <c r="I20" s="154"/>
      <c r="J20" s="154" t="s">
        <v>1073</v>
      </c>
      <c r="K20" s="193" t="s">
        <v>124</v>
      </c>
      <c r="L20" s="193" t="s">
        <v>124</v>
      </c>
      <c r="M20" s="193" t="s">
        <v>124</v>
      </c>
    </row>
    <row r="21" spans="1:13" ht="15.75">
      <c r="A21" s="223">
        <f t="shared" si="0"/>
        <v>18</v>
      </c>
      <c r="B21" s="138" t="s">
        <v>1084</v>
      </c>
      <c r="C21" s="138" t="s">
        <v>1085</v>
      </c>
      <c r="D21" s="148" t="s">
        <v>46</v>
      </c>
      <c r="E21" s="138">
        <v>10</v>
      </c>
      <c r="F21" s="140"/>
      <c r="G21" s="138"/>
      <c r="H21" s="138"/>
      <c r="I21" s="154"/>
      <c r="J21" s="154" t="s">
        <v>1073</v>
      </c>
      <c r="K21" s="193" t="s">
        <v>124</v>
      </c>
      <c r="L21" s="193" t="s">
        <v>124</v>
      </c>
      <c r="M21" s="193" t="s">
        <v>124</v>
      </c>
    </row>
    <row r="22" spans="1:13" ht="15.75">
      <c r="A22" s="223">
        <f t="shared" si="0"/>
        <v>19</v>
      </c>
      <c r="B22" s="138" t="s">
        <v>1086</v>
      </c>
      <c r="C22" s="138" t="s">
        <v>1087</v>
      </c>
      <c r="D22" s="148" t="s">
        <v>46</v>
      </c>
      <c r="E22" s="138">
        <v>6</v>
      </c>
      <c r="F22" s="140"/>
      <c r="G22" s="138"/>
      <c r="H22" s="138"/>
      <c r="I22" s="154"/>
      <c r="J22" s="154" t="s">
        <v>1073</v>
      </c>
      <c r="K22" s="193" t="s">
        <v>124</v>
      </c>
      <c r="L22" s="193" t="s">
        <v>124</v>
      </c>
      <c r="M22" s="193" t="s">
        <v>124</v>
      </c>
    </row>
    <row r="23" spans="1:13" ht="15.75">
      <c r="A23" s="223">
        <f t="shared" si="0"/>
        <v>20</v>
      </c>
      <c r="B23" s="138" t="s">
        <v>1088</v>
      </c>
      <c r="C23" s="138" t="s">
        <v>1089</v>
      </c>
      <c r="D23" s="148" t="s">
        <v>46</v>
      </c>
      <c r="E23" s="138">
        <v>14</v>
      </c>
      <c r="F23" s="140"/>
      <c r="G23" s="138"/>
      <c r="H23" s="138"/>
      <c r="I23" s="154"/>
      <c r="J23" s="154" t="s">
        <v>1073</v>
      </c>
      <c r="K23" s="193" t="s">
        <v>124</v>
      </c>
      <c r="L23" s="193" t="s">
        <v>124</v>
      </c>
      <c r="M23" s="193" t="s">
        <v>124</v>
      </c>
    </row>
    <row r="24" spans="1:13" ht="63">
      <c r="A24" s="224">
        <f t="shared" si="0"/>
        <v>21</v>
      </c>
      <c r="B24" s="143" t="s">
        <v>1090</v>
      </c>
      <c r="C24" s="143" t="s">
        <v>1091</v>
      </c>
      <c r="D24" s="142" t="s">
        <v>46</v>
      </c>
      <c r="E24" s="147">
        <v>14</v>
      </c>
      <c r="F24" s="146"/>
      <c r="G24" s="143"/>
      <c r="H24" s="143"/>
      <c r="I24" s="157"/>
      <c r="J24" s="157" t="s">
        <v>1092</v>
      </c>
      <c r="K24" s="193" t="s">
        <v>124</v>
      </c>
      <c r="L24" s="193" t="s">
        <v>124</v>
      </c>
      <c r="M24" s="193" t="s">
        <v>124</v>
      </c>
    </row>
    <row r="25" spans="1:13" ht="15.75">
      <c r="A25" s="223">
        <f t="shared" si="0"/>
        <v>22</v>
      </c>
      <c r="B25" s="138" t="s">
        <v>1093</v>
      </c>
      <c r="C25" s="138" t="s">
        <v>1094</v>
      </c>
      <c r="D25" s="148" t="s">
        <v>46</v>
      </c>
      <c r="E25" s="138">
        <v>8</v>
      </c>
      <c r="F25" s="140"/>
      <c r="G25" s="138"/>
      <c r="H25" s="138"/>
      <c r="I25" s="154"/>
      <c r="J25" s="154" t="s">
        <v>1073</v>
      </c>
      <c r="K25" s="193" t="s">
        <v>124</v>
      </c>
      <c r="L25" s="193" t="s">
        <v>124</v>
      </c>
      <c r="M25" s="193" t="s">
        <v>124</v>
      </c>
    </row>
    <row r="26" spans="1:13" ht="16.5" thickBot="1">
      <c r="A26" s="225">
        <f t="shared" si="0"/>
        <v>23</v>
      </c>
      <c r="B26" s="149" t="s">
        <v>1095</v>
      </c>
      <c r="C26" s="149" t="s">
        <v>1096</v>
      </c>
      <c r="D26" s="150" t="s">
        <v>46</v>
      </c>
      <c r="E26" s="149">
        <v>13</v>
      </c>
      <c r="F26" s="151"/>
      <c r="G26" s="149"/>
      <c r="H26" s="149"/>
      <c r="I26" s="159"/>
      <c r="J26" s="159" t="s">
        <v>1073</v>
      </c>
      <c r="K26" s="226" t="s">
        <v>124</v>
      </c>
      <c r="L26" s="226" t="s">
        <v>124</v>
      </c>
      <c r="M26" s="226" t="s">
        <v>124</v>
      </c>
    </row>
  </sheetData>
  <phoneticPr fontId="24"/>
  <printOptions horizontalCentered="1"/>
  <pageMargins left="0.19685039370078741" right="0.19685039370078741" top="0.62992125984251968" bottom="0.39370078740157483" header="0.19685039370078741" footer="0.31496062992125984"/>
  <pageSetup paperSize="9" scale="68" fitToHeight="0" orientation="landscape" horizontalDpi="300" verticalDpi="300" r:id="rId1"/>
  <headerFooter alignWithMargins="0">
    <oddFooter>&amp;C&amp;"Times New Roman,標準"&amp;10&amp;P/&amp;N&amp;R&amp;"Times New Roman,標準"&amp;9Copyright(C) 2017-2019 VINX Corporation. All Rights Reserved.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29D70AF-9776-4610-80CC-2C7441CD3B5B}"/>
</file>

<file path=customXml/itemProps2.xml><?xml version="1.0" encoding="utf-8"?>
<ds:datastoreItem xmlns:ds="http://schemas.openxmlformats.org/officeDocument/2006/customXml" ds:itemID="{7CD30AA4-8179-4BAA-BD54-0DE9A27B53DB}"/>
</file>

<file path=customXml/itemProps3.xml><?xml version="1.0" encoding="utf-8"?>
<ds:datastoreItem xmlns:ds="http://schemas.openxmlformats.org/officeDocument/2006/customXml" ds:itemID="{3FF9A7C0-285D-4EDD-8EF1-02DE5820709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xuemei</dc:creator>
  <cp:keywords/>
  <dc:description/>
  <cp:lastModifiedBy>Nguyen Thi Du</cp:lastModifiedBy>
  <cp:revision/>
  <dcterms:created xsi:type="dcterms:W3CDTF">2013-08-08T05:05:12Z</dcterms:created>
  <dcterms:modified xsi:type="dcterms:W3CDTF">2025-04-19T14:57:08Z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0x010100E9C9A0A944670C40B3577B9A3C159E6D</vt:lpwstr>
  </property>
  <property fmtid="{D5CDD505-2E9C-101B-9397-08002B2CF9AE}" pid="3" name="MediaServiceImageTags">
    <vt:lpwstr/>
  </property>
</Properties>
</file>