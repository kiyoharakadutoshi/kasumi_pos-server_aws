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usmh.sharepoint.com/sites/AndroidPOS208/Shared Documents/General/Luvinaより/03_機能概要/12_外部連携(Scan＆Go)/"/>
    </mc:Choice>
  </mc:AlternateContent>
  <xr:revisionPtr revIDLastSave="1" documentId="13_ncr:1_{86C046E4-D1ED-4990-919E-F6A9513082FF}" xr6:coauthVersionLast="47" xr6:coauthVersionMax="47" xr10:uidLastSave="{F864A486-503C-4408-84A1-8EDAA468400C}"/>
  <bookViews>
    <workbookView xWindow="38280" yWindow="-120" windowWidth="29040" windowHeight="16440" tabRatio="818" activeTab="2" xr2:uid="{00000000-000D-0000-FFFF-FFFF00000000}"/>
  </bookViews>
  <sheets>
    <sheet name="マスタ連携一覧" sheetId="21" r:id="rId1"/>
    <sheet name="分類マスタ" sheetId="1" r:id="rId2"/>
    <sheet name="商品マスタ" sheetId="2" r:id="rId3"/>
    <sheet name="企画マスタ" sheetId="9" r:id="rId4"/>
    <sheet name="強制売価マスタ" sheetId="10" r:id="rId5"/>
    <sheet name="特売マスタ" sheetId="11" r:id="rId6"/>
    <sheet name="ＭＭマスタ" sheetId="12" r:id="rId7"/>
    <sheet name="ＭＭ商品マスタ" sheetId="13" r:id="rId8"/>
    <sheet name="分類値引マスタ" sheetId="16" r:id="rId9"/>
    <sheet name="小計値引マスタ（曜日指定）_朝割" sheetId="17" r:id="rId10"/>
    <sheet name="小計値引マスタ（曜日指定）_メガ割" sheetId="19" r:id="rId11"/>
    <sheet name="分類拡張マスタ_朝割" sheetId="18" r:id="rId12"/>
    <sheet name="分類拡張マスタ_メガ割" sheetId="20" r:id="rId13"/>
    <sheet name="税コードマスタ" sheetId="4" r:id="rId14"/>
    <sheet name="税グループ詳細マスタ" sheetId="5" r:id="rId15"/>
    <sheet name="税グループマスタ" sheetId="6" r:id="rId16"/>
    <sheet name="税タイプマスタ" sheetId="7" r:id="rId17"/>
    <sheet name="軽減税率マスタ" sheetId="14" r:id="rId18"/>
    <sheet name="消費税仕様（相関図）" sheetId="8" r:id="rId19"/>
    <sheet name="設定値" sheetId="15" r:id="rId20"/>
  </sheets>
  <definedNames>
    <definedName name="_xlnm._FilterDatabase" localSheetId="2">商品マスタ!$A$3:$M$40</definedName>
    <definedName name="_xlnm.Print_Area" localSheetId="17">軽減税率マスタ!$A$1:$I$9</definedName>
    <definedName name="_xlnm.Print_Area" localSheetId="10">'小計値引マスタ（曜日指定）_メガ割'!$A$1:$I$24</definedName>
    <definedName name="_xlnm.Print_Area" localSheetId="9">'小計値引マスタ（曜日指定）_朝割'!$A$1:$I$24</definedName>
    <definedName name="_xlnm.Print_Area" localSheetId="12">分類拡張マスタ_メガ割!$A$1:$I$9</definedName>
    <definedName name="_xlnm.Print_Area" localSheetId="11">分類拡張マスタ_朝割!$A$1:$I$9</definedName>
    <definedName name="_xlnm.Print_Area" localSheetId="8">分類値引マスタ!$A$1:$I$26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0" l="1"/>
  <c r="A8" i="20"/>
  <c r="A7" i="20"/>
  <c r="A6" i="20"/>
  <c r="A5" i="20"/>
  <c r="A4" i="20"/>
  <c r="A24" i="19" l="1"/>
  <c r="A23" i="19"/>
  <c r="A22" i="19"/>
  <c r="A21" i="19"/>
  <c r="A20" i="19"/>
  <c r="A19" i="19"/>
  <c r="A18" i="19"/>
  <c r="A17" i="19"/>
  <c r="A16" i="19"/>
  <c r="A15" i="19"/>
  <c r="A14" i="19"/>
  <c r="A13" i="19"/>
  <c r="A12" i="19"/>
  <c r="A11" i="19"/>
  <c r="A10" i="19"/>
  <c r="A9" i="19"/>
  <c r="A8" i="19"/>
  <c r="A7" i="19"/>
  <c r="A6" i="19"/>
  <c r="A5" i="19"/>
  <c r="A4" i="19"/>
  <c r="A9" i="18" l="1"/>
  <c r="A8" i="18"/>
  <c r="A7" i="18"/>
  <c r="A6" i="18"/>
  <c r="A5" i="18"/>
  <c r="A4" i="18"/>
  <c r="A24" i="17" l="1"/>
  <c r="A23" i="17"/>
  <c r="A22" i="17"/>
  <c r="A21" i="17"/>
  <c r="A20" i="17"/>
  <c r="A19" i="17"/>
  <c r="A18" i="17"/>
  <c r="A17" i="17"/>
  <c r="A16" i="17"/>
  <c r="A15" i="17"/>
  <c r="A14" i="17"/>
  <c r="A13" i="17"/>
  <c r="A12" i="17"/>
  <c r="A11" i="17"/>
  <c r="A10" i="17"/>
  <c r="A9" i="17"/>
  <c r="A8" i="17"/>
  <c r="A7" i="17"/>
  <c r="A6" i="17"/>
  <c r="A5" i="17"/>
  <c r="A4" i="17"/>
  <c r="A26" i="16"/>
  <c r="A25" i="16"/>
  <c r="A24" i="16"/>
  <c r="A23" i="16"/>
  <c r="A22" i="16"/>
  <c r="A21" i="16"/>
  <c r="A20" i="16"/>
  <c r="A19" i="16"/>
  <c r="A18" i="16"/>
  <c r="A17" i="16"/>
  <c r="A16" i="16"/>
  <c r="A15" i="16"/>
  <c r="A14" i="16"/>
  <c r="A13" i="16"/>
  <c r="A12" i="16"/>
  <c r="A11" i="16"/>
  <c r="A10" i="16"/>
  <c r="A9" i="16"/>
  <c r="A8" i="16"/>
  <c r="A7" i="16"/>
  <c r="A6" i="16"/>
  <c r="A5" i="16"/>
  <c r="A4" i="16"/>
  <c r="S2" i="15" l="1"/>
  <c r="A9" i="14"/>
  <c r="A8" i="14"/>
  <c r="A7" i="14"/>
  <c r="A6" i="14"/>
  <c r="A5" i="14"/>
  <c r="A4" i="14"/>
  <c r="A6" i="7"/>
  <c r="A5" i="7"/>
  <c r="A4" i="7"/>
  <c r="A6" i="5"/>
  <c r="A5" i="5"/>
  <c r="A4" i="5"/>
  <c r="A6" i="6"/>
  <c r="A5" i="6"/>
  <c r="A4" i="6"/>
  <c r="A6" i="4"/>
  <c r="A5" i="4"/>
  <c r="A4" i="4"/>
  <c r="A8" i="7" l="1"/>
  <c r="A7" i="7"/>
  <c r="A10" i="6"/>
  <c r="A9" i="6"/>
  <c r="A8" i="6"/>
  <c r="A7" i="6"/>
  <c r="A8" i="5"/>
  <c r="A7" i="5"/>
  <c r="A12" i="4"/>
  <c r="A11" i="4"/>
  <c r="A10" i="4"/>
  <c r="A9" i="4"/>
  <c r="A8" i="4"/>
  <c r="A7" i="4"/>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27" i="1"/>
  <c r="A26" i="1"/>
  <c r="A25" i="1"/>
  <c r="A24" i="1"/>
  <c r="A23" i="1"/>
  <c r="A22" i="1"/>
  <c r="A21" i="1"/>
  <c r="A20" i="1"/>
  <c r="A19" i="1"/>
  <c r="A18" i="1"/>
  <c r="A17" i="1"/>
  <c r="A16" i="1"/>
  <c r="A15" i="1"/>
  <c r="A14" i="1"/>
  <c r="A13" i="1"/>
  <c r="A12" i="1"/>
  <c r="A11" i="1"/>
  <c r="A10" i="1"/>
  <c r="A9" i="1"/>
  <c r="A8" i="1"/>
  <c r="A7" i="1"/>
  <c r="A6" i="1"/>
  <c r="A5"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K7" authorId="0" shapeId="0" xr:uid="{00000000-0006-0000-1200-000001000000}">
      <text>
        <r>
          <rPr>
            <b/>
            <sz val="9"/>
            <color indexed="81"/>
            <rFont val="MS P ゴシック"/>
            <family val="3"/>
            <charset val="128"/>
          </rPr>
          <t xml:space="preserve">(POS)利用されないが、空だと商品問合せの表示に不具合が出る
(BO)商品マスタ設定、単品売価設定にて表示 </t>
        </r>
      </text>
    </comment>
    <comment ref="AP7" authorId="0" shapeId="0" xr:uid="{00000000-0006-0000-1200-000002000000}">
      <text>
        <r>
          <rPr>
            <b/>
            <sz val="9"/>
            <color indexed="81"/>
            <rFont val="MS P ゴシック"/>
            <family val="3"/>
            <charset val="128"/>
          </rPr>
          <t>TaxGroupDetailMasterについては、
TaxGroupDetailCode=TaxCodeの想定</t>
        </r>
      </text>
    </comment>
    <comment ref="P21" authorId="0" shapeId="0" xr:uid="{00000000-0006-0000-1200-000003000000}">
      <text>
        <r>
          <rPr>
            <b/>
            <sz val="9"/>
            <color indexed="81"/>
            <rFont val="MS P ゴシック"/>
            <family val="3"/>
            <charset val="128"/>
          </rPr>
          <t>(POS)TaxTotalで利用される
(BO)利用なし</t>
        </r>
      </text>
    </comment>
    <comment ref="AL21" authorId="0" shapeId="0" xr:uid="{00000000-0006-0000-1200-000004000000}">
      <text>
        <r>
          <rPr>
            <b/>
            <sz val="9"/>
            <color indexed="81"/>
            <rFont val="MS P ゴシック"/>
            <family val="3"/>
            <charset val="128"/>
          </rPr>
          <t>軽減税率対象かのフラグ
(レシートの明細マーク判断に利用)</t>
        </r>
      </text>
    </comment>
    <comment ref="AQ21" authorId="0" shapeId="0" xr:uid="{00000000-0006-0000-1200-000005000000}">
      <text>
        <r>
          <rPr>
            <b/>
            <sz val="9"/>
            <color indexed="81"/>
            <rFont val="MS P ゴシック"/>
            <family val="3"/>
            <charset val="128"/>
          </rPr>
          <t>【税率変更】時の切替先
TaxCodeではなくTaxGroupCode</t>
        </r>
      </text>
    </comment>
  </commentList>
</comments>
</file>

<file path=xl/sharedStrings.xml><?xml version="1.0" encoding="utf-8"?>
<sst xmlns="http://schemas.openxmlformats.org/spreadsheetml/2006/main" count="2684" uniqueCount="803">
  <si>
    <t>連携インタフェースについて</t>
    <rPh sb="0" eb="2">
      <t>レンケイ</t>
    </rPh>
    <phoneticPr fontId="4"/>
  </si>
  <si>
    <t>KSM</t>
    <phoneticPr fontId="4"/>
  </si>
  <si>
    <t>MRE</t>
    <phoneticPr fontId="4"/>
  </si>
  <si>
    <t>MVK</t>
    <phoneticPr fontId="4"/>
  </si>
  <si>
    <t>マスタ</t>
    <phoneticPr fontId="4"/>
  </si>
  <si>
    <t>マスタID</t>
    <phoneticPr fontId="4"/>
  </si>
  <si>
    <t>カスミ様</t>
    <rPh sb="3" eb="4">
      <t>サマ</t>
    </rPh>
    <phoneticPr fontId="5"/>
  </si>
  <si>
    <t>マルエツ様</t>
    <rPh sb="4" eb="5">
      <t>サマ</t>
    </rPh>
    <phoneticPr fontId="5"/>
  </si>
  <si>
    <t>MV関東様</t>
    <rPh sb="2" eb="4">
      <t>カントウ</t>
    </rPh>
    <rPh sb="4" eb="5">
      <t>サマ</t>
    </rPh>
    <phoneticPr fontId="5"/>
  </si>
  <si>
    <t>分類マスタ</t>
  </si>
  <si>
    <t>MDHierarchyMaster</t>
    <phoneticPr fontId="4"/>
  </si>
  <si>
    <t>○</t>
    <phoneticPr fontId="4"/>
  </si>
  <si>
    <t>商品マスタ</t>
  </si>
  <si>
    <t>ItemMaster</t>
    <phoneticPr fontId="4"/>
  </si>
  <si>
    <t>企画マスタ</t>
  </si>
  <si>
    <t>ServiceIdeaMaster</t>
    <phoneticPr fontId="4"/>
  </si>
  <si>
    <t>-</t>
    <phoneticPr fontId="4"/>
  </si>
  <si>
    <t>強制売価マスタ</t>
  </si>
  <si>
    <t>ForcePriceMaster</t>
    <phoneticPr fontId="4"/>
  </si>
  <si>
    <t>特売マスタ</t>
  </si>
  <si>
    <t>SpecialPriceKsmMaster</t>
    <phoneticPr fontId="4"/>
  </si>
  <si>
    <t>MMマスタ</t>
  </si>
  <si>
    <t>CombinationKsmMaster</t>
    <phoneticPr fontId="4"/>
  </si>
  <si>
    <t>MM商品マスタ</t>
  </si>
  <si>
    <t>CombinationItemKsmMaster</t>
    <phoneticPr fontId="4"/>
  </si>
  <si>
    <t>分類値引マスタ</t>
  </si>
  <si>
    <t>DiscountMDHierarchyMaster</t>
    <phoneticPr fontId="4"/>
  </si>
  <si>
    <t>小計値引マスタ（朝割）</t>
    <rPh sb="8" eb="9">
      <t>アサ</t>
    </rPh>
    <rPh sb="9" eb="10">
      <t>ワリ</t>
    </rPh>
    <phoneticPr fontId="4"/>
  </si>
  <si>
    <t>DiscountSubTotalWeekdayMaster_asa</t>
    <phoneticPr fontId="4"/>
  </si>
  <si>
    <t>小計値引マスタ（メガ割）</t>
    <rPh sb="10" eb="11">
      <t>ワリ</t>
    </rPh>
    <phoneticPr fontId="4"/>
  </si>
  <si>
    <t>DiscountSubTotalWeekdayMaster_mega</t>
    <phoneticPr fontId="4"/>
  </si>
  <si>
    <t>分類拡張マスタ</t>
  </si>
  <si>
    <t>MDHierarchyExKsmMaster_asa</t>
    <phoneticPr fontId="4"/>
  </si>
  <si>
    <t>MDHierarchyExKsmMaster_mega</t>
    <phoneticPr fontId="4"/>
  </si>
  <si>
    <t>税コードマスタ</t>
  </si>
  <si>
    <t>TaxCodeMaster</t>
    <phoneticPr fontId="4"/>
  </si>
  <si>
    <t>固定運用&lt;取込無&gt;※1</t>
    <rPh sb="0" eb="2">
      <t>コテイ</t>
    </rPh>
    <rPh sb="2" eb="4">
      <t>ウンヨウ</t>
    </rPh>
    <rPh sb="5" eb="7">
      <t>トリコミ</t>
    </rPh>
    <rPh sb="7" eb="8">
      <t>ナ</t>
    </rPh>
    <phoneticPr fontId="4"/>
  </si>
  <si>
    <t>税グループ詳細マスタ</t>
  </si>
  <si>
    <t>TaxGroupDetailMaster</t>
    <phoneticPr fontId="4"/>
  </si>
  <si>
    <t>税グループマスタ</t>
  </si>
  <si>
    <t>TaxGroupMaster</t>
    <phoneticPr fontId="4"/>
  </si>
  <si>
    <t>税タイプマスタ</t>
  </si>
  <si>
    <t>TaxTypeMaster</t>
    <phoneticPr fontId="4"/>
  </si>
  <si>
    <t>軽減税率マスタ</t>
  </si>
  <si>
    <t>ReducedTaxRateMaster</t>
    <phoneticPr fontId="4"/>
  </si>
  <si>
    <t>※1 マスタ連携無し・・・但し、テーブルは作成し、手動メンテナンスとする。(テーブルレイアウト・データは、カスミに併せる)</t>
    <rPh sb="6" eb="8">
      <t>レンケイ</t>
    </rPh>
    <rPh sb="8" eb="9">
      <t>ナ</t>
    </rPh>
    <rPh sb="13" eb="14">
      <t>タダ</t>
    </rPh>
    <rPh sb="21" eb="23">
      <t>サクセイ</t>
    </rPh>
    <rPh sb="25" eb="27">
      <t>シュドウ</t>
    </rPh>
    <rPh sb="57" eb="58">
      <t>アワ</t>
    </rPh>
    <phoneticPr fontId="4"/>
  </si>
  <si>
    <t>分類マスタ　《MDHierarchyMaster》</t>
    <phoneticPr fontId="5"/>
  </si>
  <si>
    <t>No.</t>
  </si>
  <si>
    <t>Column Name</t>
  </si>
  <si>
    <t>Description</t>
  </si>
  <si>
    <t>Data Type</t>
  </si>
  <si>
    <t>Precision,Scale</t>
  </si>
  <si>
    <t>NotNull</t>
  </si>
  <si>
    <t>Identity_x000D_
(Seed,_x000D_
Increment)</t>
  </si>
  <si>
    <t>Primary Key</t>
  </si>
  <si>
    <t>Note</t>
  </si>
  <si>
    <t>Scan&amp;Go
利用項目</t>
    <rPh sb="8" eb="10">
      <t>リヨウ</t>
    </rPh>
    <rPh sb="10" eb="12">
      <t>コウモク</t>
    </rPh>
    <phoneticPr fontId="4"/>
  </si>
  <si>
    <t>-</t>
    <phoneticPr fontId="5"/>
  </si>
  <si>
    <t>処理区分</t>
    <rPh sb="0" eb="2">
      <t>ショリ</t>
    </rPh>
    <rPh sb="2" eb="4">
      <t>クブン</t>
    </rPh>
    <phoneticPr fontId="8"/>
  </si>
  <si>
    <t>nvarchar</t>
    <phoneticPr fontId="5"/>
  </si>
  <si>
    <t>Y</t>
  </si>
  <si>
    <t>0：登録（新規／更新）、 1：削除、 2：洗い替え</t>
    <rPh sb="21" eb="22">
      <t>アラ</t>
    </rPh>
    <rPh sb="23" eb="24">
      <t>ガ</t>
    </rPh>
    <phoneticPr fontId="5"/>
  </si>
  <si>
    <t>〇</t>
    <phoneticPr fontId="4"/>
  </si>
  <si>
    <t>標準仕様準拠</t>
    <rPh sb="0" eb="2">
      <t>ヒョウジュン</t>
    </rPh>
    <rPh sb="2" eb="4">
      <t>シヨウ</t>
    </rPh>
    <rPh sb="4" eb="6">
      <t>ジュンキョ</t>
    </rPh>
    <phoneticPr fontId="4"/>
  </si>
  <si>
    <t>CompanyCode</t>
    <phoneticPr fontId="5"/>
  </si>
  <si>
    <t>企業コード</t>
    <rPh sb="0" eb="2">
      <t>キギョウ</t>
    </rPh>
    <phoneticPr fontId="8"/>
  </si>
  <si>
    <t>会社コード</t>
    <rPh sb="0" eb="2">
      <t>カイシャ</t>
    </rPh>
    <phoneticPr fontId="5"/>
  </si>
  <si>
    <t>固定値 [100]</t>
    <rPh sb="0" eb="3">
      <t>コテイチ</t>
    </rPh>
    <phoneticPr fontId="5"/>
  </si>
  <si>
    <t>固定値 [200]</t>
    <rPh sb="0" eb="3">
      <t>コテイチ</t>
    </rPh>
    <phoneticPr fontId="5"/>
  </si>
  <si>
    <t>固定値 [300]</t>
    <phoneticPr fontId="4"/>
  </si>
  <si>
    <t>StoreCode</t>
    <phoneticPr fontId="5"/>
  </si>
  <si>
    <t>店舗コード</t>
    <rPh sb="0" eb="2">
      <t>テンポ</t>
    </rPh>
    <phoneticPr fontId="8"/>
  </si>
  <si>
    <t>5桁コード</t>
    <rPh sb="1" eb="2">
      <t>ケタ</t>
    </rPh>
    <phoneticPr fontId="4"/>
  </si>
  <si>
    <t>6桁コード</t>
    <rPh sb="1" eb="2">
      <t>ケタ</t>
    </rPh>
    <phoneticPr fontId="4"/>
  </si>
  <si>
    <t>MDHierarchyCode</t>
  </si>
  <si>
    <t>分類コード</t>
    <rPh sb="0" eb="2">
      <t>ブンルイ</t>
    </rPh>
    <phoneticPr fontId="5"/>
  </si>
  <si>
    <t>各分類コードを設定する</t>
    <rPh sb="0" eb="1">
      <t>カク</t>
    </rPh>
    <rPh sb="1" eb="3">
      <t>ブンルイ</t>
    </rPh>
    <rPh sb="7" eb="9">
      <t>セッテイ</t>
    </rPh>
    <phoneticPr fontId="5"/>
  </si>
  <si>
    <t>"1"：部門
"2"：品種
"3"：品群
"4"：分類</t>
    <phoneticPr fontId="4"/>
  </si>
  <si>
    <t>"1"：DIV
"2"：DEPT
"3"：SDEPT
"4"：CLASS</t>
    <phoneticPr fontId="4"/>
  </si>
  <si>
    <t>"1"：グループコード（4桁）
"2"：デパートメントコード（3桁）
"3"：デパートメント＆カテゴリ（6桁）</t>
    <phoneticPr fontId="4"/>
  </si>
  <si>
    <t>MDHierarchyLevel</t>
  </si>
  <si>
    <t>分類レベル</t>
    <rPh sb="0" eb="2">
      <t>ブンルイ</t>
    </rPh>
    <phoneticPr fontId="5"/>
  </si>
  <si>
    <t>int</t>
  </si>
  <si>
    <t xml:space="preserve">各分類のレベルコードを設定する
</t>
    <rPh sb="0" eb="1">
      <t>カク</t>
    </rPh>
    <rPh sb="1" eb="3">
      <t>ブンルイ</t>
    </rPh>
    <rPh sb="11" eb="13">
      <t>セッテイ</t>
    </rPh>
    <phoneticPr fontId="5"/>
  </si>
  <si>
    <t>ApplyDate</t>
    <phoneticPr fontId="5"/>
  </si>
  <si>
    <t>適用日</t>
    <rPh sb="0" eb="2">
      <t>テキヨウ</t>
    </rPh>
    <rPh sb="2" eb="3">
      <t>ビ</t>
    </rPh>
    <phoneticPr fontId="5"/>
  </si>
  <si>
    <t>date</t>
    <phoneticPr fontId="5"/>
  </si>
  <si>
    <t>Y</t>
    <phoneticPr fontId="5"/>
  </si>
  <si>
    <t>利用開始日を設定する</t>
    <rPh sb="0" eb="2">
      <t>リヨウ</t>
    </rPh>
    <rPh sb="2" eb="5">
      <t>カイシビ</t>
    </rPh>
    <rPh sb="6" eb="8">
      <t>セッテイ</t>
    </rPh>
    <phoneticPr fontId="5"/>
  </si>
  <si>
    <t>寺岡精工様POSサーバの出力日</t>
    <rPh sb="0" eb="2">
      <t>テラオカ</t>
    </rPh>
    <rPh sb="2" eb="4">
      <t>セイコウ</t>
    </rPh>
    <rPh sb="4" eb="5">
      <t>サマ</t>
    </rPh>
    <rPh sb="12" eb="14">
      <t>シュツリョク</t>
    </rPh>
    <rPh sb="14" eb="15">
      <t>ヒ</t>
    </rPh>
    <phoneticPr fontId="5"/>
  </si>
  <si>
    <t>利用開始日を設定する</t>
    <rPh sb="0" eb="2">
      <t>リヨウ</t>
    </rPh>
    <rPh sb="2" eb="4">
      <t>カイシ</t>
    </rPh>
    <rPh sb="4" eb="5">
      <t>ビ</t>
    </rPh>
    <rPh sb="6" eb="8">
      <t>セッテイ</t>
    </rPh>
    <phoneticPr fontId="5"/>
  </si>
  <si>
    <t>確認要(VINX様)</t>
    <rPh sb="0" eb="2">
      <t>カクニン</t>
    </rPh>
    <rPh sb="2" eb="3">
      <t>ヨウ</t>
    </rPh>
    <rPh sb="8" eb="9">
      <t>サマ</t>
    </rPh>
    <phoneticPr fontId="4"/>
  </si>
  <si>
    <t>ParentCode</t>
    <phoneticPr fontId="5"/>
  </si>
  <si>
    <t>親分類コード</t>
    <rPh sb="1" eb="3">
      <t>ブンルイ</t>
    </rPh>
    <phoneticPr fontId="5"/>
  </si>
  <si>
    <t>各分類コードが属する上位の分類コード</t>
    <rPh sb="0" eb="1">
      <t>カク</t>
    </rPh>
    <rPh sb="1" eb="3">
      <t>ブンルイ</t>
    </rPh>
    <rPh sb="13" eb="15">
      <t>ブンルイ</t>
    </rPh>
    <phoneticPr fontId="5"/>
  </si>
  <si>
    <t>※分類レベルが「"1"：部門」である場合、
NULL固定</t>
    <phoneticPr fontId="4"/>
  </si>
  <si>
    <t>4桁（前0埋め）例："0578"
各分類コードが属する上位の分類コード
　※分類レベルが「"1"：DIV」である場合、NULL固定</t>
    <phoneticPr fontId="4"/>
  </si>
  <si>
    <t>上位分類コード</t>
    <phoneticPr fontId="4"/>
  </si>
  <si>
    <t>ParentHierarchyLevel</t>
  </si>
  <si>
    <t>親分類レベルコード</t>
    <rPh sb="1" eb="3">
      <t>ブンルイ</t>
    </rPh>
    <phoneticPr fontId="5"/>
  </si>
  <si>
    <t>各分類コードが属する上位の分類のレベルコードを設定。
最上位レベルの場合には、NULLが固定。</t>
    <rPh sb="0" eb="1">
      <t>カク</t>
    </rPh>
    <rPh sb="1" eb="3">
      <t>ブンルイ</t>
    </rPh>
    <rPh sb="7" eb="8">
      <t>ゾク</t>
    </rPh>
    <rPh sb="10" eb="12">
      <t>ジョウイ</t>
    </rPh>
    <rPh sb="13" eb="15">
      <t>ブンルイ</t>
    </rPh>
    <rPh sb="23" eb="25">
      <t>セッテイ</t>
    </rPh>
    <rPh sb="27" eb="30">
      <t>サイジョウイ</t>
    </rPh>
    <rPh sb="34" eb="36">
      <t>バアイ</t>
    </rPh>
    <rPh sb="44" eb="46">
      <t>コテイ</t>
    </rPh>
    <phoneticPr fontId="5"/>
  </si>
  <si>
    <t>※MD階層レベルが「"1"：部門」である場合、
NULL固定</t>
    <phoneticPr fontId="4"/>
  </si>
  <si>
    <t>各分類コードが属する上位の
分類のレベルコードを設定する
　※分類レベルが「"1"：DIV」である場合、NULL固定</t>
    <phoneticPr fontId="4"/>
  </si>
  <si>
    <t>0～2</t>
    <phoneticPr fontId="4"/>
  </si>
  <si>
    <t>0じゃなくて、NULLでは？</t>
    <phoneticPr fontId="4"/>
  </si>
  <si>
    <t>説明　（画面、レシート、ラインディスプレイにて使用）</t>
    <phoneticPr fontId="5"/>
  </si>
  <si>
    <t>nvarchar</t>
  </si>
  <si>
    <t>画面、レシート、ラインディスプレイにて使用</t>
    <phoneticPr fontId="4"/>
  </si>
  <si>
    <t>※分類レベル2の時のみセット
282_部門マスタ.部門名（漢字）
それ以外は、NULL</t>
    <rPh sb="1" eb="3">
      <t>ブンルイ</t>
    </rPh>
    <rPh sb="8" eb="9">
      <t>トキ</t>
    </rPh>
    <rPh sb="35" eb="37">
      <t>イガイ</t>
    </rPh>
    <phoneticPr fontId="4"/>
  </si>
  <si>
    <t>DescriptionShort</t>
  </si>
  <si>
    <t>簡略説明　（ラインディスプレイ（半角カナ用）にて使用）</t>
    <rPh sb="20" eb="21">
      <t>ヨウ</t>
    </rPh>
    <phoneticPr fontId="5"/>
  </si>
  <si>
    <t>ラインディスプレイ（半角カナ用）にて使用
NULL固定</t>
    <rPh sb="25" eb="27">
      <t>コテイ</t>
    </rPh>
    <phoneticPr fontId="4"/>
  </si>
  <si>
    <t>（未使用）</t>
    <rPh sb="1" eb="4">
      <t>ミシヨウ</t>
    </rPh>
    <phoneticPr fontId="4"/>
  </si>
  <si>
    <t>※分類レベル2の時のみセット
282_部門マスタ.部門名（カナ）
それ以外は、NULL</t>
    <rPh sb="1" eb="3">
      <t>ブンルイ</t>
    </rPh>
    <rPh sb="8" eb="9">
      <t>トキ</t>
    </rPh>
    <phoneticPr fontId="4"/>
  </si>
  <si>
    <t>TaxGroupCode</t>
  </si>
  <si>
    <t>税グループコード</t>
  </si>
  <si>
    <t>税率セットの定義コードを設定する
　　NULL：上位参照
　　"01"　：外税8%
　　　　　　　（2019/10/1以降、軽減税率)
　　"02"　：内税8%
　　　　　　　（2019/10/1以降、軽減税率)
　　"03"　：非課税
　　"11"　：外税10%
　　"12"　：内税10%
　　"31"　：外税8%(返品用)
　　"32"　：内税8%(返品用)</t>
    <phoneticPr fontId="5"/>
  </si>
  <si>
    <t>分類レベル="3"：品群のみ値をセット
それ以外の階層はNULL固定</t>
    <rPh sb="0" eb="2">
      <t>ブンルイ</t>
    </rPh>
    <rPh sb="10" eb="12">
      <t>ヒングン</t>
    </rPh>
    <rPh sb="14" eb="15">
      <t>アタイ</t>
    </rPh>
    <rPh sb="22" eb="24">
      <t>イガイ</t>
    </rPh>
    <rPh sb="25" eb="27">
      <t>カイソウ</t>
    </rPh>
    <rPh sb="32" eb="34">
      <t>コテイ</t>
    </rPh>
    <phoneticPr fontId="5"/>
  </si>
  <si>
    <t>分類レベル="3"：SDEPT
分類レベル="4"：CLASS
の場合値をセットします。
それ以外の階層はNULL固定</t>
    <phoneticPr fontId="5"/>
  </si>
  <si>
    <t>※分類レベル2の時のみセット
VINX様側で変換
282_部門マスタ.売上除外[1桁]
に対して、先頭0をVINX様側で付与</t>
    <rPh sb="19" eb="20">
      <t>サマ</t>
    </rPh>
    <rPh sb="20" eb="21">
      <t>ガワ</t>
    </rPh>
    <rPh sb="22" eb="24">
      <t>ヘンカン</t>
    </rPh>
    <rPh sb="41" eb="42">
      <t>ケタ</t>
    </rPh>
    <rPh sb="45" eb="46">
      <t>タイ</t>
    </rPh>
    <rPh sb="49" eb="51">
      <t>セントウ</t>
    </rPh>
    <rPh sb="57" eb="58">
      <t>サマ</t>
    </rPh>
    <rPh sb="58" eb="59">
      <t>ガワ</t>
    </rPh>
    <rPh sb="60" eb="62">
      <t>フヨ</t>
    </rPh>
    <phoneticPr fontId="4"/>
  </si>
  <si>
    <t>MarkupRatio</t>
    <phoneticPr fontId="5"/>
  </si>
  <si>
    <t>値入率</t>
  </si>
  <si>
    <t>numeric</t>
  </si>
  <si>
    <t>5, 2</t>
    <phoneticPr fontId="5"/>
  </si>
  <si>
    <t>NULL固定</t>
    <rPh sb="4" eb="6">
      <t>コテイ</t>
    </rPh>
    <phoneticPr fontId="5"/>
  </si>
  <si>
    <t>DepartmentTypeCode</t>
  </si>
  <si>
    <t>部門区分コード</t>
  </si>
  <si>
    <t>売上部門を設定する
「通常商品、売上外商品」を別けて集計します。
　　"00"：通常
　　"01"：売上外</t>
    <rPh sb="0" eb="2">
      <t>ウリアゲ</t>
    </rPh>
    <rPh sb="2" eb="4">
      <t>ブモン</t>
    </rPh>
    <rPh sb="5" eb="7">
      <t>セッテイ</t>
    </rPh>
    <rPh sb="23" eb="24">
      <t>ワ</t>
    </rPh>
    <rPh sb="26" eb="28">
      <t>シュウケイ</t>
    </rPh>
    <phoneticPr fontId="5"/>
  </si>
  <si>
    <t>標準仕様準拠
分類レベル1で判断</t>
    <rPh sb="0" eb="2">
      <t>ヒョウジュン</t>
    </rPh>
    <rPh sb="2" eb="4">
      <t>シヨウ</t>
    </rPh>
    <rPh sb="4" eb="6">
      <t>ジュンキョ</t>
    </rPh>
    <rPh sb="7" eb="9">
      <t>ブンルイ</t>
    </rPh>
    <rPh sb="14" eb="16">
      <t>ハンダン</t>
    </rPh>
    <phoneticPr fontId="4"/>
  </si>
  <si>
    <t>標準仕様準拠
分類レベル="3"：SDEPT　の値で判断</t>
    <rPh sb="0" eb="2">
      <t>ヒョウジュン</t>
    </rPh>
    <rPh sb="2" eb="4">
      <t>シヨウ</t>
    </rPh>
    <rPh sb="4" eb="6">
      <t>ジュンキョ</t>
    </rPh>
    <phoneticPr fontId="4"/>
  </si>
  <si>
    <t>標準仕様準拠
分類レベル="2"の値で判断</t>
    <rPh sb="0" eb="2">
      <t>ヒョウジュン</t>
    </rPh>
    <rPh sb="2" eb="4">
      <t>シヨウ</t>
    </rPh>
    <rPh sb="4" eb="6">
      <t>ジュンキョ</t>
    </rPh>
    <phoneticPr fontId="4"/>
  </si>
  <si>
    <t>IsCashOnly</t>
  </si>
  <si>
    <t>現金以外決済不可フラグ</t>
  </si>
  <si>
    <t>bit</t>
  </si>
  <si>
    <t>支払方法を現金に限定するか否かを設定する
NULL：上位参照
　0：現金以外決済可
　1：現金以外決済不可</t>
    <rPh sb="0" eb="2">
      <t>シハラ</t>
    </rPh>
    <rPh sb="2" eb="4">
      <t>ホウホウ</t>
    </rPh>
    <rPh sb="5" eb="7">
      <t>ゲンキン</t>
    </rPh>
    <rPh sb="8" eb="10">
      <t>ゲンテイ</t>
    </rPh>
    <rPh sb="13" eb="14">
      <t>イナ</t>
    </rPh>
    <rPh sb="16" eb="18">
      <t>セッテイ</t>
    </rPh>
    <phoneticPr fontId="5"/>
  </si>
  <si>
    <t>IsItemManualDiscountProhibition</t>
    <phoneticPr fontId="4"/>
  </si>
  <si>
    <t>手動アイテム値引禁止フラグ</t>
  </si>
  <si>
    <t>POS操作による値引を許可するか否かを設定する
　NULL：上位参照
　0：手動アイテム値引可
　1：手動アイテム値引不可</t>
    <rPh sb="3" eb="5">
      <t>ソウサ</t>
    </rPh>
    <rPh sb="8" eb="10">
      <t>ネビキ</t>
    </rPh>
    <rPh sb="11" eb="13">
      <t>キョカ</t>
    </rPh>
    <rPh sb="16" eb="17">
      <t>イナ</t>
    </rPh>
    <rPh sb="19" eb="21">
      <t>セッテイ</t>
    </rPh>
    <phoneticPr fontId="5"/>
  </si>
  <si>
    <t>IsSubTotalDiscountProhibition</t>
  </si>
  <si>
    <t>小計値引禁止フラグ</t>
  </si>
  <si>
    <t>クーポン等による小計値引の対象とするか否かを設定する
　NULL：上位参照
　0：小計値引対象
　1：小計値引対象外</t>
    <rPh sb="4" eb="5">
      <t>トウ</t>
    </rPh>
    <rPh sb="8" eb="10">
      <t>ショウケイ</t>
    </rPh>
    <rPh sb="10" eb="12">
      <t>ネビキ</t>
    </rPh>
    <rPh sb="13" eb="15">
      <t>タイショウ</t>
    </rPh>
    <rPh sb="19" eb="20">
      <t>イナ</t>
    </rPh>
    <rPh sb="22" eb="24">
      <t>セッテイ</t>
    </rPh>
    <rPh sb="45" eb="47">
      <t>タイショウ</t>
    </rPh>
    <rPh sb="55" eb="58">
      <t>タイショウガイ</t>
    </rPh>
    <phoneticPr fontId="5"/>
  </si>
  <si>
    <t>利用</t>
    <rPh sb="0" eb="2">
      <t>リヨウ</t>
    </rPh>
    <phoneticPr fontId="5"/>
  </si>
  <si>
    <t>※分類レベル2の時のみセット
282_部門マスタ.割引除外</t>
    <rPh sb="1" eb="3">
      <t>ブンルイ</t>
    </rPh>
    <rPh sb="8" eb="9">
      <t>トキ</t>
    </rPh>
    <phoneticPr fontId="4"/>
  </si>
  <si>
    <t>いらない？
トランに返す時にいる？</t>
    <rPh sb="10" eb="11">
      <t>カエ</t>
    </rPh>
    <rPh sb="12" eb="13">
      <t>トキ</t>
    </rPh>
    <phoneticPr fontId="4"/>
  </si>
  <si>
    <t>IsChangePriceProhibition</t>
  </si>
  <si>
    <t>売価変更禁止フラグ</t>
  </si>
  <si>
    <t>POS操作による売価変更を許可するか否かを設定する</t>
    <rPh sb="3" eb="5">
      <t>ソウサ</t>
    </rPh>
    <rPh sb="8" eb="10">
      <t>バイカ</t>
    </rPh>
    <rPh sb="10" eb="12">
      <t>ヘンコウ</t>
    </rPh>
    <rPh sb="13" eb="15">
      <t>キョカ</t>
    </rPh>
    <rPh sb="18" eb="19">
      <t>イナ</t>
    </rPh>
    <rPh sb="21" eb="23">
      <t>セッテイ</t>
    </rPh>
    <phoneticPr fontId="5"/>
  </si>
  <si>
    <t>（未使用）
分類レベル="3"：品群のみ値をセット
それ以外の階層はNULL固定</t>
    <rPh sb="6" eb="8">
      <t>ブンルイ</t>
    </rPh>
    <rPh sb="16" eb="18">
      <t>ヒングン</t>
    </rPh>
    <rPh sb="20" eb="21">
      <t>アタイ</t>
    </rPh>
    <rPh sb="28" eb="30">
      <t>イガイ</t>
    </rPh>
    <rPh sb="31" eb="33">
      <t>カイソウ</t>
    </rPh>
    <rPh sb="38" eb="40">
      <t>コテイ</t>
    </rPh>
    <phoneticPr fontId="5"/>
  </si>
  <si>
    <t>（未使用）
　NULL：上位参照
　0：売価変更可
　1：売価変更不可</t>
    <rPh sb="12" eb="14">
      <t>ジョウイ</t>
    </rPh>
    <rPh sb="14" eb="16">
      <t>サンショウ</t>
    </rPh>
    <rPh sb="20" eb="22">
      <t>バイカ</t>
    </rPh>
    <rPh sb="22" eb="24">
      <t>ヘンコウ</t>
    </rPh>
    <rPh sb="24" eb="25">
      <t>カ</t>
    </rPh>
    <rPh sb="29" eb="31">
      <t>バイカ</t>
    </rPh>
    <rPh sb="31" eb="33">
      <t>ヘンコウ</t>
    </rPh>
    <rPh sb="33" eb="35">
      <t>フカ</t>
    </rPh>
    <phoneticPr fontId="4"/>
  </si>
  <si>
    <t>NULL</t>
    <phoneticPr fontId="4"/>
  </si>
  <si>
    <t>SalesRestrictionItemArea</t>
    <phoneticPr fontId="5"/>
  </si>
  <si>
    <t>販売制限商品区分</t>
    <phoneticPr fontId="5"/>
  </si>
  <si>
    <t>SalesAlertAge</t>
    <phoneticPr fontId="5"/>
  </si>
  <si>
    <t>販売制限年齢</t>
    <phoneticPr fontId="5"/>
  </si>
  <si>
    <t>int</t>
    <phoneticPr fontId="5"/>
  </si>
  <si>
    <t>警告表示対象の場合、
固定値 [20] をセット</t>
    <rPh sb="11" eb="14">
      <t>コテイチ</t>
    </rPh>
    <phoneticPr fontId="4"/>
  </si>
  <si>
    <t>（未使用） NULL</t>
    <rPh sb="1" eb="4">
      <t>ミシヨウ</t>
    </rPh>
    <phoneticPr fontId="4"/>
  </si>
  <si>
    <t>IsWarrantyReceiptPrint</t>
    <phoneticPr fontId="5"/>
  </si>
  <si>
    <t>保証書発行フラグ</t>
    <phoneticPr fontId="5"/>
  </si>
  <si>
    <t>対象商品販売時、保証書を発行するか否かを設定する</t>
    <rPh sb="0" eb="2">
      <t>タイショウ</t>
    </rPh>
    <rPh sb="2" eb="4">
      <t>ショウヒン</t>
    </rPh>
    <rPh sb="4" eb="6">
      <t>ハンバイ</t>
    </rPh>
    <rPh sb="6" eb="7">
      <t>ジ</t>
    </rPh>
    <rPh sb="8" eb="11">
      <t>ホショウショ</t>
    </rPh>
    <rPh sb="12" eb="14">
      <t>ハッコウ</t>
    </rPh>
    <rPh sb="17" eb="18">
      <t>イナ</t>
    </rPh>
    <rPh sb="20" eb="22">
      <t>セッテイ</t>
    </rPh>
    <phoneticPr fontId="5"/>
  </si>
  <si>
    <t>（単品指定のみ）
　0：発行しない
　1：発行する</t>
    <rPh sb="1" eb="3">
      <t>タンピン</t>
    </rPh>
    <rPh sb="3" eb="5">
      <t>シテイ</t>
    </rPh>
    <rPh sb="12" eb="14">
      <t>ハッコウ</t>
    </rPh>
    <rPh sb="21" eb="23">
      <t>ハッコウ</t>
    </rPh>
    <phoneticPr fontId="5"/>
  </si>
  <si>
    <t>IsPointProhibition</t>
    <phoneticPr fontId="5"/>
  </si>
  <si>
    <t>ポイント除外フラグ</t>
    <rPh sb="4" eb="6">
      <t>ジョガイ</t>
    </rPh>
    <phoneticPr fontId="5"/>
  </si>
  <si>
    <t>対象商品販売時、ポイント付与対象から除外するか否かを設定する
　NULL：上位参照
　0：ポイント対象
　1：ポイント対象外
※但し、WAONポイント除外対象は当項目の値を利用せずに実現している</t>
    <rPh sb="0" eb="2">
      <t>タイショウ</t>
    </rPh>
    <rPh sb="2" eb="4">
      <t>ショウヒン</t>
    </rPh>
    <rPh sb="4" eb="6">
      <t>ハンバイ</t>
    </rPh>
    <rPh sb="6" eb="7">
      <t>ジ</t>
    </rPh>
    <rPh sb="12" eb="14">
      <t>フヨ</t>
    </rPh>
    <rPh sb="14" eb="16">
      <t>タイショウ</t>
    </rPh>
    <rPh sb="18" eb="20">
      <t>ジョガイ</t>
    </rPh>
    <rPh sb="23" eb="24">
      <t>イナ</t>
    </rPh>
    <rPh sb="26" eb="28">
      <t>セッテイ</t>
    </rPh>
    <rPh sb="64" eb="65">
      <t>タダ</t>
    </rPh>
    <rPh sb="75" eb="77">
      <t>ジョガイ</t>
    </rPh>
    <rPh sb="77" eb="79">
      <t>タイショウ</t>
    </rPh>
    <rPh sb="80" eb="81">
      <t>トウ</t>
    </rPh>
    <rPh sb="81" eb="83">
      <t>コウモク</t>
    </rPh>
    <rPh sb="84" eb="85">
      <t>アタイ</t>
    </rPh>
    <rPh sb="86" eb="88">
      <t>リヨウ</t>
    </rPh>
    <rPh sb="91" eb="93">
      <t>ジツゲン</t>
    </rPh>
    <phoneticPr fontId="5"/>
  </si>
  <si>
    <t>PointRate</t>
    <phoneticPr fontId="5"/>
  </si>
  <si>
    <t>ポイント率</t>
    <rPh sb="4" eb="5">
      <t>リツ</t>
    </rPh>
    <phoneticPr fontId="5"/>
  </si>
  <si>
    <t>ポイント率
0 固定</t>
    <phoneticPr fontId="5"/>
  </si>
  <si>
    <t>（未使用） 固定値"0"をセット</t>
    <rPh sb="1" eb="4">
      <t>ミシヨウ</t>
    </rPh>
    <rPh sb="6" eb="9">
      <t>コテイチ</t>
    </rPh>
    <phoneticPr fontId="4"/>
  </si>
  <si>
    <t>CostRate</t>
    <phoneticPr fontId="5"/>
  </si>
  <si>
    <t>原価率</t>
    <rPh sb="0" eb="2">
      <t>ゲンカ</t>
    </rPh>
    <rPh sb="2" eb="3">
      <t>リツ</t>
    </rPh>
    <phoneticPr fontId="5"/>
  </si>
  <si>
    <t>numeric</t>
    <phoneticPr fontId="5"/>
  </si>
  <si>
    <t>原価率
0 固定</t>
    <rPh sb="0" eb="2">
      <t>ゲンカ</t>
    </rPh>
    <rPh sb="2" eb="3">
      <t>リツ</t>
    </rPh>
    <rPh sb="6" eb="8">
      <t>コテイ</t>
    </rPh>
    <phoneticPr fontId="5"/>
  </si>
  <si>
    <t>TaxFreeType</t>
    <phoneticPr fontId="5"/>
  </si>
  <si>
    <t>消費税免税タイプ</t>
    <rPh sb="0" eb="3">
      <t>ショウヒゼイ</t>
    </rPh>
    <rPh sb="3" eb="5">
      <t>メンゼイ</t>
    </rPh>
    <phoneticPr fontId="5"/>
  </si>
  <si>
    <t>免税販売時、対象商品の免税種別を設定する</t>
    <rPh sb="0" eb="2">
      <t>メンゼイ</t>
    </rPh>
    <rPh sb="2" eb="4">
      <t>ハンバイ</t>
    </rPh>
    <rPh sb="4" eb="5">
      <t>ジ</t>
    </rPh>
    <rPh sb="6" eb="8">
      <t>タイショウ</t>
    </rPh>
    <rPh sb="8" eb="10">
      <t>ショウヒン</t>
    </rPh>
    <rPh sb="11" eb="13">
      <t>メンゼイ</t>
    </rPh>
    <rPh sb="13" eb="15">
      <t>シュベツ</t>
    </rPh>
    <rPh sb="16" eb="18">
      <t>セッテイ</t>
    </rPh>
    <phoneticPr fontId="5"/>
  </si>
  <si>
    <t>　NULL：上位参照
　1：消耗品
　2：一般品</t>
    <rPh sb="6" eb="8">
      <t>ジョウイ</t>
    </rPh>
    <rPh sb="8" eb="10">
      <t>サンショウ</t>
    </rPh>
    <rPh sb="14" eb="16">
      <t>ショウモウ</t>
    </rPh>
    <rPh sb="16" eb="17">
      <t>ヒン</t>
    </rPh>
    <rPh sb="21" eb="23">
      <t>イッパン</t>
    </rPh>
    <rPh sb="23" eb="24">
      <t>シナ</t>
    </rPh>
    <phoneticPr fontId="5"/>
  </si>
  <si>
    <t>（未使用） NULL</t>
    <phoneticPr fontId="4"/>
  </si>
  <si>
    <t>商品マスタ　《ItemMaster》</t>
    <phoneticPr fontId="5"/>
  </si>
  <si>
    <t>店舗コード</t>
    <rPh sb="0" eb="2">
      <t>テンポ</t>
    </rPh>
    <phoneticPr fontId="5"/>
  </si>
  <si>
    <t>ItemCode</t>
    <phoneticPr fontId="5"/>
  </si>
  <si>
    <t>単品コード</t>
  </si>
  <si>
    <t>商品コード
商品登録時の検索、画面/レシートへの表示に使用</t>
    <rPh sb="0" eb="2">
      <t>ショウヒン</t>
    </rPh>
    <rPh sb="6" eb="8">
      <t>ショウヒン</t>
    </rPh>
    <rPh sb="8" eb="10">
      <t>トウロク</t>
    </rPh>
    <rPh sb="10" eb="11">
      <t>ジ</t>
    </rPh>
    <rPh sb="12" eb="14">
      <t>ケンサク</t>
    </rPh>
    <rPh sb="15" eb="17">
      <t>ガメン</t>
    </rPh>
    <rPh sb="24" eb="26">
      <t>ヒョウジ</t>
    </rPh>
    <rPh sb="27" eb="29">
      <t>シヨウ</t>
    </rPh>
    <phoneticPr fontId="5"/>
  </si>
  <si>
    <t>右から13桁を取得して、セット
242_商品マスタ.PLUコード
289_代替JAN.PLUコード
※コード体系によってセットの仕方は変わらないか確認
・UPCE、UPCAとか</t>
    <phoneticPr fontId="4"/>
  </si>
  <si>
    <t>商品情報が適用される営業日を設定する</t>
    <rPh sb="0" eb="2">
      <t>ショウヒン</t>
    </rPh>
    <rPh sb="2" eb="4">
      <t>ジョウホウ</t>
    </rPh>
    <rPh sb="5" eb="7">
      <t>テキヨウ</t>
    </rPh>
    <rPh sb="10" eb="13">
      <t>エイギョウビ</t>
    </rPh>
    <rPh sb="14" eb="16">
      <t>セッテイ</t>
    </rPh>
    <phoneticPr fontId="5"/>
  </si>
  <si>
    <t>確認要
予約が発生するか
24:00をまたぐ可能性があるか？
営業日付でくるのか？</t>
    <rPh sb="0" eb="3">
      <t>カクニンヨウ</t>
    </rPh>
    <rPh sb="4" eb="6">
      <t>ヨヤク</t>
    </rPh>
    <rPh sb="7" eb="9">
      <t>ハッセイ</t>
    </rPh>
    <rPh sb="22" eb="25">
      <t>カノウセイ</t>
    </rPh>
    <rPh sb="31" eb="33">
      <t>エイギョウ</t>
    </rPh>
    <rPh sb="33" eb="35">
      <t>ヒヅケ</t>
    </rPh>
    <phoneticPr fontId="5"/>
  </si>
  <si>
    <t>商品の分類コードを設定する</t>
    <rPh sb="0" eb="2">
      <t>ショウヒン</t>
    </rPh>
    <rPh sb="3" eb="5">
      <t>ブンルイ</t>
    </rPh>
    <rPh sb="9" eb="11">
      <t>セッテイ</t>
    </rPh>
    <phoneticPr fontId="5"/>
  </si>
  <si>
    <t>分類レベル="4"：分類の分類コード</t>
    <rPh sb="0" eb="2">
      <t>ブンルイ</t>
    </rPh>
    <rPh sb="10" eb="12">
      <t>ブンルイ</t>
    </rPh>
    <rPh sb="13" eb="15">
      <t>ブンルイ</t>
    </rPh>
    <phoneticPr fontId="5"/>
  </si>
  <si>
    <t>分類レベル="4"：CLASSの分類コード</t>
    <rPh sb="0" eb="2">
      <t>ブンルイ</t>
    </rPh>
    <rPh sb="16" eb="18">
      <t>ブンルイ</t>
    </rPh>
    <phoneticPr fontId="5"/>
  </si>
  <si>
    <t>分類レベル = "3"：デパートメント＆カテゴリ（6桁）
※242_商品マスタ.デパートメントコードカテゴリコード</t>
    <rPh sb="0" eb="2">
      <t>ブンルイ</t>
    </rPh>
    <phoneticPr fontId="4"/>
  </si>
  <si>
    <t>MyCompanyCode</t>
    <phoneticPr fontId="5"/>
  </si>
  <si>
    <t>商品コード</t>
    <rPh sb="0" eb="2">
      <t>ショウヒン</t>
    </rPh>
    <phoneticPr fontId="5"/>
  </si>
  <si>
    <t>自社コード
カスミ様の商品管理コードを設定する</t>
    <rPh sb="0" eb="2">
      <t>ジシャ</t>
    </rPh>
    <rPh sb="9" eb="10">
      <t>サマ</t>
    </rPh>
    <rPh sb="11" eb="13">
      <t>ショウヒン</t>
    </rPh>
    <rPh sb="13" eb="15">
      <t>カンリ</t>
    </rPh>
    <rPh sb="19" eb="21">
      <t>セッテイ</t>
    </rPh>
    <phoneticPr fontId="5"/>
  </si>
  <si>
    <t>13桁（前0埋め）例："0000000578311"
マルエツ様のSKUコードを設定する
※JAN-JANで登録している場合JANを設定する</t>
    <phoneticPr fontId="4"/>
  </si>
  <si>
    <t>242_商品マスタ.商品コード</t>
    <phoneticPr fontId="4"/>
  </si>
  <si>
    <t>ParentItemCode</t>
    <phoneticPr fontId="5"/>
  </si>
  <si>
    <t>親JANコード</t>
    <rPh sb="0" eb="1">
      <t>オヤ</t>
    </rPh>
    <phoneticPr fontId="5"/>
  </si>
  <si>
    <t>単品コードの親JAN情報</t>
    <rPh sb="0" eb="2">
      <t>タンピン</t>
    </rPh>
    <rPh sb="6" eb="7">
      <t>オヤ</t>
    </rPh>
    <rPh sb="10" eb="12">
      <t>ジョウホウ</t>
    </rPh>
    <phoneticPr fontId="5"/>
  </si>
  <si>
    <t>242_商品マスタ.PLUコード
289_代替JAN.代表PLUコード
右から13桁を取得して、セット
代替JANからのIFするときは、代表PLUをセットする</t>
    <phoneticPr fontId="4"/>
  </si>
  <si>
    <t>商品の名称を設定する
画面、レシート、ラインディスプレイにて使用</t>
    <rPh sb="0" eb="2">
      <t>ショウヒン</t>
    </rPh>
    <rPh sb="3" eb="5">
      <t>メイショウ</t>
    </rPh>
    <rPh sb="6" eb="8">
      <t>セッテイ</t>
    </rPh>
    <phoneticPr fontId="5"/>
  </si>
  <si>
    <t>242_商品マスタ.レシート漢字</t>
    <rPh sb="14" eb="16">
      <t>カンジ</t>
    </rPh>
    <phoneticPr fontId="4"/>
  </si>
  <si>
    <r>
      <t>簡略説明　（</t>
    </r>
    <r>
      <rPr>
        <strike/>
        <sz val="11"/>
        <rFont val="ＭＳ Ｐゴシック"/>
        <family val="3"/>
        <charset val="128"/>
      </rPr>
      <t>レシート、</t>
    </r>
    <r>
      <rPr>
        <sz val="11"/>
        <rFont val="ＭＳ Ｐゴシック"/>
        <family val="3"/>
        <charset val="128"/>
      </rPr>
      <t>ラインディスプレイ（半角カナ用）にて使用）</t>
    </r>
    <rPh sb="25" eb="26">
      <t>ヨウ</t>
    </rPh>
    <phoneticPr fontId="5"/>
  </si>
  <si>
    <t>商品の名称を設定する
ラインディスプレイ（半角カナ用）にて使用</t>
    <phoneticPr fontId="5"/>
  </si>
  <si>
    <r>
      <t xml:space="preserve">242_商品マスタ.レシートカナ（28）
</t>
    </r>
    <r>
      <rPr>
        <b/>
        <sz val="11"/>
        <color rgb="FFFF0000"/>
        <rFont val="ＭＳ Ｐゴシック"/>
        <family val="3"/>
        <charset val="128"/>
      </rPr>
      <t>桁数超過注意（２８）</t>
    </r>
    <rPh sb="21" eb="23">
      <t>ケタスウ</t>
    </rPh>
    <rPh sb="23" eb="25">
      <t>チョウカ</t>
    </rPh>
    <rPh sb="25" eb="27">
      <t>チュウイ</t>
    </rPh>
    <phoneticPr fontId="4"/>
  </si>
  <si>
    <t>DescriptionLong</t>
  </si>
  <si>
    <t>詳細説明　（レポートにて使用）</t>
  </si>
  <si>
    <t>商品の名称を設定する
レポートにて使用</t>
    <phoneticPr fontId="5"/>
  </si>
  <si>
    <t>商品の名称を設定する
レポートにて使用</t>
    <phoneticPr fontId="4"/>
  </si>
  <si>
    <t>242_商品マスタ.商品名漢字</t>
    <rPh sb="4" eb="6">
      <t>ショウヒン</t>
    </rPh>
    <phoneticPr fontId="4"/>
  </si>
  <si>
    <t>SubDescription</t>
    <phoneticPr fontId="5"/>
  </si>
  <si>
    <t>補足説明　(規格)</t>
  </si>
  <si>
    <t>NULL固定</t>
    <phoneticPr fontId="4"/>
  </si>
  <si>
    <t>242_商品マスタ.PLU種別</t>
    <phoneticPr fontId="4"/>
  </si>
  <si>
    <t>Manufacturer</t>
    <phoneticPr fontId="5"/>
  </si>
  <si>
    <t>メーカー</t>
  </si>
  <si>
    <t>UnitPrice</t>
  </si>
  <si>
    <t>単価</t>
  </si>
  <si>
    <t>money</t>
  </si>
  <si>
    <t>商品の販売単価を設定する</t>
    <rPh sb="0" eb="2">
      <t>ショウヒン</t>
    </rPh>
    <rPh sb="3" eb="5">
      <t>ハンバイ</t>
    </rPh>
    <rPh sb="5" eb="7">
      <t>タンカ</t>
    </rPh>
    <rPh sb="8" eb="10">
      <t>セッテイ</t>
    </rPh>
    <phoneticPr fontId="5"/>
  </si>
  <si>
    <t>※現在売価</t>
    <phoneticPr fontId="4"/>
  </si>
  <si>
    <t>242_商品マスタ.売価</t>
    <rPh sb="10" eb="12">
      <t>バイカ</t>
    </rPh>
    <phoneticPr fontId="4"/>
  </si>
  <si>
    <t>HeadquartersIndicationPrice</t>
  </si>
  <si>
    <t>本部指示売価</t>
  </si>
  <si>
    <t>（未使用）</t>
  </si>
  <si>
    <t>常に税抜き</t>
    <rPh sb="0" eb="1">
      <t>ツネ</t>
    </rPh>
    <rPh sb="2" eb="3">
      <t>ゼイ</t>
    </rPh>
    <rPh sb="3" eb="4">
      <t>ヌ</t>
    </rPh>
    <phoneticPr fontId="5"/>
  </si>
  <si>
    <t>NULL固定</t>
    <rPh sb="4" eb="6">
      <t>コテイ</t>
    </rPh>
    <phoneticPr fontId="4"/>
  </si>
  <si>
    <t>CostPrice</t>
  </si>
  <si>
    <t>原価</t>
  </si>
  <si>
    <t>商品の原価を設定する。
原価額ではなく原価率で管理する場合はNULLとする
※原価、値入率が未設定(NULL)の場合、分類マスタの値入率が採用される</t>
    <rPh sb="0" eb="2">
      <t>ショウヒン</t>
    </rPh>
    <rPh sb="3" eb="5">
      <t>ゲンカ</t>
    </rPh>
    <rPh sb="6" eb="8">
      <t>セッテイ</t>
    </rPh>
    <rPh sb="12" eb="14">
      <t>ゲンカ</t>
    </rPh>
    <rPh sb="14" eb="15">
      <t>ガク</t>
    </rPh>
    <rPh sb="19" eb="21">
      <t>ゲンカ</t>
    </rPh>
    <rPh sb="21" eb="22">
      <t>リツ</t>
    </rPh>
    <rPh sb="23" eb="25">
      <t>カンリ</t>
    </rPh>
    <rPh sb="27" eb="29">
      <t>バアイ</t>
    </rPh>
    <rPh sb="59" eb="61">
      <t>ブンルイ</t>
    </rPh>
    <phoneticPr fontId="5"/>
  </si>
  <si>
    <t>粗利率を設定する（100-原価率)
原価率ではなく原価額で管理する場合はNULLとする
※原価、値入率が未設定(NULL)の場合、分類マスタの値入率が採用される</t>
    <rPh sb="20" eb="21">
      <t>リツ</t>
    </rPh>
    <rPh sb="27" eb="28">
      <t>ガク</t>
    </rPh>
    <rPh sb="65" eb="67">
      <t>ブンルイ</t>
    </rPh>
    <phoneticPr fontId="5"/>
  </si>
  <si>
    <t>税率セットの定義コードを設定する
０１：外税８％
０２：内税８％
０３：非課税
１１：外税１０％
１２：内税１０％
３１：外税８％（返品用）
３２：内税８％（返品用）</t>
    <phoneticPr fontId="5"/>
  </si>
  <si>
    <t>242_商品マスタ.税区分&amp;税率1を変換表で編集
富士通側から見ると標準仕様準拠</t>
    <rPh sb="4" eb="6">
      <t>ショウヒン</t>
    </rPh>
    <rPh sb="18" eb="20">
      <t>ヘンカン</t>
    </rPh>
    <rPh sb="20" eb="21">
      <t>ヒョウ</t>
    </rPh>
    <rPh sb="22" eb="24">
      <t>ヘンシュウ</t>
    </rPh>
    <rPh sb="25" eb="28">
      <t>フジツウ</t>
    </rPh>
    <rPh sb="28" eb="29">
      <t>ガワ</t>
    </rPh>
    <rPh sb="31" eb="32">
      <t>ミ</t>
    </rPh>
    <rPh sb="34" eb="36">
      <t>ヒョウジュン</t>
    </rPh>
    <rPh sb="36" eb="38">
      <t>シヨウ</t>
    </rPh>
    <rPh sb="38" eb="40">
      <t>ジュンキョ</t>
    </rPh>
    <phoneticPr fontId="4"/>
  </si>
  <si>
    <t>TaxConvertType</t>
    <phoneticPr fontId="5"/>
  </si>
  <si>
    <t>税変換種別</t>
    <rPh sb="0" eb="1">
      <t>ゼイ</t>
    </rPh>
    <rPh sb="1" eb="3">
      <t>ヘンカン</t>
    </rPh>
    <rPh sb="3" eb="5">
      <t>シュベツ</t>
    </rPh>
    <phoneticPr fontId="5"/>
  </si>
  <si>
    <t>税変換種別を設定する
0：変換なし　1：みなし内税</t>
    <rPh sb="6" eb="8">
      <t>セッテイ</t>
    </rPh>
    <rPh sb="13" eb="15">
      <t>ヘンカン</t>
    </rPh>
    <rPh sb="23" eb="25">
      <t>ウチゼイ</t>
    </rPh>
    <phoneticPr fontId="5"/>
  </si>
  <si>
    <t>0固定</t>
    <rPh sb="1" eb="3">
      <t>コテイ</t>
    </rPh>
    <phoneticPr fontId="5"/>
  </si>
  <si>
    <t>Volume</t>
    <phoneticPr fontId="5"/>
  </si>
  <si>
    <t>容量</t>
  </si>
  <si>
    <t>7, 0</t>
    <phoneticPr fontId="5"/>
  </si>
  <si>
    <t>242_商品マスタ..内容量</t>
    <rPh sb="11" eb="14">
      <t>ナイヨウリョウ</t>
    </rPh>
    <phoneticPr fontId="4"/>
  </si>
  <si>
    <t>NumberOfPiecesPerBox</t>
    <phoneticPr fontId="5"/>
  </si>
  <si>
    <t>入数</t>
  </si>
  <si>
    <t>5, 0</t>
    <phoneticPr fontId="5"/>
  </si>
  <si>
    <t>支払方法を現金に限定するか否かを設定する
　NULL：上位参照
　0：現金以外決済可
　1：現金以外決済不可</t>
    <phoneticPr fontId="5"/>
  </si>
  <si>
    <t>IsItemManualDiscountProhibition</t>
  </si>
  <si>
    <t>POS操作による値引を許可するか否かを設定する
　NULL：上位参照
　0：手動アイテム値引可
　1：手動アイテム値引不可</t>
    <phoneticPr fontId="5"/>
  </si>
  <si>
    <t>クーポン等による小計値引の対象とするか否かを設定する
　NULL：上位参照
　0：小計値引可
　1：小計値引不可</t>
    <phoneticPr fontId="5"/>
  </si>
  <si>
    <t>242_商品マスタ.値引禁止フラグ
左記セット（0:値引可能　1:値引禁止）
※MV関東では小計値引きがない？ →値引禁止フラグをセット
　 個々の商品に対する値引きの積み上げ</t>
    <phoneticPr fontId="4"/>
  </si>
  <si>
    <t>POS操作による売価変更を許可するか否かを設定する
　NULL：上位参照
　0：売価変更可
　1：売価変更不可</t>
    <phoneticPr fontId="5"/>
  </si>
  <si>
    <t>IsAutoDiscountProhibition</t>
    <phoneticPr fontId="4"/>
  </si>
  <si>
    <t>自動値引き不可フラグ</t>
  </si>
  <si>
    <t>分類レベルでの自動値引設定にて値引の対象外とするか否かを設定する</t>
    <rPh sb="0" eb="2">
      <t>ブンルイ</t>
    </rPh>
    <rPh sb="7" eb="9">
      <t>ジドウ</t>
    </rPh>
    <rPh sb="9" eb="11">
      <t>ネビキ</t>
    </rPh>
    <rPh sb="11" eb="13">
      <t>セッテイ</t>
    </rPh>
    <rPh sb="15" eb="17">
      <t>ネビキ</t>
    </rPh>
    <rPh sb="18" eb="21">
      <t>タイショウガイ</t>
    </rPh>
    <rPh sb="25" eb="26">
      <t>イナ</t>
    </rPh>
    <rPh sb="28" eb="30">
      <t>セッテイ</t>
    </rPh>
    <phoneticPr fontId="5"/>
  </si>
  <si>
    <r>
      <t>　0：自動値引き可
　1：自動値引き不可、</t>
    </r>
    <r>
      <rPr>
        <sz val="11"/>
        <color rgb="FFFF0000"/>
        <rFont val="ＭＳ Ｐゴシック"/>
        <family val="3"/>
        <charset val="128"/>
      </rPr>
      <t>朝割・メガ割</t>
    </r>
    <rPh sb="21" eb="22">
      <t>アサ</t>
    </rPh>
    <rPh sb="22" eb="23">
      <t>ワリ</t>
    </rPh>
    <rPh sb="26" eb="27">
      <t>ワリ</t>
    </rPh>
    <phoneticPr fontId="4"/>
  </si>
  <si>
    <r>
      <t>　0：自動値引き可
　1：自動値引き不可、</t>
    </r>
    <r>
      <rPr>
        <sz val="11"/>
        <color rgb="FFFF0000"/>
        <rFont val="ＭＳ Ｐゴシック"/>
        <family val="3"/>
        <charset val="128"/>
      </rPr>
      <t>品群割引除外</t>
    </r>
    <phoneticPr fontId="4"/>
  </si>
  <si>
    <t>固定値"0"をセット（確認要）</t>
    <phoneticPr fontId="4"/>
  </si>
  <si>
    <t>IsUnitPriceForced</t>
    <phoneticPr fontId="5"/>
  </si>
  <si>
    <t>単価強制入力フラグ</t>
    <phoneticPr fontId="5"/>
  </si>
  <si>
    <t>商品登録時、単価入力を求めるか否かを設定する
POS売価=0円は1を設定
POS売価=0円以外は0を設定</t>
    <rPh sb="0" eb="2">
      <t>ショウヒン</t>
    </rPh>
    <rPh sb="2" eb="4">
      <t>トウロク</t>
    </rPh>
    <rPh sb="4" eb="5">
      <t>ジ</t>
    </rPh>
    <rPh sb="6" eb="8">
      <t>タンカ</t>
    </rPh>
    <rPh sb="8" eb="10">
      <t>ニュウリョク</t>
    </rPh>
    <rPh sb="11" eb="12">
      <t>モト</t>
    </rPh>
    <rPh sb="15" eb="16">
      <t>イナ</t>
    </rPh>
    <rPh sb="18" eb="20">
      <t>セッテイ</t>
    </rPh>
    <phoneticPr fontId="5"/>
  </si>
  <si>
    <t>POS売価=0円は1を設定、POS売価=0円以外は0を設定</t>
    <rPh sb="3" eb="5">
      <t>バイカ</t>
    </rPh>
    <rPh sb="7" eb="8">
      <t>エン</t>
    </rPh>
    <rPh sb="11" eb="13">
      <t>セッテイ</t>
    </rPh>
    <rPh sb="17" eb="19">
      <t>バイカ</t>
    </rPh>
    <rPh sb="21" eb="22">
      <t>エン</t>
    </rPh>
    <rPh sb="22" eb="24">
      <t>イガイ</t>
    </rPh>
    <rPh sb="27" eb="29">
      <t>セッテイ</t>
    </rPh>
    <phoneticPr fontId="4"/>
  </si>
  <si>
    <t>対象商品販売時、ポイント付与対象から除外するか否かを設定する
　NULL：上位参照
　0：ポイント対象
　1：ポイント対象外</t>
    <phoneticPr fontId="5"/>
  </si>
  <si>
    <t>242_商品マスタ
WAONポイント対象外区分</t>
    <rPh sb="4" eb="6">
      <t>ショウヒン</t>
    </rPh>
    <rPh sb="18" eb="20">
      <t>タイショウ</t>
    </rPh>
    <rPh sb="20" eb="21">
      <t>ガイ</t>
    </rPh>
    <rPh sb="21" eb="23">
      <t>クブン</t>
    </rPh>
    <phoneticPr fontId="4"/>
  </si>
  <si>
    <t xml:space="preserve">設定ありで所属する分類にも販売制限商品区分が設定されている場合：《単品マスタ》の設定を採用
NULL：上位参照
1:分類なし
2:第1分類
3:指定第2分類
4:第2分類
5:第3分類
6:要指導
</t>
    <rPh sb="9" eb="11">
      <t>ブンルイ</t>
    </rPh>
    <rPh sb="95" eb="96">
      <t>ヨウ</t>
    </rPh>
    <rPh sb="96" eb="98">
      <t>シドウ</t>
    </rPh>
    <phoneticPr fontId="5"/>
  </si>
  <si>
    <r>
      <t xml:space="preserve"> 242_商品マスタ.薬事販売届出区分
0:対象外
1:薬事法：第１類医薬品
2:薬事法：第2類医薬品
3:薬事法：第3類医薬品
4:薬事法：指定医薬品
5:薬事法：要指導
6:薬事法：調剤
</t>
    </r>
    <r>
      <rPr>
        <sz val="11"/>
        <color rgb="FFFF0000"/>
        <rFont val="ＭＳ Ｐゴシック"/>
        <family val="3"/>
        <charset val="128"/>
      </rPr>
      <t>※０じゃないと売れないように制御を掛ける。</t>
    </r>
    <rPh sb="104" eb="105">
      <t>ウ</t>
    </rPh>
    <rPh sb="111" eb="113">
      <t>セイギョ</t>
    </rPh>
    <rPh sb="114" eb="115">
      <t>カ</t>
    </rPh>
    <phoneticPr fontId="4"/>
  </si>
  <si>
    <t>SalesAlertAge</t>
  </si>
  <si>
    <t>販売制限年齢区分</t>
    <phoneticPr fontId="5"/>
  </si>
  <si>
    <t>3,0</t>
    <phoneticPr fontId="5"/>
  </si>
  <si>
    <t>年齢制限を行う場合のみ制限する年齢
(設定ありで所属する分類にも販売制限年齢が設定されている場合：《単品マスタ》の設定を採用
NULL：上位参照
0の場合：年齢制限なし)</t>
    <rPh sb="28" eb="30">
      <t>ブンルイ</t>
    </rPh>
    <phoneticPr fontId="5"/>
  </si>
  <si>
    <t>セルフ警告表示対象の場合、20をセット</t>
    <rPh sb="3" eb="5">
      <t>ケイコク</t>
    </rPh>
    <rPh sb="5" eb="7">
      <t>ヒョウジ</t>
    </rPh>
    <rPh sb="7" eb="9">
      <t>タイショウ</t>
    </rPh>
    <rPh sb="10" eb="12">
      <t>バアイ</t>
    </rPh>
    <phoneticPr fontId="5"/>
  </si>
  <si>
    <t>セルフ警告表示対象の場合、20をセット</t>
    <phoneticPr fontId="4"/>
  </si>
  <si>
    <t xml:space="preserve"> 242_商品マスタ.予備１(身分証確認)
年齢確認設定フラグ（0:対象外　1:対象）。
1の場合、"20"をセット。</t>
    <phoneticPr fontId="4"/>
  </si>
  <si>
    <t>IsWarrantyReceiptPrint</t>
    <phoneticPr fontId="4"/>
  </si>
  <si>
    <t>対象商品販売時、保証書を発行するか否かを設定する
　0：発行しない
　1：発行する</t>
    <phoneticPr fontId="5"/>
  </si>
  <si>
    <t>「１：発行する」の場合にはスキャン抑止</t>
    <rPh sb="3" eb="5">
      <t>ハッコウ</t>
    </rPh>
    <rPh sb="9" eb="11">
      <t>バアイ</t>
    </rPh>
    <rPh sb="17" eb="19">
      <t>ヨクシ</t>
    </rPh>
    <phoneticPr fontId="4"/>
  </si>
  <si>
    <t xml:space="preserve"> 242_商品マスタ.たばこ区分
左記セット（0:対象外　1:対象）
MDBOの設計書によるとたばこ区分に保証書区分を設定しているようだ。</t>
    <phoneticPr fontId="4"/>
  </si>
  <si>
    <t>PriorityType</t>
    <phoneticPr fontId="5"/>
  </si>
  <si>
    <t>重点区分</t>
    <rPh sb="0" eb="2">
      <t>ジュウテン</t>
    </rPh>
    <rPh sb="2" eb="4">
      <t>クブン</t>
    </rPh>
    <phoneticPr fontId="5"/>
  </si>
  <si>
    <t>smallint</t>
  </si>
  <si>
    <t>重点対象商品か
　0：対象外
　1：対象</t>
    <rPh sb="0" eb="2">
      <t>ジュウテン</t>
    </rPh>
    <rPh sb="2" eb="4">
      <t>タイショウ</t>
    </rPh>
    <rPh sb="4" eb="6">
      <t>ショウヒン</t>
    </rPh>
    <rPh sb="11" eb="14">
      <t>タイショウガイ</t>
    </rPh>
    <rPh sb="18" eb="20">
      <t>タイショウ</t>
    </rPh>
    <phoneticPr fontId="5"/>
  </si>
  <si>
    <t xml:space="preserve"> 242_商品マスタ.予備3 (プライスウォッチ対象商品)
左記セット (0:対象外　1:対象)</t>
    <phoneticPr fontId="4"/>
  </si>
  <si>
    <t>免税販売時、対象商品の免税種別を設定する
　NULL：上位参照
　1：消耗品
　2：一般品</t>
    <phoneticPr fontId="5"/>
  </si>
  <si>
    <t>不要（NULL）</t>
    <rPh sb="0" eb="2">
      <t>フヨウ</t>
    </rPh>
    <phoneticPr fontId="78"/>
  </si>
  <si>
    <t>EmergencyFlag</t>
    <phoneticPr fontId="5"/>
  </si>
  <si>
    <t>緊急登録フラグ</t>
    <rPh sb="0" eb="2">
      <t>キンキュウ</t>
    </rPh>
    <rPh sb="2" eb="4">
      <t>トウロク</t>
    </rPh>
    <phoneticPr fontId="5"/>
  </si>
  <si>
    <t>緊急単品登録された商品か
0：緊急単品登録されていない　
1：緊急単品登録された</t>
    <rPh sb="2" eb="4">
      <t>タンピン</t>
    </rPh>
    <rPh sb="4" eb="6">
      <t>トウロク</t>
    </rPh>
    <rPh sb="9" eb="11">
      <t>ショウヒン</t>
    </rPh>
    <phoneticPr fontId="5"/>
  </si>
  <si>
    <t>固定値"0"をセット</t>
    <rPh sb="0" eb="2">
      <t>コテイ</t>
    </rPh>
    <rPh sb="2" eb="3">
      <t>チ</t>
    </rPh>
    <phoneticPr fontId="78"/>
  </si>
  <si>
    <t>IsSelfMedication</t>
    <phoneticPr fontId="5"/>
  </si>
  <si>
    <t>セルフメディケーションフラグ</t>
    <phoneticPr fontId="5"/>
  </si>
  <si>
    <t>セルフメディケーション
0：対象外
1：対象
NULL：対象外</t>
    <rPh sb="14" eb="16">
      <t>タイショウ</t>
    </rPh>
    <rPh sb="16" eb="17">
      <t>ガイ</t>
    </rPh>
    <rPh sb="28" eb="31">
      <t>タイショウガイ</t>
    </rPh>
    <phoneticPr fontId="5"/>
  </si>
  <si>
    <t>FreshItem</t>
    <phoneticPr fontId="5"/>
  </si>
  <si>
    <t>生鮮単品フラグ</t>
    <phoneticPr fontId="5"/>
  </si>
  <si>
    <t>0：通常　1：生鮮単品
売価一括変更機能で、1：生鮮単品の商品を対象にメンテナンスする</t>
    <rPh sb="2" eb="4">
      <t>ツウジョウ</t>
    </rPh>
    <rPh sb="7" eb="9">
      <t>セイセン</t>
    </rPh>
    <rPh sb="9" eb="11">
      <t>タンピン</t>
    </rPh>
    <phoneticPr fontId="5"/>
  </si>
  <si>
    <t>HeadquartersLastUpdateDateTime</t>
    <phoneticPr fontId="5"/>
  </si>
  <si>
    <t>本部配信データとしての最終更新日時</t>
    <rPh sb="15" eb="17">
      <t>ニチジ</t>
    </rPh>
    <phoneticPr fontId="5"/>
  </si>
  <si>
    <t>datetime2</t>
    <phoneticPr fontId="5"/>
  </si>
  <si>
    <t>本部での登録日時</t>
    <phoneticPr fontId="4"/>
  </si>
  <si>
    <t>企画マスタ　《ServiceIdeaMaster》</t>
    <phoneticPr fontId="5"/>
  </si>
  <si>
    <r>
      <t xml:space="preserve">カスミ様
</t>
    </r>
    <r>
      <rPr>
        <b/>
        <sz val="12"/>
        <color rgb="FFFF0000"/>
        <rFont val="ＭＳ Ｐゴシック"/>
        <family val="3"/>
        <charset val="128"/>
      </rPr>
      <t>(連携対象:未使用)</t>
    </r>
    <rPh sb="3" eb="4">
      <t>サマ</t>
    </rPh>
    <rPh sb="6" eb="8">
      <t>レンケイ</t>
    </rPh>
    <rPh sb="8" eb="10">
      <t>タイショウ</t>
    </rPh>
    <rPh sb="11" eb="14">
      <t>ミシヨウ</t>
    </rPh>
    <phoneticPr fontId="5"/>
  </si>
  <si>
    <t>-</t>
  </si>
  <si>
    <t>0：登録（新規／更新）／再開、
1：削除／中断、 2：洗い替え</t>
    <rPh sb="12" eb="14">
      <t>サイカイ</t>
    </rPh>
    <rPh sb="21" eb="23">
      <t>チュウダン</t>
    </rPh>
    <phoneticPr fontId="5"/>
  </si>
  <si>
    <t>（テーブル自体未使用）</t>
    <rPh sb="5" eb="7">
      <t>ジタイ</t>
    </rPh>
    <rPh sb="7" eb="10">
      <t>ミシヨウ</t>
    </rPh>
    <phoneticPr fontId="4"/>
  </si>
  <si>
    <t>（テーブル自体未使用）</t>
    <phoneticPr fontId="4"/>
  </si>
  <si>
    <t>CompanyCode</t>
  </si>
  <si>
    <t>（テーブル自体未使用）</t>
    <rPh sb="5" eb="7">
      <t>ジタイ</t>
    </rPh>
    <rPh sb="7" eb="10">
      <t>ミシヨウ</t>
    </rPh>
    <phoneticPr fontId="5"/>
  </si>
  <si>
    <t>StoreCode</t>
  </si>
  <si>
    <t>PromotionCode</t>
  </si>
  <si>
    <r>
      <t>企画</t>
    </r>
    <r>
      <rPr>
        <sz val="11"/>
        <color indexed="8"/>
        <rFont val="ＭＳ Ｐゴシック"/>
        <family val="3"/>
        <charset val="128"/>
      </rPr>
      <t>コード</t>
    </r>
    <rPh sb="0" eb="2">
      <t>キカク</t>
    </rPh>
    <phoneticPr fontId="5"/>
  </si>
  <si>
    <t>説明(企画名称）</t>
    <rPh sb="3" eb="5">
      <t>キカク</t>
    </rPh>
    <rPh sb="5" eb="7">
      <t>メイショウ</t>
    </rPh>
    <phoneticPr fontId="5"/>
  </si>
  <si>
    <t>EntryArea</t>
  </si>
  <si>
    <t>登録元区分</t>
    <rPh sb="0" eb="2">
      <t>トウロク</t>
    </rPh>
    <rPh sb="2" eb="3">
      <t>モト</t>
    </rPh>
    <rPh sb="3" eb="5">
      <t>クブン</t>
    </rPh>
    <phoneticPr fontId="5"/>
  </si>
  <si>
    <t>１：本部
２：店舗</t>
  </si>
  <si>
    <t>StartDateTime</t>
  </si>
  <si>
    <t>開始日時</t>
  </si>
  <si>
    <t>datetime2</t>
  </si>
  <si>
    <t>"YYYY-MM-DD hh:mm:ss.sssssss"の形式で設定する</t>
  </si>
  <si>
    <t>EndDateTime</t>
  </si>
  <si>
    <t>終了日時</t>
  </si>
  <si>
    <t>HeadquartersLastUpdateDateTime</t>
  </si>
  <si>
    <t>（テーブル自体未使用）</t>
  </si>
  <si>
    <t>強制売価マスタ　《ForcePriceMaster》</t>
    <phoneticPr fontId="5"/>
  </si>
  <si>
    <t>マルエツ様
（未使用）</t>
    <rPh sb="4" eb="5">
      <t>サマ</t>
    </rPh>
    <phoneticPr fontId="5"/>
  </si>
  <si>
    <t>MV関東様
（未使用）</t>
    <rPh sb="2" eb="4">
      <t>カントウ</t>
    </rPh>
    <rPh sb="4" eb="5">
      <t>サマ</t>
    </rPh>
    <rPh sb="7" eb="10">
      <t>ミシヨウ</t>
    </rPh>
    <phoneticPr fontId="5"/>
  </si>
  <si>
    <t>0：登録（新規／更新）／再開、1：削除／中断、 2：洗い替え</t>
    <rPh sb="12" eb="14">
      <t>サイカイ</t>
    </rPh>
    <rPh sb="20" eb="22">
      <t>チュウダン</t>
    </rPh>
    <phoneticPr fontId="5"/>
  </si>
  <si>
    <t>ScheduleNo</t>
  </si>
  <si>
    <t>スケジュール番号</t>
    <rPh sb="6" eb="8">
      <t>バンゴウ</t>
    </rPh>
    <phoneticPr fontId="59"/>
  </si>
  <si>
    <t>企画コード</t>
    <rPh sb="0" eb="2">
      <t>キカク</t>
    </rPh>
    <phoneticPr fontId="5"/>
  </si>
  <si>
    <t>ItemCode</t>
  </si>
  <si>
    <t>単品コード</t>
    <rPh sb="0" eb="2">
      <t>タンピン</t>
    </rPh>
    <phoneticPr fontId="4"/>
  </si>
  <si>
    <t>対象となる単品コードを設定する</t>
    <rPh sb="5" eb="7">
      <t>タンピン</t>
    </rPh>
    <phoneticPr fontId="5"/>
  </si>
  <si>
    <t>ForcePrice</t>
  </si>
  <si>
    <t>強制売価値段</t>
    <rPh sb="0" eb="2">
      <t>キョウセイ</t>
    </rPh>
    <rPh sb="2" eb="4">
      <t>バイカ</t>
    </rPh>
    <phoneticPr fontId="59"/>
  </si>
  <si>
    <t>緊急売価を設定する。</t>
    <rPh sb="5" eb="7">
      <t>セッテイ</t>
    </rPh>
    <phoneticPr fontId="4"/>
  </si>
  <si>
    <t>緊急売価販売の開始日（システム日付）を設定する
"YYYY-MM-DD hh:mm:ss.sssssss"の形式で設定する</t>
  </si>
  <si>
    <t>緊急売価販売の終了日（システム日付）を設定する
"YYYY-MM-DD hh:mm:ss.sssssss"の形式で設定する</t>
  </si>
  <si>
    <t>特売マスタ　《SpecialPriceKsmMaster》</t>
    <phoneticPr fontId="5"/>
  </si>
  <si>
    <t>マルエツ様
（対象外）</t>
    <rPh sb="4" eb="5">
      <t>サマ</t>
    </rPh>
    <rPh sb="7" eb="10">
      <t>タイショウガイ</t>
    </rPh>
    <phoneticPr fontId="5"/>
  </si>
  <si>
    <t>278_特売マスタ.店コード(10桁)</t>
    <rPh sb="17" eb="18">
      <t>ケタ</t>
    </rPh>
    <phoneticPr fontId="4"/>
  </si>
  <si>
    <t>スケジュール番号</t>
    <rPh sb="6" eb="8">
      <t>バンゴウ</t>
    </rPh>
    <phoneticPr fontId="4"/>
  </si>
  <si>
    <t>販促のスケジュール番号</t>
    <rPh sb="0" eb="2">
      <t>ハンソク</t>
    </rPh>
    <rPh sb="9" eb="11">
      <t>バンゴウ</t>
    </rPh>
    <phoneticPr fontId="4"/>
  </si>
  <si>
    <t>278_特売マスタ.プロモーション番号(13桁)
ホスト側の桁数が長い（富士通様拡張）</t>
    <rPh sb="22" eb="23">
      <t>ケタ</t>
    </rPh>
    <phoneticPr fontId="4"/>
  </si>
  <si>
    <t>販促コード</t>
  </si>
  <si>
    <t>特売を管理する企画コードを設定する</t>
  </si>
  <si>
    <t>固定値 [99000] をセット</t>
    <phoneticPr fontId="4"/>
  </si>
  <si>
    <t>SpecialPriceTypeCode</t>
  </si>
  <si>
    <t>特売タイプコード</t>
    <rPh sb="0" eb="2">
      <t>トクバイ</t>
    </rPh>
    <phoneticPr fontId="4"/>
  </si>
  <si>
    <t>特売タイプを設定する
01：タイムサービス
02：期間特売</t>
    <rPh sb="0" eb="2">
      <t>トクバイ</t>
    </rPh>
    <rPh sb="6" eb="8">
      <t>セッテイ</t>
    </rPh>
    <phoneticPr fontId="4"/>
  </si>
  <si>
    <t>固定値[01]をセット</t>
    <rPh sb="0" eb="3">
      <t>コテイチ</t>
    </rPh>
    <phoneticPr fontId="4"/>
  </si>
  <si>
    <t>278_特売マスタ.PLUコード[13桁]</t>
    <rPh sb="19" eb="20">
      <t>ケタ</t>
    </rPh>
    <phoneticPr fontId="4"/>
  </si>
  <si>
    <t>DiscountMethodCode</t>
  </si>
  <si>
    <t>値引方法コード</t>
    <rPh sb="0" eb="2">
      <t>ネビ</t>
    </rPh>
    <phoneticPr fontId="5"/>
  </si>
  <si>
    <t>値引方法コードを設定する
　01：値引
　02：割引
　03：金額指定</t>
    <rPh sb="0" eb="2">
      <t>ネビキ</t>
    </rPh>
    <rPh sb="2" eb="4">
      <t>ホウホウ</t>
    </rPh>
    <rPh sb="8" eb="10">
      <t>セッテイ</t>
    </rPh>
    <rPh sb="17" eb="19">
      <t>ネビキ</t>
    </rPh>
    <rPh sb="24" eb="26">
      <t>ワリビキ</t>
    </rPh>
    <rPh sb="31" eb="33">
      <t>キンガク</t>
    </rPh>
    <rPh sb="33" eb="35">
      <t>シテイ</t>
    </rPh>
    <phoneticPr fontId="5"/>
  </si>
  <si>
    <t>固定値[03]</t>
    <rPh sb="0" eb="3">
      <t>コテイチ</t>
    </rPh>
    <phoneticPr fontId="4"/>
  </si>
  <si>
    <t>DiscountValue</t>
  </si>
  <si>
    <t>値引金額/率</t>
  </si>
  <si>
    <t>特売商品販売時の販売単価/値引額/率（値引方法コードにより金額/割引率で意味が変わります）</t>
    <rPh sb="0" eb="2">
      <t>トクバイ</t>
    </rPh>
    <rPh sb="2" eb="4">
      <t>ショウヒン</t>
    </rPh>
    <rPh sb="4" eb="6">
      <t>ハンバイ</t>
    </rPh>
    <rPh sb="6" eb="7">
      <t>ドキ</t>
    </rPh>
    <rPh sb="8" eb="10">
      <t>ハンバイ</t>
    </rPh>
    <rPh sb="10" eb="12">
      <t>タンカ</t>
    </rPh>
    <rPh sb="13" eb="15">
      <t>ネビキ</t>
    </rPh>
    <rPh sb="15" eb="16">
      <t>ガク</t>
    </rPh>
    <rPh sb="17" eb="18">
      <t>リツ</t>
    </rPh>
    <rPh sb="19" eb="21">
      <t>ネビキ</t>
    </rPh>
    <rPh sb="21" eb="23">
      <t>ホウホウ</t>
    </rPh>
    <rPh sb="29" eb="31">
      <t>キンガク</t>
    </rPh>
    <rPh sb="32" eb="34">
      <t>ワリビキ</t>
    </rPh>
    <rPh sb="34" eb="35">
      <t>リツ</t>
    </rPh>
    <rPh sb="36" eb="38">
      <t>イミ</t>
    </rPh>
    <rPh sb="39" eb="40">
      <t>カ</t>
    </rPh>
    <phoneticPr fontId="5"/>
  </si>
  <si>
    <t>278_特売マスタ.特売売価(10桁)</t>
    <rPh sb="10" eb="12">
      <t>トクバイ</t>
    </rPh>
    <rPh sb="12" eb="14">
      <t>バイカ</t>
    </rPh>
    <rPh sb="17" eb="18">
      <t>ケタ</t>
    </rPh>
    <phoneticPr fontId="4"/>
  </si>
  <si>
    <t>SpecialPrice</t>
  </si>
  <si>
    <t>特売値段</t>
  </si>
  <si>
    <t>値引方法コードが01：値引、02：割引の場合、0を設定</t>
    <rPh sb="11" eb="13">
      <t>ネビキ</t>
    </rPh>
    <rPh sb="17" eb="19">
      <t>ワリビキ</t>
    </rPh>
    <rPh sb="20" eb="22">
      <t>バアイ</t>
    </rPh>
    <rPh sb="25" eb="27">
      <t>セッテイ</t>
    </rPh>
    <phoneticPr fontId="5"/>
  </si>
  <si>
    <t>SpecialCostPrice</t>
  </si>
  <si>
    <t>特売原価</t>
    <rPh sb="0" eb="2">
      <t>トクバイ</t>
    </rPh>
    <rPh sb="2" eb="4">
      <t>ゲンカ</t>
    </rPh>
    <phoneticPr fontId="5"/>
  </si>
  <si>
    <t>特売商品の原価を設定する。
原価額ではなく値入率で管理する場合はNULLとする
※特売原価、特売値入率が未設定(NULL)の場合、商品マスタの原価、値入率が採用される</t>
    <rPh sb="21" eb="23">
      <t>ネイレ</t>
    </rPh>
    <rPh sb="23" eb="24">
      <t>リツ</t>
    </rPh>
    <rPh sb="41" eb="43">
      <t>トクバイ</t>
    </rPh>
    <rPh sb="46" eb="48">
      <t>トクバイ</t>
    </rPh>
    <rPh sb="48" eb="49">
      <t>ネ</t>
    </rPh>
    <rPh sb="49" eb="50">
      <t>イ</t>
    </rPh>
    <rPh sb="50" eb="51">
      <t>リツ</t>
    </rPh>
    <rPh sb="74" eb="75">
      <t>ネ</t>
    </rPh>
    <rPh sb="75" eb="76">
      <t>イ</t>
    </rPh>
    <rPh sb="76" eb="77">
      <t>リツ</t>
    </rPh>
    <phoneticPr fontId="5"/>
  </si>
  <si>
    <t>不要（NULL)</t>
    <rPh sb="0" eb="2">
      <t>フヨウ</t>
    </rPh>
    <phoneticPr fontId="4"/>
  </si>
  <si>
    <t>SpecialMarkupRatio</t>
  </si>
  <si>
    <t>特売値入率</t>
    <rPh sb="0" eb="2">
      <t>トクバイ</t>
    </rPh>
    <rPh sb="3" eb="4">
      <t>ハイ</t>
    </rPh>
    <rPh sb="4" eb="5">
      <t>リツ</t>
    </rPh>
    <phoneticPr fontId="5"/>
  </si>
  <si>
    <t>5, 2</t>
  </si>
  <si>
    <t>特売商品の粗利率を設定する（100-原価率)
値入率ではなく原価額で管理する場合はNULLとする
※特売原価、特売値入率が未設定(NULL)の場合、商品マスタの原価、値入率が採用される</t>
    <rPh sb="23" eb="25">
      <t>ネイレ</t>
    </rPh>
    <phoneticPr fontId="5"/>
  </si>
  <si>
    <t>Name</t>
  </si>
  <si>
    <t>名称</t>
  </si>
  <si>
    <t>特売商品の名称を設定する
画面、レシートにて使用</t>
    <rPh sb="0" eb="2">
      <t>トクバイ</t>
    </rPh>
    <rPh sb="2" eb="4">
      <t>ショウヒン</t>
    </rPh>
    <rPh sb="5" eb="7">
      <t>メイショウ</t>
    </rPh>
    <rPh sb="8" eb="10">
      <t>セッテイ</t>
    </rPh>
    <rPh sb="13" eb="15">
      <t>ガメン</t>
    </rPh>
    <rPh sb="22" eb="24">
      <t>シヨウ</t>
    </rPh>
    <phoneticPr fontId="5"/>
  </si>
  <si>
    <t>278_特売マスタ.プロモーション名(40桁)</t>
    <rPh sb="4" eb="6">
      <t>トクバイ</t>
    </rPh>
    <rPh sb="21" eb="22">
      <t>ケタ</t>
    </rPh>
    <phoneticPr fontId="4"/>
  </si>
  <si>
    <t>特売販売の開始日時（システム日時）を設定する_x000D_
"YYYY-MM-DD hh:mm:ss.sssssss"の形式で設定する</t>
  </si>
  <si>
    <t>278_特売マスタ.特売期間開始日　タイムサービス開始時間
"YYYY-MM-DD hh:mm:ss.ss.ss"の形式でセット</t>
    <phoneticPr fontId="4"/>
  </si>
  <si>
    <t>特売販売の終了日時（システム日時）を設定する_x000D_
"YYYY-MM-DD hh:mm:ss.sssssss"の形式で設定する</t>
  </si>
  <si>
    <t>278_特売マスタ.特売期間終了日　タイムサービス終了時間
"YYYY-MM-DD hh:mm:ss.ss.ss"の形式でセット　23:58:00</t>
    <phoneticPr fontId="4"/>
  </si>
  <si>
    <t>DateCategorizeTypeCode</t>
  </si>
  <si>
    <t>採用曜日区分</t>
  </si>
  <si>
    <t>1：全曜日
2：曜日指定
※2以外の場合、月曜日フラグ～日曜日フラグの内容は無視する</t>
  </si>
  <si>
    <t>固定値"1"をセット</t>
  </si>
  <si>
    <t>IsMonday</t>
  </si>
  <si>
    <t>月曜日実施フラグ</t>
  </si>
  <si>
    <t>特売期間の内、月曜日に特売を行うか否かを設定する
　0：未実施
　1：実施</t>
    <rPh sb="0" eb="2">
      <t>トクバイ</t>
    </rPh>
    <rPh sb="2" eb="4">
      <t>キカン</t>
    </rPh>
    <rPh sb="5" eb="6">
      <t>ウチ</t>
    </rPh>
    <rPh sb="7" eb="10">
      <t>ゲツヨウビ</t>
    </rPh>
    <rPh sb="11" eb="13">
      <t>トクバイ</t>
    </rPh>
    <rPh sb="14" eb="15">
      <t>オコナ</t>
    </rPh>
    <rPh sb="17" eb="18">
      <t>イナ</t>
    </rPh>
    <rPh sb="20" eb="22">
      <t>セッテイ</t>
    </rPh>
    <rPh sb="28" eb="31">
      <t>ミジッシ</t>
    </rPh>
    <rPh sb="35" eb="37">
      <t>ジッシ</t>
    </rPh>
    <phoneticPr fontId="5"/>
  </si>
  <si>
    <t>固定値"0"をセット</t>
  </si>
  <si>
    <t>IsTuesday</t>
  </si>
  <si>
    <t>火曜日実施フラグ</t>
  </si>
  <si>
    <t>特売期間の内、火曜日に特売を行うか否かを設定する
　0：未実施
　1：実施</t>
  </si>
  <si>
    <t>IsWednesday</t>
  </si>
  <si>
    <t>水曜日実施フラグ</t>
  </si>
  <si>
    <t>特売期間の内、水曜日に特売を行うか否かを設定する
　0：未実施
　1：実施</t>
  </si>
  <si>
    <t>IsThursday</t>
  </si>
  <si>
    <t>木曜日実施フラグ</t>
  </si>
  <si>
    <t>特売期間の内、木曜日に特売を行うか否かを設定する
　0：未実施
　1：実施</t>
  </si>
  <si>
    <t>IsFriday</t>
  </si>
  <si>
    <t>金曜日実施フラグ</t>
  </si>
  <si>
    <t>特売期間の内、金曜日に特売を行うか否かを設定する
　0：未実施
　1：実施</t>
  </si>
  <si>
    <t>IsSaturday</t>
  </si>
  <si>
    <t>土曜日実施フラグ</t>
  </si>
  <si>
    <t>特売期間の内、土曜日に特売を行うか否かを設定する
　0：未実施
　1：実施</t>
  </si>
  <si>
    <t>IsSunday</t>
  </si>
  <si>
    <t>日曜日実施フラグ</t>
  </si>
  <si>
    <t>特売期間の内、日曜日に特売を行うか否かを設定する
　0：未実施
　1：実施</t>
    <rPh sb="7" eb="9">
      <t>ニチヨウ</t>
    </rPh>
    <phoneticPr fontId="5"/>
  </si>
  <si>
    <t>MMマスタ　《CombinationKsmMaster》</t>
    <phoneticPr fontId="5"/>
  </si>
  <si>
    <t>"200"固定</t>
    <rPh sb="5" eb="7">
      <t>コテイ</t>
    </rPh>
    <phoneticPr fontId="5"/>
  </si>
  <si>
    <t>固定値”300”をセット</t>
    <rPh sb="0" eb="3">
      <t>コテイチ</t>
    </rPh>
    <phoneticPr fontId="78"/>
  </si>
  <si>
    <t>279_バンドルマスタ.店コード
左4桁目から6桁を取得して、セット</t>
    <phoneticPr fontId="4"/>
  </si>
  <si>
    <t>CombinationCode</t>
  </si>
  <si>
    <r>
      <t>ミックスマッチ</t>
    </r>
    <r>
      <rPr>
        <sz val="11"/>
        <color indexed="8"/>
        <rFont val="ＭＳ Ｐゴシック"/>
        <family val="3"/>
        <charset val="128"/>
      </rPr>
      <t>コード</t>
    </r>
  </si>
  <si>
    <r>
      <t>ミックスマッチ</t>
    </r>
    <r>
      <rPr>
        <sz val="11"/>
        <color indexed="8"/>
        <rFont val="ＭＳ Ｐゴシック"/>
        <family val="3"/>
        <charset val="128"/>
      </rPr>
      <t>を管理するコードを設定する
※以降、企画販売と記載する</t>
    </r>
    <rPh sb="8" eb="10">
      <t>カンリ</t>
    </rPh>
    <rPh sb="16" eb="18">
      <t>セッテイ</t>
    </rPh>
    <rPh sb="22" eb="24">
      <t>イコウ</t>
    </rPh>
    <rPh sb="25" eb="27">
      <t>キカク</t>
    </rPh>
    <rPh sb="27" eb="29">
      <t>ハンバイ</t>
    </rPh>
    <rPh sb="30" eb="32">
      <t>キサイ</t>
    </rPh>
    <phoneticPr fontId="5"/>
  </si>
  <si>
    <t>4桁（前0埋め）</t>
    <phoneticPr fontId="4"/>
  </si>
  <si>
    <t>279_バンドルマスタ.プロモーション番号(13桁)
ホスト側の桁数が長い（富士通様拡張）</t>
    <rPh sb="24" eb="25">
      <t>ケタ</t>
    </rPh>
    <phoneticPr fontId="4"/>
  </si>
  <si>
    <t>説明　（企画名称）</t>
    <rPh sb="0" eb="2">
      <t>セツメイ</t>
    </rPh>
    <rPh sb="4" eb="6">
      <t>キカク</t>
    </rPh>
    <rPh sb="6" eb="8">
      <t>メイショウ</t>
    </rPh>
    <phoneticPr fontId="5"/>
  </si>
  <si>
    <t>30桁（全角名称15文字）</t>
    <rPh sb="2" eb="3">
      <t>ケタ</t>
    </rPh>
    <phoneticPr fontId="5"/>
  </si>
  <si>
    <t>左記セット</t>
    <rPh sb="0" eb="2">
      <t>サキ</t>
    </rPh>
    <phoneticPr fontId="4"/>
  </si>
  <si>
    <r>
      <t>企画販売を管理する</t>
    </r>
    <r>
      <rPr>
        <sz val="11"/>
        <color indexed="8"/>
        <rFont val="ＭＳ Ｐゴシック"/>
        <family val="3"/>
        <charset val="128"/>
      </rPr>
      <t>企画コードを設定する</t>
    </r>
    <rPh sb="0" eb="2">
      <t>キカク</t>
    </rPh>
    <rPh sb="2" eb="4">
      <t>ハンバイ</t>
    </rPh>
    <rPh sb="5" eb="7">
      <t>カンリ</t>
    </rPh>
    <rPh sb="9" eb="11">
      <t>キカク</t>
    </rPh>
    <rPh sb="15" eb="17">
      <t>セッテイ</t>
    </rPh>
    <phoneticPr fontId="5"/>
  </si>
  <si>
    <t>固定値"99000"をセット</t>
  </si>
  <si>
    <t>CombinationType</t>
  </si>
  <si>
    <r>
      <t>ミックスマッチ</t>
    </r>
    <r>
      <rPr>
        <sz val="11"/>
        <color indexed="8"/>
        <rFont val="ＭＳ Ｐゴシック"/>
        <family val="3"/>
        <charset val="128"/>
      </rPr>
      <t>タイプ</t>
    </r>
  </si>
  <si>
    <t>1桁
2：バンドルミックス
3：ペアマッチ…未使用</t>
    <rPh sb="22" eb="25">
      <t>ミシヨウ</t>
    </rPh>
    <phoneticPr fontId="5"/>
  </si>
  <si>
    <t>固定値[2]</t>
    <rPh sb="0" eb="3">
      <t>コテイチ</t>
    </rPh>
    <phoneticPr fontId="4"/>
  </si>
  <si>
    <t>固定値[2]</t>
    <rPh sb="0" eb="3">
      <t>コテイチ</t>
    </rPh>
    <phoneticPr fontId="67"/>
  </si>
  <si>
    <t>企画販売の開始日（システム日付）を設定する
"YYYY-MM-DD hh:mm:ss.sssssss"の形式で設定する</t>
    <rPh sb="0" eb="2">
      <t>キカク</t>
    </rPh>
    <rPh sb="2" eb="4">
      <t>ハンバイ</t>
    </rPh>
    <rPh sb="5" eb="8">
      <t>カイシヒ</t>
    </rPh>
    <rPh sb="13" eb="15">
      <t>ヒヅケ</t>
    </rPh>
    <rPh sb="17" eb="19">
      <t>セッテイ</t>
    </rPh>
    <phoneticPr fontId="5"/>
  </si>
  <si>
    <t>279_バンドルマスタ.バンドルミックス開始日バンドルミックス開始時間
"YYYY-MM-DD hh:mm:ss.ss.ss"の形式でセット</t>
    <phoneticPr fontId="4"/>
  </si>
  <si>
    <t>企画販売の終了日（システム日付）を設定する
"YYYY-MM-DD hh:mm:ss.sssssss"の形式で設定する</t>
    <rPh sb="5" eb="7">
      <t>シュウリョウ</t>
    </rPh>
    <rPh sb="13" eb="15">
      <t>ヒヅケ</t>
    </rPh>
    <phoneticPr fontId="5"/>
  </si>
  <si>
    <t>279_バンドルマスタ.バンドルミックス終了日バンドルミックス終了時間
"YYYY-MM-DD hh:mm:ss.ss.ss"の形式でセット</t>
    <phoneticPr fontId="4"/>
  </si>
  <si>
    <t>CombinationCount1</t>
  </si>
  <si>
    <t>成立数１</t>
    <rPh sb="0" eb="2">
      <t>セイリツ</t>
    </rPh>
    <rPh sb="2" eb="3">
      <t>スウ</t>
    </rPh>
    <phoneticPr fontId="5"/>
  </si>
  <si>
    <t>１段階目のバンドルが成立する個数</t>
    <rPh sb="1" eb="3">
      <t>ダンカイ</t>
    </rPh>
    <rPh sb="3" eb="4">
      <t>メ</t>
    </rPh>
    <rPh sb="10" eb="12">
      <t>セイリツ</t>
    </rPh>
    <rPh sb="14" eb="16">
      <t>コスウ</t>
    </rPh>
    <phoneticPr fontId="5"/>
  </si>
  <si>
    <t>279_バンドルマスタ.成立個数(4桁)</t>
    <rPh sb="12" eb="14">
      <t>セイリツ</t>
    </rPh>
    <rPh sb="14" eb="16">
      <t>コスウ</t>
    </rPh>
    <rPh sb="18" eb="19">
      <t>ケタ</t>
    </rPh>
    <phoneticPr fontId="4"/>
  </si>
  <si>
    <t>CombinationPrice1</t>
  </si>
  <si>
    <t>成立価格１</t>
    <rPh sb="0" eb="2">
      <t>セイリツ</t>
    </rPh>
    <rPh sb="2" eb="4">
      <t>カカク</t>
    </rPh>
    <phoneticPr fontId="5"/>
  </si>
  <si>
    <t>１段階目のバンドルが成立した場合の販売金額</t>
    <rPh sb="1" eb="3">
      <t>ダンカイ</t>
    </rPh>
    <rPh sb="3" eb="4">
      <t>メ</t>
    </rPh>
    <rPh sb="10" eb="12">
      <t>セイリツ</t>
    </rPh>
    <rPh sb="14" eb="16">
      <t>バアイ</t>
    </rPh>
    <rPh sb="17" eb="19">
      <t>ハンバイ</t>
    </rPh>
    <rPh sb="19" eb="21">
      <t>キンガク</t>
    </rPh>
    <phoneticPr fontId="5"/>
  </si>
  <si>
    <t>279_バンドルマスタ.成立バンドル価格</t>
    <rPh sb="12" eb="14">
      <t>セイリツ</t>
    </rPh>
    <rPh sb="18" eb="20">
      <t>カカク</t>
    </rPh>
    <phoneticPr fontId="4"/>
  </si>
  <si>
    <t>CombinationOnePrice1</t>
  </si>
  <si>
    <t>成立後単品価格１</t>
    <rPh sb="0" eb="2">
      <t>セイリツ</t>
    </rPh>
    <rPh sb="2" eb="3">
      <t>ゴ</t>
    </rPh>
    <rPh sb="3" eb="5">
      <t>タンピン</t>
    </rPh>
    <rPh sb="5" eb="7">
      <t>カカク</t>
    </rPh>
    <phoneticPr fontId="5"/>
  </si>
  <si>
    <t>１段階目のバンドルの溢れ単品価格</t>
    <rPh sb="10" eb="11">
      <t>アフ</t>
    </rPh>
    <rPh sb="12" eb="14">
      <t>タンピン</t>
    </rPh>
    <rPh sb="14" eb="16">
      <t>カカク</t>
    </rPh>
    <phoneticPr fontId="5"/>
  </si>
  <si>
    <t>（一部未使用）</t>
    <rPh sb="1" eb="3">
      <t>イチブ</t>
    </rPh>
    <rPh sb="3" eb="6">
      <t>ミシヨウ</t>
    </rPh>
    <phoneticPr fontId="4"/>
  </si>
  <si>
    <t>CombinationCount2</t>
  </si>
  <si>
    <t>成立数２</t>
    <rPh sb="0" eb="2">
      <t>セイリツ</t>
    </rPh>
    <rPh sb="2" eb="3">
      <t>スウ</t>
    </rPh>
    <phoneticPr fontId="5"/>
  </si>
  <si>
    <t>２段階目のバンドルが成立する個数</t>
    <rPh sb="1" eb="3">
      <t>ダンカイ</t>
    </rPh>
    <rPh sb="3" eb="4">
      <t>メ</t>
    </rPh>
    <rPh sb="10" eb="12">
      <t>セイリツ</t>
    </rPh>
    <rPh sb="14" eb="16">
      <t>コスウ</t>
    </rPh>
    <phoneticPr fontId="5"/>
  </si>
  <si>
    <t>CombinationPrice2</t>
  </si>
  <si>
    <t>成立価格２</t>
    <rPh sb="0" eb="2">
      <t>セイリツ</t>
    </rPh>
    <rPh sb="2" eb="4">
      <t>カカク</t>
    </rPh>
    <phoneticPr fontId="5"/>
  </si>
  <si>
    <t>２段階目のバンドルが成立した場合の販売金額</t>
    <rPh sb="1" eb="3">
      <t>ダンカイ</t>
    </rPh>
    <rPh sb="3" eb="4">
      <t>メ</t>
    </rPh>
    <rPh sb="10" eb="12">
      <t>セイリツ</t>
    </rPh>
    <rPh sb="14" eb="16">
      <t>バアイ</t>
    </rPh>
    <rPh sb="17" eb="19">
      <t>ハンバイ</t>
    </rPh>
    <rPh sb="19" eb="21">
      <t>キンガク</t>
    </rPh>
    <phoneticPr fontId="5"/>
  </si>
  <si>
    <t>CombinationOnePrice2</t>
  </si>
  <si>
    <t>成立後単品価格２</t>
    <rPh sb="0" eb="2">
      <t>セイリツ</t>
    </rPh>
    <rPh sb="2" eb="3">
      <t>ゴ</t>
    </rPh>
    <rPh sb="3" eb="5">
      <t>タンピン</t>
    </rPh>
    <rPh sb="5" eb="7">
      <t>カカク</t>
    </rPh>
    <phoneticPr fontId="5"/>
  </si>
  <si>
    <t>２段階目のバンドルの溢れ単品価格</t>
    <rPh sb="10" eb="11">
      <t>アフ</t>
    </rPh>
    <rPh sb="12" eb="14">
      <t>タンピン</t>
    </rPh>
    <rPh sb="14" eb="16">
      <t>カカク</t>
    </rPh>
    <phoneticPr fontId="5"/>
  </si>
  <si>
    <t>CombinationCount3</t>
  </si>
  <si>
    <t>成立数３</t>
    <rPh sb="0" eb="2">
      <t>セイリツ</t>
    </rPh>
    <rPh sb="2" eb="3">
      <t>スウ</t>
    </rPh>
    <phoneticPr fontId="5"/>
  </si>
  <si>
    <r>
      <t>３段階目のバンドルが成立する個数</t>
    </r>
    <r>
      <rPr>
        <sz val="11"/>
        <color indexed="8"/>
        <rFont val="ＭＳ Ｐゴシック"/>
        <family val="3"/>
        <charset val="128"/>
      </rPr>
      <t>…未使用</t>
    </r>
    <rPh sb="1" eb="3">
      <t>ダンカイ</t>
    </rPh>
    <rPh sb="3" eb="4">
      <t>メ</t>
    </rPh>
    <rPh sb="10" eb="12">
      <t>セイリツ</t>
    </rPh>
    <rPh sb="14" eb="16">
      <t>コスウ</t>
    </rPh>
    <rPh sb="17" eb="20">
      <t>ミシヨウ</t>
    </rPh>
    <phoneticPr fontId="5"/>
  </si>
  <si>
    <t>CombinationPrice3</t>
  </si>
  <si>
    <t>成立価格３</t>
    <rPh sb="0" eb="2">
      <t>セイリツ</t>
    </rPh>
    <rPh sb="2" eb="4">
      <t>カカク</t>
    </rPh>
    <phoneticPr fontId="5"/>
  </si>
  <si>
    <r>
      <t>３段階目のバンドルが成立した場合の販売金額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</si>
  <si>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CombinationOnePrice3</t>
  </si>
  <si>
    <t>成立後単品価格３</t>
    <rPh sb="0" eb="2">
      <t>セイリツ</t>
    </rPh>
    <rPh sb="2" eb="3">
      <t>ゴ</t>
    </rPh>
    <rPh sb="3" eb="5">
      <t>タンピン</t>
    </rPh>
    <rPh sb="5" eb="7">
      <t>カカク</t>
    </rPh>
    <phoneticPr fontId="5"/>
  </si>
  <si>
    <r>
      <t>３段階目のバンドルの溢れ単品価格</t>
    </r>
    <r>
      <rPr>
        <sz val="11"/>
        <color indexed="8"/>
        <rFont val="ＭＳ Ｐゴシック"/>
        <family val="3"/>
        <charset val="128"/>
      </rPr>
      <t>…未使用</t>
    </r>
    <rPh sb="10" eb="11">
      <t>アフ</t>
    </rPh>
    <rPh sb="12" eb="14">
      <t>タンピン</t>
    </rPh>
    <rPh sb="14" eb="16">
      <t>カカク</t>
    </rPh>
    <phoneticPr fontId="5"/>
  </si>
  <si>
    <t>CombinationCount4</t>
  </si>
  <si>
    <t>成立数４</t>
    <rPh sb="0" eb="2">
      <t>セイリツ</t>
    </rPh>
    <rPh sb="2" eb="3">
      <t>スウ</t>
    </rPh>
    <phoneticPr fontId="5"/>
  </si>
  <si>
    <r>
      <t>４段階目のバンドルが成立する個数</t>
    </r>
    <r>
      <rPr>
        <sz val="11"/>
        <color indexed="8"/>
        <rFont val="ＭＳ Ｐゴシック"/>
        <family val="3"/>
        <charset val="128"/>
      </rPr>
      <t>…未使用</t>
    </r>
    <rPh sb="1" eb="3">
      <t>ダンカイ</t>
    </rPh>
    <rPh sb="3" eb="4">
      <t>メ</t>
    </rPh>
    <rPh sb="10" eb="12">
      <t>セイリツ</t>
    </rPh>
    <rPh sb="14" eb="16">
      <t>コスウ</t>
    </rPh>
    <phoneticPr fontId="5"/>
  </si>
  <si>
    <t>CombinationPrice4</t>
  </si>
  <si>
    <t>成立価格４</t>
    <rPh sb="0" eb="2">
      <t>セイリツ</t>
    </rPh>
    <rPh sb="2" eb="4">
      <t>カカク</t>
    </rPh>
    <phoneticPr fontId="5"/>
  </si>
  <si>
    <r>
      <t>４段階目のバンドルが成立した場合の販売金額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</si>
  <si>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CombinationOnePrice4</t>
  </si>
  <si>
    <t>成立後単品価格４</t>
    <rPh sb="0" eb="2">
      <t>セイリツ</t>
    </rPh>
    <rPh sb="2" eb="3">
      <t>ゴ</t>
    </rPh>
    <rPh sb="3" eb="5">
      <t>タンピン</t>
    </rPh>
    <rPh sb="5" eb="7">
      <t>カカク</t>
    </rPh>
    <phoneticPr fontId="5"/>
  </si>
  <si>
    <r>
      <t>４段階目のバンドルの溢れ単品価格</t>
    </r>
    <r>
      <rPr>
        <sz val="11"/>
        <color indexed="8"/>
        <rFont val="ＭＳ Ｐゴシック"/>
        <family val="3"/>
        <charset val="128"/>
      </rPr>
      <t>…未使用</t>
    </r>
    <rPh sb="10" eb="11">
      <t>アフ</t>
    </rPh>
    <rPh sb="12" eb="14">
      <t>タンピン</t>
    </rPh>
    <rPh sb="14" eb="16">
      <t>カカク</t>
    </rPh>
    <phoneticPr fontId="5"/>
  </si>
  <si>
    <t>CombinationCount5</t>
  </si>
  <si>
    <t>成立数５</t>
    <rPh sb="0" eb="2">
      <t>セイリツ</t>
    </rPh>
    <rPh sb="2" eb="3">
      <t>スウ</t>
    </rPh>
    <phoneticPr fontId="5"/>
  </si>
  <si>
    <r>
      <t>５段階目のバンドルが成立する個数</t>
    </r>
    <r>
      <rPr>
        <sz val="11"/>
        <color indexed="8"/>
        <rFont val="ＭＳ Ｐゴシック"/>
        <family val="3"/>
        <charset val="128"/>
      </rPr>
      <t>…未使用</t>
    </r>
    <rPh sb="1" eb="3">
      <t>ダンカイ</t>
    </rPh>
    <rPh sb="3" eb="4">
      <t>メ</t>
    </rPh>
    <rPh sb="10" eb="12">
      <t>セイリツ</t>
    </rPh>
    <rPh sb="14" eb="16">
      <t>コスウ</t>
    </rPh>
    <phoneticPr fontId="5"/>
  </si>
  <si>
    <t>CombinationPrice5</t>
  </si>
  <si>
    <t>成立価格５</t>
    <rPh sb="0" eb="2">
      <t>セイリツ</t>
    </rPh>
    <rPh sb="2" eb="4">
      <t>カカク</t>
    </rPh>
    <phoneticPr fontId="5"/>
  </si>
  <si>
    <r>
      <t>５段階目のバンドルが成立した場合の販売金額</t>
    </r>
    <r>
      <rPr>
        <sz val="11"/>
        <color indexed="8"/>
        <rFont val="ＭＳ Ｐゴシック"/>
        <family val="3"/>
        <charset val="128"/>
      </rPr>
      <t>…未使用</t>
    </r>
    <rPh sb="1" eb="3">
      <t>ダンカイ</t>
    </rPh>
    <rPh sb="3" eb="4">
      <t>メ</t>
    </rPh>
    <rPh sb="10" eb="12">
      <t>セイリツ</t>
    </rPh>
    <rPh sb="14" eb="16">
      <t>バアイ</t>
    </rPh>
    <rPh sb="17" eb="19">
      <t>ハンバイ</t>
    </rPh>
    <rPh sb="19" eb="21">
      <t>キンガク</t>
    </rPh>
    <phoneticPr fontId="5"/>
  </si>
  <si>
    <t>CombinationOnePrice5</t>
  </si>
  <si>
    <t>成立後単品価格５</t>
    <rPh sb="0" eb="2">
      <t>セイリツ</t>
    </rPh>
    <rPh sb="2" eb="3">
      <t>ゴ</t>
    </rPh>
    <rPh sb="3" eb="5">
      <t>タンピン</t>
    </rPh>
    <rPh sb="5" eb="7">
      <t>カカク</t>
    </rPh>
    <phoneticPr fontId="5"/>
  </si>
  <si>
    <r>
      <t>５段階目のバンドルの溢れ単品価格</t>
    </r>
    <r>
      <rPr>
        <sz val="11"/>
        <color indexed="8"/>
        <rFont val="ＭＳ Ｐゴシック"/>
        <family val="3"/>
        <charset val="128"/>
      </rPr>
      <t>…未使用</t>
    </r>
    <rPh sb="10" eb="11">
      <t>アフ</t>
    </rPh>
    <rPh sb="12" eb="14">
      <t>タンピン</t>
    </rPh>
    <rPh sb="14" eb="16">
      <t>カカク</t>
    </rPh>
    <phoneticPr fontId="5"/>
  </si>
  <si>
    <t>PairMatchCombinationPrice</t>
  </si>
  <si>
    <t>ＰＭ成立価格</t>
    <rPh sb="2" eb="4">
      <t>セイリツ</t>
    </rPh>
    <rPh sb="4" eb="6">
      <t>カカク</t>
    </rPh>
    <phoneticPr fontId="5"/>
  </si>
  <si>
    <r>
      <t>ペアマッチ</t>
    </r>
    <r>
      <rPr>
        <sz val="11"/>
        <color indexed="8"/>
        <rFont val="ＭＳ Ｐゴシック"/>
        <family val="3"/>
        <charset val="128"/>
      </rPr>
      <t>が成立した場合の販売金額</t>
    </r>
    <rPh sb="6" eb="8">
      <t>セイリツ</t>
    </rPh>
    <rPh sb="10" eb="12">
      <t>バアイ</t>
    </rPh>
    <rPh sb="13" eb="15">
      <t>ハンバイ</t>
    </rPh>
    <rPh sb="15" eb="17">
      <t>キンガク</t>
    </rPh>
    <phoneticPr fontId="5"/>
  </si>
  <si>
    <t>企画販売期間の内、企画販売を行う特定曜日を指定するか否かを設定する
　1：全曜日
　2：曜日指定
　　※2以外の場合、月曜日フラグ～日曜日フラグの内容は無視する</t>
    <rPh sb="0" eb="2">
      <t>キカク</t>
    </rPh>
    <rPh sb="2" eb="4">
      <t>ハンバイ</t>
    </rPh>
    <rPh sb="9" eb="11">
      <t>キカク</t>
    </rPh>
    <phoneticPr fontId="5"/>
  </si>
  <si>
    <t>"1"固定</t>
    <rPh sb="3" eb="5">
      <t>コテイ</t>
    </rPh>
    <phoneticPr fontId="4"/>
  </si>
  <si>
    <t>企画販売期間の内、月曜日に企画販売を行うか否かを設定する
　0：未実施
　1：実施</t>
    <rPh sb="13" eb="15">
      <t>キカク</t>
    </rPh>
    <rPh sb="15" eb="17">
      <t>ハンバイ</t>
    </rPh>
    <phoneticPr fontId="5"/>
  </si>
  <si>
    <t>企画販売期間の内、火曜日に企画販売を行うか否かを設定する
　0：未実施
　1：実施</t>
  </si>
  <si>
    <t>企画販売期間の内、水曜日に企画販売を行うか否かを設定する
　0：未実施
　1：実施</t>
  </si>
  <si>
    <t>企画販売期間の内、木曜日に企画販売を行うか否かを設定する
　0：未実施
　1：実施</t>
  </si>
  <si>
    <t>企画販売期間の内、金曜日に企画販売を行うか否かを設定する
　0：未実施
　1：実施</t>
  </si>
  <si>
    <t>企画販売期間の内、土曜日に企画販売を行うか否かを設定する
　0：未実施
　1：実施</t>
  </si>
  <si>
    <t>企画販売期間の内、日曜日に企画販売を行うか否かを設定する
　0：未実施
　1：実施</t>
    <rPh sb="9" eb="11">
      <t>ニチヨウ</t>
    </rPh>
    <phoneticPr fontId="5"/>
  </si>
  <si>
    <t>MM商品マスタ　《CombinationItemKsmMaster》</t>
    <rPh sb="2" eb="4">
      <t>ショウヒン</t>
    </rPh>
    <phoneticPr fontId="5"/>
  </si>
  <si>
    <t xml:space="preserve">標準仕様準拠
</t>
    <phoneticPr fontId="4"/>
  </si>
  <si>
    <r>
      <t xml:space="preserve">標準仕様準拠
</t>
    </r>
    <r>
      <rPr>
        <sz val="11"/>
        <color theme="4" tint="-0.499984740745262"/>
        <rFont val="ＭＳ Ｐゴシック"/>
        <family val="3"/>
        <charset val="128"/>
      </rPr>
      <t>280_バンドル明細.店コード
左4桁目から6桁を取得して、セット</t>
    </r>
    <rPh sb="0" eb="2">
      <t>ヒョウジュン</t>
    </rPh>
    <rPh sb="2" eb="4">
      <t>シヨウ</t>
    </rPh>
    <rPh sb="4" eb="6">
      <t>ジュンキョ</t>
    </rPh>
    <phoneticPr fontId="4"/>
  </si>
  <si>
    <t>企画販売の対象商品郡を管理するコードを設定する</t>
  </si>
  <si>
    <t>4桁（前0埋め）</t>
  </si>
  <si>
    <r>
      <t xml:space="preserve">13桁
</t>
    </r>
    <r>
      <rPr>
        <sz val="11"/>
        <color theme="4" tint="-0.499984740745262"/>
        <rFont val="ＭＳ Ｐゴシック"/>
        <family val="3"/>
        <charset val="128"/>
      </rPr>
      <t>280_バンドル明細.プロモーション番号
ホスト側の桁数が長い（富士通様拡張）</t>
    </r>
    <rPh sb="2" eb="3">
      <t>ケタ</t>
    </rPh>
    <phoneticPr fontId="4"/>
  </si>
  <si>
    <t>単品コード</t>
    <rPh sb="0" eb="2">
      <t>タンピン</t>
    </rPh>
    <phoneticPr fontId="5"/>
  </si>
  <si>
    <t>対象となる単品コードを設定する</t>
  </si>
  <si>
    <t>商品M.親JANコード</t>
    <rPh sb="0" eb="2">
      <t>ショウヒン</t>
    </rPh>
    <rPh sb="4" eb="5">
      <t>オヤ</t>
    </rPh>
    <phoneticPr fontId="4"/>
  </si>
  <si>
    <t>13桁（前0埋め）
マルエツ様のSKUコードを設定する
※JAN-JANで登録している場合JANを設定する</t>
    <phoneticPr fontId="4"/>
  </si>
  <si>
    <r>
      <t xml:space="preserve">右から13桁を取得して、セット
</t>
    </r>
    <r>
      <rPr>
        <sz val="11"/>
        <color theme="4" tint="-0.499984740745262"/>
        <rFont val="ＭＳ Ｐゴシック"/>
        <family val="3"/>
        <charset val="128"/>
      </rPr>
      <t>280_バンドル明細.PLUコード</t>
    </r>
    <phoneticPr fontId="4"/>
  </si>
  <si>
    <t>CategoryCode</t>
  </si>
  <si>
    <r>
      <t>分類</t>
    </r>
    <r>
      <rPr>
        <sz val="11"/>
        <color indexed="8"/>
        <rFont val="ＭＳ Ｐゴシック"/>
        <family val="3"/>
        <charset val="128"/>
      </rPr>
      <t>コード</t>
    </r>
    <rPh sb="0" eb="2">
      <t>ブンルイ</t>
    </rPh>
    <phoneticPr fontId="5"/>
  </si>
  <si>
    <t>対象商品に設定されている親コードを設定する</t>
    <rPh sb="0" eb="2">
      <t>タイショウ</t>
    </rPh>
    <rPh sb="2" eb="4">
      <t>ショウヒン</t>
    </rPh>
    <rPh sb="5" eb="7">
      <t>セッテイ</t>
    </rPh>
    <rPh sb="17" eb="19">
      <t>セッテイ</t>
    </rPh>
    <phoneticPr fontId="5"/>
  </si>
  <si>
    <t>"0"固定</t>
    <rPh sb="3" eb="5">
      <t>コテイ</t>
    </rPh>
    <phoneticPr fontId="4"/>
  </si>
  <si>
    <t>CombinationCostPrice</t>
  </si>
  <si>
    <t>ミックスマッチ成立時原価</t>
    <rPh sb="7" eb="9">
      <t>セイリツ</t>
    </rPh>
    <rPh sb="9" eb="10">
      <t>ジ</t>
    </rPh>
    <rPh sb="10" eb="12">
      <t>ゲンカ</t>
    </rPh>
    <phoneticPr fontId="5"/>
  </si>
  <si>
    <t>ミックスマッチ成立時の商品原価を設定する
※ミックスマッチ成立時原価が未設定(NULL)の場合、商品マスタの原価が採用される</t>
  </si>
  <si>
    <t>PairMatchQuantity</t>
  </si>
  <si>
    <r>
      <t>ペアマッチ</t>
    </r>
    <r>
      <rPr>
        <sz val="11"/>
        <color indexed="8"/>
        <rFont val="ＭＳ Ｐゴシック"/>
        <family val="3"/>
        <charset val="128"/>
      </rPr>
      <t>成立点数</t>
    </r>
    <rPh sb="5" eb="7">
      <t>セイリツ</t>
    </rPh>
    <phoneticPr fontId="5"/>
  </si>
  <si>
    <t>ペアマッチ販売成立条件</t>
    <rPh sb="5" eb="7">
      <t>ハンバイ</t>
    </rPh>
    <rPh sb="7" eb="9">
      <t>セイリツ</t>
    </rPh>
    <rPh sb="9" eb="11">
      <t>ジョウケン</t>
    </rPh>
    <phoneticPr fontId="5"/>
  </si>
  <si>
    <t>分類値引マスタ　《DiscountMDHierarchyMaster》</t>
    <phoneticPr fontId="5"/>
  </si>
  <si>
    <t>MV関東様(対象外)</t>
    <rPh sb="2" eb="4">
      <t>カントウ</t>
    </rPh>
    <rPh sb="4" eb="5">
      <t>サマ</t>
    </rPh>
    <rPh sb="6" eb="9">
      <t>タイショウガイ</t>
    </rPh>
    <phoneticPr fontId="5"/>
  </si>
  <si>
    <t>0：登録（新規／更新）／再開、 1：削除／中断、 2：洗い替え</t>
    <rPh sb="12" eb="14">
      <t>サイカイ</t>
    </rPh>
    <rPh sb="21" eb="23">
      <t>チュウダン</t>
    </rPh>
    <phoneticPr fontId="5"/>
  </si>
  <si>
    <t>DiscountMDHierarchyCode</t>
  </si>
  <si>
    <t>分類自動値引コード</t>
    <rPh sb="0" eb="2">
      <t>ブンルイ</t>
    </rPh>
    <rPh sb="4" eb="6">
      <t>ネビ</t>
    </rPh>
    <phoneticPr fontId="5"/>
  </si>
  <si>
    <t>分類自動値下コード</t>
    <rPh sb="0" eb="2">
      <t>ブンルイ</t>
    </rPh>
    <phoneticPr fontId="5"/>
  </si>
  <si>
    <t>MVIF配信データ：スケジュールNo</t>
    <phoneticPr fontId="4"/>
  </si>
  <si>
    <t>企画No?　：　YMMDDLNNNN
  YMMDD　：　開始日
　 L　：　レベル
　 NNNN　：　分類コード
※若い番号優先</t>
    <phoneticPr fontId="4"/>
  </si>
  <si>
    <t>説明</t>
    <rPh sb="0" eb="2">
      <t>セツメイ</t>
    </rPh>
    <phoneticPr fontId="5"/>
  </si>
  <si>
    <t>分類自動値下名称</t>
    <rPh sb="0" eb="2">
      <t>ブンルイ</t>
    </rPh>
    <phoneticPr fontId="5"/>
  </si>
  <si>
    <t>MVIF配信データ："自動一括値引"または"自動一括割引"
(値引方法コードが"01"であれば"自動一括値引"
"02"であれば"自動一括割引")</t>
    <phoneticPr fontId="4"/>
  </si>
  <si>
    <t>"自動割引"</t>
  </si>
  <si>
    <t>自動値下対象の分類コード</t>
    <rPh sb="7" eb="9">
      <t>ブンルイ</t>
    </rPh>
    <phoneticPr fontId="5"/>
  </si>
  <si>
    <t>自動値下対象の分類コード</t>
  </si>
  <si>
    <t>自動値下対象の分類レベル</t>
    <rPh sb="7" eb="9">
      <t>ブンルイ</t>
    </rPh>
    <phoneticPr fontId="5"/>
  </si>
  <si>
    <t>自動値下対象の分類レベル
　　"1"：DIV
　　"2"：DEPT
　　"3"：SDEPT
　　"4"：CLASS</t>
    <phoneticPr fontId="4"/>
  </si>
  <si>
    <t>企画コード（企画マスタ参照等はなし）</t>
    <rPh sb="6" eb="8">
      <t>キカク</t>
    </rPh>
    <rPh sb="11" eb="13">
      <t>サンショウ</t>
    </rPh>
    <rPh sb="13" eb="14">
      <t>トウ</t>
    </rPh>
    <phoneticPr fontId="5"/>
  </si>
  <si>
    <t>"999999999"固定</t>
    <rPh sb="11" eb="13">
      <t>コテイ</t>
    </rPh>
    <phoneticPr fontId="4"/>
  </si>
  <si>
    <t>"0000000000"固定</t>
    <rPh sb="12" eb="14">
      <t>コテイ</t>
    </rPh>
    <phoneticPr fontId="4"/>
  </si>
  <si>
    <t>DiscountTypeCode</t>
    <phoneticPr fontId="5"/>
  </si>
  <si>
    <t>値引タイプコード</t>
    <phoneticPr fontId="5"/>
  </si>
  <si>
    <t>"11"固定</t>
    <phoneticPr fontId="4"/>
  </si>
  <si>
    <t>"11"固定</t>
    <rPh sb="4" eb="6">
      <t>コテイ</t>
    </rPh>
    <phoneticPr fontId="4"/>
  </si>
  <si>
    <t>値引方法コード（01：値引　02：割引）</t>
    <rPh sb="0" eb="2">
      <t>ネビ</t>
    </rPh>
    <phoneticPr fontId="5"/>
  </si>
  <si>
    <t>値引金額/率</t>
    <phoneticPr fontId="5"/>
  </si>
  <si>
    <t>値引金額/率
（値引方法コードにより金額/割引率で意味が変わります）</t>
    <rPh sb="0" eb="2">
      <t>ネビ</t>
    </rPh>
    <phoneticPr fontId="5"/>
  </si>
  <si>
    <t>StartDateTime</t>
    <phoneticPr fontId="5"/>
  </si>
  <si>
    <t>開始日時</t>
    <phoneticPr fontId="5"/>
  </si>
  <si>
    <t>開始日（システム日付）を設定する
"YYYY-MM-DD hh:nn:ss.sssssss"の形式で設定する</t>
    <phoneticPr fontId="5"/>
  </si>
  <si>
    <t>終了日時</t>
    <phoneticPr fontId="5"/>
  </si>
  <si>
    <t>終了日（システム日付）を設定する
"YYYY-MM-DD hh:nn:ss.sssssss"の形式で設定する</t>
    <phoneticPr fontId="5"/>
  </si>
  <si>
    <t>StartServiceTime</t>
  </si>
  <si>
    <t>開始サービス時間</t>
  </si>
  <si>
    <t>time</t>
    <phoneticPr fontId="5"/>
  </si>
  <si>
    <t>サービス開始時間（例：タイムセール開始時間を指定する）</t>
    <phoneticPr fontId="5"/>
  </si>
  <si>
    <t>EndServiceTime</t>
  </si>
  <si>
    <t>終了サービス時間</t>
  </si>
  <si>
    <t>サービス終了時間（例：タイムセール終了時間を指定する）</t>
    <phoneticPr fontId="5"/>
  </si>
  <si>
    <t>採用曜日区分</t>
    <phoneticPr fontId="5"/>
  </si>
  <si>
    <t>smallint</t>
    <phoneticPr fontId="5"/>
  </si>
  <si>
    <t>1：全曜日
2：曜日指定
※2以外の場合、月曜日フラグ～日曜日フラグの内容は無視する</t>
    <phoneticPr fontId="4"/>
  </si>
  <si>
    <t>月曜日に分類自動値引を行うか否かを設定する
　0：未実施
　1：実施</t>
    <rPh sb="4" eb="6">
      <t>ブンルイ</t>
    </rPh>
    <rPh sb="6" eb="8">
      <t>ジドウ</t>
    </rPh>
    <rPh sb="8" eb="10">
      <t>ネビ</t>
    </rPh>
    <phoneticPr fontId="5"/>
  </si>
  <si>
    <t>火曜日に分類自動値引を行うか否かを設定する
　0：未実施
　1：実施</t>
    <rPh sb="0" eb="2">
      <t>カヨウ</t>
    </rPh>
    <rPh sb="4" eb="6">
      <t>ブンルイ</t>
    </rPh>
    <rPh sb="6" eb="8">
      <t>ジドウ</t>
    </rPh>
    <rPh sb="8" eb="10">
      <t>ネビ</t>
    </rPh>
    <phoneticPr fontId="5"/>
  </si>
  <si>
    <t>水曜日に分類自動値引を行うか否かを設定する
　0：未実施
　1：実施</t>
    <rPh sb="0" eb="2">
      <t>スイヨウ</t>
    </rPh>
    <rPh sb="4" eb="6">
      <t>ブンルイ</t>
    </rPh>
    <rPh sb="6" eb="8">
      <t>ジドウ</t>
    </rPh>
    <rPh sb="8" eb="10">
      <t>ネビ</t>
    </rPh>
    <phoneticPr fontId="5"/>
  </si>
  <si>
    <t>木曜日に分類自動値引を行うか否かを設定する
　0：未実施
　1：実施</t>
    <rPh sb="0" eb="2">
      <t>モクヨウ</t>
    </rPh>
    <rPh sb="4" eb="6">
      <t>ブンルイ</t>
    </rPh>
    <rPh sb="6" eb="8">
      <t>ジドウ</t>
    </rPh>
    <rPh sb="8" eb="10">
      <t>ネビ</t>
    </rPh>
    <phoneticPr fontId="5"/>
  </si>
  <si>
    <t>金曜日に分類自動値引を行うか否かを設定する
　0：未実施
　1：実施</t>
    <rPh sb="0" eb="2">
      <t>キンヨウ</t>
    </rPh>
    <rPh sb="4" eb="6">
      <t>ブンルイ</t>
    </rPh>
    <rPh sb="6" eb="8">
      <t>ジドウ</t>
    </rPh>
    <rPh sb="8" eb="10">
      <t>ネビ</t>
    </rPh>
    <phoneticPr fontId="5"/>
  </si>
  <si>
    <t>土曜日に分類自動値引を行うか否かを設定する
　0：未実施
　1：実施</t>
    <rPh sb="0" eb="2">
      <t>ドヨウ</t>
    </rPh>
    <rPh sb="4" eb="6">
      <t>ブンルイ</t>
    </rPh>
    <rPh sb="6" eb="8">
      <t>ジドウ</t>
    </rPh>
    <rPh sb="8" eb="10">
      <t>ネビ</t>
    </rPh>
    <phoneticPr fontId="5"/>
  </si>
  <si>
    <t>日曜日に分類自動値引を行うか否かを設定する
　0：未実施
　1：実施</t>
    <rPh sb="0" eb="2">
      <t>ニチヨウ</t>
    </rPh>
    <rPh sb="4" eb="6">
      <t>ブンルイ</t>
    </rPh>
    <rPh sb="6" eb="8">
      <t>ジドウ</t>
    </rPh>
    <rPh sb="8" eb="10">
      <t>ネビ</t>
    </rPh>
    <phoneticPr fontId="5"/>
  </si>
  <si>
    <t>小計値引マスタ（曜日指定）　《DiscountSubTotalWeekdayMaster_asa》</t>
    <phoneticPr fontId="4"/>
  </si>
  <si>
    <r>
      <t>0：登録（新規／更新）</t>
    </r>
    <r>
      <rPr>
        <b/>
        <sz val="11"/>
        <rFont val="ＭＳ Ｐゴシック"/>
        <family val="3"/>
        <charset val="128"/>
      </rPr>
      <t>／再開</t>
    </r>
    <r>
      <rPr>
        <sz val="11"/>
        <rFont val="ＭＳ Ｐゴシック"/>
        <family val="3"/>
        <charset val="128"/>
      </rPr>
      <t>、 1：削除</t>
    </r>
    <r>
      <rPr>
        <b/>
        <sz val="11"/>
        <rFont val="ＭＳ Ｐゴシック"/>
        <family val="3"/>
        <charset val="128"/>
      </rPr>
      <t>／中断</t>
    </r>
    <r>
      <rPr>
        <sz val="11"/>
        <rFont val="ＭＳ Ｐゴシック"/>
        <family val="3"/>
        <charset val="128"/>
      </rPr>
      <t xml:space="preserve">、 2：洗い替え
</t>
    </r>
    <rPh sb="12" eb="14">
      <t>サイカイ</t>
    </rPh>
    <rPh sb="21" eb="23">
      <t>チュウダン</t>
    </rPh>
    <phoneticPr fontId="5"/>
  </si>
  <si>
    <t>DiscountCode</t>
    <phoneticPr fontId="5"/>
  </si>
  <si>
    <t>値引コード</t>
    <phoneticPr fontId="5"/>
  </si>
  <si>
    <t>"07"固定(朝割)</t>
    <rPh sb="4" eb="6">
      <t>コテイ</t>
    </rPh>
    <phoneticPr fontId="4"/>
  </si>
  <si>
    <t>DiscountValue</t>
    <phoneticPr fontId="5"/>
  </si>
  <si>
    <t>値引金額/率</t>
    <rPh sb="0" eb="2">
      <t>ネビキ</t>
    </rPh>
    <rPh sb="2" eb="4">
      <t>キンガク</t>
    </rPh>
    <rPh sb="5" eb="6">
      <t>リツ</t>
    </rPh>
    <phoneticPr fontId="5"/>
  </si>
  <si>
    <t>値引金額/率（値引方法コードにより金額/割引率で意味が変わります）</t>
    <phoneticPr fontId="5"/>
  </si>
  <si>
    <t>割引率</t>
    <rPh sb="0" eb="2">
      <t>ワリビキ</t>
    </rPh>
    <rPh sb="2" eb="3">
      <t>リツ</t>
    </rPh>
    <phoneticPr fontId="4"/>
  </si>
  <si>
    <t>説明</t>
  </si>
  <si>
    <t>"対象品割引合計額"固定</t>
    <phoneticPr fontId="4"/>
  </si>
  <si>
    <t>PromotionCode</t>
    <phoneticPr fontId="5"/>
  </si>
  <si>
    <t>企画販売を管理する企画コードを設定する</t>
    <rPh sb="0" eb="2">
      <t>キカク</t>
    </rPh>
    <rPh sb="2" eb="4">
      <t>ハンバイ</t>
    </rPh>
    <rPh sb="5" eb="7">
      <t>カンリ</t>
    </rPh>
    <rPh sb="9" eb="11">
      <t>キカク</t>
    </rPh>
    <rPh sb="15" eb="17">
      <t>セッテイ</t>
    </rPh>
    <phoneticPr fontId="5"/>
  </si>
  <si>
    <t>"000102"固定（朝割）</t>
    <rPh sb="8" eb="10">
      <t>コテイ</t>
    </rPh>
    <rPh sb="11" eb="12">
      <t>アサ</t>
    </rPh>
    <rPh sb="12" eb="13">
      <t>ワリ</t>
    </rPh>
    <phoneticPr fontId="4"/>
  </si>
  <si>
    <t>値引種別コード</t>
    <phoneticPr fontId="5"/>
  </si>
  <si>
    <t>"15"固定（朝割）</t>
    <rPh sb="4" eb="6">
      <t>コテイ</t>
    </rPh>
    <rPh sb="7" eb="8">
      <t>アサ</t>
    </rPh>
    <rPh sb="8" eb="9">
      <t>ワリ</t>
    </rPh>
    <phoneticPr fontId="4"/>
  </si>
  <si>
    <t>値引方法コード</t>
  </si>
  <si>
    <t>01：値引、02：割引</t>
    <rPh sb="3" eb="5">
      <t>ネビキ</t>
    </rPh>
    <phoneticPr fontId="4"/>
  </si>
  <si>
    <t>"02"固定(割引）</t>
    <rPh sb="4" eb="6">
      <t>コテイ</t>
    </rPh>
    <rPh sb="7" eb="9">
      <t>ワリビキ</t>
    </rPh>
    <phoneticPr fontId="4"/>
  </si>
  <si>
    <t>datetime2</t>
    <phoneticPr fontId="4"/>
  </si>
  <si>
    <t>販促開始日
"YYYY-MM-DD hh:mm:ss.fffffff"形式で設定する</t>
    <rPh sb="0" eb="2">
      <t>ハンソク</t>
    </rPh>
    <rPh sb="2" eb="4">
      <t>カイシ</t>
    </rPh>
    <rPh sb="4" eb="5">
      <t>ビ</t>
    </rPh>
    <rPh sb="35" eb="37">
      <t>ケイシキ</t>
    </rPh>
    <rPh sb="38" eb="40">
      <t>セッテイ</t>
    </rPh>
    <phoneticPr fontId="4"/>
  </si>
  <si>
    <t>"1900-01-01 00:00:00.0000000"固定</t>
    <rPh sb="29" eb="31">
      <t>コテイ</t>
    </rPh>
    <phoneticPr fontId="4"/>
  </si>
  <si>
    <t>販促終了日
"YYYY-MM-DD hh:mm:ss.fffffff"形式で設定する</t>
    <rPh sb="0" eb="2">
      <t>ハンソク</t>
    </rPh>
    <rPh sb="2" eb="4">
      <t>シュウリョウ</t>
    </rPh>
    <rPh sb="4" eb="5">
      <t>ヒ</t>
    </rPh>
    <phoneticPr fontId="4"/>
  </si>
  <si>
    <t>"2099-12-31 23:59:59.0000000"固定</t>
    <rPh sb="29" eb="31">
      <t>コテイ</t>
    </rPh>
    <phoneticPr fontId="4"/>
  </si>
  <si>
    <t>StartServiceTime</t>
    <phoneticPr fontId="4"/>
  </si>
  <si>
    <t>サービス開始時間
"hh:mm:ss.fffffff"形式で設定する</t>
    <rPh sb="27" eb="29">
      <t>ケイシキ</t>
    </rPh>
    <rPh sb="30" eb="32">
      <t>セッテイ</t>
    </rPh>
    <phoneticPr fontId="4"/>
  </si>
  <si>
    <t>"00:00:00.0000000"固定</t>
    <rPh sb="18" eb="20">
      <t>コテイ</t>
    </rPh>
    <phoneticPr fontId="4"/>
  </si>
  <si>
    <t>EndServiceTime</t>
    <phoneticPr fontId="4"/>
  </si>
  <si>
    <t>サービス終了時間
"hh:mm:ss.fffffff"形式で設定する</t>
    <phoneticPr fontId="4"/>
  </si>
  <si>
    <t>"23:59:59.0000000"固定</t>
    <rPh sb="18" eb="20">
      <t>コテイ</t>
    </rPh>
    <phoneticPr fontId="4"/>
  </si>
  <si>
    <t>"2"固定</t>
    <rPh sb="3" eb="5">
      <t>コテイ</t>
    </rPh>
    <phoneticPr fontId="4"/>
  </si>
  <si>
    <t>月曜日実施フラグ（0：未実施、1：実施）</t>
    <phoneticPr fontId="4"/>
  </si>
  <si>
    <t>〇</t>
  </si>
  <si>
    <t>0 または 1</t>
    <phoneticPr fontId="4"/>
  </si>
  <si>
    <t>火曜日実施フラグ（0：未実施、1：実施）</t>
    <phoneticPr fontId="4"/>
  </si>
  <si>
    <t>水曜日実施フラグ（0：未実施、1：実施）</t>
    <phoneticPr fontId="4"/>
  </si>
  <si>
    <t>木曜日実施フラグ（0：未実施、1：実施）</t>
    <phoneticPr fontId="4"/>
  </si>
  <si>
    <t>金曜日実施フラグ（0：未実施、1：実施）</t>
    <phoneticPr fontId="4"/>
  </si>
  <si>
    <t>土曜日実施フラグ（0：未実施、1：実施）</t>
    <phoneticPr fontId="4"/>
  </si>
  <si>
    <t>日曜日実施フラグ（0：未実施、1：実施）</t>
    <phoneticPr fontId="4"/>
  </si>
  <si>
    <t>小計値引マスタ（曜日指定）　《DiscountSubTotalWeekdayMaster_mega》</t>
    <phoneticPr fontId="4"/>
  </si>
  <si>
    <t>"08"固定(メガ割)</t>
    <rPh sb="4" eb="6">
      <t>コテイ</t>
    </rPh>
    <rPh sb="9" eb="10">
      <t>ワリ</t>
    </rPh>
    <phoneticPr fontId="4"/>
  </si>
  <si>
    <t>"000103"固定(メガ割)</t>
    <rPh sb="8" eb="10">
      <t>コテイ</t>
    </rPh>
    <phoneticPr fontId="4"/>
  </si>
  <si>
    <t>"14"固定(メガ割)</t>
    <rPh sb="4" eb="6">
      <t>コテイ</t>
    </rPh>
    <rPh sb="9" eb="10">
      <t>ワリ</t>
    </rPh>
    <phoneticPr fontId="4"/>
  </si>
  <si>
    <t>"02"固定(割引)</t>
    <rPh sb="4" eb="6">
      <t>コテイ</t>
    </rPh>
    <rPh sb="7" eb="9">
      <t>ワリビキ</t>
    </rPh>
    <phoneticPr fontId="4"/>
  </si>
  <si>
    <t>0 または 1</t>
  </si>
  <si>
    <t>分類拡張マスタ　《MDHierarchyExKsmMaster_asa》</t>
    <phoneticPr fontId="4"/>
  </si>
  <si>
    <t>カスミ様
全品割引(朝割)</t>
    <rPh sb="3" eb="4">
      <t>サマ</t>
    </rPh>
    <rPh sb="10" eb="11">
      <t>アサ</t>
    </rPh>
    <rPh sb="11" eb="12">
      <t>ワリ</t>
    </rPh>
    <phoneticPr fontId="5"/>
  </si>
  <si>
    <t>マルエツ様
全品割引(手動解除)</t>
    <rPh sb="4" eb="5">
      <t>サマ</t>
    </rPh>
    <phoneticPr fontId="5"/>
  </si>
  <si>
    <t>会社コード
MVIF配信データ：100固定</t>
    <rPh sb="0" eb="2">
      <t>カイシャ</t>
    </rPh>
    <phoneticPr fontId="5"/>
  </si>
  <si>
    <t>ExType</t>
    <phoneticPr fontId="4"/>
  </si>
  <si>
    <t>拡張区分</t>
    <rPh sb="0" eb="2">
      <t>カクチョウ</t>
    </rPh>
    <rPh sb="2" eb="4">
      <t>クブン</t>
    </rPh>
    <phoneticPr fontId="4"/>
  </si>
  <si>
    <t>各分類コードに対する拡張指定を行う。</t>
    <rPh sb="0" eb="1">
      <t>カク</t>
    </rPh>
    <rPh sb="1" eb="3">
      <t>ブンルイ</t>
    </rPh>
    <rPh sb="7" eb="8">
      <t>タイ</t>
    </rPh>
    <rPh sb="10" eb="12">
      <t>カクチョウ</t>
    </rPh>
    <rPh sb="12" eb="14">
      <t>シテイ</t>
    </rPh>
    <rPh sb="15" eb="16">
      <t>オコナ</t>
    </rPh>
    <phoneticPr fontId="4"/>
  </si>
  <si>
    <t>"1"固定(朝割除外)</t>
    <rPh sb="3" eb="5">
      <t>コテイ</t>
    </rPh>
    <phoneticPr fontId="4"/>
  </si>
  <si>
    <t>分類コード</t>
    <rPh sb="0" eb="2">
      <t>ブンルイ</t>
    </rPh>
    <phoneticPr fontId="4"/>
  </si>
  <si>
    <t>任意</t>
    <rPh sb="0" eb="2">
      <t>ニンイ</t>
    </rPh>
    <phoneticPr fontId="4"/>
  </si>
  <si>
    <t>分類レベル</t>
    <rPh sb="0" eb="2">
      <t>ブンルイ</t>
    </rPh>
    <phoneticPr fontId="4"/>
  </si>
  <si>
    <t>各分類のレベルコードを設定する</t>
    <rPh sb="0" eb="1">
      <t>カク</t>
    </rPh>
    <rPh sb="1" eb="3">
      <t>ブンルイ</t>
    </rPh>
    <rPh sb="11" eb="13">
      <t>セッテイ</t>
    </rPh>
    <phoneticPr fontId="5"/>
  </si>
  <si>
    <t>"1"固定（部門)</t>
    <rPh sb="3" eb="5">
      <t>コテイ</t>
    </rPh>
    <rPh sb="6" eb="8">
      <t>ブモン</t>
    </rPh>
    <phoneticPr fontId="4"/>
  </si>
  <si>
    <t>"1"固定(DIV)</t>
    <phoneticPr fontId="4"/>
  </si>
  <si>
    <t>分類拡張マスタ　《MDHierarchyExKsmMaster_mega》</t>
    <phoneticPr fontId="4"/>
  </si>
  <si>
    <t>カスミ様
全品割引(メガ割)</t>
    <rPh sb="3" eb="4">
      <t>サマ</t>
    </rPh>
    <rPh sb="12" eb="13">
      <t>ワリ</t>
    </rPh>
    <phoneticPr fontId="5"/>
  </si>
  <si>
    <t>マルエツ様
全品割引(自動解除)</t>
    <rPh sb="4" eb="5">
      <t>サマ</t>
    </rPh>
    <rPh sb="11" eb="13">
      <t>ジドウ</t>
    </rPh>
    <phoneticPr fontId="5"/>
  </si>
  <si>
    <t>固定値 [200]</t>
    <phoneticPr fontId="4"/>
  </si>
  <si>
    <t>"2"固定(メガ割除外)</t>
    <rPh sb="3" eb="5">
      <t>コテイ</t>
    </rPh>
    <phoneticPr fontId="4"/>
  </si>
  <si>
    <t>"1"固定（部門）</t>
    <rPh sb="3" eb="5">
      <t>コテイ</t>
    </rPh>
    <rPh sb="6" eb="8">
      <t>ブモン</t>
    </rPh>
    <phoneticPr fontId="4"/>
  </si>
  <si>
    <t>"1"固定（DIV）</t>
    <phoneticPr fontId="4"/>
  </si>
  <si>
    <t>TaxCodeMaster</t>
    <phoneticPr fontId="5"/>
  </si>
  <si>
    <r>
      <t xml:space="preserve">マルエツ様
</t>
    </r>
    <r>
      <rPr>
        <b/>
        <sz val="12"/>
        <color rgb="FFFF0000"/>
        <rFont val="ＭＳ Ｐゴシック"/>
        <family val="3"/>
        <charset val="128"/>
      </rPr>
      <t>(連携対象外:手動でメンテ)</t>
    </r>
    <rPh sb="4" eb="5">
      <t>サマ</t>
    </rPh>
    <rPh sb="7" eb="9">
      <t>レンケイ</t>
    </rPh>
    <rPh sb="9" eb="12">
      <t>タイショウガイ</t>
    </rPh>
    <rPh sb="13" eb="15">
      <t>シュドウ</t>
    </rPh>
    <phoneticPr fontId="5"/>
  </si>
  <si>
    <r>
      <t xml:space="preserve">MV関東様
</t>
    </r>
    <r>
      <rPr>
        <b/>
        <sz val="12"/>
        <color rgb="FFFF0000"/>
        <rFont val="ＭＳ Ｐゴシック"/>
        <family val="3"/>
        <charset val="128"/>
      </rPr>
      <t>(連携対象外:手動でメンテ)</t>
    </r>
    <rPh sb="2" eb="4">
      <t>カントウ</t>
    </rPh>
    <rPh sb="4" eb="5">
      <t>サマ</t>
    </rPh>
    <rPh sb="7" eb="9">
      <t>レンケイ</t>
    </rPh>
    <rPh sb="9" eb="12">
      <t>タイショウガイ</t>
    </rPh>
    <rPh sb="13" eb="15">
      <t>シュドウ</t>
    </rPh>
    <phoneticPr fontId="5"/>
  </si>
  <si>
    <t>0：登録（新規／更新）、 2：洗い替え</t>
    <phoneticPr fontId="5"/>
  </si>
  <si>
    <t>固定値 [300]</t>
    <rPh sb="0" eb="3">
      <t>コテイチ</t>
    </rPh>
    <phoneticPr fontId="5"/>
  </si>
  <si>
    <t>TaxCode</t>
  </si>
  <si>
    <t>税コード</t>
  </si>
  <si>
    <t>TaxType</t>
  </si>
  <si>
    <t>税タイプ</t>
  </si>
  <si>
    <t>『設定値』シート参照</t>
    <phoneticPr fontId="5"/>
  </si>
  <si>
    <t>Rate</t>
  </si>
  <si>
    <t>レート</t>
  </si>
  <si>
    <t>4, 2</t>
    <phoneticPr fontId="5"/>
  </si>
  <si>
    <t>RoundDigit</t>
  </si>
  <si>
    <t>丸め桁</t>
  </si>
  <si>
    <t>RoundMethod</t>
  </si>
  <si>
    <t>丸め方法</t>
  </si>
  <si>
    <t>TaxGroupDetailMaster</t>
    <phoneticPr fontId="5"/>
  </si>
  <si>
    <t>TaxGroupDetailCode</t>
    <phoneticPr fontId="5"/>
  </si>
  <si>
    <t>税グループ詳細コード</t>
    <rPh sb="0" eb="1">
      <t>ゼイ</t>
    </rPh>
    <rPh sb="5" eb="7">
      <t>ショウサイ</t>
    </rPh>
    <phoneticPr fontId="5"/>
  </si>
  <si>
    <t>TaxCode</t>
    <phoneticPr fontId="5"/>
  </si>
  <si>
    <t>税コード</t>
    <rPh sb="0" eb="1">
      <t>ゼイ</t>
    </rPh>
    <phoneticPr fontId="5"/>
  </si>
  <si>
    <t>TaxGroupMaster</t>
  </si>
  <si>
    <t>StartDate</t>
    <phoneticPr fontId="5"/>
  </si>
  <si>
    <t>税提供開始日</t>
    <rPh sb="0" eb="1">
      <t>ゼイ</t>
    </rPh>
    <rPh sb="1" eb="3">
      <t>テイキョウ</t>
    </rPh>
    <rPh sb="3" eb="6">
      <t>カイシビ</t>
    </rPh>
    <phoneticPr fontId="5"/>
  </si>
  <si>
    <t>Description</t>
    <phoneticPr fontId="5"/>
  </si>
  <si>
    <t>説明</t>
    <phoneticPr fontId="5"/>
  </si>
  <si>
    <t>税グループ詳細コード</t>
    <rPh sb="5" eb="7">
      <t>ショウサイ</t>
    </rPh>
    <phoneticPr fontId="5"/>
  </si>
  <si>
    <t>TaxTypeMaster</t>
  </si>
  <si>
    <t>税種別</t>
  </si>
  <si>
    <t>ReducedTaxRateMaster</t>
  </si>
  <si>
    <r>
      <t xml:space="preserve">カスミ様
</t>
    </r>
    <r>
      <rPr>
        <b/>
        <sz val="12"/>
        <color rgb="FFFF0000"/>
        <rFont val="ＭＳ Ｐゴシック"/>
        <family val="3"/>
        <charset val="128"/>
      </rPr>
      <t>(連携対象:未使用)</t>
    </r>
    <rPh sb="3" eb="4">
      <t>サマ</t>
    </rPh>
    <rPh sb="6" eb="8">
      <t>レンケイ</t>
    </rPh>
    <rPh sb="8" eb="10">
      <t>タイショウ</t>
    </rPh>
    <rPh sb="10" eb="13">
      <t>ミシヨウ</t>
    </rPh>
    <phoneticPr fontId="5"/>
  </si>
  <si>
    <r>
      <t xml:space="preserve">カスミ様
</t>
    </r>
    <r>
      <rPr>
        <b/>
        <sz val="12"/>
        <color rgb="FFFF0000"/>
        <rFont val="ＭＳ Ｐゴシック"/>
        <family val="3"/>
        <charset val="128"/>
      </rPr>
      <t>(連携対象外:未使用)</t>
    </r>
    <rPh sb="3" eb="4">
      <t>サマ</t>
    </rPh>
    <rPh sb="6" eb="8">
      <t>レンケイ</t>
    </rPh>
    <rPh sb="8" eb="10">
      <t>タイショウ</t>
    </rPh>
    <rPh sb="10" eb="11">
      <t>ガイ</t>
    </rPh>
    <rPh sb="11" eb="14">
      <t>ミシヨウ</t>
    </rPh>
    <phoneticPr fontId="5"/>
  </si>
  <si>
    <r>
      <t xml:space="preserve">カスミ様
</t>
    </r>
    <r>
      <rPr>
        <b/>
        <sz val="12"/>
        <color rgb="FFFF0000"/>
        <rFont val="ＭＳ Ｐゴシック"/>
        <family val="3"/>
        <charset val="128"/>
      </rPr>
      <t>(連携対象外:未使用)</t>
    </r>
    <rPh sb="3" eb="4">
      <t>サマ</t>
    </rPh>
    <rPh sb="6" eb="8">
      <t>レンケイ</t>
    </rPh>
    <rPh sb="8" eb="10">
      <t>タイショウ</t>
    </rPh>
    <rPh sb="11" eb="14">
      <t>ミシヨウ</t>
    </rPh>
    <phoneticPr fontId="5"/>
  </si>
  <si>
    <t>IsReducedTaxRate</t>
  </si>
  <si>
    <t>軽減税率対象フラグ</t>
    <rPh sb="0" eb="2">
      <t>ケイゲン</t>
    </rPh>
    <rPh sb="2" eb="4">
      <t>ゼイリツ</t>
    </rPh>
    <rPh sb="4" eb="6">
      <t>タイショウ</t>
    </rPh>
    <phoneticPr fontId="9"/>
  </si>
  <si>
    <t>Trueの場合、レシートに軽減税率マークを印字する</t>
    <rPh sb="5" eb="7">
      <t>バアイ</t>
    </rPh>
    <rPh sb="13" eb="15">
      <t>ケイゲン</t>
    </rPh>
    <rPh sb="15" eb="17">
      <t>ゼイリツ</t>
    </rPh>
    <rPh sb="21" eb="23">
      <t>インジ</t>
    </rPh>
    <phoneticPr fontId="9"/>
  </si>
  <si>
    <t>SwitchTaxGroupCode</t>
  </si>
  <si>
    <t>変更先税グループコード</t>
    <rPh sb="0" eb="2">
      <t>ヘンコウ</t>
    </rPh>
    <rPh sb="2" eb="3">
      <t>サキ</t>
    </rPh>
    <rPh sb="3" eb="4">
      <t>ゼイ</t>
    </rPh>
    <phoneticPr fontId="9"/>
  </si>
  <si>
    <t>税率変更機能で利用(ここで設定された税グループコードに変更する)</t>
    <rPh sb="0" eb="2">
      <t>ゼイリツ</t>
    </rPh>
    <rPh sb="2" eb="4">
      <t>ヘンコウ</t>
    </rPh>
    <rPh sb="4" eb="6">
      <t>キノウ</t>
    </rPh>
    <rPh sb="7" eb="9">
      <t>リヨウ</t>
    </rPh>
    <rPh sb="13" eb="15">
      <t>セッテイ</t>
    </rPh>
    <rPh sb="18" eb="19">
      <t>ゼイ</t>
    </rPh>
    <rPh sb="27" eb="29">
      <t>ヘンコウ</t>
    </rPh>
    <phoneticPr fontId="9"/>
  </si>
  <si>
    <t>相関図</t>
    <rPh sb="0" eb="3">
      <t>ソウカンズ</t>
    </rPh>
    <phoneticPr fontId="9"/>
  </si>
  <si>
    <t>税変換</t>
    <rPh sb="0" eb="1">
      <t>ゼイ</t>
    </rPh>
    <rPh sb="1" eb="3">
      <t>ヘンカン</t>
    </rPh>
    <phoneticPr fontId="16"/>
  </si>
  <si>
    <t>・</t>
  </si>
  <si>
    <t>使用マスタ</t>
    <rPh sb="0" eb="2">
      <t>シヨウ</t>
    </rPh>
    <phoneticPr fontId="16"/>
  </si>
  <si>
    <t>TaxGroupMaster</t>
    <phoneticPr fontId="8"/>
  </si>
  <si>
    <t>ItemMaster</t>
    <phoneticPr fontId="8"/>
  </si>
  <si>
    <t>TaxGroupDetailMaster</t>
    <phoneticPr fontId="8"/>
  </si>
  <si>
    <t>MDHierarchyMaster</t>
  </si>
  <si>
    <t>TaxCodeMaster</t>
    <phoneticPr fontId="8"/>
  </si>
  <si>
    <t>主キー</t>
    <rPh sb="0" eb="1">
      <t>シュ</t>
    </rPh>
    <phoneticPr fontId="9"/>
  </si>
  <si>
    <t>関連している項目</t>
    <rPh sb="0" eb="2">
      <t>カンレン</t>
    </rPh>
    <rPh sb="6" eb="8">
      <t>コウモク</t>
    </rPh>
    <phoneticPr fontId="9"/>
  </si>
  <si>
    <t>TaxGroupDetailMaster</t>
  </si>
  <si>
    <t>TaxCodeMaster</t>
  </si>
  <si>
    <t>CompanyCode</t>
    <phoneticPr fontId="9"/>
  </si>
  <si>
    <t>企業コード</t>
    <rPh sb="0" eb="2">
      <t>キギョウ</t>
    </rPh>
    <phoneticPr fontId="9"/>
  </si>
  <si>
    <t>企業コード</t>
  </si>
  <si>
    <t>StoreCode</t>
    <phoneticPr fontId="9"/>
  </si>
  <si>
    <t>店舗コード</t>
  </si>
  <si>
    <t>TaxGroupDetailCode</t>
  </si>
  <si>
    <t>税グループ詳細コード</t>
    <phoneticPr fontId="9"/>
  </si>
  <si>
    <t>TaxType</t>
    <phoneticPr fontId="9"/>
  </si>
  <si>
    <t>税種別</t>
    <phoneticPr fontId="9"/>
  </si>
  <si>
    <t>StartDate</t>
    <phoneticPr fontId="9"/>
  </si>
  <si>
    <t>税提供開始日</t>
  </si>
  <si>
    <t>TaxCode</t>
    <phoneticPr fontId="9"/>
  </si>
  <si>
    <t>Rate</t>
    <phoneticPr fontId="9"/>
  </si>
  <si>
    <t>TaxGroupDetailCode</t>
    <phoneticPr fontId="9"/>
  </si>
  <si>
    <t>税グループ詳細コード</t>
  </si>
  <si>
    <t>RoundDigit</t>
    <phoneticPr fontId="9"/>
  </si>
  <si>
    <t>RoundMethod</t>
    <phoneticPr fontId="9"/>
  </si>
  <si>
    <t>ItemMaster</t>
  </si>
  <si>
    <t>MDHierarchyMaster</t>
    <phoneticPr fontId="8"/>
  </si>
  <si>
    <t>MD階層コード</t>
  </si>
  <si>
    <t>：</t>
    <phoneticPr fontId="8"/>
  </si>
  <si>
    <t>MD階層レベル</t>
  </si>
  <si>
    <t>TaxGroupCode</t>
    <phoneticPr fontId="9"/>
  </si>
  <si>
    <t>・</t>
    <phoneticPr fontId="9"/>
  </si>
  <si>
    <t>税の算出方法</t>
    <rPh sb="0" eb="1">
      <t>ゼイ</t>
    </rPh>
    <rPh sb="2" eb="4">
      <t>サンシュツ</t>
    </rPh>
    <rPh sb="4" eb="6">
      <t>ホウホウ</t>
    </rPh>
    <phoneticPr fontId="9"/>
  </si>
  <si>
    <t>★単品登録の場合</t>
    <rPh sb="1" eb="3">
      <t>タンピン</t>
    </rPh>
    <rPh sb="3" eb="5">
      <t>トウロク</t>
    </rPh>
    <rPh sb="6" eb="8">
      <t>バアイ</t>
    </rPh>
    <phoneticPr fontId="9"/>
  </si>
  <si>
    <t>単品に対する「ItemMaster．TaxGroupCode」をキーとし、「TaxCodeMaster」マスタの値を取得する</t>
    <rPh sb="0" eb="2">
      <t>タンピン</t>
    </rPh>
    <rPh sb="3" eb="4">
      <t>タイ</t>
    </rPh>
    <rPh sb="56" eb="57">
      <t>アタイ</t>
    </rPh>
    <rPh sb="58" eb="60">
      <t>シュトク</t>
    </rPh>
    <phoneticPr fontId="9"/>
  </si>
  <si>
    <t>①</t>
    <phoneticPr fontId="9"/>
  </si>
  <si>
    <t>TaxGroupCode を使用し「TaxGroupMaster」マスタから TaxGroupDetailCode を取得する</t>
    <rPh sb="14" eb="16">
      <t>シヨウ</t>
    </rPh>
    <rPh sb="59" eb="61">
      <t>シュトク</t>
    </rPh>
    <phoneticPr fontId="9"/>
  </si>
  <si>
    <t>RoundMethod(丸め種別)</t>
    <phoneticPr fontId="9"/>
  </si>
  <si>
    <t>※StartDate≦システム日付 となる最新日のレコードを取得する</t>
    <rPh sb="30" eb="32">
      <t>シュトク</t>
    </rPh>
    <phoneticPr fontId="9"/>
  </si>
  <si>
    <t>01:四捨五入</t>
  </si>
  <si>
    <t>②</t>
    <phoneticPr fontId="9"/>
  </si>
  <si>
    <t>TaxGroupDetailCode を使用し「TaxGroupDetailMaster」マスタから TaxCode を取得する</t>
    <rPh sb="20" eb="22">
      <t>シヨウ</t>
    </rPh>
    <rPh sb="60" eb="62">
      <t>シュトク</t>
    </rPh>
    <phoneticPr fontId="9"/>
  </si>
  <si>
    <t>02:切上げ</t>
    <phoneticPr fontId="9"/>
  </si>
  <si>
    <t>③</t>
    <phoneticPr fontId="9"/>
  </si>
  <si>
    <t>TaxCode を使用し「TaxCodeMaster」マスタから TaxType, Rate, RoundDigit, RoundMethod を取得する</t>
    <rPh sb="9" eb="11">
      <t>シヨウ</t>
    </rPh>
    <rPh sb="73" eb="75">
      <t>シュトク</t>
    </rPh>
    <phoneticPr fontId="9"/>
  </si>
  <si>
    <t>03:切捨て</t>
    <phoneticPr fontId="9"/>
  </si>
  <si>
    <t>④</t>
    <phoneticPr fontId="9"/>
  </si>
  <si>
    <t>TaxTypeより算出方法を切り替え</t>
    <rPh sb="9" eb="11">
      <t>サンシュツ</t>
    </rPh>
    <rPh sb="11" eb="13">
      <t>ホウホウ</t>
    </rPh>
    <rPh sb="14" eb="15">
      <t>キ</t>
    </rPh>
    <rPh sb="16" eb="17">
      <t>カ</t>
    </rPh>
    <phoneticPr fontId="9"/>
  </si>
  <si>
    <t>04:偶数丸め</t>
    <phoneticPr fontId="9"/>
  </si>
  <si>
    <t>・TaxType＝"01"(外税)の場合</t>
    <rPh sb="18" eb="20">
      <t>バアイ</t>
    </rPh>
    <phoneticPr fontId="9"/>
  </si>
  <si>
    <t>(対象金額 / 100m) * Rate の結果を　RoundDigit　の桁で丸めた値を税額とする。丸め方式は RoundMethod を使用する。</t>
    <rPh sb="1" eb="3">
      <t>タイショウ</t>
    </rPh>
    <rPh sb="3" eb="5">
      <t>キンガク</t>
    </rPh>
    <rPh sb="22" eb="24">
      <t>ケッカ</t>
    </rPh>
    <rPh sb="38" eb="39">
      <t>ケタ</t>
    </rPh>
    <rPh sb="40" eb="41">
      <t>マル</t>
    </rPh>
    <rPh sb="43" eb="44">
      <t>アタイ</t>
    </rPh>
    <rPh sb="45" eb="47">
      <t>ゼイガク</t>
    </rPh>
    <rPh sb="51" eb="52">
      <t>マル</t>
    </rPh>
    <rPh sb="53" eb="55">
      <t>ホウシキ</t>
    </rPh>
    <rPh sb="70" eb="72">
      <t>シヨウ</t>
    </rPh>
    <phoneticPr fontId="9"/>
  </si>
  <si>
    <t>・TaxType＝"02"(内税)の場合</t>
    <rPh sb="18" eb="20">
      <t>バアイ</t>
    </rPh>
    <phoneticPr fontId="9"/>
  </si>
  <si>
    <t>(対象金額 / (100 + Rate)) * Rate の結果を　RoundDigit　の桁で丸めた値を税額とする。丸め方式は RoundMethod を使用する。</t>
    <rPh sb="1" eb="3">
      <t>タイショウ</t>
    </rPh>
    <rPh sb="3" eb="5">
      <t>キンガク</t>
    </rPh>
    <phoneticPr fontId="9"/>
  </si>
  <si>
    <t>・TaxType＝"03"(非課税)の場合</t>
    <rPh sb="14" eb="17">
      <t>ヒカゼイ</t>
    </rPh>
    <rPh sb="19" eb="21">
      <t>バアイ</t>
    </rPh>
    <phoneticPr fontId="9"/>
  </si>
  <si>
    <t>0 を税額とする。</t>
    <rPh sb="3" eb="5">
      <t>ゼイガク</t>
    </rPh>
    <phoneticPr fontId="9"/>
  </si>
  <si>
    <t>★部門登録、クラス登録の場合</t>
    <rPh sb="1" eb="3">
      <t>ブモン</t>
    </rPh>
    <rPh sb="3" eb="5">
      <t>トウロク</t>
    </rPh>
    <rPh sb="9" eb="11">
      <t>トウロク</t>
    </rPh>
    <rPh sb="12" eb="14">
      <t>バアイ</t>
    </rPh>
    <phoneticPr fontId="9"/>
  </si>
  <si>
    <t>部門／クラスに対する「MDHierarchyMaster．TaxGroupCode」を使用し、上記同様に算出する。</t>
    <rPh sb="0" eb="2">
      <t>ブモン</t>
    </rPh>
    <rPh sb="7" eb="8">
      <t>タイ</t>
    </rPh>
    <rPh sb="43" eb="45">
      <t>シヨウ</t>
    </rPh>
    <rPh sb="47" eb="49">
      <t>ジョウキ</t>
    </rPh>
    <rPh sb="49" eb="51">
      <t>ドウヨウ</t>
    </rPh>
    <rPh sb="52" eb="54">
      <t>サンシュツ</t>
    </rPh>
    <phoneticPr fontId="9"/>
  </si>
  <si>
    <t>（例）</t>
    <rPh sb="1" eb="2">
      <t>レイ</t>
    </rPh>
    <phoneticPr fontId="5"/>
  </si>
  <si>
    <t>№</t>
    <phoneticPr fontId="9"/>
  </si>
  <si>
    <t>0000000000091</t>
    <phoneticPr fontId="9"/>
  </si>
  <si>
    <t>・・・</t>
    <phoneticPr fontId="8"/>
  </si>
  <si>
    <t>04</t>
    <phoneticPr fontId="8"/>
  </si>
  <si>
    <t>04</t>
  </si>
  <si>
    <t>1997-04-01</t>
    <phoneticPr fontId="9"/>
  </si>
  <si>
    <t>外税(5%)</t>
    <rPh sb="0" eb="1">
      <t>ソト</t>
    </rPh>
    <rPh sb="1" eb="2">
      <t>ゼイ</t>
    </rPh>
    <phoneticPr fontId="9"/>
  </si>
  <si>
    <t>01</t>
    <phoneticPr fontId="9"/>
  </si>
  <si>
    <t>0000000123973</t>
    <phoneticPr fontId="9"/>
  </si>
  <si>
    <t>05</t>
    <phoneticPr fontId="9"/>
  </si>
  <si>
    <t>2014-04-01</t>
    <phoneticPr fontId="9"/>
  </si>
  <si>
    <t>外税(8%)</t>
    <rPh sb="0" eb="1">
      <t>ソト</t>
    </rPh>
    <rPh sb="1" eb="2">
      <t>ゼイ</t>
    </rPh>
    <phoneticPr fontId="9"/>
  </si>
  <si>
    <t>11</t>
    <phoneticPr fontId="9"/>
  </si>
  <si>
    <t>05</t>
  </si>
  <si>
    <t>1997-04-01</t>
  </si>
  <si>
    <t>内税(5%)</t>
    <rPh sb="0" eb="2">
      <t>ウチゼイ</t>
    </rPh>
    <phoneticPr fontId="9"/>
  </si>
  <si>
    <t>02</t>
    <phoneticPr fontId="9"/>
  </si>
  <si>
    <t>2014-04-01</t>
  </si>
  <si>
    <t>内税(8%)</t>
    <rPh sb="0" eb="2">
      <t>ウチゼイ</t>
    </rPh>
    <phoneticPr fontId="9"/>
  </si>
  <si>
    <t>12</t>
    <phoneticPr fontId="9"/>
  </si>
  <si>
    <t>06</t>
    <phoneticPr fontId="9"/>
  </si>
  <si>
    <t>非課税</t>
    <rPh sb="0" eb="3">
      <t>ヒカゼイ</t>
    </rPh>
    <phoneticPr fontId="9"/>
  </si>
  <si>
    <t>03</t>
    <phoneticPr fontId="9"/>
  </si>
  <si>
    <t>※複数行ある場合は、StartDate≦システム日付 となる最新日のレコードを取得</t>
    <rPh sb="1" eb="3">
      <t>フクスウ</t>
    </rPh>
    <rPh sb="3" eb="4">
      <t>ギョウ</t>
    </rPh>
    <rPh sb="6" eb="8">
      <t>バアイ</t>
    </rPh>
    <rPh sb="39" eb="41">
      <t>シュトク</t>
    </rPh>
    <phoneticPr fontId="9"/>
  </si>
  <si>
    <t>RoundDigit</t>
    <phoneticPr fontId="5"/>
  </si>
  <si>
    <t>5.0</t>
    <phoneticPr fontId="9"/>
  </si>
  <si>
    <t>消費税(外)</t>
    <rPh sb="0" eb="3">
      <t>ショウヒゼイ</t>
    </rPh>
    <rPh sb="4" eb="5">
      <t>ソト</t>
    </rPh>
    <phoneticPr fontId="9"/>
  </si>
  <si>
    <t>03</t>
  </si>
  <si>
    <t>外税</t>
    <rPh sb="0" eb="1">
      <t>ソト</t>
    </rPh>
    <rPh sb="1" eb="2">
      <t>ゼイ</t>
    </rPh>
    <phoneticPr fontId="9"/>
  </si>
  <si>
    <t>02</t>
  </si>
  <si>
    <t>消費税(内)</t>
    <rPh sb="0" eb="3">
      <t>ショウヒゼイ</t>
    </rPh>
    <rPh sb="4" eb="5">
      <t>ウチ</t>
    </rPh>
    <phoneticPr fontId="9"/>
  </si>
  <si>
    <t>内税</t>
    <rPh sb="0" eb="2">
      <t>ウチゼイ</t>
    </rPh>
    <phoneticPr fontId="9"/>
  </si>
  <si>
    <t>0.0</t>
  </si>
  <si>
    <t>8.0</t>
    <phoneticPr fontId="9"/>
  </si>
  <si>
    <t>12</t>
  </si>
  <si>
    <t>要件定義書</t>
    <rPh sb="0" eb="2">
      <t>ヨウケン</t>
    </rPh>
    <rPh sb="2" eb="5">
      <t>テイギショ</t>
    </rPh>
    <phoneticPr fontId="4"/>
  </si>
  <si>
    <t>作成者</t>
    <rPh sb="0" eb="3">
      <t>サクセイシャ</t>
    </rPh>
    <phoneticPr fontId="5"/>
  </si>
  <si>
    <t>作成日</t>
    <rPh sb="0" eb="2">
      <t>サクセイ</t>
    </rPh>
    <rPh sb="2" eb="3">
      <t>ヒ</t>
    </rPh>
    <phoneticPr fontId="5"/>
  </si>
  <si>
    <t>最終更新者</t>
    <rPh sb="0" eb="2">
      <t>サイシュウ</t>
    </rPh>
    <rPh sb="2" eb="5">
      <t>コウシンシャ</t>
    </rPh>
    <phoneticPr fontId="5"/>
  </si>
  <si>
    <t>最終更新日</t>
    <rPh sb="0" eb="2">
      <t>サイシュウ</t>
    </rPh>
    <rPh sb="2" eb="5">
      <t>コウシンビ</t>
    </rPh>
    <phoneticPr fontId="5"/>
  </si>
  <si>
    <t>■通常商品の税率グループコードを変更する場合</t>
    <rPh sb="1" eb="3">
      <t>ツウジョウ</t>
    </rPh>
    <rPh sb="3" eb="5">
      <t>ショウヒン</t>
    </rPh>
    <rPh sb="6" eb="8">
      <t>ゼイリツ</t>
    </rPh>
    <rPh sb="16" eb="18">
      <t>ヘンコウ</t>
    </rPh>
    <rPh sb="20" eb="22">
      <t>バアイ</t>
    </rPh>
    <phoneticPr fontId="5"/>
  </si>
  <si>
    <t>TaxGroupMaster</t>
    <phoneticPr fontId="5"/>
  </si>
  <si>
    <t>TaxGroupCode</t>
    <phoneticPr fontId="5"/>
  </si>
  <si>
    <t>01</t>
  </si>
  <si>
    <t>2014/4/1</t>
    <phoneticPr fontId="5"/>
  </si>
  <si>
    <r>
      <t>外税</t>
    </r>
    <r>
      <rPr>
        <sz val="11"/>
        <color theme="1"/>
        <rFont val="ＭＳ Ｐゴシック"/>
        <family val="3"/>
        <charset val="128"/>
        <scheme val="minor"/>
      </rPr>
      <t>8%</t>
    </r>
    <rPh sb="0" eb="1">
      <t>ソト</t>
    </rPh>
    <rPh sb="1" eb="2">
      <t>ゼイ</t>
    </rPh>
    <phoneticPr fontId="5"/>
  </si>
  <si>
    <t>01</t>
    <phoneticPr fontId="5"/>
  </si>
  <si>
    <t>01</t>
    <phoneticPr fontId="4"/>
  </si>
  <si>
    <t>2019/10/1</t>
    <phoneticPr fontId="5"/>
  </si>
  <si>
    <t>外税8%</t>
    <rPh sb="0" eb="1">
      <t>ソト</t>
    </rPh>
    <rPh sb="1" eb="2">
      <t>ゼイ</t>
    </rPh>
    <phoneticPr fontId="5"/>
  </si>
  <si>
    <t>21</t>
    <phoneticPr fontId="4"/>
  </si>
  <si>
    <t>11</t>
    <phoneticPr fontId="5"/>
  </si>
  <si>
    <t>外税10%</t>
    <rPh sb="0" eb="1">
      <t>ソト</t>
    </rPh>
    <rPh sb="1" eb="2">
      <t>ゼイ</t>
    </rPh>
    <phoneticPr fontId="5"/>
  </si>
  <si>
    <t>11</t>
    <phoneticPr fontId="4"/>
  </si>
  <si>
    <t>21</t>
    <phoneticPr fontId="5"/>
  </si>
  <si>
    <t>31</t>
    <phoneticPr fontId="4"/>
  </si>
  <si>
    <t>31</t>
    <phoneticPr fontId="5"/>
  </si>
  <si>
    <t>02</t>
    <phoneticPr fontId="5"/>
  </si>
  <si>
    <r>
      <t>内税</t>
    </r>
    <r>
      <rPr>
        <sz val="11"/>
        <color theme="1"/>
        <rFont val="ＭＳ Ｐゴシック"/>
        <family val="3"/>
        <charset val="128"/>
        <scheme val="minor"/>
      </rPr>
      <t>8%</t>
    </r>
    <rPh sb="0" eb="2">
      <t>ウチゼイ</t>
    </rPh>
    <phoneticPr fontId="5"/>
  </si>
  <si>
    <t>02</t>
    <phoneticPr fontId="4"/>
  </si>
  <si>
    <r>
      <t>内税8</t>
    </r>
    <r>
      <rPr>
        <sz val="11"/>
        <color theme="1"/>
        <rFont val="ＭＳ Ｐゴシック"/>
        <family val="3"/>
        <charset val="128"/>
        <scheme val="minor"/>
      </rPr>
      <t>%</t>
    </r>
    <rPh sb="0" eb="2">
      <t>ウチゼイ</t>
    </rPh>
    <phoneticPr fontId="5"/>
  </si>
  <si>
    <t>12</t>
    <phoneticPr fontId="5"/>
  </si>
  <si>
    <t>内税10%</t>
    <rPh sb="0" eb="2">
      <t>ウチゼイ</t>
    </rPh>
    <phoneticPr fontId="5"/>
  </si>
  <si>
    <t>32</t>
    <phoneticPr fontId="5"/>
  </si>
  <si>
    <t>内税8%</t>
    <rPh sb="0" eb="2">
      <t>ウチゼイ</t>
    </rPh>
    <phoneticPr fontId="5"/>
  </si>
  <si>
    <t>03</t>
    <phoneticPr fontId="5"/>
  </si>
  <si>
    <t>1997/4/1</t>
    <phoneticPr fontId="5"/>
  </si>
  <si>
    <t>非課税</t>
    <rPh sb="0" eb="3">
      <t>ヒカゼイ</t>
    </rPh>
    <phoneticPr fontId="5"/>
  </si>
  <si>
    <t>ReducedTaxRateMaster(軽減税率マスタ)</t>
    <rPh sb="21" eb="23">
      <t>ケイゲン</t>
    </rPh>
    <rPh sb="23" eb="25">
      <t>ゼイリツ</t>
    </rPh>
    <phoneticPr fontId="5"/>
  </si>
  <si>
    <t>TaxType</t>
    <phoneticPr fontId="5"/>
  </si>
  <si>
    <t>Rate</t>
    <phoneticPr fontId="5"/>
  </si>
  <si>
    <t>RoundMethod</t>
    <phoneticPr fontId="5"/>
  </si>
  <si>
    <t>IsReducedTaxRate</t>
    <phoneticPr fontId="5"/>
  </si>
  <si>
    <t>SwitchTaxGroupCode</t>
    <phoneticPr fontId="5"/>
  </si>
  <si>
    <t>False</t>
    <phoneticPr fontId="5"/>
  </si>
  <si>
    <t>外税8%(軽減)</t>
    <rPh sb="0" eb="1">
      <t>ソト</t>
    </rPh>
    <rPh sb="1" eb="2">
      <t>ゼイ</t>
    </rPh>
    <rPh sb="5" eb="7">
      <t>ケイゲン</t>
    </rPh>
    <phoneticPr fontId="5"/>
  </si>
  <si>
    <t>True</t>
    <phoneticPr fontId="5"/>
  </si>
  <si>
    <r>
      <rPr>
        <sz val="11"/>
        <color theme="1"/>
        <rFont val="ＭＳ Ｐゴシック"/>
        <family val="3"/>
        <charset val="128"/>
        <scheme val="minor"/>
      </rPr>
      <t>11</t>
    </r>
    <phoneticPr fontId="5"/>
  </si>
  <si>
    <t>外税8%(返品)</t>
    <rPh sb="0" eb="1">
      <t>ソト</t>
    </rPh>
    <rPh sb="1" eb="2">
      <t>ゼイ</t>
    </rPh>
    <rPh sb="5" eb="7">
      <t>ヘンピン</t>
    </rPh>
    <phoneticPr fontId="5"/>
  </si>
  <si>
    <t>内税8%(軽減)</t>
    <rPh sb="0" eb="2">
      <t>ウチゼイ</t>
    </rPh>
    <rPh sb="5" eb="7">
      <t>ケイゲン</t>
    </rPh>
    <phoneticPr fontId="5"/>
  </si>
  <si>
    <t>内税8%(返品)</t>
    <rPh sb="0" eb="2">
      <t>ウチゼイ</t>
    </rPh>
    <rPh sb="5" eb="7">
      <t>ヘンピン</t>
    </rPh>
    <phoneticPr fontId="5"/>
  </si>
  <si>
    <t>03</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</si>
</sst>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quot;$&quot;#,##0_);\(&quot;$&quot;#,##0\)"/>
    <numFmt numFmtId="177" formatCode="&quot;$&quot;#,##0_);[Red]\(&quot;$&quot;#,##0\)"/>
    <numFmt numFmtId="178" formatCode="#,##0;\-#,##0;&quot;-&quot;"/>
    <numFmt numFmtId="179" formatCode="yyyy/mm/dd"/>
    <numFmt numFmtId="180" formatCode="#,##0\ &quot;F&quot;;[Red]\-#,##0\ &quot;F&quot;"/>
    <numFmt numFmtId="181" formatCode="General_)"/>
    <numFmt numFmtId="182" formatCode="&quot;¥&quot;&quot;¥&quot;&quot;¥&quot;&quot;¥&quot;&quot;¥&quot;&quot;¥&quot;&quot;¥&quot;\$#,##0_);[Red]&quot;¥&quot;&quot;¥&quot;&quot;¥&quot;&quot;¥&quot;&quot;¥&quot;&quot;¥&quot;&quot;¥&quot;\(&quot;¥&quot;&quot;¥&quot;&quot;¥&quot;&quot;¥&quot;&quot;¥&quot;&quot;¥&quot;&quot;¥&quot;\$#,##0&quot;¥&quot;&quot;¥&quot;&quot;¥&quot;&quot;¥&quot;&quot;¥&quot;&quot;¥&quot;&quot;¥&quot;\)"/>
    <numFmt numFmtId="183" formatCode="_ * #,##0_ ;_ * &quot;¥&quot;&quot;¥&quot;&quot;¥&quot;&quot;¥&quot;&quot;¥&quot;&quot;¥&quot;\-#,##0_ ;_ * &quot;-&quot;_ ;_ @_ "/>
    <numFmt numFmtId="184" formatCode="_ * #,##0.00_ ;_ * &quot;¥&quot;&quot;¥&quot;&quot;¥&quot;&quot;¥&quot;&quot;¥&quot;&quot;¥&quot;\-#,##0.00_ ;_ * &quot;-&quot;??_ ;_ @_ "/>
    <numFmt numFmtId="185" formatCode="0.00_)"/>
    <numFmt numFmtId="186" formatCode="#,##0_ ;[Red]\-#,##0\ "/>
    <numFmt numFmtId="187" formatCode="0_ ;[Red]\-0\ "/>
    <numFmt numFmtId="188" formatCode="0_);\(0\)"/>
    <numFmt numFmtId="189" formatCode="#,##0_ "/>
  </numFmts>
  <fonts count="88">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1"/>
      <color indexed="8"/>
      <name val="ＭＳ Ｐゴシック"/>
      <family val="3"/>
      <charset val="128"/>
    </font>
    <font>
      <sz val="6"/>
      <name val="ＭＳ Ｐゴシック"/>
      <family val="3"/>
      <charset val="128"/>
      <scheme val="minor"/>
    </font>
    <font>
      <sz val="6"/>
      <name val="ＭＳ Ｐゴシック"/>
      <family val="3"/>
      <charset val="128"/>
    </font>
    <font>
      <b/>
      <sz val="10"/>
      <color indexed="8"/>
      <name val="ＭＳ Ｐゴシック"/>
      <family val="3"/>
      <charset val="128"/>
    </font>
    <font>
      <b/>
      <sz val="8"/>
      <color indexed="8"/>
      <name val="ＭＳ Ｐゴシック"/>
      <family val="3"/>
      <charset val="128"/>
    </font>
    <font>
      <sz val="6"/>
      <name val="ＭＳ ゴシック"/>
      <family val="3"/>
      <charset val="128"/>
    </font>
    <font>
      <sz val="6"/>
      <name val="ＭＳ Ｐゴシック"/>
      <family val="2"/>
      <charset val="128"/>
      <scheme val="minor"/>
    </font>
    <font>
      <sz val="11"/>
      <name val="ＭＳ Ｐゴシック"/>
      <family val="3"/>
      <charset val="128"/>
    </font>
    <font>
      <b/>
      <sz val="10"/>
      <name val="ＭＳ Ｐゴシック"/>
      <family val="3"/>
      <charset val="128"/>
    </font>
    <font>
      <b/>
      <sz val="8"/>
      <name val="ＭＳ Ｐゴシック"/>
      <family val="3"/>
      <charset val="128"/>
    </font>
    <font>
      <sz val="11"/>
      <name val="ＭＳ Ｐ明朝"/>
      <family val="1"/>
      <charset val="128"/>
    </font>
    <font>
      <b/>
      <sz val="16"/>
      <name val="ＭＳ ゴシック"/>
      <family val="3"/>
      <charset val="128"/>
    </font>
    <font>
      <sz val="12"/>
      <name val="ＭＳ ゴシック"/>
      <family val="3"/>
      <charset val="128"/>
    </font>
    <font>
      <sz val="9"/>
      <name val="ＭＳ ゴシック"/>
      <family val="3"/>
      <charset val="128"/>
    </font>
    <font>
      <b/>
      <sz val="9"/>
      <name val="ＭＳ ゴシック"/>
      <family val="3"/>
      <charset val="128"/>
    </font>
    <font>
      <sz val="10"/>
      <name val="ＭＳ ゴシック"/>
      <family val="3"/>
      <charset val="128"/>
    </font>
    <font>
      <sz val="9"/>
      <color theme="1"/>
      <name val="ＭＳ ゴシック"/>
      <family val="3"/>
      <charset val="128"/>
    </font>
    <font>
      <sz val="9"/>
      <color indexed="8"/>
      <name val="ＭＳ ゴシック"/>
      <family val="3"/>
      <charset val="128"/>
    </font>
    <font>
      <b/>
      <u/>
      <sz val="9"/>
      <name val="ＭＳ ゴシック"/>
      <family val="3"/>
      <charset val="128"/>
    </font>
    <font>
      <b/>
      <sz val="9"/>
      <color theme="1"/>
      <name val="ＭＳ ゴシック"/>
      <family val="3"/>
      <charset val="128"/>
    </font>
    <font>
      <sz val="11"/>
      <color rgb="FF0000FF"/>
      <name val="ＭＳ Ｐゴシック"/>
      <family val="3"/>
      <charset val="128"/>
    </font>
    <font>
      <sz val="10"/>
      <color indexed="8"/>
      <name val="Arial"/>
      <family val="2"/>
    </font>
    <font>
      <b/>
      <sz val="12"/>
      <name val="Arial"/>
      <family val="2"/>
    </font>
    <font>
      <u/>
      <sz val="9"/>
      <name val="ＭＳ Ｐゴシック"/>
      <family val="3"/>
      <charset val="128"/>
    </font>
    <font>
      <u/>
      <sz val="8.8000000000000007"/>
      <color indexed="12"/>
      <name val="ＭＳ Ｐゴシック"/>
      <family val="3"/>
      <charset val="128"/>
    </font>
    <font>
      <sz val="11"/>
      <name val="ＭＳ ゴシック"/>
      <family val="3"/>
      <charset val="128"/>
    </font>
    <font>
      <sz val="10"/>
      <color indexed="8"/>
      <name val="ＭＳ ゴシック"/>
      <family val="3"/>
      <charset val="128"/>
    </font>
    <font>
      <sz val="11"/>
      <color indexed="8"/>
      <name val="メイリオ"/>
      <family val="3"/>
      <charset val="128"/>
    </font>
    <font>
      <sz val="10"/>
      <color indexed="9"/>
      <name val="ＭＳ ゴシック"/>
      <family val="3"/>
      <charset val="128"/>
    </font>
    <font>
      <sz val="8"/>
      <name val="Times New Roman"/>
      <family val="1"/>
    </font>
    <font>
      <b/>
      <sz val="10"/>
      <name val="MS Sans Serif"/>
      <family val="2"/>
    </font>
    <font>
      <b/>
      <sz val="12"/>
      <name val="Helv"/>
      <family val="2"/>
    </font>
    <font>
      <sz val="12"/>
      <name val="Helv"/>
      <family val="2"/>
    </font>
    <font>
      <sz val="10"/>
      <name val="MS Sans Serif"/>
      <family val="2"/>
    </font>
    <font>
      <sz val="9"/>
      <name val="Times New Roman"/>
      <family val="1"/>
    </font>
    <font>
      <sz val="8"/>
      <name val="Arial"/>
      <family val="2"/>
    </font>
    <font>
      <b/>
      <i/>
      <sz val="16"/>
      <name val="Helv"/>
      <family val="2"/>
    </font>
    <font>
      <sz val="10"/>
      <name val="Arial"/>
      <family val="2"/>
    </font>
    <font>
      <sz val="8"/>
      <color indexed="16"/>
      <name val="Century Schoolbook"/>
      <family val="1"/>
    </font>
    <font>
      <b/>
      <i/>
      <sz val="10"/>
      <name val="Times New Roman"/>
      <family val="1"/>
    </font>
    <font>
      <sz val="11"/>
      <name val="ＨＧ丸ゴシックM"/>
      <family val="3"/>
      <charset val="128"/>
    </font>
    <font>
      <sz val="14"/>
      <name val="ＨＧ丸ゴシックM"/>
      <family val="3"/>
      <charset val="128"/>
    </font>
    <font>
      <b/>
      <sz val="18"/>
      <color indexed="56"/>
      <name val="ＭＳ Ｐゴシック"/>
      <family val="3"/>
      <charset val="128"/>
    </font>
    <font>
      <sz val="10"/>
      <name val="ＨＧ丸ゴシックM"/>
      <family val="3"/>
      <charset val="128"/>
    </font>
    <font>
      <b/>
      <sz val="10"/>
      <color indexed="9"/>
      <name val="ＭＳ ゴシック"/>
      <family val="3"/>
      <charset val="128"/>
    </font>
    <font>
      <sz val="10"/>
      <color indexed="60"/>
      <name val="ＭＳ ゴシック"/>
      <family val="3"/>
      <charset val="128"/>
    </font>
    <font>
      <sz val="10"/>
      <color indexed="52"/>
      <name val="ＭＳ ゴシック"/>
      <family val="3"/>
      <charset val="128"/>
    </font>
    <font>
      <sz val="10"/>
      <color indexed="20"/>
      <name val="ＭＳ ゴシック"/>
      <family val="3"/>
      <charset val="128"/>
    </font>
    <font>
      <sz val="10"/>
      <name val="ＭＳ Ｐゴシック"/>
      <family val="3"/>
      <charset val="128"/>
    </font>
    <font>
      <b/>
      <sz val="10"/>
      <color indexed="52"/>
      <name val="ＭＳ 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10"/>
      <color indexed="8"/>
      <name val="ＭＳ ゴシック"/>
      <family val="3"/>
      <charset val="128"/>
    </font>
    <font>
      <b/>
      <sz val="10"/>
      <color indexed="63"/>
      <name val="ＭＳ ゴシック"/>
      <family val="3"/>
      <charset val="128"/>
    </font>
    <font>
      <i/>
      <sz val="10"/>
      <color indexed="23"/>
      <name val="ＭＳ ゴシック"/>
      <family val="3"/>
      <charset val="128"/>
    </font>
    <font>
      <sz val="10"/>
      <color indexed="62"/>
      <name val="ＭＳ ゴシック"/>
      <family val="3"/>
      <charset val="128"/>
    </font>
    <font>
      <sz val="14"/>
      <name val="ＭＳ 明朝"/>
      <family val="1"/>
      <charset val="128"/>
    </font>
    <font>
      <b/>
      <i/>
      <sz val="11"/>
      <name val="ＭＳ Ｐゴシック"/>
      <family val="3"/>
      <charset val="128"/>
    </font>
    <font>
      <sz val="10"/>
      <color indexed="17"/>
      <name val="ＭＳ ゴシック"/>
      <family val="3"/>
      <charset val="128"/>
    </font>
    <font>
      <sz val="10"/>
      <color indexed="8"/>
      <name val="ＭＳ Ｐゴシック"/>
      <family val="3"/>
      <charset val="128"/>
    </font>
    <font>
      <u/>
      <sz val="9.35"/>
      <name val="ＭＳ Ｐゴシック"/>
      <family val="3"/>
      <charset val="128"/>
    </font>
    <font>
      <u/>
      <sz val="11"/>
      <color indexed="12"/>
      <name val="ＭＳ Ｐゴシック"/>
      <family val="3"/>
      <charset val="128"/>
    </font>
    <font>
      <sz val="9"/>
      <name val="ＭＳ Ｐゴシック"/>
      <family val="3"/>
      <charset val="128"/>
    </font>
    <font>
      <u/>
      <sz val="11"/>
      <color theme="10"/>
      <name val="ＭＳ Ｐゴシック"/>
      <family val="3"/>
      <charset val="128"/>
    </font>
    <font>
      <strike/>
      <sz val="11"/>
      <name val="ＭＳ Ｐゴシック"/>
      <family val="3"/>
      <charset val="128"/>
    </font>
    <font>
      <sz val="11"/>
      <color theme="1"/>
      <name val="ＭＳ Ｐゴシック"/>
      <family val="3"/>
      <charset val="128"/>
    </font>
    <font>
      <b/>
      <sz val="16"/>
      <name val="ＭＳ Ｐゴシック"/>
      <family val="3"/>
      <charset val="128"/>
    </font>
    <font>
      <sz val="16"/>
      <name val="ＭＳ Ｐゴシック"/>
      <family val="3"/>
      <charset val="128"/>
    </font>
    <font>
      <sz val="12"/>
      <name val="ＭＳ Ｐゴシック"/>
      <family val="3"/>
      <charset val="128"/>
    </font>
    <font>
      <sz val="11"/>
      <color theme="0"/>
      <name val="ＭＳ Ｐゴシック"/>
      <family val="3"/>
      <charset val="128"/>
    </font>
    <font>
      <sz val="11"/>
      <color theme="1"/>
      <name val="ＭＳ Ｐゴシック"/>
      <family val="2"/>
      <scheme val="minor"/>
    </font>
    <font>
      <sz val="8"/>
      <name val="ＭＳ Ｐゴシック"/>
      <family val="3"/>
      <charset val="128"/>
    </font>
    <font>
      <sz val="11"/>
      <color theme="0" tint="-0.14999847407452621"/>
      <name val="ＭＳ Ｐゴシック"/>
      <family val="3"/>
      <charset val="128"/>
    </font>
    <font>
      <b/>
      <sz val="9"/>
      <color indexed="81"/>
      <name val="MS P ゴシック"/>
      <family val="3"/>
      <charset val="128"/>
    </font>
    <font>
      <b/>
      <sz val="11"/>
      <name val="ＭＳ Ｐゴシック"/>
      <family val="3"/>
      <charset val="128"/>
    </font>
    <font>
      <sz val="11"/>
      <name val="ＭＳ Ｐゴシック"/>
      <family val="3"/>
      <charset val="128"/>
      <scheme val="minor"/>
    </font>
    <font>
      <b/>
      <sz val="12"/>
      <name val="ＭＳ Ｐゴシック"/>
      <family val="3"/>
      <charset val="128"/>
    </font>
    <font>
      <b/>
      <sz val="12"/>
      <color theme="0"/>
      <name val="ＭＳ Ｐゴシック"/>
      <family val="3"/>
      <charset val="128"/>
    </font>
    <font>
      <sz val="11"/>
      <color rgb="FFFF0000"/>
      <name val="ＭＳ Ｐゴシック"/>
      <family val="3"/>
      <charset val="128"/>
    </font>
    <font>
      <b/>
      <sz val="11"/>
      <color rgb="FFFF0000"/>
      <name val="ＭＳ Ｐゴシック"/>
      <family val="3"/>
      <charset val="128"/>
    </font>
    <font>
      <b/>
      <sz val="12"/>
      <color theme="0"/>
      <name val="ＭＳ Ｐゴシック"/>
      <family val="3"/>
      <charset val="128"/>
      <scheme val="minor"/>
    </font>
    <font>
      <b/>
      <sz val="12"/>
      <color rgb="FFFF0000"/>
      <name val="ＭＳ Ｐゴシック"/>
      <family val="3"/>
      <charset val="128"/>
    </font>
    <font>
      <sz val="11"/>
      <color theme="4" tint="-0.499984740745262"/>
      <name val="ＭＳ Ｐゴシック"/>
      <family val="3"/>
      <charset val="128"/>
    </font>
  </fonts>
  <fills count="46">
    <fill>
      <patternFill patternType="none"/>
    </fill>
    <fill>
      <patternFill patternType="gray125"/>
    </fill>
    <fill>
      <patternFill patternType="solid">
        <fgColor indexed="52"/>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0000"/>
        <bgColor indexed="64"/>
      </patternFill>
    </fill>
    <fill>
      <patternFill patternType="solid">
        <fgColor indexed="2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lightGray"/>
    </fill>
    <fill>
      <patternFill patternType="solid">
        <fgColor indexed="44"/>
        <bgColor indexed="64"/>
      </patternFill>
    </fill>
    <fill>
      <patternFill patternType="solid">
        <fgColor theme="8" tint="-0.499984740745262"/>
        <bgColor indexed="64"/>
      </patternFill>
    </fill>
    <fill>
      <patternFill patternType="solid">
        <fgColor rgb="FF0070C0"/>
        <bgColor indexed="64"/>
      </patternFill>
    </fill>
    <fill>
      <patternFill patternType="solid">
        <fgColor rgb="FFCCFFCC"/>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rgb="FFFFFF00"/>
        <bgColor indexed="64"/>
      </patternFill>
    </fill>
    <fill>
      <patternFill patternType="solid">
        <fgColor theme="3" tint="-0.499984740745262"/>
        <bgColor indexed="64"/>
      </patternFill>
    </fill>
    <fill>
      <patternFill patternType="solid">
        <fgColor theme="2" tint="-0.249977111117893"/>
        <bgColor indexed="64"/>
      </patternFill>
    </fill>
  </fills>
  <borders count="77">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dotted">
        <color indexed="64"/>
      </bottom>
      <diagonal/>
    </border>
    <border>
      <left style="thin">
        <color indexed="64"/>
      </left>
      <right style="medium">
        <color indexed="64"/>
      </right>
      <top style="dotted">
        <color indexed="64"/>
      </top>
      <bottom style="dotted">
        <color indexed="64"/>
      </bottom>
      <diagonal/>
    </border>
    <border>
      <left style="thin">
        <color indexed="64"/>
      </left>
      <right/>
      <top style="dotted">
        <color indexed="64"/>
      </top>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style="thin">
        <color indexed="64"/>
      </left>
      <right style="medium">
        <color indexed="64"/>
      </right>
      <top style="medium">
        <color indexed="64"/>
      </top>
      <bottom style="dotted">
        <color indexed="64"/>
      </bottom>
      <diagonal/>
    </border>
    <border>
      <left style="medium">
        <color indexed="64"/>
      </left>
      <right style="thin">
        <color indexed="64"/>
      </right>
      <top style="dotted">
        <color indexed="64"/>
      </top>
      <bottom/>
      <diagonal/>
    </border>
    <border>
      <left style="thin">
        <color indexed="64"/>
      </left>
      <right style="thin">
        <color indexed="64"/>
      </right>
      <top style="dotted">
        <color indexed="64"/>
      </top>
      <bottom/>
      <diagonal/>
    </border>
    <border>
      <left style="medium">
        <color indexed="64"/>
      </left>
      <right style="thin">
        <color indexed="64"/>
      </right>
      <top style="double">
        <color indexed="64"/>
      </top>
      <bottom style="dotted">
        <color indexed="64"/>
      </bottom>
      <diagonal/>
    </border>
    <border>
      <left style="thin">
        <color indexed="64"/>
      </left>
      <right style="thin">
        <color indexed="64"/>
      </right>
      <top style="double">
        <color indexed="64"/>
      </top>
      <bottom style="dotted">
        <color indexed="64"/>
      </bottom>
      <diagonal/>
    </border>
    <border>
      <left/>
      <right/>
      <top/>
      <bottom style="dotted">
        <color indexed="64"/>
      </bottom>
      <diagonal/>
    </border>
    <border>
      <left style="medium">
        <color indexed="64"/>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indexed="64"/>
      </left>
      <right style="thin">
        <color indexed="64"/>
      </right>
      <top style="medium">
        <color indexed="64"/>
      </top>
      <bottom style="dotted">
        <color indexed="64"/>
      </bottom>
      <diagonal/>
    </border>
    <border>
      <left style="thin">
        <color indexed="64"/>
      </left>
      <right/>
      <top style="medium">
        <color indexed="64"/>
      </top>
      <bottom style="dotted">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style="thin">
        <color indexed="64"/>
      </left>
      <right style="thin">
        <color indexed="64"/>
      </right>
      <top style="dotted">
        <color indexed="64"/>
      </top>
      <bottom style="dashed">
        <color indexed="64"/>
      </bottom>
      <diagonal/>
    </border>
    <border>
      <left style="thin">
        <color indexed="64"/>
      </left>
      <right style="thin">
        <color indexed="64"/>
      </right>
      <top/>
      <bottom style="medium">
        <color indexed="64"/>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thin">
        <color indexed="64"/>
      </left>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s>
  <cellStyleXfs count="167">
    <xf numFmtId="0" fontId="0" fillId="0" borderId="0">
      <alignment vertical="center"/>
    </xf>
    <xf numFmtId="0" fontId="2" fillId="0" borderId="0">
      <alignment vertical="center"/>
    </xf>
    <xf numFmtId="0" fontId="3" fillId="0" borderId="0">
      <alignment vertical="center"/>
    </xf>
    <xf numFmtId="0" fontId="2" fillId="0" borderId="0">
      <alignment vertical="center"/>
    </xf>
    <xf numFmtId="0" fontId="13" fillId="0" borderId="0">
      <alignment vertical="top"/>
    </xf>
    <xf numFmtId="0" fontId="18" fillId="0" borderId="0"/>
    <xf numFmtId="0" fontId="18" fillId="0" borderId="0"/>
    <xf numFmtId="0" fontId="18" fillId="0" borderId="0"/>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15" borderId="0" applyNumberFormat="0" applyBorder="0" applyAlignment="0" applyProtection="0">
      <alignment vertical="center"/>
    </xf>
    <xf numFmtId="0" fontId="29" fillId="18"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0" borderId="0">
      <alignment horizontal="center" wrapText="1"/>
      <protection locked="0"/>
    </xf>
    <xf numFmtId="176" fontId="33" fillId="0" borderId="32" applyAlignment="0" applyProtection="0"/>
    <xf numFmtId="178" fontId="24"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0" fontId="13" fillId="0" borderId="0" applyFill="0" applyBorder="0" applyAlignment="0"/>
    <xf numFmtId="181" fontId="34" fillId="0" borderId="0"/>
    <xf numFmtId="181" fontId="35" fillId="0" borderId="0"/>
    <xf numFmtId="181" fontId="35" fillId="0" borderId="0"/>
    <xf numFmtId="181" fontId="35" fillId="0" borderId="0"/>
    <xf numFmtId="181" fontId="35" fillId="0" borderId="0"/>
    <xf numFmtId="181" fontId="35" fillId="0" borderId="0"/>
    <xf numFmtId="181" fontId="35" fillId="0" borderId="0"/>
    <xf numFmtId="181" fontId="35" fillId="0" borderId="0"/>
    <xf numFmtId="38" fontId="36" fillId="0" borderId="0" applyFont="0" applyFill="0" applyBorder="0" applyAlignment="0" applyProtection="0"/>
    <xf numFmtId="182" fontId="28" fillId="0" borderId="0"/>
    <xf numFmtId="177" fontId="36" fillId="0" borderId="0" applyFont="0" applyFill="0" applyBorder="0" applyAlignment="0" applyProtection="0"/>
    <xf numFmtId="183" fontId="28" fillId="0" borderId="0"/>
    <xf numFmtId="184" fontId="28" fillId="0" borderId="0"/>
    <xf numFmtId="0" fontId="37" fillId="0" borderId="0">
      <alignment horizontal="left"/>
    </xf>
    <xf numFmtId="38" fontId="38" fillId="6" borderId="0" applyNumberFormat="0" applyBorder="0" applyAlignment="0" applyProtection="0"/>
    <xf numFmtId="0" fontId="25" fillId="0" borderId="5" applyNumberFormat="0" applyAlignment="0" applyProtection="0">
      <alignment horizontal="left" vertical="center"/>
    </xf>
    <xf numFmtId="0" fontId="25" fillId="0" borderId="37">
      <alignment horizontal="left" vertical="center"/>
    </xf>
    <xf numFmtId="0" fontId="18" fillId="0" borderId="0" applyBorder="0"/>
    <xf numFmtId="10" fontId="38" fillId="26" borderId="12" applyNumberFormat="0" applyBorder="0" applyAlignment="0" applyProtection="0"/>
    <xf numFmtId="0" fontId="18" fillId="0" borderId="0"/>
    <xf numFmtId="185" fontId="39" fillId="0" borderId="0"/>
    <xf numFmtId="14" fontId="32" fillId="0" borderId="0">
      <alignment horizontal="center" wrapText="1"/>
      <protection locked="0"/>
    </xf>
    <xf numFmtId="10" fontId="40" fillId="0" borderId="0" applyFont="0" applyFill="0" applyBorder="0" applyAlignment="0" applyProtection="0"/>
    <xf numFmtId="4" fontId="37" fillId="0" borderId="0">
      <alignment horizontal="right"/>
    </xf>
    <xf numFmtId="0" fontId="36" fillId="0" borderId="0" applyNumberFormat="0" applyFont="0" applyFill="0" applyBorder="0" applyAlignment="0" applyProtection="0">
      <alignment horizontal="left"/>
    </xf>
    <xf numFmtId="0" fontId="33" fillId="0" borderId="42">
      <alignment horizontal="center"/>
    </xf>
    <xf numFmtId="4" fontId="41" fillId="0" borderId="0">
      <alignment horizontal="right"/>
    </xf>
    <xf numFmtId="0" fontId="42" fillId="0" borderId="0">
      <alignment horizontal="left"/>
    </xf>
    <xf numFmtId="0" fontId="43" fillId="0" borderId="0">
      <alignment horizontal="center" vertical="center"/>
    </xf>
    <xf numFmtId="49" fontId="44" fillId="0" borderId="0" applyFill="0" applyBorder="0" applyProtection="0">
      <alignment horizontal="centerContinuous" vertical="center"/>
    </xf>
    <xf numFmtId="0" fontId="44" fillId="26" borderId="0" applyFill="0" applyBorder="0" applyProtection="0">
      <alignment horizontal="center" vertical="center"/>
    </xf>
    <xf numFmtId="49" fontId="44" fillId="0" borderId="0" applyFill="0" applyBorder="0" applyProtection="0">
      <alignment horizontal="centerContinuous"/>
      <protection locked="0"/>
    </xf>
    <xf numFmtId="0" fontId="45" fillId="0" borderId="0" applyNumberFormat="0" applyFill="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30" borderId="0" applyNumberFormat="0" applyBorder="0" applyAlignment="0" applyProtection="0">
      <alignment vertical="center"/>
    </xf>
    <xf numFmtId="0" fontId="46" fillId="0" borderId="0"/>
    <xf numFmtId="0" fontId="45" fillId="0" borderId="0" applyNumberFormat="0" applyFill="0" applyBorder="0" applyAlignment="0" applyProtection="0">
      <alignment vertical="center"/>
    </xf>
    <xf numFmtId="0" fontId="47" fillId="31" borderId="43" applyNumberFormat="0" applyAlignment="0" applyProtection="0">
      <alignment vertical="center"/>
    </xf>
    <xf numFmtId="0" fontId="48" fillId="32" borderId="0" applyNumberFormat="0" applyBorder="0" applyAlignment="0" applyProtection="0">
      <alignment vertical="center"/>
    </xf>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65"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13" fillId="33" borderId="44" applyNumberFormat="0" applyFont="0" applyAlignment="0" applyProtection="0">
      <alignment vertical="center"/>
    </xf>
    <xf numFmtId="0" fontId="49" fillId="0" borderId="45" applyNumberFormat="0" applyFill="0" applyAlignment="0" applyProtection="0">
      <alignment vertical="center"/>
    </xf>
    <xf numFmtId="0" fontId="50" fillId="13" borderId="0" applyNumberFormat="0" applyBorder="0" applyAlignment="0" applyProtection="0">
      <alignment vertical="center"/>
    </xf>
    <xf numFmtId="186" fontId="51" fillId="0" borderId="0" applyBorder="0">
      <alignment horizontal="right"/>
    </xf>
    <xf numFmtId="49" fontId="10" fillId="0" borderId="0" applyFont="0"/>
    <xf numFmtId="0" fontId="52" fillId="34" borderId="46" applyNumberFormat="0" applyAlignment="0" applyProtection="0">
      <alignment vertical="center"/>
    </xf>
    <xf numFmtId="0" fontId="53" fillId="0" borderId="0" applyNumberFormat="0" applyFill="0" applyBorder="0" applyAlignment="0" applyProtection="0">
      <alignment vertical="center"/>
    </xf>
    <xf numFmtId="38" fontId="3" fillId="0" borderId="0" applyFont="0" applyFill="0" applyBorder="0" applyAlignment="0" applyProtection="0">
      <alignment vertical="center"/>
    </xf>
    <xf numFmtId="38" fontId="30" fillId="0" borderId="0" applyFont="0" applyFill="0" applyBorder="0" applyAlignment="0" applyProtection="0">
      <alignment vertical="center"/>
    </xf>
    <xf numFmtId="0" fontId="54" fillId="0" borderId="47" applyNumberFormat="0" applyFill="0" applyAlignment="0" applyProtection="0">
      <alignment vertical="center"/>
    </xf>
    <xf numFmtId="0" fontId="55" fillId="0" borderId="48" applyNumberFormat="0" applyFill="0" applyAlignment="0" applyProtection="0">
      <alignment vertical="center"/>
    </xf>
    <xf numFmtId="0" fontId="56" fillId="0" borderId="49" applyNumberFormat="0" applyFill="0" applyAlignment="0" applyProtection="0">
      <alignment vertical="center"/>
    </xf>
    <xf numFmtId="0" fontId="56" fillId="0" borderId="0" applyNumberFormat="0" applyFill="0" applyBorder="0" applyAlignment="0" applyProtection="0">
      <alignment vertical="center"/>
    </xf>
    <xf numFmtId="0" fontId="57" fillId="0" borderId="50" applyNumberFormat="0" applyFill="0" applyAlignment="0" applyProtection="0">
      <alignment vertical="center"/>
    </xf>
    <xf numFmtId="0" fontId="58" fillId="34" borderId="51" applyNumberFormat="0" applyAlignment="0" applyProtection="0">
      <alignment vertical="center"/>
    </xf>
    <xf numFmtId="187" fontId="51" fillId="0" borderId="0" applyFill="0" applyBorder="0"/>
    <xf numFmtId="186" fontId="51" fillId="0" borderId="0" applyFill="0" applyBorder="0"/>
    <xf numFmtId="188" fontId="51" fillId="0" borderId="0" applyBorder="0">
      <alignment horizontal="left"/>
    </xf>
    <xf numFmtId="49" fontId="51" fillId="35" borderId="52">
      <alignment horizontal="center"/>
    </xf>
    <xf numFmtId="189" fontId="51" fillId="35" borderId="52">
      <alignment horizontal="right"/>
    </xf>
    <xf numFmtId="14" fontId="51" fillId="35" borderId="0" applyBorder="0">
      <alignment horizontal="center"/>
    </xf>
    <xf numFmtId="49" fontId="51" fillId="0" borderId="52"/>
    <xf numFmtId="0" fontId="59" fillId="0" borderId="0" applyNumberFormat="0" applyFill="0" applyBorder="0" applyAlignment="0" applyProtection="0">
      <alignment vertical="center"/>
    </xf>
    <xf numFmtId="14" fontId="51" fillId="0" borderId="33" applyBorder="0">
      <alignment horizontal="left"/>
    </xf>
    <xf numFmtId="0" fontId="60" fillId="17" borderId="46" applyNumberFormat="0" applyAlignment="0" applyProtection="0">
      <alignment vertical="center"/>
    </xf>
    <xf numFmtId="14" fontId="51" fillId="0" borderId="0" applyFill="0" applyBorder="0"/>
    <xf numFmtId="0" fontId="13" fillId="0" borderId="0">
      <alignment vertical="top"/>
    </xf>
    <xf numFmtId="0" fontId="13" fillId="0" borderId="0">
      <alignment vertical="top"/>
    </xf>
    <xf numFmtId="0" fontId="64" fillId="0" borderId="0">
      <alignment vertical="center"/>
    </xf>
    <xf numFmtId="0" fontId="2" fillId="0" borderId="0">
      <alignment vertical="center"/>
    </xf>
    <xf numFmtId="0" fontId="3" fillId="0" borderId="0">
      <alignment vertical="center"/>
    </xf>
    <xf numFmtId="0" fontId="3" fillId="0" borderId="0">
      <alignment vertical="center"/>
    </xf>
    <xf numFmtId="0" fontId="51" fillId="0" borderId="0"/>
    <xf numFmtId="0" fontId="2" fillId="0" borderId="0">
      <alignment vertical="center"/>
    </xf>
    <xf numFmtId="0" fontId="2" fillId="0" borderId="0">
      <alignment vertical="center"/>
    </xf>
    <xf numFmtId="0" fontId="2" fillId="0" borderId="0">
      <alignment vertical="center"/>
    </xf>
    <xf numFmtId="0" fontId="10" fillId="0" borderId="0"/>
    <xf numFmtId="0" fontId="10" fillId="0" borderId="0"/>
    <xf numFmtId="0" fontId="3" fillId="0" borderId="0">
      <alignment vertical="center"/>
    </xf>
    <xf numFmtId="0" fontId="3" fillId="0" borderId="0">
      <alignment vertical="center"/>
    </xf>
    <xf numFmtId="0" fontId="10" fillId="0" borderId="0"/>
    <xf numFmtId="0" fontId="3" fillId="0" borderId="0">
      <alignment vertical="center"/>
    </xf>
    <xf numFmtId="0" fontId="3" fillId="0" borderId="0">
      <alignment vertical="center"/>
    </xf>
    <xf numFmtId="0" fontId="3" fillId="0" borderId="0">
      <alignment vertical="center"/>
    </xf>
    <xf numFmtId="0" fontId="13" fillId="0" borderId="0">
      <alignment vertical="top"/>
    </xf>
    <xf numFmtId="0" fontId="3" fillId="0" borderId="0">
      <alignment vertical="center"/>
    </xf>
    <xf numFmtId="0" fontId="2" fillId="0" borderId="0">
      <alignment vertical="center"/>
    </xf>
    <xf numFmtId="0" fontId="2" fillId="0" borderId="0">
      <alignment vertical="center"/>
    </xf>
    <xf numFmtId="0" fontId="13" fillId="0" borderId="0">
      <alignment vertical="top"/>
    </xf>
    <xf numFmtId="0" fontId="10" fillId="0" borderId="0"/>
    <xf numFmtId="0" fontId="10" fillId="0" borderId="0"/>
    <xf numFmtId="0" fontId="3" fillId="0" borderId="0">
      <alignment vertical="center"/>
    </xf>
    <xf numFmtId="0" fontId="18" fillId="0" borderId="0"/>
    <xf numFmtId="0" fontId="2" fillId="0" borderId="0">
      <alignment vertical="center"/>
    </xf>
    <xf numFmtId="0" fontId="3" fillId="0" borderId="0">
      <alignment vertical="center"/>
    </xf>
    <xf numFmtId="0" fontId="18" fillId="0" borderId="0"/>
    <xf numFmtId="0" fontId="3" fillId="0" borderId="0">
      <alignment vertical="center"/>
    </xf>
    <xf numFmtId="0" fontId="30" fillId="0" borderId="0">
      <alignment vertical="center"/>
    </xf>
    <xf numFmtId="0" fontId="30" fillId="0" borderId="0">
      <alignment vertical="center"/>
    </xf>
    <xf numFmtId="0" fontId="30" fillId="0" borderId="0">
      <alignment vertical="center"/>
    </xf>
    <xf numFmtId="0" fontId="13" fillId="0" borderId="0">
      <alignment vertical="top"/>
    </xf>
    <xf numFmtId="0" fontId="13" fillId="0" borderId="0">
      <alignment vertical="top"/>
    </xf>
    <xf numFmtId="0" fontId="2" fillId="0" borderId="0">
      <alignment vertical="center"/>
    </xf>
    <xf numFmtId="0" fontId="2" fillId="0" borderId="0">
      <alignment vertical="center"/>
    </xf>
    <xf numFmtId="0" fontId="10" fillId="0" borderId="0"/>
    <xf numFmtId="49" fontId="51" fillId="0" borderId="0"/>
    <xf numFmtId="0" fontId="61" fillId="0" borderId="0"/>
    <xf numFmtId="0" fontId="62" fillId="36" borderId="0">
      <alignment horizontal="center"/>
    </xf>
    <xf numFmtId="0" fontId="63" fillId="14" borderId="0" applyNumberFormat="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66" fillId="0" borderId="0" applyNumberFormat="0" applyFill="0" applyBorder="0" applyAlignment="0" applyProtection="0">
      <alignment vertical="top"/>
      <protection locked="0"/>
    </xf>
    <xf numFmtId="0" fontId="75" fillId="0" borderId="0"/>
    <xf numFmtId="0" fontId="1" fillId="0" borderId="0">
      <alignment vertical="center"/>
    </xf>
    <xf numFmtId="0" fontId="2" fillId="0" borderId="0">
      <alignment vertical="center"/>
    </xf>
  </cellStyleXfs>
  <cellXfs count="475">
    <xf numFmtId="0" fontId="0" fillId="0" borderId="0" xfId="0">
      <alignment vertical="center"/>
    </xf>
    <xf numFmtId="0" fontId="3" fillId="0" borderId="0" xfId="0" applyFont="1">
      <alignment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10" fillId="0" borderId="0" xfId="3" applyFont="1">
      <alignment vertical="center"/>
    </xf>
    <xf numFmtId="0" fontId="11" fillId="2" borderId="23" xfId="3" applyFont="1" applyFill="1" applyBorder="1" applyAlignment="1">
      <alignment horizontal="center" vertical="center"/>
    </xf>
    <xf numFmtId="0" fontId="11" fillId="2" borderId="24" xfId="3" applyFont="1" applyFill="1" applyBorder="1" applyAlignment="1">
      <alignment horizontal="center" vertical="center"/>
    </xf>
    <xf numFmtId="0" fontId="12" fillId="2" borderId="24" xfId="3" applyFont="1" applyFill="1" applyBorder="1" applyAlignment="1">
      <alignment horizontal="center" vertical="center" wrapText="1"/>
    </xf>
    <xf numFmtId="0" fontId="12" fillId="2" borderId="24" xfId="3" applyFont="1" applyFill="1" applyBorder="1" applyAlignment="1">
      <alignment horizontal="center" vertical="center"/>
    </xf>
    <xf numFmtId="0" fontId="11" fillId="2" borderId="26" xfId="3" applyFont="1" applyFill="1" applyBorder="1" applyAlignment="1">
      <alignment horizontal="center" vertical="center"/>
    </xf>
    <xf numFmtId="0" fontId="10" fillId="0" borderId="6" xfId="3" applyFont="1" applyBorder="1">
      <alignment vertical="center"/>
    </xf>
    <xf numFmtId="0" fontId="10" fillId="0" borderId="10" xfId="3" applyFont="1" applyBorder="1">
      <alignment vertical="center"/>
    </xf>
    <xf numFmtId="0" fontId="10" fillId="0" borderId="10" xfId="3" applyFont="1" applyBorder="1" applyAlignment="1">
      <alignment horizontal="center" vertical="center"/>
    </xf>
    <xf numFmtId="0" fontId="10" fillId="0" borderId="20" xfId="3" applyFont="1" applyBorder="1">
      <alignment vertical="center"/>
    </xf>
    <xf numFmtId="0" fontId="10" fillId="0" borderId="13" xfId="3" applyFont="1" applyBorder="1">
      <alignment vertical="center"/>
    </xf>
    <xf numFmtId="0" fontId="10" fillId="0" borderId="14" xfId="3" applyFont="1" applyBorder="1">
      <alignment vertical="center"/>
    </xf>
    <xf numFmtId="0" fontId="10" fillId="0" borderId="14" xfId="3" applyFont="1" applyBorder="1" applyAlignment="1">
      <alignment horizontal="center" vertical="center"/>
    </xf>
    <xf numFmtId="0" fontId="10" fillId="0" borderId="22" xfId="3" applyFont="1" applyBorder="1">
      <alignment vertical="center"/>
    </xf>
    <xf numFmtId="49" fontId="10" fillId="0" borderId="0" xfId="3" applyNumberFormat="1" applyFont="1">
      <alignment vertical="center"/>
    </xf>
    <xf numFmtId="0" fontId="10" fillId="0" borderId="9" xfId="3" applyFont="1" applyBorder="1">
      <alignment vertical="center"/>
    </xf>
    <xf numFmtId="0" fontId="10" fillId="0" borderId="27" xfId="3" applyFont="1" applyBorder="1">
      <alignment vertical="center"/>
    </xf>
    <xf numFmtId="0" fontId="10" fillId="0" borderId="28" xfId="3" applyFont="1" applyBorder="1">
      <alignment vertical="center"/>
    </xf>
    <xf numFmtId="0" fontId="10" fillId="0" borderId="28" xfId="3" applyFont="1" applyBorder="1" applyAlignment="1">
      <alignment horizontal="center" vertical="center"/>
    </xf>
    <xf numFmtId="0" fontId="10" fillId="0" borderId="29" xfId="3" applyFont="1" applyBorder="1">
      <alignment vertical="center"/>
    </xf>
    <xf numFmtId="0" fontId="15" fillId="0" borderId="0" xfId="4" applyFont="1" applyAlignment="1">
      <alignment vertical="center"/>
    </xf>
    <xf numFmtId="0" fontId="16" fillId="0" borderId="37" xfId="4" applyFont="1" applyBorder="1" applyAlignment="1">
      <alignment vertical="center"/>
    </xf>
    <xf numFmtId="0" fontId="16" fillId="0" borderId="0" xfId="4" applyFont="1" applyAlignment="1">
      <alignment vertical="center"/>
    </xf>
    <xf numFmtId="0" fontId="16" fillId="0" borderId="31" xfId="4" applyFont="1" applyBorder="1" applyAlignment="1">
      <alignment vertical="center"/>
    </xf>
    <xf numFmtId="0" fontId="16" fillId="0" borderId="32" xfId="4" applyFont="1" applyBorder="1" applyAlignment="1">
      <alignment vertical="center"/>
    </xf>
    <xf numFmtId="0" fontId="16" fillId="0" borderId="33" xfId="4" applyFont="1" applyBorder="1" applyAlignment="1">
      <alignment vertical="center"/>
    </xf>
    <xf numFmtId="0" fontId="16" fillId="0" borderId="40" xfId="4" applyFont="1" applyBorder="1" applyAlignment="1">
      <alignment vertical="center"/>
    </xf>
    <xf numFmtId="0" fontId="17" fillId="0" borderId="0" xfId="4" applyFont="1" applyAlignment="1">
      <alignment vertical="center"/>
    </xf>
    <xf numFmtId="0" fontId="16" fillId="0" borderId="41" xfId="4" applyFont="1" applyBorder="1" applyAlignment="1">
      <alignment vertical="center"/>
    </xf>
    <xf numFmtId="0" fontId="19" fillId="0" borderId="0" xfId="5" applyFont="1" applyAlignment="1">
      <alignment vertical="center"/>
    </xf>
    <xf numFmtId="0" fontId="16" fillId="0" borderId="40" xfId="5" applyFont="1" applyBorder="1" applyAlignment="1">
      <alignment vertical="center"/>
    </xf>
    <xf numFmtId="0" fontId="16" fillId="0" borderId="41" xfId="5" applyFont="1" applyBorder="1" applyAlignment="1">
      <alignment vertical="center"/>
    </xf>
    <xf numFmtId="0" fontId="16" fillId="0" borderId="0" xfId="5" applyFont="1" applyAlignment="1">
      <alignment vertical="center"/>
    </xf>
    <xf numFmtId="0" fontId="19" fillId="7" borderId="0" xfId="5" applyFont="1" applyFill="1" applyAlignment="1">
      <alignment vertical="center"/>
    </xf>
    <xf numFmtId="0" fontId="19" fillId="7" borderId="38" xfId="5" applyFont="1" applyFill="1" applyBorder="1" applyAlignment="1">
      <alignment vertical="center"/>
    </xf>
    <xf numFmtId="0" fontId="19" fillId="7" borderId="37" xfId="5" applyFont="1" applyFill="1" applyBorder="1" applyAlignment="1">
      <alignment vertical="center"/>
    </xf>
    <xf numFmtId="0" fontId="19" fillId="7" borderId="39" xfId="5" applyFont="1" applyFill="1" applyBorder="1" applyAlignment="1">
      <alignment vertical="center"/>
    </xf>
    <xf numFmtId="0" fontId="19" fillId="0" borderId="38" xfId="5" applyFont="1" applyBorder="1" applyAlignment="1">
      <alignment vertical="center"/>
    </xf>
    <xf numFmtId="0" fontId="19" fillId="0" borderId="37" xfId="5" applyFont="1" applyBorder="1" applyAlignment="1">
      <alignment vertical="center"/>
    </xf>
    <xf numFmtId="0" fontId="19" fillId="0" borderId="39" xfId="5" applyFont="1" applyBorder="1" applyAlignment="1">
      <alignment vertical="center"/>
    </xf>
    <xf numFmtId="0" fontId="19" fillId="4" borderId="38" xfId="5" applyFont="1" applyFill="1" applyBorder="1" applyAlignment="1">
      <alignment vertical="center"/>
    </xf>
    <xf numFmtId="0" fontId="19" fillId="4" borderId="37" xfId="5" applyFont="1" applyFill="1" applyBorder="1" applyAlignment="1">
      <alignment vertical="center"/>
    </xf>
    <xf numFmtId="0" fontId="19" fillId="4" borderId="39" xfId="5" applyFont="1" applyFill="1" applyBorder="1" applyAlignment="1">
      <alignment vertical="center"/>
    </xf>
    <xf numFmtId="0" fontId="16" fillId="0" borderId="40" xfId="6" applyFont="1" applyBorder="1" applyAlignment="1">
      <alignment vertical="center"/>
    </xf>
    <xf numFmtId="0" fontId="16" fillId="0" borderId="0" xfId="6" applyFont="1" applyAlignment="1">
      <alignment vertical="center"/>
    </xf>
    <xf numFmtId="0" fontId="16" fillId="0" borderId="41" xfId="7" applyFont="1" applyBorder="1" applyAlignment="1">
      <alignment vertical="center"/>
    </xf>
    <xf numFmtId="0" fontId="16" fillId="0" borderId="34" xfId="6" applyFont="1" applyBorder="1" applyAlignment="1">
      <alignment vertical="center"/>
    </xf>
    <xf numFmtId="0" fontId="16" fillId="0" borderId="35" xfId="6" applyFont="1" applyBorder="1" applyAlignment="1">
      <alignment vertical="center"/>
    </xf>
    <xf numFmtId="0" fontId="16" fillId="0" borderId="35" xfId="4" applyFont="1" applyBorder="1" applyAlignment="1">
      <alignment vertical="center"/>
    </xf>
    <xf numFmtId="0" fontId="16" fillId="0" borderId="35" xfId="5" applyFont="1" applyBorder="1" applyAlignment="1">
      <alignment vertical="center"/>
    </xf>
    <xf numFmtId="0" fontId="16" fillId="0" borderId="36" xfId="7" applyFont="1" applyBorder="1" applyAlignment="1">
      <alignment vertical="center"/>
    </xf>
    <xf numFmtId="0" fontId="19" fillId="0" borderId="31" xfId="5" applyFont="1" applyBorder="1" applyAlignment="1">
      <alignment vertical="center"/>
    </xf>
    <xf numFmtId="0" fontId="19" fillId="0" borderId="32" xfId="5" applyFont="1" applyBorder="1" applyAlignment="1">
      <alignment vertical="center"/>
    </xf>
    <xf numFmtId="0" fontId="19" fillId="0" borderId="33" xfId="5" applyFont="1" applyBorder="1" applyAlignment="1">
      <alignment vertical="center"/>
    </xf>
    <xf numFmtId="0" fontId="19" fillId="0" borderId="40" xfId="5" applyFont="1" applyBorder="1" applyAlignment="1">
      <alignment vertical="center"/>
    </xf>
    <xf numFmtId="0" fontId="19" fillId="0" borderId="41" xfId="5" applyFont="1" applyBorder="1" applyAlignment="1">
      <alignment vertical="center"/>
    </xf>
    <xf numFmtId="0" fontId="19" fillId="0" borderId="34" xfId="5" applyFont="1" applyBorder="1" applyAlignment="1">
      <alignment vertical="center"/>
    </xf>
    <xf numFmtId="0" fontId="19" fillId="0" borderId="35" xfId="5" applyFont="1" applyBorder="1" applyAlignment="1">
      <alignment vertical="center"/>
    </xf>
    <xf numFmtId="0" fontId="19" fillId="0" borderId="36" xfId="5" applyFont="1" applyBorder="1" applyAlignment="1">
      <alignment vertical="center"/>
    </xf>
    <xf numFmtId="0" fontId="19" fillId="8" borderId="38" xfId="5" applyFont="1" applyFill="1" applyBorder="1" applyAlignment="1">
      <alignment vertical="center"/>
    </xf>
    <xf numFmtId="0" fontId="19" fillId="8" borderId="39" xfId="5" applyFont="1" applyFill="1" applyBorder="1" applyAlignment="1">
      <alignment vertical="center"/>
    </xf>
    <xf numFmtId="0" fontId="16" fillId="8" borderId="38" xfId="5" applyFont="1" applyFill="1" applyBorder="1" applyAlignment="1">
      <alignment vertical="center"/>
    </xf>
    <xf numFmtId="0" fontId="16" fillId="8" borderId="37" xfId="5" applyFont="1" applyFill="1" applyBorder="1" applyAlignment="1">
      <alignment vertical="center"/>
    </xf>
    <xf numFmtId="0" fontId="19" fillId="8" borderId="37" xfId="5" applyFont="1" applyFill="1" applyBorder="1" applyAlignment="1">
      <alignment vertical="center"/>
    </xf>
    <xf numFmtId="0" fontId="16" fillId="8" borderId="39" xfId="5" applyFont="1" applyFill="1" applyBorder="1" applyAlignment="1">
      <alignment vertical="center"/>
    </xf>
    <xf numFmtId="0" fontId="20" fillId="8" borderId="37" xfId="5" applyFont="1" applyFill="1" applyBorder="1" applyAlignment="1">
      <alignment vertical="center"/>
    </xf>
    <xf numFmtId="0" fontId="20" fillId="8" borderId="38" xfId="5" applyFont="1" applyFill="1" applyBorder="1" applyAlignment="1">
      <alignment vertical="center"/>
    </xf>
    <xf numFmtId="0" fontId="20" fillId="8" borderId="39" xfId="5" applyFont="1" applyFill="1" applyBorder="1" applyAlignment="1">
      <alignment vertical="center"/>
    </xf>
    <xf numFmtId="0" fontId="21" fillId="0" borderId="0" xfId="5" applyFont="1"/>
    <xf numFmtId="0" fontId="19" fillId="9" borderId="38" xfId="5" applyFont="1" applyFill="1" applyBorder="1" applyAlignment="1">
      <alignment vertical="center"/>
    </xf>
    <xf numFmtId="0" fontId="19" fillId="9" borderId="37" xfId="5" applyFont="1" applyFill="1" applyBorder="1" applyAlignment="1">
      <alignment vertical="center"/>
    </xf>
    <xf numFmtId="0" fontId="16" fillId="9" borderId="38" xfId="5" quotePrefix="1" applyFont="1" applyFill="1" applyBorder="1" applyAlignment="1">
      <alignment vertical="center"/>
    </xf>
    <xf numFmtId="0" fontId="16" fillId="9" borderId="37" xfId="5" applyFont="1" applyFill="1" applyBorder="1" applyAlignment="1">
      <alignment vertical="center"/>
    </xf>
    <xf numFmtId="0" fontId="16" fillId="9" borderId="39" xfId="5" applyFont="1" applyFill="1" applyBorder="1" applyAlignment="1">
      <alignment vertical="center"/>
    </xf>
    <xf numFmtId="0" fontId="16" fillId="9" borderId="37" xfId="5" quotePrefix="1" applyFont="1" applyFill="1" applyBorder="1" applyAlignment="1">
      <alignment vertical="center"/>
    </xf>
    <xf numFmtId="0" fontId="16" fillId="9" borderId="38" xfId="5" applyFont="1" applyFill="1" applyBorder="1" applyAlignment="1">
      <alignment vertical="center"/>
    </xf>
    <xf numFmtId="0" fontId="22" fillId="9" borderId="37" xfId="5" quotePrefix="1" applyFont="1" applyFill="1" applyBorder="1" applyAlignment="1">
      <alignment vertical="center"/>
    </xf>
    <xf numFmtId="0" fontId="19" fillId="9" borderId="37" xfId="5" quotePrefix="1" applyFont="1" applyFill="1" applyBorder="1" applyAlignment="1">
      <alignment vertical="center"/>
    </xf>
    <xf numFmtId="0" fontId="19" fillId="9" borderId="38" xfId="5" quotePrefix="1" applyFont="1" applyFill="1" applyBorder="1" applyAlignment="1">
      <alignment vertical="center"/>
    </xf>
    <xf numFmtId="0" fontId="19" fillId="9" borderId="39" xfId="5" applyFont="1" applyFill="1" applyBorder="1" applyAlignment="1">
      <alignment vertical="center"/>
    </xf>
    <xf numFmtId="0" fontId="20" fillId="10" borderId="38" xfId="5" applyFont="1" applyFill="1" applyBorder="1" applyAlignment="1">
      <alignment vertical="center"/>
    </xf>
    <xf numFmtId="0" fontId="22" fillId="10" borderId="37" xfId="5" quotePrefix="1" applyFont="1" applyFill="1" applyBorder="1" applyAlignment="1">
      <alignment vertical="center"/>
    </xf>
    <xf numFmtId="0" fontId="19" fillId="10" borderId="37" xfId="5" applyFont="1" applyFill="1" applyBorder="1" applyAlignment="1">
      <alignment vertical="center"/>
    </xf>
    <xf numFmtId="0" fontId="19" fillId="10" borderId="38" xfId="5" quotePrefix="1" applyFont="1" applyFill="1" applyBorder="1" applyAlignment="1">
      <alignment vertical="center"/>
    </xf>
    <xf numFmtId="0" fontId="19" fillId="10" borderId="39" xfId="5" applyFont="1" applyFill="1" applyBorder="1" applyAlignment="1">
      <alignment vertical="center"/>
    </xf>
    <xf numFmtId="0" fontId="19" fillId="10" borderId="38" xfId="5" applyFont="1" applyFill="1" applyBorder="1" applyAlignment="1">
      <alignment vertical="center"/>
    </xf>
    <xf numFmtId="0" fontId="16" fillId="10" borderId="37" xfId="5" applyFont="1" applyFill="1" applyBorder="1" applyAlignment="1">
      <alignment vertical="center"/>
    </xf>
    <xf numFmtId="0" fontId="16" fillId="10" borderId="39" xfId="5" applyFont="1" applyFill="1" applyBorder="1" applyAlignment="1">
      <alignment vertical="center"/>
    </xf>
    <xf numFmtId="0" fontId="20" fillId="9" borderId="38" xfId="5" applyFont="1" applyFill="1" applyBorder="1" applyAlignment="1">
      <alignment vertical="center"/>
    </xf>
    <xf numFmtId="0" fontId="16" fillId="0" borderId="34" xfId="4" applyFont="1" applyBorder="1" applyAlignment="1">
      <alignment vertical="center"/>
    </xf>
    <xf numFmtId="0" fontId="16" fillId="0" borderId="36" xfId="4" applyFont="1" applyBorder="1" applyAlignment="1">
      <alignment vertical="center"/>
    </xf>
    <xf numFmtId="0" fontId="19" fillId="8" borderId="37" xfId="5" applyFont="1" applyFill="1" applyBorder="1"/>
    <xf numFmtId="0" fontId="19" fillId="8" borderId="39" xfId="5" quotePrefix="1" applyFont="1" applyFill="1" applyBorder="1" applyAlignment="1">
      <alignment vertical="center"/>
    </xf>
    <xf numFmtId="0" fontId="20" fillId="9" borderId="37" xfId="5" applyFont="1" applyFill="1" applyBorder="1" applyAlignment="1">
      <alignment vertical="center"/>
    </xf>
    <xf numFmtId="0" fontId="22" fillId="10" borderId="38" xfId="5" quotePrefix="1" applyFont="1" applyFill="1" applyBorder="1" applyAlignment="1">
      <alignment vertical="center"/>
    </xf>
    <xf numFmtId="0" fontId="20" fillId="10" borderId="37" xfId="5" applyFont="1" applyFill="1" applyBorder="1" applyAlignment="1">
      <alignment vertical="center"/>
    </xf>
    <xf numFmtId="0" fontId="19" fillId="10" borderId="37" xfId="5" quotePrefix="1" applyFont="1" applyFill="1" applyBorder="1" applyAlignment="1">
      <alignment vertical="center"/>
    </xf>
    <xf numFmtId="0" fontId="10" fillId="0" borderId="19" xfId="3" applyFont="1" applyBorder="1">
      <alignment vertical="center"/>
    </xf>
    <xf numFmtId="0" fontId="10" fillId="0" borderId="11" xfId="152" applyFont="1" applyBorder="1" applyAlignment="1">
      <alignment vertical="center" wrapText="1"/>
    </xf>
    <xf numFmtId="0" fontId="3" fillId="0" borderId="13" xfId="152" applyBorder="1">
      <alignment vertical="center"/>
    </xf>
    <xf numFmtId="0" fontId="3" fillId="0" borderId="14" xfId="152" applyBorder="1">
      <alignment vertical="center"/>
    </xf>
    <xf numFmtId="0" fontId="3" fillId="0" borderId="14" xfId="152" applyBorder="1" applyAlignment="1">
      <alignment horizontal="center" vertical="center"/>
    </xf>
    <xf numFmtId="0" fontId="3" fillId="0" borderId="9" xfId="152" applyBorder="1">
      <alignment vertical="center"/>
    </xf>
    <xf numFmtId="0" fontId="3" fillId="0" borderId="10" xfId="152" applyBorder="1">
      <alignment vertical="center"/>
    </xf>
    <xf numFmtId="0" fontId="3" fillId="0" borderId="10" xfId="152" applyBorder="1" applyAlignment="1">
      <alignment horizontal="center" vertical="center"/>
    </xf>
    <xf numFmtId="0" fontId="3" fillId="0" borderId="11" xfId="152" applyBorder="1" applyAlignment="1">
      <alignment vertical="center" wrapText="1"/>
    </xf>
    <xf numFmtId="0" fontId="3" fillId="0" borderId="11" xfId="152" applyBorder="1">
      <alignment vertical="center"/>
    </xf>
    <xf numFmtId="0" fontId="3" fillId="0" borderId="16" xfId="152" applyBorder="1">
      <alignment vertical="center"/>
    </xf>
    <xf numFmtId="49" fontId="51" fillId="37" borderId="38" xfId="164" applyNumberFormat="1" applyFont="1" applyFill="1" applyBorder="1" applyAlignment="1">
      <alignment vertical="center"/>
    </xf>
    <xf numFmtId="49" fontId="76" fillId="37" borderId="38" xfId="164" applyNumberFormat="1" applyFont="1" applyFill="1" applyBorder="1" applyAlignment="1">
      <alignment vertical="center"/>
    </xf>
    <xf numFmtId="49" fontId="23" fillId="39" borderId="36" xfId="164" applyNumberFormat="1" applyFont="1" applyFill="1" applyBorder="1" applyAlignment="1">
      <alignment vertical="center"/>
    </xf>
    <xf numFmtId="49" fontId="51" fillId="37" borderId="37" xfId="164" applyNumberFormat="1" applyFont="1" applyFill="1" applyBorder="1" applyAlignment="1">
      <alignment vertical="center"/>
    </xf>
    <xf numFmtId="49" fontId="51" fillId="0" borderId="40" xfId="164" applyNumberFormat="1" applyFont="1" applyBorder="1" applyAlignment="1">
      <alignment vertical="center"/>
    </xf>
    <xf numFmtId="49" fontId="23" fillId="0" borderId="40" xfId="164" applyNumberFormat="1" applyFont="1" applyBorder="1" applyAlignment="1">
      <alignment vertical="center"/>
    </xf>
    <xf numFmtId="0" fontId="23" fillId="0" borderId="0" xfId="4" applyFont="1" applyAlignment="1">
      <alignment vertical="center"/>
    </xf>
    <xf numFmtId="0" fontId="10" fillId="0" borderId="37" xfId="4" applyFont="1" applyBorder="1" applyAlignment="1">
      <alignment vertical="center"/>
    </xf>
    <xf numFmtId="0" fontId="10" fillId="0" borderId="0" xfId="4" applyFont="1" applyAlignment="1">
      <alignment vertical="center" wrapText="1"/>
    </xf>
    <xf numFmtId="0" fontId="74" fillId="38" borderId="34" xfId="4" applyFont="1" applyFill="1" applyBorder="1" applyAlignment="1">
      <alignment horizontal="left" vertical="center"/>
    </xf>
    <xf numFmtId="49" fontId="10" fillId="0" borderId="37" xfId="4" applyNumberFormat="1" applyFont="1" applyBorder="1" applyAlignment="1">
      <alignment vertical="center"/>
    </xf>
    <xf numFmtId="0" fontId="10" fillId="0" borderId="41" xfId="4" applyFont="1" applyBorder="1" applyAlignment="1">
      <alignment vertical="center"/>
    </xf>
    <xf numFmtId="0" fontId="74" fillId="38" borderId="35" xfId="4" applyFont="1" applyFill="1" applyBorder="1" applyAlignment="1">
      <alignment horizontal="center" vertical="center"/>
    </xf>
    <xf numFmtId="0" fontId="23" fillId="0" borderId="0" xfId="119" applyFont="1" applyAlignment="1">
      <alignment vertical="center"/>
    </xf>
    <xf numFmtId="0" fontId="10" fillId="0" borderId="40" xfId="4" applyFont="1" applyBorder="1" applyAlignment="1">
      <alignment vertical="center"/>
    </xf>
    <xf numFmtId="49" fontId="51" fillId="0" borderId="0" xfId="164" applyNumberFormat="1" applyFont="1" applyAlignment="1">
      <alignment vertical="center"/>
    </xf>
    <xf numFmtId="49" fontId="51" fillId="0" borderId="41" xfId="164" applyNumberFormat="1" applyFont="1" applyBorder="1" applyAlignment="1">
      <alignment vertical="center"/>
    </xf>
    <xf numFmtId="49" fontId="51" fillId="37" borderId="39" xfId="164" applyNumberFormat="1" applyFont="1" applyFill="1" applyBorder="1" applyAlignment="1">
      <alignment vertical="center"/>
    </xf>
    <xf numFmtId="0" fontId="67" fillId="0" borderId="0" xfId="4" applyFont="1" applyAlignment="1">
      <alignment vertical="center"/>
    </xf>
    <xf numFmtId="49" fontId="23" fillId="0" borderId="41" xfId="164" applyNumberFormat="1" applyFont="1" applyBorder="1" applyAlignment="1">
      <alignment vertical="center"/>
    </xf>
    <xf numFmtId="49" fontId="23" fillId="0" borderId="0" xfId="164" applyNumberFormat="1" applyFont="1" applyAlignment="1">
      <alignment vertical="center"/>
    </xf>
    <xf numFmtId="49" fontId="23" fillId="39" borderId="35" xfId="164" applyNumberFormat="1" applyFont="1" applyFill="1" applyBorder="1" applyAlignment="1">
      <alignment vertical="center"/>
    </xf>
    <xf numFmtId="49" fontId="74" fillId="39" borderId="34" xfId="164" applyNumberFormat="1" applyFont="1" applyFill="1" applyBorder="1" applyAlignment="1">
      <alignment vertical="center"/>
    </xf>
    <xf numFmtId="0" fontId="10" fillId="0" borderId="0" xfId="4" applyFont="1" applyAlignment="1">
      <alignment vertical="center"/>
    </xf>
    <xf numFmtId="0" fontId="10" fillId="0" borderId="38" xfId="4" applyFont="1" applyBorder="1" applyAlignment="1">
      <alignment vertical="center"/>
    </xf>
    <xf numFmtId="0" fontId="74" fillId="38" borderId="41" xfId="4" applyFont="1" applyFill="1" applyBorder="1" applyAlignment="1">
      <alignment horizontal="center" vertical="center"/>
    </xf>
    <xf numFmtId="0" fontId="74" fillId="38" borderId="0" xfId="4" applyFont="1" applyFill="1" applyAlignment="1">
      <alignment horizontal="center" vertical="center"/>
    </xf>
    <xf numFmtId="0" fontId="73" fillId="0" borderId="0" xfId="4" applyFont="1" applyAlignment="1">
      <alignment vertical="center"/>
    </xf>
    <xf numFmtId="0" fontId="67" fillId="0" borderId="37" xfId="4" applyFont="1" applyBorder="1" applyAlignment="1">
      <alignment vertical="center"/>
    </xf>
    <xf numFmtId="0" fontId="23" fillId="0" borderId="0" xfId="166" applyFont="1">
      <alignment vertical="center"/>
    </xf>
    <xf numFmtId="0" fontId="10" fillId="0" borderId="7" xfId="3" applyFont="1" applyBorder="1" applyAlignment="1">
      <alignment horizontal="center" vertical="center"/>
    </xf>
    <xf numFmtId="0" fontId="10" fillId="0" borderId="7" xfId="3" applyFont="1" applyBorder="1">
      <alignment vertical="center"/>
    </xf>
    <xf numFmtId="0" fontId="10" fillId="0" borderId="16" xfId="0" applyFont="1" applyBorder="1" applyAlignment="1">
      <alignment vertical="center" wrapText="1"/>
    </xf>
    <xf numFmtId="0" fontId="10" fillId="0" borderId="10" xfId="152" applyFont="1" applyBorder="1">
      <alignment vertical="center"/>
    </xf>
    <xf numFmtId="0" fontId="10" fillId="0" borderId="7" xfId="0" applyFont="1" applyBorder="1">
      <alignment vertical="center"/>
    </xf>
    <xf numFmtId="0" fontId="10" fillId="0" borderId="7" xfId="0" applyFont="1" applyBorder="1" applyAlignment="1">
      <alignment vertical="center" wrapText="1"/>
    </xf>
    <xf numFmtId="0" fontId="69" fillId="0" borderId="10" xfId="0" applyFont="1" applyBorder="1">
      <alignment vertical="center"/>
    </xf>
    <xf numFmtId="0" fontId="69" fillId="0" borderId="14" xfId="0" applyFont="1" applyBorder="1">
      <alignment vertical="center"/>
    </xf>
    <xf numFmtId="0" fontId="10" fillId="0" borderId="10" xfId="0" applyFont="1" applyBorder="1" applyAlignment="1">
      <alignment horizontal="center" vertical="center"/>
    </xf>
    <xf numFmtId="0" fontId="10" fillId="0" borderId="10" xfId="0" applyFont="1" applyBorder="1">
      <alignment vertical="center"/>
    </xf>
    <xf numFmtId="0" fontId="3" fillId="0" borderId="11" xfId="0" applyFont="1" applyBorder="1" applyAlignment="1">
      <alignment vertical="center" wrapText="1"/>
    </xf>
    <xf numFmtId="0" fontId="10" fillId="0" borderId="9" xfId="0" applyFont="1" applyBorder="1">
      <alignment vertical="center"/>
    </xf>
    <xf numFmtId="0" fontId="10" fillId="0" borderId="6" xfId="0" applyFont="1" applyBorder="1">
      <alignment vertical="center"/>
    </xf>
    <xf numFmtId="0" fontId="10" fillId="0" borderId="7" xfId="0" applyFont="1" applyBorder="1" applyAlignment="1">
      <alignment horizontal="center" vertical="center"/>
    </xf>
    <xf numFmtId="0" fontId="10" fillId="0" borderId="11" xfId="114" applyFont="1" applyBorder="1" applyAlignment="1">
      <alignment vertical="center" wrapText="1"/>
    </xf>
    <xf numFmtId="0" fontId="23" fillId="0" borderId="6" xfId="0" applyFont="1" applyBorder="1">
      <alignment vertical="center"/>
    </xf>
    <xf numFmtId="0" fontId="10" fillId="0" borderId="54" xfId="0" applyFont="1" applyBorder="1">
      <alignment vertical="center"/>
    </xf>
    <xf numFmtId="0" fontId="10" fillId="0" borderId="55" xfId="0" applyFont="1" applyBorder="1">
      <alignment vertical="center"/>
    </xf>
    <xf numFmtId="0" fontId="10" fillId="0" borderId="13" xfId="0" applyFont="1" applyBorder="1">
      <alignment vertical="center"/>
    </xf>
    <xf numFmtId="0" fontId="10" fillId="0" borderId="14" xfId="0" applyFont="1" applyBorder="1">
      <alignment vertical="center"/>
    </xf>
    <xf numFmtId="0" fontId="10" fillId="0" borderId="14" xfId="0" applyFont="1" applyBorder="1" applyAlignment="1">
      <alignment horizontal="center" vertical="center"/>
    </xf>
    <xf numFmtId="0" fontId="10" fillId="0" borderId="11" xfId="0" applyFont="1" applyBorder="1" applyAlignment="1">
      <alignment vertical="center" wrapText="1"/>
    </xf>
    <xf numFmtId="0" fontId="10" fillId="0" borderId="20" xfId="0" applyFont="1" applyBorder="1" applyAlignment="1">
      <alignment vertical="center" wrapText="1"/>
    </xf>
    <xf numFmtId="0" fontId="3" fillId="0" borderId="11"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0" xfId="0" applyFont="1" applyBorder="1" applyAlignment="1">
      <alignment horizontal="center" vertical="center"/>
    </xf>
    <xf numFmtId="0" fontId="3" fillId="0" borderId="7" xfId="0" applyFont="1" applyBorder="1">
      <alignment vertical="center"/>
    </xf>
    <xf numFmtId="0" fontId="3" fillId="0" borderId="7" xfId="0" applyFont="1" applyBorder="1" applyAlignment="1">
      <alignment horizontal="center" vertical="center"/>
    </xf>
    <xf numFmtId="0" fontId="3" fillId="0" borderId="8" xfId="0" applyFont="1" applyBorder="1" applyAlignment="1">
      <alignment vertical="center" wrapText="1"/>
    </xf>
    <xf numFmtId="0" fontId="3" fillId="0" borderId="13" xfId="0" applyFont="1" applyBorder="1">
      <alignment vertical="center"/>
    </xf>
    <xf numFmtId="0" fontId="3" fillId="0" borderId="14" xfId="0" applyFont="1" applyBorder="1">
      <alignment vertical="center"/>
    </xf>
    <xf numFmtId="0" fontId="3" fillId="0" borderId="14" xfId="0" applyFont="1" applyBorder="1" applyAlignment="1">
      <alignment horizontal="center" vertical="center"/>
    </xf>
    <xf numFmtId="0" fontId="3" fillId="0" borderId="6" xfId="0" applyFont="1" applyBorder="1">
      <alignment vertical="center"/>
    </xf>
    <xf numFmtId="0" fontId="10" fillId="0" borderId="8" xfId="0" applyFont="1" applyBorder="1" applyAlignment="1">
      <alignment vertical="center" wrapText="1"/>
    </xf>
    <xf numFmtId="0" fontId="10" fillId="0" borderId="10" xfId="0" applyFont="1" applyBorder="1" applyAlignment="1">
      <alignment vertical="center" wrapText="1"/>
    </xf>
    <xf numFmtId="0" fontId="3" fillId="0" borderId="16" xfId="0" applyFont="1" applyBorder="1" applyAlignment="1">
      <alignment vertical="center" wrapText="1"/>
    </xf>
    <xf numFmtId="0" fontId="3" fillId="0" borderId="55" xfId="0" applyFont="1" applyBorder="1">
      <alignment vertical="center"/>
    </xf>
    <xf numFmtId="0" fontId="3" fillId="0" borderId="55" xfId="0" applyFont="1" applyBorder="1" applyAlignment="1">
      <alignment horizontal="center" vertical="center"/>
    </xf>
    <xf numFmtId="0" fontId="3" fillId="0" borderId="21" xfId="0" applyFont="1" applyBorder="1" applyAlignment="1">
      <alignment vertical="center" wrapText="1"/>
    </xf>
    <xf numFmtId="0" fontId="0" fillId="0" borderId="40" xfId="4" applyFont="1" applyBorder="1" applyAlignment="1">
      <alignment vertical="center"/>
    </xf>
    <xf numFmtId="0" fontId="10" fillId="0" borderId="41" xfId="4" applyFont="1" applyBorder="1" applyAlignment="1">
      <alignment vertical="center" wrapText="1"/>
    </xf>
    <xf numFmtId="0" fontId="10" fillId="0" borderId="35" xfId="4" applyFont="1" applyBorder="1" applyAlignment="1">
      <alignment vertical="center"/>
    </xf>
    <xf numFmtId="0" fontId="10" fillId="0" borderId="35" xfId="4" applyFont="1" applyBorder="1" applyAlignment="1">
      <alignment vertical="center" wrapText="1"/>
    </xf>
    <xf numFmtId="49" fontId="74" fillId="39" borderId="38" xfId="164" applyNumberFormat="1" applyFont="1" applyFill="1" applyBorder="1" applyAlignment="1">
      <alignment vertical="center"/>
    </xf>
    <xf numFmtId="49" fontId="23" fillId="39" borderId="37" xfId="164" applyNumberFormat="1" applyFont="1" applyFill="1" applyBorder="1" applyAlignment="1">
      <alignment vertical="center"/>
    </xf>
    <xf numFmtId="0" fontId="23" fillId="39" borderId="37" xfId="4" applyFont="1" applyFill="1" applyBorder="1" applyAlignment="1">
      <alignment vertical="center"/>
    </xf>
    <xf numFmtId="49" fontId="23" fillId="39" borderId="39" xfId="164" applyNumberFormat="1" applyFont="1" applyFill="1" applyBorder="1" applyAlignment="1">
      <alignment vertical="center"/>
    </xf>
    <xf numFmtId="0" fontId="51" fillId="37" borderId="37" xfId="4" applyFont="1" applyFill="1" applyBorder="1" applyAlignment="1">
      <alignment vertical="center"/>
    </xf>
    <xf numFmtId="0" fontId="51" fillId="37" borderId="39" xfId="4" applyFont="1" applyFill="1" applyBorder="1" applyAlignment="1">
      <alignment vertical="center"/>
    </xf>
    <xf numFmtId="0" fontId="51" fillId="37" borderId="38" xfId="4" applyFont="1" applyFill="1" applyBorder="1" applyAlignment="1">
      <alignment vertical="center"/>
    </xf>
    <xf numFmtId="0" fontId="10" fillId="0" borderId="34" xfId="4" applyFont="1" applyBorder="1" applyAlignment="1">
      <alignment vertical="center"/>
    </xf>
    <xf numFmtId="0" fontId="10" fillId="0" borderId="36" xfId="4" applyFont="1" applyBorder="1" applyAlignment="1">
      <alignment vertical="center"/>
    </xf>
    <xf numFmtId="0" fontId="73" fillId="0" borderId="35" xfId="4" applyFont="1" applyBorder="1" applyAlignment="1">
      <alignmen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0" fillId="0" borderId="10" xfId="0" applyFont="1" applyBorder="1" applyAlignment="1">
      <alignment vertical="center" shrinkToFit="1"/>
    </xf>
    <xf numFmtId="0" fontId="10" fillId="0" borderId="15" xfId="1" applyFont="1" applyBorder="1" applyAlignment="1">
      <alignment vertical="center" wrapText="1"/>
    </xf>
    <xf numFmtId="0" fontId="10" fillId="0" borderId="0" xfId="0" applyFont="1">
      <alignment vertical="center"/>
    </xf>
    <xf numFmtId="0" fontId="10" fillId="0" borderId="8" xfId="2" applyFont="1" applyBorder="1" applyAlignment="1">
      <alignment vertical="center" wrapText="1"/>
    </xf>
    <xf numFmtId="0" fontId="10" fillId="0" borderId="11" xfId="0" applyFont="1" applyBorder="1">
      <alignment vertical="center"/>
    </xf>
    <xf numFmtId="0" fontId="10" fillId="0" borderId="21" xfId="0" applyFont="1" applyBorder="1" applyAlignment="1">
      <alignment vertical="center" wrapText="1"/>
    </xf>
    <xf numFmtId="0" fontId="10" fillId="0" borderId="14" xfId="0" applyFont="1" applyBorder="1" applyAlignment="1">
      <alignment vertical="center" shrinkToFit="1"/>
    </xf>
    <xf numFmtId="0" fontId="10" fillId="0" borderId="16" xfId="0" applyFont="1" applyBorder="1">
      <alignment vertical="center"/>
    </xf>
    <xf numFmtId="0" fontId="11" fillId="2" borderId="23" xfId="0" applyFont="1" applyFill="1" applyBorder="1" applyAlignment="1">
      <alignment horizontal="center" vertical="center"/>
    </xf>
    <xf numFmtId="0" fontId="11" fillId="2" borderId="24" xfId="0" applyFont="1" applyFill="1" applyBorder="1" applyAlignment="1">
      <alignment horizontal="center" vertical="center"/>
    </xf>
    <xf numFmtId="0" fontId="12" fillId="2" borderId="24" xfId="0" applyFont="1" applyFill="1" applyBorder="1" applyAlignment="1">
      <alignment horizontal="center" vertical="center" wrapText="1"/>
    </xf>
    <xf numFmtId="0" fontId="12" fillId="2" borderId="24" xfId="0" applyFont="1" applyFill="1" applyBorder="1" applyAlignment="1">
      <alignment horizontal="center" vertical="center"/>
    </xf>
    <xf numFmtId="0" fontId="23" fillId="0" borderId="10" xfId="0" applyFont="1" applyBorder="1">
      <alignment vertical="center"/>
    </xf>
    <xf numFmtId="0" fontId="11" fillId="2" borderId="25" xfId="0" applyFont="1" applyFill="1" applyBorder="1" applyAlignment="1">
      <alignment horizontal="center" vertical="center"/>
    </xf>
    <xf numFmtId="0" fontId="80" fillId="0" borderId="19" xfId="0" applyFont="1" applyBorder="1" applyAlignment="1">
      <alignment vertical="center" wrapText="1"/>
    </xf>
    <xf numFmtId="0" fontId="10" fillId="0" borderId="10" xfId="5" applyFont="1" applyBorder="1" applyAlignment="1">
      <alignment vertical="center"/>
    </xf>
    <xf numFmtId="0" fontId="10" fillId="0" borderId="14" xfId="5" applyFont="1" applyBorder="1" applyAlignment="1">
      <alignment vertical="center"/>
    </xf>
    <xf numFmtId="0" fontId="10" fillId="0" borderId="0" xfId="166" applyFont="1">
      <alignment vertical="center"/>
    </xf>
    <xf numFmtId="0" fontId="11" fillId="2" borderId="23" xfId="166" applyFont="1" applyFill="1" applyBorder="1" applyAlignment="1">
      <alignment horizontal="center" vertical="center"/>
    </xf>
    <xf numFmtId="0" fontId="11" fillId="2" borderId="24" xfId="166" applyFont="1" applyFill="1" applyBorder="1" applyAlignment="1">
      <alignment horizontal="center" vertical="center"/>
    </xf>
    <xf numFmtId="0" fontId="12" fillId="2" borderId="24" xfId="166" applyFont="1" applyFill="1" applyBorder="1" applyAlignment="1">
      <alignment horizontal="center" vertical="center" wrapText="1"/>
    </xf>
    <xf numFmtId="0" fontId="12" fillId="2" borderId="24" xfId="166" applyFont="1" applyFill="1" applyBorder="1" applyAlignment="1">
      <alignment horizontal="center" vertical="center"/>
    </xf>
    <xf numFmtId="0" fontId="11" fillId="2" borderId="26" xfId="166" applyFont="1" applyFill="1" applyBorder="1" applyAlignment="1">
      <alignment horizontal="center" vertical="center"/>
    </xf>
    <xf numFmtId="0" fontId="10" fillId="0" borderId="6" xfId="119" applyBorder="1" applyAlignment="1">
      <alignment vertical="center"/>
    </xf>
    <xf numFmtId="0" fontId="10" fillId="0" borderId="7" xfId="119" applyBorder="1" applyAlignment="1">
      <alignment vertical="center"/>
    </xf>
    <xf numFmtId="0" fontId="10" fillId="0" borderId="7" xfId="119" applyBorder="1" applyAlignment="1">
      <alignment horizontal="center" vertical="center"/>
    </xf>
    <xf numFmtId="0" fontId="10" fillId="0" borderId="19" xfId="119" applyBorder="1" applyAlignment="1">
      <alignment vertical="center" wrapText="1"/>
    </xf>
    <xf numFmtId="0" fontId="10" fillId="0" borderId="9" xfId="119" applyBorder="1" applyAlignment="1">
      <alignment vertical="center"/>
    </xf>
    <xf numFmtId="0" fontId="10" fillId="0" borderId="10" xfId="119" applyBorder="1" applyAlignment="1">
      <alignment vertical="center"/>
    </xf>
    <xf numFmtId="0" fontId="10" fillId="0" borderId="10" xfId="119" applyBorder="1" applyAlignment="1">
      <alignment horizontal="center" vertical="center"/>
    </xf>
    <xf numFmtId="0" fontId="10" fillId="0" borderId="20" xfId="119" applyBorder="1" applyAlignment="1">
      <alignment vertical="center" wrapText="1"/>
    </xf>
    <xf numFmtId="0" fontId="10" fillId="0" borderId="9" xfId="166" applyFont="1" applyBorder="1">
      <alignment vertical="center"/>
    </xf>
    <xf numFmtId="0" fontId="80" fillId="0" borderId="10" xfId="165" applyFont="1" applyBorder="1">
      <alignment vertical="center"/>
    </xf>
    <xf numFmtId="0" fontId="80" fillId="0" borderId="10" xfId="165" applyFont="1" applyBorder="1" applyAlignment="1">
      <alignment horizontal="center" vertical="center"/>
    </xf>
    <xf numFmtId="0" fontId="80" fillId="0" borderId="20" xfId="165" applyFont="1" applyBorder="1">
      <alignment vertical="center"/>
    </xf>
    <xf numFmtId="0" fontId="10" fillId="0" borderId="13" xfId="166" applyFont="1" applyBorder="1">
      <alignment vertical="center"/>
    </xf>
    <xf numFmtId="0" fontId="80" fillId="0" borderId="14" xfId="165" applyFont="1" applyBorder="1">
      <alignment vertical="center"/>
    </xf>
    <xf numFmtId="0" fontId="80" fillId="0" borderId="14" xfId="165" applyFont="1" applyBorder="1" applyAlignment="1">
      <alignment horizontal="center" vertical="center"/>
    </xf>
    <xf numFmtId="0" fontId="80" fillId="0" borderId="22" xfId="165" applyFont="1" applyBorder="1" applyAlignment="1">
      <alignment vertical="center" wrapText="1"/>
    </xf>
    <xf numFmtId="0" fontId="10" fillId="0" borderId="56" xfId="0" applyFont="1" applyBorder="1">
      <alignment vertical="center"/>
    </xf>
    <xf numFmtId="0" fontId="10" fillId="0" borderId="57" xfId="0" applyFont="1" applyBorder="1">
      <alignment vertical="center"/>
    </xf>
    <xf numFmtId="0" fontId="10" fillId="0" borderId="57" xfId="0" applyFont="1" applyBorder="1" applyAlignment="1">
      <alignment horizontal="center" vertical="center"/>
    </xf>
    <xf numFmtId="0" fontId="10" fillId="0" borderId="57" xfId="0" applyFont="1" applyBorder="1" applyAlignment="1">
      <alignment vertical="center" wrapText="1"/>
    </xf>
    <xf numFmtId="0" fontId="10" fillId="0" borderId="58" xfId="0" applyFont="1" applyBorder="1">
      <alignment vertical="center"/>
    </xf>
    <xf numFmtId="0" fontId="10" fillId="0" borderId="28" xfId="0" applyFont="1" applyBorder="1">
      <alignment vertical="center"/>
    </xf>
    <xf numFmtId="0" fontId="10" fillId="0" borderId="28" xfId="0" applyFont="1" applyBorder="1" applyAlignment="1">
      <alignment horizontal="center" vertical="center"/>
    </xf>
    <xf numFmtId="0" fontId="10" fillId="0" borderId="14" xfId="0" applyFont="1" applyBorder="1" applyAlignment="1">
      <alignment vertical="center" wrapText="1"/>
    </xf>
    <xf numFmtId="0" fontId="10" fillId="35" borderId="10" xfId="0" applyFont="1" applyFill="1" applyBorder="1">
      <alignment vertical="center"/>
    </xf>
    <xf numFmtId="0" fontId="10" fillId="35" borderId="10" xfId="0" applyFont="1" applyFill="1" applyBorder="1" applyAlignment="1">
      <alignment horizontal="center" vertical="center"/>
    </xf>
    <xf numFmtId="0" fontId="10" fillId="35" borderId="11" xfId="0" applyFont="1" applyFill="1" applyBorder="1">
      <alignment vertical="center"/>
    </xf>
    <xf numFmtId="20" fontId="10" fillId="0" borderId="11" xfId="0" applyNumberFormat="1" applyFont="1" applyBorder="1">
      <alignment vertical="center"/>
    </xf>
    <xf numFmtId="0" fontId="10" fillId="0" borderId="55" xfId="0" applyFont="1" applyBorder="1" applyAlignment="1">
      <alignment horizontal="center" vertical="center"/>
    </xf>
    <xf numFmtId="0" fontId="10" fillId="0" borderId="21" xfId="0" applyFont="1" applyBorder="1">
      <alignment vertical="center"/>
    </xf>
    <xf numFmtId="0" fontId="10" fillId="0" borderId="59" xfId="0" applyFont="1" applyBorder="1">
      <alignment vertical="center"/>
    </xf>
    <xf numFmtId="0" fontId="10" fillId="0" borderId="60" xfId="0" applyFont="1" applyBorder="1">
      <alignment vertical="center"/>
    </xf>
    <xf numFmtId="0" fontId="10" fillId="0" borderId="60" xfId="0" applyFont="1" applyBorder="1" applyAlignment="1">
      <alignment horizontal="center" vertical="center"/>
    </xf>
    <xf numFmtId="0" fontId="10" fillId="0" borderId="61" xfId="0" applyFont="1" applyBorder="1">
      <alignment vertical="center"/>
    </xf>
    <xf numFmtId="0" fontId="10" fillId="0" borderId="8" xfId="0" applyFont="1" applyBorder="1">
      <alignment vertical="center"/>
    </xf>
    <xf numFmtId="0" fontId="10" fillId="0" borderId="30" xfId="0" applyFont="1" applyBorder="1">
      <alignment vertical="center"/>
    </xf>
    <xf numFmtId="0" fontId="10" fillId="7" borderId="11" xfId="0" applyFont="1" applyFill="1" applyBorder="1" applyAlignment="1">
      <alignment vertical="center" wrapText="1"/>
    </xf>
    <xf numFmtId="0" fontId="10" fillId="0" borderId="11" xfId="0" applyFont="1" applyBorder="1" applyAlignment="1">
      <alignment horizontal="center" vertical="center" wrapText="1"/>
    </xf>
    <xf numFmtId="0" fontId="10" fillId="0" borderId="8" xfId="1" applyFont="1" applyBorder="1" applyAlignment="1">
      <alignment vertical="center" wrapText="1"/>
    </xf>
    <xf numFmtId="0" fontId="81" fillId="3" borderId="3" xfId="0" applyFont="1" applyFill="1" applyBorder="1" applyAlignment="1">
      <alignment horizontal="center" vertical="center"/>
    </xf>
    <xf numFmtId="0" fontId="82" fillId="41" borderId="3" xfId="0" applyFont="1" applyFill="1" applyBorder="1" applyAlignment="1">
      <alignment horizontal="center" vertical="center" wrapText="1"/>
    </xf>
    <xf numFmtId="0" fontId="10" fillId="42" borderId="11" xfId="0" applyFont="1" applyFill="1" applyBorder="1" applyAlignment="1">
      <alignment vertical="center" wrapText="1"/>
    </xf>
    <xf numFmtId="0" fontId="3" fillId="0" borderId="0" xfId="0" applyFont="1" applyAlignment="1">
      <alignment horizontal="center" vertical="center"/>
    </xf>
    <xf numFmtId="0" fontId="10" fillId="7" borderId="11" xfId="0" applyFont="1" applyFill="1" applyBorder="1" applyAlignment="1">
      <alignment horizontal="center" vertical="center" wrapText="1"/>
    </xf>
    <xf numFmtId="0" fontId="10" fillId="42" borderId="11" xfId="0" applyFont="1" applyFill="1" applyBorder="1" applyAlignment="1">
      <alignment horizontal="center" vertical="center" wrapText="1"/>
    </xf>
    <xf numFmtId="0" fontId="10" fillId="42" borderId="16" xfId="0" applyFont="1" applyFill="1" applyBorder="1" applyAlignment="1">
      <alignment horizontal="center" vertical="center" wrapText="1"/>
    </xf>
    <xf numFmtId="0" fontId="10" fillId="42" borderId="16" xfId="0" applyFont="1" applyFill="1" applyBorder="1" applyAlignment="1">
      <alignment vertical="center" wrapText="1"/>
    </xf>
    <xf numFmtId="0" fontId="10" fillId="42" borderId="14" xfId="0" applyFont="1" applyFill="1" applyBorder="1" applyAlignment="1">
      <alignment horizontal="center" vertical="center" wrapText="1"/>
    </xf>
    <xf numFmtId="0" fontId="10" fillId="0" borderId="62" xfId="0" applyFont="1" applyBorder="1" applyAlignment="1">
      <alignment vertical="center" wrapText="1"/>
    </xf>
    <xf numFmtId="0" fontId="10" fillId="0" borderId="62" xfId="2" applyFont="1" applyBorder="1" applyAlignment="1">
      <alignment vertical="center" wrapText="1"/>
    </xf>
    <xf numFmtId="0" fontId="10" fillId="0" borderId="63" xfId="0" applyFont="1" applyBorder="1">
      <alignment vertical="center"/>
    </xf>
    <xf numFmtId="0" fontId="10" fillId="0" borderId="10" xfId="2" applyFont="1" applyBorder="1" applyAlignment="1">
      <alignment vertical="center" wrapText="1"/>
    </xf>
    <xf numFmtId="0" fontId="3" fillId="0" borderId="10" xfId="0" applyFont="1" applyBorder="1" applyAlignment="1">
      <alignment vertical="center" wrapText="1"/>
    </xf>
    <xf numFmtId="0" fontId="10" fillId="42" borderId="10" xfId="0" applyFont="1" applyFill="1" applyBorder="1" applyAlignment="1">
      <alignment vertical="center" wrapText="1"/>
    </xf>
    <xf numFmtId="0" fontId="10" fillId="42" borderId="62" xfId="0" applyFont="1" applyFill="1" applyBorder="1" applyAlignment="1">
      <alignment vertical="center" wrapText="1"/>
    </xf>
    <xf numFmtId="0" fontId="10" fillId="42" borderId="10" xfId="0" applyFont="1" applyFill="1" applyBorder="1">
      <alignment vertical="center"/>
    </xf>
    <xf numFmtId="0" fontId="10" fillId="42" borderId="62" xfId="0" applyFont="1" applyFill="1" applyBorder="1">
      <alignment vertical="center"/>
    </xf>
    <xf numFmtId="0" fontId="10" fillId="0" borderId="16" xfId="0" applyFont="1" applyBorder="1" applyAlignment="1">
      <alignment horizontal="center" vertical="center"/>
    </xf>
    <xf numFmtId="0" fontId="10" fillId="0" borderId="20" xfId="3" applyFont="1" applyBorder="1" applyAlignment="1">
      <alignment vertical="center" wrapText="1"/>
    </xf>
    <xf numFmtId="0" fontId="81" fillId="3" borderId="18" xfId="0" applyFont="1" applyFill="1" applyBorder="1" applyAlignment="1">
      <alignment horizontal="center" vertical="center"/>
    </xf>
    <xf numFmtId="0" fontId="10" fillId="7" borderId="20" xfId="0" applyFont="1" applyFill="1" applyBorder="1" applyAlignment="1">
      <alignment vertical="center" wrapText="1"/>
    </xf>
    <xf numFmtId="0" fontId="10" fillId="42" borderId="8" xfId="0" applyFont="1" applyFill="1" applyBorder="1" applyAlignment="1">
      <alignment vertical="center" wrapText="1"/>
    </xf>
    <xf numFmtId="0" fontId="10" fillId="42" borderId="19" xfId="0" applyFont="1" applyFill="1" applyBorder="1" applyAlignment="1">
      <alignment vertical="center" wrapText="1"/>
    </xf>
    <xf numFmtId="0" fontId="10" fillId="42" borderId="20" xfId="0" applyFont="1" applyFill="1" applyBorder="1" applyAlignment="1">
      <alignment vertical="center" wrapText="1"/>
    </xf>
    <xf numFmtId="0" fontId="3" fillId="42" borderId="10" xfId="152" applyFill="1" applyBorder="1">
      <alignment vertical="center"/>
    </xf>
    <xf numFmtId="0" fontId="3" fillId="42" borderId="62" xfId="152" applyFill="1" applyBorder="1">
      <alignment vertical="center"/>
    </xf>
    <xf numFmtId="0" fontId="3" fillId="42" borderId="14" xfId="152" applyFill="1" applyBorder="1">
      <alignment vertical="center"/>
    </xf>
    <xf numFmtId="0" fontId="3" fillId="42" borderId="63" xfId="152" applyFill="1" applyBorder="1">
      <alignment vertical="center"/>
    </xf>
    <xf numFmtId="0" fontId="82" fillId="41" borderId="4" xfId="0" applyFont="1" applyFill="1" applyBorder="1" applyAlignment="1">
      <alignment horizontal="center" vertical="center" wrapText="1"/>
    </xf>
    <xf numFmtId="0" fontId="10" fillId="0" borderId="67" xfId="0" applyFont="1" applyBorder="1" applyAlignment="1">
      <alignment horizontal="center" vertical="center" wrapText="1"/>
    </xf>
    <xf numFmtId="0" fontId="10" fillId="7" borderId="67" xfId="0" applyFont="1" applyFill="1" applyBorder="1" applyAlignment="1">
      <alignment horizontal="center" vertical="center" wrapText="1"/>
    </xf>
    <xf numFmtId="0" fontId="10" fillId="7" borderId="16" xfId="0" applyFont="1" applyFill="1" applyBorder="1" applyAlignment="1">
      <alignment vertical="center" wrapText="1"/>
    </xf>
    <xf numFmtId="0" fontId="10" fillId="7" borderId="68" xfId="0" applyFont="1" applyFill="1" applyBorder="1" applyAlignment="1">
      <alignment horizontal="center" vertical="center"/>
    </xf>
    <xf numFmtId="0" fontId="10" fillId="7" borderId="14" xfId="0" applyFont="1" applyFill="1" applyBorder="1">
      <alignment vertical="center"/>
    </xf>
    <xf numFmtId="0" fontId="10" fillId="7" borderId="66" xfId="0" applyFont="1" applyFill="1" applyBorder="1" applyAlignment="1">
      <alignment horizontal="center" vertical="center" wrapText="1"/>
    </xf>
    <xf numFmtId="0" fontId="10" fillId="7" borderId="65" xfId="0" applyFont="1" applyFill="1" applyBorder="1" applyAlignment="1">
      <alignment vertical="center" wrapText="1"/>
    </xf>
    <xf numFmtId="0" fontId="3" fillId="42" borderId="64" xfId="152" applyFill="1" applyBorder="1">
      <alignment vertical="center"/>
    </xf>
    <xf numFmtId="0" fontId="10" fillId="7" borderId="53" xfId="0" applyFont="1" applyFill="1" applyBorder="1" applyAlignment="1">
      <alignment vertical="center" wrapText="1"/>
    </xf>
    <xf numFmtId="0" fontId="10" fillId="7" borderId="10" xfId="0" applyFont="1" applyFill="1" applyBorder="1" applyAlignment="1">
      <alignment vertical="center" wrapText="1"/>
    </xf>
    <xf numFmtId="0" fontId="10" fillId="0" borderId="55" xfId="0" applyFont="1" applyBorder="1" applyAlignment="1">
      <alignment vertical="center" wrapText="1"/>
    </xf>
    <xf numFmtId="0" fontId="10" fillId="42" borderId="12" xfId="0" applyFont="1" applyFill="1" applyBorder="1" applyAlignment="1">
      <alignment horizontal="center" vertical="center" wrapText="1"/>
    </xf>
    <xf numFmtId="0" fontId="10" fillId="42" borderId="12" xfId="0" applyFont="1" applyFill="1" applyBorder="1">
      <alignment vertical="center"/>
    </xf>
    <xf numFmtId="0" fontId="3" fillId="42" borderId="10" xfId="0" applyFont="1" applyFill="1" applyBorder="1">
      <alignment vertical="center"/>
    </xf>
    <xf numFmtId="0" fontId="3" fillId="42" borderId="14" xfId="0" applyFont="1" applyFill="1" applyBorder="1">
      <alignment vertical="center"/>
    </xf>
    <xf numFmtId="0" fontId="81" fillId="3" borderId="3" xfId="0" applyFont="1" applyFill="1" applyBorder="1" applyAlignment="1">
      <alignment horizontal="center" vertical="center" wrapText="1"/>
    </xf>
    <xf numFmtId="0" fontId="67" fillId="0" borderId="10" xfId="0" applyFont="1" applyBorder="1" applyAlignment="1">
      <alignment vertical="center" wrapText="1"/>
    </xf>
    <xf numFmtId="0" fontId="51" fillId="0" borderId="10" xfId="0" applyFont="1" applyBorder="1" applyAlignment="1">
      <alignment vertical="center" wrapText="1"/>
    </xf>
    <xf numFmtId="0" fontId="10" fillId="42" borderId="14" xfId="0" applyFont="1" applyFill="1" applyBorder="1">
      <alignment vertical="center"/>
    </xf>
    <xf numFmtId="0" fontId="10" fillId="42" borderId="70" xfId="0" applyFont="1" applyFill="1" applyBorder="1" applyAlignment="1">
      <alignment horizontal="center" vertical="center" wrapText="1"/>
    </xf>
    <xf numFmtId="0" fontId="10" fillId="7" borderId="69" xfId="0" applyFont="1" applyFill="1" applyBorder="1" applyAlignment="1">
      <alignment horizontal="center" vertical="center" wrapText="1"/>
    </xf>
    <xf numFmtId="0" fontId="10" fillId="7" borderId="71" xfId="0" applyFont="1" applyFill="1" applyBorder="1" applyAlignment="1">
      <alignment horizontal="center" vertical="center" wrapText="1"/>
    </xf>
    <xf numFmtId="0" fontId="10" fillId="42" borderId="71" xfId="0" applyFont="1" applyFill="1" applyBorder="1" applyAlignment="1">
      <alignment horizontal="center" vertical="center" wrapText="1"/>
    </xf>
    <xf numFmtId="0" fontId="10" fillId="0" borderId="71" xfId="0" applyFont="1" applyBorder="1" applyAlignment="1">
      <alignment horizontal="center" vertical="center" wrapText="1"/>
    </xf>
    <xf numFmtId="0" fontId="10" fillId="0" borderId="11" xfId="0" applyFont="1" applyBorder="1" applyAlignment="1">
      <alignment horizontal="center" vertical="center"/>
    </xf>
    <xf numFmtId="0" fontId="10" fillId="7" borderId="68" xfId="0" applyFont="1" applyFill="1" applyBorder="1" applyAlignment="1">
      <alignment horizontal="center" vertical="center" wrapText="1"/>
    </xf>
    <xf numFmtId="0" fontId="10" fillId="7" borderId="22" xfId="0" applyFont="1" applyFill="1" applyBorder="1" applyAlignment="1">
      <alignment vertical="center" wrapText="1"/>
    </xf>
    <xf numFmtId="0" fontId="10" fillId="43" borderId="20" xfId="0" applyFont="1" applyFill="1" applyBorder="1" applyAlignment="1">
      <alignment vertical="center" wrapText="1"/>
    </xf>
    <xf numFmtId="0" fontId="10" fillId="7" borderId="11" xfId="0" applyFont="1" applyFill="1" applyBorder="1" applyAlignment="1">
      <alignment horizontal="left" vertical="center" wrapText="1"/>
    </xf>
    <xf numFmtId="0" fontId="10" fillId="7" borderId="20" xfId="0" applyFont="1" applyFill="1" applyBorder="1" applyAlignment="1">
      <alignment horizontal="left" vertical="center" wrapText="1"/>
    </xf>
    <xf numFmtId="0" fontId="10" fillId="42" borderId="22" xfId="0" applyFont="1" applyFill="1" applyBorder="1" applyAlignment="1">
      <alignment vertical="center" wrapText="1"/>
    </xf>
    <xf numFmtId="0" fontId="74" fillId="5" borderId="20" xfId="0" applyFont="1" applyFill="1" applyBorder="1" applyAlignment="1">
      <alignment vertical="center" wrapText="1"/>
    </xf>
    <xf numFmtId="0" fontId="3" fillId="0" borderId="0" xfId="0" applyFont="1" applyAlignment="1">
      <alignment vertical="center" wrapText="1"/>
    </xf>
    <xf numFmtId="0" fontId="10" fillId="0" borderId="20" xfId="2" applyFont="1" applyBorder="1" applyAlignment="1">
      <alignment vertical="center" wrapText="1"/>
    </xf>
    <xf numFmtId="0" fontId="85" fillId="44" borderId="12" xfId="0" applyFont="1" applyFill="1" applyBorder="1">
      <alignment vertical="center"/>
    </xf>
    <xf numFmtId="0" fontId="81" fillId="3" borderId="12" xfId="0" applyFont="1" applyFill="1" applyBorder="1" applyAlignment="1">
      <alignment horizontal="center" vertical="center"/>
    </xf>
    <xf numFmtId="0" fontId="3" fillId="0" borderId="12" xfId="0" applyFont="1" applyBorder="1">
      <alignment vertical="center"/>
    </xf>
    <xf numFmtId="0" fontId="0" fillId="0" borderId="12" xfId="0" applyBorder="1">
      <alignment vertical="center"/>
    </xf>
    <xf numFmtId="0" fontId="10" fillId="0" borderId="12" xfId="0" applyFont="1" applyBorder="1">
      <alignment vertical="center"/>
    </xf>
    <xf numFmtId="0" fontId="0" fillId="0" borderId="12" xfId="0" applyBorder="1" applyAlignment="1">
      <alignment horizontal="center" vertical="center"/>
    </xf>
    <xf numFmtId="0" fontId="0" fillId="0" borderId="0" xfId="0" applyAlignment="1">
      <alignment horizontal="left" vertical="center"/>
    </xf>
    <xf numFmtId="0" fontId="0" fillId="10" borderId="12" xfId="0" applyFill="1" applyBorder="1" applyAlignment="1">
      <alignment horizontal="center" vertical="center"/>
    </xf>
    <xf numFmtId="0" fontId="10" fillId="45" borderId="20" xfId="0" applyFont="1" applyFill="1" applyBorder="1" applyAlignment="1">
      <alignment vertical="center" wrapText="1"/>
    </xf>
    <xf numFmtId="0" fontId="10" fillId="45" borderId="62" xfId="0" applyFont="1" applyFill="1" applyBorder="1">
      <alignment vertical="center"/>
    </xf>
    <xf numFmtId="0" fontId="10" fillId="45" borderId="63" xfId="0" applyFont="1" applyFill="1" applyBorder="1">
      <alignment vertical="center"/>
    </xf>
    <xf numFmtId="0" fontId="81" fillId="3" borderId="2" xfId="0" applyFont="1" applyFill="1" applyBorder="1" applyAlignment="1">
      <alignment horizontal="center" vertical="center" wrapText="1"/>
    </xf>
    <xf numFmtId="0" fontId="81" fillId="3" borderId="18" xfId="0" applyFont="1" applyFill="1" applyBorder="1" applyAlignment="1">
      <alignment horizontal="center" vertical="center" wrapText="1"/>
    </xf>
    <xf numFmtId="0" fontId="3" fillId="45" borderId="10" xfId="152" applyFill="1" applyBorder="1">
      <alignment vertical="center"/>
    </xf>
    <xf numFmtId="0" fontId="3" fillId="45" borderId="14" xfId="152" applyFill="1" applyBorder="1">
      <alignment vertical="center"/>
    </xf>
    <xf numFmtId="0" fontId="10" fillId="45" borderId="22" xfId="0" applyFont="1" applyFill="1" applyBorder="1" applyAlignment="1">
      <alignment vertical="center" wrapText="1"/>
    </xf>
    <xf numFmtId="0" fontId="0" fillId="45" borderId="12" xfId="0" applyFill="1" applyBorder="1" applyAlignment="1">
      <alignment horizontal="center" vertical="center"/>
    </xf>
    <xf numFmtId="0" fontId="81" fillId="3" borderId="4" xfId="0" applyFont="1" applyFill="1" applyBorder="1" applyAlignment="1">
      <alignment horizontal="center" vertical="center" wrapText="1"/>
    </xf>
    <xf numFmtId="0" fontId="10" fillId="45" borderId="67" xfId="0" applyFont="1" applyFill="1" applyBorder="1" applyAlignment="1">
      <alignment vertical="center" wrapText="1"/>
    </xf>
    <xf numFmtId="0" fontId="10" fillId="45" borderId="68" xfId="0" applyFont="1" applyFill="1" applyBorder="1" applyAlignment="1">
      <alignment vertical="center" wrapText="1"/>
    </xf>
    <xf numFmtId="0" fontId="10" fillId="45" borderId="62" xfId="0" applyFont="1" applyFill="1" applyBorder="1" applyAlignment="1">
      <alignment vertical="center" wrapText="1"/>
    </xf>
    <xf numFmtId="0" fontId="3" fillId="0" borderId="62" xfId="0" applyFont="1" applyBorder="1" applyAlignment="1">
      <alignment vertical="center" wrapText="1"/>
    </xf>
    <xf numFmtId="0" fontId="3" fillId="4" borderId="62" xfId="0" applyFont="1" applyFill="1" applyBorder="1" applyAlignment="1">
      <alignment vertical="center" wrapText="1"/>
    </xf>
    <xf numFmtId="0" fontId="3" fillId="42" borderId="20" xfId="0" applyFont="1" applyFill="1" applyBorder="1">
      <alignment vertical="center"/>
    </xf>
    <xf numFmtId="0" fontId="3" fillId="42" borderId="22" xfId="0" applyFont="1" applyFill="1" applyBorder="1">
      <alignment vertical="center"/>
    </xf>
    <xf numFmtId="0" fontId="10" fillId="11" borderId="11" xfId="0" applyFont="1" applyFill="1" applyBorder="1" applyAlignment="1">
      <alignment horizontal="center" vertical="center" wrapText="1"/>
    </xf>
    <xf numFmtId="0" fontId="10" fillId="11" borderId="11" xfId="0" applyFont="1" applyFill="1" applyBorder="1" applyAlignment="1">
      <alignment vertical="center" wrapText="1"/>
    </xf>
    <xf numFmtId="0" fontId="87" fillId="0" borderId="73" xfId="0" applyFont="1" applyBorder="1" applyAlignment="1">
      <alignment vertical="center" wrapText="1"/>
    </xf>
    <xf numFmtId="0" fontId="10" fillId="42" borderId="17" xfId="0" applyFont="1" applyFill="1" applyBorder="1" applyAlignment="1">
      <alignment horizontal="center" vertical="center" wrapText="1"/>
    </xf>
    <xf numFmtId="0" fontId="10" fillId="42" borderId="17" xfId="0" applyFont="1" applyFill="1" applyBorder="1">
      <alignment vertical="center"/>
    </xf>
    <xf numFmtId="0" fontId="10" fillId="42" borderId="11" xfId="0" applyFont="1" applyFill="1" applyBorder="1">
      <alignment vertical="center"/>
    </xf>
    <xf numFmtId="0" fontId="10" fillId="42" borderId="38" xfId="0" applyFont="1" applyFill="1" applyBorder="1">
      <alignment vertical="center"/>
    </xf>
    <xf numFmtId="0" fontId="10" fillId="42" borderId="74" xfId="0" applyFont="1" applyFill="1" applyBorder="1">
      <alignment vertical="center"/>
    </xf>
    <xf numFmtId="0" fontId="83" fillId="0" borderId="75" xfId="0" applyFont="1" applyBorder="1" applyAlignment="1">
      <alignment vertical="center" wrapText="1"/>
    </xf>
    <xf numFmtId="0" fontId="87" fillId="0" borderId="75" xfId="0" applyFont="1" applyBorder="1" applyAlignment="1">
      <alignment vertical="center" wrapText="1"/>
    </xf>
    <xf numFmtId="0" fontId="10" fillId="11" borderId="75" xfId="0" applyFont="1" applyFill="1" applyBorder="1" applyAlignment="1">
      <alignment vertical="center" wrapText="1"/>
    </xf>
    <xf numFmtId="0" fontId="10" fillId="0" borderId="75" xfId="0" applyFont="1" applyBorder="1" applyAlignment="1">
      <alignment vertical="center" wrapText="1"/>
    </xf>
    <xf numFmtId="0" fontId="10" fillId="42" borderId="75" xfId="0" applyFont="1" applyFill="1" applyBorder="1" applyAlignment="1">
      <alignment vertical="center" wrapText="1"/>
    </xf>
    <xf numFmtId="0" fontId="10" fillId="42" borderId="75" xfId="1" applyFont="1" applyFill="1" applyBorder="1">
      <alignment vertical="center"/>
    </xf>
    <xf numFmtId="0" fontId="3" fillId="42" borderId="75" xfId="0" applyFont="1" applyFill="1" applyBorder="1">
      <alignment vertical="center"/>
    </xf>
    <xf numFmtId="0" fontId="3" fillId="0" borderId="75" xfId="0" applyFont="1" applyBorder="1">
      <alignment vertical="center"/>
    </xf>
    <xf numFmtId="0" fontId="3" fillId="0" borderId="76" xfId="0" applyFont="1" applyBorder="1">
      <alignment vertical="center"/>
    </xf>
    <xf numFmtId="0" fontId="82" fillId="41" borderId="2" xfId="0" applyFont="1" applyFill="1" applyBorder="1" applyAlignment="1">
      <alignment horizontal="center" vertical="center" wrapText="1"/>
    </xf>
    <xf numFmtId="0" fontId="10" fillId="7" borderId="64" xfId="0" applyFont="1" applyFill="1" applyBorder="1" applyAlignment="1">
      <alignment horizontal="center" vertical="center" wrapText="1"/>
    </xf>
    <xf numFmtId="0" fontId="10" fillId="0" borderId="10" xfId="0" applyFont="1" applyBorder="1" applyAlignment="1">
      <alignment horizontal="center" vertical="center" wrapText="1"/>
    </xf>
    <xf numFmtId="0" fontId="10" fillId="7" borderId="10"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87" fillId="7" borderId="20" xfId="0" applyFont="1" applyFill="1" applyBorder="1" applyAlignment="1">
      <alignment vertical="center" wrapText="1"/>
    </xf>
    <xf numFmtId="0" fontId="87" fillId="0" borderId="20" xfId="0" applyFont="1" applyBorder="1" applyAlignment="1">
      <alignment vertical="center" wrapText="1"/>
    </xf>
    <xf numFmtId="0" fontId="10" fillId="0" borderId="75" xfId="1" applyFont="1" applyBorder="1">
      <alignment vertical="center"/>
    </xf>
    <xf numFmtId="0" fontId="10" fillId="0" borderId="76" xfId="1" applyFont="1" applyBorder="1">
      <alignment vertical="center"/>
    </xf>
    <xf numFmtId="0" fontId="3" fillId="42" borderId="53" xfId="152" applyFill="1" applyBorder="1">
      <alignment vertical="center"/>
    </xf>
    <xf numFmtId="0" fontId="3" fillId="42" borderId="20" xfId="152" applyFill="1" applyBorder="1">
      <alignment vertical="center"/>
    </xf>
    <xf numFmtId="0" fontId="3" fillId="42" borderId="22" xfId="152" applyFill="1" applyBorder="1">
      <alignment vertical="center"/>
    </xf>
    <xf numFmtId="0" fontId="0" fillId="0" borderId="0" xfId="0" applyAlignment="1">
      <alignment horizontal="center" vertical="center"/>
    </xf>
    <xf numFmtId="0" fontId="0" fillId="4" borderId="12" xfId="0" applyFill="1" applyBorder="1">
      <alignment vertical="center"/>
    </xf>
    <xf numFmtId="0" fontId="0" fillId="4" borderId="12" xfId="0" applyFill="1" applyBorder="1" applyAlignment="1">
      <alignment horizontal="center" vertical="center"/>
    </xf>
    <xf numFmtId="0" fontId="10" fillId="9" borderId="62" xfId="0" applyFont="1" applyFill="1" applyBorder="1" applyAlignment="1">
      <alignment vertical="center" wrapText="1"/>
    </xf>
    <xf numFmtId="0" fontId="3" fillId="42" borderId="73" xfId="0" applyFont="1" applyFill="1" applyBorder="1">
      <alignment vertical="center"/>
    </xf>
    <xf numFmtId="0" fontId="10" fillId="9" borderId="11" xfId="0" applyFont="1" applyFill="1" applyBorder="1" applyAlignment="1">
      <alignment vertical="center" wrapText="1"/>
    </xf>
    <xf numFmtId="0" fontId="10" fillId="0" borderId="55" xfId="0" applyFont="1" applyBorder="1" applyAlignment="1">
      <alignment horizontal="left" vertical="center" wrapText="1"/>
    </xf>
    <xf numFmtId="0" fontId="10" fillId="0" borderId="7" xfId="0" applyFont="1" applyBorder="1" applyAlignment="1">
      <alignment horizontal="left" vertical="center" wrapText="1"/>
    </xf>
    <xf numFmtId="0" fontId="10" fillId="0" borderId="72" xfId="0" applyFont="1" applyBorder="1" applyAlignment="1">
      <alignment horizontal="left" vertical="center" wrapText="1"/>
    </xf>
    <xf numFmtId="0" fontId="10" fillId="0" borderId="19" xfId="0" applyFont="1" applyBorder="1" applyAlignment="1">
      <alignment horizontal="left" vertical="center" wrapText="1"/>
    </xf>
    <xf numFmtId="0" fontId="14" fillId="0" borderId="31" xfId="4" applyFont="1" applyBorder="1" applyAlignment="1">
      <alignment horizontal="left" vertical="center" shrinkToFit="1"/>
    </xf>
    <xf numFmtId="0" fontId="14" fillId="0" borderId="32" xfId="4" applyFont="1" applyBorder="1" applyAlignment="1">
      <alignment horizontal="left" vertical="center" shrinkToFit="1"/>
    </xf>
    <xf numFmtId="0" fontId="14" fillId="0" borderId="33" xfId="4" applyFont="1" applyBorder="1" applyAlignment="1">
      <alignment horizontal="left" vertical="center" shrinkToFit="1"/>
    </xf>
    <xf numFmtId="0" fontId="14" fillId="0" borderId="34" xfId="4" applyFont="1" applyBorder="1" applyAlignment="1">
      <alignment horizontal="left" vertical="center" shrinkToFit="1"/>
    </xf>
    <xf numFmtId="0" fontId="14" fillId="0" borderId="35" xfId="4" applyFont="1" applyBorder="1" applyAlignment="1">
      <alignment horizontal="left" vertical="center" shrinkToFit="1"/>
    </xf>
    <xf numFmtId="0" fontId="14" fillId="0" borderId="36" xfId="4" applyFont="1" applyBorder="1" applyAlignment="1">
      <alignment horizontal="left" vertical="center" shrinkToFit="1"/>
    </xf>
    <xf numFmtId="0" fontId="16" fillId="6" borderId="38" xfId="4" applyFont="1" applyFill="1" applyBorder="1" applyAlignment="1">
      <alignment horizontal="center" vertical="center"/>
    </xf>
    <xf numFmtId="0" fontId="16" fillId="0" borderId="37" xfId="4" applyFont="1" applyBorder="1" applyAlignment="1">
      <alignment horizontal="center" vertical="center"/>
    </xf>
    <xf numFmtId="0" fontId="16" fillId="0" borderId="39" xfId="4" applyFont="1" applyBorder="1" applyAlignment="1">
      <alignment horizontal="center" vertical="center"/>
    </xf>
    <xf numFmtId="0" fontId="70" fillId="0" borderId="38" xfId="4" applyFont="1" applyBorder="1" applyAlignment="1">
      <alignment horizontal="center" vertical="center"/>
    </xf>
    <xf numFmtId="0" fontId="70" fillId="0" borderId="37" xfId="4" applyFont="1" applyBorder="1" applyAlignment="1">
      <alignment horizontal="center" vertical="center"/>
    </xf>
    <xf numFmtId="0" fontId="70" fillId="0" borderId="39" xfId="4" applyFont="1" applyBorder="1" applyAlignment="1">
      <alignment horizontal="center" vertical="center"/>
    </xf>
    <xf numFmtId="49" fontId="70" fillId="0" borderId="38" xfId="4" quotePrefix="1" applyNumberFormat="1" applyFont="1" applyBorder="1" applyAlignment="1">
      <alignment horizontal="center" vertical="center"/>
    </xf>
    <xf numFmtId="49" fontId="70" fillId="0" borderId="37" xfId="4" applyNumberFormat="1" applyFont="1" applyBorder="1" applyAlignment="1">
      <alignment horizontal="center" vertical="center"/>
    </xf>
    <xf numFmtId="49" fontId="70" fillId="0" borderId="39" xfId="4" applyNumberFormat="1" applyFont="1" applyBorder="1" applyAlignment="1">
      <alignment horizontal="center" vertical="center"/>
    </xf>
    <xf numFmtId="0" fontId="70" fillId="0" borderId="38" xfId="4" quotePrefix="1" applyFont="1" applyBorder="1" applyAlignment="1">
      <alignment horizontal="center" vertical="center"/>
    </xf>
    <xf numFmtId="0" fontId="70" fillId="0" borderId="37" xfId="4" quotePrefix="1" applyFont="1" applyBorder="1" applyAlignment="1">
      <alignment horizontal="center" vertical="center"/>
    </xf>
    <xf numFmtId="0" fontId="70" fillId="0" borderId="39" xfId="4" quotePrefix="1" applyFont="1" applyBorder="1" applyAlignment="1">
      <alignment horizontal="center" vertical="center"/>
    </xf>
    <xf numFmtId="0" fontId="10" fillId="6" borderId="38" xfId="4" applyFont="1" applyFill="1" applyBorder="1" applyAlignment="1">
      <alignment horizontal="center" vertical="center"/>
    </xf>
    <xf numFmtId="0" fontId="10" fillId="6" borderId="37" xfId="4" applyFont="1" applyFill="1" applyBorder="1" applyAlignment="1">
      <alignment horizontal="center" vertical="center"/>
    </xf>
    <xf numFmtId="0" fontId="10" fillId="6" borderId="39" xfId="4" applyFont="1" applyFill="1" applyBorder="1" applyAlignment="1">
      <alignment horizontal="center" vertical="center"/>
    </xf>
    <xf numFmtId="0" fontId="10" fillId="0" borderId="38" xfId="4" applyFont="1" applyBorder="1" applyAlignment="1">
      <alignment horizontal="center" vertical="center" shrinkToFit="1"/>
    </xf>
    <xf numFmtId="0" fontId="10" fillId="0" borderId="37" xfId="4" applyFont="1" applyBorder="1" applyAlignment="1">
      <alignment horizontal="center" vertical="center" shrinkToFit="1"/>
    </xf>
    <xf numFmtId="0" fontId="10" fillId="0" borderId="39" xfId="4" applyFont="1" applyBorder="1" applyAlignment="1">
      <alignment horizontal="center" vertical="center" shrinkToFit="1"/>
    </xf>
    <xf numFmtId="14" fontId="0" fillId="0" borderId="38" xfId="4" applyNumberFormat="1" applyFont="1" applyBorder="1" applyAlignment="1">
      <alignment horizontal="center" vertical="center"/>
    </xf>
    <xf numFmtId="0" fontId="10" fillId="0" borderId="37" xfId="4" applyFont="1" applyBorder="1" applyAlignment="1">
      <alignment horizontal="center" vertical="center"/>
    </xf>
    <xf numFmtId="0" fontId="10" fillId="0" borderId="39" xfId="4" applyFont="1" applyBorder="1" applyAlignment="1">
      <alignment horizontal="center" vertical="center"/>
    </xf>
    <xf numFmtId="179" fontId="0" fillId="0" borderId="38" xfId="4" quotePrefix="1" applyNumberFormat="1" applyFont="1" applyBorder="1" applyAlignment="1">
      <alignment horizontal="center" vertical="center"/>
    </xf>
    <xf numFmtId="179" fontId="10" fillId="0" borderId="37" xfId="4" applyNumberFormat="1" applyFont="1" applyBorder="1" applyAlignment="1">
      <alignment horizontal="center" vertical="center"/>
    </xf>
    <xf numFmtId="179" fontId="10" fillId="0" borderId="39" xfId="4" applyNumberFormat="1" applyFont="1" applyBorder="1" applyAlignment="1">
      <alignment horizontal="center" vertical="center"/>
    </xf>
    <xf numFmtId="0" fontId="0" fillId="0" borderId="38" xfId="4" applyFont="1" applyBorder="1" applyAlignment="1">
      <alignment horizontal="center" vertical="center"/>
    </xf>
    <xf numFmtId="179" fontId="10" fillId="0" borderId="38" xfId="4" applyNumberFormat="1" applyFont="1" applyBorder="1" applyAlignment="1">
      <alignment horizontal="center" vertical="center"/>
    </xf>
    <xf numFmtId="0" fontId="71" fillId="0" borderId="31" xfId="4" applyFont="1" applyBorder="1" applyAlignment="1">
      <alignment horizontal="center" vertical="center" shrinkToFit="1"/>
    </xf>
    <xf numFmtId="0" fontId="51" fillId="0" borderId="32" xfId="4" applyFont="1" applyBorder="1" applyAlignment="1">
      <alignment horizontal="center" vertical="center" shrinkToFit="1"/>
    </xf>
    <xf numFmtId="0" fontId="51" fillId="0" borderId="34" xfId="4" applyFont="1" applyBorder="1" applyAlignment="1">
      <alignment horizontal="center" vertical="center" shrinkToFit="1"/>
    </xf>
    <xf numFmtId="0" fontId="51" fillId="0" borderId="35" xfId="4" applyFont="1" applyBorder="1" applyAlignment="1">
      <alignment horizontal="center" vertical="center" shrinkToFit="1"/>
    </xf>
    <xf numFmtId="0" fontId="72" fillId="6" borderId="31" xfId="4" applyFont="1" applyFill="1" applyBorder="1" applyAlignment="1">
      <alignment horizontal="center" vertical="center" shrinkToFit="1"/>
    </xf>
    <xf numFmtId="0" fontId="51" fillId="6" borderId="32" xfId="4" applyFont="1" applyFill="1" applyBorder="1" applyAlignment="1">
      <alignment horizontal="center" vertical="center" shrinkToFit="1"/>
    </xf>
    <xf numFmtId="0" fontId="51" fillId="6" borderId="33" xfId="4" applyFont="1" applyFill="1" applyBorder="1" applyAlignment="1">
      <alignment horizontal="center" vertical="center" shrinkToFit="1"/>
    </xf>
    <xf numFmtId="0" fontId="51" fillId="6" borderId="34" xfId="4" applyFont="1" applyFill="1" applyBorder="1" applyAlignment="1">
      <alignment horizontal="center" vertical="center" shrinkToFit="1"/>
    </xf>
    <xf numFmtId="0" fontId="51" fillId="6" borderId="35" xfId="4" applyFont="1" applyFill="1" applyBorder="1" applyAlignment="1">
      <alignment horizontal="center" vertical="center" shrinkToFit="1"/>
    </xf>
    <xf numFmtId="0" fontId="51" fillId="6" borderId="36" xfId="4" applyFont="1" applyFill="1" applyBorder="1" applyAlignment="1">
      <alignment horizontal="center" vertical="center" shrinkToFit="1"/>
    </xf>
    <xf numFmtId="0" fontId="70" fillId="9" borderId="38" xfId="4" applyFont="1" applyFill="1" applyBorder="1" applyAlignment="1">
      <alignment horizontal="center" vertical="center"/>
    </xf>
    <xf numFmtId="0" fontId="70" fillId="9" borderId="37" xfId="4" applyFont="1" applyFill="1" applyBorder="1" applyAlignment="1">
      <alignment horizontal="center" vertical="center"/>
    </xf>
    <xf numFmtId="0" fontId="70" fillId="9" borderId="39" xfId="4" applyFont="1" applyFill="1" applyBorder="1" applyAlignment="1">
      <alignment horizontal="center" vertical="center"/>
    </xf>
    <xf numFmtId="49" fontId="70" fillId="9" borderId="38" xfId="4" quotePrefix="1" applyNumberFormat="1" applyFont="1" applyFill="1" applyBorder="1" applyAlignment="1">
      <alignment horizontal="center" vertical="center"/>
    </xf>
    <xf numFmtId="49" fontId="70" fillId="9" borderId="37" xfId="4" applyNumberFormat="1" applyFont="1" applyFill="1" applyBorder="1" applyAlignment="1">
      <alignment horizontal="center" vertical="center"/>
    </xf>
    <xf numFmtId="49" fontId="70" fillId="9" borderId="39" xfId="4" applyNumberFormat="1" applyFont="1" applyFill="1" applyBorder="1" applyAlignment="1">
      <alignment horizontal="center" vertical="center"/>
    </xf>
    <xf numFmtId="0" fontId="70" fillId="9" borderId="38" xfId="4" quotePrefix="1" applyFont="1" applyFill="1" applyBorder="1" applyAlignment="1">
      <alignment horizontal="center" vertical="center"/>
    </xf>
    <xf numFmtId="0" fontId="77" fillId="9" borderId="38" xfId="4" quotePrefix="1" applyFont="1" applyFill="1" applyBorder="1" applyAlignment="1">
      <alignment horizontal="center" vertical="center"/>
    </xf>
    <xf numFmtId="0" fontId="77" fillId="9" borderId="37" xfId="4" quotePrefix="1" applyFont="1" applyFill="1" applyBorder="1" applyAlignment="1">
      <alignment horizontal="center" vertical="center"/>
    </xf>
    <xf numFmtId="0" fontId="77" fillId="9" borderId="39" xfId="4" quotePrefix="1" applyFont="1" applyFill="1" applyBorder="1" applyAlignment="1">
      <alignment horizontal="center" vertical="center"/>
    </xf>
    <xf numFmtId="0" fontId="70" fillId="40" borderId="38" xfId="4" applyFont="1" applyFill="1" applyBorder="1" applyAlignment="1">
      <alignment horizontal="center" vertical="center"/>
    </xf>
    <xf numFmtId="0" fontId="70" fillId="40" borderId="37" xfId="4" applyFont="1" applyFill="1" applyBorder="1" applyAlignment="1">
      <alignment horizontal="center" vertical="center"/>
    </xf>
    <xf numFmtId="0" fontId="70" fillId="40" borderId="39" xfId="4" applyFont="1" applyFill="1" applyBorder="1" applyAlignment="1">
      <alignment horizontal="center" vertical="center"/>
    </xf>
    <xf numFmtId="49" fontId="70" fillId="40" borderId="38" xfId="4" quotePrefix="1" applyNumberFormat="1" applyFont="1" applyFill="1" applyBorder="1" applyAlignment="1">
      <alignment horizontal="center" vertical="center"/>
    </xf>
    <xf numFmtId="49" fontId="70" fillId="40" borderId="37" xfId="4" applyNumberFormat="1" applyFont="1" applyFill="1" applyBorder="1" applyAlignment="1">
      <alignment horizontal="center" vertical="center"/>
    </xf>
    <xf numFmtId="49" fontId="70" fillId="40" borderId="39" xfId="4" applyNumberFormat="1" applyFont="1" applyFill="1" applyBorder="1" applyAlignment="1">
      <alignment horizontal="center" vertical="center"/>
    </xf>
    <xf numFmtId="0" fontId="70" fillId="40" borderId="38" xfId="4" quotePrefix="1" applyFont="1" applyFill="1" applyBorder="1" applyAlignment="1">
      <alignment horizontal="center" vertical="center"/>
    </xf>
    <xf numFmtId="0" fontId="70" fillId="40" borderId="37" xfId="4" quotePrefix="1" applyFont="1" applyFill="1" applyBorder="1" applyAlignment="1">
      <alignment horizontal="center" vertical="center"/>
    </xf>
    <xf numFmtId="0" fontId="70" fillId="40" borderId="39" xfId="4" quotePrefix="1" applyFont="1" applyFill="1" applyBorder="1" applyAlignment="1">
      <alignment horizontal="center" vertical="center"/>
    </xf>
    <xf numFmtId="0" fontId="70" fillId="9" borderId="37" xfId="4" quotePrefix="1" applyFont="1" applyFill="1" applyBorder="1" applyAlignment="1">
      <alignment horizontal="center" vertical="center"/>
    </xf>
    <xf numFmtId="0" fontId="70" fillId="9" borderId="39" xfId="4" quotePrefix="1" applyFont="1" applyFill="1" applyBorder="1" applyAlignment="1">
      <alignment horizontal="center" vertical="center"/>
    </xf>
    <xf numFmtId="0" fontId="77" fillId="40" borderId="38" xfId="4" quotePrefix="1" applyFont="1" applyFill="1" applyBorder="1" applyAlignment="1">
      <alignment horizontal="center" vertical="center"/>
    </xf>
    <xf numFmtId="0" fontId="77" fillId="40" borderId="37" xfId="4" quotePrefix="1" applyFont="1" applyFill="1" applyBorder="1" applyAlignment="1">
      <alignment horizontal="center" vertical="center"/>
    </xf>
    <xf numFmtId="0" fontId="77" fillId="40" borderId="39" xfId="4" quotePrefix="1" applyFont="1" applyFill="1" applyBorder="1" applyAlignment="1">
      <alignment horizontal="center" vertical="center"/>
    </xf>
    <xf numFmtId="0" fontId="0" fillId="9" borderId="38" xfId="4" quotePrefix="1" applyFont="1" applyFill="1" applyBorder="1" applyAlignment="1">
      <alignment horizontal="center" vertical="center"/>
    </xf>
    <xf numFmtId="0" fontId="10" fillId="9" borderId="37" xfId="4" applyFont="1" applyFill="1" applyBorder="1" applyAlignment="1">
      <alignment horizontal="center" vertical="center"/>
    </xf>
    <xf numFmtId="0" fontId="10" fillId="9" borderId="39" xfId="4" applyFont="1" applyFill="1" applyBorder="1" applyAlignment="1">
      <alignment horizontal="center" vertical="center"/>
    </xf>
    <xf numFmtId="49" fontId="67" fillId="37" borderId="38" xfId="164" applyNumberFormat="1" applyFont="1" applyFill="1" applyBorder="1" applyAlignment="1">
      <alignment horizontal="center" vertical="center"/>
    </xf>
    <xf numFmtId="49" fontId="67" fillId="37" borderId="37" xfId="164" applyNumberFormat="1" applyFont="1" applyFill="1" applyBorder="1" applyAlignment="1">
      <alignment horizontal="center" vertical="center"/>
    </xf>
    <xf numFmtId="49" fontId="67" fillId="37" borderId="39" xfId="164" applyNumberFormat="1" applyFont="1" applyFill="1" applyBorder="1" applyAlignment="1">
      <alignment horizontal="center" vertical="center"/>
    </xf>
    <xf numFmtId="49" fontId="76" fillId="37" borderId="38" xfId="164" applyNumberFormat="1" applyFont="1" applyFill="1" applyBorder="1" applyAlignment="1">
      <alignment horizontal="center" vertical="center"/>
    </xf>
    <xf numFmtId="49" fontId="76" fillId="37" borderId="37" xfId="164" applyNumberFormat="1" applyFont="1" applyFill="1" applyBorder="1" applyAlignment="1">
      <alignment horizontal="center" vertical="center"/>
    </xf>
    <xf numFmtId="49" fontId="76" fillId="37" borderId="39" xfId="164" applyNumberFormat="1" applyFont="1" applyFill="1" applyBorder="1" applyAlignment="1">
      <alignment horizontal="center" vertical="center"/>
    </xf>
    <xf numFmtId="0" fontId="2" fillId="0" borderId="38" xfId="4" applyFont="1" applyBorder="1" applyAlignment="1">
      <alignment horizontal="center" vertical="center"/>
    </xf>
    <xf numFmtId="49" fontId="70" fillId="9" borderId="37" xfId="4" quotePrefix="1" applyNumberFormat="1" applyFont="1" applyFill="1" applyBorder="1" applyAlignment="1">
      <alignment horizontal="center" vertical="center"/>
    </xf>
    <xf numFmtId="49" fontId="70" fillId="9" borderId="39" xfId="4" quotePrefix="1" applyNumberFormat="1" applyFont="1" applyFill="1" applyBorder="1" applyAlignment="1">
      <alignment horizontal="center" vertical="center"/>
    </xf>
    <xf numFmtId="49" fontId="70" fillId="40" borderId="37" xfId="4" quotePrefix="1" applyNumberFormat="1" applyFont="1" applyFill="1" applyBorder="1" applyAlignment="1">
      <alignment horizontal="center" vertical="center"/>
    </xf>
    <xf numFmtId="49" fontId="70" fillId="40" borderId="39" xfId="4" quotePrefix="1" applyNumberFormat="1" applyFont="1" applyFill="1" applyBorder="1" applyAlignment="1">
      <alignment horizontal="center" vertical="center"/>
    </xf>
    <xf numFmtId="0" fontId="2" fillId="9" borderId="38" xfId="4" applyFont="1" applyFill="1" applyBorder="1" applyAlignment="1">
      <alignment horizontal="center" vertical="center"/>
    </xf>
  </cellXfs>
  <cellStyles count="167">
    <cellStyle name="20% - アクセント 1 2" xfId="8" xr:uid="{00000000-0005-0000-0000-000000000000}"/>
    <cellStyle name="20% - アクセント 2 2" xfId="9" xr:uid="{00000000-0005-0000-0000-000001000000}"/>
    <cellStyle name="20% - アクセント 3 2" xfId="10" xr:uid="{00000000-0005-0000-0000-000002000000}"/>
    <cellStyle name="20% - アクセント 4 2" xfId="11" xr:uid="{00000000-0005-0000-0000-000003000000}"/>
    <cellStyle name="20% - アクセント 5 2" xfId="12" xr:uid="{00000000-0005-0000-0000-000004000000}"/>
    <cellStyle name="20% - アクセント 6 2" xfId="13" xr:uid="{00000000-0005-0000-0000-000005000000}"/>
    <cellStyle name="40% - アクセント 1 2" xfId="14" xr:uid="{00000000-0005-0000-0000-000006000000}"/>
    <cellStyle name="40% - アクセント 2 2" xfId="15" xr:uid="{00000000-0005-0000-0000-000007000000}"/>
    <cellStyle name="40% - アクセント 3 2" xfId="16" xr:uid="{00000000-0005-0000-0000-000008000000}"/>
    <cellStyle name="40% - アクセント 4 2" xfId="17" xr:uid="{00000000-0005-0000-0000-000009000000}"/>
    <cellStyle name="40% - アクセント 5 2" xfId="18" xr:uid="{00000000-0005-0000-0000-00000A000000}"/>
    <cellStyle name="40% - アクセント 6 2" xfId="19" xr:uid="{00000000-0005-0000-0000-00000B000000}"/>
    <cellStyle name="60% - アクセント 1 2" xfId="20" xr:uid="{00000000-0005-0000-0000-00000C000000}"/>
    <cellStyle name="60% - アクセント 2 2" xfId="21" xr:uid="{00000000-0005-0000-0000-00000D000000}"/>
    <cellStyle name="60% - アクセント 3 2" xfId="22" xr:uid="{00000000-0005-0000-0000-00000E000000}"/>
    <cellStyle name="60% - アクセント 4 2" xfId="23" xr:uid="{00000000-0005-0000-0000-00000F000000}"/>
    <cellStyle name="60% - アクセント 5 2" xfId="24" xr:uid="{00000000-0005-0000-0000-000010000000}"/>
    <cellStyle name="60% - アクセント 6 2" xfId="25" xr:uid="{00000000-0005-0000-0000-000011000000}"/>
    <cellStyle name="args.style" xfId="26" xr:uid="{00000000-0005-0000-0000-000012000000}"/>
    <cellStyle name="Border" xfId="27" xr:uid="{00000000-0005-0000-0000-000013000000}"/>
    <cellStyle name="Calc Currency (0)" xfId="28" xr:uid="{00000000-0005-0000-0000-000014000000}"/>
    <cellStyle name="Calc Currency (0) 2" xfId="29" xr:uid="{00000000-0005-0000-0000-000015000000}"/>
    <cellStyle name="Calc Currency (0) 3" xfId="30" xr:uid="{00000000-0005-0000-0000-000016000000}"/>
    <cellStyle name="Calc Currency (0) 4" xfId="31" xr:uid="{00000000-0005-0000-0000-000017000000}"/>
    <cellStyle name="Calc Currency (0) 5" xfId="32" xr:uid="{00000000-0005-0000-0000-000018000000}"/>
    <cellStyle name="Calc Currency (0) 6" xfId="33" xr:uid="{00000000-0005-0000-0000-000019000000}"/>
    <cellStyle name="Calc Currency (0) 7" xfId="34" xr:uid="{00000000-0005-0000-0000-00001A000000}"/>
    <cellStyle name="Comma  - Style1" xfId="35" xr:uid="{00000000-0005-0000-0000-00001B000000}"/>
    <cellStyle name="Comma  - Style2" xfId="36" xr:uid="{00000000-0005-0000-0000-00001C000000}"/>
    <cellStyle name="Comma  - Style3" xfId="37" xr:uid="{00000000-0005-0000-0000-00001D000000}"/>
    <cellStyle name="Comma  - Style4" xfId="38" xr:uid="{00000000-0005-0000-0000-00001E000000}"/>
    <cellStyle name="Comma  - Style5" xfId="39" xr:uid="{00000000-0005-0000-0000-00001F000000}"/>
    <cellStyle name="Comma  - Style6" xfId="40" xr:uid="{00000000-0005-0000-0000-000020000000}"/>
    <cellStyle name="Comma  - Style7" xfId="41" xr:uid="{00000000-0005-0000-0000-000021000000}"/>
    <cellStyle name="Comma  - Style8" xfId="42" xr:uid="{00000000-0005-0000-0000-000022000000}"/>
    <cellStyle name="Comma [0]" xfId="43" xr:uid="{00000000-0005-0000-0000-000023000000}"/>
    <cellStyle name="comma zerodec" xfId="44" xr:uid="{00000000-0005-0000-0000-000024000000}"/>
    <cellStyle name="Currency [0]" xfId="45" xr:uid="{00000000-0005-0000-0000-000025000000}"/>
    <cellStyle name="Currency1" xfId="46" xr:uid="{00000000-0005-0000-0000-000026000000}"/>
    <cellStyle name="Dollar (zero dec)" xfId="47" xr:uid="{00000000-0005-0000-0000-000027000000}"/>
    <cellStyle name="entry" xfId="48" xr:uid="{00000000-0005-0000-0000-000028000000}"/>
    <cellStyle name="Grey" xfId="49" xr:uid="{00000000-0005-0000-0000-000029000000}"/>
    <cellStyle name="Header1" xfId="50" xr:uid="{00000000-0005-0000-0000-00002A000000}"/>
    <cellStyle name="Header2" xfId="51" xr:uid="{00000000-0005-0000-0000-00002B000000}"/>
    <cellStyle name="IBM(401K)" xfId="52" xr:uid="{00000000-0005-0000-0000-00002C000000}"/>
    <cellStyle name="Input [yellow]" xfId="53" xr:uid="{00000000-0005-0000-0000-00002D000000}"/>
    <cellStyle name="J401K" xfId="54" xr:uid="{00000000-0005-0000-0000-00002E000000}"/>
    <cellStyle name="Normal - Style1" xfId="55" xr:uid="{00000000-0005-0000-0000-00002F000000}"/>
    <cellStyle name="per.style" xfId="56" xr:uid="{00000000-0005-0000-0000-000030000000}"/>
    <cellStyle name="Percent [2]" xfId="57" xr:uid="{00000000-0005-0000-0000-000031000000}"/>
    <cellStyle name="price" xfId="58" xr:uid="{00000000-0005-0000-0000-000032000000}"/>
    <cellStyle name="PSChar" xfId="59" xr:uid="{00000000-0005-0000-0000-000033000000}"/>
    <cellStyle name="PSHeading" xfId="60" xr:uid="{00000000-0005-0000-0000-000034000000}"/>
    <cellStyle name="revised" xfId="61" xr:uid="{00000000-0005-0000-0000-000035000000}"/>
    <cellStyle name="section" xfId="62" xr:uid="{00000000-0005-0000-0000-000036000000}"/>
    <cellStyle name="Ｔ２０５" xfId="63" xr:uid="{00000000-0005-0000-0000-000037000000}"/>
    <cellStyle name="Ｔ２０５１" xfId="64" xr:uid="{00000000-0005-0000-0000-000038000000}"/>
    <cellStyle name="Ｔ２０５２" xfId="65" xr:uid="{00000000-0005-0000-0000-000039000000}"/>
    <cellStyle name="Ｔ２０５３" xfId="66" xr:uid="{00000000-0005-0000-0000-00003A000000}"/>
    <cellStyle name="title" xfId="67" xr:uid="{00000000-0005-0000-0000-00003B000000}"/>
    <cellStyle name="アクセント 1 2" xfId="68" xr:uid="{00000000-0005-0000-0000-00003C000000}"/>
    <cellStyle name="アクセント 2 2" xfId="69" xr:uid="{00000000-0005-0000-0000-00003D000000}"/>
    <cellStyle name="アクセント 3 2" xfId="70" xr:uid="{00000000-0005-0000-0000-00003E000000}"/>
    <cellStyle name="アクセント 4 2" xfId="71" xr:uid="{00000000-0005-0000-0000-00003F000000}"/>
    <cellStyle name="アクセント 5 2" xfId="72" xr:uid="{00000000-0005-0000-0000-000040000000}"/>
    <cellStyle name="アクセント 6 2" xfId="73" xr:uid="{00000000-0005-0000-0000-000041000000}"/>
    <cellStyle name="スタイル 1" xfId="74" xr:uid="{00000000-0005-0000-0000-000042000000}"/>
    <cellStyle name="タイトル 2" xfId="75" xr:uid="{00000000-0005-0000-0000-000043000000}"/>
    <cellStyle name="チェック セル 2" xfId="76" xr:uid="{00000000-0005-0000-0000-000044000000}"/>
    <cellStyle name="どちらでもない 2" xfId="77" xr:uid="{00000000-0005-0000-0000-000045000000}"/>
    <cellStyle name="ハイパーリンク 2" xfId="78" xr:uid="{00000000-0005-0000-0000-000046000000}"/>
    <cellStyle name="ハイパーリンク 2 2" xfId="79" xr:uid="{00000000-0005-0000-0000-000047000000}"/>
    <cellStyle name="ハイパーリンク 2_★外部設計書（基幹マスタ取込）v1_10" xfId="80" xr:uid="{00000000-0005-0000-0000-000048000000}"/>
    <cellStyle name="ハイパーリンク 3" xfId="81" xr:uid="{00000000-0005-0000-0000-000049000000}"/>
    <cellStyle name="ハイパーリンク 4" xfId="82" xr:uid="{00000000-0005-0000-0000-00004A000000}"/>
    <cellStyle name="ハイパーリンク 5" xfId="163" xr:uid="{00000000-0005-0000-0000-00004B000000}"/>
    <cellStyle name="メモ 2" xfId="83" xr:uid="{00000000-0005-0000-0000-00004C000000}"/>
    <cellStyle name="リンク セル 2" xfId="84" xr:uid="{00000000-0005-0000-0000-00004D000000}"/>
    <cellStyle name="悪い 2" xfId="85" xr:uid="{00000000-0005-0000-0000-00004E000000}"/>
    <cellStyle name="価格桁区切り" xfId="86" xr:uid="{00000000-0005-0000-0000-00004F000000}"/>
    <cellStyle name="型番" xfId="87" xr:uid="{00000000-0005-0000-0000-000050000000}"/>
    <cellStyle name="計算 2" xfId="88" xr:uid="{00000000-0005-0000-0000-000051000000}"/>
    <cellStyle name="警告文 2" xfId="89" xr:uid="{00000000-0005-0000-0000-000052000000}"/>
    <cellStyle name="桁区切り 2" xfId="90" xr:uid="{00000000-0005-0000-0000-000053000000}"/>
    <cellStyle name="桁区切り 2 2" xfId="158" xr:uid="{00000000-0005-0000-0000-000054000000}"/>
    <cellStyle name="桁区切り 2 3" xfId="153" xr:uid="{00000000-0005-0000-0000-000055000000}"/>
    <cellStyle name="桁区切り 3" xfId="91" xr:uid="{00000000-0005-0000-0000-000056000000}"/>
    <cellStyle name="見出し 1 2" xfId="92" xr:uid="{00000000-0005-0000-0000-000057000000}"/>
    <cellStyle name="見出し 2 2" xfId="93" xr:uid="{00000000-0005-0000-0000-000058000000}"/>
    <cellStyle name="見出し 3 2" xfId="94" xr:uid="{00000000-0005-0000-0000-000059000000}"/>
    <cellStyle name="見出し 4 2" xfId="95" xr:uid="{00000000-0005-0000-0000-00005A000000}"/>
    <cellStyle name="集計 2" xfId="96" xr:uid="{00000000-0005-0000-0000-00005B000000}"/>
    <cellStyle name="出力 2" xfId="97" xr:uid="{00000000-0005-0000-0000-00005C000000}"/>
    <cellStyle name="数値" xfId="98" xr:uid="{00000000-0005-0000-0000-00005D000000}"/>
    <cellStyle name="数値（桁区切り）" xfId="99" xr:uid="{00000000-0005-0000-0000-00005E000000}"/>
    <cellStyle name="数値_ＣＣ見積３S4100(NX)_rev3010704" xfId="100" xr:uid="{00000000-0005-0000-0000-00005F000000}"/>
    <cellStyle name="製品通知&quot;-&quot;" xfId="101" xr:uid="{00000000-0005-0000-0000-000060000000}"/>
    <cellStyle name="製品通知価格" xfId="102" xr:uid="{00000000-0005-0000-0000-000061000000}"/>
    <cellStyle name="製品通知日付" xfId="103" xr:uid="{00000000-0005-0000-0000-000062000000}"/>
    <cellStyle name="製品通知文字列" xfId="104" xr:uid="{00000000-0005-0000-0000-000063000000}"/>
    <cellStyle name="説明文 2" xfId="105" xr:uid="{00000000-0005-0000-0000-000064000000}"/>
    <cellStyle name="日付" xfId="106" xr:uid="{00000000-0005-0000-0000-000065000000}"/>
    <cellStyle name="入力 2" xfId="107" xr:uid="{00000000-0005-0000-0000-000066000000}"/>
    <cellStyle name="年月日" xfId="108" xr:uid="{00000000-0005-0000-0000-000067000000}"/>
    <cellStyle name="標準" xfId="0" builtinId="0"/>
    <cellStyle name="標準 10" xfId="109" xr:uid="{00000000-0005-0000-0000-000069000000}"/>
    <cellStyle name="標準 10 2" xfId="110" xr:uid="{00000000-0005-0000-0000-00006A000000}"/>
    <cellStyle name="標準 10_★外部設計書（基幹マスタ取込）v1_10" xfId="111" xr:uid="{00000000-0005-0000-0000-00006B000000}"/>
    <cellStyle name="標準 11" xfId="112" xr:uid="{00000000-0005-0000-0000-00006C000000}"/>
    <cellStyle name="標準 11 2" xfId="113" xr:uid="{00000000-0005-0000-0000-00006D000000}"/>
    <cellStyle name="標準 11 2 2" xfId="159" xr:uid="{00000000-0005-0000-0000-00006E000000}"/>
    <cellStyle name="標準 11 2 3" xfId="154" xr:uid="{00000000-0005-0000-0000-00006F000000}"/>
    <cellStyle name="標準 11_POS4U_テーブル定義書" xfId="114" xr:uid="{00000000-0005-0000-0000-000070000000}"/>
    <cellStyle name="標準 11_POS4U_テーブル定義書 2" xfId="152" xr:uid="{00000000-0005-0000-0000-000071000000}"/>
    <cellStyle name="標準 12" xfId="115" xr:uid="{00000000-0005-0000-0000-000072000000}"/>
    <cellStyle name="標準 13" xfId="116" xr:uid="{00000000-0005-0000-0000-000073000000}"/>
    <cellStyle name="標準 14" xfId="117" xr:uid="{00000000-0005-0000-0000-000074000000}"/>
    <cellStyle name="標準 15" xfId="118" xr:uid="{00000000-0005-0000-0000-000075000000}"/>
    <cellStyle name="標準 2" xfId="3" xr:uid="{00000000-0005-0000-0000-000076000000}"/>
    <cellStyle name="標準 2 2" xfId="119" xr:uid="{00000000-0005-0000-0000-000077000000}"/>
    <cellStyle name="標準 2 2 2" xfId="120" xr:uid="{00000000-0005-0000-0000-000078000000}"/>
    <cellStyle name="標準 2 2_POS4U_概要設計書_書籍" xfId="121" xr:uid="{00000000-0005-0000-0000-000079000000}"/>
    <cellStyle name="標準 2 3" xfId="122" xr:uid="{00000000-0005-0000-0000-00007A000000}"/>
    <cellStyle name="標準 2 3 2" xfId="123" xr:uid="{00000000-0005-0000-0000-00007B000000}"/>
    <cellStyle name="標準 2 3 3" xfId="160" xr:uid="{00000000-0005-0000-0000-00007C000000}"/>
    <cellStyle name="標準 2 3 4" xfId="155" xr:uid="{00000000-0005-0000-0000-00007D000000}"/>
    <cellStyle name="標準 2 3_★外部設計書（基幹マスタ取込）v1_10" xfId="124" xr:uid="{00000000-0005-0000-0000-00007E000000}"/>
    <cellStyle name="標準 2 4" xfId="125" xr:uid="{00000000-0005-0000-0000-00007F000000}"/>
    <cellStyle name="標準 2 4 2" xfId="126" xr:uid="{00000000-0005-0000-0000-000080000000}"/>
    <cellStyle name="標準 2 4 2 2" xfId="162" xr:uid="{00000000-0005-0000-0000-000081000000}"/>
    <cellStyle name="標準 2 4 2 3" xfId="157" xr:uid="{00000000-0005-0000-0000-000082000000}"/>
    <cellStyle name="標準 2 4 3" xfId="127" xr:uid="{00000000-0005-0000-0000-000083000000}"/>
    <cellStyle name="標準 2 4 4" xfId="161" xr:uid="{00000000-0005-0000-0000-000084000000}"/>
    <cellStyle name="標準 2 4 5" xfId="156" xr:uid="{00000000-0005-0000-0000-000085000000}"/>
    <cellStyle name="標準 2 4_★外部設計書（基幹マスタ取込）v1_10" xfId="128" xr:uid="{00000000-0005-0000-0000-000086000000}"/>
    <cellStyle name="標準 2 5" xfId="129" xr:uid="{00000000-0005-0000-0000-000087000000}"/>
    <cellStyle name="標準 2 6" xfId="130" xr:uid="{00000000-0005-0000-0000-000088000000}"/>
    <cellStyle name="標準 2_★外部設計書（基幹マスタ取込）v1_10" xfId="131" xr:uid="{00000000-0005-0000-0000-000089000000}"/>
    <cellStyle name="標準 3" xfId="5" xr:uid="{00000000-0005-0000-0000-00008A000000}"/>
    <cellStyle name="標準 3 2" xfId="133" xr:uid="{00000000-0005-0000-0000-00008B000000}"/>
    <cellStyle name="標準 3 3" xfId="132" xr:uid="{00000000-0005-0000-0000-00008C000000}"/>
    <cellStyle name="標準 3 4" xfId="166" xr:uid="{00000000-0005-0000-0000-00008D000000}"/>
    <cellStyle name="標準 3_★外部設計書（基幹マスタ取込）v1_10" xfId="134" xr:uid="{00000000-0005-0000-0000-00008E000000}"/>
    <cellStyle name="標準 4" xfId="135" xr:uid="{00000000-0005-0000-0000-00008F000000}"/>
    <cellStyle name="標準 4 2" xfId="1" xr:uid="{00000000-0005-0000-0000-000090000000}"/>
    <cellStyle name="標準 4 2 2" xfId="136" xr:uid="{00000000-0005-0000-0000-000091000000}"/>
    <cellStyle name="標準 4 2_★外部設計書（基幹マスタ取込）v1_10" xfId="137" xr:uid="{00000000-0005-0000-0000-000092000000}"/>
    <cellStyle name="標準 4 2_マスタレイアウト" xfId="2" xr:uid="{00000000-0005-0000-0000-000093000000}"/>
    <cellStyle name="標準 4 3" xfId="138" xr:uid="{00000000-0005-0000-0000-000094000000}"/>
    <cellStyle name="標準 4 4" xfId="164" xr:uid="{00000000-0005-0000-0000-000095000000}"/>
    <cellStyle name="標準 4_★外部設計書（基幹マスタ取込）v1_10" xfId="139" xr:uid="{00000000-0005-0000-0000-000096000000}"/>
    <cellStyle name="標準 5" xfId="140" xr:uid="{00000000-0005-0000-0000-000097000000}"/>
    <cellStyle name="標準 5 2" xfId="141" xr:uid="{00000000-0005-0000-0000-000098000000}"/>
    <cellStyle name="標準 6" xfId="142" xr:uid="{00000000-0005-0000-0000-000099000000}"/>
    <cellStyle name="標準 7" xfId="143" xr:uid="{00000000-0005-0000-0000-00009A000000}"/>
    <cellStyle name="標準 7 2" xfId="165" xr:uid="{00000000-0005-0000-0000-00009B000000}"/>
    <cellStyle name="標準 8" xfId="144" xr:uid="{00000000-0005-0000-0000-00009C000000}"/>
    <cellStyle name="標準 9" xfId="145" xr:uid="{00000000-0005-0000-0000-00009D000000}"/>
    <cellStyle name="標準 9 2" xfId="146" xr:uid="{00000000-0005-0000-0000-00009E000000}"/>
    <cellStyle name="標準 9_★外部設計書（基幹マスタ取込）v1_10" xfId="147" xr:uid="{00000000-0005-0000-0000-00009F000000}"/>
    <cellStyle name="標準_ドキュメント記述ルール" xfId="4" xr:uid="{00000000-0005-0000-0000-0000A0000000}"/>
    <cellStyle name="標準_外部設計書（サンプル）" xfId="7" xr:uid="{00000000-0005-0000-0000-0000A1000000}"/>
    <cellStyle name="標準_外部設計書（サンプル）_外部設計書(発注・移動）_新譜発注入力" xfId="6" xr:uid="{00000000-0005-0000-0000-0000A2000000}"/>
    <cellStyle name="文字列" xfId="148" xr:uid="{00000000-0005-0000-0000-0000A3000000}"/>
    <cellStyle name="未定義" xfId="149" xr:uid="{00000000-0005-0000-0000-0000A4000000}"/>
    <cellStyle name="網掛け" xfId="150" xr:uid="{00000000-0005-0000-0000-0000A5000000}"/>
    <cellStyle name="良い 2" xfId="151" xr:uid="{00000000-0005-0000-0000-0000A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9</xdr:col>
      <xdr:colOff>9525</xdr:colOff>
      <xdr:row>12</xdr:row>
      <xdr:rowOff>76200</xdr:rowOff>
    </xdr:from>
    <xdr:to>
      <xdr:col>10</xdr:col>
      <xdr:colOff>179025</xdr:colOff>
      <xdr:row>12</xdr:row>
      <xdr:rowOff>76200</xdr:rowOff>
    </xdr:to>
    <xdr:cxnSp macro="">
      <xdr:nvCxnSpPr>
        <xdr:cNvPr id="2" name="直線コネクタ 1">
          <a:extLst>
            <a:ext uri="{FF2B5EF4-FFF2-40B4-BE49-F238E27FC236}">
              <a16:creationId xmlns:a16="http://schemas.microsoft.com/office/drawing/2014/main" id="{71583622-4F67-4BF6-B06A-7FB64F77E554}"/>
            </a:ext>
          </a:extLst>
        </xdr:cNvPr>
        <xdr:cNvCxnSpPr/>
      </xdr:nvCxnSpPr>
      <xdr:spPr>
        <a:xfrm>
          <a:off x="1724025" y="2038350"/>
          <a:ext cx="360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39295</xdr:colOff>
      <xdr:row>15</xdr:row>
      <xdr:rowOff>76200</xdr:rowOff>
    </xdr:from>
    <xdr:to>
      <xdr:col>18</xdr:col>
      <xdr:colOff>165595</xdr:colOff>
      <xdr:row>15</xdr:row>
      <xdr:rowOff>76200</xdr:rowOff>
    </xdr:to>
    <xdr:cxnSp macro="">
      <xdr:nvCxnSpPr>
        <xdr:cNvPr id="3" name="直線コネクタ 2">
          <a:extLst>
            <a:ext uri="{FF2B5EF4-FFF2-40B4-BE49-F238E27FC236}">
              <a16:creationId xmlns:a16="http://schemas.microsoft.com/office/drawing/2014/main" id="{1BD2CCB7-450B-4D84-88AE-E424BF3D43BD}"/>
            </a:ext>
          </a:extLst>
        </xdr:cNvPr>
        <xdr:cNvCxnSpPr/>
      </xdr:nvCxnSpPr>
      <xdr:spPr>
        <a:xfrm>
          <a:off x="3277795"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16</xdr:row>
      <xdr:rowOff>76200</xdr:rowOff>
    </xdr:from>
    <xdr:to>
      <xdr:col>18</xdr:col>
      <xdr:colOff>164400</xdr:colOff>
      <xdr:row>16</xdr:row>
      <xdr:rowOff>76200</xdr:rowOff>
    </xdr:to>
    <xdr:cxnSp macro="">
      <xdr:nvCxnSpPr>
        <xdr:cNvPr id="4" name="直線コネクタ 3">
          <a:extLst>
            <a:ext uri="{FF2B5EF4-FFF2-40B4-BE49-F238E27FC236}">
              <a16:creationId xmlns:a16="http://schemas.microsoft.com/office/drawing/2014/main" id="{5EA3BCD4-9002-4A6D-85CC-2F5FCBBDD0CB}"/>
            </a:ext>
          </a:extLst>
        </xdr:cNvPr>
        <xdr:cNvCxnSpPr/>
      </xdr:nvCxnSpPr>
      <xdr:spPr>
        <a:xfrm>
          <a:off x="3276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xdr:colOff>
      <xdr:row>17</xdr:row>
      <xdr:rowOff>76200</xdr:rowOff>
    </xdr:from>
    <xdr:to>
      <xdr:col>18</xdr:col>
      <xdr:colOff>164400</xdr:colOff>
      <xdr:row>17</xdr:row>
      <xdr:rowOff>76200</xdr:rowOff>
    </xdr:to>
    <xdr:cxnSp macro="">
      <xdr:nvCxnSpPr>
        <xdr:cNvPr id="5" name="直線コネクタ 4">
          <a:extLst>
            <a:ext uri="{FF2B5EF4-FFF2-40B4-BE49-F238E27FC236}">
              <a16:creationId xmlns:a16="http://schemas.microsoft.com/office/drawing/2014/main" id="{E2CA9241-055F-4337-A30C-2BE8AF24FC69}"/>
            </a:ext>
          </a:extLst>
        </xdr:cNvPr>
        <xdr:cNvCxnSpPr/>
      </xdr:nvCxnSpPr>
      <xdr:spPr>
        <a:xfrm>
          <a:off x="3276600" y="28956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15</xdr:row>
      <xdr:rowOff>76200</xdr:rowOff>
    </xdr:from>
    <xdr:to>
      <xdr:col>34</xdr:col>
      <xdr:colOff>164400</xdr:colOff>
      <xdr:row>15</xdr:row>
      <xdr:rowOff>76200</xdr:rowOff>
    </xdr:to>
    <xdr:cxnSp macro="">
      <xdr:nvCxnSpPr>
        <xdr:cNvPr id="6" name="直線コネクタ 5">
          <a:extLst>
            <a:ext uri="{FF2B5EF4-FFF2-40B4-BE49-F238E27FC236}">
              <a16:creationId xmlns:a16="http://schemas.microsoft.com/office/drawing/2014/main" id="{AE8B793C-5404-4630-AFB8-D2130445FD89}"/>
            </a:ext>
          </a:extLst>
        </xdr:cNvPr>
        <xdr:cNvCxnSpPr/>
      </xdr:nvCxnSpPr>
      <xdr:spPr>
        <a:xfrm>
          <a:off x="632460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16</xdr:row>
      <xdr:rowOff>76200</xdr:rowOff>
    </xdr:from>
    <xdr:to>
      <xdr:col>34</xdr:col>
      <xdr:colOff>164400</xdr:colOff>
      <xdr:row>16</xdr:row>
      <xdr:rowOff>76200</xdr:rowOff>
    </xdr:to>
    <xdr:cxnSp macro="">
      <xdr:nvCxnSpPr>
        <xdr:cNvPr id="7" name="直線コネクタ 6">
          <a:extLst>
            <a:ext uri="{FF2B5EF4-FFF2-40B4-BE49-F238E27FC236}">
              <a16:creationId xmlns:a16="http://schemas.microsoft.com/office/drawing/2014/main" id="{FEA8E1CF-8ED3-4C2A-94CB-86326CC13641}"/>
            </a:ext>
          </a:extLst>
        </xdr:cNvPr>
        <xdr:cNvCxnSpPr/>
      </xdr:nvCxnSpPr>
      <xdr:spPr>
        <a:xfrm>
          <a:off x="6324600"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38100</xdr:colOff>
      <xdr:row>17</xdr:row>
      <xdr:rowOff>76200</xdr:rowOff>
    </xdr:from>
    <xdr:to>
      <xdr:col>34</xdr:col>
      <xdr:colOff>164400</xdr:colOff>
      <xdr:row>18</xdr:row>
      <xdr:rowOff>85725</xdr:rowOff>
    </xdr:to>
    <xdr:cxnSp macro="">
      <xdr:nvCxnSpPr>
        <xdr:cNvPr id="8" name="直線コネクタ 7">
          <a:extLst>
            <a:ext uri="{FF2B5EF4-FFF2-40B4-BE49-F238E27FC236}">
              <a16:creationId xmlns:a16="http://schemas.microsoft.com/office/drawing/2014/main" id="{26B53143-5B56-4189-933E-0E5FF7E94126}"/>
            </a:ext>
          </a:extLst>
        </xdr:cNvPr>
        <xdr:cNvCxnSpPr/>
      </xdr:nvCxnSpPr>
      <xdr:spPr>
        <a:xfrm flipV="1">
          <a:off x="6324600"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29770</xdr:colOff>
      <xdr:row>15</xdr:row>
      <xdr:rowOff>76200</xdr:rowOff>
    </xdr:from>
    <xdr:to>
      <xdr:col>45</xdr:col>
      <xdr:colOff>156070</xdr:colOff>
      <xdr:row>15</xdr:row>
      <xdr:rowOff>76200</xdr:rowOff>
    </xdr:to>
    <xdr:cxnSp macro="">
      <xdr:nvCxnSpPr>
        <xdr:cNvPr id="9" name="直線コネクタ 8">
          <a:extLst>
            <a:ext uri="{FF2B5EF4-FFF2-40B4-BE49-F238E27FC236}">
              <a16:creationId xmlns:a16="http://schemas.microsoft.com/office/drawing/2014/main" id="{5C8E2A20-56AB-4A40-A3E8-68C50C643758}"/>
            </a:ext>
          </a:extLst>
        </xdr:cNvPr>
        <xdr:cNvCxnSpPr/>
      </xdr:nvCxnSpPr>
      <xdr:spPr>
        <a:xfrm>
          <a:off x="8411770" y="255270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16</xdr:row>
      <xdr:rowOff>76200</xdr:rowOff>
    </xdr:from>
    <xdr:to>
      <xdr:col>45</xdr:col>
      <xdr:colOff>154875</xdr:colOff>
      <xdr:row>16</xdr:row>
      <xdr:rowOff>76200</xdr:rowOff>
    </xdr:to>
    <xdr:cxnSp macro="">
      <xdr:nvCxnSpPr>
        <xdr:cNvPr id="10" name="直線コネクタ 9">
          <a:extLst>
            <a:ext uri="{FF2B5EF4-FFF2-40B4-BE49-F238E27FC236}">
              <a16:creationId xmlns:a16="http://schemas.microsoft.com/office/drawing/2014/main" id="{24879421-B60A-46D4-B6F5-39796D604A28}"/>
            </a:ext>
          </a:extLst>
        </xdr:cNvPr>
        <xdr:cNvCxnSpPr/>
      </xdr:nvCxnSpPr>
      <xdr:spPr>
        <a:xfrm>
          <a:off x="8410575" y="2724150"/>
          <a:ext cx="3168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28575</xdr:colOff>
      <xdr:row>17</xdr:row>
      <xdr:rowOff>76200</xdr:rowOff>
    </xdr:from>
    <xdr:to>
      <xdr:col>45</xdr:col>
      <xdr:colOff>154875</xdr:colOff>
      <xdr:row>18</xdr:row>
      <xdr:rowOff>85725</xdr:rowOff>
    </xdr:to>
    <xdr:cxnSp macro="">
      <xdr:nvCxnSpPr>
        <xdr:cNvPr id="11" name="直線コネクタ 10">
          <a:extLst>
            <a:ext uri="{FF2B5EF4-FFF2-40B4-BE49-F238E27FC236}">
              <a16:creationId xmlns:a16="http://schemas.microsoft.com/office/drawing/2014/main" id="{FBB9C1D2-5048-4106-A467-04D85B005500}"/>
            </a:ext>
          </a:extLst>
        </xdr:cNvPr>
        <xdr:cNvCxnSpPr/>
      </xdr:nvCxnSpPr>
      <xdr:spPr>
        <a:xfrm flipV="1">
          <a:off x="8410575" y="2895600"/>
          <a:ext cx="316800" cy="180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21290</xdr:colOff>
      <xdr:row>64</xdr:row>
      <xdr:rowOff>95250</xdr:rowOff>
    </xdr:from>
    <xdr:to>
      <xdr:col>18</xdr:col>
      <xdr:colOff>189378</xdr:colOff>
      <xdr:row>67</xdr:row>
      <xdr:rowOff>24653</xdr:rowOff>
    </xdr:to>
    <xdr:sp macro="" textlink="">
      <xdr:nvSpPr>
        <xdr:cNvPr id="12" name="円/楕円 10">
          <a:extLst>
            <a:ext uri="{FF2B5EF4-FFF2-40B4-BE49-F238E27FC236}">
              <a16:creationId xmlns:a16="http://schemas.microsoft.com/office/drawing/2014/main" id="{4B778B88-4FA4-4167-8071-BA58FC964459}"/>
            </a:ext>
          </a:extLst>
        </xdr:cNvPr>
        <xdr:cNvSpPr/>
      </xdr:nvSpPr>
      <xdr:spPr>
        <a:xfrm>
          <a:off x="3069290" y="10972800"/>
          <a:ext cx="549088" cy="443753"/>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26</xdr:col>
      <xdr:colOff>152401</xdr:colOff>
      <xdr:row>64</xdr:row>
      <xdr:rowOff>95250</xdr:rowOff>
    </xdr:from>
    <xdr:to>
      <xdr:col>30</xdr:col>
      <xdr:colOff>28575</xdr:colOff>
      <xdr:row>68</xdr:row>
      <xdr:rowOff>161925</xdr:rowOff>
    </xdr:to>
    <xdr:sp macro="" textlink="">
      <xdr:nvSpPr>
        <xdr:cNvPr id="13" name="円/楕円 11">
          <a:extLst>
            <a:ext uri="{FF2B5EF4-FFF2-40B4-BE49-F238E27FC236}">
              <a16:creationId xmlns:a16="http://schemas.microsoft.com/office/drawing/2014/main" id="{B2C6B9D5-FC18-4C6D-82D1-70CA9572F843}"/>
            </a:ext>
          </a:extLst>
        </xdr:cNvPr>
        <xdr:cNvSpPr/>
      </xdr:nvSpPr>
      <xdr:spPr>
        <a:xfrm>
          <a:off x="5105401" y="10972800"/>
          <a:ext cx="638174" cy="752475"/>
        </a:xfrm>
        <a:prstGeom prst="ellipse">
          <a:avLst/>
        </a:prstGeom>
        <a:no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123826</xdr:colOff>
      <xdr:row>64</xdr:row>
      <xdr:rowOff>161925</xdr:rowOff>
    </xdr:from>
    <xdr:to>
      <xdr:col>24</xdr:col>
      <xdr:colOff>85726</xdr:colOff>
      <xdr:row>66</xdr:row>
      <xdr:rowOff>142875</xdr:rowOff>
    </xdr:to>
    <xdr:sp macro="" textlink="">
      <xdr:nvSpPr>
        <xdr:cNvPr id="14" name="右矢印 3">
          <a:extLst>
            <a:ext uri="{FF2B5EF4-FFF2-40B4-BE49-F238E27FC236}">
              <a16:creationId xmlns:a16="http://schemas.microsoft.com/office/drawing/2014/main" id="{22B1ABD9-4CEF-408F-9B83-C13E7FF95C6B}"/>
            </a:ext>
          </a:extLst>
        </xdr:cNvPr>
        <xdr:cNvSpPr/>
      </xdr:nvSpPr>
      <xdr:spPr bwMode="auto">
        <a:xfrm>
          <a:off x="4124326" y="11039475"/>
          <a:ext cx="533400"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28575</xdr:colOff>
      <xdr:row>83</xdr:row>
      <xdr:rowOff>19050</xdr:rowOff>
    </xdr:from>
    <xdr:to>
      <xdr:col>19</xdr:col>
      <xdr:colOff>38100</xdr:colOff>
      <xdr:row>85</xdr:row>
      <xdr:rowOff>0</xdr:rowOff>
    </xdr:to>
    <xdr:sp macro="" textlink="">
      <xdr:nvSpPr>
        <xdr:cNvPr id="15" name="右矢印 22">
          <a:extLst>
            <a:ext uri="{FF2B5EF4-FFF2-40B4-BE49-F238E27FC236}">
              <a16:creationId xmlns:a16="http://schemas.microsoft.com/office/drawing/2014/main" id="{FB8492F6-CFFF-4C6A-B80F-77C216B0AD01}"/>
            </a:ext>
          </a:extLst>
        </xdr:cNvPr>
        <xdr:cNvSpPr/>
      </xdr:nvSpPr>
      <xdr:spPr bwMode="auto">
        <a:xfrm>
          <a:off x="3267075" y="1415415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43</xdr:col>
      <xdr:colOff>38100</xdr:colOff>
      <xdr:row>81</xdr:row>
      <xdr:rowOff>95250</xdr:rowOff>
    </xdr:from>
    <xdr:to>
      <xdr:col>45</xdr:col>
      <xdr:colOff>47625</xdr:colOff>
      <xdr:row>83</xdr:row>
      <xdr:rowOff>76200</xdr:rowOff>
    </xdr:to>
    <xdr:sp macro="" textlink="">
      <xdr:nvSpPr>
        <xdr:cNvPr id="16" name="右矢印 23">
          <a:extLst>
            <a:ext uri="{FF2B5EF4-FFF2-40B4-BE49-F238E27FC236}">
              <a16:creationId xmlns:a16="http://schemas.microsoft.com/office/drawing/2014/main" id="{D1DC5239-C6DA-40BD-9042-E56F284D486F}"/>
            </a:ext>
          </a:extLst>
        </xdr:cNvPr>
        <xdr:cNvSpPr/>
      </xdr:nvSpPr>
      <xdr:spPr bwMode="auto">
        <a:xfrm>
          <a:off x="8229600" y="13887450"/>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50</xdr:col>
      <xdr:colOff>142875</xdr:colOff>
      <xdr:row>66</xdr:row>
      <xdr:rowOff>104775</xdr:rowOff>
    </xdr:from>
    <xdr:to>
      <xdr:col>52</xdr:col>
      <xdr:colOff>152400</xdr:colOff>
      <xdr:row>68</xdr:row>
      <xdr:rowOff>85725</xdr:rowOff>
    </xdr:to>
    <xdr:sp macro="" textlink="">
      <xdr:nvSpPr>
        <xdr:cNvPr id="17" name="右矢印 16">
          <a:extLst>
            <a:ext uri="{FF2B5EF4-FFF2-40B4-BE49-F238E27FC236}">
              <a16:creationId xmlns:a16="http://schemas.microsoft.com/office/drawing/2014/main" id="{C5FBF69B-0794-4D50-8134-FECB5BB1FAE1}"/>
            </a:ext>
          </a:extLst>
        </xdr:cNvPr>
        <xdr:cNvSpPr/>
      </xdr:nvSpPr>
      <xdr:spPr bwMode="auto">
        <a:xfrm>
          <a:off x="9667875" y="11325225"/>
          <a:ext cx="390525" cy="323850"/>
        </a:xfrm>
        <a:prstGeom prst="rightArrow">
          <a:avLst/>
        </a:prstGeom>
        <a:solidFill>
          <a:schemeClr val="accent4">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B0C7-E341-4594-A1F5-1437ED1741B1}">
  <dimension ref="B3:F24"/>
  <sheetViews>
    <sheetView zoomScale="130" zoomScaleNormal="130" workbookViewId="0">
      <selection activeCell="G14" sqref="G14"/>
    </sheetView>
  </sheetViews>
  <sheetFormatPr defaultRowHeight="13.5"/>
  <cols>
    <col min="1" max="1" width="3.375" customWidth="1"/>
    <col min="2" max="2" width="24.875" bestFit="1" customWidth="1"/>
    <col min="3" max="3" width="35.125" bestFit="1" customWidth="1"/>
    <col min="5" max="6" width="20.375" bestFit="1" customWidth="1"/>
  </cols>
  <sheetData>
    <row r="3" spans="2:6">
      <c r="B3" t="s">
        <v>0</v>
      </c>
    </row>
    <row r="4" spans="2:6">
      <c r="D4" s="384" t="s">
        <v>1</v>
      </c>
      <c r="E4" s="384" t="s">
        <v>2</v>
      </c>
      <c r="F4" s="384" t="s">
        <v>3</v>
      </c>
    </row>
    <row r="5" spans="2:6" ht="14.25">
      <c r="B5" s="330" t="s">
        <v>4</v>
      </c>
      <c r="C5" s="330" t="s">
        <v>5</v>
      </c>
      <c r="D5" s="331" t="s">
        <v>6</v>
      </c>
      <c r="E5" s="331" t="s">
        <v>7</v>
      </c>
      <c r="F5" s="331" t="s">
        <v>8</v>
      </c>
    </row>
    <row r="6" spans="2:6">
      <c r="B6" s="332" t="s">
        <v>9</v>
      </c>
      <c r="C6" s="333" t="s">
        <v>10</v>
      </c>
      <c r="D6" s="335" t="s">
        <v>11</v>
      </c>
      <c r="E6" s="337" t="s">
        <v>11</v>
      </c>
      <c r="F6" s="337" t="s">
        <v>11</v>
      </c>
    </row>
    <row r="7" spans="2:6">
      <c r="B7" s="334" t="s">
        <v>12</v>
      </c>
      <c r="C7" s="333" t="s">
        <v>13</v>
      </c>
      <c r="D7" s="335" t="s">
        <v>11</v>
      </c>
      <c r="E7" s="337" t="s">
        <v>11</v>
      </c>
      <c r="F7" s="337" t="s">
        <v>11</v>
      </c>
    </row>
    <row r="8" spans="2:6">
      <c r="B8" s="332" t="s">
        <v>14</v>
      </c>
      <c r="C8" s="333" t="s">
        <v>15</v>
      </c>
      <c r="D8" s="335" t="s">
        <v>11</v>
      </c>
      <c r="E8" s="346" t="s">
        <v>16</v>
      </c>
      <c r="F8" s="346" t="s">
        <v>16</v>
      </c>
    </row>
    <row r="9" spans="2:6">
      <c r="B9" s="333" t="s">
        <v>17</v>
      </c>
      <c r="C9" s="333" t="s">
        <v>18</v>
      </c>
      <c r="D9" s="335" t="s">
        <v>11</v>
      </c>
      <c r="E9" s="346" t="s">
        <v>16</v>
      </c>
      <c r="F9" s="346" t="s">
        <v>16</v>
      </c>
    </row>
    <row r="10" spans="2:6">
      <c r="B10" s="333" t="s">
        <v>19</v>
      </c>
      <c r="C10" s="333" t="s">
        <v>20</v>
      </c>
      <c r="D10" s="335" t="s">
        <v>11</v>
      </c>
      <c r="E10" s="346" t="s">
        <v>16</v>
      </c>
      <c r="F10" s="337" t="s">
        <v>11</v>
      </c>
    </row>
    <row r="11" spans="2:6">
      <c r="B11" s="333" t="s">
        <v>21</v>
      </c>
      <c r="C11" s="333" t="s">
        <v>22</v>
      </c>
      <c r="D11" s="335" t="s">
        <v>11</v>
      </c>
      <c r="E11" s="337" t="s">
        <v>11</v>
      </c>
      <c r="F11" s="337" t="s">
        <v>11</v>
      </c>
    </row>
    <row r="12" spans="2:6">
      <c r="B12" s="333" t="s">
        <v>23</v>
      </c>
      <c r="C12" s="333" t="s">
        <v>24</v>
      </c>
      <c r="D12" s="335" t="s">
        <v>11</v>
      </c>
      <c r="E12" s="337" t="s">
        <v>11</v>
      </c>
      <c r="F12" s="337" t="s">
        <v>11</v>
      </c>
    </row>
    <row r="13" spans="2:6">
      <c r="B13" s="333" t="s">
        <v>25</v>
      </c>
      <c r="C13" s="333" t="s">
        <v>26</v>
      </c>
      <c r="D13" s="335" t="s">
        <v>11</v>
      </c>
      <c r="E13" s="337" t="s">
        <v>11</v>
      </c>
      <c r="F13" s="346" t="s">
        <v>16</v>
      </c>
    </row>
    <row r="14" spans="2:6">
      <c r="B14" s="385" t="s">
        <v>27</v>
      </c>
      <c r="C14" s="385" t="s">
        <v>28</v>
      </c>
      <c r="D14" s="386" t="s">
        <v>11</v>
      </c>
      <c r="E14" s="386" t="s">
        <v>11</v>
      </c>
      <c r="F14" s="346" t="s">
        <v>16</v>
      </c>
    </row>
    <row r="15" spans="2:6">
      <c r="B15" s="385" t="s">
        <v>29</v>
      </c>
      <c r="C15" s="385" t="s">
        <v>30</v>
      </c>
      <c r="D15" s="386" t="s">
        <v>11</v>
      </c>
      <c r="E15" s="386" t="s">
        <v>11</v>
      </c>
      <c r="F15" s="346" t="s">
        <v>16</v>
      </c>
    </row>
    <row r="16" spans="2:6">
      <c r="B16" s="385" t="s">
        <v>31</v>
      </c>
      <c r="C16" s="385" t="s">
        <v>32</v>
      </c>
      <c r="D16" s="386" t="s">
        <v>11</v>
      </c>
      <c r="E16" s="386" t="s">
        <v>11</v>
      </c>
      <c r="F16" s="346" t="s">
        <v>16</v>
      </c>
    </row>
    <row r="17" spans="2:6">
      <c r="B17" s="385" t="s">
        <v>31</v>
      </c>
      <c r="C17" s="385" t="s">
        <v>33</v>
      </c>
      <c r="D17" s="386" t="s">
        <v>11</v>
      </c>
      <c r="E17" s="386" t="s">
        <v>11</v>
      </c>
      <c r="F17" s="346" t="s">
        <v>16</v>
      </c>
    </row>
    <row r="18" spans="2:6">
      <c r="B18" s="333" t="s">
        <v>34</v>
      </c>
      <c r="C18" s="333" t="s">
        <v>35</v>
      </c>
      <c r="D18" s="335" t="s">
        <v>11</v>
      </c>
      <c r="E18" s="337" t="s">
        <v>36</v>
      </c>
      <c r="F18" s="337" t="s">
        <v>36</v>
      </c>
    </row>
    <row r="19" spans="2:6">
      <c r="B19" s="333" t="s">
        <v>37</v>
      </c>
      <c r="C19" s="333" t="s">
        <v>38</v>
      </c>
      <c r="D19" s="335" t="s">
        <v>11</v>
      </c>
      <c r="E19" s="337" t="s">
        <v>36</v>
      </c>
      <c r="F19" s="337" t="s">
        <v>36</v>
      </c>
    </row>
    <row r="20" spans="2:6">
      <c r="B20" s="333" t="s">
        <v>39</v>
      </c>
      <c r="C20" s="333" t="s">
        <v>40</v>
      </c>
      <c r="D20" s="335" t="s">
        <v>11</v>
      </c>
      <c r="E20" s="337" t="s">
        <v>36</v>
      </c>
      <c r="F20" s="337" t="s">
        <v>36</v>
      </c>
    </row>
    <row r="21" spans="2:6">
      <c r="B21" s="333" t="s">
        <v>41</v>
      </c>
      <c r="C21" s="333" t="s">
        <v>42</v>
      </c>
      <c r="D21" s="335" t="s">
        <v>11</v>
      </c>
      <c r="E21" s="337" t="s">
        <v>36</v>
      </c>
      <c r="F21" s="337" t="s">
        <v>36</v>
      </c>
    </row>
    <row r="22" spans="2:6">
      <c r="B22" s="333" t="s">
        <v>43</v>
      </c>
      <c r="C22" s="333" t="s">
        <v>44</v>
      </c>
      <c r="D22" s="346" t="s">
        <v>16</v>
      </c>
      <c r="E22" s="346" t="s">
        <v>16</v>
      </c>
      <c r="F22" s="346" t="s">
        <v>16</v>
      </c>
    </row>
    <row r="24" spans="2:6">
      <c r="B24" s="336" t="s">
        <v>45</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499984740745262"/>
    <pageSetUpPr fitToPage="1"/>
  </sheetPr>
  <dimension ref="A1:N27"/>
  <sheetViews>
    <sheetView zoomScale="85" zoomScaleNormal="85" workbookViewId="0">
      <selection activeCell="J14" sqref="J14"/>
    </sheetView>
  </sheetViews>
  <sheetFormatPr defaultColWidth="9" defaultRowHeight="13.5" outlineLevelCol="1"/>
  <cols>
    <col min="1" max="1" width="4.625" style="1" customWidth="1"/>
    <col min="2" max="2" width="23.875" style="1" customWidth="1"/>
    <col min="3" max="3" width="25.625" style="1" customWidth="1"/>
    <col min="4" max="5" width="13.625" style="1" hidden="1" customWidth="1" outlineLevel="1"/>
    <col min="6" max="6" width="0" style="1" hidden="1" customWidth="1" outlineLevel="1"/>
    <col min="7" max="7" width="10.375" style="1" hidden="1" customWidth="1" outlineLevel="1"/>
    <col min="8" max="8" width="9.875" style="1" bestFit="1" customWidth="1" collapsed="1"/>
    <col min="9" max="9" width="45.375" style="1" customWidth="1"/>
    <col min="10" max="10" width="10.875" style="269" bestFit="1" customWidth="1"/>
    <col min="11" max="11" width="40.25" style="1" customWidth="1"/>
    <col min="12" max="12" width="42.625" style="1" customWidth="1"/>
    <col min="13" max="13" width="40.25" style="1" customWidth="1"/>
    <col min="14" max="16384" width="9" style="1"/>
  </cols>
  <sheetData>
    <row r="1" spans="1:14">
      <c r="A1" s="1" t="s">
        <v>46</v>
      </c>
    </row>
    <row r="2" spans="1:14" ht="14.25" thickBot="1"/>
    <row r="3" spans="1:14" ht="48" customHeight="1" thickBot="1">
      <c r="A3" s="199" t="s">
        <v>47</v>
      </c>
      <c r="B3" s="200" t="s">
        <v>48</v>
      </c>
      <c r="C3" s="200" t="s">
        <v>49</v>
      </c>
      <c r="D3" s="200" t="s">
        <v>50</v>
      </c>
      <c r="E3" s="200" t="s">
        <v>51</v>
      </c>
      <c r="F3" s="200" t="s">
        <v>52</v>
      </c>
      <c r="G3" s="201" t="s">
        <v>53</v>
      </c>
      <c r="H3" s="202" t="s">
        <v>54</v>
      </c>
      <c r="I3" s="203" t="s">
        <v>55</v>
      </c>
      <c r="J3" s="267" t="s">
        <v>56</v>
      </c>
      <c r="K3" s="266" t="s">
        <v>6</v>
      </c>
      <c r="L3" s="266" t="s">
        <v>7</v>
      </c>
      <c r="M3" s="286" t="s">
        <v>8</v>
      </c>
    </row>
    <row r="4" spans="1:14">
      <c r="A4" s="157">
        <f t="shared" ref="A4:A27" si="0">ROW() - 3</f>
        <v>1</v>
      </c>
      <c r="B4" s="149" t="s">
        <v>57</v>
      </c>
      <c r="C4" s="149" t="s">
        <v>58</v>
      </c>
      <c r="D4" s="149" t="s">
        <v>59</v>
      </c>
      <c r="E4" s="149">
        <v>1</v>
      </c>
      <c r="F4" s="158" t="s">
        <v>60</v>
      </c>
      <c r="G4" s="149"/>
      <c r="H4" s="149">
        <v>1</v>
      </c>
      <c r="I4" s="179" t="s">
        <v>61</v>
      </c>
      <c r="J4" s="270" t="s">
        <v>62</v>
      </c>
      <c r="K4" s="263" t="s">
        <v>63</v>
      </c>
      <c r="L4" s="263" t="s">
        <v>63</v>
      </c>
      <c r="M4" s="287" t="s">
        <v>63</v>
      </c>
    </row>
    <row r="5" spans="1:14">
      <c r="A5" s="156">
        <f t="shared" si="0"/>
        <v>2</v>
      </c>
      <c r="B5" s="154" t="s">
        <v>64</v>
      </c>
      <c r="C5" s="154" t="s">
        <v>65</v>
      </c>
      <c r="D5" s="154" t="s">
        <v>59</v>
      </c>
      <c r="E5" s="154">
        <v>10</v>
      </c>
      <c r="F5" s="153" t="s">
        <v>60</v>
      </c>
      <c r="G5" s="154"/>
      <c r="H5" s="154">
        <v>2</v>
      </c>
      <c r="I5" s="166" t="s">
        <v>66</v>
      </c>
      <c r="J5" s="264" t="s">
        <v>62</v>
      </c>
      <c r="K5" s="166" t="s">
        <v>67</v>
      </c>
      <c r="L5" s="166" t="s">
        <v>68</v>
      </c>
      <c r="M5" s="167" t="s">
        <v>69</v>
      </c>
    </row>
    <row r="6" spans="1:14">
      <c r="A6" s="156">
        <f t="shared" si="0"/>
        <v>3</v>
      </c>
      <c r="B6" s="154" t="s">
        <v>70</v>
      </c>
      <c r="C6" s="154" t="s">
        <v>71</v>
      </c>
      <c r="D6" s="154" t="s">
        <v>59</v>
      </c>
      <c r="E6" s="154">
        <v>10</v>
      </c>
      <c r="F6" s="153" t="s">
        <v>60</v>
      </c>
      <c r="G6" s="154"/>
      <c r="H6" s="154">
        <v>3</v>
      </c>
      <c r="I6" s="166"/>
      <c r="J6" s="264" t="s">
        <v>62</v>
      </c>
      <c r="K6" s="166" t="s">
        <v>72</v>
      </c>
      <c r="L6" s="166" t="s">
        <v>72</v>
      </c>
      <c r="M6" s="167" t="s">
        <v>73</v>
      </c>
    </row>
    <row r="7" spans="1:14">
      <c r="A7" s="156">
        <f t="shared" si="0"/>
        <v>4</v>
      </c>
      <c r="B7" s="154" t="s">
        <v>74</v>
      </c>
      <c r="C7" s="154" t="s">
        <v>75</v>
      </c>
      <c r="D7" s="154" t="s">
        <v>59</v>
      </c>
      <c r="E7" s="154">
        <v>10</v>
      </c>
      <c r="F7" s="153" t="s">
        <v>60</v>
      </c>
      <c r="G7" s="154"/>
      <c r="H7" s="154">
        <v>4</v>
      </c>
      <c r="I7" s="166" t="s">
        <v>76</v>
      </c>
      <c r="J7" s="264" t="s">
        <v>62</v>
      </c>
      <c r="K7" s="390" t="s">
        <v>77</v>
      </c>
      <c r="L7" s="390" t="s">
        <v>78</v>
      </c>
      <c r="M7" s="392" t="s">
        <v>79</v>
      </c>
    </row>
    <row r="8" spans="1:14" ht="63" customHeight="1">
      <c r="A8" s="156">
        <f t="shared" si="0"/>
        <v>5</v>
      </c>
      <c r="B8" s="154" t="s">
        <v>80</v>
      </c>
      <c r="C8" s="154" t="s">
        <v>81</v>
      </c>
      <c r="D8" s="154" t="s">
        <v>82</v>
      </c>
      <c r="E8" s="154"/>
      <c r="F8" s="153" t="s">
        <v>60</v>
      </c>
      <c r="G8" s="154"/>
      <c r="H8" s="154">
        <v>5</v>
      </c>
      <c r="I8" s="179" t="s">
        <v>83</v>
      </c>
      <c r="J8" s="264" t="s">
        <v>62</v>
      </c>
      <c r="K8" s="391"/>
      <c r="L8" s="391"/>
      <c r="M8" s="393"/>
    </row>
    <row r="9" spans="1:14">
      <c r="A9" s="156">
        <f t="shared" si="0"/>
        <v>6</v>
      </c>
      <c r="B9" s="149" t="s">
        <v>84</v>
      </c>
      <c r="C9" s="149" t="s">
        <v>85</v>
      </c>
      <c r="D9" s="149" t="s">
        <v>86</v>
      </c>
      <c r="E9" s="149"/>
      <c r="F9" s="158" t="s">
        <v>87</v>
      </c>
      <c r="G9" s="149"/>
      <c r="H9" s="149">
        <v>6</v>
      </c>
      <c r="I9" s="179" t="s">
        <v>88</v>
      </c>
      <c r="J9" s="264" t="s">
        <v>62</v>
      </c>
      <c r="K9" s="166" t="s">
        <v>89</v>
      </c>
      <c r="L9" s="166" t="s">
        <v>90</v>
      </c>
      <c r="M9" s="323" t="s">
        <v>91</v>
      </c>
    </row>
    <row r="10" spans="1:14" ht="40.5">
      <c r="A10" s="156">
        <f t="shared" si="0"/>
        <v>7</v>
      </c>
      <c r="B10" s="154" t="s">
        <v>92</v>
      </c>
      <c r="C10" s="154" t="s">
        <v>93</v>
      </c>
      <c r="D10" s="154" t="s">
        <v>59</v>
      </c>
      <c r="E10" s="154">
        <v>10</v>
      </c>
      <c r="F10" s="153"/>
      <c r="G10" s="154"/>
      <c r="H10" s="154"/>
      <c r="I10" s="179" t="s">
        <v>94</v>
      </c>
      <c r="J10" s="264" t="s">
        <v>62</v>
      </c>
      <c r="K10" s="166" t="s">
        <v>95</v>
      </c>
      <c r="L10" s="166" t="s">
        <v>96</v>
      </c>
      <c r="M10" s="167" t="s">
        <v>97</v>
      </c>
    </row>
    <row r="11" spans="1:14" ht="53.25" customHeight="1">
      <c r="A11" s="156">
        <f t="shared" si="0"/>
        <v>8</v>
      </c>
      <c r="B11" s="154" t="s">
        <v>98</v>
      </c>
      <c r="C11" s="154" t="s">
        <v>99</v>
      </c>
      <c r="D11" s="154" t="s">
        <v>82</v>
      </c>
      <c r="E11" s="154"/>
      <c r="F11" s="153"/>
      <c r="G11" s="154"/>
      <c r="H11" s="154"/>
      <c r="I11" s="179" t="s">
        <v>100</v>
      </c>
      <c r="J11" s="264" t="s">
        <v>62</v>
      </c>
      <c r="K11" s="166" t="s">
        <v>101</v>
      </c>
      <c r="L11" s="166" t="s">
        <v>102</v>
      </c>
      <c r="M11" s="327" t="s">
        <v>103</v>
      </c>
      <c r="N11" s="1" t="s">
        <v>104</v>
      </c>
    </row>
    <row r="12" spans="1:14" ht="45.75" customHeight="1">
      <c r="A12" s="156">
        <f t="shared" si="0"/>
        <v>9</v>
      </c>
      <c r="B12" s="154" t="s">
        <v>49</v>
      </c>
      <c r="C12" s="204" t="s">
        <v>105</v>
      </c>
      <c r="D12" s="154" t="s">
        <v>106</v>
      </c>
      <c r="E12" s="154">
        <v>50</v>
      </c>
      <c r="F12" s="153"/>
      <c r="G12" s="154"/>
      <c r="H12" s="154"/>
      <c r="I12" s="179" t="s">
        <v>107</v>
      </c>
      <c r="J12" s="270" t="s">
        <v>62</v>
      </c>
      <c r="K12" s="263" t="s">
        <v>63</v>
      </c>
      <c r="L12" s="263" t="s">
        <v>63</v>
      </c>
      <c r="M12" s="287" t="s">
        <v>108</v>
      </c>
    </row>
    <row r="13" spans="1:14" ht="45.75" customHeight="1">
      <c r="A13" s="156">
        <f t="shared" si="0"/>
        <v>10</v>
      </c>
      <c r="B13" s="154" t="s">
        <v>109</v>
      </c>
      <c r="C13" s="204" t="s">
        <v>110</v>
      </c>
      <c r="D13" s="154" t="s">
        <v>106</v>
      </c>
      <c r="E13" s="154">
        <v>25</v>
      </c>
      <c r="F13" s="153"/>
      <c r="G13" s="154"/>
      <c r="H13" s="154"/>
      <c r="I13" s="179" t="s">
        <v>111</v>
      </c>
      <c r="J13" s="264" t="s">
        <v>62</v>
      </c>
      <c r="K13" s="268" t="s">
        <v>112</v>
      </c>
      <c r="L13" s="268" t="s">
        <v>112</v>
      </c>
      <c r="M13" s="287" t="s">
        <v>113</v>
      </c>
    </row>
    <row r="14" spans="1:14" ht="181.5" customHeight="1">
      <c r="A14" s="156">
        <f t="shared" si="0"/>
        <v>11</v>
      </c>
      <c r="B14" s="154" t="s">
        <v>114</v>
      </c>
      <c r="C14" s="154" t="s">
        <v>115</v>
      </c>
      <c r="D14" s="154" t="s">
        <v>59</v>
      </c>
      <c r="E14" s="154">
        <v>2</v>
      </c>
      <c r="F14" s="153"/>
      <c r="G14" s="154"/>
      <c r="H14" s="154"/>
      <c r="I14" s="179" t="s">
        <v>116</v>
      </c>
      <c r="J14" s="264" t="s">
        <v>62</v>
      </c>
      <c r="K14" s="166" t="s">
        <v>117</v>
      </c>
      <c r="L14" s="166" t="s">
        <v>118</v>
      </c>
      <c r="M14" s="167" t="s">
        <v>119</v>
      </c>
    </row>
    <row r="15" spans="1:14">
      <c r="A15" s="156">
        <f t="shared" si="0"/>
        <v>12</v>
      </c>
      <c r="B15" s="154" t="s">
        <v>120</v>
      </c>
      <c r="C15" s="154" t="s">
        <v>121</v>
      </c>
      <c r="D15" s="154" t="s">
        <v>122</v>
      </c>
      <c r="E15" s="154" t="s">
        <v>123</v>
      </c>
      <c r="F15" s="153"/>
      <c r="G15" s="154"/>
      <c r="H15" s="154"/>
      <c r="I15" s="166" t="s">
        <v>124</v>
      </c>
      <c r="J15" s="271" t="s">
        <v>112</v>
      </c>
      <c r="K15" s="268" t="s">
        <v>112</v>
      </c>
      <c r="L15" s="268" t="s">
        <v>112</v>
      </c>
      <c r="M15" s="290" t="s">
        <v>112</v>
      </c>
    </row>
    <row r="16" spans="1:14" ht="64.5" customHeight="1">
      <c r="A16" s="156">
        <f t="shared" si="0"/>
        <v>13</v>
      </c>
      <c r="B16" s="154" t="s">
        <v>125</v>
      </c>
      <c r="C16" s="154" t="s">
        <v>126</v>
      </c>
      <c r="D16" s="154" t="s">
        <v>59</v>
      </c>
      <c r="E16" s="154">
        <v>2</v>
      </c>
      <c r="F16" s="153"/>
      <c r="G16" s="154"/>
      <c r="H16" s="154"/>
      <c r="I16" s="179" t="s">
        <v>127</v>
      </c>
      <c r="J16" s="264" t="s">
        <v>62</v>
      </c>
      <c r="K16" s="263" t="s">
        <v>128</v>
      </c>
      <c r="L16" s="324" t="s">
        <v>129</v>
      </c>
      <c r="M16" s="325" t="s">
        <v>130</v>
      </c>
    </row>
    <row r="17" spans="1:14" ht="54">
      <c r="A17" s="156">
        <f t="shared" si="0"/>
        <v>14</v>
      </c>
      <c r="B17" s="154" t="s">
        <v>131</v>
      </c>
      <c r="C17" s="154" t="s">
        <v>132</v>
      </c>
      <c r="D17" s="154" t="s">
        <v>133</v>
      </c>
      <c r="E17" s="154"/>
      <c r="F17" s="153"/>
      <c r="G17" s="154"/>
      <c r="H17" s="154"/>
      <c r="I17" s="166" t="s">
        <v>134</v>
      </c>
      <c r="J17" s="271" t="s">
        <v>112</v>
      </c>
      <c r="K17" s="268" t="s">
        <v>112</v>
      </c>
      <c r="L17" s="268" t="s">
        <v>112</v>
      </c>
      <c r="M17" s="290" t="s">
        <v>112</v>
      </c>
    </row>
    <row r="18" spans="1:14" ht="54">
      <c r="A18" s="156">
        <f t="shared" si="0"/>
        <v>15</v>
      </c>
      <c r="B18" s="154" t="s">
        <v>135</v>
      </c>
      <c r="C18" s="154" t="s">
        <v>136</v>
      </c>
      <c r="D18" s="154" t="s">
        <v>133</v>
      </c>
      <c r="E18" s="154"/>
      <c r="F18" s="153"/>
      <c r="G18" s="154"/>
      <c r="H18" s="154"/>
      <c r="I18" s="166" t="s">
        <v>137</v>
      </c>
      <c r="J18" s="271" t="s">
        <v>112</v>
      </c>
      <c r="K18" s="268" t="s">
        <v>112</v>
      </c>
      <c r="L18" s="268" t="s">
        <v>112</v>
      </c>
      <c r="M18" s="290" t="s">
        <v>112</v>
      </c>
    </row>
    <row r="19" spans="1:14" ht="67.5">
      <c r="A19" s="156">
        <f t="shared" si="0"/>
        <v>16</v>
      </c>
      <c r="B19" s="154" t="s">
        <v>138</v>
      </c>
      <c r="C19" s="154" t="s">
        <v>139</v>
      </c>
      <c r="D19" s="154" t="s">
        <v>133</v>
      </c>
      <c r="E19" s="154"/>
      <c r="F19" s="153"/>
      <c r="G19" s="154"/>
      <c r="H19" s="154"/>
      <c r="I19" s="179" t="s">
        <v>140</v>
      </c>
      <c r="J19" s="264" t="s">
        <v>62</v>
      </c>
      <c r="K19" s="268" t="s">
        <v>112</v>
      </c>
      <c r="L19" s="167" t="s">
        <v>141</v>
      </c>
      <c r="M19" s="327" t="s">
        <v>142</v>
      </c>
      <c r="N19" s="328" t="s">
        <v>143</v>
      </c>
    </row>
    <row r="20" spans="1:14" ht="54">
      <c r="A20" s="156">
        <f t="shared" si="0"/>
        <v>17</v>
      </c>
      <c r="B20" s="154" t="s">
        <v>144</v>
      </c>
      <c r="C20" s="154" t="s">
        <v>145</v>
      </c>
      <c r="D20" s="154" t="s">
        <v>133</v>
      </c>
      <c r="E20" s="154"/>
      <c r="F20" s="153"/>
      <c r="G20" s="154"/>
      <c r="H20" s="154"/>
      <c r="I20" s="179" t="s">
        <v>146</v>
      </c>
      <c r="J20" s="271" t="s">
        <v>112</v>
      </c>
      <c r="K20" s="268" t="s">
        <v>147</v>
      </c>
      <c r="L20" s="268" t="s">
        <v>148</v>
      </c>
      <c r="M20" s="290" t="s">
        <v>149</v>
      </c>
    </row>
    <row r="21" spans="1:14">
      <c r="A21" s="156">
        <f t="shared" si="0"/>
        <v>18</v>
      </c>
      <c r="B21" s="154" t="s">
        <v>150</v>
      </c>
      <c r="C21" s="154" t="s">
        <v>151</v>
      </c>
      <c r="D21" s="154" t="s">
        <v>106</v>
      </c>
      <c r="E21" s="154">
        <v>2</v>
      </c>
      <c r="F21" s="153"/>
      <c r="G21" s="154"/>
      <c r="H21" s="154"/>
      <c r="I21" s="166" t="s">
        <v>124</v>
      </c>
      <c r="J21" s="271" t="s">
        <v>112</v>
      </c>
      <c r="K21" s="268" t="s">
        <v>63</v>
      </c>
      <c r="L21" s="268" t="s">
        <v>63</v>
      </c>
      <c r="M21" s="290" t="s">
        <v>63</v>
      </c>
    </row>
    <row r="22" spans="1:14" ht="27">
      <c r="A22" s="156">
        <f t="shared" si="0"/>
        <v>19</v>
      </c>
      <c r="B22" s="154" t="s">
        <v>152</v>
      </c>
      <c r="C22" s="154" t="s">
        <v>153</v>
      </c>
      <c r="D22" s="154" t="s">
        <v>154</v>
      </c>
      <c r="E22" s="154"/>
      <c r="F22" s="153"/>
      <c r="G22" s="154"/>
      <c r="H22" s="154"/>
      <c r="I22" s="166" t="s">
        <v>155</v>
      </c>
      <c r="J22" s="270" t="s">
        <v>62</v>
      </c>
      <c r="K22" s="263" t="s">
        <v>63</v>
      </c>
      <c r="L22" s="263" t="s">
        <v>63</v>
      </c>
      <c r="M22" s="290" t="s">
        <v>156</v>
      </c>
    </row>
    <row r="23" spans="1:14" ht="40.5">
      <c r="A23" s="156">
        <f t="shared" si="0"/>
        <v>20</v>
      </c>
      <c r="B23" s="154" t="s">
        <v>157</v>
      </c>
      <c r="C23" s="154" t="s">
        <v>158</v>
      </c>
      <c r="D23" s="154" t="s">
        <v>133</v>
      </c>
      <c r="E23" s="154"/>
      <c r="F23" s="153"/>
      <c r="G23" s="154"/>
      <c r="H23" s="154"/>
      <c r="I23" s="179" t="s">
        <v>159</v>
      </c>
      <c r="J23" s="270" t="s">
        <v>62</v>
      </c>
      <c r="K23" s="268" t="s">
        <v>124</v>
      </c>
      <c r="L23" s="389" t="s">
        <v>160</v>
      </c>
      <c r="M23" s="290" t="s">
        <v>156</v>
      </c>
    </row>
    <row r="24" spans="1:14" ht="94.5">
      <c r="A24" s="156">
        <f t="shared" si="0"/>
        <v>21</v>
      </c>
      <c r="B24" s="154" t="s">
        <v>161</v>
      </c>
      <c r="C24" s="154" t="s">
        <v>162</v>
      </c>
      <c r="D24" s="154" t="s">
        <v>133</v>
      </c>
      <c r="E24" s="154"/>
      <c r="F24" s="153"/>
      <c r="G24" s="154"/>
      <c r="H24" s="154"/>
      <c r="I24" s="179" t="s">
        <v>163</v>
      </c>
      <c r="J24" s="271" t="s">
        <v>112</v>
      </c>
      <c r="K24" s="268" t="s">
        <v>63</v>
      </c>
      <c r="L24" s="268" t="s">
        <v>63</v>
      </c>
      <c r="M24" s="290" t="s">
        <v>156</v>
      </c>
    </row>
    <row r="25" spans="1:14" ht="27">
      <c r="A25" s="156">
        <f t="shared" si="0"/>
        <v>22</v>
      </c>
      <c r="B25" s="154" t="s">
        <v>164</v>
      </c>
      <c r="C25" s="154" t="s">
        <v>165</v>
      </c>
      <c r="D25" s="154" t="s">
        <v>122</v>
      </c>
      <c r="E25" s="154" t="s">
        <v>123</v>
      </c>
      <c r="F25" s="153" t="s">
        <v>60</v>
      </c>
      <c r="G25" s="154"/>
      <c r="H25" s="154"/>
      <c r="I25" s="265" t="s">
        <v>166</v>
      </c>
      <c r="J25" s="271" t="s">
        <v>112</v>
      </c>
      <c r="K25" s="268" t="s">
        <v>63</v>
      </c>
      <c r="L25" s="268" t="s">
        <v>63</v>
      </c>
      <c r="M25" s="290" t="s">
        <v>167</v>
      </c>
    </row>
    <row r="26" spans="1:14" ht="27">
      <c r="A26" s="156">
        <f t="shared" si="0"/>
        <v>23</v>
      </c>
      <c r="B26" s="154" t="s">
        <v>168</v>
      </c>
      <c r="C26" s="154" t="s">
        <v>169</v>
      </c>
      <c r="D26" s="154" t="s">
        <v>170</v>
      </c>
      <c r="E26" s="154" t="s">
        <v>123</v>
      </c>
      <c r="F26" s="153" t="s">
        <v>60</v>
      </c>
      <c r="G26" s="154"/>
      <c r="H26" s="154"/>
      <c r="I26" s="265" t="s">
        <v>171</v>
      </c>
      <c r="J26" s="271" t="s">
        <v>112</v>
      </c>
      <c r="K26" s="268" t="s">
        <v>63</v>
      </c>
      <c r="L26" s="268" t="s">
        <v>63</v>
      </c>
      <c r="M26" s="290" t="s">
        <v>167</v>
      </c>
    </row>
    <row r="27" spans="1:14" ht="41.25" thickBot="1">
      <c r="A27" s="163">
        <f t="shared" si="0"/>
        <v>24</v>
      </c>
      <c r="B27" s="164" t="s">
        <v>172</v>
      </c>
      <c r="C27" s="164" t="s">
        <v>173</v>
      </c>
      <c r="D27" s="164" t="s">
        <v>154</v>
      </c>
      <c r="E27" s="164"/>
      <c r="F27" s="165"/>
      <c r="G27" s="164"/>
      <c r="H27" s="164"/>
      <c r="I27" s="205" t="s">
        <v>174</v>
      </c>
      <c r="J27" s="274" t="s">
        <v>112</v>
      </c>
      <c r="K27" s="273" t="s">
        <v>124</v>
      </c>
      <c r="L27" s="273" t="s">
        <v>175</v>
      </c>
      <c r="M27" s="326" t="s">
        <v>176</v>
      </c>
    </row>
  </sheetData>
  <mergeCells count="3">
    <mergeCell ref="K7:K8"/>
    <mergeCell ref="L7:L8"/>
    <mergeCell ref="M7:M8"/>
  </mergeCells>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499984740745262"/>
    <pageSetUpPr fitToPage="1"/>
  </sheetPr>
  <dimension ref="A1:M40"/>
  <sheetViews>
    <sheetView tabSelected="1" topLeftCell="A10" zoomScale="85" zoomScaleNormal="85" workbookViewId="0">
      <selection activeCell="A17" sqref="A17:XFD17"/>
    </sheetView>
  </sheetViews>
  <sheetFormatPr defaultColWidth="9" defaultRowHeight="13.5" outlineLevelCol="1"/>
  <cols>
    <col min="1" max="1" width="4.875" style="1" customWidth="1"/>
    <col min="2" max="2" width="30.375" style="1" bestFit="1" customWidth="1"/>
    <col min="3" max="3" width="28.75" style="1" customWidth="1"/>
    <col min="4" max="4" width="10" style="1" hidden="1" customWidth="1" outlineLevel="1"/>
    <col min="5" max="5" width="15.25" style="1" hidden="1" customWidth="1" outlineLevel="1"/>
    <col min="6" max="6" width="7.75" style="1" hidden="1" customWidth="1" outlineLevel="1"/>
    <col min="7" max="7" width="9.375" style="1" hidden="1" customWidth="1" outlineLevel="1"/>
    <col min="8" max="8" width="10.25" style="1" bestFit="1" customWidth="1" collapsed="1"/>
    <col min="9" max="9" width="51.125" style="1" bestFit="1" customWidth="1"/>
    <col min="10" max="10" width="11.375" style="1" bestFit="1" customWidth="1"/>
    <col min="11" max="11" width="35.125" style="1" bestFit="1" customWidth="1"/>
    <col min="12" max="12" width="41.375" style="1" customWidth="1"/>
    <col min="13" max="13" width="50.25" style="1" customWidth="1"/>
    <col min="14" max="16384" width="9" style="1"/>
  </cols>
  <sheetData>
    <row r="1" spans="1:13">
      <c r="A1" s="206" t="s">
        <v>177</v>
      </c>
      <c r="B1" s="206"/>
      <c r="C1" s="206"/>
      <c r="D1" s="206"/>
      <c r="E1" s="206"/>
      <c r="F1" s="206"/>
      <c r="G1" s="206"/>
      <c r="H1" s="206"/>
      <c r="I1" s="206"/>
      <c r="J1" s="206"/>
      <c r="K1" s="206"/>
      <c r="L1" s="206"/>
      <c r="M1" s="206"/>
    </row>
    <row r="2" spans="1:13" ht="14.25" thickBot="1">
      <c r="A2" s="206"/>
      <c r="B2" s="206"/>
      <c r="C2" s="206"/>
      <c r="D2" s="206"/>
      <c r="E2" s="206"/>
      <c r="F2" s="206"/>
      <c r="G2" s="206"/>
      <c r="H2" s="206"/>
      <c r="I2" s="206"/>
      <c r="J2" s="206"/>
      <c r="K2" s="206"/>
      <c r="L2" s="206"/>
      <c r="M2" s="206"/>
    </row>
    <row r="3" spans="1:13" ht="45.75" customHeight="1" thickBot="1">
      <c r="A3" s="199" t="s">
        <v>47</v>
      </c>
      <c r="B3" s="200" t="s">
        <v>48</v>
      </c>
      <c r="C3" s="200" t="s">
        <v>49</v>
      </c>
      <c r="D3" s="200" t="s">
        <v>50</v>
      </c>
      <c r="E3" s="200" t="s">
        <v>51</v>
      </c>
      <c r="F3" s="200" t="s">
        <v>52</v>
      </c>
      <c r="G3" s="201" t="s">
        <v>53</v>
      </c>
      <c r="H3" s="202" t="s">
        <v>54</v>
      </c>
      <c r="I3" s="203" t="s">
        <v>55</v>
      </c>
      <c r="J3" s="267" t="s">
        <v>56</v>
      </c>
      <c r="K3" s="266" t="s">
        <v>6</v>
      </c>
      <c r="L3" s="266" t="s">
        <v>7</v>
      </c>
      <c r="M3" s="286" t="s">
        <v>8</v>
      </c>
    </row>
    <row r="4" spans="1:13">
      <c r="A4" s="157">
        <f>ROW() - 3</f>
        <v>1</v>
      </c>
      <c r="B4" s="149" t="s">
        <v>57</v>
      </c>
      <c r="C4" s="149" t="s">
        <v>58</v>
      </c>
      <c r="D4" s="149" t="s">
        <v>59</v>
      </c>
      <c r="E4" s="149">
        <v>1</v>
      </c>
      <c r="F4" s="158" t="s">
        <v>60</v>
      </c>
      <c r="G4" s="149"/>
      <c r="H4" s="149">
        <v>1</v>
      </c>
      <c r="I4" s="179" t="s">
        <v>61</v>
      </c>
      <c r="J4" s="270" t="s">
        <v>62</v>
      </c>
      <c r="K4" s="263" t="s">
        <v>63</v>
      </c>
      <c r="L4" s="263" t="s">
        <v>63</v>
      </c>
      <c r="M4" s="287" t="s">
        <v>63</v>
      </c>
    </row>
    <row r="5" spans="1:13">
      <c r="A5" s="156">
        <f>ROW() - 3</f>
        <v>2</v>
      </c>
      <c r="B5" s="154" t="s">
        <v>64</v>
      </c>
      <c r="C5" s="154" t="s">
        <v>65</v>
      </c>
      <c r="D5" s="154" t="s">
        <v>59</v>
      </c>
      <c r="E5" s="154">
        <v>10</v>
      </c>
      <c r="F5" s="153" t="s">
        <v>60</v>
      </c>
      <c r="G5" s="154"/>
      <c r="H5" s="154">
        <v>2</v>
      </c>
      <c r="I5" s="179" t="s">
        <v>66</v>
      </c>
      <c r="J5" s="264" t="s">
        <v>62</v>
      </c>
      <c r="K5" s="166" t="s">
        <v>67</v>
      </c>
      <c r="L5" s="166" t="s">
        <v>68</v>
      </c>
      <c r="M5" s="167" t="s">
        <v>69</v>
      </c>
    </row>
    <row r="6" spans="1:13">
      <c r="A6" s="156">
        <f>ROW() - 3</f>
        <v>3</v>
      </c>
      <c r="B6" s="154" t="s">
        <v>70</v>
      </c>
      <c r="C6" s="154" t="s">
        <v>71</v>
      </c>
      <c r="D6" s="154" t="s">
        <v>59</v>
      </c>
      <c r="E6" s="154">
        <v>10</v>
      </c>
      <c r="F6" s="153" t="s">
        <v>60</v>
      </c>
      <c r="G6" s="154"/>
      <c r="H6" s="154">
        <v>3</v>
      </c>
      <c r="I6" s="179" t="s">
        <v>178</v>
      </c>
      <c r="J6" s="264" t="s">
        <v>62</v>
      </c>
      <c r="K6" s="166" t="s">
        <v>72</v>
      </c>
      <c r="L6" s="166" t="s">
        <v>72</v>
      </c>
      <c r="M6" s="167" t="s">
        <v>73</v>
      </c>
    </row>
    <row r="7" spans="1:13" ht="99.75" customHeight="1">
      <c r="A7" s="156">
        <f t="shared" ref="A7:A40" si="0">ROW() - 3</f>
        <v>4</v>
      </c>
      <c r="B7" s="149" t="s">
        <v>179</v>
      </c>
      <c r="C7" s="149" t="s">
        <v>180</v>
      </c>
      <c r="D7" s="149" t="s">
        <v>59</v>
      </c>
      <c r="E7" s="149">
        <v>26</v>
      </c>
      <c r="F7" s="158" t="s">
        <v>60</v>
      </c>
      <c r="G7" s="149"/>
      <c r="H7" s="149">
        <v>4</v>
      </c>
      <c r="I7" s="207" t="s">
        <v>181</v>
      </c>
      <c r="J7" s="270" t="s">
        <v>62</v>
      </c>
      <c r="K7" s="263" t="s">
        <v>63</v>
      </c>
      <c r="L7" s="263" t="s">
        <v>63</v>
      </c>
      <c r="M7" s="378" t="s">
        <v>182</v>
      </c>
    </row>
    <row r="8" spans="1:13" ht="81" customHeight="1">
      <c r="A8" s="156">
        <f t="shared" si="0"/>
        <v>5</v>
      </c>
      <c r="B8" s="149" t="s">
        <v>84</v>
      </c>
      <c r="C8" s="149" t="s">
        <v>85</v>
      </c>
      <c r="D8" s="149" t="s">
        <v>86</v>
      </c>
      <c r="E8" s="149"/>
      <c r="F8" s="158" t="s">
        <v>87</v>
      </c>
      <c r="G8" s="149"/>
      <c r="H8" s="149">
        <v>5</v>
      </c>
      <c r="I8" s="166" t="s">
        <v>183</v>
      </c>
      <c r="J8" s="264" t="s">
        <v>62</v>
      </c>
      <c r="K8" s="180" t="s">
        <v>89</v>
      </c>
      <c r="L8" s="180"/>
      <c r="M8" s="357" t="s">
        <v>184</v>
      </c>
    </row>
    <row r="9" spans="1:13" ht="48.75" customHeight="1">
      <c r="A9" s="156">
        <f t="shared" si="0"/>
        <v>6</v>
      </c>
      <c r="B9" s="154" t="s">
        <v>92</v>
      </c>
      <c r="C9" s="154" t="s">
        <v>93</v>
      </c>
      <c r="D9" s="154" t="s">
        <v>59</v>
      </c>
      <c r="E9" s="154">
        <v>10</v>
      </c>
      <c r="F9" s="153" t="s">
        <v>60</v>
      </c>
      <c r="G9" s="154"/>
      <c r="H9" s="154"/>
      <c r="I9" s="166" t="s">
        <v>185</v>
      </c>
      <c r="J9" s="264" t="s">
        <v>62</v>
      </c>
      <c r="K9" s="166" t="s">
        <v>186</v>
      </c>
      <c r="L9" s="180" t="s">
        <v>187</v>
      </c>
      <c r="M9" s="275" t="s">
        <v>188</v>
      </c>
    </row>
    <row r="10" spans="1:13" ht="40.5">
      <c r="A10" s="156">
        <f t="shared" si="0"/>
        <v>7</v>
      </c>
      <c r="B10" s="149" t="s">
        <v>189</v>
      </c>
      <c r="C10" s="149" t="s">
        <v>190</v>
      </c>
      <c r="D10" s="149" t="s">
        <v>59</v>
      </c>
      <c r="E10" s="149">
        <v>26</v>
      </c>
      <c r="F10" s="158" t="s">
        <v>60</v>
      </c>
      <c r="G10" s="149"/>
      <c r="H10" s="149"/>
      <c r="I10" s="207" t="s">
        <v>191</v>
      </c>
      <c r="J10" s="264" t="s">
        <v>62</v>
      </c>
      <c r="K10" s="278"/>
      <c r="L10" s="278" t="s">
        <v>192</v>
      </c>
      <c r="M10" s="276" t="s">
        <v>193</v>
      </c>
    </row>
    <row r="11" spans="1:13" ht="99" customHeight="1">
      <c r="A11" s="156">
        <f t="shared" si="0"/>
        <v>8</v>
      </c>
      <c r="B11" s="149" t="s">
        <v>194</v>
      </c>
      <c r="C11" s="149" t="s">
        <v>195</v>
      </c>
      <c r="D11" s="149" t="s">
        <v>59</v>
      </c>
      <c r="E11" s="149">
        <v>26</v>
      </c>
      <c r="F11" s="158" t="s">
        <v>60</v>
      </c>
      <c r="G11" s="149"/>
      <c r="H11" s="149"/>
      <c r="I11" s="207" t="s">
        <v>196</v>
      </c>
      <c r="J11" s="264" t="s">
        <v>62</v>
      </c>
      <c r="K11" s="278"/>
      <c r="L11" s="278" t="s">
        <v>192</v>
      </c>
      <c r="M11" s="276" t="s">
        <v>197</v>
      </c>
    </row>
    <row r="12" spans="1:13" ht="51.75" customHeight="1">
      <c r="A12" s="156">
        <f t="shared" si="0"/>
        <v>9</v>
      </c>
      <c r="B12" s="154" t="s">
        <v>49</v>
      </c>
      <c r="C12" s="204" t="s">
        <v>105</v>
      </c>
      <c r="D12" s="154" t="s">
        <v>106</v>
      </c>
      <c r="E12" s="154">
        <v>50</v>
      </c>
      <c r="F12" s="153"/>
      <c r="G12" s="154"/>
      <c r="H12" s="154"/>
      <c r="I12" s="166" t="s">
        <v>198</v>
      </c>
      <c r="J12" s="270" t="s">
        <v>62</v>
      </c>
      <c r="K12" s="263" t="s">
        <v>63</v>
      </c>
      <c r="L12" s="263" t="s">
        <v>63</v>
      </c>
      <c r="M12" s="329" t="s">
        <v>199</v>
      </c>
    </row>
    <row r="13" spans="1:13" ht="51.75" customHeight="1">
      <c r="A13" s="156">
        <f t="shared" si="0"/>
        <v>10</v>
      </c>
      <c r="B13" s="154" t="s">
        <v>109</v>
      </c>
      <c r="C13" s="204" t="s">
        <v>200</v>
      </c>
      <c r="D13" s="154" t="s">
        <v>106</v>
      </c>
      <c r="E13" s="154">
        <v>25</v>
      </c>
      <c r="F13" s="153"/>
      <c r="G13" s="154"/>
      <c r="H13" s="154"/>
      <c r="I13" s="166" t="s">
        <v>201</v>
      </c>
      <c r="J13" s="264" t="s">
        <v>62</v>
      </c>
      <c r="K13" s="280" t="s">
        <v>124</v>
      </c>
      <c r="L13" s="268" t="s">
        <v>124</v>
      </c>
      <c r="M13" s="329" t="s">
        <v>202</v>
      </c>
    </row>
    <row r="14" spans="1:13" ht="45" customHeight="1">
      <c r="A14" s="156">
        <f t="shared" si="0"/>
        <v>11</v>
      </c>
      <c r="B14" s="154" t="s">
        <v>203</v>
      </c>
      <c r="C14" s="154" t="s">
        <v>204</v>
      </c>
      <c r="D14" s="154" t="s">
        <v>106</v>
      </c>
      <c r="E14" s="154">
        <v>100</v>
      </c>
      <c r="F14" s="153"/>
      <c r="G14" s="154"/>
      <c r="H14" s="154"/>
      <c r="I14" s="166" t="s">
        <v>205</v>
      </c>
      <c r="J14" s="271" t="s">
        <v>112</v>
      </c>
      <c r="K14" s="280"/>
      <c r="L14" s="280" t="s">
        <v>206</v>
      </c>
      <c r="M14" s="329" t="s">
        <v>207</v>
      </c>
    </row>
    <row r="15" spans="1:13">
      <c r="A15" s="156">
        <f t="shared" si="0"/>
        <v>12</v>
      </c>
      <c r="B15" s="154" t="s">
        <v>208</v>
      </c>
      <c r="C15" s="154" t="s">
        <v>209</v>
      </c>
      <c r="D15" s="154" t="s">
        <v>59</v>
      </c>
      <c r="E15" s="154">
        <v>5</v>
      </c>
      <c r="F15" s="153"/>
      <c r="G15" s="154"/>
      <c r="H15" s="154"/>
      <c r="I15" s="208"/>
      <c r="J15" s="271" t="s">
        <v>112</v>
      </c>
      <c r="K15" s="280" t="s">
        <v>124</v>
      </c>
      <c r="L15" s="280" t="s">
        <v>210</v>
      </c>
      <c r="M15" s="329" t="s">
        <v>211</v>
      </c>
    </row>
    <row r="16" spans="1:13">
      <c r="A16" s="156">
        <f t="shared" si="0"/>
        <v>13</v>
      </c>
      <c r="B16" s="154" t="s">
        <v>212</v>
      </c>
      <c r="C16" s="154" t="s">
        <v>213</v>
      </c>
      <c r="D16" s="154" t="s">
        <v>106</v>
      </c>
      <c r="E16" s="154">
        <v>50</v>
      </c>
      <c r="F16" s="153"/>
      <c r="G16" s="154"/>
      <c r="H16" s="154"/>
      <c r="I16" s="208"/>
      <c r="J16" s="271" t="s">
        <v>112</v>
      </c>
      <c r="K16" s="280" t="s">
        <v>124</v>
      </c>
      <c r="L16" s="280" t="s">
        <v>210</v>
      </c>
      <c r="M16" s="290" t="s">
        <v>210</v>
      </c>
    </row>
    <row r="17" spans="1:13">
      <c r="A17" s="156">
        <f t="shared" si="0"/>
        <v>14</v>
      </c>
      <c r="B17" s="154" t="s">
        <v>214</v>
      </c>
      <c r="C17" s="154" t="s">
        <v>215</v>
      </c>
      <c r="D17" s="154" t="s">
        <v>216</v>
      </c>
      <c r="E17" s="154"/>
      <c r="F17" s="153" t="s">
        <v>60</v>
      </c>
      <c r="G17" s="154"/>
      <c r="H17" s="154"/>
      <c r="I17" s="166" t="s">
        <v>217</v>
      </c>
      <c r="J17" s="264" t="s">
        <v>62</v>
      </c>
      <c r="K17" s="180"/>
      <c r="L17" s="180" t="s">
        <v>218</v>
      </c>
      <c r="M17" s="275" t="s">
        <v>219</v>
      </c>
    </row>
    <row r="18" spans="1:13">
      <c r="A18" s="156">
        <f t="shared" si="0"/>
        <v>15</v>
      </c>
      <c r="B18" s="154" t="s">
        <v>220</v>
      </c>
      <c r="C18" s="154" t="s">
        <v>221</v>
      </c>
      <c r="D18" s="154" t="s">
        <v>216</v>
      </c>
      <c r="E18" s="154"/>
      <c r="F18" s="153"/>
      <c r="G18" s="154"/>
      <c r="H18" s="154"/>
      <c r="I18" s="208"/>
      <c r="J18" s="271" t="s">
        <v>222</v>
      </c>
      <c r="K18" s="282" t="s">
        <v>223</v>
      </c>
      <c r="L18" s="282" t="s">
        <v>210</v>
      </c>
      <c r="M18" s="283" t="s">
        <v>224</v>
      </c>
    </row>
    <row r="19" spans="1:13" ht="54">
      <c r="A19" s="156">
        <f t="shared" si="0"/>
        <v>16</v>
      </c>
      <c r="B19" s="154" t="s">
        <v>225</v>
      </c>
      <c r="C19" s="154" t="s">
        <v>226</v>
      </c>
      <c r="D19" s="154" t="s">
        <v>216</v>
      </c>
      <c r="E19" s="154"/>
      <c r="F19" s="153"/>
      <c r="G19" s="154"/>
      <c r="H19" s="154"/>
      <c r="I19" s="209" t="s">
        <v>227</v>
      </c>
      <c r="J19" s="271" t="s">
        <v>112</v>
      </c>
      <c r="K19" s="282" t="s">
        <v>223</v>
      </c>
      <c r="L19" s="282" t="s">
        <v>210</v>
      </c>
      <c r="M19" s="283" t="s">
        <v>224</v>
      </c>
    </row>
    <row r="20" spans="1:13" ht="54">
      <c r="A20" s="156">
        <f t="shared" si="0"/>
        <v>17</v>
      </c>
      <c r="B20" s="154" t="s">
        <v>120</v>
      </c>
      <c r="C20" s="154" t="s">
        <v>121</v>
      </c>
      <c r="D20" s="154" t="s">
        <v>122</v>
      </c>
      <c r="E20" s="154">
        <v>5</v>
      </c>
      <c r="F20" s="153"/>
      <c r="G20" s="154"/>
      <c r="H20" s="154"/>
      <c r="I20" s="166" t="s">
        <v>228</v>
      </c>
      <c r="J20" s="271" t="s">
        <v>112</v>
      </c>
      <c r="K20" s="280" t="s">
        <v>124</v>
      </c>
      <c r="L20" s="280" t="s">
        <v>210</v>
      </c>
      <c r="M20" s="281" t="s">
        <v>224</v>
      </c>
    </row>
    <row r="21" spans="1:13" ht="108">
      <c r="A21" s="156">
        <f t="shared" si="0"/>
        <v>18</v>
      </c>
      <c r="B21" s="154" t="s">
        <v>114</v>
      </c>
      <c r="C21" s="154" t="s">
        <v>115</v>
      </c>
      <c r="D21" s="154" t="s">
        <v>59</v>
      </c>
      <c r="E21" s="154">
        <v>2</v>
      </c>
      <c r="F21" s="153"/>
      <c r="G21" s="154"/>
      <c r="H21" s="154"/>
      <c r="I21" s="179" t="s">
        <v>229</v>
      </c>
      <c r="J21" s="270" t="s">
        <v>62</v>
      </c>
      <c r="K21" s="263" t="s">
        <v>63</v>
      </c>
      <c r="L21" s="263" t="s">
        <v>63</v>
      </c>
      <c r="M21" s="287" t="s">
        <v>230</v>
      </c>
    </row>
    <row r="22" spans="1:13" ht="27">
      <c r="A22" s="156">
        <f t="shared" si="0"/>
        <v>19</v>
      </c>
      <c r="B22" s="154" t="s">
        <v>231</v>
      </c>
      <c r="C22" s="154" t="s">
        <v>232</v>
      </c>
      <c r="D22" s="154" t="s">
        <v>154</v>
      </c>
      <c r="E22" s="154"/>
      <c r="F22" s="153" t="s">
        <v>60</v>
      </c>
      <c r="G22" s="154"/>
      <c r="H22" s="154"/>
      <c r="I22" s="166" t="s">
        <v>233</v>
      </c>
      <c r="J22" s="271" t="s">
        <v>112</v>
      </c>
      <c r="K22" s="280" t="s">
        <v>234</v>
      </c>
      <c r="L22" s="280" t="s">
        <v>234</v>
      </c>
      <c r="M22" s="290" t="s">
        <v>234</v>
      </c>
    </row>
    <row r="23" spans="1:13">
      <c r="A23" s="156">
        <f t="shared" si="0"/>
        <v>20</v>
      </c>
      <c r="B23" s="154" t="s">
        <v>235</v>
      </c>
      <c r="C23" s="154" t="s">
        <v>236</v>
      </c>
      <c r="D23" s="154" t="s">
        <v>122</v>
      </c>
      <c r="E23" s="154" t="s">
        <v>237</v>
      </c>
      <c r="F23" s="153"/>
      <c r="G23" s="154"/>
      <c r="H23" s="154"/>
      <c r="I23" s="208"/>
      <c r="J23" s="271" t="s">
        <v>112</v>
      </c>
      <c r="K23" s="280" t="s">
        <v>124</v>
      </c>
      <c r="L23" s="280" t="s">
        <v>234</v>
      </c>
      <c r="M23" s="281" t="s">
        <v>238</v>
      </c>
    </row>
    <row r="24" spans="1:13">
      <c r="A24" s="156">
        <f t="shared" si="0"/>
        <v>21</v>
      </c>
      <c r="B24" s="154" t="s">
        <v>239</v>
      </c>
      <c r="C24" s="154" t="s">
        <v>240</v>
      </c>
      <c r="D24" s="154" t="s">
        <v>122</v>
      </c>
      <c r="E24" s="154" t="s">
        <v>241</v>
      </c>
      <c r="F24" s="153"/>
      <c r="G24" s="154"/>
      <c r="H24" s="154"/>
      <c r="I24" s="208"/>
      <c r="J24" s="271" t="s">
        <v>112</v>
      </c>
      <c r="K24" s="280" t="s">
        <v>124</v>
      </c>
      <c r="L24" s="280" t="s">
        <v>124</v>
      </c>
      <c r="M24" s="281" t="s">
        <v>224</v>
      </c>
    </row>
    <row r="25" spans="1:13" ht="54">
      <c r="A25" s="156">
        <f t="shared" si="0"/>
        <v>22</v>
      </c>
      <c r="B25" s="154" t="s">
        <v>131</v>
      </c>
      <c r="C25" s="154" t="s">
        <v>132</v>
      </c>
      <c r="D25" s="154" t="s">
        <v>133</v>
      </c>
      <c r="E25" s="154"/>
      <c r="F25" s="153"/>
      <c r="G25" s="154"/>
      <c r="H25" s="154"/>
      <c r="I25" s="166" t="s">
        <v>242</v>
      </c>
      <c r="J25" s="271" t="s">
        <v>112</v>
      </c>
      <c r="K25" s="280" t="s">
        <v>124</v>
      </c>
      <c r="L25" s="280" t="s">
        <v>124</v>
      </c>
      <c r="M25" s="281" t="s">
        <v>224</v>
      </c>
    </row>
    <row r="26" spans="1:13" ht="54">
      <c r="A26" s="156">
        <f t="shared" si="0"/>
        <v>23</v>
      </c>
      <c r="B26" s="154" t="s">
        <v>243</v>
      </c>
      <c r="C26" s="154" t="s">
        <v>136</v>
      </c>
      <c r="D26" s="154" t="s">
        <v>133</v>
      </c>
      <c r="E26" s="154"/>
      <c r="F26" s="153"/>
      <c r="G26" s="154"/>
      <c r="H26" s="154"/>
      <c r="I26" s="166" t="s">
        <v>244</v>
      </c>
      <c r="J26" s="271" t="s">
        <v>112</v>
      </c>
      <c r="K26" s="268" t="s">
        <v>63</v>
      </c>
      <c r="L26" s="268" t="s">
        <v>63</v>
      </c>
      <c r="M26" s="290" t="s">
        <v>224</v>
      </c>
    </row>
    <row r="27" spans="1:13" ht="108.75" customHeight="1">
      <c r="A27" s="156">
        <f t="shared" si="0"/>
        <v>24</v>
      </c>
      <c r="B27" s="154" t="s">
        <v>138</v>
      </c>
      <c r="C27" s="154" t="s">
        <v>139</v>
      </c>
      <c r="D27" s="154" t="s">
        <v>133</v>
      </c>
      <c r="E27" s="154"/>
      <c r="F27" s="153"/>
      <c r="G27" s="154"/>
      <c r="H27" s="154"/>
      <c r="I27" s="166" t="s">
        <v>245</v>
      </c>
      <c r="J27" s="270" t="s">
        <v>62</v>
      </c>
      <c r="K27" s="263" t="s">
        <v>63</v>
      </c>
      <c r="L27" s="263" t="s">
        <v>63</v>
      </c>
      <c r="M27" s="287" t="s">
        <v>246</v>
      </c>
    </row>
    <row r="28" spans="1:13" ht="54">
      <c r="A28" s="156">
        <f t="shared" si="0"/>
        <v>25</v>
      </c>
      <c r="B28" s="154" t="s">
        <v>144</v>
      </c>
      <c r="C28" s="154" t="s">
        <v>145</v>
      </c>
      <c r="D28" s="154" t="s">
        <v>133</v>
      </c>
      <c r="E28" s="154"/>
      <c r="F28" s="153"/>
      <c r="G28" s="154"/>
      <c r="H28" s="154"/>
      <c r="I28" s="166" t="s">
        <v>247</v>
      </c>
      <c r="J28" s="271" t="s">
        <v>112</v>
      </c>
      <c r="K28" s="268" t="s">
        <v>63</v>
      </c>
      <c r="L28" s="268" t="s">
        <v>63</v>
      </c>
      <c r="M28" s="290" t="s">
        <v>224</v>
      </c>
    </row>
    <row r="29" spans="1:13" ht="50.25" customHeight="1">
      <c r="A29" s="156">
        <f t="shared" si="0"/>
        <v>26</v>
      </c>
      <c r="B29" s="154" t="s">
        <v>248</v>
      </c>
      <c r="C29" s="154" t="s">
        <v>249</v>
      </c>
      <c r="D29" s="154" t="s">
        <v>133</v>
      </c>
      <c r="E29" s="154"/>
      <c r="F29" s="153" t="s">
        <v>60</v>
      </c>
      <c r="G29" s="154"/>
      <c r="H29" s="154"/>
      <c r="I29" s="166" t="s">
        <v>250</v>
      </c>
      <c r="J29" s="264" t="s">
        <v>62</v>
      </c>
      <c r="K29" s="180" t="s">
        <v>251</v>
      </c>
      <c r="L29" s="180" t="s">
        <v>252</v>
      </c>
      <c r="M29" s="275" t="s">
        <v>253</v>
      </c>
    </row>
    <row r="30" spans="1:13" ht="40.5">
      <c r="A30" s="156">
        <f t="shared" si="0"/>
        <v>27</v>
      </c>
      <c r="B30" s="154" t="s">
        <v>254</v>
      </c>
      <c r="C30" s="154" t="s">
        <v>255</v>
      </c>
      <c r="D30" s="154" t="s">
        <v>133</v>
      </c>
      <c r="E30" s="154"/>
      <c r="F30" s="153"/>
      <c r="G30" s="154"/>
      <c r="H30" s="154"/>
      <c r="I30" s="166" t="s">
        <v>256</v>
      </c>
      <c r="J30" s="270" t="s">
        <v>62</v>
      </c>
      <c r="K30" s="263" t="s">
        <v>63</v>
      </c>
      <c r="L30" s="263" t="s">
        <v>63</v>
      </c>
      <c r="M30" s="287" t="s">
        <v>257</v>
      </c>
    </row>
    <row r="31" spans="1:13" ht="67.5">
      <c r="A31" s="156">
        <f t="shared" si="0"/>
        <v>28</v>
      </c>
      <c r="B31" s="154" t="s">
        <v>161</v>
      </c>
      <c r="C31" s="154" t="s">
        <v>162</v>
      </c>
      <c r="D31" s="154" t="s">
        <v>133</v>
      </c>
      <c r="E31" s="154"/>
      <c r="F31" s="153"/>
      <c r="G31" s="154"/>
      <c r="H31" s="154"/>
      <c r="I31" s="166" t="s">
        <v>258</v>
      </c>
      <c r="J31" s="271" t="s">
        <v>112</v>
      </c>
      <c r="K31" s="268" t="s">
        <v>63</v>
      </c>
      <c r="L31" s="268" t="s">
        <v>63</v>
      </c>
      <c r="M31" s="290" t="s">
        <v>259</v>
      </c>
    </row>
    <row r="32" spans="1:13" ht="186.75" customHeight="1">
      <c r="A32" s="156">
        <f t="shared" si="0"/>
        <v>29</v>
      </c>
      <c r="B32" s="154" t="s">
        <v>150</v>
      </c>
      <c r="C32" s="154" t="s">
        <v>151</v>
      </c>
      <c r="D32" s="154" t="s">
        <v>106</v>
      </c>
      <c r="E32" s="154">
        <v>2</v>
      </c>
      <c r="F32" s="153"/>
      <c r="G32" s="154"/>
      <c r="H32" s="154"/>
      <c r="I32" s="166" t="s">
        <v>260</v>
      </c>
      <c r="J32" s="264" t="s">
        <v>62</v>
      </c>
      <c r="K32" s="280" t="s">
        <v>124</v>
      </c>
      <c r="L32" s="280" t="s">
        <v>124</v>
      </c>
      <c r="M32" s="387" t="s">
        <v>261</v>
      </c>
    </row>
    <row r="33" spans="1:13" ht="67.5">
      <c r="A33" s="156">
        <f t="shared" si="0"/>
        <v>30</v>
      </c>
      <c r="B33" s="154" t="s">
        <v>262</v>
      </c>
      <c r="C33" s="154" t="s">
        <v>263</v>
      </c>
      <c r="D33" s="154" t="s">
        <v>122</v>
      </c>
      <c r="E33" s="154" t="s">
        <v>264</v>
      </c>
      <c r="F33" s="153"/>
      <c r="G33" s="154"/>
      <c r="H33" s="154"/>
      <c r="I33" s="166" t="s">
        <v>265</v>
      </c>
      <c r="J33" s="264" t="s">
        <v>62</v>
      </c>
      <c r="K33" s="180" t="s">
        <v>266</v>
      </c>
      <c r="L33" s="180" t="s">
        <v>267</v>
      </c>
      <c r="M33" s="275" t="s">
        <v>268</v>
      </c>
    </row>
    <row r="34" spans="1:13" ht="77.25" customHeight="1">
      <c r="A34" s="156">
        <f t="shared" si="0"/>
        <v>31</v>
      </c>
      <c r="B34" s="154" t="s">
        <v>269</v>
      </c>
      <c r="C34" s="154" t="s">
        <v>158</v>
      </c>
      <c r="D34" s="154" t="s">
        <v>133</v>
      </c>
      <c r="E34" s="154"/>
      <c r="F34" s="153"/>
      <c r="G34" s="154"/>
      <c r="H34" s="154"/>
      <c r="I34" s="166" t="s">
        <v>270</v>
      </c>
      <c r="J34" s="264" t="s">
        <v>62</v>
      </c>
      <c r="K34" s="268" t="s">
        <v>63</v>
      </c>
      <c r="L34" s="180" t="s">
        <v>271</v>
      </c>
      <c r="M34" s="275" t="s">
        <v>272</v>
      </c>
    </row>
    <row r="35" spans="1:13" ht="69" customHeight="1">
      <c r="A35" s="156">
        <f t="shared" si="0"/>
        <v>32</v>
      </c>
      <c r="B35" s="154" t="s">
        <v>273</v>
      </c>
      <c r="C35" s="154" t="s">
        <v>274</v>
      </c>
      <c r="D35" s="154" t="s">
        <v>275</v>
      </c>
      <c r="E35" s="154"/>
      <c r="F35" s="153" t="s">
        <v>60</v>
      </c>
      <c r="G35" s="154"/>
      <c r="H35" s="154"/>
      <c r="I35" s="166" t="s">
        <v>276</v>
      </c>
      <c r="J35" s="271" t="s">
        <v>112</v>
      </c>
      <c r="K35" s="280" t="s">
        <v>234</v>
      </c>
      <c r="L35" s="280" t="s">
        <v>234</v>
      </c>
      <c r="M35" s="275" t="s">
        <v>277</v>
      </c>
    </row>
    <row r="36" spans="1:13" ht="54">
      <c r="A36" s="156">
        <f t="shared" si="0"/>
        <v>33</v>
      </c>
      <c r="B36" s="154" t="s">
        <v>172</v>
      </c>
      <c r="C36" s="154" t="s">
        <v>173</v>
      </c>
      <c r="D36" s="154" t="s">
        <v>154</v>
      </c>
      <c r="E36" s="154"/>
      <c r="F36" s="153"/>
      <c r="G36" s="154"/>
      <c r="H36" s="154"/>
      <c r="I36" s="209" t="s">
        <v>278</v>
      </c>
      <c r="J36" s="271" t="s">
        <v>112</v>
      </c>
      <c r="K36" s="280" t="s">
        <v>124</v>
      </c>
      <c r="L36" s="280" t="s">
        <v>124</v>
      </c>
      <c r="M36" s="388" t="s">
        <v>279</v>
      </c>
    </row>
    <row r="37" spans="1:13" ht="40.5">
      <c r="A37" s="156">
        <f t="shared" si="0"/>
        <v>34</v>
      </c>
      <c r="B37" s="154" t="s">
        <v>280</v>
      </c>
      <c r="C37" s="154" t="s">
        <v>281</v>
      </c>
      <c r="D37" s="154" t="s">
        <v>133</v>
      </c>
      <c r="E37" s="154"/>
      <c r="F37" s="153"/>
      <c r="G37" s="154"/>
      <c r="H37" s="154"/>
      <c r="I37" s="166" t="s">
        <v>282</v>
      </c>
      <c r="J37" s="271" t="s">
        <v>112</v>
      </c>
      <c r="K37" s="280" t="s">
        <v>234</v>
      </c>
      <c r="L37" s="280" t="s">
        <v>234</v>
      </c>
      <c r="M37" s="388" t="s">
        <v>283</v>
      </c>
    </row>
    <row r="38" spans="1:13" ht="54">
      <c r="A38" s="156">
        <f t="shared" si="0"/>
        <v>35</v>
      </c>
      <c r="B38" s="154" t="s">
        <v>284</v>
      </c>
      <c r="C38" s="154" t="s">
        <v>285</v>
      </c>
      <c r="D38" s="154" t="s">
        <v>133</v>
      </c>
      <c r="E38" s="149"/>
      <c r="F38" s="158"/>
      <c r="G38" s="149"/>
      <c r="H38" s="149"/>
      <c r="I38" s="179" t="s">
        <v>286</v>
      </c>
      <c r="J38" s="271" t="s">
        <v>112</v>
      </c>
      <c r="K38" s="280" t="s">
        <v>124</v>
      </c>
      <c r="L38" s="280" t="s">
        <v>124</v>
      </c>
      <c r="M38" s="388" t="s">
        <v>279</v>
      </c>
    </row>
    <row r="39" spans="1:13" ht="40.5">
      <c r="A39" s="156">
        <f t="shared" si="0"/>
        <v>36</v>
      </c>
      <c r="B39" s="154" t="s">
        <v>287</v>
      </c>
      <c r="C39" s="154" t="s">
        <v>288</v>
      </c>
      <c r="D39" s="154" t="s">
        <v>133</v>
      </c>
      <c r="E39" s="149"/>
      <c r="F39" s="158"/>
      <c r="G39" s="149"/>
      <c r="H39" s="149"/>
      <c r="I39" s="179" t="s">
        <v>289</v>
      </c>
      <c r="J39" s="271" t="s">
        <v>112</v>
      </c>
      <c r="K39" s="280" t="s">
        <v>124</v>
      </c>
      <c r="L39" s="280" t="s">
        <v>124</v>
      </c>
      <c r="M39" s="388" t="s">
        <v>279</v>
      </c>
    </row>
    <row r="40" spans="1:13" ht="14.25" thickBot="1">
      <c r="A40" s="163">
        <f t="shared" si="0"/>
        <v>37</v>
      </c>
      <c r="B40" s="210" t="s">
        <v>290</v>
      </c>
      <c r="C40" s="210" t="s">
        <v>291</v>
      </c>
      <c r="D40" s="164" t="s">
        <v>292</v>
      </c>
      <c r="E40" s="164">
        <v>7</v>
      </c>
      <c r="F40" s="165"/>
      <c r="G40" s="164"/>
      <c r="H40" s="164"/>
      <c r="I40" s="211" t="s">
        <v>293</v>
      </c>
      <c r="J40" s="284" t="s">
        <v>62</v>
      </c>
      <c r="K40" s="164" t="s">
        <v>293</v>
      </c>
      <c r="L40" s="164" t="s">
        <v>210</v>
      </c>
      <c r="M40" s="277"/>
    </row>
  </sheetData>
  <phoneticPr fontId="4"/>
  <pageMargins left="0.19685039370078741" right="0.19685039370078741" top="0.23622047244094491" bottom="0.19685039370078741" header="0.19685039370078741" footer="0.11811023622047245"/>
  <pageSetup paperSize="9" scale="44" fitToHeight="0" orientation="landscape" r:id="rId1"/>
  <headerFooter alignWithMargins="0">
    <oddFooter>&amp;C&amp;"Times New Roman,標準"&amp;10&amp;P/&amp;N&amp;R&amp;"Times New Roman,標準"&amp;9Copyright(C) 2017-2018 VINX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499984740745262"/>
    <pageSetUpPr fitToPage="1"/>
  </sheetPr>
  <dimension ref="A1:M12"/>
  <sheetViews>
    <sheetView zoomScale="85" zoomScaleNormal="85" workbookViewId="0">
      <selection activeCell="I42" sqref="I42"/>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2.875" style="1" bestFit="1" customWidth="1"/>
    <col min="10" max="10" width="10.875" style="1" bestFit="1" customWidth="1"/>
    <col min="11" max="12" width="20.625" style="1" bestFit="1" customWidth="1"/>
    <col min="13" max="13" width="25" style="1" customWidth="1"/>
    <col min="14" max="16384" width="9" style="1"/>
  </cols>
  <sheetData>
    <row r="1" spans="1:13">
      <c r="A1" s="1" t="s">
        <v>294</v>
      </c>
    </row>
    <row r="2" spans="1:13" ht="14.25" thickBot="1"/>
    <row r="3" spans="1:13" ht="48" customHeight="1" thickBot="1">
      <c r="A3" s="2" t="s">
        <v>47</v>
      </c>
      <c r="B3" s="3" t="s">
        <v>48</v>
      </c>
      <c r="C3" s="3" t="s">
        <v>49</v>
      </c>
      <c r="D3" s="3" t="s">
        <v>50</v>
      </c>
      <c r="E3" s="3" t="s">
        <v>51</v>
      </c>
      <c r="F3" s="3" t="s">
        <v>52</v>
      </c>
      <c r="G3" s="4" t="s">
        <v>53</v>
      </c>
      <c r="H3" s="5" t="s">
        <v>54</v>
      </c>
      <c r="I3" s="6" t="s">
        <v>55</v>
      </c>
      <c r="J3" s="267" t="s">
        <v>56</v>
      </c>
      <c r="K3" s="311" t="s">
        <v>295</v>
      </c>
      <c r="L3" s="311" t="s">
        <v>295</v>
      </c>
      <c r="M3" s="342" t="s">
        <v>295</v>
      </c>
    </row>
    <row r="4" spans="1:13" ht="27">
      <c r="A4" s="178">
        <v>1</v>
      </c>
      <c r="B4" s="172" t="s">
        <v>296</v>
      </c>
      <c r="C4" s="172" t="s">
        <v>58</v>
      </c>
      <c r="D4" s="172" t="s">
        <v>106</v>
      </c>
      <c r="E4" s="172">
        <v>1</v>
      </c>
      <c r="F4" s="173" t="s">
        <v>60</v>
      </c>
      <c r="G4" s="172"/>
      <c r="H4" s="172">
        <v>1</v>
      </c>
      <c r="I4" s="179" t="s">
        <v>297</v>
      </c>
      <c r="J4" s="271" t="s">
        <v>112</v>
      </c>
      <c r="K4" s="288" t="s">
        <v>298</v>
      </c>
      <c r="L4" s="288" t="s">
        <v>299</v>
      </c>
      <c r="M4" s="289"/>
    </row>
    <row r="5" spans="1:13">
      <c r="A5" s="169">
        <v>2</v>
      </c>
      <c r="B5" s="170" t="s">
        <v>300</v>
      </c>
      <c r="C5" s="170" t="s">
        <v>65</v>
      </c>
      <c r="D5" s="170" t="s">
        <v>106</v>
      </c>
      <c r="E5" s="170">
        <v>10</v>
      </c>
      <c r="F5" s="171" t="s">
        <v>60</v>
      </c>
      <c r="G5" s="170"/>
      <c r="H5" s="170">
        <v>2</v>
      </c>
      <c r="I5" s="155" t="s">
        <v>66</v>
      </c>
      <c r="J5" s="271" t="s">
        <v>112</v>
      </c>
      <c r="K5" s="268" t="s">
        <v>301</v>
      </c>
      <c r="L5" s="268" t="s">
        <v>301</v>
      </c>
      <c r="M5" s="290"/>
    </row>
    <row r="6" spans="1:13">
      <c r="A6" s="169">
        <v>3</v>
      </c>
      <c r="B6" s="170" t="s">
        <v>302</v>
      </c>
      <c r="C6" s="170" t="s">
        <v>71</v>
      </c>
      <c r="D6" s="170" t="s">
        <v>106</v>
      </c>
      <c r="E6" s="170">
        <v>10</v>
      </c>
      <c r="F6" s="171" t="s">
        <v>60</v>
      </c>
      <c r="G6" s="170"/>
      <c r="H6" s="170">
        <v>3</v>
      </c>
      <c r="I6" s="155" t="s">
        <v>178</v>
      </c>
      <c r="J6" s="271" t="s">
        <v>112</v>
      </c>
      <c r="K6" s="268" t="s">
        <v>298</v>
      </c>
      <c r="L6" s="268" t="s">
        <v>298</v>
      </c>
      <c r="M6" s="290"/>
    </row>
    <row r="7" spans="1:13">
      <c r="A7" s="109">
        <v>4</v>
      </c>
      <c r="B7" s="110" t="s">
        <v>303</v>
      </c>
      <c r="C7" s="110" t="s">
        <v>304</v>
      </c>
      <c r="D7" s="110" t="s">
        <v>106</v>
      </c>
      <c r="E7" s="110">
        <v>10</v>
      </c>
      <c r="F7" s="111" t="s">
        <v>60</v>
      </c>
      <c r="G7" s="110"/>
      <c r="H7" s="110">
        <v>4</v>
      </c>
      <c r="I7" s="112"/>
      <c r="J7" s="271" t="s">
        <v>112</v>
      </c>
      <c r="K7" s="291" t="s">
        <v>299</v>
      </c>
      <c r="L7" s="291" t="s">
        <v>299</v>
      </c>
      <c r="M7" s="292"/>
    </row>
    <row r="8" spans="1:13">
      <c r="A8" s="109">
        <v>5</v>
      </c>
      <c r="B8" s="110" t="s">
        <v>49</v>
      </c>
      <c r="C8" s="110" t="s">
        <v>305</v>
      </c>
      <c r="D8" s="110" t="s">
        <v>106</v>
      </c>
      <c r="E8" s="110">
        <v>50</v>
      </c>
      <c r="F8" s="111" t="s">
        <v>60</v>
      </c>
      <c r="G8" s="110"/>
      <c r="H8" s="110"/>
      <c r="I8" s="113"/>
      <c r="J8" s="271" t="s">
        <v>112</v>
      </c>
      <c r="K8" s="291" t="s">
        <v>299</v>
      </c>
      <c r="L8" s="291" t="s">
        <v>299</v>
      </c>
      <c r="M8" s="292"/>
    </row>
    <row r="9" spans="1:13" ht="27">
      <c r="A9" s="109">
        <v>6</v>
      </c>
      <c r="B9" s="110" t="s">
        <v>306</v>
      </c>
      <c r="C9" s="110" t="s">
        <v>307</v>
      </c>
      <c r="D9" s="110" t="s">
        <v>106</v>
      </c>
      <c r="E9" s="110">
        <v>1</v>
      </c>
      <c r="F9" s="111" t="s">
        <v>60</v>
      </c>
      <c r="G9" s="110"/>
      <c r="H9" s="110"/>
      <c r="I9" s="112" t="s">
        <v>308</v>
      </c>
      <c r="J9" s="271" t="s">
        <v>112</v>
      </c>
      <c r="K9" s="291" t="s">
        <v>299</v>
      </c>
      <c r="L9" s="291" t="s">
        <v>299</v>
      </c>
      <c r="M9" s="292"/>
    </row>
    <row r="10" spans="1:13" ht="27">
      <c r="A10" s="109">
        <v>7</v>
      </c>
      <c r="B10" s="110" t="s">
        <v>309</v>
      </c>
      <c r="C10" s="110" t="s">
        <v>310</v>
      </c>
      <c r="D10" s="110" t="s">
        <v>311</v>
      </c>
      <c r="E10" s="110">
        <v>7</v>
      </c>
      <c r="F10" s="111" t="s">
        <v>60</v>
      </c>
      <c r="G10" s="110"/>
      <c r="H10" s="110"/>
      <c r="I10" s="105" t="s">
        <v>312</v>
      </c>
      <c r="J10" s="271" t="s">
        <v>112</v>
      </c>
      <c r="K10" s="291" t="s">
        <v>299</v>
      </c>
      <c r="L10" s="291" t="s">
        <v>299</v>
      </c>
      <c r="M10" s="292"/>
    </row>
    <row r="11" spans="1:13" ht="27">
      <c r="A11" s="109">
        <v>8</v>
      </c>
      <c r="B11" s="110" t="s">
        <v>313</v>
      </c>
      <c r="C11" s="110" t="s">
        <v>314</v>
      </c>
      <c r="D11" s="110" t="s">
        <v>311</v>
      </c>
      <c r="E11" s="110">
        <v>7</v>
      </c>
      <c r="F11" s="111" t="s">
        <v>60</v>
      </c>
      <c r="G11" s="110"/>
      <c r="H11" s="110"/>
      <c r="I11" s="105" t="s">
        <v>312</v>
      </c>
      <c r="J11" s="271" t="s">
        <v>112</v>
      </c>
      <c r="K11" s="291" t="s">
        <v>299</v>
      </c>
      <c r="L11" s="291" t="s">
        <v>299</v>
      </c>
      <c r="M11" s="292"/>
    </row>
    <row r="12" spans="1:13" ht="14.25" thickBot="1">
      <c r="A12" s="106">
        <v>9</v>
      </c>
      <c r="B12" s="107" t="s">
        <v>315</v>
      </c>
      <c r="C12" s="107" t="s">
        <v>291</v>
      </c>
      <c r="D12" s="107" t="s">
        <v>311</v>
      </c>
      <c r="E12" s="107">
        <v>7</v>
      </c>
      <c r="F12" s="108"/>
      <c r="G12" s="107"/>
      <c r="H12" s="107"/>
      <c r="I12" s="114"/>
      <c r="J12" s="272" t="s">
        <v>112</v>
      </c>
      <c r="K12" s="293" t="s">
        <v>316</v>
      </c>
      <c r="L12" s="293" t="s">
        <v>299</v>
      </c>
      <c r="M12" s="294"/>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499984740745262"/>
    <pageSetUpPr fitToPage="1"/>
  </sheetPr>
  <dimension ref="A1:M12"/>
  <sheetViews>
    <sheetView zoomScale="70" zoomScaleNormal="70" workbookViewId="0">
      <selection activeCell="L21" sqref="L21"/>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0.875" style="1" bestFit="1" customWidth="1"/>
    <col min="11" max="13" width="40.25" style="1" customWidth="1"/>
    <col min="14" max="16384" width="9" style="1"/>
  </cols>
  <sheetData>
    <row r="1" spans="1:13">
      <c r="A1" s="1" t="s">
        <v>317</v>
      </c>
    </row>
    <row r="2" spans="1:13" ht="14.25" thickBot="1"/>
    <row r="3" spans="1:13" ht="48" customHeight="1" thickBot="1">
      <c r="A3" s="2" t="s">
        <v>47</v>
      </c>
      <c r="B3" s="3" t="s">
        <v>48</v>
      </c>
      <c r="C3" s="3" t="s">
        <v>49</v>
      </c>
      <c r="D3" s="3" t="s">
        <v>50</v>
      </c>
      <c r="E3" s="3" t="s">
        <v>51</v>
      </c>
      <c r="F3" s="3" t="s">
        <v>52</v>
      </c>
      <c r="G3" s="4" t="s">
        <v>53</v>
      </c>
      <c r="H3" s="5" t="s">
        <v>54</v>
      </c>
      <c r="I3" s="6" t="s">
        <v>55</v>
      </c>
      <c r="J3" s="295" t="s">
        <v>56</v>
      </c>
      <c r="K3" s="266" t="s">
        <v>6</v>
      </c>
      <c r="L3" s="311" t="s">
        <v>318</v>
      </c>
      <c r="M3" s="342" t="s">
        <v>319</v>
      </c>
    </row>
    <row r="4" spans="1:13" ht="27">
      <c r="A4" s="157">
        <v>1</v>
      </c>
      <c r="B4" s="149" t="s">
        <v>296</v>
      </c>
      <c r="C4" s="149" t="s">
        <v>58</v>
      </c>
      <c r="D4" s="149" t="s">
        <v>106</v>
      </c>
      <c r="E4" s="149">
        <v>1</v>
      </c>
      <c r="F4" s="158" t="s">
        <v>60</v>
      </c>
      <c r="G4" s="149"/>
      <c r="H4" s="149">
        <v>1</v>
      </c>
      <c r="I4" s="179" t="s">
        <v>320</v>
      </c>
      <c r="J4" s="301" t="s">
        <v>62</v>
      </c>
      <c r="K4" s="302" t="s">
        <v>63</v>
      </c>
      <c r="L4" s="303"/>
      <c r="M4" s="381"/>
    </row>
    <row r="5" spans="1:13">
      <c r="A5" s="156">
        <v>2</v>
      </c>
      <c r="B5" s="154" t="s">
        <v>300</v>
      </c>
      <c r="C5" s="154" t="s">
        <v>65</v>
      </c>
      <c r="D5" s="154" t="s">
        <v>106</v>
      </c>
      <c r="E5" s="154">
        <v>10</v>
      </c>
      <c r="F5" s="153" t="s">
        <v>60</v>
      </c>
      <c r="G5" s="154"/>
      <c r="H5" s="154">
        <v>2</v>
      </c>
      <c r="I5" s="166" t="s">
        <v>66</v>
      </c>
      <c r="J5" s="296" t="s">
        <v>62</v>
      </c>
      <c r="K5" s="166" t="s">
        <v>67</v>
      </c>
      <c r="L5" s="291"/>
      <c r="M5" s="382"/>
    </row>
    <row r="6" spans="1:13">
      <c r="A6" s="156">
        <v>3</v>
      </c>
      <c r="B6" s="154" t="s">
        <v>302</v>
      </c>
      <c r="C6" s="154" t="s">
        <v>71</v>
      </c>
      <c r="D6" s="154" t="s">
        <v>106</v>
      </c>
      <c r="E6" s="154">
        <v>10</v>
      </c>
      <c r="F6" s="153" t="s">
        <v>60</v>
      </c>
      <c r="G6" s="154"/>
      <c r="H6" s="154">
        <v>3</v>
      </c>
      <c r="I6" s="179" t="s">
        <v>178</v>
      </c>
      <c r="J6" s="297" t="s">
        <v>62</v>
      </c>
      <c r="K6" s="263" t="s">
        <v>63</v>
      </c>
      <c r="L6" s="291"/>
      <c r="M6" s="382"/>
    </row>
    <row r="7" spans="1:13">
      <c r="A7" s="156">
        <v>4</v>
      </c>
      <c r="B7" s="148" t="s">
        <v>321</v>
      </c>
      <c r="C7" s="148" t="s">
        <v>322</v>
      </c>
      <c r="D7" s="148" t="s">
        <v>106</v>
      </c>
      <c r="E7" s="154">
        <v>10</v>
      </c>
      <c r="F7" s="153" t="s">
        <v>60</v>
      </c>
      <c r="G7" s="149"/>
      <c r="H7" s="149">
        <v>4</v>
      </c>
      <c r="I7" s="179"/>
      <c r="J7" s="297" t="s">
        <v>62</v>
      </c>
      <c r="K7" s="263" t="s">
        <v>63</v>
      </c>
      <c r="L7" s="291"/>
      <c r="M7" s="382"/>
    </row>
    <row r="8" spans="1:13" ht="104.25" customHeight="1">
      <c r="A8" s="156">
        <v>5</v>
      </c>
      <c r="B8" s="149" t="s">
        <v>303</v>
      </c>
      <c r="C8" s="149" t="s">
        <v>323</v>
      </c>
      <c r="D8" s="149" t="s">
        <v>106</v>
      </c>
      <c r="E8" s="154">
        <v>10</v>
      </c>
      <c r="F8" s="153" t="s">
        <v>60</v>
      </c>
      <c r="G8" s="149"/>
      <c r="H8" s="149">
        <v>5</v>
      </c>
      <c r="I8" s="179"/>
      <c r="J8" s="297" t="s">
        <v>62</v>
      </c>
      <c r="K8" s="263" t="s">
        <v>63</v>
      </c>
      <c r="L8" s="291"/>
      <c r="M8" s="382"/>
    </row>
    <row r="9" spans="1:13">
      <c r="A9" s="156">
        <v>6</v>
      </c>
      <c r="B9" s="149" t="s">
        <v>324</v>
      </c>
      <c r="C9" s="150" t="s">
        <v>325</v>
      </c>
      <c r="D9" s="149" t="s">
        <v>106</v>
      </c>
      <c r="E9" s="149">
        <v>26</v>
      </c>
      <c r="F9" s="158" t="s">
        <v>60</v>
      </c>
      <c r="G9" s="149"/>
      <c r="H9" s="149">
        <v>6</v>
      </c>
      <c r="I9" s="179" t="s">
        <v>326</v>
      </c>
      <c r="J9" s="297" t="s">
        <v>62</v>
      </c>
      <c r="K9" s="263" t="s">
        <v>63</v>
      </c>
      <c r="L9" s="291"/>
      <c r="M9" s="382"/>
    </row>
    <row r="10" spans="1:13">
      <c r="A10" s="156">
        <v>7</v>
      </c>
      <c r="B10" s="154" t="s">
        <v>327</v>
      </c>
      <c r="C10" s="154" t="s">
        <v>328</v>
      </c>
      <c r="D10" s="154" t="s">
        <v>216</v>
      </c>
      <c r="E10" s="154"/>
      <c r="F10" s="153" t="s">
        <v>60</v>
      </c>
      <c r="G10" s="154"/>
      <c r="H10" s="154"/>
      <c r="I10" s="166" t="s">
        <v>329</v>
      </c>
      <c r="J10" s="297" t="s">
        <v>62</v>
      </c>
      <c r="K10" s="263" t="s">
        <v>63</v>
      </c>
      <c r="L10" s="291"/>
      <c r="M10" s="382"/>
    </row>
    <row r="11" spans="1:13" ht="54">
      <c r="A11" s="157">
        <v>8</v>
      </c>
      <c r="B11" s="154" t="s">
        <v>309</v>
      </c>
      <c r="C11" s="154" t="s">
        <v>310</v>
      </c>
      <c r="D11" s="154" t="s">
        <v>311</v>
      </c>
      <c r="E11" s="154">
        <v>7</v>
      </c>
      <c r="F11" s="153" t="s">
        <v>60</v>
      </c>
      <c r="G11" s="154"/>
      <c r="H11" s="151">
        <v>5</v>
      </c>
      <c r="I11" s="166" t="s">
        <v>330</v>
      </c>
      <c r="J11" s="297" t="s">
        <v>62</v>
      </c>
      <c r="K11" s="263" t="s">
        <v>63</v>
      </c>
      <c r="L11" s="291"/>
      <c r="M11" s="382"/>
    </row>
    <row r="12" spans="1:13" ht="54.75" thickBot="1">
      <c r="A12" s="163">
        <v>9</v>
      </c>
      <c r="B12" s="164" t="s">
        <v>313</v>
      </c>
      <c r="C12" s="164" t="s">
        <v>314</v>
      </c>
      <c r="D12" s="164" t="s">
        <v>311</v>
      </c>
      <c r="E12" s="164">
        <v>7</v>
      </c>
      <c r="F12" s="165" t="s">
        <v>60</v>
      </c>
      <c r="G12" s="164"/>
      <c r="H12" s="152">
        <v>6</v>
      </c>
      <c r="I12" s="147" t="s">
        <v>331</v>
      </c>
      <c r="J12" s="299" t="s">
        <v>62</v>
      </c>
      <c r="K12" s="300" t="s">
        <v>63</v>
      </c>
      <c r="L12" s="293"/>
      <c r="M12" s="383"/>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499984740745262"/>
    <pageSetUpPr fitToPage="1"/>
  </sheetPr>
  <dimension ref="A1:M26"/>
  <sheetViews>
    <sheetView topLeftCell="A4" zoomScale="70" zoomScaleNormal="70" workbookViewId="0">
      <selection activeCell="N20" sqref="N20"/>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0.875" style="1" bestFit="1" customWidth="1"/>
    <col min="11" max="12" width="27.375" style="1" customWidth="1"/>
    <col min="13" max="13" width="49.75" style="1" customWidth="1"/>
    <col min="14" max="16384" width="9" style="1"/>
  </cols>
  <sheetData>
    <row r="1" spans="1:13">
      <c r="A1" s="1" t="s">
        <v>332</v>
      </c>
    </row>
    <row r="2" spans="1:13" ht="14.25" thickBot="1"/>
    <row r="3" spans="1:13" ht="51.75" customHeight="1" thickBot="1">
      <c r="A3" s="2" t="s">
        <v>47</v>
      </c>
      <c r="B3" s="3" t="s">
        <v>48</v>
      </c>
      <c r="C3" s="3" t="s">
        <v>49</v>
      </c>
      <c r="D3" s="3" t="s">
        <v>50</v>
      </c>
      <c r="E3" s="3" t="s">
        <v>51</v>
      </c>
      <c r="F3" s="3" t="s">
        <v>52</v>
      </c>
      <c r="G3" s="4" t="s">
        <v>53</v>
      </c>
      <c r="H3" s="5" t="s">
        <v>54</v>
      </c>
      <c r="I3" s="6" t="s">
        <v>55</v>
      </c>
      <c r="J3" s="372" t="s">
        <v>56</v>
      </c>
      <c r="K3" s="266" t="s">
        <v>6</v>
      </c>
      <c r="L3" s="311" t="s">
        <v>333</v>
      </c>
      <c r="M3" s="286" t="s">
        <v>8</v>
      </c>
    </row>
    <row r="4" spans="1:13" ht="27">
      <c r="A4" s="157">
        <v>1</v>
      </c>
      <c r="B4" s="149" t="s">
        <v>296</v>
      </c>
      <c r="C4" s="149" t="s">
        <v>58</v>
      </c>
      <c r="D4" s="149" t="s">
        <v>106</v>
      </c>
      <c r="E4" s="149">
        <v>1</v>
      </c>
      <c r="F4" s="158" t="s">
        <v>60</v>
      </c>
      <c r="G4" s="149"/>
      <c r="H4" s="149">
        <v>1</v>
      </c>
      <c r="I4" s="179" t="s">
        <v>320</v>
      </c>
      <c r="J4" s="373" t="s">
        <v>62</v>
      </c>
      <c r="K4" s="302" t="s">
        <v>63</v>
      </c>
      <c r="L4" s="303"/>
      <c r="M4" s="304" t="s">
        <v>63</v>
      </c>
    </row>
    <row r="5" spans="1:13">
      <c r="A5" s="156">
        <v>2</v>
      </c>
      <c r="B5" s="154" t="s">
        <v>300</v>
      </c>
      <c r="C5" s="154" t="s">
        <v>65</v>
      </c>
      <c r="D5" s="154" t="s">
        <v>106</v>
      </c>
      <c r="E5" s="154">
        <v>10</v>
      </c>
      <c r="F5" s="153" t="s">
        <v>60</v>
      </c>
      <c r="G5" s="154"/>
      <c r="H5" s="154">
        <v>2</v>
      </c>
      <c r="I5" s="155" t="s">
        <v>66</v>
      </c>
      <c r="J5" s="374" t="s">
        <v>62</v>
      </c>
      <c r="K5" s="166" t="s">
        <v>67</v>
      </c>
      <c r="L5" s="291"/>
      <c r="M5" s="167" t="s">
        <v>69</v>
      </c>
    </row>
    <row r="6" spans="1:13">
      <c r="A6" s="156">
        <v>3</v>
      </c>
      <c r="B6" s="154" t="s">
        <v>302</v>
      </c>
      <c r="C6" s="154" t="s">
        <v>71</v>
      </c>
      <c r="D6" s="154" t="s">
        <v>106</v>
      </c>
      <c r="E6" s="154">
        <v>10</v>
      </c>
      <c r="F6" s="153" t="s">
        <v>60</v>
      </c>
      <c r="G6" s="154"/>
      <c r="H6" s="154">
        <v>3</v>
      </c>
      <c r="I6" s="166" t="s">
        <v>178</v>
      </c>
      <c r="J6" s="375" t="s">
        <v>62</v>
      </c>
      <c r="K6" s="263" t="s">
        <v>63</v>
      </c>
      <c r="L6" s="291"/>
      <c r="M6" s="377" t="s">
        <v>334</v>
      </c>
    </row>
    <row r="7" spans="1:13" ht="27">
      <c r="A7" s="156">
        <v>4</v>
      </c>
      <c r="B7" s="154" t="s">
        <v>321</v>
      </c>
      <c r="C7" s="154" t="s">
        <v>335</v>
      </c>
      <c r="D7" s="154" t="s">
        <v>106</v>
      </c>
      <c r="E7" s="154">
        <v>10</v>
      </c>
      <c r="F7" s="153" t="s">
        <v>60</v>
      </c>
      <c r="G7" s="154"/>
      <c r="H7" s="154">
        <v>4</v>
      </c>
      <c r="I7" s="159" t="s">
        <v>336</v>
      </c>
      <c r="J7" s="375" t="s">
        <v>62</v>
      </c>
      <c r="K7" s="263" t="s">
        <v>63</v>
      </c>
      <c r="L7" s="291"/>
      <c r="M7" s="378" t="s">
        <v>337</v>
      </c>
    </row>
    <row r="8" spans="1:13">
      <c r="A8" s="157">
        <v>5</v>
      </c>
      <c r="B8" s="149" t="s">
        <v>303</v>
      </c>
      <c r="C8" s="149" t="s">
        <v>338</v>
      </c>
      <c r="D8" s="149" t="s">
        <v>106</v>
      </c>
      <c r="E8" s="149">
        <v>10</v>
      </c>
      <c r="F8" s="158" t="s">
        <v>60</v>
      </c>
      <c r="G8" s="149"/>
      <c r="H8" s="149"/>
      <c r="I8" s="179" t="s">
        <v>339</v>
      </c>
      <c r="J8" s="375" t="s">
        <v>62</v>
      </c>
      <c r="K8" s="263" t="s">
        <v>63</v>
      </c>
      <c r="L8" s="291"/>
      <c r="M8" s="167" t="s">
        <v>340</v>
      </c>
    </row>
    <row r="9" spans="1:13" ht="40.5">
      <c r="A9" s="160">
        <v>6</v>
      </c>
      <c r="B9" s="149" t="s">
        <v>341</v>
      </c>
      <c r="C9" s="149" t="s">
        <v>342</v>
      </c>
      <c r="D9" s="154" t="s">
        <v>106</v>
      </c>
      <c r="E9" s="149">
        <v>2</v>
      </c>
      <c r="F9" s="158" t="s">
        <v>60</v>
      </c>
      <c r="G9" s="149"/>
      <c r="H9" s="149">
        <v>5</v>
      </c>
      <c r="I9" s="179" t="s">
        <v>343</v>
      </c>
      <c r="J9" s="375" t="s">
        <v>62</v>
      </c>
      <c r="K9" s="263" t="s">
        <v>63</v>
      </c>
      <c r="L9" s="291"/>
      <c r="M9" s="167" t="s">
        <v>344</v>
      </c>
    </row>
    <row r="10" spans="1:13">
      <c r="A10" s="156">
        <v>7</v>
      </c>
      <c r="B10" s="154" t="s">
        <v>324</v>
      </c>
      <c r="C10" s="180" t="s">
        <v>325</v>
      </c>
      <c r="D10" s="154" t="s">
        <v>106</v>
      </c>
      <c r="E10" s="154">
        <v>26</v>
      </c>
      <c r="F10" s="153" t="s">
        <v>60</v>
      </c>
      <c r="G10" s="154"/>
      <c r="H10" s="154">
        <v>6</v>
      </c>
      <c r="I10" s="166" t="s">
        <v>326</v>
      </c>
      <c r="J10" s="375" t="s">
        <v>62</v>
      </c>
      <c r="K10" s="263" t="s">
        <v>63</v>
      </c>
      <c r="L10" s="291"/>
      <c r="M10" s="378" t="s">
        <v>345</v>
      </c>
    </row>
    <row r="11" spans="1:13" ht="54">
      <c r="A11" s="156">
        <v>8</v>
      </c>
      <c r="B11" s="154" t="s">
        <v>346</v>
      </c>
      <c r="C11" s="154" t="s">
        <v>347</v>
      </c>
      <c r="D11" s="154" t="s">
        <v>106</v>
      </c>
      <c r="E11" s="154">
        <v>2</v>
      </c>
      <c r="F11" s="153" t="s">
        <v>60</v>
      </c>
      <c r="G11" s="154"/>
      <c r="H11" s="154"/>
      <c r="I11" s="166" t="s">
        <v>348</v>
      </c>
      <c r="J11" s="375" t="s">
        <v>62</v>
      </c>
      <c r="K11" s="263" t="s">
        <v>63</v>
      </c>
      <c r="L11" s="291"/>
      <c r="M11" s="167" t="s">
        <v>349</v>
      </c>
    </row>
    <row r="12" spans="1:13" ht="27">
      <c r="A12" s="156">
        <v>9</v>
      </c>
      <c r="B12" s="154" t="s">
        <v>350</v>
      </c>
      <c r="C12" s="154" t="s">
        <v>351</v>
      </c>
      <c r="D12" s="154" t="s">
        <v>216</v>
      </c>
      <c r="E12" s="154"/>
      <c r="F12" s="153" t="s">
        <v>60</v>
      </c>
      <c r="G12" s="154"/>
      <c r="H12" s="154"/>
      <c r="I12" s="166" t="s">
        <v>352</v>
      </c>
      <c r="J12" s="375" t="s">
        <v>62</v>
      </c>
      <c r="K12" s="263" t="s">
        <v>63</v>
      </c>
      <c r="L12" s="291"/>
      <c r="M12" s="378" t="s">
        <v>353</v>
      </c>
    </row>
    <row r="13" spans="1:13" ht="27">
      <c r="A13" s="156">
        <v>10</v>
      </c>
      <c r="B13" s="154" t="s">
        <v>354</v>
      </c>
      <c r="C13" s="154" t="s">
        <v>355</v>
      </c>
      <c r="D13" s="154" t="s">
        <v>216</v>
      </c>
      <c r="E13" s="154"/>
      <c r="F13" s="153" t="s">
        <v>60</v>
      </c>
      <c r="G13" s="154"/>
      <c r="H13" s="154"/>
      <c r="I13" s="166" t="s">
        <v>356</v>
      </c>
      <c r="J13" s="375" t="s">
        <v>62</v>
      </c>
      <c r="K13" s="263" t="s">
        <v>63</v>
      </c>
      <c r="L13" s="291"/>
      <c r="M13" s="378" t="s">
        <v>353</v>
      </c>
    </row>
    <row r="14" spans="1:13" ht="67.5">
      <c r="A14" s="156">
        <v>11</v>
      </c>
      <c r="B14" s="154" t="s">
        <v>357</v>
      </c>
      <c r="C14" s="154" t="s">
        <v>358</v>
      </c>
      <c r="D14" s="154" t="s">
        <v>216</v>
      </c>
      <c r="E14" s="154"/>
      <c r="F14" s="153"/>
      <c r="G14" s="154"/>
      <c r="H14" s="154"/>
      <c r="I14" s="155" t="s">
        <v>359</v>
      </c>
      <c r="J14" s="375" t="s">
        <v>62</v>
      </c>
      <c r="K14" s="263" t="s">
        <v>63</v>
      </c>
      <c r="L14" s="291"/>
      <c r="M14" s="366" t="s">
        <v>360</v>
      </c>
    </row>
    <row r="15" spans="1:13" ht="67.5">
      <c r="A15" s="156">
        <v>12</v>
      </c>
      <c r="B15" s="154" t="s">
        <v>361</v>
      </c>
      <c r="C15" s="154" t="s">
        <v>362</v>
      </c>
      <c r="D15" s="154" t="s">
        <v>122</v>
      </c>
      <c r="E15" s="154" t="s">
        <v>363</v>
      </c>
      <c r="F15" s="153"/>
      <c r="G15" s="154"/>
      <c r="H15" s="154"/>
      <c r="I15" s="166" t="s">
        <v>364</v>
      </c>
      <c r="J15" s="375" t="s">
        <v>62</v>
      </c>
      <c r="K15" s="263" t="s">
        <v>63</v>
      </c>
      <c r="L15" s="291"/>
      <c r="M15" s="366" t="s">
        <v>360</v>
      </c>
    </row>
    <row r="16" spans="1:13" ht="27">
      <c r="A16" s="156">
        <v>13</v>
      </c>
      <c r="B16" s="154" t="s">
        <v>365</v>
      </c>
      <c r="C16" s="154" t="s">
        <v>366</v>
      </c>
      <c r="D16" s="154" t="s">
        <v>106</v>
      </c>
      <c r="E16" s="154">
        <v>50</v>
      </c>
      <c r="F16" s="153"/>
      <c r="G16" s="154"/>
      <c r="H16" s="154"/>
      <c r="I16" s="166" t="s">
        <v>367</v>
      </c>
      <c r="J16" s="375" t="s">
        <v>62</v>
      </c>
      <c r="K16" s="263" t="s">
        <v>63</v>
      </c>
      <c r="L16" s="291"/>
      <c r="M16" s="364" t="s">
        <v>368</v>
      </c>
    </row>
    <row r="17" spans="1:13" ht="40.5">
      <c r="A17" s="156">
        <v>14</v>
      </c>
      <c r="B17" s="154" t="s">
        <v>309</v>
      </c>
      <c r="C17" s="154" t="s">
        <v>310</v>
      </c>
      <c r="D17" s="154" t="s">
        <v>311</v>
      </c>
      <c r="E17" s="154">
        <v>7</v>
      </c>
      <c r="F17" s="153" t="s">
        <v>60</v>
      </c>
      <c r="G17" s="154"/>
      <c r="H17" s="154">
        <v>7</v>
      </c>
      <c r="I17" s="166" t="s">
        <v>369</v>
      </c>
      <c r="J17" s="375" t="s">
        <v>62</v>
      </c>
      <c r="K17" s="263" t="s">
        <v>63</v>
      </c>
      <c r="L17" s="291"/>
      <c r="M17" s="364" t="s">
        <v>370</v>
      </c>
    </row>
    <row r="18" spans="1:13" ht="40.5">
      <c r="A18" s="156">
        <v>15</v>
      </c>
      <c r="B18" s="154" t="s">
        <v>313</v>
      </c>
      <c r="C18" s="154" t="s">
        <v>314</v>
      </c>
      <c r="D18" s="154" t="s">
        <v>311</v>
      </c>
      <c r="E18" s="154">
        <v>7</v>
      </c>
      <c r="F18" s="153" t="s">
        <v>60</v>
      </c>
      <c r="G18" s="154"/>
      <c r="H18" s="154">
        <v>8</v>
      </c>
      <c r="I18" s="166" t="s">
        <v>371</v>
      </c>
      <c r="J18" s="375" t="s">
        <v>62</v>
      </c>
      <c r="K18" s="263" t="s">
        <v>63</v>
      </c>
      <c r="L18" s="291"/>
      <c r="M18" s="364" t="s">
        <v>372</v>
      </c>
    </row>
    <row r="19" spans="1:13" ht="54">
      <c r="A19" s="161">
        <v>16</v>
      </c>
      <c r="B19" s="162" t="s">
        <v>373</v>
      </c>
      <c r="C19" s="162" t="s">
        <v>374</v>
      </c>
      <c r="D19" s="162" t="s">
        <v>275</v>
      </c>
      <c r="E19" s="162"/>
      <c r="F19" s="153" t="s">
        <v>60</v>
      </c>
      <c r="G19" s="162"/>
      <c r="H19" s="162"/>
      <c r="I19" s="166" t="s">
        <v>375</v>
      </c>
      <c r="J19" s="375" t="s">
        <v>62</v>
      </c>
      <c r="K19" s="263" t="s">
        <v>63</v>
      </c>
      <c r="L19" s="291"/>
      <c r="M19" s="366" t="s">
        <v>376</v>
      </c>
    </row>
    <row r="20" spans="1:13" ht="54">
      <c r="A20" s="161">
        <v>17</v>
      </c>
      <c r="B20" s="162" t="s">
        <v>377</v>
      </c>
      <c r="C20" s="162" t="s">
        <v>378</v>
      </c>
      <c r="D20" s="162" t="s">
        <v>133</v>
      </c>
      <c r="E20" s="162"/>
      <c r="F20" s="153" t="s">
        <v>60</v>
      </c>
      <c r="G20" s="162"/>
      <c r="H20" s="162"/>
      <c r="I20" s="166" t="s">
        <v>379</v>
      </c>
      <c r="J20" s="375" t="s">
        <v>62</v>
      </c>
      <c r="K20" s="263" t="s">
        <v>63</v>
      </c>
      <c r="L20" s="291"/>
      <c r="M20" s="366" t="s">
        <v>380</v>
      </c>
    </row>
    <row r="21" spans="1:13" ht="54">
      <c r="A21" s="161">
        <v>18</v>
      </c>
      <c r="B21" s="162" t="s">
        <v>381</v>
      </c>
      <c r="C21" s="162" t="s">
        <v>382</v>
      </c>
      <c r="D21" s="162" t="s">
        <v>133</v>
      </c>
      <c r="E21" s="162"/>
      <c r="F21" s="153" t="s">
        <v>60</v>
      </c>
      <c r="G21" s="162"/>
      <c r="H21" s="162"/>
      <c r="I21" s="166" t="s">
        <v>383</v>
      </c>
      <c r="J21" s="375" t="s">
        <v>62</v>
      </c>
      <c r="K21" s="263" t="s">
        <v>63</v>
      </c>
      <c r="L21" s="291"/>
      <c r="M21" s="366" t="s">
        <v>380</v>
      </c>
    </row>
    <row r="22" spans="1:13" ht="54">
      <c r="A22" s="161">
        <v>19</v>
      </c>
      <c r="B22" s="162" t="s">
        <v>384</v>
      </c>
      <c r="C22" s="162" t="s">
        <v>385</v>
      </c>
      <c r="D22" s="162" t="s">
        <v>133</v>
      </c>
      <c r="E22" s="162"/>
      <c r="F22" s="153" t="s">
        <v>60</v>
      </c>
      <c r="G22" s="162"/>
      <c r="H22" s="162"/>
      <c r="I22" s="166" t="s">
        <v>386</v>
      </c>
      <c r="J22" s="375" t="s">
        <v>62</v>
      </c>
      <c r="K22" s="263" t="s">
        <v>63</v>
      </c>
      <c r="L22" s="291"/>
      <c r="M22" s="366" t="s">
        <v>380</v>
      </c>
    </row>
    <row r="23" spans="1:13" ht="54">
      <c r="A23" s="161">
        <v>20</v>
      </c>
      <c r="B23" s="162" t="s">
        <v>387</v>
      </c>
      <c r="C23" s="162" t="s">
        <v>388</v>
      </c>
      <c r="D23" s="162" t="s">
        <v>133</v>
      </c>
      <c r="E23" s="162"/>
      <c r="F23" s="153" t="s">
        <v>60</v>
      </c>
      <c r="G23" s="162"/>
      <c r="H23" s="162"/>
      <c r="I23" s="166" t="s">
        <v>389</v>
      </c>
      <c r="J23" s="375" t="s">
        <v>62</v>
      </c>
      <c r="K23" s="263" t="s">
        <v>63</v>
      </c>
      <c r="L23" s="291"/>
      <c r="M23" s="366" t="s">
        <v>380</v>
      </c>
    </row>
    <row r="24" spans="1:13" ht="54">
      <c r="A24" s="161">
        <v>21</v>
      </c>
      <c r="B24" s="162" t="s">
        <v>390</v>
      </c>
      <c r="C24" s="162" t="s">
        <v>391</v>
      </c>
      <c r="D24" s="162" t="s">
        <v>133</v>
      </c>
      <c r="E24" s="162"/>
      <c r="F24" s="153" t="s">
        <v>60</v>
      </c>
      <c r="G24" s="162"/>
      <c r="H24" s="162"/>
      <c r="I24" s="166" t="s">
        <v>392</v>
      </c>
      <c r="J24" s="375" t="s">
        <v>62</v>
      </c>
      <c r="K24" s="263" t="s">
        <v>63</v>
      </c>
      <c r="L24" s="291"/>
      <c r="M24" s="366" t="s">
        <v>380</v>
      </c>
    </row>
    <row r="25" spans="1:13" ht="54">
      <c r="A25" s="161">
        <v>22</v>
      </c>
      <c r="B25" s="162" t="s">
        <v>393</v>
      </c>
      <c r="C25" s="162" t="s">
        <v>394</v>
      </c>
      <c r="D25" s="162" t="s">
        <v>133</v>
      </c>
      <c r="E25" s="162"/>
      <c r="F25" s="153" t="s">
        <v>60</v>
      </c>
      <c r="G25" s="162"/>
      <c r="H25" s="162"/>
      <c r="I25" s="166" t="s">
        <v>395</v>
      </c>
      <c r="J25" s="375" t="s">
        <v>62</v>
      </c>
      <c r="K25" s="263" t="s">
        <v>63</v>
      </c>
      <c r="L25" s="291"/>
      <c r="M25" s="379" t="s">
        <v>380</v>
      </c>
    </row>
    <row r="26" spans="1:13" ht="54.75" thickBot="1">
      <c r="A26" s="163">
        <v>23</v>
      </c>
      <c r="B26" s="164" t="s">
        <v>396</v>
      </c>
      <c r="C26" s="164" t="s">
        <v>397</v>
      </c>
      <c r="D26" s="164" t="s">
        <v>133</v>
      </c>
      <c r="E26" s="164"/>
      <c r="F26" s="165" t="s">
        <v>60</v>
      </c>
      <c r="G26" s="164"/>
      <c r="H26" s="164"/>
      <c r="I26" s="147" t="s">
        <v>398</v>
      </c>
      <c r="J26" s="376" t="s">
        <v>62</v>
      </c>
      <c r="K26" s="298" t="s">
        <v>63</v>
      </c>
      <c r="L26" s="293"/>
      <c r="M26" s="380" t="s">
        <v>380</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499984740745262"/>
    <pageSetUpPr fitToPage="1"/>
  </sheetPr>
  <dimension ref="A1:M36"/>
  <sheetViews>
    <sheetView zoomScaleNormal="100" workbookViewId="0">
      <selection activeCell="L19" sqref="L19"/>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4" style="1" customWidth="1"/>
    <col min="11" max="11" width="24.125" style="1" customWidth="1"/>
    <col min="12" max="12" width="30.875" style="1" customWidth="1"/>
    <col min="13" max="13" width="42.25" style="1" bestFit="1" customWidth="1"/>
    <col min="14" max="16384" width="9" style="1"/>
  </cols>
  <sheetData>
    <row r="1" spans="1:13">
      <c r="A1" s="1" t="s">
        <v>399</v>
      </c>
    </row>
    <row r="2" spans="1:13" ht="14.25" thickBot="1"/>
    <row r="3" spans="1:13" ht="51.75" customHeight="1" thickBot="1">
      <c r="A3" s="2" t="s">
        <v>47</v>
      </c>
      <c r="B3" s="3" t="s">
        <v>48</v>
      </c>
      <c r="C3" s="3" t="s">
        <v>49</v>
      </c>
      <c r="D3" s="3" t="s">
        <v>50</v>
      </c>
      <c r="E3" s="3" t="s">
        <v>51</v>
      </c>
      <c r="F3" s="3" t="s">
        <v>52</v>
      </c>
      <c r="G3" s="4" t="s">
        <v>53</v>
      </c>
      <c r="H3" s="5" t="s">
        <v>54</v>
      </c>
      <c r="I3" s="6" t="s">
        <v>55</v>
      </c>
      <c r="J3" s="267" t="s">
        <v>56</v>
      </c>
      <c r="K3" s="266" t="s">
        <v>6</v>
      </c>
      <c r="L3" s="266" t="s">
        <v>7</v>
      </c>
      <c r="M3" s="286" t="s">
        <v>8</v>
      </c>
    </row>
    <row r="4" spans="1:13" ht="27">
      <c r="A4" s="178">
        <v>1</v>
      </c>
      <c r="B4" s="172" t="s">
        <v>296</v>
      </c>
      <c r="C4" s="172" t="s">
        <v>58</v>
      </c>
      <c r="D4" s="172" t="s">
        <v>106</v>
      </c>
      <c r="E4" s="172">
        <v>1</v>
      </c>
      <c r="F4" s="173" t="s">
        <v>60</v>
      </c>
      <c r="G4" s="172"/>
      <c r="H4" s="172">
        <v>1</v>
      </c>
      <c r="I4" s="179" t="s">
        <v>320</v>
      </c>
      <c r="J4" s="270" t="s">
        <v>62</v>
      </c>
      <c r="K4" s="263" t="s">
        <v>63</v>
      </c>
      <c r="L4" s="302" t="s">
        <v>63</v>
      </c>
      <c r="M4" s="304" t="s">
        <v>63</v>
      </c>
    </row>
    <row r="5" spans="1:13">
      <c r="A5" s="169">
        <v>2</v>
      </c>
      <c r="B5" s="170" t="s">
        <v>300</v>
      </c>
      <c r="C5" s="170" t="s">
        <v>65</v>
      </c>
      <c r="D5" s="170" t="s">
        <v>106</v>
      </c>
      <c r="E5" s="170">
        <v>10</v>
      </c>
      <c r="F5" s="171" t="s">
        <v>60</v>
      </c>
      <c r="G5" s="170"/>
      <c r="H5" s="170">
        <v>2</v>
      </c>
      <c r="I5" s="155" t="s">
        <v>66</v>
      </c>
      <c r="J5" s="264" t="s">
        <v>62</v>
      </c>
      <c r="K5" s="166" t="s">
        <v>67</v>
      </c>
      <c r="L5" s="155" t="s">
        <v>400</v>
      </c>
      <c r="M5" s="363" t="s">
        <v>401</v>
      </c>
    </row>
    <row r="6" spans="1:13" ht="27">
      <c r="A6" s="169">
        <v>3</v>
      </c>
      <c r="B6" s="170" t="s">
        <v>302</v>
      </c>
      <c r="C6" s="170" t="s">
        <v>71</v>
      </c>
      <c r="D6" s="170" t="s">
        <v>106</v>
      </c>
      <c r="E6" s="170">
        <v>10</v>
      </c>
      <c r="F6" s="171" t="s">
        <v>60</v>
      </c>
      <c r="G6" s="170"/>
      <c r="H6" s="170">
        <v>3</v>
      </c>
      <c r="I6" s="174" t="s">
        <v>178</v>
      </c>
      <c r="J6" s="270" t="s">
        <v>62</v>
      </c>
      <c r="K6" s="263" t="s">
        <v>63</v>
      </c>
      <c r="L6" s="263" t="s">
        <v>63</v>
      </c>
      <c r="M6" s="364" t="s">
        <v>402</v>
      </c>
    </row>
    <row r="7" spans="1:13" ht="27">
      <c r="A7" s="178">
        <v>4</v>
      </c>
      <c r="B7" s="172" t="s">
        <v>403</v>
      </c>
      <c r="C7" s="172" t="s">
        <v>404</v>
      </c>
      <c r="D7" s="172" t="s">
        <v>106</v>
      </c>
      <c r="E7" s="172">
        <v>10</v>
      </c>
      <c r="F7" s="173" t="s">
        <v>60</v>
      </c>
      <c r="G7" s="172"/>
      <c r="H7" s="172">
        <v>4</v>
      </c>
      <c r="I7" s="174" t="s">
        <v>405</v>
      </c>
      <c r="J7" s="264" t="s">
        <v>62</v>
      </c>
      <c r="K7" s="170"/>
      <c r="L7" s="168" t="s">
        <v>406</v>
      </c>
      <c r="M7" s="364" t="s">
        <v>407</v>
      </c>
    </row>
    <row r="8" spans="1:13">
      <c r="A8" s="169">
        <v>5</v>
      </c>
      <c r="B8" s="170" t="s">
        <v>49</v>
      </c>
      <c r="C8" s="170" t="s">
        <v>408</v>
      </c>
      <c r="D8" s="170" t="s">
        <v>106</v>
      </c>
      <c r="E8" s="170">
        <v>50</v>
      </c>
      <c r="F8" s="171"/>
      <c r="G8" s="170"/>
      <c r="H8" s="170"/>
      <c r="I8" s="168" t="s">
        <v>409</v>
      </c>
      <c r="J8" s="355" t="s">
        <v>112</v>
      </c>
      <c r="K8" s="356" t="s">
        <v>63</v>
      </c>
      <c r="L8" s="356" t="s">
        <v>63</v>
      </c>
      <c r="M8" s="365" t="s">
        <v>410</v>
      </c>
    </row>
    <row r="9" spans="1:13">
      <c r="A9" s="169">
        <v>6</v>
      </c>
      <c r="B9" s="170" t="s">
        <v>303</v>
      </c>
      <c r="C9" s="170" t="s">
        <v>323</v>
      </c>
      <c r="D9" s="170" t="s">
        <v>106</v>
      </c>
      <c r="E9" s="170">
        <v>10</v>
      </c>
      <c r="F9" s="171" t="s">
        <v>60</v>
      </c>
      <c r="G9" s="170"/>
      <c r="H9" s="170"/>
      <c r="I9" s="155" t="s">
        <v>411</v>
      </c>
      <c r="J9" s="270" t="s">
        <v>62</v>
      </c>
      <c r="K9" s="263" t="s">
        <v>63</v>
      </c>
      <c r="L9" s="263" t="s">
        <v>63</v>
      </c>
      <c r="M9" s="366" t="s">
        <v>412</v>
      </c>
    </row>
    <row r="10" spans="1:13" ht="40.5">
      <c r="A10" s="169">
        <v>7</v>
      </c>
      <c r="B10" s="170" t="s">
        <v>413</v>
      </c>
      <c r="C10" s="170" t="s">
        <v>414</v>
      </c>
      <c r="D10" s="170" t="s">
        <v>106</v>
      </c>
      <c r="E10" s="170">
        <v>2</v>
      </c>
      <c r="F10" s="171" t="s">
        <v>60</v>
      </c>
      <c r="G10" s="170"/>
      <c r="H10" s="170"/>
      <c r="I10" s="166" t="s">
        <v>415</v>
      </c>
      <c r="J10" s="264" t="s">
        <v>62</v>
      </c>
      <c r="K10" s="170" t="s">
        <v>416</v>
      </c>
      <c r="L10" s="168" t="s">
        <v>416</v>
      </c>
      <c r="M10" s="366" t="s">
        <v>417</v>
      </c>
    </row>
    <row r="11" spans="1:13" ht="51.75" customHeight="1">
      <c r="A11" s="169">
        <v>8</v>
      </c>
      <c r="B11" s="170" t="s">
        <v>309</v>
      </c>
      <c r="C11" s="170" t="s">
        <v>310</v>
      </c>
      <c r="D11" s="170" t="s">
        <v>311</v>
      </c>
      <c r="E11" s="170">
        <v>7</v>
      </c>
      <c r="F11" s="171" t="s">
        <v>60</v>
      </c>
      <c r="G11" s="170"/>
      <c r="H11" s="170"/>
      <c r="I11" s="166" t="s">
        <v>418</v>
      </c>
      <c r="J11" s="270" t="s">
        <v>62</v>
      </c>
      <c r="K11" s="263" t="s">
        <v>63</v>
      </c>
      <c r="L11" s="263" t="s">
        <v>63</v>
      </c>
      <c r="M11" s="364" t="s">
        <v>419</v>
      </c>
    </row>
    <row r="12" spans="1:13" ht="40.5">
      <c r="A12" s="169">
        <v>9</v>
      </c>
      <c r="B12" s="170" t="s">
        <v>313</v>
      </c>
      <c r="C12" s="170" t="s">
        <v>314</v>
      </c>
      <c r="D12" s="170" t="s">
        <v>311</v>
      </c>
      <c r="E12" s="170">
        <v>7</v>
      </c>
      <c r="F12" s="171" t="s">
        <v>60</v>
      </c>
      <c r="G12" s="170"/>
      <c r="H12" s="170"/>
      <c r="I12" s="166" t="s">
        <v>420</v>
      </c>
      <c r="J12" s="270" t="s">
        <v>62</v>
      </c>
      <c r="K12" s="263" t="s">
        <v>63</v>
      </c>
      <c r="L12" s="263" t="s">
        <v>63</v>
      </c>
      <c r="M12" s="364" t="s">
        <v>421</v>
      </c>
    </row>
    <row r="13" spans="1:13">
      <c r="A13" s="169">
        <v>10</v>
      </c>
      <c r="B13" s="170" t="s">
        <v>422</v>
      </c>
      <c r="C13" s="170" t="s">
        <v>423</v>
      </c>
      <c r="D13" s="170" t="s">
        <v>82</v>
      </c>
      <c r="E13" s="170"/>
      <c r="F13" s="171"/>
      <c r="G13" s="170"/>
      <c r="H13" s="170"/>
      <c r="I13" s="166" t="s">
        <v>424</v>
      </c>
      <c r="J13" s="264" t="s">
        <v>62</v>
      </c>
      <c r="K13" s="263" t="s">
        <v>63</v>
      </c>
      <c r="L13" s="263" t="s">
        <v>63</v>
      </c>
      <c r="M13" s="364" t="s">
        <v>425</v>
      </c>
    </row>
    <row r="14" spans="1:13">
      <c r="A14" s="169">
        <v>11</v>
      </c>
      <c r="B14" s="170" t="s">
        <v>426</v>
      </c>
      <c r="C14" s="170" t="s">
        <v>427</v>
      </c>
      <c r="D14" s="170" t="s">
        <v>216</v>
      </c>
      <c r="E14" s="170"/>
      <c r="F14" s="171"/>
      <c r="G14" s="170"/>
      <c r="H14" s="170"/>
      <c r="I14" s="166" t="s">
        <v>428</v>
      </c>
      <c r="J14" s="264" t="s">
        <v>62</v>
      </c>
      <c r="K14" s="263" t="s">
        <v>63</v>
      </c>
      <c r="L14" s="263" t="s">
        <v>63</v>
      </c>
      <c r="M14" s="364" t="s">
        <v>429</v>
      </c>
    </row>
    <row r="15" spans="1:13">
      <c r="A15" s="169">
        <v>12</v>
      </c>
      <c r="B15" s="170" t="s">
        <v>430</v>
      </c>
      <c r="C15" s="170" t="s">
        <v>431</v>
      </c>
      <c r="D15" s="170" t="s">
        <v>216</v>
      </c>
      <c r="E15" s="170"/>
      <c r="F15" s="171"/>
      <c r="G15" s="170"/>
      <c r="H15" s="170"/>
      <c r="I15" s="155" t="s">
        <v>432</v>
      </c>
      <c r="J15" s="264" t="s">
        <v>433</v>
      </c>
      <c r="K15" s="309" t="s">
        <v>224</v>
      </c>
      <c r="L15" s="263" t="s">
        <v>63</v>
      </c>
      <c r="M15" s="353" t="s">
        <v>224</v>
      </c>
    </row>
    <row r="16" spans="1:13">
      <c r="A16" s="169">
        <v>13</v>
      </c>
      <c r="B16" s="170" t="s">
        <v>434</v>
      </c>
      <c r="C16" s="170" t="s">
        <v>435</v>
      </c>
      <c r="D16" s="170" t="s">
        <v>82</v>
      </c>
      <c r="E16" s="170"/>
      <c r="F16" s="171"/>
      <c r="G16" s="170"/>
      <c r="H16" s="170"/>
      <c r="I16" s="155" t="s">
        <v>436</v>
      </c>
      <c r="J16" s="264" t="s">
        <v>62</v>
      </c>
      <c r="K16" s="263" t="s">
        <v>63</v>
      </c>
      <c r="L16" s="263" t="s">
        <v>63</v>
      </c>
      <c r="M16" s="367" t="s">
        <v>360</v>
      </c>
    </row>
    <row r="17" spans="1:13">
      <c r="A17" s="169">
        <v>14</v>
      </c>
      <c r="B17" s="170" t="s">
        <v>437</v>
      </c>
      <c r="C17" s="170" t="s">
        <v>438</v>
      </c>
      <c r="D17" s="170" t="s">
        <v>216</v>
      </c>
      <c r="E17" s="170"/>
      <c r="F17" s="171"/>
      <c r="G17" s="170"/>
      <c r="H17" s="170"/>
      <c r="I17" s="155" t="s">
        <v>439</v>
      </c>
      <c r="J17" s="264" t="s">
        <v>62</v>
      </c>
      <c r="K17" s="263" t="s">
        <v>63</v>
      </c>
      <c r="L17" s="263" t="s">
        <v>63</v>
      </c>
      <c r="M17" s="367" t="s">
        <v>360</v>
      </c>
    </row>
    <row r="18" spans="1:13">
      <c r="A18" s="169">
        <v>15</v>
      </c>
      <c r="B18" s="170" t="s">
        <v>440</v>
      </c>
      <c r="C18" s="170" t="s">
        <v>441</v>
      </c>
      <c r="D18" s="170" t="s">
        <v>216</v>
      </c>
      <c r="E18" s="170"/>
      <c r="F18" s="171"/>
      <c r="G18" s="170"/>
      <c r="H18" s="170"/>
      <c r="I18" s="155" t="s">
        <v>442</v>
      </c>
      <c r="J18" s="271" t="s">
        <v>433</v>
      </c>
      <c r="K18" s="309" t="s">
        <v>224</v>
      </c>
      <c r="L18" s="263" t="s">
        <v>63</v>
      </c>
      <c r="M18" s="367" t="s">
        <v>360</v>
      </c>
    </row>
    <row r="19" spans="1:13">
      <c r="A19" s="169">
        <v>16</v>
      </c>
      <c r="B19" s="170" t="s">
        <v>443</v>
      </c>
      <c r="C19" s="170" t="s">
        <v>444</v>
      </c>
      <c r="D19" s="170" t="s">
        <v>82</v>
      </c>
      <c r="E19" s="170"/>
      <c r="F19" s="171"/>
      <c r="G19" s="170"/>
      <c r="H19" s="170"/>
      <c r="I19" s="155" t="s">
        <v>445</v>
      </c>
      <c r="J19" s="271" t="s">
        <v>112</v>
      </c>
      <c r="K19" s="282" t="s">
        <v>224</v>
      </c>
      <c r="L19" s="360" t="s">
        <v>224</v>
      </c>
      <c r="M19" s="367" t="s">
        <v>360</v>
      </c>
    </row>
    <row r="20" spans="1:13" ht="27">
      <c r="A20" s="169">
        <v>17</v>
      </c>
      <c r="B20" s="170" t="s">
        <v>446</v>
      </c>
      <c r="C20" s="170" t="s">
        <v>447</v>
      </c>
      <c r="D20" s="170" t="s">
        <v>216</v>
      </c>
      <c r="E20" s="170"/>
      <c r="F20" s="171"/>
      <c r="G20" s="170"/>
      <c r="H20" s="170"/>
      <c r="I20" s="155" t="s">
        <v>448</v>
      </c>
      <c r="J20" s="271" t="s">
        <v>112</v>
      </c>
      <c r="K20" s="282" t="s">
        <v>224</v>
      </c>
      <c r="L20" s="360" t="s">
        <v>224</v>
      </c>
      <c r="M20" s="367" t="s">
        <v>360</v>
      </c>
    </row>
    <row r="21" spans="1:13">
      <c r="A21" s="169">
        <v>18</v>
      </c>
      <c r="B21" s="170" t="s">
        <v>449</v>
      </c>
      <c r="C21" s="170" t="s">
        <v>450</v>
      </c>
      <c r="D21" s="170" t="s">
        <v>216</v>
      </c>
      <c r="E21" s="170"/>
      <c r="F21" s="171"/>
      <c r="G21" s="170"/>
      <c r="H21" s="170"/>
      <c r="I21" s="155" t="s">
        <v>451</v>
      </c>
      <c r="J21" s="271" t="s">
        <v>112</v>
      </c>
      <c r="K21" s="282" t="s">
        <v>224</v>
      </c>
      <c r="L21" s="360" t="s">
        <v>224</v>
      </c>
      <c r="M21" s="367" t="s">
        <v>360</v>
      </c>
    </row>
    <row r="22" spans="1:13">
      <c r="A22" s="169">
        <v>19</v>
      </c>
      <c r="B22" s="170" t="s">
        <v>452</v>
      </c>
      <c r="C22" s="170" t="s">
        <v>453</v>
      </c>
      <c r="D22" s="170" t="s">
        <v>82</v>
      </c>
      <c r="E22" s="170"/>
      <c r="F22" s="171"/>
      <c r="G22" s="170"/>
      <c r="H22" s="170"/>
      <c r="I22" s="155" t="s">
        <v>454</v>
      </c>
      <c r="J22" s="271" t="s">
        <v>112</v>
      </c>
      <c r="K22" s="282" t="s">
        <v>224</v>
      </c>
      <c r="L22" s="360" t="s">
        <v>224</v>
      </c>
      <c r="M22" s="367" t="s">
        <v>360</v>
      </c>
    </row>
    <row r="23" spans="1:13" ht="27">
      <c r="A23" s="169">
        <v>20</v>
      </c>
      <c r="B23" s="170" t="s">
        <v>455</v>
      </c>
      <c r="C23" s="170" t="s">
        <v>456</v>
      </c>
      <c r="D23" s="170" t="s">
        <v>216</v>
      </c>
      <c r="E23" s="170"/>
      <c r="F23" s="171"/>
      <c r="G23" s="170"/>
      <c r="H23" s="170"/>
      <c r="I23" s="155" t="s">
        <v>457</v>
      </c>
      <c r="J23" s="271" t="s">
        <v>112</v>
      </c>
      <c r="K23" s="282" t="s">
        <v>224</v>
      </c>
      <c r="L23" s="360" t="s">
        <v>224</v>
      </c>
      <c r="M23" s="367" t="s">
        <v>360</v>
      </c>
    </row>
    <row r="24" spans="1:13">
      <c r="A24" s="169">
        <v>21</v>
      </c>
      <c r="B24" s="170" t="s">
        <v>458</v>
      </c>
      <c r="C24" s="170" t="s">
        <v>459</v>
      </c>
      <c r="D24" s="170" t="s">
        <v>216</v>
      </c>
      <c r="E24" s="170"/>
      <c r="F24" s="171"/>
      <c r="G24" s="170"/>
      <c r="H24" s="170"/>
      <c r="I24" s="155" t="s">
        <v>460</v>
      </c>
      <c r="J24" s="271" t="s">
        <v>112</v>
      </c>
      <c r="K24" s="282" t="s">
        <v>224</v>
      </c>
      <c r="L24" s="360" t="s">
        <v>224</v>
      </c>
      <c r="M24" s="367" t="s">
        <v>360</v>
      </c>
    </row>
    <row r="25" spans="1:13">
      <c r="A25" s="169">
        <v>22</v>
      </c>
      <c r="B25" s="170" t="s">
        <v>461</v>
      </c>
      <c r="C25" s="170" t="s">
        <v>462</v>
      </c>
      <c r="D25" s="170" t="s">
        <v>82</v>
      </c>
      <c r="E25" s="170"/>
      <c r="F25" s="171"/>
      <c r="G25" s="170"/>
      <c r="H25" s="170"/>
      <c r="I25" s="155" t="s">
        <v>463</v>
      </c>
      <c r="J25" s="271" t="s">
        <v>112</v>
      </c>
      <c r="K25" s="282" t="s">
        <v>224</v>
      </c>
      <c r="L25" s="360" t="s">
        <v>224</v>
      </c>
      <c r="M25" s="368" t="s">
        <v>360</v>
      </c>
    </row>
    <row r="26" spans="1:13" ht="27">
      <c r="A26" s="169">
        <v>23</v>
      </c>
      <c r="B26" s="170" t="s">
        <v>464</v>
      </c>
      <c r="C26" s="170" t="s">
        <v>465</v>
      </c>
      <c r="D26" s="170" t="s">
        <v>216</v>
      </c>
      <c r="E26" s="170"/>
      <c r="F26" s="171"/>
      <c r="G26" s="170"/>
      <c r="H26" s="170"/>
      <c r="I26" s="155" t="s">
        <v>466</v>
      </c>
      <c r="J26" s="271" t="s">
        <v>112</v>
      </c>
      <c r="K26" s="282" t="s">
        <v>224</v>
      </c>
      <c r="L26" s="360" t="s">
        <v>224</v>
      </c>
      <c r="M26" s="368" t="s">
        <v>360</v>
      </c>
    </row>
    <row r="27" spans="1:13">
      <c r="A27" s="169">
        <v>24</v>
      </c>
      <c r="B27" s="170" t="s">
        <v>467</v>
      </c>
      <c r="C27" s="170" t="s">
        <v>468</v>
      </c>
      <c r="D27" s="170" t="s">
        <v>216</v>
      </c>
      <c r="E27" s="170"/>
      <c r="F27" s="171"/>
      <c r="G27" s="170"/>
      <c r="H27" s="170"/>
      <c r="I27" s="155" t="s">
        <v>469</v>
      </c>
      <c r="J27" s="271" t="s">
        <v>112</v>
      </c>
      <c r="K27" s="282" t="s">
        <v>224</v>
      </c>
      <c r="L27" s="360" t="s">
        <v>224</v>
      </c>
      <c r="M27" s="367" t="s">
        <v>360</v>
      </c>
    </row>
    <row r="28" spans="1:13">
      <c r="A28" s="169">
        <v>25</v>
      </c>
      <c r="B28" s="170" t="s">
        <v>470</v>
      </c>
      <c r="C28" s="170" t="s">
        <v>471</v>
      </c>
      <c r="D28" s="170" t="s">
        <v>216</v>
      </c>
      <c r="E28" s="170"/>
      <c r="F28" s="171"/>
      <c r="G28" s="170"/>
      <c r="H28" s="170"/>
      <c r="I28" s="155" t="s">
        <v>472</v>
      </c>
      <c r="J28" s="271" t="s">
        <v>112</v>
      </c>
      <c r="K28" s="282" t="s">
        <v>224</v>
      </c>
      <c r="L28" s="360" t="s">
        <v>224</v>
      </c>
      <c r="M28" s="369" t="s">
        <v>360</v>
      </c>
    </row>
    <row r="29" spans="1:13" ht="81">
      <c r="A29" s="169">
        <v>26</v>
      </c>
      <c r="B29" s="170" t="s">
        <v>373</v>
      </c>
      <c r="C29" s="170" t="s">
        <v>374</v>
      </c>
      <c r="D29" s="170" t="s">
        <v>275</v>
      </c>
      <c r="E29" s="170"/>
      <c r="F29" s="171" t="s">
        <v>60</v>
      </c>
      <c r="G29" s="170"/>
      <c r="H29" s="170"/>
      <c r="I29" s="155" t="s">
        <v>473</v>
      </c>
      <c r="J29" s="264" t="s">
        <v>62</v>
      </c>
      <c r="K29" s="306" t="s">
        <v>474</v>
      </c>
      <c r="L29" s="209" t="s">
        <v>474</v>
      </c>
      <c r="M29" s="370" t="s">
        <v>376</v>
      </c>
    </row>
    <row r="30" spans="1:13" ht="54">
      <c r="A30" s="169">
        <v>27</v>
      </c>
      <c r="B30" s="170" t="s">
        <v>377</v>
      </c>
      <c r="C30" s="170" t="s">
        <v>378</v>
      </c>
      <c r="D30" s="170" t="s">
        <v>133</v>
      </c>
      <c r="E30" s="170"/>
      <c r="F30" s="171" t="s">
        <v>60</v>
      </c>
      <c r="G30" s="170"/>
      <c r="H30" s="170"/>
      <c r="I30" s="155" t="s">
        <v>475</v>
      </c>
      <c r="J30" s="307" t="s">
        <v>112</v>
      </c>
      <c r="K30" s="308" t="s">
        <v>224</v>
      </c>
      <c r="L30" s="361" t="s">
        <v>224</v>
      </c>
      <c r="M30" s="370" t="s">
        <v>380</v>
      </c>
    </row>
    <row r="31" spans="1:13" ht="54">
      <c r="A31" s="169">
        <v>28</v>
      </c>
      <c r="B31" s="170" t="s">
        <v>381</v>
      </c>
      <c r="C31" s="170" t="s">
        <v>382</v>
      </c>
      <c r="D31" s="170" t="s">
        <v>133</v>
      </c>
      <c r="E31" s="170"/>
      <c r="F31" s="171" t="s">
        <v>60</v>
      </c>
      <c r="G31" s="170"/>
      <c r="H31" s="170"/>
      <c r="I31" s="155" t="s">
        <v>476</v>
      </c>
      <c r="J31" s="307" t="s">
        <v>112</v>
      </c>
      <c r="K31" s="308" t="s">
        <v>224</v>
      </c>
      <c r="L31" s="361" t="s">
        <v>224</v>
      </c>
      <c r="M31" s="370" t="s">
        <v>380</v>
      </c>
    </row>
    <row r="32" spans="1:13" ht="54">
      <c r="A32" s="169">
        <v>29</v>
      </c>
      <c r="B32" s="170" t="s">
        <v>384</v>
      </c>
      <c r="C32" s="170" t="s">
        <v>385</v>
      </c>
      <c r="D32" s="170" t="s">
        <v>133</v>
      </c>
      <c r="E32" s="170"/>
      <c r="F32" s="171" t="s">
        <v>60</v>
      </c>
      <c r="G32" s="170"/>
      <c r="H32" s="170"/>
      <c r="I32" s="155" t="s">
        <v>477</v>
      </c>
      <c r="J32" s="307" t="s">
        <v>112</v>
      </c>
      <c r="K32" s="308" t="s">
        <v>224</v>
      </c>
      <c r="L32" s="361" t="s">
        <v>224</v>
      </c>
      <c r="M32" s="370" t="s">
        <v>380</v>
      </c>
    </row>
    <row r="33" spans="1:13" ht="54">
      <c r="A33" s="169">
        <v>30</v>
      </c>
      <c r="B33" s="170" t="s">
        <v>387</v>
      </c>
      <c r="C33" s="170" t="s">
        <v>388</v>
      </c>
      <c r="D33" s="170" t="s">
        <v>133</v>
      </c>
      <c r="E33" s="170"/>
      <c r="F33" s="171" t="s">
        <v>60</v>
      </c>
      <c r="G33" s="170"/>
      <c r="H33" s="170"/>
      <c r="I33" s="155" t="s">
        <v>478</v>
      </c>
      <c r="J33" s="307" t="s">
        <v>112</v>
      </c>
      <c r="K33" s="308" t="s">
        <v>224</v>
      </c>
      <c r="L33" s="361" t="s">
        <v>224</v>
      </c>
      <c r="M33" s="370" t="s">
        <v>380</v>
      </c>
    </row>
    <row r="34" spans="1:13" ht="54">
      <c r="A34" s="169">
        <v>31</v>
      </c>
      <c r="B34" s="170" t="s">
        <v>390</v>
      </c>
      <c r="C34" s="170" t="s">
        <v>391</v>
      </c>
      <c r="D34" s="170" t="s">
        <v>133</v>
      </c>
      <c r="E34" s="170"/>
      <c r="F34" s="171" t="s">
        <v>60</v>
      </c>
      <c r="G34" s="170"/>
      <c r="H34" s="170"/>
      <c r="I34" s="155" t="s">
        <v>479</v>
      </c>
      <c r="J34" s="307" t="s">
        <v>112</v>
      </c>
      <c r="K34" s="308" t="s">
        <v>224</v>
      </c>
      <c r="L34" s="361" t="s">
        <v>224</v>
      </c>
      <c r="M34" s="370" t="s">
        <v>380</v>
      </c>
    </row>
    <row r="35" spans="1:13" ht="54">
      <c r="A35" s="169">
        <v>32</v>
      </c>
      <c r="B35" s="170" t="s">
        <v>393</v>
      </c>
      <c r="C35" s="170" t="s">
        <v>394</v>
      </c>
      <c r="D35" s="170" t="s">
        <v>133</v>
      </c>
      <c r="E35" s="170"/>
      <c r="F35" s="171" t="s">
        <v>60</v>
      </c>
      <c r="G35" s="170"/>
      <c r="H35" s="170"/>
      <c r="I35" s="155" t="s">
        <v>480</v>
      </c>
      <c r="J35" s="307" t="s">
        <v>112</v>
      </c>
      <c r="K35" s="308" t="s">
        <v>224</v>
      </c>
      <c r="L35" s="361" t="s">
        <v>224</v>
      </c>
      <c r="M35" s="370" t="s">
        <v>380</v>
      </c>
    </row>
    <row r="36" spans="1:13" ht="54.75" thickBot="1">
      <c r="A36" s="175">
        <v>33</v>
      </c>
      <c r="B36" s="176" t="s">
        <v>396</v>
      </c>
      <c r="C36" s="176" t="s">
        <v>397</v>
      </c>
      <c r="D36" s="176" t="s">
        <v>133</v>
      </c>
      <c r="E36" s="176"/>
      <c r="F36" s="177" t="s">
        <v>60</v>
      </c>
      <c r="G36" s="176"/>
      <c r="H36" s="176"/>
      <c r="I36" s="181" t="s">
        <v>481</v>
      </c>
      <c r="J36" s="358" t="s">
        <v>112</v>
      </c>
      <c r="K36" s="359" t="s">
        <v>224</v>
      </c>
      <c r="L36" s="362" t="s">
        <v>224</v>
      </c>
      <c r="M36" s="371" t="s">
        <v>380</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499984740745262"/>
    <pageSetUpPr fitToPage="1"/>
  </sheetPr>
  <dimension ref="A1:M11"/>
  <sheetViews>
    <sheetView topLeftCell="H1" zoomScaleNormal="100" workbookViewId="0">
      <selection activeCell="L10" sqref="L10"/>
    </sheetView>
  </sheetViews>
  <sheetFormatPr defaultColWidth="9" defaultRowHeight="13.5" outlineLevelCol="1"/>
  <cols>
    <col min="1" max="1" width="4.625" style="1" customWidth="1"/>
    <col min="2" max="2" width="26.875" style="1" customWidth="1"/>
    <col min="3" max="3" width="26.375" style="1" customWidth="1"/>
    <col min="4" max="5" width="13.625" style="1" hidden="1" customWidth="1" outlineLevel="1"/>
    <col min="6" max="6" width="0" style="1" hidden="1" customWidth="1" outlineLevel="1"/>
    <col min="7" max="7" width="10.375" style="1" hidden="1" customWidth="1" outlineLevel="1"/>
    <col min="8" max="8" width="9" style="1" collapsed="1"/>
    <col min="9" max="9" width="40.25" style="1" customWidth="1"/>
    <col min="10" max="10" width="11.375" style="1" bestFit="1" customWidth="1"/>
    <col min="11" max="11" width="32.125" style="1" customWidth="1"/>
    <col min="12" max="12" width="42" style="1" bestFit="1" customWidth="1"/>
    <col min="13" max="13" width="35" style="1" bestFit="1" customWidth="1"/>
    <col min="14" max="16384" width="9" style="1"/>
  </cols>
  <sheetData>
    <row r="1" spans="1:13">
      <c r="A1" s="1" t="s">
        <v>482</v>
      </c>
    </row>
    <row r="2" spans="1:13" ht="14.25" thickBot="1"/>
    <row r="3" spans="1:13" ht="51.75" customHeight="1" thickBot="1">
      <c r="A3" s="2" t="s">
        <v>47</v>
      </c>
      <c r="B3" s="3" t="s">
        <v>48</v>
      </c>
      <c r="C3" s="3" t="s">
        <v>49</v>
      </c>
      <c r="D3" s="3" t="s">
        <v>50</v>
      </c>
      <c r="E3" s="3" t="s">
        <v>51</v>
      </c>
      <c r="F3" s="3" t="s">
        <v>52</v>
      </c>
      <c r="G3" s="4" t="s">
        <v>53</v>
      </c>
      <c r="H3" s="5" t="s">
        <v>54</v>
      </c>
      <c r="I3" s="6" t="s">
        <v>55</v>
      </c>
      <c r="J3" s="267" t="s">
        <v>56</v>
      </c>
      <c r="K3" s="266" t="s">
        <v>6</v>
      </c>
      <c r="L3" s="266" t="s">
        <v>7</v>
      </c>
      <c r="M3" s="286" t="s">
        <v>8</v>
      </c>
    </row>
    <row r="4" spans="1:13" ht="27">
      <c r="A4" s="178">
        <v>1</v>
      </c>
      <c r="B4" s="172" t="s">
        <v>296</v>
      </c>
      <c r="C4" s="172" t="s">
        <v>58</v>
      </c>
      <c r="D4" s="172" t="s">
        <v>106</v>
      </c>
      <c r="E4" s="172">
        <v>1</v>
      </c>
      <c r="F4" s="173" t="s">
        <v>60</v>
      </c>
      <c r="G4" s="172"/>
      <c r="H4" s="172">
        <v>1</v>
      </c>
      <c r="I4" s="179" t="s">
        <v>320</v>
      </c>
      <c r="J4" s="270" t="s">
        <v>62</v>
      </c>
      <c r="K4" s="263" t="s">
        <v>63</v>
      </c>
      <c r="L4" s="263" t="s">
        <v>63</v>
      </c>
      <c r="M4" s="287" t="s">
        <v>483</v>
      </c>
    </row>
    <row r="5" spans="1:13">
      <c r="A5" s="169">
        <v>2</v>
      </c>
      <c r="B5" s="170" t="s">
        <v>300</v>
      </c>
      <c r="C5" s="170" t="s">
        <v>65</v>
      </c>
      <c r="D5" s="170" t="s">
        <v>106</v>
      </c>
      <c r="E5" s="170">
        <v>10</v>
      </c>
      <c r="F5" s="171" t="s">
        <v>60</v>
      </c>
      <c r="G5" s="170"/>
      <c r="H5" s="170">
        <v>2</v>
      </c>
      <c r="I5" s="155" t="s">
        <v>66</v>
      </c>
      <c r="J5" s="264" t="s">
        <v>62</v>
      </c>
      <c r="K5" s="166" t="s">
        <v>67</v>
      </c>
      <c r="L5" s="166" t="s">
        <v>68</v>
      </c>
      <c r="M5" s="167" t="s">
        <v>69</v>
      </c>
    </row>
    <row r="6" spans="1:13" ht="40.5">
      <c r="A6" s="169">
        <v>3</v>
      </c>
      <c r="B6" s="170" t="s">
        <v>302</v>
      </c>
      <c r="C6" s="170" t="s">
        <v>71</v>
      </c>
      <c r="D6" s="170" t="s">
        <v>106</v>
      </c>
      <c r="E6" s="170">
        <v>10</v>
      </c>
      <c r="F6" s="171" t="s">
        <v>60</v>
      </c>
      <c r="G6" s="170"/>
      <c r="H6" s="170">
        <v>3</v>
      </c>
      <c r="I6" s="174" t="s">
        <v>178</v>
      </c>
      <c r="J6" s="270" t="s">
        <v>62</v>
      </c>
      <c r="K6" s="263" t="s">
        <v>63</v>
      </c>
      <c r="L6" s="263" t="s">
        <v>63</v>
      </c>
      <c r="M6" s="287" t="s">
        <v>484</v>
      </c>
    </row>
    <row r="7" spans="1:13" ht="40.5">
      <c r="A7" s="169">
        <v>4</v>
      </c>
      <c r="B7" s="172" t="s">
        <v>403</v>
      </c>
      <c r="C7" s="172" t="s">
        <v>404</v>
      </c>
      <c r="D7" s="172" t="s">
        <v>106</v>
      </c>
      <c r="E7" s="172">
        <v>10</v>
      </c>
      <c r="F7" s="173" t="s">
        <v>60</v>
      </c>
      <c r="G7" s="172"/>
      <c r="H7" s="172">
        <v>4</v>
      </c>
      <c r="I7" s="174" t="s">
        <v>485</v>
      </c>
      <c r="J7" s="264" t="s">
        <v>62</v>
      </c>
      <c r="K7" s="263" t="s">
        <v>63</v>
      </c>
      <c r="L7" s="170" t="s">
        <v>486</v>
      </c>
      <c r="M7" s="352" t="s">
        <v>487</v>
      </c>
    </row>
    <row r="8" spans="1:13" ht="40.5">
      <c r="A8" s="169">
        <v>5</v>
      </c>
      <c r="B8" s="170" t="s">
        <v>324</v>
      </c>
      <c r="C8" s="180" t="s">
        <v>488</v>
      </c>
      <c r="D8" s="170" t="s">
        <v>106</v>
      </c>
      <c r="E8" s="170">
        <v>26</v>
      </c>
      <c r="F8" s="171" t="s">
        <v>60</v>
      </c>
      <c r="G8" s="170"/>
      <c r="H8" s="170">
        <v>5</v>
      </c>
      <c r="I8" s="166" t="s">
        <v>489</v>
      </c>
      <c r="J8" s="264" t="s">
        <v>62</v>
      </c>
      <c r="K8" s="170" t="s">
        <v>490</v>
      </c>
      <c r="L8" s="279" t="s">
        <v>491</v>
      </c>
      <c r="M8" s="351" t="s">
        <v>492</v>
      </c>
    </row>
    <row r="9" spans="1:13">
      <c r="A9" s="169">
        <v>6</v>
      </c>
      <c r="B9" s="182" t="s">
        <v>493</v>
      </c>
      <c r="C9" s="182" t="s">
        <v>494</v>
      </c>
      <c r="D9" s="182" t="s">
        <v>106</v>
      </c>
      <c r="E9" s="182">
        <v>10</v>
      </c>
      <c r="F9" s="183" t="s">
        <v>60</v>
      </c>
      <c r="G9" s="182"/>
      <c r="H9" s="182"/>
      <c r="I9" s="155" t="s">
        <v>495</v>
      </c>
      <c r="J9" s="271" t="s">
        <v>112</v>
      </c>
      <c r="K9" s="309" t="s">
        <v>496</v>
      </c>
      <c r="L9" s="309" t="s">
        <v>496</v>
      </c>
      <c r="M9" s="353" t="s">
        <v>496</v>
      </c>
    </row>
    <row r="10" spans="1:13" ht="40.5">
      <c r="A10" s="169">
        <v>7</v>
      </c>
      <c r="B10" s="182" t="s">
        <v>497</v>
      </c>
      <c r="C10" s="182" t="s">
        <v>498</v>
      </c>
      <c r="D10" s="182" t="s">
        <v>216</v>
      </c>
      <c r="E10" s="182"/>
      <c r="F10" s="183"/>
      <c r="G10" s="182"/>
      <c r="H10" s="182"/>
      <c r="I10" s="184" t="s">
        <v>499</v>
      </c>
      <c r="J10" s="271" t="s">
        <v>112</v>
      </c>
      <c r="K10" s="309" t="s">
        <v>224</v>
      </c>
      <c r="L10" s="309" t="s">
        <v>224</v>
      </c>
      <c r="M10" s="353" t="s">
        <v>224</v>
      </c>
    </row>
    <row r="11" spans="1:13" ht="14.25" thickBot="1">
      <c r="A11" s="175">
        <v>8</v>
      </c>
      <c r="B11" s="176" t="s">
        <v>500</v>
      </c>
      <c r="C11" s="176" t="s">
        <v>501</v>
      </c>
      <c r="D11" s="176" t="s">
        <v>82</v>
      </c>
      <c r="E11" s="176"/>
      <c r="F11" s="177"/>
      <c r="G11" s="176"/>
      <c r="H11" s="176"/>
      <c r="I11" s="181" t="s">
        <v>502</v>
      </c>
      <c r="J11" s="274" t="s">
        <v>112</v>
      </c>
      <c r="K11" s="310" t="s">
        <v>496</v>
      </c>
      <c r="L11" s="310" t="s">
        <v>496</v>
      </c>
      <c r="M11" s="354" t="s">
        <v>496</v>
      </c>
    </row>
  </sheetData>
  <phoneticPr fontId="4"/>
  <pageMargins left="0.19685039370078741" right="0.19685039370078741" top="0.23622047244094491" bottom="0.19685039370078741" header="0.19685039370078741" footer="0.11811023622047245"/>
  <pageSetup paperSize="9" scale="48" fitToHeight="0" orientation="landscape" r:id="rId1"/>
  <headerFooter alignWithMargins="0">
    <oddFooter>&amp;C&amp;"Times New Roman,標準"&amp;10&amp;P/&amp;N&amp;R&amp;"Times New Roman,標準"&amp;9Copyright(C) 2017-2018 VINX Corporation. All Rights Reserved.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499984740745262"/>
  </sheetPr>
  <dimension ref="A1:M26"/>
  <sheetViews>
    <sheetView topLeftCell="C10" zoomScaleNormal="100" workbookViewId="0">
      <selection activeCell="L12" sqref="L12"/>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4" style="206" bestFit="1" customWidth="1"/>
    <col min="10" max="10" width="11.375" style="206" bestFit="1" customWidth="1"/>
    <col min="11" max="13" width="41.625" style="206" customWidth="1"/>
    <col min="14" max="16384" width="9" style="206"/>
  </cols>
  <sheetData>
    <row r="1" spans="1:13">
      <c r="A1" s="206" t="s">
        <v>503</v>
      </c>
    </row>
    <row r="2" spans="1:13" ht="14.25" thickBot="1"/>
    <row r="3" spans="1:13" ht="31.5" customHeight="1" thickBot="1">
      <c r="A3" s="212" t="s">
        <v>47</v>
      </c>
      <c r="B3" s="213" t="s">
        <v>48</v>
      </c>
      <c r="C3" s="213" t="s">
        <v>49</v>
      </c>
      <c r="D3" s="213" t="s">
        <v>50</v>
      </c>
      <c r="E3" s="213" t="s">
        <v>51</v>
      </c>
      <c r="F3" s="213" t="s">
        <v>52</v>
      </c>
      <c r="G3" s="214" t="s">
        <v>53</v>
      </c>
      <c r="H3" s="215" t="s">
        <v>54</v>
      </c>
      <c r="I3" s="213" t="s">
        <v>55</v>
      </c>
      <c r="J3" s="267" t="s">
        <v>56</v>
      </c>
      <c r="K3" s="266" t="s">
        <v>6</v>
      </c>
      <c r="L3" s="266" t="s">
        <v>7</v>
      </c>
      <c r="M3" s="286" t="s">
        <v>504</v>
      </c>
    </row>
    <row r="4" spans="1:13" ht="27.75" thickTop="1">
      <c r="A4" s="243">
        <f>ROW() - 3</f>
        <v>1</v>
      </c>
      <c r="B4" s="244" t="s">
        <v>57</v>
      </c>
      <c r="C4" s="244" t="s">
        <v>58</v>
      </c>
      <c r="D4" s="244" t="s">
        <v>59</v>
      </c>
      <c r="E4" s="244">
        <v>1</v>
      </c>
      <c r="F4" s="245" t="s">
        <v>60</v>
      </c>
      <c r="G4" s="244"/>
      <c r="H4" s="244">
        <v>1</v>
      </c>
      <c r="I4" s="246" t="s">
        <v>505</v>
      </c>
      <c r="J4" s="270" t="s">
        <v>62</v>
      </c>
      <c r="K4" s="263" t="s">
        <v>63</v>
      </c>
      <c r="L4" s="263" t="s">
        <v>63</v>
      </c>
      <c r="M4" s="338"/>
    </row>
    <row r="5" spans="1:13">
      <c r="A5" s="156">
        <f>ROW() - 3</f>
        <v>2</v>
      </c>
      <c r="B5" s="154" t="s">
        <v>64</v>
      </c>
      <c r="C5" s="154" t="s">
        <v>65</v>
      </c>
      <c r="D5" s="154" t="s">
        <v>59</v>
      </c>
      <c r="E5" s="154">
        <v>10</v>
      </c>
      <c r="F5" s="153" t="s">
        <v>60</v>
      </c>
      <c r="G5" s="154"/>
      <c r="H5" s="154">
        <v>2</v>
      </c>
      <c r="I5" s="180" t="s">
        <v>66</v>
      </c>
      <c r="J5" s="264" t="s">
        <v>62</v>
      </c>
      <c r="K5" s="166" t="s">
        <v>67</v>
      </c>
      <c r="L5" s="166" t="s">
        <v>68</v>
      </c>
      <c r="M5" s="338"/>
    </row>
    <row r="6" spans="1:13" s="247" customFormat="1">
      <c r="A6" s="156">
        <f>ROW() - 3</f>
        <v>3</v>
      </c>
      <c r="B6" s="154" t="s">
        <v>70</v>
      </c>
      <c r="C6" s="154" t="s">
        <v>71</v>
      </c>
      <c r="D6" s="154" t="s">
        <v>59</v>
      </c>
      <c r="E6" s="154">
        <v>10</v>
      </c>
      <c r="F6" s="153" t="s">
        <v>60</v>
      </c>
      <c r="G6" s="154"/>
      <c r="H6" s="154">
        <v>3</v>
      </c>
      <c r="I6" s="180" t="s">
        <v>178</v>
      </c>
      <c r="J6" s="270" t="s">
        <v>62</v>
      </c>
      <c r="K6" s="263" t="s">
        <v>63</v>
      </c>
      <c r="L6" s="263" t="s">
        <v>63</v>
      </c>
      <c r="M6" s="338"/>
    </row>
    <row r="7" spans="1:13" ht="56.25">
      <c r="A7" s="157">
        <f>ROW() - 3</f>
        <v>4</v>
      </c>
      <c r="B7" s="149" t="s">
        <v>506</v>
      </c>
      <c r="C7" s="149" t="s">
        <v>507</v>
      </c>
      <c r="D7" s="149" t="s">
        <v>59</v>
      </c>
      <c r="E7" s="149">
        <v>10</v>
      </c>
      <c r="F7" s="158" t="s">
        <v>60</v>
      </c>
      <c r="G7" s="149"/>
      <c r="H7" s="149">
        <v>4</v>
      </c>
      <c r="I7" s="180" t="s">
        <v>508</v>
      </c>
      <c r="J7" s="264" t="s">
        <v>62</v>
      </c>
      <c r="K7" s="154" t="s">
        <v>509</v>
      </c>
      <c r="L7" s="312" t="s">
        <v>510</v>
      </c>
      <c r="M7" s="339"/>
    </row>
    <row r="8" spans="1:13" ht="33.75">
      <c r="A8" s="157">
        <f t="shared" ref="A8:A26" si="0">ROW() - 3</f>
        <v>5</v>
      </c>
      <c r="B8" s="248" t="s">
        <v>49</v>
      </c>
      <c r="C8" s="248" t="s">
        <v>511</v>
      </c>
      <c r="D8" s="248" t="s">
        <v>106</v>
      </c>
      <c r="E8" s="248">
        <v>50</v>
      </c>
      <c r="F8" s="249"/>
      <c r="G8" s="248"/>
      <c r="H8" s="248"/>
      <c r="I8" s="180" t="s">
        <v>512</v>
      </c>
      <c r="J8" s="264" t="s">
        <v>62</v>
      </c>
      <c r="K8" s="312" t="s">
        <v>513</v>
      </c>
      <c r="L8" s="180" t="s">
        <v>514</v>
      </c>
      <c r="M8" s="350"/>
    </row>
    <row r="9" spans="1:13">
      <c r="A9" s="157">
        <f t="shared" si="0"/>
        <v>6</v>
      </c>
      <c r="B9" s="154" t="s">
        <v>74</v>
      </c>
      <c r="C9" s="154" t="s">
        <v>75</v>
      </c>
      <c r="D9" s="154" t="s">
        <v>59</v>
      </c>
      <c r="E9" s="154">
        <v>10</v>
      </c>
      <c r="F9" s="153" t="s">
        <v>87</v>
      </c>
      <c r="G9" s="154"/>
      <c r="H9" s="216">
        <v>5</v>
      </c>
      <c r="I9" s="154" t="s">
        <v>515</v>
      </c>
      <c r="J9" s="264" t="s">
        <v>62</v>
      </c>
      <c r="K9" s="154" t="s">
        <v>516</v>
      </c>
      <c r="L9" s="154" t="s">
        <v>516</v>
      </c>
      <c r="M9" s="339"/>
    </row>
    <row r="10" spans="1:13" ht="78.75" customHeight="1">
      <c r="A10" s="157">
        <f t="shared" si="0"/>
        <v>7</v>
      </c>
      <c r="B10" s="154" t="s">
        <v>80</v>
      </c>
      <c r="C10" s="154" t="s">
        <v>81</v>
      </c>
      <c r="D10" s="154" t="s">
        <v>82</v>
      </c>
      <c r="E10" s="154"/>
      <c r="F10" s="153" t="s">
        <v>87</v>
      </c>
      <c r="G10" s="154"/>
      <c r="H10" s="216">
        <v>6</v>
      </c>
      <c r="I10" s="154" t="s">
        <v>517</v>
      </c>
      <c r="J10" s="264" t="s">
        <v>62</v>
      </c>
      <c r="K10" s="180" t="s">
        <v>77</v>
      </c>
      <c r="L10" s="180" t="s">
        <v>518</v>
      </c>
      <c r="M10" s="339"/>
    </row>
    <row r="11" spans="1:13">
      <c r="A11" s="157">
        <f t="shared" si="0"/>
        <v>8</v>
      </c>
      <c r="B11" s="154" t="s">
        <v>303</v>
      </c>
      <c r="C11" s="154" t="s">
        <v>323</v>
      </c>
      <c r="D11" s="154" t="s">
        <v>59</v>
      </c>
      <c r="E11" s="154">
        <v>10</v>
      </c>
      <c r="F11" s="153" t="s">
        <v>87</v>
      </c>
      <c r="G11" s="154"/>
      <c r="H11" s="154"/>
      <c r="I11" s="154" t="s">
        <v>519</v>
      </c>
      <c r="J11" s="264" t="s">
        <v>62</v>
      </c>
      <c r="K11" s="154" t="s">
        <v>520</v>
      </c>
      <c r="L11" s="154" t="s">
        <v>521</v>
      </c>
      <c r="M11" s="339"/>
    </row>
    <row r="12" spans="1:13">
      <c r="A12" s="157">
        <f t="shared" si="0"/>
        <v>9</v>
      </c>
      <c r="B12" s="154" t="s">
        <v>522</v>
      </c>
      <c r="C12" s="154" t="s">
        <v>523</v>
      </c>
      <c r="D12" s="154" t="s">
        <v>59</v>
      </c>
      <c r="E12" s="154">
        <v>2</v>
      </c>
      <c r="F12" s="153" t="s">
        <v>87</v>
      </c>
      <c r="G12" s="154"/>
      <c r="H12" s="154"/>
      <c r="I12" s="154"/>
      <c r="J12" s="264" t="s">
        <v>62</v>
      </c>
      <c r="K12" s="154" t="s">
        <v>524</v>
      </c>
      <c r="L12" s="154" t="s">
        <v>525</v>
      </c>
      <c r="M12" s="339"/>
    </row>
    <row r="13" spans="1:13">
      <c r="A13" s="157">
        <f t="shared" si="0"/>
        <v>10</v>
      </c>
      <c r="B13" s="154" t="s">
        <v>346</v>
      </c>
      <c r="C13" s="154" t="s">
        <v>347</v>
      </c>
      <c r="D13" s="154" t="s">
        <v>59</v>
      </c>
      <c r="E13" s="154">
        <v>2</v>
      </c>
      <c r="F13" s="153" t="s">
        <v>87</v>
      </c>
      <c r="G13" s="154"/>
      <c r="H13" s="154"/>
      <c r="I13" s="154" t="s">
        <v>526</v>
      </c>
      <c r="J13" s="270" t="s">
        <v>62</v>
      </c>
      <c r="K13" s="263" t="s">
        <v>63</v>
      </c>
      <c r="L13" s="263" t="s">
        <v>63</v>
      </c>
      <c r="M13" s="338"/>
    </row>
    <row r="14" spans="1:13" ht="24">
      <c r="A14" s="157">
        <f t="shared" si="0"/>
        <v>11</v>
      </c>
      <c r="B14" s="154" t="s">
        <v>350</v>
      </c>
      <c r="C14" s="154" t="s">
        <v>527</v>
      </c>
      <c r="D14" s="154" t="s">
        <v>216</v>
      </c>
      <c r="E14" s="154"/>
      <c r="F14" s="153" t="s">
        <v>87</v>
      </c>
      <c r="G14" s="154"/>
      <c r="H14" s="154"/>
      <c r="I14" s="313" t="s">
        <v>528</v>
      </c>
      <c r="J14" s="316" t="s">
        <v>62</v>
      </c>
      <c r="K14" s="263" t="s">
        <v>63</v>
      </c>
      <c r="L14" s="263" t="s">
        <v>63</v>
      </c>
      <c r="M14" s="338"/>
    </row>
    <row r="15" spans="1:13" ht="24">
      <c r="A15" s="157">
        <f t="shared" si="0"/>
        <v>12</v>
      </c>
      <c r="B15" s="154" t="s">
        <v>529</v>
      </c>
      <c r="C15" s="154" t="s">
        <v>530</v>
      </c>
      <c r="D15" s="154" t="s">
        <v>311</v>
      </c>
      <c r="E15" s="154">
        <v>7</v>
      </c>
      <c r="F15" s="153" t="s">
        <v>87</v>
      </c>
      <c r="G15" s="154"/>
      <c r="H15" s="154"/>
      <c r="I15" s="313" t="s">
        <v>531</v>
      </c>
      <c r="J15" s="317" t="s">
        <v>62</v>
      </c>
      <c r="K15" s="263" t="s">
        <v>63</v>
      </c>
      <c r="L15" s="263" t="s">
        <v>63</v>
      </c>
      <c r="M15" s="338"/>
    </row>
    <row r="16" spans="1:13" ht="24">
      <c r="A16" s="157">
        <f t="shared" si="0"/>
        <v>13</v>
      </c>
      <c r="B16" s="154" t="s">
        <v>313</v>
      </c>
      <c r="C16" s="154" t="s">
        <v>532</v>
      </c>
      <c r="D16" s="154" t="s">
        <v>311</v>
      </c>
      <c r="E16" s="154">
        <v>7</v>
      </c>
      <c r="F16" s="153" t="s">
        <v>87</v>
      </c>
      <c r="G16" s="154"/>
      <c r="H16" s="154"/>
      <c r="I16" s="313" t="s">
        <v>533</v>
      </c>
      <c r="J16" s="317" t="s">
        <v>62</v>
      </c>
      <c r="K16" s="263" t="s">
        <v>63</v>
      </c>
      <c r="L16" s="263" t="s">
        <v>63</v>
      </c>
      <c r="M16" s="338"/>
    </row>
    <row r="17" spans="1:13">
      <c r="A17" s="157">
        <f t="shared" si="0"/>
        <v>14</v>
      </c>
      <c r="B17" s="154" t="s">
        <v>534</v>
      </c>
      <c r="C17" s="154" t="s">
        <v>535</v>
      </c>
      <c r="D17" s="154" t="s">
        <v>536</v>
      </c>
      <c r="E17" s="154">
        <v>7</v>
      </c>
      <c r="F17" s="153"/>
      <c r="G17" s="154"/>
      <c r="H17" s="154"/>
      <c r="I17" s="313" t="s">
        <v>537</v>
      </c>
      <c r="J17" s="318" t="s">
        <v>112</v>
      </c>
      <c r="K17" s="280" t="s">
        <v>210</v>
      </c>
      <c r="L17" s="280" t="s">
        <v>210</v>
      </c>
      <c r="M17" s="350"/>
    </row>
    <row r="18" spans="1:13">
      <c r="A18" s="157">
        <f t="shared" si="0"/>
        <v>15</v>
      </c>
      <c r="B18" s="154" t="s">
        <v>538</v>
      </c>
      <c r="C18" s="154" t="s">
        <v>539</v>
      </c>
      <c r="D18" s="154" t="s">
        <v>536</v>
      </c>
      <c r="E18" s="154">
        <v>7</v>
      </c>
      <c r="F18" s="153"/>
      <c r="G18" s="154"/>
      <c r="H18" s="154"/>
      <c r="I18" s="313" t="s">
        <v>540</v>
      </c>
      <c r="J18" s="318" t="s">
        <v>112</v>
      </c>
      <c r="K18" s="280" t="s">
        <v>210</v>
      </c>
      <c r="L18" s="280" t="s">
        <v>210</v>
      </c>
      <c r="M18" s="350"/>
    </row>
    <row r="19" spans="1:13" ht="54">
      <c r="A19" s="157">
        <f t="shared" si="0"/>
        <v>16</v>
      </c>
      <c r="B19" s="154" t="s">
        <v>373</v>
      </c>
      <c r="C19" s="154" t="s">
        <v>541</v>
      </c>
      <c r="D19" s="154" t="s">
        <v>542</v>
      </c>
      <c r="E19" s="154"/>
      <c r="F19" s="153" t="s">
        <v>87</v>
      </c>
      <c r="G19" s="154"/>
      <c r="H19" s="154"/>
      <c r="I19" s="180" t="s">
        <v>543</v>
      </c>
      <c r="J19" s="319" t="s">
        <v>62</v>
      </c>
      <c r="K19" s="154" t="s">
        <v>474</v>
      </c>
      <c r="L19" s="154" t="s">
        <v>474</v>
      </c>
      <c r="M19" s="339"/>
    </row>
    <row r="20" spans="1:13" ht="40.5">
      <c r="A20" s="157">
        <f t="shared" si="0"/>
        <v>17</v>
      </c>
      <c r="B20" s="154" t="s">
        <v>377</v>
      </c>
      <c r="C20" s="154" t="s">
        <v>378</v>
      </c>
      <c r="D20" s="154" t="s">
        <v>133</v>
      </c>
      <c r="E20" s="154"/>
      <c r="F20" s="153" t="s">
        <v>87</v>
      </c>
      <c r="G20" s="154"/>
      <c r="H20" s="154"/>
      <c r="I20" s="180" t="s">
        <v>544</v>
      </c>
      <c r="J20" s="318" t="s">
        <v>112</v>
      </c>
      <c r="K20" s="282" t="s">
        <v>496</v>
      </c>
      <c r="L20" s="282" t="s">
        <v>496</v>
      </c>
      <c r="M20" s="339"/>
    </row>
    <row r="21" spans="1:13" ht="40.5">
      <c r="A21" s="157">
        <f t="shared" si="0"/>
        <v>18</v>
      </c>
      <c r="B21" s="154" t="s">
        <v>381</v>
      </c>
      <c r="C21" s="154" t="s">
        <v>382</v>
      </c>
      <c r="D21" s="154" t="s">
        <v>133</v>
      </c>
      <c r="E21" s="154"/>
      <c r="F21" s="153" t="s">
        <v>87</v>
      </c>
      <c r="G21" s="154"/>
      <c r="H21" s="154"/>
      <c r="I21" s="180" t="s">
        <v>545</v>
      </c>
      <c r="J21" s="318" t="s">
        <v>112</v>
      </c>
      <c r="K21" s="282" t="s">
        <v>496</v>
      </c>
      <c r="L21" s="282" t="s">
        <v>496</v>
      </c>
      <c r="M21" s="339"/>
    </row>
    <row r="22" spans="1:13" ht="40.5">
      <c r="A22" s="157">
        <f t="shared" si="0"/>
        <v>19</v>
      </c>
      <c r="B22" s="154" t="s">
        <v>384</v>
      </c>
      <c r="C22" s="154" t="s">
        <v>385</v>
      </c>
      <c r="D22" s="154" t="s">
        <v>133</v>
      </c>
      <c r="E22" s="154"/>
      <c r="F22" s="153" t="s">
        <v>87</v>
      </c>
      <c r="G22" s="154"/>
      <c r="H22" s="154"/>
      <c r="I22" s="180" t="s">
        <v>546</v>
      </c>
      <c r="J22" s="318" t="s">
        <v>112</v>
      </c>
      <c r="K22" s="282" t="s">
        <v>496</v>
      </c>
      <c r="L22" s="282" t="s">
        <v>496</v>
      </c>
      <c r="M22" s="339"/>
    </row>
    <row r="23" spans="1:13" ht="40.5">
      <c r="A23" s="157">
        <f t="shared" si="0"/>
        <v>20</v>
      </c>
      <c r="B23" s="154" t="s">
        <v>387</v>
      </c>
      <c r="C23" s="154" t="s">
        <v>388</v>
      </c>
      <c r="D23" s="154" t="s">
        <v>133</v>
      </c>
      <c r="E23" s="154"/>
      <c r="F23" s="153" t="s">
        <v>87</v>
      </c>
      <c r="G23" s="154"/>
      <c r="H23" s="154"/>
      <c r="I23" s="180" t="s">
        <v>547</v>
      </c>
      <c r="J23" s="318" t="s">
        <v>112</v>
      </c>
      <c r="K23" s="282" t="s">
        <v>496</v>
      </c>
      <c r="L23" s="282" t="s">
        <v>496</v>
      </c>
      <c r="M23" s="339"/>
    </row>
    <row r="24" spans="1:13" ht="40.5">
      <c r="A24" s="157">
        <f t="shared" si="0"/>
        <v>21</v>
      </c>
      <c r="B24" s="154" t="s">
        <v>390</v>
      </c>
      <c r="C24" s="154" t="s">
        <v>391</v>
      </c>
      <c r="D24" s="154" t="s">
        <v>133</v>
      </c>
      <c r="E24" s="154"/>
      <c r="F24" s="153" t="s">
        <v>87</v>
      </c>
      <c r="G24" s="154"/>
      <c r="H24" s="154"/>
      <c r="I24" s="180" t="s">
        <v>548</v>
      </c>
      <c r="J24" s="318" t="s">
        <v>112</v>
      </c>
      <c r="K24" s="282" t="s">
        <v>496</v>
      </c>
      <c r="L24" s="282" t="s">
        <v>496</v>
      </c>
      <c r="M24" s="339"/>
    </row>
    <row r="25" spans="1:13" ht="40.5">
      <c r="A25" s="157">
        <f t="shared" si="0"/>
        <v>22</v>
      </c>
      <c r="B25" s="154" t="s">
        <v>393</v>
      </c>
      <c r="C25" s="154" t="s">
        <v>394</v>
      </c>
      <c r="D25" s="154" t="s">
        <v>133</v>
      </c>
      <c r="E25" s="154"/>
      <c r="F25" s="153" t="s">
        <v>87</v>
      </c>
      <c r="G25" s="154"/>
      <c r="H25" s="154"/>
      <c r="I25" s="180" t="s">
        <v>549</v>
      </c>
      <c r="J25" s="318" t="s">
        <v>112</v>
      </c>
      <c r="K25" s="282" t="s">
        <v>496</v>
      </c>
      <c r="L25" s="282" t="s">
        <v>496</v>
      </c>
      <c r="M25" s="339"/>
    </row>
    <row r="26" spans="1:13" ht="41.25" thickBot="1">
      <c r="A26" s="163">
        <f t="shared" si="0"/>
        <v>23</v>
      </c>
      <c r="B26" s="164" t="s">
        <v>396</v>
      </c>
      <c r="C26" s="164" t="s">
        <v>397</v>
      </c>
      <c r="D26" s="164" t="s">
        <v>133</v>
      </c>
      <c r="E26" s="164"/>
      <c r="F26" s="165" t="s">
        <v>87</v>
      </c>
      <c r="G26" s="164"/>
      <c r="H26" s="164"/>
      <c r="I26" s="250" t="s">
        <v>550</v>
      </c>
      <c r="J26" s="315" t="s">
        <v>112</v>
      </c>
      <c r="K26" s="314" t="s">
        <v>496</v>
      </c>
      <c r="L26" s="314" t="s">
        <v>496</v>
      </c>
      <c r="M26" s="340"/>
    </row>
  </sheetData>
  <phoneticPr fontId="4"/>
  <pageMargins left="0.19685039370078741" right="0.19685039370078741" top="0.62992125984251968" bottom="0.39370078740157483" header="0.19685039370078741" footer="0.31496062992125984"/>
  <pageSetup paperSize="9" fitToHeight="0" orientation="landscape" r:id="rId1"/>
  <headerFooter alignWithMargins="0">
    <oddFooter>&amp;C&amp;"Times New Roman,標準"&amp;10&amp;P/&amp;N&amp;R&amp;"Times New Roman,標準"&amp;9Copyright(C) 2017-2019 VINX Corporation. All Rights Reserved.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499984740745262"/>
  </sheetPr>
  <dimension ref="A1:M24"/>
  <sheetViews>
    <sheetView topLeftCell="A2" zoomScale="115" zoomScaleNormal="115" workbookViewId="0">
      <selection activeCell="M2" sqref="M2"/>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0.25" style="206" customWidth="1"/>
    <col min="10" max="10" width="10.375" style="206" bestFit="1" customWidth="1"/>
    <col min="11" max="13" width="31.375" style="206" customWidth="1"/>
    <col min="14" max="16384" width="9" style="206"/>
  </cols>
  <sheetData>
    <row r="1" spans="1:13">
      <c r="A1" s="206" t="s">
        <v>551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266" t="s">
        <v>6</v>
      </c>
      <c r="L3" s="266" t="s">
        <v>7</v>
      </c>
      <c r="M3" s="286" t="s">
        <v>504</v>
      </c>
    </row>
    <row r="4" spans="1:13" ht="41.25" thickTop="1">
      <c r="A4" s="243">
        <f>ROW()-3</f>
        <v>1</v>
      </c>
      <c r="B4" s="154" t="s">
        <v>296</v>
      </c>
      <c r="C4" s="154" t="s">
        <v>58</v>
      </c>
      <c r="D4" s="154" t="s">
        <v>106</v>
      </c>
      <c r="E4" s="154">
        <v>1</v>
      </c>
      <c r="F4" s="153" t="s">
        <v>60</v>
      </c>
      <c r="G4" s="154"/>
      <c r="H4" s="154">
        <v>1</v>
      </c>
      <c r="I4" s="166" t="s">
        <v>552</v>
      </c>
      <c r="J4" s="270" t="s">
        <v>62</v>
      </c>
      <c r="K4" s="263" t="s">
        <v>63</v>
      </c>
      <c r="L4" s="263" t="s">
        <v>63</v>
      </c>
      <c r="M4" s="338"/>
    </row>
    <row r="5" spans="1:13">
      <c r="A5" s="156">
        <f t="shared" ref="A5:A6" si="0">ROW()-3</f>
        <v>2</v>
      </c>
      <c r="B5" s="154" t="s">
        <v>300</v>
      </c>
      <c r="C5" s="154" t="s">
        <v>65</v>
      </c>
      <c r="D5" s="154" t="s">
        <v>106</v>
      </c>
      <c r="E5" s="154">
        <v>10</v>
      </c>
      <c r="F5" s="153" t="s">
        <v>60</v>
      </c>
      <c r="G5" s="154"/>
      <c r="H5" s="154">
        <v>2</v>
      </c>
      <c r="I5" s="180" t="s">
        <v>66</v>
      </c>
      <c r="J5" s="264" t="s">
        <v>62</v>
      </c>
      <c r="K5" s="166" t="s">
        <v>67</v>
      </c>
      <c r="L5" s="166" t="s">
        <v>68</v>
      </c>
      <c r="M5" s="338"/>
    </row>
    <row r="6" spans="1:13">
      <c r="A6" s="156">
        <f t="shared" si="0"/>
        <v>3</v>
      </c>
      <c r="B6" s="154" t="s">
        <v>302</v>
      </c>
      <c r="C6" s="154" t="s">
        <v>71</v>
      </c>
      <c r="D6" s="154" t="s">
        <v>106</v>
      </c>
      <c r="E6" s="154">
        <v>10</v>
      </c>
      <c r="F6" s="153" t="s">
        <v>60</v>
      </c>
      <c r="G6" s="154"/>
      <c r="H6" s="154">
        <v>3</v>
      </c>
      <c r="I6" s="180" t="s">
        <v>178</v>
      </c>
      <c r="J6" s="270" t="s">
        <v>62</v>
      </c>
      <c r="K6" s="263" t="s">
        <v>63</v>
      </c>
      <c r="L6" s="263" t="s">
        <v>63</v>
      </c>
      <c r="M6" s="338"/>
    </row>
    <row r="7" spans="1:13">
      <c r="A7" s="156">
        <f>ROW()-3</f>
        <v>4</v>
      </c>
      <c r="B7" s="154" t="s">
        <v>553</v>
      </c>
      <c r="C7" s="154" t="s">
        <v>554</v>
      </c>
      <c r="D7" s="154" t="s">
        <v>106</v>
      </c>
      <c r="E7" s="154">
        <v>10</v>
      </c>
      <c r="F7" s="153" t="s">
        <v>60</v>
      </c>
      <c r="G7" s="154"/>
      <c r="H7" s="154">
        <v>4</v>
      </c>
      <c r="I7" s="166"/>
      <c r="J7" s="264" t="s">
        <v>62</v>
      </c>
      <c r="K7" s="154" t="s">
        <v>555</v>
      </c>
      <c r="L7" s="154" t="s">
        <v>555</v>
      </c>
      <c r="M7" s="339"/>
    </row>
    <row r="8" spans="1:13" ht="27">
      <c r="A8" s="157">
        <f t="shared" ref="A8:A24" si="1">ROW()-3</f>
        <v>5</v>
      </c>
      <c r="B8" s="251" t="s">
        <v>556</v>
      </c>
      <c r="C8" s="251" t="s">
        <v>557</v>
      </c>
      <c r="D8" s="251" t="s">
        <v>216</v>
      </c>
      <c r="E8" s="251"/>
      <c r="F8" s="252" t="s">
        <v>60</v>
      </c>
      <c r="G8" s="154"/>
      <c r="H8" s="154"/>
      <c r="I8" s="166" t="s">
        <v>558</v>
      </c>
      <c r="J8" s="264" t="s">
        <v>62</v>
      </c>
      <c r="K8" s="154" t="s">
        <v>559</v>
      </c>
      <c r="L8" s="154" t="s">
        <v>559</v>
      </c>
      <c r="M8" s="339"/>
    </row>
    <row r="9" spans="1:13">
      <c r="A9" s="156">
        <f t="shared" si="1"/>
        <v>6</v>
      </c>
      <c r="B9" s="251" t="s">
        <v>49</v>
      </c>
      <c r="C9" s="251" t="s">
        <v>560</v>
      </c>
      <c r="D9" s="251" t="s">
        <v>106</v>
      </c>
      <c r="E9" s="251">
        <v>50</v>
      </c>
      <c r="F9" s="252"/>
      <c r="G9" s="251"/>
      <c r="H9" s="251"/>
      <c r="I9" s="253"/>
      <c r="J9" s="264" t="s">
        <v>62</v>
      </c>
      <c r="K9" s="154" t="s">
        <v>561</v>
      </c>
      <c r="L9" s="154" t="s">
        <v>561</v>
      </c>
      <c r="M9" s="339"/>
    </row>
    <row r="10" spans="1:13">
      <c r="A10" s="157">
        <f t="shared" si="1"/>
        <v>7</v>
      </c>
      <c r="B10" s="251" t="s">
        <v>562</v>
      </c>
      <c r="C10" s="251" t="s">
        <v>323</v>
      </c>
      <c r="D10" s="251" t="s">
        <v>106</v>
      </c>
      <c r="E10" s="251">
        <v>10</v>
      </c>
      <c r="F10" s="252" t="s">
        <v>60</v>
      </c>
      <c r="G10" s="251"/>
      <c r="H10" s="251"/>
      <c r="I10" s="166" t="s">
        <v>563</v>
      </c>
      <c r="J10" s="264" t="s">
        <v>62</v>
      </c>
      <c r="K10" s="180" t="s">
        <v>564</v>
      </c>
      <c r="L10" s="180" t="s">
        <v>564</v>
      </c>
      <c r="M10" s="339"/>
    </row>
    <row r="11" spans="1:13">
      <c r="A11" s="156">
        <f t="shared" si="1"/>
        <v>8</v>
      </c>
      <c r="B11" s="154" t="s">
        <v>522</v>
      </c>
      <c r="C11" s="154" t="s">
        <v>565</v>
      </c>
      <c r="D11" s="154" t="s">
        <v>106</v>
      </c>
      <c r="E11" s="154">
        <v>2</v>
      </c>
      <c r="F11" s="153" t="s">
        <v>60</v>
      </c>
      <c r="G11" s="154"/>
      <c r="H11" s="154"/>
      <c r="I11" s="254"/>
      <c r="J11" s="264" t="s">
        <v>62</v>
      </c>
      <c r="K11" s="154" t="s">
        <v>566</v>
      </c>
      <c r="L11" s="154" t="s">
        <v>566</v>
      </c>
      <c r="M11" s="339"/>
    </row>
    <row r="12" spans="1:13">
      <c r="A12" s="156">
        <f t="shared" si="1"/>
        <v>9</v>
      </c>
      <c r="B12" s="162" t="s">
        <v>346</v>
      </c>
      <c r="C12" s="162" t="s">
        <v>567</v>
      </c>
      <c r="D12" s="162" t="s">
        <v>106</v>
      </c>
      <c r="E12" s="162">
        <v>2</v>
      </c>
      <c r="F12" s="255" t="s">
        <v>60</v>
      </c>
      <c r="G12" s="162"/>
      <c r="H12" s="162"/>
      <c r="I12" s="256" t="s">
        <v>568</v>
      </c>
      <c r="J12" s="264" t="s">
        <v>62</v>
      </c>
      <c r="K12" s="154" t="s">
        <v>569</v>
      </c>
      <c r="L12" s="154" t="s">
        <v>569</v>
      </c>
      <c r="M12" s="339"/>
    </row>
    <row r="13" spans="1:13" ht="27">
      <c r="A13" s="156">
        <f t="shared" si="1"/>
        <v>10</v>
      </c>
      <c r="B13" s="154" t="s">
        <v>309</v>
      </c>
      <c r="C13" s="154" t="s">
        <v>530</v>
      </c>
      <c r="D13" s="154" t="s">
        <v>570</v>
      </c>
      <c r="E13" s="154">
        <v>7</v>
      </c>
      <c r="F13" s="255" t="s">
        <v>60</v>
      </c>
      <c r="G13" s="162"/>
      <c r="H13" s="162">
        <v>5</v>
      </c>
      <c r="I13" s="209" t="s">
        <v>571</v>
      </c>
      <c r="J13" s="264" t="s">
        <v>62</v>
      </c>
      <c r="K13" s="154" t="s">
        <v>572</v>
      </c>
      <c r="L13" s="154" t="s">
        <v>572</v>
      </c>
      <c r="M13" s="339"/>
    </row>
    <row r="14" spans="1:13" ht="27">
      <c r="A14" s="156">
        <f t="shared" si="1"/>
        <v>11</v>
      </c>
      <c r="B14" s="154" t="s">
        <v>313</v>
      </c>
      <c r="C14" s="154" t="s">
        <v>532</v>
      </c>
      <c r="D14" s="154" t="s">
        <v>311</v>
      </c>
      <c r="E14" s="154">
        <v>7</v>
      </c>
      <c r="F14" s="255" t="s">
        <v>60</v>
      </c>
      <c r="G14" s="162"/>
      <c r="H14" s="162">
        <v>6</v>
      </c>
      <c r="I14" s="209" t="s">
        <v>573</v>
      </c>
      <c r="J14" s="264" t="s">
        <v>62</v>
      </c>
      <c r="K14" s="154" t="s">
        <v>574</v>
      </c>
      <c r="L14" s="154" t="s">
        <v>574</v>
      </c>
      <c r="M14" s="339"/>
    </row>
    <row r="15" spans="1:13" ht="27">
      <c r="A15" s="156">
        <f t="shared" si="1"/>
        <v>12</v>
      </c>
      <c r="B15" s="154" t="s">
        <v>575</v>
      </c>
      <c r="C15" s="154" t="s">
        <v>535</v>
      </c>
      <c r="D15" s="154" t="s">
        <v>536</v>
      </c>
      <c r="E15" s="154">
        <v>7</v>
      </c>
      <c r="F15" s="255" t="s">
        <v>60</v>
      </c>
      <c r="G15" s="162"/>
      <c r="H15" s="162">
        <v>7</v>
      </c>
      <c r="I15" s="166" t="s">
        <v>576</v>
      </c>
      <c r="J15" s="264" t="s">
        <v>62</v>
      </c>
      <c r="K15" s="154" t="s">
        <v>577</v>
      </c>
      <c r="L15" s="154" t="s">
        <v>577</v>
      </c>
      <c r="M15" s="339"/>
    </row>
    <row r="16" spans="1:13" ht="27">
      <c r="A16" s="156">
        <f t="shared" si="1"/>
        <v>13</v>
      </c>
      <c r="B16" s="154" t="s">
        <v>578</v>
      </c>
      <c r="C16" s="154" t="s">
        <v>539</v>
      </c>
      <c r="D16" s="154" t="s">
        <v>536</v>
      </c>
      <c r="E16" s="154">
        <v>7</v>
      </c>
      <c r="F16" s="255" t="s">
        <v>60</v>
      </c>
      <c r="G16" s="162"/>
      <c r="H16" s="162">
        <v>8</v>
      </c>
      <c r="I16" s="166" t="s">
        <v>579</v>
      </c>
      <c r="J16" s="264" t="s">
        <v>62</v>
      </c>
      <c r="K16" s="154" t="s">
        <v>580</v>
      </c>
      <c r="L16" s="154" t="s">
        <v>580</v>
      </c>
      <c r="M16" s="339"/>
    </row>
    <row r="17" spans="1:13" ht="54">
      <c r="A17" s="156">
        <f t="shared" si="1"/>
        <v>14</v>
      </c>
      <c r="B17" s="154" t="s">
        <v>373</v>
      </c>
      <c r="C17" s="154" t="s">
        <v>541</v>
      </c>
      <c r="D17" s="154" t="s">
        <v>542</v>
      </c>
      <c r="E17" s="154"/>
      <c r="F17" s="153" t="s">
        <v>87</v>
      </c>
      <c r="G17" s="162"/>
      <c r="H17" s="162"/>
      <c r="I17" s="166" t="s">
        <v>543</v>
      </c>
      <c r="J17" s="264" t="s">
        <v>62</v>
      </c>
      <c r="K17" s="154" t="s">
        <v>581</v>
      </c>
      <c r="L17" s="154" t="s">
        <v>581</v>
      </c>
      <c r="M17" s="339"/>
    </row>
    <row r="18" spans="1:13">
      <c r="A18" s="156">
        <f t="shared" si="1"/>
        <v>15</v>
      </c>
      <c r="B18" s="154" t="s">
        <v>377</v>
      </c>
      <c r="C18" s="154" t="s">
        <v>378</v>
      </c>
      <c r="D18" s="154" t="s">
        <v>133</v>
      </c>
      <c r="E18" s="154"/>
      <c r="F18" s="153" t="s">
        <v>87</v>
      </c>
      <c r="G18" s="162"/>
      <c r="H18" s="162"/>
      <c r="I18" s="208" t="s">
        <v>582</v>
      </c>
      <c r="J18" s="320" t="s">
        <v>583</v>
      </c>
      <c r="K18" s="154" t="s">
        <v>584</v>
      </c>
      <c r="L18" s="154" t="s">
        <v>584</v>
      </c>
      <c r="M18" s="339"/>
    </row>
    <row r="19" spans="1:13">
      <c r="A19" s="156">
        <f t="shared" si="1"/>
        <v>16</v>
      </c>
      <c r="B19" s="154" t="s">
        <v>381</v>
      </c>
      <c r="C19" s="154" t="s">
        <v>382</v>
      </c>
      <c r="D19" s="154" t="s">
        <v>133</v>
      </c>
      <c r="E19" s="154"/>
      <c r="F19" s="153" t="s">
        <v>87</v>
      </c>
      <c r="G19" s="162"/>
      <c r="H19" s="162"/>
      <c r="I19" s="208" t="s">
        <v>585</v>
      </c>
      <c r="J19" s="320" t="s">
        <v>583</v>
      </c>
      <c r="K19" s="154" t="s">
        <v>584</v>
      </c>
      <c r="L19" s="154" t="s">
        <v>584</v>
      </c>
      <c r="M19" s="339"/>
    </row>
    <row r="20" spans="1:13">
      <c r="A20" s="156">
        <f t="shared" si="1"/>
        <v>17</v>
      </c>
      <c r="B20" s="154" t="s">
        <v>384</v>
      </c>
      <c r="C20" s="154" t="s">
        <v>385</v>
      </c>
      <c r="D20" s="154" t="s">
        <v>133</v>
      </c>
      <c r="E20" s="154"/>
      <c r="F20" s="153" t="s">
        <v>87</v>
      </c>
      <c r="G20" s="162"/>
      <c r="H20" s="162"/>
      <c r="I20" s="208" t="s">
        <v>586</v>
      </c>
      <c r="J20" s="320" t="s">
        <v>583</v>
      </c>
      <c r="K20" s="154" t="s">
        <v>584</v>
      </c>
      <c r="L20" s="154" t="s">
        <v>584</v>
      </c>
      <c r="M20" s="339"/>
    </row>
    <row r="21" spans="1:13">
      <c r="A21" s="156">
        <f t="shared" si="1"/>
        <v>18</v>
      </c>
      <c r="B21" s="154" t="s">
        <v>387</v>
      </c>
      <c r="C21" s="154" t="s">
        <v>388</v>
      </c>
      <c r="D21" s="154" t="s">
        <v>133</v>
      </c>
      <c r="E21" s="154"/>
      <c r="F21" s="153" t="s">
        <v>87</v>
      </c>
      <c r="G21" s="162"/>
      <c r="H21" s="162"/>
      <c r="I21" s="208" t="s">
        <v>587</v>
      </c>
      <c r="J21" s="320" t="s">
        <v>583</v>
      </c>
      <c r="K21" s="154" t="s">
        <v>584</v>
      </c>
      <c r="L21" s="154" t="s">
        <v>584</v>
      </c>
      <c r="M21" s="339"/>
    </row>
    <row r="22" spans="1:13">
      <c r="A22" s="156">
        <f t="shared" si="1"/>
        <v>19</v>
      </c>
      <c r="B22" s="154" t="s">
        <v>390</v>
      </c>
      <c r="C22" s="154" t="s">
        <v>391</v>
      </c>
      <c r="D22" s="154" t="s">
        <v>133</v>
      </c>
      <c r="E22" s="154"/>
      <c r="F22" s="153" t="s">
        <v>87</v>
      </c>
      <c r="G22" s="162"/>
      <c r="H22" s="162"/>
      <c r="I22" s="208" t="s">
        <v>588</v>
      </c>
      <c r="J22" s="320" t="s">
        <v>583</v>
      </c>
      <c r="K22" s="154" t="s">
        <v>584</v>
      </c>
      <c r="L22" s="154" t="s">
        <v>584</v>
      </c>
      <c r="M22" s="339"/>
    </row>
    <row r="23" spans="1:13">
      <c r="A23" s="156">
        <f t="shared" si="1"/>
        <v>20</v>
      </c>
      <c r="B23" s="154" t="s">
        <v>393</v>
      </c>
      <c r="C23" s="154" t="s">
        <v>394</v>
      </c>
      <c r="D23" s="154" t="s">
        <v>133</v>
      </c>
      <c r="E23" s="154"/>
      <c r="F23" s="153" t="s">
        <v>87</v>
      </c>
      <c r="G23" s="162"/>
      <c r="H23" s="162"/>
      <c r="I23" s="208" t="s">
        <v>589</v>
      </c>
      <c r="J23" s="320" t="s">
        <v>583</v>
      </c>
      <c r="K23" s="154" t="s">
        <v>584</v>
      </c>
      <c r="L23" s="154" t="s">
        <v>584</v>
      </c>
      <c r="M23" s="339"/>
    </row>
    <row r="24" spans="1:13" ht="14.25" thickBot="1">
      <c r="A24" s="163">
        <f t="shared" si="1"/>
        <v>21</v>
      </c>
      <c r="B24" s="164" t="s">
        <v>396</v>
      </c>
      <c r="C24" s="164" t="s">
        <v>397</v>
      </c>
      <c r="D24" s="164" t="s">
        <v>133</v>
      </c>
      <c r="E24" s="164"/>
      <c r="F24" s="165" t="s">
        <v>87</v>
      </c>
      <c r="G24" s="164"/>
      <c r="H24" s="164"/>
      <c r="I24" s="211" t="s">
        <v>590</v>
      </c>
      <c r="J24" s="284" t="s">
        <v>583</v>
      </c>
      <c r="K24" s="164" t="s">
        <v>584</v>
      </c>
      <c r="L24" s="164" t="s">
        <v>584</v>
      </c>
      <c r="M24" s="340"/>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499984740745262"/>
  </sheetPr>
  <dimension ref="A1:M24"/>
  <sheetViews>
    <sheetView topLeftCell="J1" zoomScale="115" zoomScaleNormal="115"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9" style="206" hidden="1" customWidth="1" outlineLevel="1"/>
    <col min="8" max="8" width="9" style="206" customWidth="1" collapsed="1"/>
    <col min="9" max="9" width="40.25" style="206" customWidth="1"/>
    <col min="10" max="10" width="10.375" style="206" bestFit="1" customWidth="1"/>
    <col min="11" max="13" width="31.375" style="206" customWidth="1"/>
    <col min="14" max="16384" width="9" style="206"/>
  </cols>
  <sheetData>
    <row r="1" spans="1:13">
      <c r="A1" s="206" t="s">
        <v>591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266" t="s">
        <v>6</v>
      </c>
      <c r="L3" s="266" t="s">
        <v>7</v>
      </c>
      <c r="M3" s="286" t="s">
        <v>504</v>
      </c>
    </row>
    <row r="4" spans="1:13" ht="41.25" thickTop="1">
      <c r="A4" s="243">
        <f>ROW()-3</f>
        <v>1</v>
      </c>
      <c r="B4" s="154" t="s">
        <v>296</v>
      </c>
      <c r="C4" s="154" t="s">
        <v>58</v>
      </c>
      <c r="D4" s="154" t="s">
        <v>106</v>
      </c>
      <c r="E4" s="154">
        <v>1</v>
      </c>
      <c r="F4" s="153" t="s">
        <v>60</v>
      </c>
      <c r="G4" s="154"/>
      <c r="H4" s="154">
        <v>1</v>
      </c>
      <c r="I4" s="166" t="s">
        <v>552</v>
      </c>
      <c r="J4" s="270" t="s">
        <v>62</v>
      </c>
      <c r="K4" s="263" t="s">
        <v>63</v>
      </c>
      <c r="L4" s="263" t="s">
        <v>63</v>
      </c>
      <c r="M4" s="338"/>
    </row>
    <row r="5" spans="1:13">
      <c r="A5" s="156">
        <f t="shared" ref="A5:A6" si="0">ROW()-3</f>
        <v>2</v>
      </c>
      <c r="B5" s="154" t="s">
        <v>300</v>
      </c>
      <c r="C5" s="154" t="s">
        <v>65</v>
      </c>
      <c r="D5" s="154" t="s">
        <v>106</v>
      </c>
      <c r="E5" s="154">
        <v>10</v>
      </c>
      <c r="F5" s="153" t="s">
        <v>60</v>
      </c>
      <c r="G5" s="154"/>
      <c r="H5" s="154">
        <v>2</v>
      </c>
      <c r="I5" s="180" t="s">
        <v>66</v>
      </c>
      <c r="J5" s="264" t="s">
        <v>62</v>
      </c>
      <c r="K5" s="166" t="s">
        <v>67</v>
      </c>
      <c r="L5" s="166" t="s">
        <v>68</v>
      </c>
      <c r="M5" s="338"/>
    </row>
    <row r="6" spans="1:13">
      <c r="A6" s="156">
        <f t="shared" si="0"/>
        <v>3</v>
      </c>
      <c r="B6" s="154" t="s">
        <v>302</v>
      </c>
      <c r="C6" s="154" t="s">
        <v>71</v>
      </c>
      <c r="D6" s="154" t="s">
        <v>106</v>
      </c>
      <c r="E6" s="154">
        <v>10</v>
      </c>
      <c r="F6" s="153" t="s">
        <v>60</v>
      </c>
      <c r="G6" s="154"/>
      <c r="H6" s="154">
        <v>3</v>
      </c>
      <c r="I6" s="180" t="s">
        <v>178</v>
      </c>
      <c r="J6" s="270" t="s">
        <v>62</v>
      </c>
      <c r="K6" s="263" t="s">
        <v>63</v>
      </c>
      <c r="L6" s="263" t="s">
        <v>63</v>
      </c>
      <c r="M6" s="338"/>
    </row>
    <row r="7" spans="1:13">
      <c r="A7" s="156">
        <f>ROW()-3</f>
        <v>4</v>
      </c>
      <c r="B7" s="154" t="s">
        <v>553</v>
      </c>
      <c r="C7" s="154" t="s">
        <v>554</v>
      </c>
      <c r="D7" s="154" t="s">
        <v>106</v>
      </c>
      <c r="E7" s="154">
        <v>10</v>
      </c>
      <c r="F7" s="153" t="s">
        <v>60</v>
      </c>
      <c r="G7" s="154"/>
      <c r="H7" s="154">
        <v>4</v>
      </c>
      <c r="I7" s="166"/>
      <c r="J7" s="320" t="s">
        <v>583</v>
      </c>
      <c r="K7" s="154" t="s">
        <v>592</v>
      </c>
      <c r="L7" s="154" t="s">
        <v>592</v>
      </c>
      <c r="M7" s="339"/>
    </row>
    <row r="8" spans="1:13" ht="27">
      <c r="A8" s="157">
        <f t="shared" ref="A8:A24" si="1">ROW()-3</f>
        <v>5</v>
      </c>
      <c r="B8" s="251" t="s">
        <v>556</v>
      </c>
      <c r="C8" s="251" t="s">
        <v>557</v>
      </c>
      <c r="D8" s="251" t="s">
        <v>216</v>
      </c>
      <c r="E8" s="251"/>
      <c r="F8" s="252" t="s">
        <v>60</v>
      </c>
      <c r="G8" s="154"/>
      <c r="H8" s="154"/>
      <c r="I8" s="166" t="s">
        <v>558</v>
      </c>
      <c r="J8" s="320" t="s">
        <v>583</v>
      </c>
      <c r="K8" s="154" t="s">
        <v>559</v>
      </c>
      <c r="L8" s="154" t="s">
        <v>559</v>
      </c>
      <c r="M8" s="339"/>
    </row>
    <row r="9" spans="1:13">
      <c r="A9" s="156">
        <f t="shared" si="1"/>
        <v>6</v>
      </c>
      <c r="B9" s="251" t="s">
        <v>49</v>
      </c>
      <c r="C9" s="251" t="s">
        <v>560</v>
      </c>
      <c r="D9" s="251" t="s">
        <v>106</v>
      </c>
      <c r="E9" s="251">
        <v>50</v>
      </c>
      <c r="F9" s="252"/>
      <c r="G9" s="251"/>
      <c r="H9" s="251"/>
      <c r="I9" s="253"/>
      <c r="J9" s="320" t="s">
        <v>583</v>
      </c>
      <c r="K9" s="154" t="s">
        <v>561</v>
      </c>
      <c r="L9" s="154" t="s">
        <v>561</v>
      </c>
      <c r="M9" s="339"/>
    </row>
    <row r="10" spans="1:13">
      <c r="A10" s="157">
        <f t="shared" si="1"/>
        <v>7</v>
      </c>
      <c r="B10" s="251" t="s">
        <v>562</v>
      </c>
      <c r="C10" s="251" t="s">
        <v>323</v>
      </c>
      <c r="D10" s="251" t="s">
        <v>106</v>
      </c>
      <c r="E10" s="251">
        <v>10</v>
      </c>
      <c r="F10" s="252" t="s">
        <v>60</v>
      </c>
      <c r="G10" s="251"/>
      <c r="H10" s="251"/>
      <c r="I10" s="166" t="s">
        <v>563</v>
      </c>
      <c r="J10" s="320" t="s">
        <v>583</v>
      </c>
      <c r="K10" s="154" t="s">
        <v>593</v>
      </c>
      <c r="L10" s="154" t="s">
        <v>593</v>
      </c>
      <c r="M10" s="339"/>
    </row>
    <row r="11" spans="1:13">
      <c r="A11" s="156">
        <f t="shared" si="1"/>
        <v>8</v>
      </c>
      <c r="B11" s="154" t="s">
        <v>522</v>
      </c>
      <c r="C11" s="154" t="s">
        <v>565</v>
      </c>
      <c r="D11" s="154" t="s">
        <v>106</v>
      </c>
      <c r="E11" s="154">
        <v>2</v>
      </c>
      <c r="F11" s="153" t="s">
        <v>60</v>
      </c>
      <c r="G11" s="154"/>
      <c r="H11" s="154"/>
      <c r="I11" s="254"/>
      <c r="J11" s="320" t="s">
        <v>583</v>
      </c>
      <c r="K11" s="154" t="s">
        <v>594</v>
      </c>
      <c r="L11" s="154" t="s">
        <v>594</v>
      </c>
      <c r="M11" s="339"/>
    </row>
    <row r="12" spans="1:13">
      <c r="A12" s="156">
        <f t="shared" si="1"/>
        <v>9</v>
      </c>
      <c r="B12" s="162" t="s">
        <v>346</v>
      </c>
      <c r="C12" s="162" t="s">
        <v>567</v>
      </c>
      <c r="D12" s="162" t="s">
        <v>106</v>
      </c>
      <c r="E12" s="162">
        <v>2</v>
      </c>
      <c r="F12" s="255" t="s">
        <v>60</v>
      </c>
      <c r="G12" s="162"/>
      <c r="H12" s="162"/>
      <c r="I12" s="256" t="s">
        <v>568</v>
      </c>
      <c r="J12" s="320" t="s">
        <v>583</v>
      </c>
      <c r="K12" s="154" t="s">
        <v>595</v>
      </c>
      <c r="L12" s="154" t="s">
        <v>595</v>
      </c>
      <c r="M12" s="339"/>
    </row>
    <row r="13" spans="1:13" ht="27">
      <c r="A13" s="156">
        <f t="shared" si="1"/>
        <v>10</v>
      </c>
      <c r="B13" s="154" t="s">
        <v>309</v>
      </c>
      <c r="C13" s="154" t="s">
        <v>530</v>
      </c>
      <c r="D13" s="154" t="s">
        <v>570</v>
      </c>
      <c r="E13" s="154">
        <v>7</v>
      </c>
      <c r="F13" s="255" t="s">
        <v>60</v>
      </c>
      <c r="G13" s="162"/>
      <c r="H13" s="162">
        <v>5</v>
      </c>
      <c r="I13" s="209" t="s">
        <v>571</v>
      </c>
      <c r="J13" s="320" t="s">
        <v>583</v>
      </c>
      <c r="K13" s="154" t="s">
        <v>572</v>
      </c>
      <c r="L13" s="154" t="s">
        <v>572</v>
      </c>
      <c r="M13" s="339"/>
    </row>
    <row r="14" spans="1:13" ht="27">
      <c r="A14" s="156">
        <f t="shared" si="1"/>
        <v>11</v>
      </c>
      <c r="B14" s="154" t="s">
        <v>313</v>
      </c>
      <c r="C14" s="154" t="s">
        <v>532</v>
      </c>
      <c r="D14" s="154" t="s">
        <v>311</v>
      </c>
      <c r="E14" s="154">
        <v>7</v>
      </c>
      <c r="F14" s="255" t="s">
        <v>60</v>
      </c>
      <c r="G14" s="162"/>
      <c r="H14" s="162">
        <v>6</v>
      </c>
      <c r="I14" s="209" t="s">
        <v>573</v>
      </c>
      <c r="J14" s="320" t="s">
        <v>583</v>
      </c>
      <c r="K14" s="154" t="s">
        <v>574</v>
      </c>
      <c r="L14" s="154" t="s">
        <v>574</v>
      </c>
      <c r="M14" s="339"/>
    </row>
    <row r="15" spans="1:13" ht="27">
      <c r="A15" s="156">
        <f t="shared" si="1"/>
        <v>12</v>
      </c>
      <c r="B15" s="154" t="s">
        <v>575</v>
      </c>
      <c r="C15" s="154" t="s">
        <v>535</v>
      </c>
      <c r="D15" s="154" t="s">
        <v>536</v>
      </c>
      <c r="E15" s="154">
        <v>7</v>
      </c>
      <c r="F15" s="255" t="s">
        <v>60</v>
      </c>
      <c r="G15" s="162"/>
      <c r="H15" s="162">
        <v>7</v>
      </c>
      <c r="I15" s="166" t="s">
        <v>576</v>
      </c>
      <c r="J15" s="320" t="s">
        <v>583</v>
      </c>
      <c r="K15" s="154" t="s">
        <v>577</v>
      </c>
      <c r="L15" s="154" t="s">
        <v>577</v>
      </c>
      <c r="M15" s="339"/>
    </row>
    <row r="16" spans="1:13" ht="27">
      <c r="A16" s="156">
        <f t="shared" si="1"/>
        <v>13</v>
      </c>
      <c r="B16" s="154" t="s">
        <v>578</v>
      </c>
      <c r="C16" s="154" t="s">
        <v>539</v>
      </c>
      <c r="D16" s="154" t="s">
        <v>536</v>
      </c>
      <c r="E16" s="154">
        <v>7</v>
      </c>
      <c r="F16" s="255" t="s">
        <v>60</v>
      </c>
      <c r="G16" s="162"/>
      <c r="H16" s="162">
        <v>8</v>
      </c>
      <c r="I16" s="166" t="s">
        <v>579</v>
      </c>
      <c r="J16" s="320" t="s">
        <v>583</v>
      </c>
      <c r="K16" s="154" t="s">
        <v>580</v>
      </c>
      <c r="L16" s="154" t="s">
        <v>580</v>
      </c>
      <c r="M16" s="339"/>
    </row>
    <row r="17" spans="1:13" ht="54">
      <c r="A17" s="156">
        <f t="shared" si="1"/>
        <v>14</v>
      </c>
      <c r="B17" s="154" t="s">
        <v>373</v>
      </c>
      <c r="C17" s="154" t="s">
        <v>541</v>
      </c>
      <c r="D17" s="154" t="s">
        <v>542</v>
      </c>
      <c r="E17" s="154"/>
      <c r="F17" s="153" t="s">
        <v>87</v>
      </c>
      <c r="G17" s="162"/>
      <c r="H17" s="162"/>
      <c r="I17" s="166" t="s">
        <v>543</v>
      </c>
      <c r="J17" s="320" t="s">
        <v>583</v>
      </c>
      <c r="K17" s="154" t="s">
        <v>581</v>
      </c>
      <c r="L17" s="154" t="s">
        <v>581</v>
      </c>
      <c r="M17" s="339"/>
    </row>
    <row r="18" spans="1:13">
      <c r="A18" s="156">
        <f t="shared" si="1"/>
        <v>15</v>
      </c>
      <c r="B18" s="154" t="s">
        <v>377</v>
      </c>
      <c r="C18" s="154" t="s">
        <v>378</v>
      </c>
      <c r="D18" s="154" t="s">
        <v>133</v>
      </c>
      <c r="E18" s="154"/>
      <c r="F18" s="153" t="s">
        <v>87</v>
      </c>
      <c r="G18" s="162"/>
      <c r="H18" s="162"/>
      <c r="I18" s="208" t="s">
        <v>582</v>
      </c>
      <c r="J18" s="320" t="s">
        <v>583</v>
      </c>
      <c r="K18" s="154" t="s">
        <v>584</v>
      </c>
      <c r="L18" s="154" t="s">
        <v>596</v>
      </c>
      <c r="M18" s="339"/>
    </row>
    <row r="19" spans="1:13">
      <c r="A19" s="156">
        <f t="shared" si="1"/>
        <v>16</v>
      </c>
      <c r="B19" s="154" t="s">
        <v>381</v>
      </c>
      <c r="C19" s="154" t="s">
        <v>382</v>
      </c>
      <c r="D19" s="154" t="s">
        <v>133</v>
      </c>
      <c r="E19" s="154"/>
      <c r="F19" s="153" t="s">
        <v>87</v>
      </c>
      <c r="G19" s="162"/>
      <c r="H19" s="162"/>
      <c r="I19" s="208" t="s">
        <v>585</v>
      </c>
      <c r="J19" s="320" t="s">
        <v>583</v>
      </c>
      <c r="K19" s="154" t="s">
        <v>596</v>
      </c>
      <c r="L19" s="154" t="s">
        <v>596</v>
      </c>
      <c r="M19" s="339"/>
    </row>
    <row r="20" spans="1:13">
      <c r="A20" s="156">
        <f t="shared" si="1"/>
        <v>17</v>
      </c>
      <c r="B20" s="154" t="s">
        <v>384</v>
      </c>
      <c r="C20" s="154" t="s">
        <v>385</v>
      </c>
      <c r="D20" s="154" t="s">
        <v>133</v>
      </c>
      <c r="E20" s="154"/>
      <c r="F20" s="153" t="s">
        <v>87</v>
      </c>
      <c r="G20" s="162"/>
      <c r="H20" s="162"/>
      <c r="I20" s="208" t="s">
        <v>586</v>
      </c>
      <c r="J20" s="320" t="s">
        <v>583</v>
      </c>
      <c r="K20" s="154" t="s">
        <v>596</v>
      </c>
      <c r="L20" s="154" t="s">
        <v>596</v>
      </c>
      <c r="M20" s="339"/>
    </row>
    <row r="21" spans="1:13">
      <c r="A21" s="156">
        <f t="shared" si="1"/>
        <v>18</v>
      </c>
      <c r="B21" s="154" t="s">
        <v>387</v>
      </c>
      <c r="C21" s="154" t="s">
        <v>388</v>
      </c>
      <c r="D21" s="154" t="s">
        <v>133</v>
      </c>
      <c r="E21" s="154"/>
      <c r="F21" s="153" t="s">
        <v>87</v>
      </c>
      <c r="G21" s="162"/>
      <c r="H21" s="162"/>
      <c r="I21" s="208" t="s">
        <v>587</v>
      </c>
      <c r="J21" s="320" t="s">
        <v>583</v>
      </c>
      <c r="K21" s="154" t="s">
        <v>596</v>
      </c>
      <c r="L21" s="154" t="s">
        <v>596</v>
      </c>
      <c r="M21" s="339"/>
    </row>
    <row r="22" spans="1:13">
      <c r="A22" s="156">
        <f t="shared" si="1"/>
        <v>19</v>
      </c>
      <c r="B22" s="154" t="s">
        <v>390</v>
      </c>
      <c r="C22" s="154" t="s">
        <v>391</v>
      </c>
      <c r="D22" s="154" t="s">
        <v>133</v>
      </c>
      <c r="E22" s="154"/>
      <c r="F22" s="153" t="s">
        <v>87</v>
      </c>
      <c r="G22" s="162"/>
      <c r="H22" s="162"/>
      <c r="I22" s="208" t="s">
        <v>588</v>
      </c>
      <c r="J22" s="320" t="s">
        <v>583</v>
      </c>
      <c r="K22" s="154" t="s">
        <v>596</v>
      </c>
      <c r="L22" s="154" t="s">
        <v>596</v>
      </c>
      <c r="M22" s="339"/>
    </row>
    <row r="23" spans="1:13">
      <c r="A23" s="156">
        <f t="shared" si="1"/>
        <v>20</v>
      </c>
      <c r="B23" s="154" t="s">
        <v>393</v>
      </c>
      <c r="C23" s="154" t="s">
        <v>394</v>
      </c>
      <c r="D23" s="154" t="s">
        <v>133</v>
      </c>
      <c r="E23" s="154"/>
      <c r="F23" s="153" t="s">
        <v>87</v>
      </c>
      <c r="G23" s="162"/>
      <c r="H23" s="162"/>
      <c r="I23" s="208" t="s">
        <v>589</v>
      </c>
      <c r="J23" s="320" t="s">
        <v>583</v>
      </c>
      <c r="K23" s="154" t="s">
        <v>596</v>
      </c>
      <c r="L23" s="154" t="s">
        <v>596</v>
      </c>
      <c r="M23" s="339"/>
    </row>
    <row r="24" spans="1:13" ht="14.25" thickBot="1">
      <c r="A24" s="163">
        <f t="shared" si="1"/>
        <v>21</v>
      </c>
      <c r="B24" s="164" t="s">
        <v>396</v>
      </c>
      <c r="C24" s="164" t="s">
        <v>397</v>
      </c>
      <c r="D24" s="164" t="s">
        <v>133</v>
      </c>
      <c r="E24" s="164"/>
      <c r="F24" s="165" t="s">
        <v>87</v>
      </c>
      <c r="G24" s="164"/>
      <c r="H24" s="164"/>
      <c r="I24" s="211" t="s">
        <v>590</v>
      </c>
      <c r="J24" s="284" t="s">
        <v>583</v>
      </c>
      <c r="K24" s="164" t="s">
        <v>596</v>
      </c>
      <c r="L24" s="164" t="s">
        <v>596</v>
      </c>
      <c r="M24" s="340"/>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499984740745262"/>
  </sheetPr>
  <dimension ref="A1:M10"/>
  <sheetViews>
    <sheetView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0" style="206" hidden="1" customWidth="1" outlineLevel="1"/>
    <col min="8" max="8" width="9" style="206" collapsed="1"/>
    <col min="9" max="9" width="40.25" style="206" customWidth="1"/>
    <col min="10" max="10" width="10.375" style="206" bestFit="1" customWidth="1"/>
    <col min="11" max="13" width="31.375" style="206" customWidth="1"/>
    <col min="14" max="16384" width="9" style="206"/>
  </cols>
  <sheetData>
    <row r="1" spans="1:13">
      <c r="A1" s="206" t="s">
        <v>597</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341" t="s">
        <v>598</v>
      </c>
      <c r="L3" s="341" t="s">
        <v>599</v>
      </c>
      <c r="M3" s="286" t="s">
        <v>504</v>
      </c>
    </row>
    <row r="4" spans="1:13" ht="14.25" thickTop="1">
      <c r="A4" s="257">
        <f t="shared" ref="A4:A9" si="0">ROW() - 3</f>
        <v>1</v>
      </c>
      <c r="B4" s="258" t="s">
        <v>296</v>
      </c>
      <c r="C4" s="258" t="s">
        <v>58</v>
      </c>
      <c r="D4" s="258" t="s">
        <v>106</v>
      </c>
      <c r="E4" s="258">
        <v>1</v>
      </c>
      <c r="F4" s="259" t="s">
        <v>60</v>
      </c>
      <c r="G4" s="258"/>
      <c r="H4" s="258">
        <v>1</v>
      </c>
      <c r="I4" s="260" t="s">
        <v>61</v>
      </c>
      <c r="J4" s="270" t="s">
        <v>62</v>
      </c>
      <c r="K4" s="305" t="s">
        <v>63</v>
      </c>
      <c r="L4" s="305" t="s">
        <v>63</v>
      </c>
      <c r="M4" s="339"/>
    </row>
    <row r="5" spans="1:13">
      <c r="A5" s="157">
        <f t="shared" si="0"/>
        <v>2</v>
      </c>
      <c r="B5" s="149" t="s">
        <v>300</v>
      </c>
      <c r="C5" s="149" t="s">
        <v>65</v>
      </c>
      <c r="D5" s="149" t="s">
        <v>106</v>
      </c>
      <c r="E5" s="149">
        <v>10</v>
      </c>
      <c r="F5" s="158" t="s">
        <v>60</v>
      </c>
      <c r="G5" s="149"/>
      <c r="H5" s="149">
        <v>2</v>
      </c>
      <c r="I5" s="261" t="s">
        <v>600</v>
      </c>
      <c r="J5" s="264" t="s">
        <v>62</v>
      </c>
      <c r="K5" s="180" t="s">
        <v>67</v>
      </c>
      <c r="L5" s="180" t="s">
        <v>68</v>
      </c>
      <c r="M5" s="339"/>
    </row>
    <row r="6" spans="1:13">
      <c r="A6" s="157">
        <f t="shared" si="0"/>
        <v>3</v>
      </c>
      <c r="B6" s="149" t="s">
        <v>302</v>
      </c>
      <c r="C6" s="149" t="s">
        <v>71</v>
      </c>
      <c r="D6" s="149" t="s">
        <v>106</v>
      </c>
      <c r="E6" s="149">
        <v>10</v>
      </c>
      <c r="F6" s="158" t="s">
        <v>60</v>
      </c>
      <c r="G6" s="149"/>
      <c r="H6" s="149">
        <v>3</v>
      </c>
      <c r="I6" s="261" t="s">
        <v>178</v>
      </c>
      <c r="J6" s="270" t="s">
        <v>62</v>
      </c>
      <c r="K6" s="305" t="s">
        <v>63</v>
      </c>
      <c r="L6" s="305" t="s">
        <v>63</v>
      </c>
      <c r="M6" s="339"/>
    </row>
    <row r="7" spans="1:13">
      <c r="A7" s="157">
        <f t="shared" si="0"/>
        <v>4</v>
      </c>
      <c r="B7" s="149" t="s">
        <v>601</v>
      </c>
      <c r="C7" s="149" t="s">
        <v>602</v>
      </c>
      <c r="D7" s="154" t="s">
        <v>82</v>
      </c>
      <c r="E7" s="154"/>
      <c r="F7" s="153" t="s">
        <v>60</v>
      </c>
      <c r="G7" s="149"/>
      <c r="H7" s="149">
        <v>4</v>
      </c>
      <c r="I7" s="179" t="s">
        <v>603</v>
      </c>
      <c r="J7" s="320" t="s">
        <v>583</v>
      </c>
      <c r="K7" s="154" t="s">
        <v>604</v>
      </c>
      <c r="L7" s="154" t="s">
        <v>604</v>
      </c>
      <c r="M7" s="339"/>
    </row>
    <row r="8" spans="1:13">
      <c r="A8" s="157">
        <f t="shared" si="0"/>
        <v>5</v>
      </c>
      <c r="B8" s="149" t="s">
        <v>74</v>
      </c>
      <c r="C8" s="149" t="s">
        <v>605</v>
      </c>
      <c r="D8" s="149" t="s">
        <v>106</v>
      </c>
      <c r="E8" s="149">
        <v>10</v>
      </c>
      <c r="F8" s="158" t="s">
        <v>60</v>
      </c>
      <c r="G8" s="149"/>
      <c r="H8" s="149">
        <v>4</v>
      </c>
      <c r="I8" s="261" t="s">
        <v>76</v>
      </c>
      <c r="J8" s="320" t="s">
        <v>583</v>
      </c>
      <c r="K8" s="154" t="s">
        <v>606</v>
      </c>
      <c r="L8" s="154" t="s">
        <v>606</v>
      </c>
      <c r="M8" s="339"/>
    </row>
    <row r="9" spans="1:13" ht="14.25" thickBot="1">
      <c r="A9" s="163">
        <f t="shared" si="0"/>
        <v>6</v>
      </c>
      <c r="B9" s="164" t="s">
        <v>80</v>
      </c>
      <c r="C9" s="164" t="s">
        <v>607</v>
      </c>
      <c r="D9" s="164" t="s">
        <v>82</v>
      </c>
      <c r="E9" s="164"/>
      <c r="F9" s="165" t="s">
        <v>60</v>
      </c>
      <c r="G9" s="164"/>
      <c r="H9" s="164">
        <v>5</v>
      </c>
      <c r="I9" s="147" t="s">
        <v>608</v>
      </c>
      <c r="J9" s="284" t="s">
        <v>583</v>
      </c>
      <c r="K9" s="250" t="s">
        <v>609</v>
      </c>
      <c r="L9" s="164" t="s">
        <v>610</v>
      </c>
      <c r="M9" s="340"/>
    </row>
    <row r="10" spans="1:13">
      <c r="J10" s="262"/>
      <c r="K10" s="262"/>
      <c r="L10" s="262"/>
      <c r="M10" s="262"/>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499984740745262"/>
  </sheetPr>
  <dimension ref="A1:M10"/>
  <sheetViews>
    <sheetView workbookViewId="0">
      <selection activeCell="L24" sqref="L24"/>
    </sheetView>
  </sheetViews>
  <sheetFormatPr defaultColWidth="9" defaultRowHeight="13.5" outlineLevelCol="1"/>
  <cols>
    <col min="1" max="1" width="4.625" style="206" customWidth="1"/>
    <col min="2" max="2" width="26.875" style="206" customWidth="1"/>
    <col min="3" max="3" width="26.375" style="206" customWidth="1"/>
    <col min="4" max="5" width="13.625" style="206" hidden="1" customWidth="1" outlineLevel="1"/>
    <col min="6" max="7" width="0" style="206" hidden="1" customWidth="1" outlineLevel="1"/>
    <col min="8" max="8" width="9" style="206" collapsed="1"/>
    <col min="9" max="9" width="40.25" style="206" customWidth="1"/>
    <col min="10" max="10" width="10.375" style="206" bestFit="1" customWidth="1"/>
    <col min="11" max="11" width="31.375" style="206" customWidth="1"/>
    <col min="12" max="12" width="29.125" style="206" customWidth="1"/>
    <col min="13" max="13" width="31.375" style="206" customWidth="1"/>
    <col min="14" max="16384" width="9" style="206"/>
  </cols>
  <sheetData>
    <row r="1" spans="1:13">
      <c r="A1" s="206" t="s">
        <v>611</v>
      </c>
    </row>
    <row r="2" spans="1:13" ht="14.25" thickBot="1"/>
    <row r="3" spans="1:13" ht="31.5" customHeight="1" thickBot="1">
      <c r="A3" s="212" t="s">
        <v>47</v>
      </c>
      <c r="B3" s="213" t="s">
        <v>48</v>
      </c>
      <c r="C3" s="213" t="s">
        <v>49</v>
      </c>
      <c r="D3" s="213" t="s">
        <v>50</v>
      </c>
      <c r="E3" s="213" t="s">
        <v>51</v>
      </c>
      <c r="F3" s="213" t="s">
        <v>52</v>
      </c>
      <c r="G3" s="214" t="s">
        <v>53</v>
      </c>
      <c r="H3" s="215" t="s">
        <v>54</v>
      </c>
      <c r="I3" s="217" t="s">
        <v>55</v>
      </c>
      <c r="J3" s="267" t="s">
        <v>56</v>
      </c>
      <c r="K3" s="341" t="s">
        <v>612</v>
      </c>
      <c r="L3" s="341" t="s">
        <v>613</v>
      </c>
      <c r="M3" s="286" t="s">
        <v>504</v>
      </c>
    </row>
    <row r="4" spans="1:13" ht="14.25" thickTop="1">
      <c r="A4" s="257">
        <f t="shared" ref="A4:A9" si="0">ROW() - 3</f>
        <v>1</v>
      </c>
      <c r="B4" s="258" t="s">
        <v>296</v>
      </c>
      <c r="C4" s="258" t="s">
        <v>58</v>
      </c>
      <c r="D4" s="258" t="s">
        <v>106</v>
      </c>
      <c r="E4" s="258">
        <v>1</v>
      </c>
      <c r="F4" s="259" t="s">
        <v>60</v>
      </c>
      <c r="G4" s="258"/>
      <c r="H4" s="258">
        <v>1</v>
      </c>
      <c r="I4" s="260" t="s">
        <v>61</v>
      </c>
      <c r="J4" s="270" t="s">
        <v>62</v>
      </c>
      <c r="K4" s="263" t="s">
        <v>63</v>
      </c>
      <c r="L4" s="263" t="s">
        <v>63</v>
      </c>
      <c r="M4" s="339"/>
    </row>
    <row r="5" spans="1:13">
      <c r="A5" s="157">
        <f t="shared" si="0"/>
        <v>2</v>
      </c>
      <c r="B5" s="149" t="s">
        <v>300</v>
      </c>
      <c r="C5" s="149" t="s">
        <v>65</v>
      </c>
      <c r="D5" s="149" t="s">
        <v>106</v>
      </c>
      <c r="E5" s="149">
        <v>10</v>
      </c>
      <c r="F5" s="158" t="s">
        <v>60</v>
      </c>
      <c r="G5" s="149"/>
      <c r="H5" s="149">
        <v>2</v>
      </c>
      <c r="I5" s="261" t="s">
        <v>600</v>
      </c>
      <c r="J5" s="264" t="s">
        <v>62</v>
      </c>
      <c r="K5" s="166" t="s">
        <v>67</v>
      </c>
      <c r="L5" s="166" t="s">
        <v>614</v>
      </c>
      <c r="M5" s="339"/>
    </row>
    <row r="6" spans="1:13">
      <c r="A6" s="157">
        <f t="shared" si="0"/>
        <v>3</v>
      </c>
      <c r="B6" s="149" t="s">
        <v>302</v>
      </c>
      <c r="C6" s="149" t="s">
        <v>71</v>
      </c>
      <c r="D6" s="149" t="s">
        <v>106</v>
      </c>
      <c r="E6" s="149">
        <v>10</v>
      </c>
      <c r="F6" s="158" t="s">
        <v>60</v>
      </c>
      <c r="G6" s="149"/>
      <c r="H6" s="149">
        <v>3</v>
      </c>
      <c r="I6" s="261" t="s">
        <v>178</v>
      </c>
      <c r="J6" s="270" t="s">
        <v>62</v>
      </c>
      <c r="K6" s="263" t="s">
        <v>63</v>
      </c>
      <c r="L6" s="263" t="s">
        <v>63</v>
      </c>
      <c r="M6" s="339"/>
    </row>
    <row r="7" spans="1:13">
      <c r="A7" s="157">
        <f t="shared" si="0"/>
        <v>4</v>
      </c>
      <c r="B7" s="149" t="s">
        <v>601</v>
      </c>
      <c r="C7" s="149" t="s">
        <v>602</v>
      </c>
      <c r="D7" s="154" t="s">
        <v>82</v>
      </c>
      <c r="E7" s="154"/>
      <c r="F7" s="153" t="s">
        <v>60</v>
      </c>
      <c r="G7" s="149"/>
      <c r="H7" s="149">
        <v>4</v>
      </c>
      <c r="I7" s="179" t="s">
        <v>603</v>
      </c>
      <c r="J7" s="320" t="s">
        <v>583</v>
      </c>
      <c r="K7" s="154" t="s">
        <v>615</v>
      </c>
      <c r="L7" s="154" t="s">
        <v>615</v>
      </c>
      <c r="M7" s="339"/>
    </row>
    <row r="8" spans="1:13">
      <c r="A8" s="157">
        <f t="shared" si="0"/>
        <v>5</v>
      </c>
      <c r="B8" s="149" t="s">
        <v>74</v>
      </c>
      <c r="C8" s="149" t="s">
        <v>605</v>
      </c>
      <c r="D8" s="149" t="s">
        <v>106</v>
      </c>
      <c r="E8" s="149">
        <v>10</v>
      </c>
      <c r="F8" s="158" t="s">
        <v>60</v>
      </c>
      <c r="G8" s="149"/>
      <c r="H8" s="149">
        <v>4</v>
      </c>
      <c r="I8" s="261" t="s">
        <v>76</v>
      </c>
      <c r="J8" s="320" t="s">
        <v>583</v>
      </c>
      <c r="K8" s="154" t="s">
        <v>606</v>
      </c>
      <c r="L8" s="154" t="s">
        <v>606</v>
      </c>
      <c r="M8" s="339"/>
    </row>
    <row r="9" spans="1:13" ht="14.25" thickBot="1">
      <c r="A9" s="163">
        <f t="shared" si="0"/>
        <v>6</v>
      </c>
      <c r="B9" s="164" t="s">
        <v>80</v>
      </c>
      <c r="C9" s="164" t="s">
        <v>607</v>
      </c>
      <c r="D9" s="164" t="s">
        <v>82</v>
      </c>
      <c r="E9" s="164"/>
      <c r="F9" s="165" t="s">
        <v>60</v>
      </c>
      <c r="G9" s="164"/>
      <c r="H9" s="164">
        <v>5</v>
      </c>
      <c r="I9" s="147" t="s">
        <v>608</v>
      </c>
      <c r="J9" s="284" t="s">
        <v>583</v>
      </c>
      <c r="K9" s="164" t="s">
        <v>616</v>
      </c>
      <c r="L9" s="164" t="s">
        <v>617</v>
      </c>
      <c r="M9" s="340"/>
    </row>
    <row r="10" spans="1:13">
      <c r="J10" s="262"/>
      <c r="K10" s="262"/>
      <c r="L10" s="262"/>
      <c r="M10" s="262"/>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499984740745262"/>
  </sheetPr>
  <dimension ref="A1:M12"/>
  <sheetViews>
    <sheetView topLeftCell="C1" workbookViewId="0">
      <selection activeCell="L3" sqref="L3"/>
    </sheetView>
  </sheetViews>
  <sheetFormatPr defaultColWidth="9" defaultRowHeight="13.5" outlineLevelCol="1"/>
  <cols>
    <col min="1" max="1" width="5.625" style="7" customWidth="1"/>
    <col min="2" max="3" width="28.375" style="7" customWidth="1"/>
    <col min="4" max="5" width="13.625" style="7" hidden="1" customWidth="1" outlineLevel="1"/>
    <col min="6" max="6" width="12.75" style="7" hidden="1" customWidth="1" outlineLevel="1"/>
    <col min="7" max="7" width="15.25" style="7" hidden="1" customWidth="1" outlineLevel="1"/>
    <col min="8" max="8" width="9" style="7" collapsed="1"/>
    <col min="9" max="9" width="34.375" style="7" customWidth="1"/>
    <col min="10" max="10" width="10.375" style="206" bestFit="1" customWidth="1"/>
    <col min="11" max="13" width="31.375" style="206" customWidth="1"/>
    <col min="14" max="16384" width="9" style="7"/>
  </cols>
  <sheetData>
    <row r="1" spans="1:13">
      <c r="A1" s="7" t="s">
        <v>618</v>
      </c>
    </row>
    <row r="2" spans="1:13" ht="14.25" thickBot="1"/>
    <row r="3" spans="1:13" ht="49.5" customHeight="1" thickBot="1">
      <c r="A3" s="8" t="s">
        <v>47</v>
      </c>
      <c r="B3" s="9" t="s">
        <v>48</v>
      </c>
      <c r="C3" s="9" t="s">
        <v>49</v>
      </c>
      <c r="D3" s="9" t="s">
        <v>50</v>
      </c>
      <c r="E3" s="9" t="s">
        <v>51</v>
      </c>
      <c r="F3" s="9" t="s">
        <v>52</v>
      </c>
      <c r="G3" s="10" t="s">
        <v>53</v>
      </c>
      <c r="H3" s="11" t="s">
        <v>54</v>
      </c>
      <c r="I3" s="12" t="s">
        <v>55</v>
      </c>
      <c r="J3" s="295" t="s">
        <v>56</v>
      </c>
      <c r="K3" s="266" t="s">
        <v>6</v>
      </c>
      <c r="L3" s="311" t="s">
        <v>619</v>
      </c>
      <c r="M3" s="342" t="s">
        <v>620</v>
      </c>
    </row>
    <row r="4" spans="1:13" s="206" customFormat="1" ht="14.25" thickTop="1">
      <c r="A4" s="157">
        <f t="shared" ref="A4:A6" si="0">ROW() - 3</f>
        <v>1</v>
      </c>
      <c r="B4" s="149" t="s">
        <v>57</v>
      </c>
      <c r="C4" s="149" t="s">
        <v>58</v>
      </c>
      <c r="D4" s="149" t="s">
        <v>59</v>
      </c>
      <c r="E4" s="149">
        <v>1</v>
      </c>
      <c r="F4" s="158" t="s">
        <v>60</v>
      </c>
      <c r="G4" s="149"/>
      <c r="H4" s="149"/>
      <c r="I4" s="218" t="s">
        <v>621</v>
      </c>
      <c r="J4" s="297" t="s">
        <v>62</v>
      </c>
      <c r="K4" s="263" t="s">
        <v>63</v>
      </c>
      <c r="L4" s="263" t="s">
        <v>63</v>
      </c>
      <c r="M4" s="287" t="s">
        <v>63</v>
      </c>
    </row>
    <row r="5" spans="1:13" s="206"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206"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 t="shared" ref="A7:A12" si="1">ROW() - 3</f>
        <v>4</v>
      </c>
      <c r="B7" s="146" t="s">
        <v>623</v>
      </c>
      <c r="C7" s="146" t="s">
        <v>624</v>
      </c>
      <c r="D7" s="146" t="s">
        <v>59</v>
      </c>
      <c r="E7" s="146">
        <v>2</v>
      </c>
      <c r="F7" s="145" t="s">
        <v>60</v>
      </c>
      <c r="G7" s="146"/>
      <c r="H7" s="146">
        <v>3</v>
      </c>
      <c r="I7" s="104"/>
      <c r="J7" s="297" t="s">
        <v>62</v>
      </c>
      <c r="K7" s="263" t="s">
        <v>63</v>
      </c>
      <c r="L7" s="263" t="s">
        <v>63</v>
      </c>
      <c r="M7" s="287" t="s">
        <v>63</v>
      </c>
    </row>
    <row r="8" spans="1:13">
      <c r="A8" s="13">
        <f t="shared" si="1"/>
        <v>5</v>
      </c>
      <c r="B8" s="14" t="s">
        <v>625</v>
      </c>
      <c r="C8" s="14" t="s">
        <v>626</v>
      </c>
      <c r="D8" s="14" t="s">
        <v>59</v>
      </c>
      <c r="E8" s="14">
        <v>2</v>
      </c>
      <c r="F8" s="15" t="s">
        <v>60</v>
      </c>
      <c r="G8" s="14"/>
      <c r="H8" s="14"/>
      <c r="I8" s="285" t="s">
        <v>627</v>
      </c>
      <c r="J8" s="297" t="s">
        <v>62</v>
      </c>
      <c r="K8" s="263" t="s">
        <v>63</v>
      </c>
      <c r="L8" s="263" t="s">
        <v>63</v>
      </c>
      <c r="M8" s="287" t="s">
        <v>63</v>
      </c>
    </row>
    <row r="9" spans="1:13">
      <c r="A9" s="13">
        <f t="shared" si="1"/>
        <v>6</v>
      </c>
      <c r="B9" s="14" t="s">
        <v>628</v>
      </c>
      <c r="C9" s="14" t="s">
        <v>629</v>
      </c>
      <c r="D9" s="14" t="s">
        <v>122</v>
      </c>
      <c r="E9" s="14" t="s">
        <v>630</v>
      </c>
      <c r="F9" s="15" t="s">
        <v>60</v>
      </c>
      <c r="G9" s="14"/>
      <c r="H9" s="14"/>
      <c r="I9" s="16"/>
      <c r="J9" s="297" t="s">
        <v>62</v>
      </c>
      <c r="K9" s="263" t="s">
        <v>63</v>
      </c>
      <c r="L9" s="263" t="s">
        <v>63</v>
      </c>
      <c r="M9" s="287" t="s">
        <v>63</v>
      </c>
    </row>
    <row r="10" spans="1:13">
      <c r="A10" s="13">
        <f t="shared" si="1"/>
        <v>7</v>
      </c>
      <c r="B10" s="14" t="s">
        <v>49</v>
      </c>
      <c r="C10" s="14" t="s">
        <v>560</v>
      </c>
      <c r="D10" s="14" t="s">
        <v>106</v>
      </c>
      <c r="E10" s="14">
        <v>50</v>
      </c>
      <c r="F10" s="15" t="s">
        <v>87</v>
      </c>
      <c r="G10" s="14"/>
      <c r="H10" s="14"/>
      <c r="I10" s="16"/>
      <c r="J10" s="297" t="s">
        <v>62</v>
      </c>
      <c r="K10" s="263" t="s">
        <v>63</v>
      </c>
      <c r="L10" s="263" t="s">
        <v>63</v>
      </c>
      <c r="M10" s="287" t="s">
        <v>63</v>
      </c>
    </row>
    <row r="11" spans="1:13">
      <c r="A11" s="13">
        <f t="shared" si="1"/>
        <v>8</v>
      </c>
      <c r="B11" s="14" t="s">
        <v>631</v>
      </c>
      <c r="C11" s="14" t="s">
        <v>632</v>
      </c>
      <c r="D11" s="14" t="s">
        <v>82</v>
      </c>
      <c r="E11" s="14"/>
      <c r="F11" s="15" t="s">
        <v>60</v>
      </c>
      <c r="G11" s="14"/>
      <c r="H11" s="14"/>
      <c r="I11" s="16"/>
      <c r="J11" s="297" t="s">
        <v>62</v>
      </c>
      <c r="K11" s="263" t="s">
        <v>63</v>
      </c>
      <c r="L11" s="263" t="s">
        <v>63</v>
      </c>
      <c r="M11" s="287" t="s">
        <v>63</v>
      </c>
    </row>
    <row r="12" spans="1:13" ht="14.25" thickBot="1">
      <c r="A12" s="17">
        <f t="shared" si="1"/>
        <v>9</v>
      </c>
      <c r="B12" s="18" t="s">
        <v>633</v>
      </c>
      <c r="C12" s="18" t="s">
        <v>634</v>
      </c>
      <c r="D12" s="18" t="s">
        <v>59</v>
      </c>
      <c r="E12" s="18">
        <v>2</v>
      </c>
      <c r="F12" s="19" t="s">
        <v>60</v>
      </c>
      <c r="G12" s="18"/>
      <c r="H12" s="18"/>
      <c r="I12" s="20"/>
      <c r="J12" s="321" t="s">
        <v>62</v>
      </c>
      <c r="K12" s="298" t="s">
        <v>63</v>
      </c>
      <c r="L12" s="298" t="s">
        <v>63</v>
      </c>
      <c r="M12" s="322" t="s">
        <v>63</v>
      </c>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499984740745262"/>
  </sheetPr>
  <dimension ref="A1:M20"/>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5" width="13.625" style="7" hidden="1" customWidth="1" outlineLevel="1"/>
    <col min="6" max="7" width="0" style="7" hidden="1" customWidth="1" outlineLevel="1"/>
    <col min="8" max="8" width="9" style="7" collapsed="1"/>
    <col min="9" max="9" width="35" style="7" customWidth="1"/>
    <col min="10" max="10" width="10.375" style="206" bestFit="1" customWidth="1"/>
    <col min="11" max="13" width="31.375" style="206" customWidth="1"/>
    <col min="14" max="16384" width="9" style="7"/>
  </cols>
  <sheetData>
    <row r="1" spans="1:13">
      <c r="A1" s="7" t="s">
        <v>635</v>
      </c>
    </row>
    <row r="2" spans="1:13" ht="14.25" thickBot="1"/>
    <row r="3" spans="1:13" ht="48" customHeight="1" thickBot="1">
      <c r="A3" s="8" t="s">
        <v>47</v>
      </c>
      <c r="B3" s="9" t="s">
        <v>48</v>
      </c>
      <c r="C3" s="9" t="s">
        <v>49</v>
      </c>
      <c r="D3" s="9" t="s">
        <v>50</v>
      </c>
      <c r="E3" s="9" t="s">
        <v>51</v>
      </c>
      <c r="F3" s="9" t="s">
        <v>52</v>
      </c>
      <c r="G3" s="10" t="s">
        <v>53</v>
      </c>
      <c r="H3" s="11" t="s">
        <v>54</v>
      </c>
      <c r="I3" s="12" t="s">
        <v>55</v>
      </c>
      <c r="J3" s="267" t="s">
        <v>56</v>
      </c>
      <c r="K3" s="266" t="s">
        <v>6</v>
      </c>
      <c r="L3" s="311" t="s">
        <v>619</v>
      </c>
      <c r="M3" s="342" t="s">
        <v>620</v>
      </c>
    </row>
    <row r="4" spans="1:13" s="1" customFormat="1" ht="14.25" thickTop="1">
      <c r="A4" s="157">
        <f t="shared" ref="A4:A6" si="0">ROW() - 3</f>
        <v>1</v>
      </c>
      <c r="B4" s="149" t="s">
        <v>57</v>
      </c>
      <c r="C4" s="149" t="s">
        <v>58</v>
      </c>
      <c r="D4" s="149" t="s">
        <v>59</v>
      </c>
      <c r="E4" s="149">
        <v>1</v>
      </c>
      <c r="F4" s="158" t="s">
        <v>60</v>
      </c>
      <c r="G4" s="149"/>
      <c r="H4" s="149"/>
      <c r="I4" s="218" t="s">
        <v>621</v>
      </c>
      <c r="J4" s="301" t="s">
        <v>62</v>
      </c>
      <c r="K4" s="302" t="s">
        <v>63</v>
      </c>
      <c r="L4" s="263" t="s">
        <v>63</v>
      </c>
      <c r="M4" s="287" t="s">
        <v>63</v>
      </c>
    </row>
    <row r="5" spans="1:13" s="1"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1"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ROW() - 3</f>
        <v>4</v>
      </c>
      <c r="B7" s="146" t="s">
        <v>636</v>
      </c>
      <c r="C7" s="146" t="s">
        <v>637</v>
      </c>
      <c r="D7" s="146" t="s">
        <v>59</v>
      </c>
      <c r="E7" s="146">
        <v>2</v>
      </c>
      <c r="F7" s="145" t="s">
        <v>60</v>
      </c>
      <c r="G7" s="146"/>
      <c r="H7" s="219">
        <v>3</v>
      </c>
      <c r="I7" s="104"/>
      <c r="J7" s="297" t="s">
        <v>62</v>
      </c>
      <c r="K7" s="263" t="s">
        <v>63</v>
      </c>
      <c r="L7" s="263" t="s">
        <v>63</v>
      </c>
      <c r="M7" s="287" t="s">
        <v>63</v>
      </c>
    </row>
    <row r="8" spans="1:13" ht="14.25" thickBot="1">
      <c r="A8" s="17">
        <f>ROW() - 3</f>
        <v>5</v>
      </c>
      <c r="B8" s="18" t="s">
        <v>638</v>
      </c>
      <c r="C8" s="18" t="s">
        <v>639</v>
      </c>
      <c r="D8" s="18" t="s">
        <v>59</v>
      </c>
      <c r="E8" s="18">
        <v>2</v>
      </c>
      <c r="F8" s="19" t="s">
        <v>87</v>
      </c>
      <c r="G8" s="18"/>
      <c r="H8" s="220">
        <v>4</v>
      </c>
      <c r="I8" s="20"/>
      <c r="J8" s="321" t="s">
        <v>62</v>
      </c>
      <c r="K8" s="298" t="s">
        <v>63</v>
      </c>
      <c r="L8" s="298" t="s">
        <v>63</v>
      </c>
      <c r="M8" s="322" t="s">
        <v>63</v>
      </c>
    </row>
    <row r="12" spans="1:13" s="21" customFormat="1">
      <c r="B12" s="7"/>
      <c r="C12" s="7"/>
      <c r="J12" s="206"/>
      <c r="K12" s="206"/>
      <c r="L12" s="206"/>
      <c r="M12" s="206"/>
    </row>
    <row r="13" spans="1:13" s="21" customFormat="1">
      <c r="B13" s="7"/>
      <c r="C13" s="7"/>
      <c r="J13" s="206"/>
      <c r="K13" s="206"/>
      <c r="L13" s="206"/>
      <c r="M13" s="206"/>
    </row>
    <row r="14" spans="1:13" s="21" customFormat="1">
      <c r="B14" s="7"/>
      <c r="C14" s="7"/>
      <c r="J14" s="206"/>
      <c r="K14" s="206"/>
      <c r="L14" s="206"/>
      <c r="M14" s="206"/>
    </row>
    <row r="15" spans="1:13" s="21" customFormat="1">
      <c r="B15" s="7"/>
      <c r="C15" s="7"/>
      <c r="J15" s="206"/>
      <c r="K15" s="206"/>
      <c r="L15" s="206"/>
      <c r="M15" s="206"/>
    </row>
    <row r="16" spans="1:13" s="21" customFormat="1">
      <c r="B16" s="7"/>
      <c r="C16" s="7"/>
      <c r="J16" s="206"/>
      <c r="K16" s="206"/>
      <c r="L16" s="206"/>
      <c r="M16" s="206"/>
    </row>
    <row r="17" spans="2:13" s="21" customFormat="1">
      <c r="B17" s="7"/>
      <c r="C17" s="7"/>
      <c r="J17" s="206"/>
      <c r="K17" s="206"/>
      <c r="L17" s="206"/>
      <c r="M17" s="206"/>
    </row>
    <row r="18" spans="2:13" s="21" customFormat="1">
      <c r="J18" s="206"/>
      <c r="K18" s="206"/>
      <c r="L18" s="206"/>
      <c r="M18" s="206"/>
    </row>
    <row r="19" spans="2:13" s="21" customFormat="1">
      <c r="J19" s="206"/>
      <c r="K19" s="206"/>
    </row>
    <row r="20" spans="2:13" s="21" customFormat="1">
      <c r="J20" s="206"/>
      <c r="K20"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5" tint="-0.499984740745262"/>
  </sheetPr>
  <dimension ref="A1:M30"/>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4" width="13.625" style="7" hidden="1" customWidth="1" outlineLevel="1"/>
    <col min="5" max="5" width="18.25" style="7" hidden="1" customWidth="1" outlineLevel="1"/>
    <col min="6" max="7" width="0" style="7" hidden="1" customWidth="1" outlineLevel="1"/>
    <col min="8" max="8" width="9" style="7" collapsed="1"/>
    <col min="9" max="9" width="32.25" style="7" customWidth="1"/>
    <col min="10" max="10" width="10.375" style="206" bestFit="1" customWidth="1"/>
    <col min="11" max="13" width="31.375" style="206" customWidth="1"/>
    <col min="14" max="16384" width="9" style="7"/>
  </cols>
  <sheetData>
    <row r="1" spans="1:13">
      <c r="A1" s="7" t="s">
        <v>640</v>
      </c>
    </row>
    <row r="2" spans="1:13" ht="14.25" thickBot="1"/>
    <row r="3" spans="1:13" ht="51" customHeight="1" thickBot="1">
      <c r="A3" s="8" t="s">
        <v>47</v>
      </c>
      <c r="B3" s="9" t="s">
        <v>48</v>
      </c>
      <c r="C3" s="9" t="s">
        <v>49</v>
      </c>
      <c r="D3" s="9" t="s">
        <v>50</v>
      </c>
      <c r="E3" s="9" t="s">
        <v>51</v>
      </c>
      <c r="F3" s="9" t="s">
        <v>52</v>
      </c>
      <c r="G3" s="10" t="s">
        <v>53</v>
      </c>
      <c r="H3" s="11" t="s">
        <v>54</v>
      </c>
      <c r="I3" s="12" t="s">
        <v>55</v>
      </c>
      <c r="J3" s="267" t="s">
        <v>56</v>
      </c>
      <c r="K3" s="266" t="s">
        <v>6</v>
      </c>
      <c r="L3" s="311" t="s">
        <v>619</v>
      </c>
      <c r="M3" s="342" t="s">
        <v>620</v>
      </c>
    </row>
    <row r="4" spans="1:13" s="1" customFormat="1" ht="14.25" thickTop="1">
      <c r="A4" s="157">
        <f t="shared" ref="A4:A6" si="0">ROW() - 3</f>
        <v>1</v>
      </c>
      <c r="B4" s="149" t="s">
        <v>57</v>
      </c>
      <c r="C4" s="149" t="s">
        <v>58</v>
      </c>
      <c r="D4" s="149" t="s">
        <v>59</v>
      </c>
      <c r="E4" s="149">
        <v>1</v>
      </c>
      <c r="F4" s="158" t="s">
        <v>60</v>
      </c>
      <c r="G4" s="149"/>
      <c r="H4" s="149"/>
      <c r="I4" s="218" t="s">
        <v>621</v>
      </c>
      <c r="J4" s="301" t="s">
        <v>62</v>
      </c>
      <c r="K4" s="302" t="s">
        <v>63</v>
      </c>
      <c r="L4" s="263" t="s">
        <v>63</v>
      </c>
      <c r="M4" s="287" t="s">
        <v>63</v>
      </c>
    </row>
    <row r="5" spans="1:13" s="1"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1"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22">
        <f>ROW() - 3</f>
        <v>4</v>
      </c>
      <c r="B7" s="14" t="s">
        <v>114</v>
      </c>
      <c r="C7" s="14" t="s">
        <v>115</v>
      </c>
      <c r="D7" s="14" t="s">
        <v>59</v>
      </c>
      <c r="E7" s="14">
        <v>2</v>
      </c>
      <c r="F7" s="15" t="s">
        <v>60</v>
      </c>
      <c r="G7" s="14"/>
      <c r="H7" s="219">
        <v>3</v>
      </c>
      <c r="I7" s="16"/>
      <c r="J7" s="297" t="s">
        <v>62</v>
      </c>
      <c r="K7" s="263" t="s">
        <v>63</v>
      </c>
      <c r="L7" s="263" t="s">
        <v>63</v>
      </c>
      <c r="M7" s="287" t="s">
        <v>63</v>
      </c>
    </row>
    <row r="8" spans="1:13">
      <c r="A8" s="22">
        <f>ROW() - 3</f>
        <v>5</v>
      </c>
      <c r="B8" s="14" t="s">
        <v>641</v>
      </c>
      <c r="C8" s="14" t="s">
        <v>642</v>
      </c>
      <c r="D8" s="14" t="s">
        <v>86</v>
      </c>
      <c r="E8" s="14"/>
      <c r="F8" s="15" t="s">
        <v>87</v>
      </c>
      <c r="G8" s="14"/>
      <c r="H8" s="219">
        <v>4</v>
      </c>
      <c r="I8" s="16"/>
      <c r="J8" s="297" t="s">
        <v>62</v>
      </c>
      <c r="K8" s="263" t="s">
        <v>63</v>
      </c>
      <c r="L8" s="263" t="s">
        <v>63</v>
      </c>
      <c r="M8" s="287" t="s">
        <v>63</v>
      </c>
    </row>
    <row r="9" spans="1:13">
      <c r="A9" s="23">
        <f>ROW() - 3</f>
        <v>6</v>
      </c>
      <c r="B9" s="24" t="s">
        <v>643</v>
      </c>
      <c r="C9" s="24" t="s">
        <v>644</v>
      </c>
      <c r="D9" s="24" t="s">
        <v>59</v>
      </c>
      <c r="E9" s="24">
        <v>50</v>
      </c>
      <c r="F9" s="25" t="s">
        <v>87</v>
      </c>
      <c r="G9" s="24"/>
      <c r="H9" s="24"/>
      <c r="I9" s="26"/>
      <c r="J9" s="297" t="s">
        <v>62</v>
      </c>
      <c r="K9" s="263" t="s">
        <v>63</v>
      </c>
      <c r="L9" s="263" t="s">
        <v>63</v>
      </c>
      <c r="M9" s="287" t="s">
        <v>63</v>
      </c>
    </row>
    <row r="10" spans="1:13" ht="14.25" thickBot="1">
      <c r="A10" s="17">
        <f>ROW() - 3</f>
        <v>7</v>
      </c>
      <c r="B10" s="18" t="s">
        <v>636</v>
      </c>
      <c r="C10" s="18" t="s">
        <v>645</v>
      </c>
      <c r="D10" s="18" t="s">
        <v>59</v>
      </c>
      <c r="E10" s="18">
        <v>2</v>
      </c>
      <c r="F10" s="19" t="s">
        <v>87</v>
      </c>
      <c r="G10" s="18"/>
      <c r="H10" s="18"/>
      <c r="I10" s="20"/>
      <c r="J10" s="321" t="s">
        <v>62</v>
      </c>
      <c r="K10" s="298" t="s">
        <v>63</v>
      </c>
      <c r="L10" s="298" t="s">
        <v>63</v>
      </c>
      <c r="M10" s="322" t="s">
        <v>63</v>
      </c>
    </row>
    <row r="13" spans="1:13">
      <c r="B13" s="21"/>
      <c r="C13" s="21"/>
      <c r="D13" s="21"/>
      <c r="E13" s="21"/>
    </row>
    <row r="14" spans="1:13" s="21" customFormat="1">
      <c r="J14" s="206"/>
      <c r="K14" s="206"/>
      <c r="L14" s="206"/>
      <c r="M14" s="206"/>
    </row>
    <row r="15" spans="1:13" s="21" customFormat="1">
      <c r="J15" s="206"/>
      <c r="K15" s="206"/>
      <c r="L15" s="206"/>
      <c r="M15" s="206"/>
    </row>
    <row r="16" spans="1:13" s="21" customFormat="1">
      <c r="J16" s="206"/>
      <c r="K16" s="206"/>
      <c r="L16" s="206"/>
      <c r="M16" s="206"/>
    </row>
    <row r="17" spans="10:13" s="21" customFormat="1">
      <c r="J17" s="206"/>
      <c r="K17" s="206"/>
      <c r="L17" s="206"/>
      <c r="M17" s="206"/>
    </row>
    <row r="18" spans="10:13" s="21" customFormat="1">
      <c r="J18" s="206"/>
      <c r="K18" s="206"/>
      <c r="L18" s="206"/>
      <c r="M18" s="206"/>
    </row>
    <row r="19" spans="10:13" s="21" customFormat="1">
      <c r="J19" s="206"/>
      <c r="K19" s="206"/>
      <c r="L19" s="206"/>
      <c r="M19" s="206"/>
    </row>
    <row r="20" spans="10:13" s="21" customFormat="1">
      <c r="J20" s="206"/>
      <c r="K20" s="206"/>
      <c r="L20" s="206"/>
      <c r="M20" s="206"/>
    </row>
    <row r="21" spans="10:13" s="21" customFormat="1">
      <c r="J21" s="206"/>
      <c r="K21" s="206"/>
      <c r="L21" s="206"/>
      <c r="M21" s="206"/>
    </row>
    <row r="22" spans="10:13" s="21" customFormat="1">
      <c r="J22" s="206"/>
      <c r="K22" s="206"/>
      <c r="L22" s="206"/>
      <c r="M22" s="206"/>
    </row>
    <row r="23" spans="10:13" s="21" customFormat="1">
      <c r="J23" s="206"/>
      <c r="K23" s="206"/>
      <c r="L23" s="206"/>
      <c r="M23" s="206"/>
    </row>
    <row r="24" spans="10:13" s="21" customFormat="1">
      <c r="J24" s="206"/>
      <c r="K24" s="206"/>
      <c r="L24" s="206"/>
      <c r="M24" s="206"/>
    </row>
    <row r="25" spans="10:13" s="21" customFormat="1">
      <c r="J25" s="206"/>
      <c r="K25" s="206"/>
      <c r="L25" s="206"/>
      <c r="M25" s="206"/>
    </row>
    <row r="26" spans="10:13" s="21" customFormat="1">
      <c r="J26" s="206"/>
      <c r="K26" s="206"/>
      <c r="L26" s="206"/>
      <c r="M26" s="206"/>
    </row>
    <row r="27" spans="10:13" s="21" customFormat="1">
      <c r="J27" s="206"/>
      <c r="K27" s="206"/>
      <c r="L27" s="206"/>
      <c r="M27" s="206"/>
    </row>
    <row r="28" spans="10:13" s="21" customFormat="1">
      <c r="J28" s="206"/>
      <c r="K28" s="206"/>
      <c r="L28" s="206"/>
      <c r="M28" s="206"/>
    </row>
    <row r="29" spans="10:13" s="21" customFormat="1">
      <c r="J29" s="206"/>
      <c r="K29" s="206"/>
      <c r="L29" s="206"/>
      <c r="M29" s="206"/>
    </row>
    <row r="30" spans="10:13" s="21" customFormat="1">
      <c r="J30" s="206"/>
      <c r="K30" s="206"/>
      <c r="L30" s="206"/>
      <c r="M30"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5" tint="-0.499984740745262"/>
  </sheetPr>
  <dimension ref="A1:M21"/>
  <sheetViews>
    <sheetView topLeftCell="C1" workbookViewId="0">
      <selection activeCell="K36" sqref="K36"/>
    </sheetView>
  </sheetViews>
  <sheetFormatPr defaultColWidth="9" defaultRowHeight="13.5" outlineLevelCol="1"/>
  <cols>
    <col min="1" max="1" width="5.625" style="7" customWidth="1"/>
    <col min="2" max="3" width="28.375" style="7" customWidth="1"/>
    <col min="4" max="5" width="13.625" style="7" hidden="1" customWidth="1" outlineLevel="1"/>
    <col min="6" max="7" width="0" style="7" hidden="1" customWidth="1" outlineLevel="1"/>
    <col min="8" max="8" width="9" style="7" collapsed="1"/>
    <col min="9" max="9" width="38.75" style="7" customWidth="1"/>
    <col min="10" max="10" width="10.375" style="206" bestFit="1" customWidth="1"/>
    <col min="11" max="13" width="31.375" style="206" customWidth="1"/>
    <col min="14" max="16384" width="9" style="7"/>
  </cols>
  <sheetData>
    <row r="1" spans="1:13">
      <c r="A1" s="7" t="s">
        <v>646</v>
      </c>
    </row>
    <row r="2" spans="1:13" ht="14.25" thickBot="1"/>
    <row r="3" spans="1:13" ht="51.75" customHeight="1" thickBot="1">
      <c r="A3" s="8" t="s">
        <v>47</v>
      </c>
      <c r="B3" s="9" t="s">
        <v>48</v>
      </c>
      <c r="C3" s="9" t="s">
        <v>49</v>
      </c>
      <c r="D3" s="9" t="s">
        <v>50</v>
      </c>
      <c r="E3" s="9" t="s">
        <v>51</v>
      </c>
      <c r="F3" s="9" t="s">
        <v>52</v>
      </c>
      <c r="G3" s="10" t="s">
        <v>53</v>
      </c>
      <c r="H3" s="11" t="s">
        <v>54</v>
      </c>
      <c r="I3" s="12" t="s">
        <v>55</v>
      </c>
      <c r="J3" s="295" t="s">
        <v>56</v>
      </c>
      <c r="K3" s="266" t="s">
        <v>6</v>
      </c>
      <c r="L3" s="311" t="s">
        <v>619</v>
      </c>
      <c r="M3" s="342" t="s">
        <v>620</v>
      </c>
    </row>
    <row r="4" spans="1:13" s="206" customFormat="1" ht="14.25" thickTop="1">
      <c r="A4" s="157">
        <f t="shared" ref="A4:A6" si="0">ROW() - 3</f>
        <v>1</v>
      </c>
      <c r="B4" s="149" t="s">
        <v>57</v>
      </c>
      <c r="C4" s="149" t="s">
        <v>58</v>
      </c>
      <c r="D4" s="149" t="s">
        <v>59</v>
      </c>
      <c r="E4" s="149">
        <v>1</v>
      </c>
      <c r="F4" s="158" t="s">
        <v>60</v>
      </c>
      <c r="G4" s="149"/>
      <c r="H4" s="149"/>
      <c r="I4" s="218" t="s">
        <v>621</v>
      </c>
      <c r="J4" s="297" t="s">
        <v>62</v>
      </c>
      <c r="K4" s="263" t="s">
        <v>63</v>
      </c>
      <c r="L4" s="263" t="s">
        <v>63</v>
      </c>
      <c r="M4" s="287" t="s">
        <v>63</v>
      </c>
    </row>
    <row r="5" spans="1:13" s="206" customFormat="1">
      <c r="A5" s="156">
        <f t="shared" si="0"/>
        <v>2</v>
      </c>
      <c r="B5" s="154" t="s">
        <v>64</v>
      </c>
      <c r="C5" s="154" t="s">
        <v>65</v>
      </c>
      <c r="D5" s="154" t="s">
        <v>59</v>
      </c>
      <c r="E5" s="154">
        <v>10</v>
      </c>
      <c r="F5" s="153" t="s">
        <v>60</v>
      </c>
      <c r="G5" s="154"/>
      <c r="H5" s="154">
        <v>1</v>
      </c>
      <c r="I5" s="167" t="s">
        <v>66</v>
      </c>
      <c r="J5" s="296" t="s">
        <v>62</v>
      </c>
      <c r="K5" s="166" t="s">
        <v>67</v>
      </c>
      <c r="L5" s="166" t="s">
        <v>68</v>
      </c>
      <c r="M5" s="167" t="s">
        <v>622</v>
      </c>
    </row>
    <row r="6" spans="1:13" s="206" customFormat="1">
      <c r="A6" s="156">
        <f t="shared" si="0"/>
        <v>3</v>
      </c>
      <c r="B6" s="154" t="s">
        <v>70</v>
      </c>
      <c r="C6" s="154" t="s">
        <v>71</v>
      </c>
      <c r="D6" s="154" t="s">
        <v>59</v>
      </c>
      <c r="E6" s="154">
        <v>10</v>
      </c>
      <c r="F6" s="153" t="s">
        <v>60</v>
      </c>
      <c r="G6" s="154"/>
      <c r="H6" s="154">
        <v>2</v>
      </c>
      <c r="I6" s="167" t="s">
        <v>178</v>
      </c>
      <c r="J6" s="297" t="s">
        <v>62</v>
      </c>
      <c r="K6" s="263" t="s">
        <v>63</v>
      </c>
      <c r="L6" s="263" t="s">
        <v>63</v>
      </c>
      <c r="M6" s="287" t="s">
        <v>63</v>
      </c>
    </row>
    <row r="7" spans="1:13">
      <c r="A7" s="13">
        <f>ROW() - 3</f>
        <v>4</v>
      </c>
      <c r="B7" s="146" t="s">
        <v>625</v>
      </c>
      <c r="C7" s="146" t="s">
        <v>647</v>
      </c>
      <c r="D7" s="146" t="s">
        <v>59</v>
      </c>
      <c r="E7" s="146">
        <v>2</v>
      </c>
      <c r="F7" s="145" t="s">
        <v>60</v>
      </c>
      <c r="G7" s="146"/>
      <c r="H7" s="146">
        <v>3</v>
      </c>
      <c r="I7" s="104"/>
      <c r="J7" s="297" t="s">
        <v>62</v>
      </c>
      <c r="K7" s="263" t="s">
        <v>63</v>
      </c>
      <c r="L7" s="263" t="s">
        <v>63</v>
      </c>
      <c r="M7" s="287" t="s">
        <v>63</v>
      </c>
    </row>
    <row r="8" spans="1:13" ht="14.25" thickBot="1">
      <c r="A8" s="17">
        <f>ROW() - 3</f>
        <v>5</v>
      </c>
      <c r="B8" s="18" t="s">
        <v>49</v>
      </c>
      <c r="C8" s="18" t="s">
        <v>560</v>
      </c>
      <c r="D8" s="18" t="s">
        <v>106</v>
      </c>
      <c r="E8" s="18">
        <v>50</v>
      </c>
      <c r="F8" s="19"/>
      <c r="G8" s="18"/>
      <c r="H8" s="18"/>
      <c r="I8" s="20"/>
      <c r="J8" s="321" t="s">
        <v>62</v>
      </c>
      <c r="K8" s="298" t="s">
        <v>63</v>
      </c>
      <c r="L8" s="298" t="s">
        <v>63</v>
      </c>
      <c r="M8" s="322" t="s">
        <v>63</v>
      </c>
    </row>
    <row r="11" spans="1:13">
      <c r="B11" s="21"/>
      <c r="C11" s="21"/>
    </row>
    <row r="12" spans="1:13" s="21" customFormat="1">
      <c r="J12" s="206"/>
      <c r="K12" s="206"/>
      <c r="L12" s="206"/>
      <c r="M12" s="206"/>
    </row>
    <row r="13" spans="1:13" s="21" customFormat="1">
      <c r="J13" s="206"/>
      <c r="K13" s="206"/>
      <c r="L13" s="206"/>
      <c r="M13" s="206"/>
    </row>
    <row r="14" spans="1:13" s="21" customFormat="1">
      <c r="J14" s="206"/>
      <c r="K14" s="206"/>
      <c r="L14" s="206"/>
      <c r="M14" s="206"/>
    </row>
    <row r="15" spans="1:13" s="21" customFormat="1">
      <c r="J15" s="206"/>
      <c r="K15" s="206"/>
    </row>
    <row r="16" spans="1:13" s="21" customFormat="1">
      <c r="J16" s="206"/>
      <c r="K16" s="206"/>
    </row>
    <row r="17" spans="10:13" s="21" customFormat="1">
      <c r="J17" s="206"/>
      <c r="K17" s="206"/>
      <c r="L17" s="206"/>
      <c r="M17" s="206"/>
    </row>
    <row r="18" spans="10:13" s="21" customFormat="1">
      <c r="J18" s="206"/>
      <c r="K18" s="206"/>
      <c r="L18" s="206"/>
      <c r="M18" s="206"/>
    </row>
    <row r="19" spans="10:13" s="21" customFormat="1">
      <c r="J19" s="206"/>
      <c r="K19" s="206"/>
      <c r="L19" s="206"/>
      <c r="M19" s="206"/>
    </row>
    <row r="20" spans="10:13" s="21" customFormat="1">
      <c r="J20" s="206"/>
      <c r="K20" s="206"/>
      <c r="L20" s="206"/>
      <c r="M20" s="206"/>
    </row>
    <row r="21" spans="10:13" s="21" customFormat="1">
      <c r="J21" s="206"/>
      <c r="K21" s="206"/>
      <c r="L21" s="206"/>
      <c r="M21" s="206"/>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5" tint="-0.499984740745262"/>
  </sheetPr>
  <dimension ref="A1:M9"/>
  <sheetViews>
    <sheetView topLeftCell="C1" workbookViewId="0">
      <selection activeCell="K14" sqref="K14"/>
    </sheetView>
  </sheetViews>
  <sheetFormatPr defaultColWidth="9" defaultRowHeight="13.5" outlineLevelCol="1"/>
  <cols>
    <col min="1" max="1" width="5.625" style="144" customWidth="1"/>
    <col min="2" max="3" width="28.375" style="144" customWidth="1"/>
    <col min="4" max="5" width="13.625" style="144" hidden="1" customWidth="1" outlineLevel="1"/>
    <col min="6" max="7" width="0" style="144" hidden="1" customWidth="1" outlineLevel="1"/>
    <col min="8" max="8" width="9" style="144" collapsed="1"/>
    <col min="9" max="9" width="50.625" style="144" customWidth="1"/>
    <col min="10" max="10" width="10.375" style="206" bestFit="1" customWidth="1"/>
    <col min="11" max="13" width="31.375" style="206" customWidth="1"/>
    <col min="14" max="16384" width="9" style="144"/>
  </cols>
  <sheetData>
    <row r="1" spans="1:13">
      <c r="A1" s="221" t="s">
        <v>648</v>
      </c>
      <c r="B1" s="221"/>
      <c r="C1" s="221"/>
      <c r="D1" s="221"/>
      <c r="E1" s="221"/>
      <c r="F1" s="221"/>
      <c r="G1" s="221"/>
      <c r="H1" s="221"/>
      <c r="I1" s="221"/>
    </row>
    <row r="2" spans="1:13" ht="14.25" thickBot="1">
      <c r="A2" s="221"/>
      <c r="B2" s="221"/>
      <c r="C2" s="221"/>
      <c r="D2" s="221"/>
      <c r="E2" s="221"/>
      <c r="F2" s="221"/>
      <c r="G2" s="221"/>
      <c r="H2" s="221"/>
      <c r="I2" s="221"/>
    </row>
    <row r="3" spans="1:13" ht="31.5" customHeight="1" thickBot="1">
      <c r="A3" s="222" t="s">
        <v>47</v>
      </c>
      <c r="B3" s="223" t="s">
        <v>48</v>
      </c>
      <c r="C3" s="223" t="s">
        <v>49</v>
      </c>
      <c r="D3" s="223" t="s">
        <v>50</v>
      </c>
      <c r="E3" s="223" t="s">
        <v>51</v>
      </c>
      <c r="F3" s="223" t="s">
        <v>52</v>
      </c>
      <c r="G3" s="224" t="s">
        <v>53</v>
      </c>
      <c r="H3" s="225" t="s">
        <v>54</v>
      </c>
      <c r="I3" s="226" t="s">
        <v>55</v>
      </c>
      <c r="J3" s="295" t="s">
        <v>56</v>
      </c>
      <c r="K3" s="347" t="s">
        <v>649</v>
      </c>
      <c r="L3" s="311" t="s">
        <v>650</v>
      </c>
      <c r="M3" s="342" t="s">
        <v>651</v>
      </c>
    </row>
    <row r="4" spans="1:13" s="128" customFormat="1" ht="14.25" thickTop="1">
      <c r="A4" s="227">
        <f t="shared" ref="A4:A6" si="0">ROW() - 3</f>
        <v>1</v>
      </c>
      <c r="B4" s="228" t="s">
        <v>57</v>
      </c>
      <c r="C4" s="228" t="s">
        <v>58</v>
      </c>
      <c r="D4" s="228" t="s">
        <v>59</v>
      </c>
      <c r="E4" s="228">
        <v>1</v>
      </c>
      <c r="F4" s="229" t="s">
        <v>60</v>
      </c>
      <c r="G4" s="228"/>
      <c r="H4" s="228"/>
      <c r="I4" s="230" t="s">
        <v>621</v>
      </c>
      <c r="J4" s="297" t="s">
        <v>16</v>
      </c>
      <c r="K4" s="348"/>
      <c r="L4" s="343"/>
      <c r="M4" s="338"/>
    </row>
    <row r="5" spans="1:13" s="128" customFormat="1">
      <c r="A5" s="231">
        <f t="shared" si="0"/>
        <v>2</v>
      </c>
      <c r="B5" s="232" t="s">
        <v>64</v>
      </c>
      <c r="C5" s="232" t="s">
        <v>65</v>
      </c>
      <c r="D5" s="232" t="s">
        <v>59</v>
      </c>
      <c r="E5" s="232">
        <v>10</v>
      </c>
      <c r="F5" s="233" t="s">
        <v>60</v>
      </c>
      <c r="G5" s="232"/>
      <c r="H5" s="232">
        <v>1</v>
      </c>
      <c r="I5" s="234" t="s">
        <v>66</v>
      </c>
      <c r="J5" s="296" t="s">
        <v>16</v>
      </c>
      <c r="K5" s="348"/>
      <c r="L5" s="343"/>
      <c r="M5" s="338"/>
    </row>
    <row r="6" spans="1:13" s="128" customFormat="1">
      <c r="A6" s="231">
        <f t="shared" si="0"/>
        <v>3</v>
      </c>
      <c r="B6" s="232" t="s">
        <v>70</v>
      </c>
      <c r="C6" s="232" t="s">
        <v>71</v>
      </c>
      <c r="D6" s="232" t="s">
        <v>59</v>
      </c>
      <c r="E6" s="232">
        <v>10</v>
      </c>
      <c r="F6" s="233" t="s">
        <v>60</v>
      </c>
      <c r="G6" s="232"/>
      <c r="H6" s="232">
        <v>2</v>
      </c>
      <c r="I6" s="234" t="s">
        <v>178</v>
      </c>
      <c r="J6" s="297" t="s">
        <v>16</v>
      </c>
      <c r="K6" s="348"/>
      <c r="L6" s="343"/>
      <c r="M6" s="338"/>
    </row>
    <row r="7" spans="1:13">
      <c r="A7" s="235">
        <f>ROW() - 3</f>
        <v>4</v>
      </c>
      <c r="B7" s="236" t="s">
        <v>623</v>
      </c>
      <c r="C7" s="236" t="s">
        <v>624</v>
      </c>
      <c r="D7" s="236" t="s">
        <v>106</v>
      </c>
      <c r="E7" s="236">
        <v>2</v>
      </c>
      <c r="F7" s="237" t="s">
        <v>60</v>
      </c>
      <c r="G7" s="236"/>
      <c r="H7" s="236">
        <v>3</v>
      </c>
      <c r="I7" s="238"/>
      <c r="J7" s="297" t="s">
        <v>16</v>
      </c>
      <c r="K7" s="348"/>
      <c r="L7" s="343"/>
      <c r="M7" s="338"/>
    </row>
    <row r="8" spans="1:13">
      <c r="A8" s="235">
        <f>ROW() - 3</f>
        <v>5</v>
      </c>
      <c r="B8" s="236" t="s">
        <v>652</v>
      </c>
      <c r="C8" s="236" t="s">
        <v>653</v>
      </c>
      <c r="D8" s="236" t="s">
        <v>133</v>
      </c>
      <c r="E8" s="236"/>
      <c r="F8" s="237" t="s">
        <v>60</v>
      </c>
      <c r="G8" s="236"/>
      <c r="H8" s="236"/>
      <c r="I8" s="238" t="s">
        <v>654</v>
      </c>
      <c r="J8" s="297" t="s">
        <v>16</v>
      </c>
      <c r="K8" s="348"/>
      <c r="L8" s="343"/>
      <c r="M8" s="338"/>
    </row>
    <row r="9" spans="1:13" ht="27.75" thickBot="1">
      <c r="A9" s="239">
        <f>ROW() - 3</f>
        <v>6</v>
      </c>
      <c r="B9" s="240" t="s">
        <v>655</v>
      </c>
      <c r="C9" s="240" t="s">
        <v>656</v>
      </c>
      <c r="D9" s="240" t="s">
        <v>106</v>
      </c>
      <c r="E9" s="240">
        <v>2</v>
      </c>
      <c r="F9" s="241"/>
      <c r="G9" s="240"/>
      <c r="H9" s="240"/>
      <c r="I9" s="242" t="s">
        <v>657</v>
      </c>
      <c r="J9" s="321" t="s">
        <v>16</v>
      </c>
      <c r="K9" s="349"/>
      <c r="L9" s="344"/>
      <c r="M9" s="345"/>
    </row>
  </sheetData>
  <phoneticPr fontId="4"/>
  <pageMargins left="0.31496062992125984" right="0.31496062992125984" top="0.74803149606299213" bottom="0.74803149606299213" header="0.31496062992125984" footer="0.31496062992125984"/>
  <pageSetup paperSize="9" scale="98" orientation="landscape" r:id="rId1"/>
  <headerFooter>
    <oddFooter>&amp;C&amp;"Times New Roman,標準"&amp;10&amp;P/&amp;N&amp;R&amp;"Times New Roman,標準"&amp;9Copyright(C) 2017-2019 VINX Corporation. All Rights Reserved.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249977111117893"/>
  </sheetPr>
  <dimension ref="A1:BD113"/>
  <sheetViews>
    <sheetView workbookViewId="0">
      <selection activeCell="BF41" sqref="BF41"/>
    </sheetView>
  </sheetViews>
  <sheetFormatPr defaultColWidth="5" defaultRowHeight="13.5" customHeight="1"/>
  <cols>
    <col min="1" max="56" width="2.375" style="29" customWidth="1"/>
    <col min="57" max="16384" width="5" style="29"/>
  </cols>
  <sheetData>
    <row r="1" spans="1:56" s="27" customFormat="1" ht="13.5" customHeight="1">
      <c r="A1" s="394" t="s">
        <v>658</v>
      </c>
      <c r="B1" s="395"/>
      <c r="C1" s="395"/>
      <c r="D1" s="395"/>
      <c r="E1" s="395"/>
      <c r="F1" s="395"/>
      <c r="G1" s="395"/>
      <c r="H1" s="395"/>
      <c r="I1" s="395"/>
      <c r="J1" s="395"/>
      <c r="K1" s="395"/>
      <c r="L1" s="395"/>
      <c r="M1" s="395"/>
      <c r="N1" s="395"/>
      <c r="O1" s="395"/>
      <c r="P1" s="395"/>
      <c r="Q1" s="395"/>
      <c r="R1" s="395"/>
      <c r="S1" s="395"/>
      <c r="T1" s="395"/>
      <c r="U1" s="395"/>
      <c r="V1" s="395"/>
      <c r="W1" s="395"/>
      <c r="X1" s="395"/>
      <c r="Y1" s="395"/>
      <c r="Z1" s="395"/>
      <c r="AA1" s="395"/>
      <c r="AB1" s="395"/>
      <c r="AC1" s="395"/>
      <c r="AD1" s="395"/>
      <c r="AE1" s="395"/>
      <c r="AF1" s="395"/>
      <c r="AG1" s="395"/>
      <c r="AH1" s="395"/>
      <c r="AI1" s="395"/>
      <c r="AJ1" s="395"/>
      <c r="AK1" s="395"/>
      <c r="AL1" s="395"/>
      <c r="AM1" s="395"/>
      <c r="AN1" s="395"/>
      <c r="AO1" s="395"/>
      <c r="AP1" s="395"/>
      <c r="AQ1" s="395"/>
      <c r="AR1" s="395"/>
      <c r="AS1" s="395"/>
      <c r="AT1" s="395"/>
      <c r="AU1" s="395"/>
      <c r="AV1" s="395"/>
      <c r="AW1" s="395"/>
      <c r="AX1" s="395"/>
      <c r="AY1" s="395"/>
      <c r="AZ1" s="395"/>
      <c r="BA1" s="395"/>
      <c r="BB1" s="395"/>
      <c r="BC1" s="395"/>
      <c r="BD1" s="396"/>
    </row>
    <row r="2" spans="1:56" s="27" customFormat="1" ht="13.5" customHeight="1">
      <c r="A2" s="397"/>
      <c r="B2" s="398"/>
      <c r="C2" s="398"/>
      <c r="D2" s="398"/>
      <c r="E2" s="398"/>
      <c r="F2" s="398"/>
      <c r="G2" s="398"/>
      <c r="H2" s="398"/>
      <c r="I2" s="398"/>
      <c r="J2" s="398"/>
      <c r="K2" s="398"/>
      <c r="L2" s="398"/>
      <c r="M2" s="398"/>
      <c r="N2" s="398"/>
      <c r="O2" s="398"/>
      <c r="P2" s="398"/>
      <c r="Q2" s="398"/>
      <c r="R2" s="398"/>
      <c r="S2" s="398"/>
      <c r="T2" s="398"/>
      <c r="U2" s="398"/>
      <c r="V2" s="398"/>
      <c r="W2" s="398"/>
      <c r="X2" s="398"/>
      <c r="Y2" s="398"/>
      <c r="Z2" s="398"/>
      <c r="AA2" s="398"/>
      <c r="AB2" s="398"/>
      <c r="AC2" s="398"/>
      <c r="AD2" s="398"/>
      <c r="AE2" s="398"/>
      <c r="AF2" s="398"/>
      <c r="AG2" s="398"/>
      <c r="AH2" s="398"/>
      <c r="AI2" s="398"/>
      <c r="AJ2" s="398"/>
      <c r="AK2" s="398"/>
      <c r="AL2" s="398"/>
      <c r="AM2" s="398"/>
      <c r="AN2" s="398"/>
      <c r="AO2" s="398"/>
      <c r="AP2" s="398"/>
      <c r="AQ2" s="398"/>
      <c r="AR2" s="398"/>
      <c r="AS2" s="398"/>
      <c r="AT2" s="398"/>
      <c r="AU2" s="398"/>
      <c r="AV2" s="398"/>
      <c r="AW2" s="398"/>
      <c r="AX2" s="398"/>
      <c r="AY2" s="398"/>
      <c r="AZ2" s="398"/>
      <c r="BA2" s="398"/>
      <c r="BB2" s="398"/>
      <c r="BC2" s="398"/>
      <c r="BD2" s="399"/>
    </row>
    <row r="3" spans="1:56" s="27" customFormat="1" ht="6"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row>
    <row r="4" spans="1:56" ht="13.5" customHeight="1">
      <c r="A4" s="400"/>
      <c r="B4" s="401"/>
      <c r="C4" s="401"/>
      <c r="D4" s="401"/>
      <c r="E4" s="401"/>
      <c r="F4" s="401"/>
      <c r="G4" s="401"/>
      <c r="H4" s="401"/>
      <c r="I4" s="401"/>
      <c r="J4" s="401"/>
      <c r="K4" s="401"/>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2"/>
    </row>
    <row r="5" spans="1:56" ht="13.5" customHeight="1">
      <c r="A5" s="30"/>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2"/>
    </row>
    <row r="6" spans="1:56" ht="13.5" customHeight="1">
      <c r="A6" s="33"/>
      <c r="B6" s="34" t="s">
        <v>659</v>
      </c>
      <c r="BD6" s="35"/>
    </row>
    <row r="7" spans="1:56" ht="13.5" customHeight="1">
      <c r="A7" s="33"/>
      <c r="B7" s="29" t="s">
        <v>660</v>
      </c>
      <c r="C7" s="29" t="s">
        <v>661</v>
      </c>
      <c r="J7" s="36"/>
      <c r="K7" s="36"/>
      <c r="L7" s="36"/>
      <c r="M7" s="36"/>
      <c r="N7" s="36"/>
      <c r="O7" s="36"/>
      <c r="P7" s="36"/>
      <c r="Q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D7" s="35"/>
    </row>
    <row r="8" spans="1:56" ht="13.5" customHeight="1">
      <c r="A8" s="33"/>
      <c r="C8" s="29" t="s">
        <v>662</v>
      </c>
      <c r="L8" s="36"/>
      <c r="M8" s="36"/>
      <c r="N8" s="29" t="s">
        <v>663</v>
      </c>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D8" s="35"/>
    </row>
    <row r="9" spans="1:56" ht="13.5" customHeight="1">
      <c r="A9" s="33"/>
      <c r="C9" s="29" t="s">
        <v>664</v>
      </c>
      <c r="L9" s="36"/>
      <c r="M9" s="36"/>
      <c r="N9" s="29" t="s">
        <v>665</v>
      </c>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D9" s="35"/>
    </row>
    <row r="10" spans="1:56" ht="13.5" customHeight="1">
      <c r="A10" s="33"/>
      <c r="C10" s="29" t="s">
        <v>666</v>
      </c>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D10" s="35"/>
    </row>
    <row r="11" spans="1:56" ht="13.5" customHeight="1">
      <c r="A11" s="33"/>
      <c r="C11" s="29" t="s">
        <v>646</v>
      </c>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D11" s="35"/>
    </row>
    <row r="12" spans="1:56" s="39" customFormat="1" ht="13.5" customHeight="1">
      <c r="A12" s="37"/>
      <c r="B12" s="29"/>
      <c r="C12" s="29"/>
      <c r="D12" s="29"/>
      <c r="E12" s="29"/>
      <c r="F12" s="29"/>
      <c r="G12" s="29"/>
      <c r="H12" s="29"/>
      <c r="I12" s="29"/>
      <c r="J12" s="29"/>
      <c r="K12" s="29"/>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29"/>
      <c r="BC12" s="29"/>
      <c r="BD12" s="38"/>
    </row>
    <row r="13" spans="1:56" s="39" customFormat="1" ht="13.5" customHeight="1">
      <c r="A13" s="37"/>
      <c r="B13" s="29"/>
      <c r="D13" s="29"/>
      <c r="E13" s="29"/>
      <c r="F13" s="40"/>
      <c r="G13" s="36" t="s">
        <v>667</v>
      </c>
      <c r="H13" s="29"/>
      <c r="I13" s="29"/>
      <c r="J13" s="29"/>
      <c r="K13" s="29"/>
      <c r="L13" s="36" t="s">
        <v>668</v>
      </c>
      <c r="M13" s="29"/>
      <c r="N13" s="29"/>
      <c r="O13" s="29"/>
      <c r="P13" s="29"/>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29"/>
      <c r="BC13" s="29"/>
      <c r="BD13" s="38"/>
    </row>
    <row r="14" spans="1:56" s="39" customFormat="1" ht="13.5" customHeight="1">
      <c r="A14" s="37"/>
      <c r="B14" s="29"/>
      <c r="D14" s="29"/>
      <c r="E14" s="29"/>
      <c r="F14" s="29"/>
      <c r="G14" s="29"/>
      <c r="H14" s="29"/>
      <c r="I14" s="29"/>
      <c r="J14" s="29"/>
      <c r="K14" s="29"/>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29"/>
      <c r="BC14" s="29"/>
      <c r="BD14" s="38"/>
    </row>
    <row r="15" spans="1:56" ht="13.5" customHeight="1">
      <c r="A15" s="33"/>
      <c r="D15" s="29" t="s">
        <v>640</v>
      </c>
      <c r="E15" s="36"/>
      <c r="F15" s="36"/>
      <c r="G15" s="36"/>
      <c r="H15" s="36"/>
      <c r="I15" s="36"/>
      <c r="J15" s="36"/>
      <c r="K15" s="36"/>
      <c r="L15" s="36"/>
      <c r="M15" s="36"/>
      <c r="N15" s="36"/>
      <c r="O15" s="36"/>
      <c r="P15" s="36"/>
      <c r="Q15" s="36"/>
      <c r="R15" s="36"/>
      <c r="S15" s="36"/>
      <c r="T15" s="29" t="s">
        <v>669</v>
      </c>
      <c r="U15" s="36"/>
      <c r="V15" s="36"/>
      <c r="W15" s="36"/>
      <c r="X15" s="36"/>
      <c r="Y15" s="36"/>
      <c r="Z15" s="36"/>
      <c r="AA15" s="36"/>
      <c r="AB15" s="36"/>
      <c r="AC15" s="36"/>
      <c r="AD15" s="36"/>
      <c r="AE15" s="36"/>
      <c r="AF15" s="36"/>
      <c r="AG15" s="36"/>
      <c r="AJ15" s="29" t="s">
        <v>670</v>
      </c>
      <c r="AK15" s="36"/>
      <c r="AL15" s="36"/>
      <c r="AM15" s="36"/>
      <c r="AN15" s="36"/>
      <c r="AO15" s="36"/>
      <c r="AP15" s="36"/>
      <c r="AQ15" s="36"/>
      <c r="AR15" s="36"/>
      <c r="AU15" s="29" t="s">
        <v>646</v>
      </c>
      <c r="AV15" s="36"/>
      <c r="AW15" s="36"/>
      <c r="AX15" s="36"/>
      <c r="AY15" s="36"/>
      <c r="AZ15" s="36"/>
      <c r="BA15" s="36"/>
      <c r="BB15" s="36"/>
      <c r="BC15" s="36"/>
      <c r="BD15" s="35"/>
    </row>
    <row r="16" spans="1:56" s="39" customFormat="1" ht="13.5" customHeight="1">
      <c r="A16" s="37"/>
      <c r="B16" s="29"/>
      <c r="C16" s="29"/>
      <c r="D16" s="41" t="s">
        <v>671</v>
      </c>
      <c r="E16" s="42"/>
      <c r="F16" s="42"/>
      <c r="G16" s="42"/>
      <c r="H16" s="42"/>
      <c r="I16" s="42"/>
      <c r="J16" s="43"/>
      <c r="K16" s="44" t="s">
        <v>672</v>
      </c>
      <c r="L16" s="45"/>
      <c r="M16" s="45"/>
      <c r="N16" s="45"/>
      <c r="O16" s="45"/>
      <c r="P16" s="45"/>
      <c r="Q16" s="46"/>
      <c r="R16" s="36"/>
      <c r="S16" s="36"/>
      <c r="T16" s="41" t="s">
        <v>671</v>
      </c>
      <c r="U16" s="42"/>
      <c r="V16" s="42"/>
      <c r="W16" s="42"/>
      <c r="X16" s="42"/>
      <c r="Y16" s="42"/>
      <c r="Z16" s="43"/>
      <c r="AA16" s="44" t="s">
        <v>672</v>
      </c>
      <c r="AB16" s="45"/>
      <c r="AC16" s="45"/>
      <c r="AD16" s="45"/>
      <c r="AE16" s="45"/>
      <c r="AF16" s="45"/>
      <c r="AG16" s="46"/>
      <c r="AJ16" s="41" t="s">
        <v>300</v>
      </c>
      <c r="AK16" s="42"/>
      <c r="AL16" s="42"/>
      <c r="AM16" s="42"/>
      <c r="AN16" s="43"/>
      <c r="AO16" s="44" t="s">
        <v>673</v>
      </c>
      <c r="AP16" s="45"/>
      <c r="AQ16" s="45"/>
      <c r="AR16" s="46"/>
      <c r="AU16" s="41" t="s">
        <v>300</v>
      </c>
      <c r="AV16" s="42"/>
      <c r="AW16" s="42"/>
      <c r="AX16" s="42"/>
      <c r="AY16" s="43"/>
      <c r="AZ16" s="44" t="s">
        <v>673</v>
      </c>
      <c r="BA16" s="45"/>
      <c r="BB16" s="45"/>
      <c r="BC16" s="46"/>
      <c r="BD16" s="38"/>
    </row>
    <row r="17" spans="1:56" ht="13.5" customHeight="1">
      <c r="A17" s="33"/>
      <c r="D17" s="41" t="s">
        <v>674</v>
      </c>
      <c r="E17" s="42"/>
      <c r="F17" s="42"/>
      <c r="G17" s="42"/>
      <c r="H17" s="42"/>
      <c r="I17" s="42"/>
      <c r="J17" s="43"/>
      <c r="K17" s="44" t="s">
        <v>675</v>
      </c>
      <c r="L17" s="45"/>
      <c r="M17" s="45"/>
      <c r="N17" s="45"/>
      <c r="O17" s="45"/>
      <c r="P17" s="45"/>
      <c r="Q17" s="46"/>
      <c r="R17" s="36"/>
      <c r="S17" s="36"/>
      <c r="T17" s="41" t="s">
        <v>674</v>
      </c>
      <c r="U17" s="42"/>
      <c r="V17" s="42"/>
      <c r="W17" s="42"/>
      <c r="X17" s="42"/>
      <c r="Y17" s="42"/>
      <c r="Z17" s="43"/>
      <c r="AA17" s="44" t="s">
        <v>675</v>
      </c>
      <c r="AB17" s="45"/>
      <c r="AC17" s="45"/>
      <c r="AD17" s="45"/>
      <c r="AE17" s="45"/>
      <c r="AF17" s="45"/>
      <c r="AG17" s="46"/>
      <c r="AJ17" s="41" t="s">
        <v>302</v>
      </c>
      <c r="AK17" s="42"/>
      <c r="AL17" s="42"/>
      <c r="AM17" s="42"/>
      <c r="AN17" s="43"/>
      <c r="AO17" s="44" t="s">
        <v>675</v>
      </c>
      <c r="AP17" s="45"/>
      <c r="AQ17" s="45"/>
      <c r="AR17" s="46"/>
      <c r="AU17" s="41" t="s">
        <v>302</v>
      </c>
      <c r="AV17" s="42"/>
      <c r="AW17" s="42"/>
      <c r="AX17" s="42"/>
      <c r="AY17" s="43"/>
      <c r="AZ17" s="44" t="s">
        <v>675</v>
      </c>
      <c r="BA17" s="45"/>
      <c r="BB17" s="45"/>
      <c r="BC17" s="46"/>
      <c r="BD17" s="35"/>
    </row>
    <row r="18" spans="1:56" s="39" customFormat="1" ht="13.5" customHeight="1">
      <c r="A18" s="37"/>
      <c r="B18" s="29"/>
      <c r="C18" s="29"/>
      <c r="D18" s="41" t="s">
        <v>114</v>
      </c>
      <c r="E18" s="42"/>
      <c r="F18" s="42"/>
      <c r="G18" s="42"/>
      <c r="H18" s="42"/>
      <c r="I18" s="42"/>
      <c r="J18" s="43"/>
      <c r="K18" s="47" t="s">
        <v>115</v>
      </c>
      <c r="L18" s="48"/>
      <c r="M18" s="48"/>
      <c r="N18" s="48"/>
      <c r="O18" s="48"/>
      <c r="P18" s="48"/>
      <c r="Q18" s="49"/>
      <c r="R18" s="36"/>
      <c r="S18" s="36"/>
      <c r="T18" s="41" t="s">
        <v>676</v>
      </c>
      <c r="U18" s="42"/>
      <c r="V18" s="42"/>
      <c r="W18" s="42"/>
      <c r="X18" s="42"/>
      <c r="Y18" s="42"/>
      <c r="Z18" s="43"/>
      <c r="AA18" s="44" t="s">
        <v>677</v>
      </c>
      <c r="AB18" s="45"/>
      <c r="AC18" s="45"/>
      <c r="AD18" s="45"/>
      <c r="AE18" s="45"/>
      <c r="AF18" s="45"/>
      <c r="AG18" s="46"/>
      <c r="AJ18" s="41" t="s">
        <v>623</v>
      </c>
      <c r="AK18" s="42"/>
      <c r="AL18" s="42"/>
      <c r="AM18" s="42"/>
      <c r="AN18" s="43"/>
      <c r="AO18" s="44" t="s">
        <v>624</v>
      </c>
      <c r="AP18" s="45"/>
      <c r="AQ18" s="45"/>
      <c r="AR18" s="46"/>
      <c r="AU18" s="41" t="s">
        <v>678</v>
      </c>
      <c r="AV18" s="42"/>
      <c r="AW18" s="42"/>
      <c r="AX18" s="42"/>
      <c r="AY18" s="43"/>
      <c r="AZ18" s="44" t="s">
        <v>679</v>
      </c>
      <c r="BA18" s="45"/>
      <c r="BB18" s="45"/>
      <c r="BC18" s="46"/>
      <c r="BD18" s="38"/>
    </row>
    <row r="19" spans="1:56" ht="13.5" customHeight="1">
      <c r="A19" s="33"/>
      <c r="D19" s="41" t="s">
        <v>680</v>
      </c>
      <c r="E19" s="42"/>
      <c r="F19" s="42"/>
      <c r="G19" s="42"/>
      <c r="H19" s="42"/>
      <c r="I19" s="42"/>
      <c r="J19" s="43"/>
      <c r="K19" s="44" t="s">
        <v>681</v>
      </c>
      <c r="L19" s="45"/>
      <c r="M19" s="45"/>
      <c r="N19" s="45"/>
      <c r="O19" s="45"/>
      <c r="P19" s="45"/>
      <c r="Q19" s="46"/>
      <c r="R19" s="36"/>
      <c r="S19" s="36"/>
      <c r="T19" s="41" t="s">
        <v>682</v>
      </c>
      <c r="U19" s="42"/>
      <c r="V19" s="42"/>
      <c r="W19" s="42"/>
      <c r="X19" s="42"/>
      <c r="Y19" s="42"/>
      <c r="Z19" s="43"/>
      <c r="AA19" s="44" t="s">
        <v>624</v>
      </c>
      <c r="AB19" s="45"/>
      <c r="AC19" s="45"/>
      <c r="AD19" s="45"/>
      <c r="AE19" s="45"/>
      <c r="AF19" s="45"/>
      <c r="AG19" s="46"/>
      <c r="AJ19" s="44" t="s">
        <v>678</v>
      </c>
      <c r="AK19" s="45"/>
      <c r="AL19" s="45"/>
      <c r="AM19" s="45"/>
      <c r="AN19" s="46"/>
      <c r="AO19" s="44" t="s">
        <v>626</v>
      </c>
      <c r="AP19" s="45"/>
      <c r="AQ19" s="45"/>
      <c r="AR19" s="46"/>
      <c r="AU19" s="44" t="s">
        <v>49</v>
      </c>
      <c r="AV19" s="45"/>
      <c r="AW19" s="45"/>
      <c r="AX19" s="45"/>
      <c r="AY19" s="46"/>
      <c r="AZ19" s="44" t="s">
        <v>560</v>
      </c>
      <c r="BA19" s="45"/>
      <c r="BB19" s="45"/>
      <c r="BC19" s="46"/>
      <c r="BD19" s="35"/>
    </row>
    <row r="20" spans="1:56" ht="13.5" customHeight="1">
      <c r="A20" s="33"/>
      <c r="D20" s="44" t="s">
        <v>49</v>
      </c>
      <c r="E20" s="45"/>
      <c r="F20" s="45"/>
      <c r="G20" s="45"/>
      <c r="H20" s="45"/>
      <c r="I20" s="45"/>
      <c r="J20" s="46"/>
      <c r="K20" s="44" t="s">
        <v>560</v>
      </c>
      <c r="L20" s="45"/>
      <c r="M20" s="45"/>
      <c r="N20" s="45"/>
      <c r="O20" s="45"/>
      <c r="P20" s="45"/>
      <c r="Q20" s="46"/>
      <c r="R20" s="36"/>
      <c r="S20" s="36"/>
      <c r="T20" s="36"/>
      <c r="U20" s="36"/>
      <c r="V20" s="36"/>
      <c r="W20" s="36"/>
      <c r="X20" s="36"/>
      <c r="Y20" s="36"/>
      <c r="Z20" s="36"/>
      <c r="AA20" s="36"/>
      <c r="AB20" s="36"/>
      <c r="AC20" s="36"/>
      <c r="AD20" s="36"/>
      <c r="AE20" s="36"/>
      <c r="AF20" s="36"/>
      <c r="AG20" s="36"/>
      <c r="AH20" s="36"/>
      <c r="AI20" s="36"/>
      <c r="AJ20" s="44" t="s">
        <v>683</v>
      </c>
      <c r="AK20" s="45"/>
      <c r="AL20" s="45"/>
      <c r="AM20" s="45"/>
      <c r="AN20" s="46"/>
      <c r="AO20" s="44" t="s">
        <v>629</v>
      </c>
      <c r="AP20" s="45"/>
      <c r="AQ20" s="45"/>
      <c r="AR20" s="46"/>
      <c r="AU20" s="36"/>
      <c r="AV20" s="36"/>
      <c r="AW20" s="36"/>
      <c r="AX20" s="36"/>
      <c r="AY20" s="36"/>
      <c r="AZ20" s="36"/>
      <c r="BA20" s="36"/>
      <c r="BB20" s="36"/>
      <c r="BC20" s="36"/>
      <c r="BD20" s="35"/>
    </row>
    <row r="21" spans="1:56" ht="13.5" customHeight="1">
      <c r="A21" s="33"/>
      <c r="C21" s="36"/>
      <c r="D21" s="44" t="s">
        <v>684</v>
      </c>
      <c r="E21" s="45"/>
      <c r="F21" s="45"/>
      <c r="G21" s="45"/>
      <c r="H21" s="45"/>
      <c r="I21" s="45"/>
      <c r="J21" s="46"/>
      <c r="K21" s="44" t="s">
        <v>685</v>
      </c>
      <c r="L21" s="45"/>
      <c r="M21" s="45"/>
      <c r="N21" s="45"/>
      <c r="O21" s="45"/>
      <c r="P21" s="45"/>
      <c r="Q21" s="46"/>
      <c r="R21" s="36"/>
      <c r="S21" s="36"/>
      <c r="T21" s="36"/>
      <c r="U21" s="36"/>
      <c r="V21" s="36"/>
      <c r="W21" s="36"/>
      <c r="X21" s="36"/>
      <c r="Y21" s="36"/>
      <c r="Z21" s="36"/>
      <c r="AA21" s="36"/>
      <c r="AB21" s="36"/>
      <c r="AC21" s="36"/>
      <c r="AD21" s="36"/>
      <c r="AE21" s="36"/>
      <c r="AF21" s="36"/>
      <c r="AG21" s="36"/>
      <c r="AH21" s="36"/>
      <c r="AI21" s="36"/>
      <c r="AJ21" s="44" t="s">
        <v>49</v>
      </c>
      <c r="AK21" s="45"/>
      <c r="AL21" s="45"/>
      <c r="AM21" s="45"/>
      <c r="AN21" s="46"/>
      <c r="AO21" s="44" t="s">
        <v>560</v>
      </c>
      <c r="AP21" s="45"/>
      <c r="AQ21" s="45"/>
      <c r="AR21" s="46"/>
      <c r="AY21" s="36"/>
      <c r="AZ21" s="36"/>
      <c r="BD21" s="35"/>
    </row>
    <row r="22" spans="1:56" ht="13.5" customHeight="1">
      <c r="A22" s="33"/>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44" t="s">
        <v>686</v>
      </c>
      <c r="AK22" s="45"/>
      <c r="AL22" s="45"/>
      <c r="AM22" s="45"/>
      <c r="AN22" s="46"/>
      <c r="AO22" s="44" t="s">
        <v>632</v>
      </c>
      <c r="AP22" s="45"/>
      <c r="AQ22" s="45"/>
      <c r="AR22" s="46"/>
      <c r="BD22" s="35"/>
    </row>
    <row r="23" spans="1:56" ht="13.5" customHeight="1">
      <c r="A23" s="33"/>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44" t="s">
        <v>687</v>
      </c>
      <c r="AK23" s="45"/>
      <c r="AL23" s="45"/>
      <c r="AM23" s="45"/>
      <c r="AN23" s="46"/>
      <c r="AO23" s="44" t="s">
        <v>634</v>
      </c>
      <c r="AP23" s="45"/>
      <c r="AQ23" s="45"/>
      <c r="AR23" s="46"/>
      <c r="BD23" s="35"/>
    </row>
    <row r="24" spans="1:56" s="39" customFormat="1" ht="13.5" customHeight="1">
      <c r="A24" s="37"/>
      <c r="D24" s="29" t="s">
        <v>688</v>
      </c>
      <c r="E24" s="36"/>
      <c r="F24" s="36"/>
      <c r="G24" s="36"/>
      <c r="H24" s="36"/>
      <c r="I24" s="36"/>
      <c r="J24" s="36"/>
      <c r="K24" s="36"/>
      <c r="L24" s="36"/>
      <c r="M24" s="36"/>
      <c r="N24" s="36"/>
      <c r="O24" s="36"/>
      <c r="P24" s="36"/>
      <c r="R24" s="29" t="s">
        <v>689</v>
      </c>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Y24" s="29"/>
      <c r="AZ24" s="29"/>
      <c r="BA24" s="29"/>
      <c r="BB24" s="29"/>
      <c r="BC24" s="29"/>
      <c r="BD24" s="38"/>
    </row>
    <row r="25" spans="1:56" s="51" customFormat="1" ht="13.5" customHeight="1">
      <c r="A25" s="50"/>
      <c r="D25" s="41" t="s">
        <v>300</v>
      </c>
      <c r="E25" s="42"/>
      <c r="F25" s="42"/>
      <c r="G25" s="42"/>
      <c r="H25" s="43"/>
      <c r="I25" s="44" t="s">
        <v>673</v>
      </c>
      <c r="J25" s="45"/>
      <c r="K25" s="45"/>
      <c r="L25" s="45"/>
      <c r="M25" s="45"/>
      <c r="N25" s="45"/>
      <c r="O25" s="46"/>
      <c r="P25" s="36"/>
      <c r="R25" s="41" t="s">
        <v>300</v>
      </c>
      <c r="S25" s="42"/>
      <c r="T25" s="42"/>
      <c r="U25" s="42"/>
      <c r="V25" s="42"/>
      <c r="W25" s="42"/>
      <c r="X25" s="43"/>
      <c r="Y25" s="44" t="s">
        <v>673</v>
      </c>
      <c r="Z25" s="45"/>
      <c r="AA25" s="45"/>
      <c r="AB25" s="45"/>
      <c r="AC25" s="45"/>
      <c r="AD25" s="45"/>
      <c r="AE25" s="46"/>
      <c r="AF25" s="36"/>
      <c r="AG25" s="36"/>
      <c r="AH25" s="36"/>
      <c r="AI25" s="36"/>
      <c r="AJ25" s="36"/>
      <c r="AK25" s="36"/>
      <c r="AL25" s="36"/>
      <c r="AM25" s="36"/>
      <c r="AN25" s="36"/>
      <c r="AO25" s="36"/>
      <c r="AP25" s="36"/>
      <c r="AQ25" s="36"/>
      <c r="AR25" s="36"/>
      <c r="AS25" s="36"/>
      <c r="AT25" s="36"/>
      <c r="AU25" s="36"/>
      <c r="AV25" s="29"/>
      <c r="AW25" s="29"/>
      <c r="AX25" s="29"/>
      <c r="AY25" s="29"/>
      <c r="AZ25" s="29"/>
      <c r="BA25" s="29"/>
      <c r="BB25" s="29"/>
      <c r="BC25" s="29"/>
      <c r="BD25" s="52"/>
    </row>
    <row r="26" spans="1:56" s="39" customFormat="1" ht="13.5" customHeight="1">
      <c r="A26" s="37"/>
      <c r="D26" s="41" t="s">
        <v>302</v>
      </c>
      <c r="E26" s="42"/>
      <c r="F26" s="42"/>
      <c r="G26" s="42"/>
      <c r="H26" s="43"/>
      <c r="I26" s="44" t="s">
        <v>675</v>
      </c>
      <c r="J26" s="45"/>
      <c r="K26" s="45"/>
      <c r="L26" s="45"/>
      <c r="M26" s="45"/>
      <c r="N26" s="45"/>
      <c r="O26" s="46"/>
      <c r="P26" s="36"/>
      <c r="R26" s="41" t="s">
        <v>302</v>
      </c>
      <c r="S26" s="42"/>
      <c r="T26" s="42"/>
      <c r="U26" s="42"/>
      <c r="V26" s="42"/>
      <c r="W26" s="42"/>
      <c r="X26" s="43"/>
      <c r="Y26" s="44" t="s">
        <v>675</v>
      </c>
      <c r="Z26" s="45"/>
      <c r="AA26" s="45"/>
      <c r="AB26" s="45"/>
      <c r="AC26" s="45"/>
      <c r="AD26" s="45"/>
      <c r="AE26" s="46"/>
      <c r="AF26" s="36"/>
      <c r="AG26" s="36"/>
      <c r="AH26" s="36"/>
      <c r="AI26" s="36"/>
      <c r="AJ26" s="36"/>
      <c r="AK26" s="36"/>
      <c r="AL26" s="36"/>
      <c r="AM26" s="36"/>
      <c r="AN26" s="36"/>
      <c r="AO26" s="36"/>
      <c r="AP26" s="36"/>
      <c r="AQ26" s="36"/>
      <c r="AR26" s="36"/>
      <c r="AS26" s="36"/>
      <c r="AT26" s="36"/>
      <c r="AU26" s="36"/>
      <c r="AV26" s="29"/>
      <c r="AW26" s="29"/>
      <c r="AX26" s="29"/>
      <c r="AY26" s="29"/>
      <c r="AZ26" s="29"/>
      <c r="BA26" s="29"/>
      <c r="BB26" s="29"/>
      <c r="BC26" s="29"/>
      <c r="BD26" s="38"/>
    </row>
    <row r="27" spans="1:56" s="39" customFormat="1" ht="13.5" customHeight="1">
      <c r="A27" s="37"/>
      <c r="D27" s="41" t="s">
        <v>324</v>
      </c>
      <c r="E27" s="42"/>
      <c r="F27" s="42"/>
      <c r="G27" s="42"/>
      <c r="H27" s="43"/>
      <c r="I27" s="44" t="s">
        <v>180</v>
      </c>
      <c r="J27" s="45"/>
      <c r="K27" s="45"/>
      <c r="L27" s="45"/>
      <c r="M27" s="45"/>
      <c r="N27" s="45"/>
      <c r="O27" s="46"/>
      <c r="P27" s="36"/>
      <c r="R27" s="41" t="s">
        <v>74</v>
      </c>
      <c r="S27" s="42"/>
      <c r="T27" s="42"/>
      <c r="U27" s="42"/>
      <c r="V27" s="42"/>
      <c r="W27" s="42"/>
      <c r="X27" s="43"/>
      <c r="Y27" s="44" t="s">
        <v>690</v>
      </c>
      <c r="Z27" s="45"/>
      <c r="AA27" s="45"/>
      <c r="AB27" s="45"/>
      <c r="AC27" s="45"/>
      <c r="AD27" s="45"/>
      <c r="AE27" s="46"/>
      <c r="AF27" s="36"/>
      <c r="AG27" s="36"/>
      <c r="AH27" s="36"/>
      <c r="AI27" s="36"/>
      <c r="AJ27" s="36"/>
      <c r="AK27" s="36"/>
      <c r="AL27" s="36"/>
      <c r="AM27" s="36"/>
      <c r="AN27" s="36"/>
      <c r="AO27" s="36"/>
      <c r="AP27" s="36"/>
      <c r="AQ27" s="36"/>
      <c r="AR27" s="36"/>
      <c r="AS27" s="36"/>
      <c r="AT27" s="36"/>
      <c r="AU27" s="36"/>
      <c r="AV27" s="29"/>
      <c r="AW27" s="29"/>
      <c r="AX27" s="29"/>
      <c r="AY27" s="29"/>
      <c r="AZ27" s="29"/>
      <c r="BA27" s="29"/>
      <c r="BB27" s="29"/>
      <c r="BC27" s="29"/>
      <c r="BD27" s="38"/>
    </row>
    <row r="28" spans="1:56" s="39" customFormat="1" ht="13.5" customHeight="1">
      <c r="A28" s="37"/>
      <c r="D28" s="44"/>
      <c r="E28" s="45" t="s">
        <v>691</v>
      </c>
      <c r="F28" s="45"/>
      <c r="G28" s="45"/>
      <c r="H28" s="46"/>
      <c r="I28" s="44"/>
      <c r="J28" s="45"/>
      <c r="K28" s="45"/>
      <c r="L28" s="45"/>
      <c r="M28" s="45"/>
      <c r="N28" s="45"/>
      <c r="O28" s="46"/>
      <c r="P28" s="36"/>
      <c r="R28" s="41" t="s">
        <v>80</v>
      </c>
      <c r="S28" s="42"/>
      <c r="T28" s="42"/>
      <c r="U28" s="42"/>
      <c r="V28" s="42"/>
      <c r="W28" s="42"/>
      <c r="X28" s="43"/>
      <c r="Y28" s="44" t="s">
        <v>692</v>
      </c>
      <c r="Z28" s="45"/>
      <c r="AA28" s="45"/>
      <c r="AB28" s="45"/>
      <c r="AC28" s="45"/>
      <c r="AD28" s="45"/>
      <c r="AE28" s="46"/>
      <c r="AF28" s="36"/>
      <c r="AG28" s="36"/>
      <c r="AH28" s="36"/>
      <c r="AI28" s="36"/>
      <c r="AJ28" s="36"/>
      <c r="AK28" s="36"/>
      <c r="AL28" s="36"/>
      <c r="AM28" s="36"/>
      <c r="AN28" s="36"/>
      <c r="AO28" s="36"/>
      <c r="AP28" s="36"/>
      <c r="AQ28" s="36"/>
      <c r="AR28" s="36"/>
      <c r="AS28" s="36"/>
      <c r="AT28" s="36"/>
      <c r="AU28" s="36"/>
      <c r="AV28" s="29"/>
      <c r="AW28" s="29"/>
      <c r="AX28" s="29"/>
      <c r="AY28" s="29"/>
      <c r="AZ28" s="29"/>
      <c r="BA28" s="29"/>
      <c r="BB28" s="29"/>
      <c r="BC28" s="29"/>
      <c r="BD28" s="38"/>
    </row>
    <row r="29" spans="1:56" s="39" customFormat="1" ht="13.5" customHeight="1">
      <c r="A29" s="37"/>
      <c r="D29" s="44" t="s">
        <v>693</v>
      </c>
      <c r="E29" s="45"/>
      <c r="F29" s="45"/>
      <c r="G29" s="45"/>
      <c r="H29" s="46"/>
      <c r="I29" s="47" t="s">
        <v>115</v>
      </c>
      <c r="J29" s="48"/>
      <c r="K29" s="48"/>
      <c r="L29" s="48"/>
      <c r="M29" s="48"/>
      <c r="N29" s="48"/>
      <c r="O29" s="49"/>
      <c r="P29" s="36"/>
      <c r="R29" s="44"/>
      <c r="S29" s="45" t="s">
        <v>691</v>
      </c>
      <c r="T29" s="45"/>
      <c r="U29" s="45"/>
      <c r="V29" s="45"/>
      <c r="W29" s="45"/>
      <c r="X29" s="46"/>
      <c r="Y29" s="44"/>
      <c r="Z29" s="45"/>
      <c r="AA29" s="45"/>
      <c r="AB29" s="45"/>
      <c r="AC29" s="45"/>
      <c r="AD29" s="45"/>
      <c r="AE29" s="46"/>
      <c r="AF29" s="36"/>
      <c r="AG29" s="36"/>
      <c r="AH29" s="36"/>
      <c r="AI29" s="36"/>
      <c r="AJ29" s="36"/>
      <c r="AK29" s="36"/>
      <c r="AL29" s="36"/>
      <c r="AM29" s="36"/>
      <c r="AN29" s="36"/>
      <c r="AO29" s="36"/>
      <c r="AP29" s="36"/>
      <c r="AQ29" s="36"/>
      <c r="AR29" s="36"/>
      <c r="AS29" s="36"/>
      <c r="AT29" s="36"/>
      <c r="AU29" s="36"/>
      <c r="AV29" s="29"/>
      <c r="AW29" s="29"/>
      <c r="AX29" s="29"/>
      <c r="AY29" s="29"/>
      <c r="AZ29" s="29"/>
      <c r="BA29" s="29"/>
      <c r="BB29" s="29"/>
      <c r="BC29" s="29"/>
      <c r="BD29" s="38"/>
    </row>
    <row r="30" spans="1:56" s="39" customFormat="1" ht="13.5" customHeight="1">
      <c r="A30" s="37"/>
      <c r="D30" s="44"/>
      <c r="E30" s="45" t="s">
        <v>691</v>
      </c>
      <c r="F30" s="45"/>
      <c r="G30" s="45"/>
      <c r="H30" s="46"/>
      <c r="I30" s="44"/>
      <c r="J30" s="45"/>
      <c r="K30" s="45"/>
      <c r="L30" s="45"/>
      <c r="M30" s="45"/>
      <c r="N30" s="45"/>
      <c r="O30" s="46"/>
      <c r="R30" s="44" t="s">
        <v>114</v>
      </c>
      <c r="S30" s="45"/>
      <c r="T30" s="45"/>
      <c r="U30" s="45"/>
      <c r="V30" s="45"/>
      <c r="W30" s="45"/>
      <c r="X30" s="46"/>
      <c r="Y30" s="47" t="s">
        <v>115</v>
      </c>
      <c r="Z30" s="48"/>
      <c r="AA30" s="48"/>
      <c r="AB30" s="48"/>
      <c r="AC30" s="48"/>
      <c r="AD30" s="48"/>
      <c r="AE30" s="49"/>
      <c r="AF30" s="36"/>
      <c r="AG30" s="36"/>
      <c r="AH30" s="36"/>
      <c r="AI30" s="36"/>
      <c r="AJ30" s="36"/>
      <c r="AK30" s="36"/>
      <c r="AL30" s="36"/>
      <c r="AM30" s="36"/>
      <c r="AN30" s="36"/>
      <c r="AO30" s="36"/>
      <c r="AP30" s="36"/>
      <c r="AQ30" s="36"/>
      <c r="AR30" s="36"/>
      <c r="AS30" s="36"/>
      <c r="AT30" s="36"/>
      <c r="AU30" s="36"/>
      <c r="AV30" s="29"/>
      <c r="AW30" s="29"/>
      <c r="AX30" s="29"/>
      <c r="AY30" s="29"/>
      <c r="AZ30" s="29"/>
      <c r="BA30" s="29"/>
      <c r="BB30" s="29"/>
      <c r="BC30" s="29"/>
      <c r="BD30" s="38"/>
    </row>
    <row r="31" spans="1:56" s="39" customFormat="1" ht="13.5" customHeight="1">
      <c r="A31" s="37"/>
      <c r="R31" s="44"/>
      <c r="S31" s="45" t="s">
        <v>691</v>
      </c>
      <c r="T31" s="45"/>
      <c r="U31" s="45"/>
      <c r="V31" s="45"/>
      <c r="W31" s="45"/>
      <c r="X31" s="46"/>
      <c r="Y31" s="44"/>
      <c r="Z31" s="45"/>
      <c r="AA31" s="45"/>
      <c r="AB31" s="45"/>
      <c r="AC31" s="45"/>
      <c r="AD31" s="45"/>
      <c r="AE31" s="46"/>
      <c r="AF31" s="36"/>
      <c r="AG31" s="36"/>
      <c r="AH31" s="36"/>
      <c r="AI31" s="36"/>
      <c r="AJ31" s="36"/>
      <c r="AK31" s="36"/>
      <c r="AL31" s="36"/>
      <c r="AM31" s="36"/>
      <c r="AN31" s="36"/>
      <c r="AO31" s="36"/>
      <c r="AP31" s="36"/>
      <c r="AQ31" s="36"/>
      <c r="AR31" s="36"/>
      <c r="AS31" s="36"/>
      <c r="AT31" s="36"/>
      <c r="AU31" s="36"/>
      <c r="AV31" s="29"/>
      <c r="AW31" s="29"/>
      <c r="AX31" s="29"/>
      <c r="AY31" s="29"/>
      <c r="AZ31" s="29"/>
      <c r="BA31" s="29"/>
      <c r="BB31" s="29"/>
      <c r="BC31" s="29"/>
      <c r="BD31" s="38"/>
    </row>
    <row r="32" spans="1:56" s="39" customFormat="1" ht="13.5" customHeight="1">
      <c r="A32" s="37"/>
      <c r="AE32" s="36"/>
      <c r="AF32" s="36"/>
      <c r="AG32" s="36"/>
      <c r="AH32" s="36"/>
      <c r="AI32" s="36"/>
      <c r="AJ32" s="36"/>
      <c r="AK32" s="36"/>
      <c r="AL32" s="36"/>
      <c r="AM32" s="36"/>
      <c r="AN32" s="36"/>
      <c r="AO32" s="36"/>
      <c r="AP32" s="36"/>
      <c r="AQ32" s="36"/>
      <c r="AR32" s="36"/>
      <c r="AS32" s="36"/>
      <c r="AT32" s="36"/>
      <c r="AU32" s="36"/>
      <c r="AV32" s="29"/>
      <c r="AW32" s="29"/>
      <c r="AX32" s="29"/>
      <c r="AY32" s="29"/>
      <c r="AZ32" s="29"/>
      <c r="BA32" s="29"/>
      <c r="BB32" s="29"/>
      <c r="BC32" s="29"/>
      <c r="BD32" s="38"/>
    </row>
    <row r="33" spans="1:56" s="51" customFormat="1" ht="13.5" customHeight="1">
      <c r="A33" s="50"/>
      <c r="AE33" s="36"/>
      <c r="AF33" s="36"/>
      <c r="AG33" s="36"/>
      <c r="AH33" s="36"/>
      <c r="AI33" s="36"/>
      <c r="AJ33" s="36"/>
      <c r="AK33" s="36"/>
      <c r="AL33" s="36"/>
      <c r="AM33" s="36"/>
      <c r="AN33" s="36"/>
      <c r="AO33" s="36"/>
      <c r="AP33" s="36"/>
      <c r="AQ33" s="36"/>
      <c r="AR33" s="36"/>
      <c r="AS33" s="36"/>
      <c r="AT33" s="36"/>
      <c r="AU33" s="36"/>
      <c r="AV33" s="29"/>
      <c r="AW33" s="29"/>
      <c r="AX33" s="29"/>
      <c r="AY33" s="29"/>
      <c r="AZ33" s="29"/>
      <c r="BA33" s="29"/>
      <c r="BB33" s="29"/>
      <c r="BC33" s="29"/>
      <c r="BD33" s="52"/>
    </row>
    <row r="34" spans="1:56" s="51" customFormat="1" ht="13.5" customHeight="1">
      <c r="A34" s="50"/>
      <c r="AE34" s="36"/>
      <c r="AF34" s="36"/>
      <c r="AG34" s="36"/>
      <c r="AH34" s="36"/>
      <c r="AI34" s="36"/>
      <c r="AJ34" s="36"/>
      <c r="AK34" s="36"/>
      <c r="AL34" s="36"/>
      <c r="AM34" s="36"/>
      <c r="AN34" s="36"/>
      <c r="AO34" s="36"/>
      <c r="AP34" s="36"/>
      <c r="AQ34" s="36"/>
      <c r="AR34" s="36"/>
      <c r="AS34" s="36"/>
      <c r="AT34" s="36"/>
      <c r="AU34" s="36"/>
      <c r="AV34" s="29"/>
      <c r="AW34" s="29"/>
      <c r="AX34" s="29"/>
      <c r="AY34" s="29"/>
      <c r="AZ34" s="29"/>
      <c r="BA34" s="29"/>
      <c r="BB34" s="29"/>
      <c r="BC34" s="29"/>
      <c r="BD34" s="52"/>
    </row>
    <row r="35" spans="1:56" s="51" customFormat="1" ht="13.5" customHeight="1">
      <c r="A35" s="50"/>
      <c r="AE35" s="36"/>
      <c r="AF35" s="36"/>
      <c r="AG35" s="36"/>
      <c r="AH35" s="36"/>
      <c r="AI35" s="36"/>
      <c r="AJ35" s="36"/>
      <c r="AK35" s="36"/>
      <c r="AL35" s="36"/>
      <c r="AM35" s="36"/>
      <c r="AN35" s="36"/>
      <c r="AO35" s="36"/>
      <c r="AP35" s="36"/>
      <c r="AQ35" s="36"/>
      <c r="AR35" s="36"/>
      <c r="AS35" s="36"/>
      <c r="AT35" s="36"/>
      <c r="AU35" s="36"/>
      <c r="AV35" s="29"/>
      <c r="AW35" s="29"/>
      <c r="AX35" s="29"/>
      <c r="AY35" s="29"/>
      <c r="AZ35" s="29"/>
      <c r="BA35" s="29"/>
      <c r="BB35" s="29"/>
      <c r="BC35" s="29"/>
      <c r="BD35" s="52"/>
    </row>
    <row r="36" spans="1:56" s="51" customFormat="1" ht="13.5" customHeight="1">
      <c r="A36" s="50"/>
      <c r="AE36" s="36"/>
      <c r="AF36" s="36"/>
      <c r="AG36" s="36"/>
      <c r="AH36" s="36"/>
      <c r="AI36" s="36"/>
      <c r="AJ36" s="36"/>
      <c r="AK36" s="36"/>
      <c r="AL36" s="36"/>
      <c r="AM36" s="36"/>
      <c r="AN36" s="36"/>
      <c r="AO36" s="36"/>
      <c r="AP36" s="36"/>
      <c r="AQ36" s="36"/>
      <c r="AR36" s="36"/>
      <c r="AS36" s="36"/>
      <c r="AT36" s="36"/>
      <c r="AU36" s="36"/>
      <c r="AV36" s="29"/>
      <c r="AW36" s="29"/>
      <c r="AX36" s="29"/>
      <c r="AY36" s="29"/>
      <c r="AZ36" s="29"/>
      <c r="BA36" s="29"/>
      <c r="BB36" s="29"/>
      <c r="BC36" s="29"/>
      <c r="BD36" s="52"/>
    </row>
    <row r="37" spans="1:56" s="51" customFormat="1" ht="13.5" customHeight="1">
      <c r="A37" s="50"/>
      <c r="AE37" s="36"/>
      <c r="AF37" s="36"/>
      <c r="AG37" s="36"/>
      <c r="AH37" s="36"/>
      <c r="AI37" s="36"/>
      <c r="AJ37" s="36"/>
      <c r="AK37" s="36"/>
      <c r="AL37" s="36"/>
      <c r="AM37" s="36"/>
      <c r="AN37" s="36"/>
      <c r="AO37" s="36"/>
      <c r="AP37" s="36"/>
      <c r="AQ37" s="36"/>
      <c r="AR37" s="36"/>
      <c r="AS37" s="36"/>
      <c r="AT37" s="36"/>
      <c r="AU37" s="36"/>
      <c r="AV37" s="29"/>
      <c r="AW37" s="29"/>
      <c r="AX37" s="29"/>
      <c r="AY37" s="29"/>
      <c r="AZ37" s="29"/>
      <c r="BA37" s="29"/>
      <c r="BB37" s="29"/>
      <c r="BC37" s="29"/>
      <c r="BD37" s="52"/>
    </row>
    <row r="38" spans="1:56" s="51" customFormat="1" ht="13.5" customHeight="1">
      <c r="A38" s="50"/>
      <c r="AE38" s="36"/>
      <c r="AF38" s="36"/>
      <c r="AG38" s="36"/>
      <c r="AH38" s="36"/>
      <c r="AI38" s="36"/>
      <c r="AJ38" s="36"/>
      <c r="AK38" s="36"/>
      <c r="AL38" s="36"/>
      <c r="AM38" s="36"/>
      <c r="AN38" s="36"/>
      <c r="AO38" s="36"/>
      <c r="AP38" s="36"/>
      <c r="AQ38" s="36"/>
      <c r="AR38" s="36"/>
      <c r="AS38" s="36"/>
      <c r="AT38" s="36"/>
      <c r="AU38" s="36"/>
      <c r="AV38" s="29"/>
      <c r="AW38" s="29"/>
      <c r="AX38" s="29"/>
      <c r="AY38" s="29"/>
      <c r="AZ38" s="29"/>
      <c r="BA38" s="29"/>
      <c r="BB38" s="29"/>
      <c r="BC38" s="29"/>
      <c r="BD38" s="52"/>
    </row>
    <row r="39" spans="1:56" s="51" customFormat="1" ht="13.5" customHeight="1">
      <c r="A39" s="50"/>
      <c r="AE39" s="36"/>
      <c r="AF39" s="36"/>
      <c r="AG39" s="36"/>
      <c r="AH39" s="36"/>
      <c r="AI39" s="36"/>
      <c r="AJ39" s="36"/>
      <c r="AK39" s="36"/>
      <c r="AL39" s="36"/>
      <c r="AM39" s="36"/>
      <c r="AN39" s="36"/>
      <c r="AO39" s="36"/>
      <c r="AP39" s="36"/>
      <c r="AQ39" s="36"/>
      <c r="AR39" s="36"/>
      <c r="AS39" s="36"/>
      <c r="AT39" s="36"/>
      <c r="AU39" s="36"/>
      <c r="AV39" s="29"/>
      <c r="AW39" s="29"/>
      <c r="AX39" s="29"/>
      <c r="AY39" s="29"/>
      <c r="AZ39" s="29"/>
      <c r="BA39" s="29"/>
      <c r="BB39" s="29"/>
      <c r="BC39" s="29"/>
      <c r="BD39" s="52"/>
    </row>
    <row r="40" spans="1:56" s="51" customFormat="1" ht="13.5" customHeight="1">
      <c r="A40" s="50"/>
      <c r="C40" s="29"/>
      <c r="D40" s="29"/>
      <c r="E40" s="29"/>
      <c r="F40" s="29"/>
      <c r="G40" s="29"/>
      <c r="H40" s="29"/>
      <c r="I40" s="29"/>
      <c r="J40" s="29"/>
      <c r="K40" s="29"/>
      <c r="L40" s="39"/>
      <c r="M40" s="29"/>
      <c r="N40" s="29"/>
      <c r="O40" s="29"/>
      <c r="P40" s="29"/>
      <c r="Q40" s="29"/>
      <c r="R40" s="29"/>
      <c r="S40" s="29"/>
      <c r="T40" s="29"/>
      <c r="U40" s="29"/>
      <c r="V40" s="29"/>
      <c r="W40" s="29"/>
      <c r="X40" s="29"/>
      <c r="Y40" s="29"/>
      <c r="Z40" s="29"/>
      <c r="AA40" s="29"/>
      <c r="AB40" s="39"/>
      <c r="AC40" s="39"/>
      <c r="AD40" s="39"/>
      <c r="AE40" s="39"/>
      <c r="AF40" s="39"/>
      <c r="AG40" s="39"/>
      <c r="AH40" s="39"/>
      <c r="AI40" s="39"/>
      <c r="AJ40" s="39"/>
      <c r="AK40" s="39"/>
      <c r="AL40" s="39"/>
      <c r="AM40" s="39"/>
      <c r="AN40" s="39"/>
      <c r="AO40" s="39"/>
      <c r="BD40" s="52"/>
    </row>
    <row r="41" spans="1:56" s="51" customFormat="1" ht="13.5" customHeight="1">
      <c r="A41" s="53"/>
      <c r="B41" s="54"/>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6"/>
      <c r="AC41" s="56"/>
      <c r="AD41" s="56"/>
      <c r="AE41" s="56"/>
      <c r="AF41" s="56"/>
      <c r="AG41" s="56"/>
      <c r="AH41" s="56"/>
      <c r="AI41" s="56"/>
      <c r="AJ41" s="56"/>
      <c r="AK41" s="56"/>
      <c r="AL41" s="56"/>
      <c r="AM41" s="56"/>
      <c r="AN41" s="56"/>
      <c r="AO41" s="56"/>
      <c r="AP41" s="54"/>
      <c r="AQ41" s="54"/>
      <c r="AR41" s="54"/>
      <c r="AS41" s="54"/>
      <c r="AT41" s="54"/>
      <c r="AU41" s="54"/>
      <c r="AV41" s="54"/>
      <c r="AW41" s="54"/>
      <c r="AX41" s="54"/>
      <c r="AY41" s="54"/>
      <c r="AZ41" s="54"/>
      <c r="BA41" s="54"/>
      <c r="BB41" s="54"/>
      <c r="BC41" s="54"/>
      <c r="BD41" s="57"/>
    </row>
    <row r="42" spans="1:56" ht="13.5" customHeight="1">
      <c r="A42" s="33"/>
      <c r="BD42" s="35"/>
    </row>
    <row r="43" spans="1:56" s="51" customFormat="1" ht="13.5" customHeight="1">
      <c r="A43" s="50"/>
      <c r="B43" s="36" t="s">
        <v>694</v>
      </c>
      <c r="C43" s="36" t="s">
        <v>695</v>
      </c>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9"/>
      <c r="AF43" s="39"/>
      <c r="AG43" s="39"/>
      <c r="AH43" s="39"/>
      <c r="AI43" s="39"/>
      <c r="AJ43" s="39"/>
      <c r="AK43" s="39"/>
      <c r="AL43" s="39"/>
      <c r="AM43" s="39"/>
      <c r="AN43" s="39"/>
      <c r="AO43" s="39"/>
      <c r="AP43" s="39"/>
      <c r="AQ43" s="39"/>
      <c r="AR43" s="39"/>
      <c r="AS43" s="39"/>
      <c r="AT43" s="39"/>
      <c r="AU43" s="39"/>
      <c r="BD43" s="52"/>
    </row>
    <row r="44" spans="1:56" s="51" customFormat="1" ht="13.5" customHeight="1">
      <c r="A44" s="50"/>
      <c r="B44" s="36"/>
      <c r="C44" s="36" t="s">
        <v>696</v>
      </c>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9"/>
      <c r="AF44" s="39"/>
      <c r="AG44" s="39"/>
      <c r="AH44" s="39"/>
      <c r="AI44" s="39"/>
      <c r="AJ44" s="39"/>
      <c r="AK44" s="39"/>
      <c r="AL44" s="39"/>
      <c r="AM44" s="39"/>
      <c r="AN44" s="39"/>
      <c r="AO44" s="39"/>
      <c r="AP44" s="39"/>
      <c r="AQ44" s="39"/>
      <c r="AR44" s="39"/>
      <c r="AS44" s="39"/>
      <c r="AT44" s="39"/>
      <c r="AU44" s="39"/>
      <c r="BD44" s="52"/>
    </row>
    <row r="45" spans="1:56" s="51" customFormat="1" ht="13.5" customHeight="1">
      <c r="A45" s="50"/>
      <c r="B45" s="36"/>
      <c r="C45" s="36"/>
      <c r="D45" s="36" t="s">
        <v>697</v>
      </c>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9"/>
      <c r="AF45" s="39"/>
      <c r="AG45" s="39"/>
      <c r="AH45" s="39"/>
      <c r="AI45" s="39"/>
      <c r="AJ45" s="39"/>
      <c r="AK45" s="39"/>
      <c r="AL45" s="39"/>
      <c r="AM45" s="39"/>
      <c r="AN45" s="39"/>
      <c r="AO45" s="39"/>
      <c r="AP45" s="39"/>
      <c r="AQ45" s="39"/>
      <c r="AR45" s="39"/>
      <c r="AS45" s="39"/>
      <c r="AT45" s="39"/>
      <c r="AU45" s="39"/>
      <c r="BD45" s="52"/>
    </row>
    <row r="46" spans="1:56" s="39" customFormat="1" ht="14.1" customHeight="1">
      <c r="A46" s="37"/>
      <c r="B46" s="36"/>
      <c r="C46" s="36"/>
      <c r="D46" s="36"/>
      <c r="E46" s="36" t="s">
        <v>698</v>
      </c>
      <c r="F46" s="36" t="s">
        <v>699</v>
      </c>
      <c r="G46" s="36"/>
      <c r="H46" s="36"/>
      <c r="I46" s="36"/>
      <c r="J46" s="36"/>
      <c r="K46" s="36"/>
      <c r="L46" s="36"/>
      <c r="M46" s="36"/>
      <c r="N46" s="36"/>
      <c r="O46" s="36"/>
      <c r="P46" s="36"/>
      <c r="Q46" s="36"/>
      <c r="R46" s="36"/>
      <c r="S46" s="36"/>
      <c r="T46" s="36"/>
      <c r="U46" s="36"/>
      <c r="V46" s="36"/>
      <c r="W46" s="36"/>
      <c r="X46" s="36"/>
      <c r="Y46" s="36"/>
      <c r="Z46" s="36"/>
      <c r="AA46" s="36"/>
      <c r="AB46" s="36"/>
      <c r="AC46" s="36"/>
      <c r="AD46" s="36"/>
      <c r="AR46" s="58" t="s">
        <v>700</v>
      </c>
      <c r="AS46" s="59"/>
      <c r="AT46" s="59"/>
      <c r="AU46" s="59"/>
      <c r="AV46" s="59"/>
      <c r="AW46" s="59"/>
      <c r="AX46" s="59"/>
      <c r="AY46" s="60"/>
      <c r="BD46" s="38"/>
    </row>
    <row r="47" spans="1:56" s="51" customFormat="1" ht="13.5" customHeight="1">
      <c r="A47" s="50"/>
      <c r="B47" s="36"/>
      <c r="C47" s="36"/>
      <c r="D47" s="36"/>
      <c r="E47" s="36"/>
      <c r="F47" s="36" t="s">
        <v>701</v>
      </c>
      <c r="G47" s="36"/>
      <c r="H47" s="36"/>
      <c r="I47" s="36"/>
      <c r="J47" s="36"/>
      <c r="K47" s="36"/>
      <c r="L47" s="36"/>
      <c r="M47" s="36"/>
      <c r="N47" s="36"/>
      <c r="O47" s="36"/>
      <c r="P47" s="36"/>
      <c r="Q47" s="36"/>
      <c r="R47" s="36"/>
      <c r="S47" s="36"/>
      <c r="T47" s="36"/>
      <c r="U47" s="36"/>
      <c r="V47" s="36"/>
      <c r="W47" s="36"/>
      <c r="X47" s="36"/>
      <c r="Y47" s="36"/>
      <c r="Z47" s="36"/>
      <c r="AA47" s="36"/>
      <c r="AB47" s="36"/>
      <c r="AC47" s="36"/>
      <c r="AD47" s="36"/>
      <c r="AE47" s="39"/>
      <c r="AF47" s="39"/>
      <c r="AG47" s="39"/>
      <c r="AH47" s="39"/>
      <c r="AI47" s="39"/>
      <c r="AJ47" s="39"/>
      <c r="AK47" s="39"/>
      <c r="AL47" s="39"/>
      <c r="AM47" s="39"/>
      <c r="AN47" s="39"/>
      <c r="AO47" s="39"/>
      <c r="AP47" s="39"/>
      <c r="AQ47" s="39"/>
      <c r="AR47" s="61"/>
      <c r="AS47" s="36" t="s">
        <v>702</v>
      </c>
      <c r="AT47" s="36"/>
      <c r="AU47" s="36"/>
      <c r="AV47" s="36"/>
      <c r="AW47" s="36"/>
      <c r="AX47" s="36"/>
      <c r="AY47" s="62"/>
      <c r="BD47" s="52"/>
    </row>
    <row r="48" spans="1:56" s="51" customFormat="1" ht="13.5" customHeight="1">
      <c r="A48" s="50"/>
      <c r="B48" s="36"/>
      <c r="C48" s="36"/>
      <c r="D48" s="36"/>
      <c r="E48" s="36" t="s">
        <v>703</v>
      </c>
      <c r="F48" s="36" t="s">
        <v>704</v>
      </c>
      <c r="G48" s="36"/>
      <c r="H48" s="36"/>
      <c r="I48" s="36"/>
      <c r="J48" s="36"/>
      <c r="K48" s="36"/>
      <c r="L48" s="36"/>
      <c r="M48" s="36"/>
      <c r="N48" s="36"/>
      <c r="O48" s="36"/>
      <c r="P48" s="36"/>
      <c r="Q48" s="36"/>
      <c r="R48" s="36"/>
      <c r="S48" s="36"/>
      <c r="T48" s="36"/>
      <c r="U48" s="36"/>
      <c r="V48" s="36"/>
      <c r="W48" s="36"/>
      <c r="X48" s="36"/>
      <c r="Y48" s="36"/>
      <c r="Z48" s="36"/>
      <c r="AA48" s="36"/>
      <c r="AB48" s="36"/>
      <c r="AC48" s="36"/>
      <c r="AD48" s="36"/>
      <c r="AE48" s="39"/>
      <c r="AF48" s="39"/>
      <c r="AG48" s="39"/>
      <c r="AH48" s="39"/>
      <c r="AI48" s="39"/>
      <c r="AJ48" s="39"/>
      <c r="AK48" s="39"/>
      <c r="AL48" s="39"/>
      <c r="AM48" s="39"/>
      <c r="AN48" s="39"/>
      <c r="AO48" s="39"/>
      <c r="AP48" s="39"/>
      <c r="AQ48" s="39"/>
      <c r="AR48" s="61"/>
      <c r="AS48" s="36" t="s">
        <v>705</v>
      </c>
      <c r="AT48" s="36"/>
      <c r="AU48" s="36"/>
      <c r="AV48" s="36"/>
      <c r="AW48" s="36"/>
      <c r="AX48" s="36"/>
      <c r="AY48" s="62"/>
      <c r="BD48" s="52"/>
    </row>
    <row r="49" spans="1:56" s="51" customFormat="1" ht="13.5" customHeight="1">
      <c r="A49" s="50"/>
      <c r="B49" s="36"/>
      <c r="C49" s="36"/>
      <c r="D49" s="36"/>
      <c r="E49" s="36" t="s">
        <v>706</v>
      </c>
      <c r="F49" s="36" t="s">
        <v>707</v>
      </c>
      <c r="G49" s="36"/>
      <c r="H49" s="36"/>
      <c r="I49" s="36"/>
      <c r="J49" s="36"/>
      <c r="K49" s="36"/>
      <c r="L49" s="36"/>
      <c r="M49" s="36"/>
      <c r="N49" s="36"/>
      <c r="O49" s="36"/>
      <c r="P49" s="36"/>
      <c r="Q49" s="36"/>
      <c r="R49" s="36"/>
      <c r="S49" s="36"/>
      <c r="T49" s="36"/>
      <c r="U49" s="36"/>
      <c r="V49" s="36"/>
      <c r="W49" s="36"/>
      <c r="X49" s="36"/>
      <c r="Y49" s="36"/>
      <c r="Z49" s="36"/>
      <c r="AA49" s="36"/>
      <c r="AB49" s="36"/>
      <c r="AC49" s="36"/>
      <c r="AD49" s="36"/>
      <c r="AE49" s="39"/>
      <c r="AF49" s="39"/>
      <c r="AG49" s="39"/>
      <c r="AH49" s="39"/>
      <c r="AI49" s="39"/>
      <c r="AJ49" s="39"/>
      <c r="AK49" s="39"/>
      <c r="AL49" s="39"/>
      <c r="AM49" s="39"/>
      <c r="AN49" s="39"/>
      <c r="AO49" s="39"/>
      <c r="AP49" s="39"/>
      <c r="AQ49" s="39"/>
      <c r="AR49" s="61"/>
      <c r="AS49" s="36" t="s">
        <v>708</v>
      </c>
      <c r="AT49" s="36"/>
      <c r="AU49" s="36"/>
      <c r="AV49" s="36"/>
      <c r="AW49" s="36"/>
      <c r="AX49" s="36"/>
      <c r="AY49" s="62"/>
      <c r="BD49" s="52"/>
    </row>
    <row r="50" spans="1:56" s="39" customFormat="1" ht="14.1" customHeight="1">
      <c r="A50" s="37"/>
      <c r="B50" s="36"/>
      <c r="C50" s="36"/>
      <c r="D50" s="36"/>
      <c r="E50" s="36" t="s">
        <v>709</v>
      </c>
      <c r="F50" s="36" t="s">
        <v>710</v>
      </c>
      <c r="G50" s="36"/>
      <c r="H50" s="36"/>
      <c r="I50" s="36"/>
      <c r="J50" s="36"/>
      <c r="K50" s="36"/>
      <c r="L50" s="36"/>
      <c r="M50" s="36"/>
      <c r="N50" s="36"/>
      <c r="O50" s="36"/>
      <c r="P50" s="36"/>
      <c r="Q50" s="36"/>
      <c r="R50" s="36"/>
      <c r="S50" s="36"/>
      <c r="T50" s="36"/>
      <c r="U50" s="36"/>
      <c r="V50" s="36"/>
      <c r="W50" s="36"/>
      <c r="X50" s="36"/>
      <c r="Y50" s="36"/>
      <c r="Z50" s="36"/>
      <c r="AA50" s="36"/>
      <c r="AB50" s="36"/>
      <c r="AC50" s="36"/>
      <c r="AD50" s="36"/>
      <c r="AR50" s="63"/>
      <c r="AS50" s="64" t="s">
        <v>711</v>
      </c>
      <c r="AT50" s="64"/>
      <c r="AU50" s="64"/>
      <c r="AV50" s="64"/>
      <c r="AW50" s="64"/>
      <c r="AX50" s="64"/>
      <c r="AY50" s="65"/>
      <c r="BD50" s="38"/>
    </row>
    <row r="51" spans="1:56" s="51" customFormat="1" ht="13.5" customHeight="1">
      <c r="A51" s="50"/>
      <c r="B51" s="36"/>
      <c r="C51" s="36"/>
      <c r="D51" s="36"/>
      <c r="E51" s="36"/>
      <c r="F51" s="36" t="s">
        <v>712</v>
      </c>
      <c r="G51" s="36"/>
      <c r="H51" s="36"/>
      <c r="I51" s="36"/>
      <c r="J51" s="36"/>
      <c r="K51" s="36"/>
      <c r="L51" s="36"/>
      <c r="M51" s="36"/>
      <c r="N51" s="36"/>
      <c r="O51" s="36"/>
      <c r="P51" s="36"/>
      <c r="Q51" s="36"/>
      <c r="R51" s="36"/>
      <c r="S51" s="36"/>
      <c r="T51" s="36"/>
      <c r="U51" s="36"/>
      <c r="V51" s="36"/>
      <c r="W51" s="36"/>
      <c r="X51" s="36"/>
      <c r="Y51" s="36"/>
      <c r="Z51" s="36"/>
      <c r="AA51" s="36"/>
      <c r="AB51" s="36"/>
      <c r="AC51" s="36"/>
      <c r="AD51" s="36"/>
      <c r="AE51" s="39"/>
      <c r="AF51" s="39"/>
      <c r="AG51" s="39"/>
      <c r="AH51" s="39"/>
      <c r="AI51" s="39"/>
      <c r="AJ51" s="39"/>
      <c r="AK51" s="39"/>
      <c r="AL51" s="39"/>
      <c r="AM51" s="39"/>
      <c r="AN51" s="39"/>
      <c r="AO51" s="39"/>
      <c r="AP51" s="39"/>
      <c r="AQ51" s="39"/>
      <c r="AR51" s="39"/>
      <c r="AS51" s="39"/>
      <c r="AT51" s="39"/>
      <c r="AU51" s="39"/>
      <c r="BD51" s="52"/>
    </row>
    <row r="52" spans="1:56" s="51" customFormat="1" ht="13.5" customHeight="1">
      <c r="A52" s="50"/>
      <c r="B52" s="36"/>
      <c r="C52" s="36"/>
      <c r="D52" s="36"/>
      <c r="E52" s="36"/>
      <c r="F52" s="36"/>
      <c r="G52" s="36" t="s">
        <v>713</v>
      </c>
      <c r="H52" s="36"/>
      <c r="I52" s="36"/>
      <c r="J52" s="36"/>
      <c r="K52" s="36"/>
      <c r="L52" s="36"/>
      <c r="M52" s="36"/>
      <c r="N52" s="36"/>
      <c r="O52" s="36"/>
      <c r="P52" s="36"/>
      <c r="Q52" s="36"/>
      <c r="R52" s="36"/>
      <c r="S52" s="36"/>
      <c r="T52" s="36"/>
      <c r="U52" s="36"/>
      <c r="V52" s="36"/>
      <c r="W52" s="36"/>
      <c r="X52" s="36"/>
      <c r="Y52" s="36"/>
      <c r="Z52" s="36"/>
      <c r="AA52" s="36"/>
      <c r="AB52" s="36"/>
      <c r="AC52" s="36"/>
      <c r="AD52" s="36"/>
      <c r="AE52" s="39"/>
      <c r="AF52" s="39"/>
      <c r="AG52" s="39"/>
      <c r="AH52" s="39"/>
      <c r="AI52" s="39"/>
      <c r="AJ52" s="39"/>
      <c r="AK52" s="39"/>
      <c r="AL52" s="39"/>
      <c r="AM52" s="39"/>
      <c r="AN52" s="39"/>
      <c r="AO52" s="39"/>
      <c r="AP52" s="39"/>
      <c r="AQ52" s="39"/>
      <c r="AR52" s="39"/>
      <c r="AS52" s="39"/>
      <c r="AT52" s="39"/>
      <c r="AU52" s="39"/>
      <c r="BD52" s="52"/>
    </row>
    <row r="53" spans="1:56" s="51" customFormat="1" ht="13.5" customHeight="1">
      <c r="A53" s="50"/>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9"/>
      <c r="AF53" s="39"/>
      <c r="AG53" s="39"/>
      <c r="AH53" s="39"/>
      <c r="AI53" s="39"/>
      <c r="AJ53" s="39"/>
      <c r="AK53" s="39"/>
      <c r="AL53" s="39"/>
      <c r="AM53" s="39"/>
      <c r="AN53" s="39"/>
      <c r="AO53" s="39"/>
      <c r="AP53" s="39"/>
      <c r="AQ53" s="39"/>
      <c r="AR53" s="39"/>
      <c r="AS53" s="39"/>
      <c r="AT53" s="39"/>
      <c r="AU53" s="39"/>
      <c r="BD53" s="52"/>
    </row>
    <row r="54" spans="1:56" s="51" customFormat="1" ht="13.5" customHeight="1">
      <c r="A54" s="50"/>
      <c r="B54" s="36"/>
      <c r="C54" s="36"/>
      <c r="D54" s="36"/>
      <c r="E54" s="36"/>
      <c r="F54" s="36" t="s">
        <v>714</v>
      </c>
      <c r="G54" s="36"/>
      <c r="H54" s="36"/>
      <c r="I54" s="36"/>
      <c r="J54" s="36"/>
      <c r="K54" s="36"/>
      <c r="L54" s="36"/>
      <c r="M54" s="36"/>
      <c r="N54" s="36"/>
      <c r="O54" s="36"/>
      <c r="P54" s="36"/>
      <c r="Q54" s="36"/>
      <c r="R54" s="36"/>
      <c r="S54" s="36"/>
      <c r="T54" s="36"/>
      <c r="U54" s="36"/>
      <c r="V54" s="36"/>
      <c r="W54" s="36"/>
      <c r="X54" s="36"/>
      <c r="Y54" s="36"/>
      <c r="Z54" s="36"/>
      <c r="AA54" s="36"/>
      <c r="AB54" s="36"/>
      <c r="AC54" s="36"/>
      <c r="AD54" s="36"/>
      <c r="AE54" s="39"/>
      <c r="AF54" s="39"/>
      <c r="AG54" s="39"/>
      <c r="AH54" s="39"/>
      <c r="AI54" s="39"/>
      <c r="AJ54" s="39"/>
      <c r="AK54" s="39"/>
      <c r="AL54" s="39"/>
      <c r="AM54" s="39"/>
      <c r="AN54" s="39"/>
      <c r="AO54" s="39"/>
      <c r="AP54" s="39"/>
      <c r="AQ54" s="39"/>
      <c r="AR54" s="39"/>
      <c r="AS54" s="39"/>
      <c r="AT54" s="39"/>
      <c r="AU54" s="39"/>
      <c r="BD54" s="52"/>
    </row>
    <row r="55" spans="1:56" s="39" customFormat="1" ht="14.1" customHeight="1">
      <c r="A55" s="37"/>
      <c r="B55" s="36"/>
      <c r="C55" s="36"/>
      <c r="D55" s="36"/>
      <c r="E55" s="36"/>
      <c r="F55" s="36"/>
      <c r="G55" s="36" t="s">
        <v>715</v>
      </c>
      <c r="H55" s="36"/>
      <c r="I55" s="36"/>
      <c r="J55" s="36"/>
      <c r="K55" s="36"/>
      <c r="L55" s="36"/>
      <c r="M55" s="36"/>
      <c r="N55" s="36"/>
      <c r="O55" s="36"/>
      <c r="P55" s="36"/>
      <c r="Q55" s="36"/>
      <c r="R55" s="36"/>
      <c r="S55" s="36"/>
      <c r="T55" s="36"/>
      <c r="U55" s="36"/>
      <c r="V55" s="36"/>
      <c r="W55" s="36"/>
      <c r="X55" s="36"/>
      <c r="Y55" s="36"/>
      <c r="Z55" s="36"/>
      <c r="AA55" s="36"/>
      <c r="AB55" s="36"/>
      <c r="AC55" s="36"/>
      <c r="AD55" s="36"/>
      <c r="BD55" s="38"/>
    </row>
    <row r="56" spans="1:56" s="51" customFormat="1" ht="13.5" customHeight="1">
      <c r="A56" s="50"/>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9"/>
      <c r="AF56" s="39"/>
      <c r="AG56" s="39"/>
      <c r="AH56" s="39"/>
      <c r="AI56" s="39"/>
      <c r="AJ56" s="39"/>
      <c r="AK56" s="39"/>
      <c r="AL56" s="39"/>
      <c r="AM56" s="39"/>
      <c r="AN56" s="39"/>
      <c r="AO56" s="39"/>
      <c r="AP56" s="39"/>
      <c r="AQ56" s="39"/>
      <c r="AR56" s="39"/>
      <c r="AS56" s="39"/>
      <c r="AT56" s="39"/>
      <c r="AU56" s="39"/>
      <c r="BD56" s="52"/>
    </row>
    <row r="57" spans="1:56" s="51" customFormat="1" ht="13.5" customHeight="1">
      <c r="A57" s="50"/>
      <c r="B57" s="36"/>
      <c r="C57" s="36"/>
      <c r="D57" s="36"/>
      <c r="E57" s="36"/>
      <c r="F57" s="36" t="s">
        <v>716</v>
      </c>
      <c r="G57" s="36"/>
      <c r="H57" s="36"/>
      <c r="I57" s="36"/>
      <c r="J57" s="36"/>
      <c r="K57" s="36"/>
      <c r="L57" s="36"/>
      <c r="M57" s="36"/>
      <c r="N57" s="36"/>
      <c r="O57" s="36"/>
      <c r="P57" s="36"/>
      <c r="Q57" s="36"/>
      <c r="R57" s="36"/>
      <c r="S57" s="36"/>
      <c r="T57" s="36"/>
      <c r="U57" s="36"/>
      <c r="V57" s="36"/>
      <c r="W57" s="36"/>
      <c r="X57" s="36"/>
      <c r="Y57" s="36"/>
      <c r="Z57" s="36"/>
      <c r="AA57" s="36"/>
      <c r="AB57" s="36"/>
      <c r="AC57" s="36"/>
      <c r="AD57" s="36"/>
      <c r="AE57" s="39"/>
      <c r="AF57" s="39"/>
      <c r="AG57" s="39"/>
      <c r="AH57" s="39"/>
      <c r="AI57" s="39"/>
      <c r="AJ57" s="39"/>
      <c r="AK57" s="39"/>
      <c r="AL57" s="39"/>
      <c r="AM57" s="39"/>
      <c r="AN57" s="39"/>
      <c r="AO57" s="39"/>
      <c r="AP57" s="39"/>
      <c r="AQ57" s="39"/>
      <c r="AR57" s="39"/>
      <c r="AS57" s="39"/>
      <c r="AT57" s="39"/>
      <c r="AU57" s="39"/>
      <c r="BD57" s="52"/>
    </row>
    <row r="58" spans="1:56" s="51" customFormat="1" ht="13.5" customHeight="1">
      <c r="A58" s="50"/>
      <c r="B58" s="36"/>
      <c r="C58" s="36"/>
      <c r="D58" s="36"/>
      <c r="E58" s="36"/>
      <c r="F58" s="36"/>
      <c r="G58" s="36" t="s">
        <v>717</v>
      </c>
      <c r="H58" s="36"/>
      <c r="I58" s="36"/>
      <c r="J58" s="36"/>
      <c r="K58" s="36"/>
      <c r="L58" s="36"/>
      <c r="M58" s="36"/>
      <c r="N58" s="36"/>
      <c r="O58" s="36"/>
      <c r="P58" s="36"/>
      <c r="Q58" s="36"/>
      <c r="R58" s="36"/>
      <c r="S58" s="36"/>
      <c r="T58" s="36"/>
      <c r="U58" s="36"/>
      <c r="V58" s="36"/>
      <c r="W58" s="36"/>
      <c r="X58" s="36"/>
      <c r="Y58" s="36"/>
      <c r="Z58" s="36"/>
      <c r="AA58" s="36"/>
      <c r="AB58" s="36"/>
      <c r="AC58" s="36"/>
      <c r="AD58" s="36"/>
      <c r="AE58" s="39"/>
      <c r="AF58" s="39"/>
      <c r="AG58" s="39"/>
      <c r="AH58" s="39"/>
      <c r="AI58" s="39"/>
      <c r="AJ58" s="39"/>
      <c r="AK58" s="39"/>
      <c r="AL58" s="39"/>
      <c r="AM58" s="39"/>
      <c r="AN58" s="39"/>
      <c r="AO58" s="39"/>
      <c r="AP58" s="39"/>
      <c r="AQ58" s="39"/>
      <c r="AR58" s="39"/>
      <c r="AS58" s="39"/>
      <c r="AT58" s="39"/>
      <c r="AU58" s="39"/>
      <c r="BD58" s="52"/>
    </row>
    <row r="59" spans="1:56" s="51" customFormat="1" ht="13.5" customHeight="1">
      <c r="A59" s="50"/>
      <c r="C59" s="39"/>
      <c r="D59" s="39"/>
      <c r="E59" s="39"/>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BD59" s="52"/>
    </row>
    <row r="60" spans="1:56" s="51" customFormat="1" ht="13.5" customHeight="1">
      <c r="A60" s="50"/>
      <c r="C60" s="36" t="s">
        <v>718</v>
      </c>
      <c r="D60" s="36"/>
      <c r="E60" s="36"/>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BD60" s="52"/>
    </row>
    <row r="61" spans="1:56" s="51" customFormat="1" ht="13.5" customHeight="1">
      <c r="A61" s="50"/>
      <c r="C61" s="36"/>
      <c r="D61" s="36" t="s">
        <v>719</v>
      </c>
      <c r="E61" s="36"/>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BD61" s="52"/>
    </row>
    <row r="62" spans="1:56" s="51" customFormat="1" ht="13.5" customHeight="1">
      <c r="A62" s="50"/>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BD62" s="52"/>
    </row>
    <row r="63" spans="1:56" s="51" customFormat="1" ht="13.5" customHeight="1">
      <c r="A63" s="50"/>
      <c r="C63" s="36"/>
      <c r="D63" s="39" t="s">
        <v>720</v>
      </c>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BD63" s="52"/>
    </row>
    <row r="64" spans="1:56" s="51" customFormat="1" ht="13.5" customHeight="1">
      <c r="A64" s="50"/>
      <c r="C64" s="36"/>
      <c r="D64" s="36"/>
      <c r="E64" s="36"/>
      <c r="F64" s="29" t="s">
        <v>663</v>
      </c>
      <c r="G64" s="36"/>
      <c r="H64" s="36"/>
      <c r="I64" s="36"/>
      <c r="J64" s="36"/>
      <c r="K64" s="36"/>
      <c r="L64" s="36"/>
      <c r="M64" s="36"/>
      <c r="N64" s="36"/>
      <c r="O64" s="36"/>
      <c r="P64" s="36"/>
      <c r="Q64" s="36"/>
      <c r="R64" s="36"/>
      <c r="S64" s="36"/>
      <c r="T64" s="36"/>
      <c r="U64" s="36"/>
      <c r="V64" s="36"/>
      <c r="W64" s="36"/>
      <c r="X64" s="36"/>
      <c r="Y64" s="36"/>
      <c r="Z64" s="29" t="s">
        <v>640</v>
      </c>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BD64" s="52"/>
    </row>
    <row r="65" spans="1:56" s="51" customFormat="1" ht="13.5" customHeight="1">
      <c r="A65" s="50"/>
      <c r="C65" s="36"/>
      <c r="D65" s="36"/>
      <c r="E65" s="36"/>
      <c r="F65" s="66" t="s">
        <v>721</v>
      </c>
      <c r="G65" s="67"/>
      <c r="H65" s="68" t="s">
        <v>324</v>
      </c>
      <c r="I65" s="69"/>
      <c r="J65" s="70"/>
      <c r="K65" s="69"/>
      <c r="L65" s="69"/>
      <c r="M65" s="69"/>
      <c r="N65" s="71"/>
      <c r="O65" s="69"/>
      <c r="P65" s="69"/>
      <c r="Q65" s="68" t="s">
        <v>114</v>
      </c>
      <c r="R65" s="69"/>
      <c r="S65" s="69"/>
      <c r="T65" s="69"/>
      <c r="U65" s="71"/>
      <c r="V65" s="36"/>
      <c r="W65" s="36"/>
      <c r="X65" s="36"/>
      <c r="Y65" s="36"/>
      <c r="Z65" s="66" t="s">
        <v>721</v>
      </c>
      <c r="AA65" s="70"/>
      <c r="AB65" s="66" t="s">
        <v>114</v>
      </c>
      <c r="AC65" s="72"/>
      <c r="AD65" s="70"/>
      <c r="AE65" s="70"/>
      <c r="AF65" s="70"/>
      <c r="AG65" s="73" t="s">
        <v>680</v>
      </c>
      <c r="AH65" s="70"/>
      <c r="AI65" s="72"/>
      <c r="AJ65" s="70"/>
      <c r="AK65" s="67"/>
      <c r="AL65" s="73" t="s">
        <v>49</v>
      </c>
      <c r="AM65" s="70"/>
      <c r="AN65" s="70"/>
      <c r="AO65" s="70"/>
      <c r="AP65" s="67"/>
      <c r="AQ65" s="72" t="s">
        <v>684</v>
      </c>
      <c r="AR65" s="70"/>
      <c r="AS65" s="70"/>
      <c r="AT65" s="70"/>
      <c r="AU65" s="70"/>
      <c r="AV65" s="70"/>
      <c r="AW65" s="72"/>
      <c r="AX65" s="74"/>
      <c r="BD65" s="52"/>
    </row>
    <row r="66" spans="1:56" s="39" customFormat="1" ht="14.1" customHeight="1">
      <c r="A66" s="37"/>
      <c r="B66" s="75"/>
      <c r="C66" s="36"/>
      <c r="D66" s="36"/>
      <c r="E66" s="36"/>
      <c r="F66" s="76">
        <v>1</v>
      </c>
      <c r="G66" s="77"/>
      <c r="H66" s="78" t="s">
        <v>722</v>
      </c>
      <c r="I66" s="79"/>
      <c r="J66" s="79"/>
      <c r="K66" s="79"/>
      <c r="L66" s="79"/>
      <c r="M66" s="79"/>
      <c r="N66" s="80"/>
      <c r="O66" s="81" t="s">
        <v>723</v>
      </c>
      <c r="P66" s="79"/>
      <c r="Q66" s="82"/>
      <c r="R66" s="83" t="s">
        <v>724</v>
      </c>
      <c r="S66" s="79"/>
      <c r="T66" s="79"/>
      <c r="U66" s="80"/>
      <c r="V66" s="36"/>
      <c r="W66" s="36"/>
      <c r="X66" s="36"/>
      <c r="Y66" s="36"/>
      <c r="Z66" s="76">
        <v>1</v>
      </c>
      <c r="AA66" s="77"/>
      <c r="AB66" s="76"/>
      <c r="AC66" s="84" t="s">
        <v>725</v>
      </c>
      <c r="AD66" s="77"/>
      <c r="AE66" s="77"/>
      <c r="AF66" s="77"/>
      <c r="AG66" s="85" t="s">
        <v>726</v>
      </c>
      <c r="AH66" s="77"/>
      <c r="AI66" s="77"/>
      <c r="AJ66" s="77"/>
      <c r="AK66" s="86"/>
      <c r="AL66" s="76" t="s">
        <v>727</v>
      </c>
      <c r="AM66" s="77"/>
      <c r="AN66" s="77"/>
      <c r="AO66" s="77"/>
      <c r="AP66" s="86"/>
      <c r="AQ66" s="84" t="s">
        <v>728</v>
      </c>
      <c r="AR66" s="77"/>
      <c r="AS66" s="77"/>
      <c r="AT66" s="77"/>
      <c r="AU66" s="77"/>
      <c r="AV66" s="77"/>
      <c r="AW66" s="77"/>
      <c r="AX66" s="86"/>
      <c r="BD66" s="38"/>
    </row>
    <row r="67" spans="1:56" s="51" customFormat="1" ht="13.5" customHeight="1">
      <c r="A67" s="50"/>
      <c r="C67" s="36"/>
      <c r="D67" s="36"/>
      <c r="E67" s="36"/>
      <c r="F67" s="76">
        <v>2</v>
      </c>
      <c r="G67" s="77"/>
      <c r="H67" s="78" t="s">
        <v>729</v>
      </c>
      <c r="I67" s="79"/>
      <c r="J67" s="79"/>
      <c r="K67" s="79"/>
      <c r="L67" s="79"/>
      <c r="M67" s="79"/>
      <c r="N67" s="80"/>
      <c r="O67" s="81" t="s">
        <v>723</v>
      </c>
      <c r="P67" s="79"/>
      <c r="Q67" s="82"/>
      <c r="R67" s="83" t="s">
        <v>730</v>
      </c>
      <c r="S67" s="79"/>
      <c r="T67" s="79"/>
      <c r="U67" s="80"/>
      <c r="V67" s="36"/>
      <c r="W67" s="36"/>
      <c r="X67" s="36"/>
      <c r="Y67" s="36"/>
      <c r="Z67" s="76">
        <v>2</v>
      </c>
      <c r="AA67" s="79"/>
      <c r="AB67" s="87"/>
      <c r="AC67" s="88" t="s">
        <v>725</v>
      </c>
      <c r="AD67" s="89"/>
      <c r="AE67" s="89"/>
      <c r="AF67" s="89"/>
      <c r="AG67" s="90" t="s">
        <v>731</v>
      </c>
      <c r="AH67" s="89"/>
      <c r="AI67" s="89"/>
      <c r="AJ67" s="89"/>
      <c r="AK67" s="91"/>
      <c r="AL67" s="92" t="s">
        <v>732</v>
      </c>
      <c r="AM67" s="89"/>
      <c r="AN67" s="89"/>
      <c r="AO67" s="93"/>
      <c r="AP67" s="91"/>
      <c r="AQ67" s="88" t="s">
        <v>733</v>
      </c>
      <c r="AR67" s="89"/>
      <c r="AS67" s="89"/>
      <c r="AT67" s="89"/>
      <c r="AU67" s="89"/>
      <c r="AV67" s="93"/>
      <c r="AW67" s="89"/>
      <c r="AX67" s="94"/>
      <c r="BD67" s="52"/>
    </row>
    <row r="68" spans="1:56" s="51" customFormat="1" ht="13.5" customHeight="1">
      <c r="A68" s="50"/>
      <c r="C68" s="36"/>
      <c r="D68" s="36"/>
      <c r="E68" s="36"/>
      <c r="F68" s="76">
        <v>3</v>
      </c>
      <c r="G68" s="77"/>
      <c r="H68" s="82"/>
      <c r="I68" s="79"/>
      <c r="J68" s="79"/>
      <c r="K68" s="79"/>
      <c r="L68" s="79"/>
      <c r="M68" s="79"/>
      <c r="N68" s="80"/>
      <c r="O68" s="79"/>
      <c r="P68" s="79"/>
      <c r="Q68" s="82"/>
      <c r="R68" s="79"/>
      <c r="S68" s="79"/>
      <c r="T68" s="79"/>
      <c r="U68" s="80"/>
      <c r="V68" s="36"/>
      <c r="W68" s="36"/>
      <c r="X68" s="36"/>
      <c r="Y68" s="36"/>
      <c r="Z68" s="76">
        <v>3</v>
      </c>
      <c r="AA68" s="79"/>
      <c r="AB68" s="95"/>
      <c r="AC68" s="84" t="s">
        <v>734</v>
      </c>
      <c r="AD68" s="77"/>
      <c r="AE68" s="77"/>
      <c r="AF68" s="77"/>
      <c r="AG68" s="85" t="s">
        <v>735</v>
      </c>
      <c r="AH68" s="77"/>
      <c r="AI68" s="77"/>
      <c r="AJ68" s="77"/>
      <c r="AK68" s="86"/>
      <c r="AL68" s="76" t="s">
        <v>736</v>
      </c>
      <c r="AM68" s="77"/>
      <c r="AN68" s="77"/>
      <c r="AO68" s="79"/>
      <c r="AP68" s="86"/>
      <c r="AQ68" s="84" t="s">
        <v>737</v>
      </c>
      <c r="AR68" s="77"/>
      <c r="AS68" s="77"/>
      <c r="AT68" s="77"/>
      <c r="AU68" s="77"/>
      <c r="AV68" s="79"/>
      <c r="AW68" s="77"/>
      <c r="AX68" s="80"/>
      <c r="BD68" s="52"/>
    </row>
    <row r="69" spans="1:56" s="39" customFormat="1" ht="14.1" customHeight="1">
      <c r="A69" s="37"/>
      <c r="B69" s="75"/>
      <c r="W69" s="36"/>
      <c r="X69" s="36"/>
      <c r="Y69" s="36"/>
      <c r="Z69" s="76">
        <v>4</v>
      </c>
      <c r="AA69" s="79"/>
      <c r="AB69" s="87"/>
      <c r="AC69" s="88" t="s">
        <v>734</v>
      </c>
      <c r="AD69" s="89"/>
      <c r="AE69" s="89"/>
      <c r="AF69" s="89"/>
      <c r="AG69" s="90" t="s">
        <v>738</v>
      </c>
      <c r="AH69" s="89"/>
      <c r="AI69" s="89"/>
      <c r="AJ69" s="89"/>
      <c r="AK69" s="91"/>
      <c r="AL69" s="92" t="s">
        <v>739</v>
      </c>
      <c r="AM69" s="89"/>
      <c r="AN69" s="89"/>
      <c r="AO69" s="93"/>
      <c r="AP69" s="91"/>
      <c r="AQ69" s="88" t="s">
        <v>740</v>
      </c>
      <c r="AR69" s="89"/>
      <c r="AS69" s="89"/>
      <c r="AT69" s="89"/>
      <c r="AU69" s="89"/>
      <c r="AV69" s="93"/>
      <c r="AW69" s="89"/>
      <c r="AX69" s="94"/>
      <c r="BD69" s="38"/>
    </row>
    <row r="70" spans="1:56" s="51" customFormat="1" ht="13.5" customHeight="1">
      <c r="A70" s="50"/>
      <c r="C70" s="36"/>
      <c r="D70" s="36"/>
      <c r="E70" s="36"/>
      <c r="F70" s="36"/>
      <c r="G70" s="36"/>
      <c r="H70" s="36"/>
      <c r="I70" s="36"/>
      <c r="J70" s="36"/>
      <c r="K70" s="36"/>
      <c r="L70" s="36"/>
      <c r="M70" s="36"/>
      <c r="N70" s="36"/>
      <c r="O70" s="36"/>
      <c r="P70" s="36"/>
      <c r="Q70" s="36"/>
      <c r="R70" s="36"/>
      <c r="S70" s="36"/>
      <c r="T70" s="36"/>
      <c r="U70" s="36"/>
      <c r="V70" s="36"/>
      <c r="W70" s="36"/>
      <c r="X70" s="36"/>
      <c r="Y70" s="36"/>
      <c r="Z70" s="76">
        <v>5</v>
      </c>
      <c r="AA70" s="79"/>
      <c r="AB70" s="95"/>
      <c r="AC70" s="84" t="s">
        <v>741</v>
      </c>
      <c r="AD70" s="77"/>
      <c r="AE70" s="77"/>
      <c r="AF70" s="77"/>
      <c r="AG70" s="85" t="s">
        <v>735</v>
      </c>
      <c r="AH70" s="77"/>
      <c r="AI70" s="77"/>
      <c r="AJ70" s="77"/>
      <c r="AK70" s="86"/>
      <c r="AL70" s="76" t="s">
        <v>742</v>
      </c>
      <c r="AM70" s="77"/>
      <c r="AN70" s="77"/>
      <c r="AO70" s="79"/>
      <c r="AP70" s="86"/>
      <c r="AQ70" s="84" t="s">
        <v>743</v>
      </c>
      <c r="AR70" s="77"/>
      <c r="AS70" s="77"/>
      <c r="AT70" s="77"/>
      <c r="AU70" s="77"/>
      <c r="AV70" s="79"/>
      <c r="AW70" s="77"/>
      <c r="AX70" s="80"/>
      <c r="BD70" s="52"/>
    </row>
    <row r="71" spans="1:56" s="51" customFormat="1" ht="13.5" customHeight="1">
      <c r="A71" s="50"/>
      <c r="C71" s="29"/>
      <c r="D71" s="29"/>
      <c r="E71" s="36"/>
      <c r="F71" s="36"/>
      <c r="G71" s="36"/>
      <c r="H71" s="36"/>
      <c r="I71" s="36"/>
      <c r="J71" s="36"/>
      <c r="K71" s="36"/>
      <c r="L71" s="36"/>
      <c r="M71" s="36"/>
      <c r="N71" s="36"/>
      <c r="O71" s="36"/>
      <c r="P71" s="36"/>
      <c r="Q71" s="36"/>
      <c r="R71" s="36"/>
      <c r="S71" s="36"/>
      <c r="T71" s="36"/>
      <c r="U71" s="36"/>
      <c r="V71" s="36"/>
      <c r="W71" s="36"/>
      <c r="X71" s="36"/>
      <c r="Y71" s="29"/>
      <c r="Z71" s="29"/>
      <c r="AA71" s="29"/>
      <c r="AB71" s="29" t="s">
        <v>744</v>
      </c>
      <c r="AC71" s="39"/>
      <c r="AD71" s="39"/>
      <c r="AE71" s="39"/>
      <c r="AF71" s="39"/>
      <c r="AG71" s="39"/>
      <c r="AH71" s="39"/>
      <c r="AI71" s="39"/>
      <c r="AJ71" s="39"/>
      <c r="AK71" s="39"/>
      <c r="AL71" s="39"/>
      <c r="AM71" s="39"/>
      <c r="AN71" s="39"/>
      <c r="AO71" s="39"/>
      <c r="BD71" s="52"/>
    </row>
    <row r="72" spans="1:56" s="51" customFormat="1" ht="13.5" customHeight="1">
      <c r="A72" s="50"/>
      <c r="C72" s="36"/>
      <c r="D72" s="36"/>
      <c r="E72" s="36"/>
      <c r="F72" s="36"/>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W72" s="36"/>
      <c r="BD72" s="52"/>
    </row>
    <row r="73" spans="1:56" s="39" customFormat="1" ht="14.1" customHeight="1">
      <c r="A73" s="37"/>
      <c r="B73" s="75"/>
      <c r="E73" s="36"/>
      <c r="F73" s="36"/>
      <c r="G73" s="36"/>
      <c r="H73" s="36"/>
      <c r="I73" s="36"/>
      <c r="J73" s="36"/>
      <c r="K73" s="36"/>
      <c r="L73" s="36"/>
      <c r="M73" s="36"/>
      <c r="N73" s="36"/>
      <c r="O73" s="36"/>
      <c r="P73" s="36"/>
      <c r="Q73" s="36"/>
      <c r="R73" s="36"/>
      <c r="S73" s="36"/>
      <c r="T73" s="36"/>
      <c r="U73" s="36"/>
      <c r="V73" s="36"/>
      <c r="W73" s="36"/>
      <c r="X73" s="36"/>
      <c r="BD73" s="38"/>
    </row>
    <row r="74" spans="1:56" s="39" customFormat="1" ht="14.1" customHeight="1">
      <c r="A74" s="37"/>
      <c r="B74" s="75"/>
      <c r="BD74" s="38"/>
    </row>
    <row r="75" spans="1:56" s="39" customFormat="1" ht="14.1" customHeight="1">
      <c r="A75" s="37"/>
      <c r="B75" s="75"/>
      <c r="BD75" s="38"/>
    </row>
    <row r="76" spans="1:56" s="39" customFormat="1" ht="14.1" customHeight="1">
      <c r="A76" s="37"/>
      <c r="B76" s="75"/>
      <c r="BD76" s="38"/>
    </row>
    <row r="77" spans="1:56" ht="13.5" customHeight="1">
      <c r="A77" s="96"/>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c r="AO77" s="55"/>
      <c r="AP77" s="55"/>
      <c r="AQ77" s="55"/>
      <c r="AR77" s="55"/>
      <c r="AS77" s="55"/>
      <c r="AT77" s="55"/>
      <c r="AU77" s="55"/>
      <c r="AV77" s="55"/>
      <c r="AW77" s="55"/>
      <c r="AX77" s="55"/>
      <c r="AY77" s="55"/>
      <c r="AZ77" s="55"/>
      <c r="BA77" s="55"/>
      <c r="BB77" s="55"/>
      <c r="BC77" s="55"/>
      <c r="BD77" s="97"/>
    </row>
    <row r="78" spans="1:56" ht="13.5" customHeight="1">
      <c r="A78" s="33"/>
      <c r="BD78" s="35"/>
    </row>
    <row r="79" spans="1:56" s="39" customFormat="1" ht="14.1" customHeight="1">
      <c r="A79" s="37"/>
      <c r="F79" s="29" t="s">
        <v>669</v>
      </c>
      <c r="L79" s="51"/>
      <c r="M79" s="51"/>
      <c r="N79" s="51"/>
      <c r="O79" s="51"/>
      <c r="P79" s="51"/>
      <c r="Q79" s="51"/>
      <c r="R79" s="51"/>
      <c r="S79" s="51"/>
      <c r="T79" s="29" t="s">
        <v>670</v>
      </c>
      <c r="U79" s="36"/>
      <c r="V79" s="36"/>
      <c r="W79" s="36"/>
      <c r="X79" s="36"/>
      <c r="Y79" s="36"/>
      <c r="Z79" s="36"/>
      <c r="AA79" s="36"/>
      <c r="AB79" s="36"/>
      <c r="AC79" s="29"/>
      <c r="AD79" s="29"/>
      <c r="AF79" s="36"/>
      <c r="AG79" s="36"/>
      <c r="AT79" s="29" t="s">
        <v>646</v>
      </c>
      <c r="BD79" s="38"/>
    </row>
    <row r="80" spans="1:56" s="51" customFormat="1" ht="13.5" customHeight="1">
      <c r="A80" s="50"/>
      <c r="B80" s="39"/>
      <c r="C80" s="39"/>
      <c r="D80" s="39"/>
      <c r="E80" s="39"/>
      <c r="F80" s="66" t="s">
        <v>721</v>
      </c>
      <c r="G80" s="70"/>
      <c r="H80" s="73" t="s">
        <v>684</v>
      </c>
      <c r="I80" s="72"/>
      <c r="J80" s="70"/>
      <c r="K80" s="70"/>
      <c r="L80" s="70"/>
      <c r="M80" s="70"/>
      <c r="N80" s="73" t="s">
        <v>682</v>
      </c>
      <c r="O80" s="70"/>
      <c r="P80" s="70"/>
      <c r="Q80" s="67"/>
      <c r="T80" s="66" t="s">
        <v>721</v>
      </c>
      <c r="U80" s="70"/>
      <c r="V80" s="73" t="s">
        <v>623</v>
      </c>
      <c r="W80" s="72"/>
      <c r="X80" s="98"/>
      <c r="Y80" s="73" t="s">
        <v>625</v>
      </c>
      <c r="Z80" s="70"/>
      <c r="AA80" s="72"/>
      <c r="AB80" s="73" t="s">
        <v>628</v>
      </c>
      <c r="AC80" s="70"/>
      <c r="AD80" s="73" t="s">
        <v>49</v>
      </c>
      <c r="AE80" s="72"/>
      <c r="AF80" s="70"/>
      <c r="AG80" s="70"/>
      <c r="AH80" s="70"/>
      <c r="AI80" s="73" t="s">
        <v>745</v>
      </c>
      <c r="AJ80" s="72"/>
      <c r="AK80" s="70"/>
      <c r="AL80" s="70"/>
      <c r="AM80" s="73" t="s">
        <v>633</v>
      </c>
      <c r="AN80" s="70"/>
      <c r="AO80" s="70"/>
      <c r="AP80" s="70"/>
      <c r="AQ80" s="67"/>
      <c r="AR80" s="39"/>
      <c r="AS80" s="39"/>
      <c r="AT80" s="66" t="s">
        <v>721</v>
      </c>
      <c r="AU80" s="69"/>
      <c r="AV80" s="73" t="s">
        <v>625</v>
      </c>
      <c r="AW80" s="70"/>
      <c r="AX80" s="70"/>
      <c r="AY80" s="73" t="s">
        <v>49</v>
      </c>
      <c r="AZ80" s="70"/>
      <c r="BA80" s="70"/>
      <c r="BB80" s="99"/>
      <c r="BD80" s="52"/>
    </row>
    <row r="81" spans="1:56" s="51" customFormat="1" ht="13.5" customHeight="1">
      <c r="A81" s="50"/>
      <c r="B81" s="39"/>
      <c r="C81" s="39"/>
      <c r="D81" s="39"/>
      <c r="E81" s="39"/>
      <c r="F81" s="76">
        <v>1</v>
      </c>
      <c r="G81" s="77"/>
      <c r="H81" s="85" t="s">
        <v>728</v>
      </c>
      <c r="I81" s="77"/>
      <c r="J81" s="77"/>
      <c r="K81" s="77"/>
      <c r="L81" s="77"/>
      <c r="M81" s="77"/>
      <c r="N81" s="85" t="s">
        <v>728</v>
      </c>
      <c r="O81" s="77"/>
      <c r="P81" s="77"/>
      <c r="Q81" s="86"/>
      <c r="T81" s="76">
        <v>1</v>
      </c>
      <c r="U81" s="77"/>
      <c r="V81" s="85" t="s">
        <v>728</v>
      </c>
      <c r="W81" s="77"/>
      <c r="X81" s="77"/>
      <c r="Y81" s="85" t="s">
        <v>728</v>
      </c>
      <c r="Z81" s="77"/>
      <c r="AA81" s="100"/>
      <c r="AB81" s="85" t="s">
        <v>746</v>
      </c>
      <c r="AC81" s="77"/>
      <c r="AD81" s="76" t="s">
        <v>747</v>
      </c>
      <c r="AE81" s="84"/>
      <c r="AF81" s="77"/>
      <c r="AG81" s="77"/>
      <c r="AH81" s="77"/>
      <c r="AI81" s="76">
        <v>0</v>
      </c>
      <c r="AJ81" s="77"/>
      <c r="AK81" s="77"/>
      <c r="AL81" s="77"/>
      <c r="AM81" s="85" t="s">
        <v>748</v>
      </c>
      <c r="AN81" s="77"/>
      <c r="AO81" s="77"/>
      <c r="AP81" s="77"/>
      <c r="AQ81" s="86"/>
      <c r="AR81" s="39"/>
      <c r="AS81" s="39"/>
      <c r="AT81" s="76">
        <v>1</v>
      </c>
      <c r="AU81" s="77"/>
      <c r="AV81" s="101" t="s">
        <v>728</v>
      </c>
      <c r="AW81" s="89"/>
      <c r="AX81" s="89"/>
      <c r="AY81" s="92" t="s">
        <v>749</v>
      </c>
      <c r="AZ81" s="89"/>
      <c r="BA81" s="89"/>
      <c r="BB81" s="91"/>
      <c r="BD81" s="52"/>
    </row>
    <row r="82" spans="1:56" s="51" customFormat="1" ht="13.5" customHeight="1">
      <c r="A82" s="50"/>
      <c r="B82" s="39"/>
      <c r="C82" s="39"/>
      <c r="D82" s="39"/>
      <c r="E82" s="39"/>
      <c r="F82" s="76">
        <v>2</v>
      </c>
      <c r="G82" s="77"/>
      <c r="H82" s="85" t="s">
        <v>750</v>
      </c>
      <c r="I82" s="77"/>
      <c r="J82" s="77"/>
      <c r="K82" s="77"/>
      <c r="L82" s="77"/>
      <c r="M82" s="77"/>
      <c r="N82" s="85" t="s">
        <v>737</v>
      </c>
      <c r="O82" s="77"/>
      <c r="P82" s="77"/>
      <c r="Q82" s="80"/>
      <c r="T82" s="76">
        <v>2</v>
      </c>
      <c r="U82" s="77"/>
      <c r="V82" s="85" t="s">
        <v>750</v>
      </c>
      <c r="W82" s="77"/>
      <c r="X82" s="77"/>
      <c r="Y82" s="85" t="s">
        <v>737</v>
      </c>
      <c r="Z82" s="77"/>
      <c r="AA82" s="100"/>
      <c r="AB82" s="85" t="s">
        <v>746</v>
      </c>
      <c r="AC82" s="77"/>
      <c r="AD82" s="76" t="s">
        <v>751</v>
      </c>
      <c r="AE82" s="84"/>
      <c r="AF82" s="77"/>
      <c r="AG82" s="77"/>
      <c r="AH82" s="77"/>
      <c r="AI82" s="76">
        <v>0</v>
      </c>
      <c r="AJ82" s="77"/>
      <c r="AK82" s="77"/>
      <c r="AL82" s="77"/>
      <c r="AM82" s="85" t="s">
        <v>748</v>
      </c>
      <c r="AN82" s="77"/>
      <c r="AO82" s="77"/>
      <c r="AP82" s="77"/>
      <c r="AQ82" s="86"/>
      <c r="AR82" s="39"/>
      <c r="AS82" s="39"/>
      <c r="AT82" s="76">
        <v>2</v>
      </c>
      <c r="AU82" s="77"/>
      <c r="AV82" s="101" t="s">
        <v>750</v>
      </c>
      <c r="AW82" s="89"/>
      <c r="AX82" s="89"/>
      <c r="AY82" s="92" t="s">
        <v>752</v>
      </c>
      <c r="AZ82" s="89"/>
      <c r="BA82" s="89"/>
      <c r="BB82" s="94"/>
      <c r="BD82" s="52"/>
    </row>
    <row r="83" spans="1:56" s="39" customFormat="1" ht="14.1" customHeight="1">
      <c r="A83" s="37"/>
      <c r="F83" s="76">
        <v>3</v>
      </c>
      <c r="G83" s="77"/>
      <c r="H83" s="85" t="s">
        <v>748</v>
      </c>
      <c r="I83" s="77"/>
      <c r="J83" s="77"/>
      <c r="K83" s="77"/>
      <c r="L83" s="77"/>
      <c r="M83" s="77"/>
      <c r="N83" s="85" t="s">
        <v>743</v>
      </c>
      <c r="O83" s="77"/>
      <c r="P83" s="77"/>
      <c r="Q83" s="80"/>
      <c r="R83" s="51"/>
      <c r="S83" s="51"/>
      <c r="T83" s="76">
        <v>3</v>
      </c>
      <c r="U83" s="77"/>
      <c r="V83" s="85" t="s">
        <v>748</v>
      </c>
      <c r="W83" s="77"/>
      <c r="X83" s="77"/>
      <c r="Y83" s="85" t="s">
        <v>743</v>
      </c>
      <c r="Z83" s="77"/>
      <c r="AA83" s="100"/>
      <c r="AB83" s="85" t="s">
        <v>753</v>
      </c>
      <c r="AC83" s="77"/>
      <c r="AD83" s="76" t="s">
        <v>742</v>
      </c>
      <c r="AE83" s="84"/>
      <c r="AF83" s="77"/>
      <c r="AG83" s="77"/>
      <c r="AH83" s="77"/>
      <c r="AI83" s="76">
        <v>0</v>
      </c>
      <c r="AJ83" s="77"/>
      <c r="AK83" s="77"/>
      <c r="AL83" s="77"/>
      <c r="AM83" s="85">
        <v>0</v>
      </c>
      <c r="AN83" s="77"/>
      <c r="AO83" s="77"/>
      <c r="AP83" s="77"/>
      <c r="AQ83" s="86"/>
      <c r="AT83" s="76">
        <v>3</v>
      </c>
      <c r="AU83" s="77"/>
      <c r="AV83" s="85" t="s">
        <v>748</v>
      </c>
      <c r="AW83" s="77"/>
      <c r="AX83" s="77"/>
      <c r="AY83" s="76" t="s">
        <v>742</v>
      </c>
      <c r="AZ83" s="77"/>
      <c r="BA83" s="77"/>
      <c r="BB83" s="80"/>
      <c r="BD83" s="38"/>
    </row>
    <row r="84" spans="1:56" s="51" customFormat="1" ht="13.5" customHeight="1">
      <c r="A84" s="50"/>
      <c r="B84" s="39"/>
      <c r="C84" s="39"/>
      <c r="D84" s="39"/>
      <c r="E84" s="39"/>
      <c r="F84" s="76">
        <v>4</v>
      </c>
      <c r="G84" s="77"/>
      <c r="H84" s="101" t="s">
        <v>733</v>
      </c>
      <c r="I84" s="89"/>
      <c r="J84" s="89"/>
      <c r="K84" s="89"/>
      <c r="L84" s="89"/>
      <c r="M84" s="89"/>
      <c r="N84" s="101" t="s">
        <v>733</v>
      </c>
      <c r="O84" s="89"/>
      <c r="P84" s="89"/>
      <c r="Q84" s="94"/>
      <c r="T84" s="76">
        <v>4</v>
      </c>
      <c r="U84" s="77"/>
      <c r="V84" s="101" t="s">
        <v>733</v>
      </c>
      <c r="W84" s="89"/>
      <c r="X84" s="89"/>
      <c r="Y84" s="101" t="s">
        <v>728</v>
      </c>
      <c r="Z84" s="89"/>
      <c r="AA84" s="102"/>
      <c r="AB84" s="90" t="s">
        <v>754</v>
      </c>
      <c r="AC84" s="89"/>
      <c r="AD84" s="92" t="s">
        <v>747</v>
      </c>
      <c r="AE84" s="103"/>
      <c r="AF84" s="89"/>
      <c r="AG84" s="89"/>
      <c r="AH84" s="89"/>
      <c r="AI84" s="92">
        <v>0</v>
      </c>
      <c r="AJ84" s="89"/>
      <c r="AK84" s="89"/>
      <c r="AL84" s="89"/>
      <c r="AM84" s="90" t="s">
        <v>743</v>
      </c>
      <c r="AN84" s="89"/>
      <c r="AO84" s="89"/>
      <c r="AP84" s="89"/>
      <c r="AQ84" s="91"/>
      <c r="AX84" s="39"/>
      <c r="AY84" s="39"/>
      <c r="AZ84" s="39"/>
      <c r="BA84" s="39"/>
      <c r="BD84" s="52"/>
    </row>
    <row r="85" spans="1:56" s="51" customFormat="1" ht="13.5" customHeight="1">
      <c r="A85" s="50"/>
      <c r="B85" s="39"/>
      <c r="C85" s="39"/>
      <c r="D85" s="39"/>
      <c r="E85" s="39"/>
      <c r="F85" s="76">
        <v>5</v>
      </c>
      <c r="G85" s="77"/>
      <c r="H85" s="101" t="s">
        <v>755</v>
      </c>
      <c r="I85" s="89"/>
      <c r="J85" s="89"/>
      <c r="K85" s="89"/>
      <c r="L85" s="89"/>
      <c r="M85" s="89"/>
      <c r="N85" s="101" t="s">
        <v>755</v>
      </c>
      <c r="O85" s="89"/>
      <c r="P85" s="89"/>
      <c r="Q85" s="94"/>
      <c r="T85" s="76">
        <v>5</v>
      </c>
      <c r="U85" s="77"/>
      <c r="V85" s="101" t="s">
        <v>755</v>
      </c>
      <c r="W85" s="89"/>
      <c r="X85" s="89"/>
      <c r="Y85" s="101" t="s">
        <v>750</v>
      </c>
      <c r="Z85" s="89"/>
      <c r="AA85" s="102"/>
      <c r="AB85" s="90" t="s">
        <v>754</v>
      </c>
      <c r="AC85" s="89"/>
      <c r="AD85" s="92" t="s">
        <v>751</v>
      </c>
      <c r="AE85" s="103"/>
      <c r="AF85" s="89"/>
      <c r="AG85" s="89"/>
      <c r="AH85" s="89"/>
      <c r="AI85" s="92">
        <v>0</v>
      </c>
      <c r="AJ85" s="89"/>
      <c r="AK85" s="89"/>
      <c r="AL85" s="89"/>
      <c r="AM85" s="90" t="s">
        <v>748</v>
      </c>
      <c r="AN85" s="89"/>
      <c r="AO85" s="89"/>
      <c r="AP85" s="89"/>
      <c r="AQ85" s="91"/>
      <c r="AX85" s="39"/>
      <c r="AY85" s="39"/>
      <c r="AZ85" s="39"/>
      <c r="BA85" s="39"/>
      <c r="BD85" s="52"/>
    </row>
    <row r="86" spans="1:56" s="51" customFormat="1" ht="13.5" customHeight="1">
      <c r="A86" s="50"/>
      <c r="B86" s="39"/>
      <c r="C86" s="39"/>
      <c r="D86" s="39"/>
      <c r="E86" s="39"/>
      <c r="F86" s="39"/>
      <c r="G86" s="39"/>
      <c r="H86" s="39"/>
      <c r="I86" s="39"/>
      <c r="J86" s="39"/>
      <c r="K86" s="39"/>
      <c r="L86" s="39"/>
      <c r="M86" s="39"/>
      <c r="N86" s="39"/>
      <c r="O86" s="39"/>
      <c r="P86" s="39"/>
      <c r="Q86" s="39"/>
      <c r="R86" s="39"/>
      <c r="S86" s="39"/>
      <c r="AK86" s="39"/>
      <c r="AL86" s="39"/>
      <c r="AM86" s="39"/>
      <c r="AX86" s="39"/>
      <c r="AY86" s="39"/>
      <c r="AZ86" s="39"/>
      <c r="BA86" s="39"/>
      <c r="BD86" s="52"/>
    </row>
    <row r="87" spans="1:56" s="51" customFormat="1" ht="13.5" customHeight="1">
      <c r="A87" s="50"/>
      <c r="B87" s="39"/>
      <c r="C87" s="39"/>
      <c r="D87" s="39"/>
      <c r="E87" s="39"/>
      <c r="F87" s="39"/>
      <c r="G87" s="39"/>
      <c r="H87" s="39"/>
      <c r="I87" s="39"/>
      <c r="J87" s="39"/>
      <c r="K87" s="39"/>
      <c r="AC87" s="39"/>
      <c r="AD87" s="39"/>
      <c r="AE87" s="39"/>
      <c r="AF87" s="39"/>
      <c r="AG87" s="39"/>
      <c r="AH87" s="39"/>
      <c r="AI87" s="39"/>
      <c r="AJ87" s="39"/>
      <c r="AK87" s="39"/>
      <c r="AL87" s="39"/>
      <c r="AM87" s="39"/>
      <c r="AN87" s="39"/>
      <c r="AO87" s="39"/>
      <c r="AP87" s="39"/>
      <c r="AQ87" s="39"/>
      <c r="AR87" s="39"/>
      <c r="AX87" s="39"/>
      <c r="AY87" s="39"/>
      <c r="AZ87" s="39"/>
      <c r="BA87" s="39"/>
      <c r="BD87" s="52"/>
    </row>
    <row r="88" spans="1:56" s="51" customFormat="1" ht="13.5" customHeight="1">
      <c r="A88" s="50"/>
      <c r="B88" s="39"/>
      <c r="C88" s="39"/>
      <c r="D88" s="39"/>
      <c r="AC88" s="39"/>
      <c r="AD88" s="39"/>
      <c r="AE88" s="39"/>
      <c r="AF88" s="39"/>
      <c r="AG88" s="39"/>
      <c r="AH88" s="39"/>
      <c r="AI88" s="39"/>
      <c r="AJ88" s="39"/>
      <c r="AK88" s="39"/>
      <c r="AL88" s="39"/>
      <c r="AM88" s="39"/>
      <c r="AN88" s="39"/>
      <c r="AO88" s="39"/>
      <c r="AP88" s="39"/>
      <c r="AQ88" s="39"/>
      <c r="AR88" s="39"/>
      <c r="AX88" s="39"/>
      <c r="AY88" s="39"/>
      <c r="AZ88" s="39"/>
      <c r="BA88" s="39"/>
      <c r="BD88" s="52"/>
    </row>
    <row r="89" spans="1:56" s="51" customFormat="1" ht="13.5" customHeight="1">
      <c r="A89" s="50"/>
      <c r="B89" s="39"/>
      <c r="C89" s="39"/>
      <c r="D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D89" s="52"/>
    </row>
    <row r="90" spans="1:56" s="39" customFormat="1" ht="14.1" customHeight="1">
      <c r="A90" s="37"/>
      <c r="BD90" s="38"/>
    </row>
    <row r="91" spans="1:56" s="51" customFormat="1" ht="13.5" customHeight="1">
      <c r="A91" s="50"/>
      <c r="B91" s="39"/>
      <c r="C91" s="39"/>
      <c r="D91" s="39"/>
      <c r="AC91" s="39"/>
      <c r="AD91" s="39"/>
      <c r="AE91" s="39"/>
      <c r="AF91" s="39"/>
      <c r="AG91" s="39"/>
      <c r="AH91" s="39"/>
      <c r="AI91" s="39"/>
      <c r="AJ91" s="39"/>
      <c r="AK91" s="39"/>
      <c r="AL91" s="39"/>
      <c r="AM91" s="39"/>
      <c r="AN91" s="39"/>
      <c r="AO91" s="39"/>
      <c r="AP91" s="39"/>
      <c r="AQ91" s="39"/>
      <c r="AR91" s="39"/>
      <c r="AU91" s="39"/>
      <c r="AV91" s="39"/>
      <c r="AW91" s="39"/>
      <c r="AX91" s="39"/>
      <c r="AY91" s="39"/>
      <c r="AZ91" s="39"/>
      <c r="BA91" s="39"/>
      <c r="BD91" s="52"/>
    </row>
    <row r="92" spans="1:56" s="51" customFormat="1" ht="13.5" customHeight="1">
      <c r="A92" s="50"/>
      <c r="B92" s="39"/>
      <c r="C92" s="39"/>
      <c r="D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D92" s="52"/>
    </row>
    <row r="93" spans="1:56" s="51" customFormat="1" ht="13.5" customHeight="1">
      <c r="A93" s="50"/>
      <c r="B93" s="39"/>
      <c r="C93" s="39"/>
      <c r="D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D93" s="52"/>
    </row>
    <row r="94" spans="1:56" s="51" customFormat="1" ht="13.5" customHeight="1">
      <c r="A94" s="50"/>
      <c r="B94" s="39"/>
      <c r="C94" s="39"/>
      <c r="D94" s="39"/>
      <c r="E94" s="39"/>
      <c r="F94" s="39"/>
      <c r="G94" s="39"/>
      <c r="H94" s="39"/>
      <c r="I94" s="3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D94" s="52"/>
    </row>
    <row r="95" spans="1:56" s="51" customFormat="1" ht="13.5" customHeight="1">
      <c r="A95" s="50"/>
      <c r="B95" s="39"/>
      <c r="C95" s="39"/>
      <c r="D95" s="39"/>
      <c r="E95" s="39"/>
      <c r="F95" s="39"/>
      <c r="G95" s="39"/>
      <c r="H95" s="39"/>
      <c r="I95" s="3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D95" s="52"/>
    </row>
    <row r="96" spans="1:56" s="51" customFormat="1" ht="13.5" customHeight="1">
      <c r="A96" s="50"/>
      <c r="B96" s="39"/>
      <c r="C96" s="39"/>
      <c r="D96" s="39"/>
      <c r="E96" s="39"/>
      <c r="F96" s="39"/>
      <c r="G96" s="39"/>
      <c r="H96" s="39"/>
      <c r="I96" s="3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D96" s="52"/>
    </row>
    <row r="97" spans="1:56" s="51" customFormat="1" ht="13.5" customHeight="1">
      <c r="A97" s="50"/>
      <c r="B97" s="39"/>
      <c r="C97" s="39"/>
      <c r="D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D97" s="52"/>
    </row>
    <row r="98" spans="1:56" s="51" customFormat="1" ht="13.5" customHeight="1">
      <c r="A98" s="50"/>
      <c r="B98" s="39"/>
      <c r="C98" s="39"/>
      <c r="D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D98" s="52"/>
    </row>
    <row r="99" spans="1:56" s="51" customFormat="1" ht="13.5" customHeight="1">
      <c r="A99" s="50"/>
      <c r="B99" s="39"/>
      <c r="C99" s="39"/>
      <c r="D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D99" s="52"/>
    </row>
    <row r="100" spans="1:56" s="51" customFormat="1" ht="13.5" customHeight="1">
      <c r="A100" s="50"/>
      <c r="B100" s="39"/>
      <c r="C100" s="39"/>
      <c r="D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D100" s="52"/>
    </row>
    <row r="101" spans="1:56" s="51" customFormat="1" ht="13.5" customHeight="1">
      <c r="A101" s="50"/>
      <c r="B101" s="39"/>
      <c r="C101" s="39"/>
      <c r="D101" s="39"/>
      <c r="E101" s="36"/>
      <c r="F101" s="36"/>
      <c r="G101" s="36"/>
      <c r="H101" s="36"/>
      <c r="I101" s="3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D101" s="52"/>
    </row>
    <row r="102" spans="1:56" s="39" customFormat="1" ht="14.1" customHeight="1">
      <c r="A102" s="37"/>
      <c r="BD102" s="38"/>
    </row>
    <row r="103" spans="1:56" s="51" customFormat="1" ht="13.5" customHeight="1">
      <c r="A103" s="50"/>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D103" s="52"/>
    </row>
    <row r="104" spans="1:56" s="51" customFormat="1" ht="13.5" customHeight="1">
      <c r="A104" s="50"/>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X104" s="39"/>
      <c r="AY104" s="39"/>
      <c r="AZ104" s="39"/>
      <c r="BA104" s="39"/>
      <c r="BD104" s="52"/>
    </row>
    <row r="105" spans="1:56" s="51" customFormat="1" ht="13.5" customHeight="1">
      <c r="A105" s="50"/>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D105" s="52"/>
    </row>
    <row r="106" spans="1:56" s="51" customFormat="1" ht="13.5" customHeight="1">
      <c r="A106" s="50"/>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D106" s="52"/>
    </row>
    <row r="107" spans="1:56" s="39" customFormat="1" ht="14.1" customHeight="1">
      <c r="A107" s="37"/>
      <c r="B107" s="75"/>
      <c r="BD107" s="38"/>
    </row>
    <row r="108" spans="1:56" s="51" customFormat="1" ht="13.5" customHeight="1">
      <c r="A108" s="50"/>
      <c r="C108" s="29"/>
      <c r="D108" s="39"/>
      <c r="E108" s="39"/>
      <c r="F108" s="39"/>
      <c r="G108" s="39"/>
      <c r="H108" s="39"/>
      <c r="I108" s="39"/>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BD108" s="52"/>
    </row>
    <row r="109" spans="1:56" s="39" customFormat="1" ht="14.1" customHeight="1">
      <c r="A109" s="37"/>
      <c r="B109" s="75"/>
      <c r="BD109" s="38"/>
    </row>
    <row r="110" spans="1:56" s="39" customFormat="1" ht="14.1" customHeight="1">
      <c r="A110" s="37"/>
      <c r="B110" s="75"/>
      <c r="BD110" s="38"/>
    </row>
    <row r="111" spans="1:56" s="39" customFormat="1" ht="14.1" customHeight="1">
      <c r="A111" s="37"/>
      <c r="B111" s="75"/>
      <c r="BD111" s="38"/>
    </row>
    <row r="112" spans="1:56" s="39" customFormat="1" ht="14.1" customHeight="1">
      <c r="A112" s="37"/>
      <c r="B112" s="75"/>
      <c r="BD112" s="38"/>
    </row>
    <row r="113" spans="1:56" ht="13.5" customHeight="1">
      <c r="A113" s="96"/>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97"/>
    </row>
  </sheetData>
  <mergeCells count="2">
    <mergeCell ref="A1:BD2"/>
    <mergeCell ref="A4:BD4"/>
  </mergeCells>
  <phoneticPr fontId="4"/>
  <printOptions horizontalCentered="1"/>
  <pageMargins left="0.19685039370078741" right="0.19685039370078741" top="0.62992125984251968" bottom="0.39370078740157483" header="0.19685039370078741" footer="0.31496062992125984"/>
  <pageSetup paperSize="9" scale="99" fitToHeight="0" orientation="landscape" horizontalDpi="300" verticalDpi="300" r:id="rId1"/>
  <headerFooter alignWithMargins="0">
    <oddFooter>&amp;C&amp;"Times New Roman"&amp;10&amp;P/&amp;N&amp;R&amp;"Times New Roman"&amp;9Copyright(C) 2016 VINX Corporation. All Rights Reserved.</oddFooter>
  </headerFooter>
  <rowBreaks count="2" manualBreakCount="2">
    <brk id="41" max="55" man="1"/>
    <brk id="77" max="55"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5" tint="-0.249977111117893"/>
  </sheetPr>
  <dimension ref="A1:BB32"/>
  <sheetViews>
    <sheetView workbookViewId="0">
      <selection sqref="A1:I2"/>
    </sheetView>
  </sheetViews>
  <sheetFormatPr defaultColWidth="5.625" defaultRowHeight="13.5" customHeight="1"/>
  <cols>
    <col min="1" max="14" width="2.375" style="142" customWidth="1"/>
    <col min="15" max="15" width="4.875" style="142" customWidth="1"/>
    <col min="16" max="54" width="2.375" style="142" customWidth="1"/>
    <col min="55" max="256" width="5.625" style="142"/>
    <col min="257" max="270" width="2.375" style="142" customWidth="1"/>
    <col min="271" max="271" width="4.875" style="142" customWidth="1"/>
    <col min="272" max="310" width="2.375" style="142" customWidth="1"/>
    <col min="311" max="512" width="5.625" style="142"/>
    <col min="513" max="526" width="2.375" style="142" customWidth="1"/>
    <col min="527" max="527" width="4.875" style="142" customWidth="1"/>
    <col min="528" max="566" width="2.375" style="142" customWidth="1"/>
    <col min="567" max="768" width="5.625" style="142"/>
    <col min="769" max="782" width="2.375" style="142" customWidth="1"/>
    <col min="783" max="783" width="4.875" style="142" customWidth="1"/>
    <col min="784" max="822" width="2.375" style="142" customWidth="1"/>
    <col min="823" max="1024" width="5.625" style="142"/>
    <col min="1025" max="1038" width="2.375" style="142" customWidth="1"/>
    <col min="1039" max="1039" width="4.875" style="142" customWidth="1"/>
    <col min="1040" max="1078" width="2.375" style="142" customWidth="1"/>
    <col min="1079" max="1280" width="5.625" style="142"/>
    <col min="1281" max="1294" width="2.375" style="142" customWidth="1"/>
    <col min="1295" max="1295" width="4.875" style="142" customWidth="1"/>
    <col min="1296" max="1334" width="2.375" style="142" customWidth="1"/>
    <col min="1335" max="1536" width="5.625" style="142"/>
    <col min="1537" max="1550" width="2.375" style="142" customWidth="1"/>
    <col min="1551" max="1551" width="4.875" style="142" customWidth="1"/>
    <col min="1552" max="1590" width="2.375" style="142" customWidth="1"/>
    <col min="1591" max="1792" width="5.625" style="142"/>
    <col min="1793" max="1806" width="2.375" style="142" customWidth="1"/>
    <col min="1807" max="1807" width="4.875" style="142" customWidth="1"/>
    <col min="1808" max="1846" width="2.375" style="142" customWidth="1"/>
    <col min="1847" max="2048" width="5.625" style="142"/>
    <col min="2049" max="2062" width="2.375" style="142" customWidth="1"/>
    <col min="2063" max="2063" width="4.875" style="142" customWidth="1"/>
    <col min="2064" max="2102" width="2.375" style="142" customWidth="1"/>
    <col min="2103" max="2304" width="5.625" style="142"/>
    <col min="2305" max="2318" width="2.375" style="142" customWidth="1"/>
    <col min="2319" max="2319" width="4.875" style="142" customWidth="1"/>
    <col min="2320" max="2358" width="2.375" style="142" customWidth="1"/>
    <col min="2359" max="2560" width="5.625" style="142"/>
    <col min="2561" max="2574" width="2.375" style="142" customWidth="1"/>
    <col min="2575" max="2575" width="4.875" style="142" customWidth="1"/>
    <col min="2576" max="2614" width="2.375" style="142" customWidth="1"/>
    <col min="2615" max="2816" width="5.625" style="142"/>
    <col min="2817" max="2830" width="2.375" style="142" customWidth="1"/>
    <col min="2831" max="2831" width="4.875" style="142" customWidth="1"/>
    <col min="2832" max="2870" width="2.375" style="142" customWidth="1"/>
    <col min="2871" max="3072" width="5.625" style="142"/>
    <col min="3073" max="3086" width="2.375" style="142" customWidth="1"/>
    <col min="3087" max="3087" width="4.875" style="142" customWidth="1"/>
    <col min="3088" max="3126" width="2.375" style="142" customWidth="1"/>
    <col min="3127" max="3328" width="5.625" style="142"/>
    <col min="3329" max="3342" width="2.375" style="142" customWidth="1"/>
    <col min="3343" max="3343" width="4.875" style="142" customWidth="1"/>
    <col min="3344" max="3382" width="2.375" style="142" customWidth="1"/>
    <col min="3383" max="3584" width="5.625" style="142"/>
    <col min="3585" max="3598" width="2.375" style="142" customWidth="1"/>
    <col min="3599" max="3599" width="4.875" style="142" customWidth="1"/>
    <col min="3600" max="3638" width="2.375" style="142" customWidth="1"/>
    <col min="3639" max="3840" width="5.625" style="142"/>
    <col min="3841" max="3854" width="2.375" style="142" customWidth="1"/>
    <col min="3855" max="3855" width="4.875" style="142" customWidth="1"/>
    <col min="3856" max="3894" width="2.375" style="142" customWidth="1"/>
    <col min="3895" max="4096" width="5.625" style="142"/>
    <col min="4097" max="4110" width="2.375" style="142" customWidth="1"/>
    <col min="4111" max="4111" width="4.875" style="142" customWidth="1"/>
    <col min="4112" max="4150" width="2.375" style="142" customWidth="1"/>
    <col min="4151" max="4352" width="5.625" style="142"/>
    <col min="4353" max="4366" width="2.375" style="142" customWidth="1"/>
    <col min="4367" max="4367" width="4.875" style="142" customWidth="1"/>
    <col min="4368" max="4406" width="2.375" style="142" customWidth="1"/>
    <col min="4407" max="4608" width="5.625" style="142"/>
    <col min="4609" max="4622" width="2.375" style="142" customWidth="1"/>
    <col min="4623" max="4623" width="4.875" style="142" customWidth="1"/>
    <col min="4624" max="4662" width="2.375" style="142" customWidth="1"/>
    <col min="4663" max="4864" width="5.625" style="142"/>
    <col min="4865" max="4878" width="2.375" style="142" customWidth="1"/>
    <col min="4879" max="4879" width="4.875" style="142" customWidth="1"/>
    <col min="4880" max="4918" width="2.375" style="142" customWidth="1"/>
    <col min="4919" max="5120" width="5.625" style="142"/>
    <col min="5121" max="5134" width="2.375" style="142" customWidth="1"/>
    <col min="5135" max="5135" width="4.875" style="142" customWidth="1"/>
    <col min="5136" max="5174" width="2.375" style="142" customWidth="1"/>
    <col min="5175" max="5376" width="5.625" style="142"/>
    <col min="5377" max="5390" width="2.375" style="142" customWidth="1"/>
    <col min="5391" max="5391" width="4.875" style="142" customWidth="1"/>
    <col min="5392" max="5430" width="2.375" style="142" customWidth="1"/>
    <col min="5431" max="5632" width="5.625" style="142"/>
    <col min="5633" max="5646" width="2.375" style="142" customWidth="1"/>
    <col min="5647" max="5647" width="4.875" style="142" customWidth="1"/>
    <col min="5648" max="5686" width="2.375" style="142" customWidth="1"/>
    <col min="5687" max="5888" width="5.625" style="142"/>
    <col min="5889" max="5902" width="2.375" style="142" customWidth="1"/>
    <col min="5903" max="5903" width="4.875" style="142" customWidth="1"/>
    <col min="5904" max="5942" width="2.375" style="142" customWidth="1"/>
    <col min="5943" max="6144" width="5.625" style="142"/>
    <col min="6145" max="6158" width="2.375" style="142" customWidth="1"/>
    <col min="6159" max="6159" width="4.875" style="142" customWidth="1"/>
    <col min="6160" max="6198" width="2.375" style="142" customWidth="1"/>
    <col min="6199" max="6400" width="5.625" style="142"/>
    <col min="6401" max="6414" width="2.375" style="142" customWidth="1"/>
    <col min="6415" max="6415" width="4.875" style="142" customWidth="1"/>
    <col min="6416" max="6454" width="2.375" style="142" customWidth="1"/>
    <col min="6455" max="6656" width="5.625" style="142"/>
    <col min="6657" max="6670" width="2.375" style="142" customWidth="1"/>
    <col min="6671" max="6671" width="4.875" style="142" customWidth="1"/>
    <col min="6672" max="6710" width="2.375" style="142" customWidth="1"/>
    <col min="6711" max="6912" width="5.625" style="142"/>
    <col min="6913" max="6926" width="2.375" style="142" customWidth="1"/>
    <col min="6927" max="6927" width="4.875" style="142" customWidth="1"/>
    <col min="6928" max="6966" width="2.375" style="142" customWidth="1"/>
    <col min="6967" max="7168" width="5.625" style="142"/>
    <col min="7169" max="7182" width="2.375" style="142" customWidth="1"/>
    <col min="7183" max="7183" width="4.875" style="142" customWidth="1"/>
    <col min="7184" max="7222" width="2.375" style="142" customWidth="1"/>
    <col min="7223" max="7424" width="5.625" style="142"/>
    <col min="7425" max="7438" width="2.375" style="142" customWidth="1"/>
    <col min="7439" max="7439" width="4.875" style="142" customWidth="1"/>
    <col min="7440" max="7478" width="2.375" style="142" customWidth="1"/>
    <col min="7479" max="7680" width="5.625" style="142"/>
    <col min="7681" max="7694" width="2.375" style="142" customWidth="1"/>
    <col min="7695" max="7695" width="4.875" style="142" customWidth="1"/>
    <col min="7696" max="7734" width="2.375" style="142" customWidth="1"/>
    <col min="7735" max="7936" width="5.625" style="142"/>
    <col min="7937" max="7950" width="2.375" style="142" customWidth="1"/>
    <col min="7951" max="7951" width="4.875" style="142" customWidth="1"/>
    <col min="7952" max="7990" width="2.375" style="142" customWidth="1"/>
    <col min="7991" max="8192" width="5.625" style="142"/>
    <col min="8193" max="8206" width="2.375" style="142" customWidth="1"/>
    <col min="8207" max="8207" width="4.875" style="142" customWidth="1"/>
    <col min="8208" max="8246" width="2.375" style="142" customWidth="1"/>
    <col min="8247" max="8448" width="5.625" style="142"/>
    <col min="8449" max="8462" width="2.375" style="142" customWidth="1"/>
    <col min="8463" max="8463" width="4.875" style="142" customWidth="1"/>
    <col min="8464" max="8502" width="2.375" style="142" customWidth="1"/>
    <col min="8503" max="8704" width="5.625" style="142"/>
    <col min="8705" max="8718" width="2.375" style="142" customWidth="1"/>
    <col min="8719" max="8719" width="4.875" style="142" customWidth="1"/>
    <col min="8720" max="8758" width="2.375" style="142" customWidth="1"/>
    <col min="8759" max="8960" width="5.625" style="142"/>
    <col min="8961" max="8974" width="2.375" style="142" customWidth="1"/>
    <col min="8975" max="8975" width="4.875" style="142" customWidth="1"/>
    <col min="8976" max="9014" width="2.375" style="142" customWidth="1"/>
    <col min="9015" max="9216" width="5.625" style="142"/>
    <col min="9217" max="9230" width="2.375" style="142" customWidth="1"/>
    <col min="9231" max="9231" width="4.875" style="142" customWidth="1"/>
    <col min="9232" max="9270" width="2.375" style="142" customWidth="1"/>
    <col min="9271" max="9472" width="5.625" style="142"/>
    <col min="9473" max="9486" width="2.375" style="142" customWidth="1"/>
    <col min="9487" max="9487" width="4.875" style="142" customWidth="1"/>
    <col min="9488" max="9526" width="2.375" style="142" customWidth="1"/>
    <col min="9527" max="9728" width="5.625" style="142"/>
    <col min="9729" max="9742" width="2.375" style="142" customWidth="1"/>
    <col min="9743" max="9743" width="4.875" style="142" customWidth="1"/>
    <col min="9744" max="9782" width="2.375" style="142" customWidth="1"/>
    <col min="9783" max="9984" width="5.625" style="142"/>
    <col min="9985" max="9998" width="2.375" style="142" customWidth="1"/>
    <col min="9999" max="9999" width="4.875" style="142" customWidth="1"/>
    <col min="10000" max="10038" width="2.375" style="142" customWidth="1"/>
    <col min="10039" max="10240" width="5.625" style="142"/>
    <col min="10241" max="10254" width="2.375" style="142" customWidth="1"/>
    <col min="10255" max="10255" width="4.875" style="142" customWidth="1"/>
    <col min="10256" max="10294" width="2.375" style="142" customWidth="1"/>
    <col min="10295" max="10496" width="5.625" style="142"/>
    <col min="10497" max="10510" width="2.375" style="142" customWidth="1"/>
    <col min="10511" max="10511" width="4.875" style="142" customWidth="1"/>
    <col min="10512" max="10550" width="2.375" style="142" customWidth="1"/>
    <col min="10551" max="10752" width="5.625" style="142"/>
    <col min="10753" max="10766" width="2.375" style="142" customWidth="1"/>
    <col min="10767" max="10767" width="4.875" style="142" customWidth="1"/>
    <col min="10768" max="10806" width="2.375" style="142" customWidth="1"/>
    <col min="10807" max="11008" width="5.625" style="142"/>
    <col min="11009" max="11022" width="2.375" style="142" customWidth="1"/>
    <col min="11023" max="11023" width="4.875" style="142" customWidth="1"/>
    <col min="11024" max="11062" width="2.375" style="142" customWidth="1"/>
    <col min="11063" max="11264" width="5.625" style="142"/>
    <col min="11265" max="11278" width="2.375" style="142" customWidth="1"/>
    <col min="11279" max="11279" width="4.875" style="142" customWidth="1"/>
    <col min="11280" max="11318" width="2.375" style="142" customWidth="1"/>
    <col min="11319" max="11520" width="5.625" style="142"/>
    <col min="11521" max="11534" width="2.375" style="142" customWidth="1"/>
    <col min="11535" max="11535" width="4.875" style="142" customWidth="1"/>
    <col min="11536" max="11574" width="2.375" style="142" customWidth="1"/>
    <col min="11575" max="11776" width="5.625" style="142"/>
    <col min="11777" max="11790" width="2.375" style="142" customWidth="1"/>
    <col min="11791" max="11791" width="4.875" style="142" customWidth="1"/>
    <col min="11792" max="11830" width="2.375" style="142" customWidth="1"/>
    <col min="11831" max="12032" width="5.625" style="142"/>
    <col min="12033" max="12046" width="2.375" style="142" customWidth="1"/>
    <col min="12047" max="12047" width="4.875" style="142" customWidth="1"/>
    <col min="12048" max="12086" width="2.375" style="142" customWidth="1"/>
    <col min="12087" max="12288" width="5.625" style="142"/>
    <col min="12289" max="12302" width="2.375" style="142" customWidth="1"/>
    <col min="12303" max="12303" width="4.875" style="142" customWidth="1"/>
    <col min="12304" max="12342" width="2.375" style="142" customWidth="1"/>
    <col min="12343" max="12544" width="5.625" style="142"/>
    <col min="12545" max="12558" width="2.375" style="142" customWidth="1"/>
    <col min="12559" max="12559" width="4.875" style="142" customWidth="1"/>
    <col min="12560" max="12598" width="2.375" style="142" customWidth="1"/>
    <col min="12599" max="12800" width="5.625" style="142"/>
    <col min="12801" max="12814" width="2.375" style="142" customWidth="1"/>
    <col min="12815" max="12815" width="4.875" style="142" customWidth="1"/>
    <col min="12816" max="12854" width="2.375" style="142" customWidth="1"/>
    <col min="12855" max="13056" width="5.625" style="142"/>
    <col min="13057" max="13070" width="2.375" style="142" customWidth="1"/>
    <col min="13071" max="13071" width="4.875" style="142" customWidth="1"/>
    <col min="13072" max="13110" width="2.375" style="142" customWidth="1"/>
    <col min="13111" max="13312" width="5.625" style="142"/>
    <col min="13313" max="13326" width="2.375" style="142" customWidth="1"/>
    <col min="13327" max="13327" width="4.875" style="142" customWidth="1"/>
    <col min="13328" max="13366" width="2.375" style="142" customWidth="1"/>
    <col min="13367" max="13568" width="5.625" style="142"/>
    <col min="13569" max="13582" width="2.375" style="142" customWidth="1"/>
    <col min="13583" max="13583" width="4.875" style="142" customWidth="1"/>
    <col min="13584" max="13622" width="2.375" style="142" customWidth="1"/>
    <col min="13623" max="13824" width="5.625" style="142"/>
    <col min="13825" max="13838" width="2.375" style="142" customWidth="1"/>
    <col min="13839" max="13839" width="4.875" style="142" customWidth="1"/>
    <col min="13840" max="13878" width="2.375" style="142" customWidth="1"/>
    <col min="13879" max="14080" width="5.625" style="142"/>
    <col min="14081" max="14094" width="2.375" style="142" customWidth="1"/>
    <col min="14095" max="14095" width="4.875" style="142" customWidth="1"/>
    <col min="14096" max="14134" width="2.375" style="142" customWidth="1"/>
    <col min="14135" max="14336" width="5.625" style="142"/>
    <col min="14337" max="14350" width="2.375" style="142" customWidth="1"/>
    <col min="14351" max="14351" width="4.875" style="142" customWidth="1"/>
    <col min="14352" max="14390" width="2.375" style="142" customWidth="1"/>
    <col min="14391" max="14592" width="5.625" style="142"/>
    <col min="14593" max="14606" width="2.375" style="142" customWidth="1"/>
    <col min="14607" max="14607" width="4.875" style="142" customWidth="1"/>
    <col min="14608" max="14646" width="2.375" style="142" customWidth="1"/>
    <col min="14647" max="14848" width="5.625" style="142"/>
    <col min="14849" max="14862" width="2.375" style="142" customWidth="1"/>
    <col min="14863" max="14863" width="4.875" style="142" customWidth="1"/>
    <col min="14864" max="14902" width="2.375" style="142" customWidth="1"/>
    <col min="14903" max="15104" width="5.625" style="142"/>
    <col min="15105" max="15118" width="2.375" style="142" customWidth="1"/>
    <col min="15119" max="15119" width="4.875" style="142" customWidth="1"/>
    <col min="15120" max="15158" width="2.375" style="142" customWidth="1"/>
    <col min="15159" max="15360" width="5.625" style="142"/>
    <col min="15361" max="15374" width="2.375" style="142" customWidth="1"/>
    <col min="15375" max="15375" width="4.875" style="142" customWidth="1"/>
    <col min="15376" max="15414" width="2.375" style="142" customWidth="1"/>
    <col min="15415" max="15616" width="5.625" style="142"/>
    <col min="15617" max="15630" width="2.375" style="142" customWidth="1"/>
    <col min="15631" max="15631" width="4.875" style="142" customWidth="1"/>
    <col min="15632" max="15670" width="2.375" style="142" customWidth="1"/>
    <col min="15671" max="15872" width="5.625" style="142"/>
    <col min="15873" max="15886" width="2.375" style="142" customWidth="1"/>
    <col min="15887" max="15887" width="4.875" style="142" customWidth="1"/>
    <col min="15888" max="15926" width="2.375" style="142" customWidth="1"/>
    <col min="15927" max="16128" width="5.625" style="142"/>
    <col min="16129" max="16142" width="2.375" style="142" customWidth="1"/>
    <col min="16143" max="16143" width="4.875" style="142" customWidth="1"/>
    <col min="16144" max="16182" width="2.375" style="142" customWidth="1"/>
    <col min="16183" max="16384" width="5.625" style="142"/>
  </cols>
  <sheetData>
    <row r="1" spans="1:54" ht="13.5" customHeight="1">
      <c r="A1" s="426"/>
      <c r="B1" s="427"/>
      <c r="C1" s="427"/>
      <c r="D1" s="427"/>
      <c r="E1" s="427"/>
      <c r="F1" s="427"/>
      <c r="G1" s="427"/>
      <c r="H1" s="427"/>
      <c r="I1" s="427"/>
      <c r="J1" s="430" t="s">
        <v>756</v>
      </c>
      <c r="K1" s="431"/>
      <c r="L1" s="431"/>
      <c r="M1" s="431"/>
      <c r="N1" s="431"/>
      <c r="O1" s="431"/>
      <c r="P1" s="431"/>
      <c r="Q1" s="431"/>
      <c r="R1" s="432"/>
      <c r="S1" s="415"/>
      <c r="T1" s="416"/>
      <c r="U1" s="416"/>
      <c r="V1" s="416"/>
      <c r="W1" s="416"/>
      <c r="X1" s="416"/>
      <c r="Y1" s="416"/>
      <c r="Z1" s="416"/>
      <c r="AA1" s="416"/>
      <c r="AB1" s="416"/>
      <c r="AC1" s="416"/>
      <c r="AD1" s="416"/>
      <c r="AE1" s="416"/>
      <c r="AF1" s="416"/>
      <c r="AG1" s="416"/>
      <c r="AH1" s="416"/>
      <c r="AI1" s="417"/>
      <c r="AJ1" s="412" t="s">
        <v>757</v>
      </c>
      <c r="AK1" s="413"/>
      <c r="AL1" s="413"/>
      <c r="AM1" s="414"/>
      <c r="AN1" s="412" t="s">
        <v>758</v>
      </c>
      <c r="AO1" s="413"/>
      <c r="AP1" s="413"/>
      <c r="AQ1" s="414"/>
      <c r="AR1" s="412" t="s">
        <v>759</v>
      </c>
      <c r="AS1" s="413"/>
      <c r="AT1" s="413"/>
      <c r="AU1" s="413"/>
      <c r="AV1" s="413"/>
      <c r="AW1" s="414"/>
      <c r="AX1" s="412" t="s">
        <v>760</v>
      </c>
      <c r="AY1" s="413"/>
      <c r="AZ1" s="413"/>
      <c r="BA1" s="413"/>
      <c r="BB1" s="414"/>
    </row>
    <row r="2" spans="1:54" ht="13.5" customHeight="1">
      <c r="A2" s="428"/>
      <c r="B2" s="429"/>
      <c r="C2" s="429"/>
      <c r="D2" s="429"/>
      <c r="E2" s="429"/>
      <c r="F2" s="429"/>
      <c r="G2" s="429"/>
      <c r="H2" s="429"/>
      <c r="I2" s="429"/>
      <c r="J2" s="433"/>
      <c r="K2" s="434"/>
      <c r="L2" s="434"/>
      <c r="M2" s="434"/>
      <c r="N2" s="434"/>
      <c r="O2" s="434"/>
      <c r="P2" s="434"/>
      <c r="Q2" s="434"/>
      <c r="R2" s="435"/>
      <c r="S2" s="415" t="str">
        <f ca="1">MID(CELL("filename",$A$1),FIND("]",CELL("filename",$A$1))+1,31)</f>
        <v>設定値</v>
      </c>
      <c r="T2" s="416"/>
      <c r="U2" s="416"/>
      <c r="V2" s="416"/>
      <c r="W2" s="416"/>
      <c r="X2" s="416"/>
      <c r="Y2" s="416"/>
      <c r="Z2" s="416"/>
      <c r="AA2" s="416"/>
      <c r="AB2" s="416"/>
      <c r="AC2" s="416"/>
      <c r="AD2" s="416"/>
      <c r="AE2" s="416"/>
      <c r="AF2" s="416"/>
      <c r="AG2" s="416"/>
      <c r="AH2" s="416"/>
      <c r="AI2" s="417"/>
      <c r="AJ2" s="418"/>
      <c r="AK2" s="419"/>
      <c r="AL2" s="419"/>
      <c r="AM2" s="420"/>
      <c r="AN2" s="421"/>
      <c r="AO2" s="422"/>
      <c r="AP2" s="422"/>
      <c r="AQ2" s="423"/>
      <c r="AR2" s="424"/>
      <c r="AS2" s="419"/>
      <c r="AT2" s="419"/>
      <c r="AU2" s="419"/>
      <c r="AV2" s="419"/>
      <c r="AW2" s="420"/>
      <c r="AX2" s="425"/>
      <c r="AY2" s="422"/>
      <c r="AZ2" s="422"/>
      <c r="BA2" s="422"/>
      <c r="BB2" s="423"/>
    </row>
    <row r="3" spans="1:54" ht="6" customHeight="1">
      <c r="A3" s="143"/>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c r="AB3" s="143"/>
      <c r="AC3" s="143"/>
      <c r="AD3" s="143"/>
      <c r="AE3" s="143"/>
      <c r="AF3" s="143"/>
      <c r="AG3" s="143"/>
      <c r="AH3" s="143"/>
      <c r="AI3" s="143"/>
      <c r="AJ3" s="143"/>
      <c r="AK3" s="143"/>
      <c r="AL3" s="143"/>
      <c r="AM3" s="143"/>
      <c r="AN3" s="143"/>
      <c r="AO3" s="143"/>
      <c r="AP3" s="143"/>
      <c r="AQ3" s="143"/>
      <c r="AR3" s="143"/>
      <c r="AS3" s="143"/>
      <c r="AT3" s="143"/>
      <c r="AU3" s="143"/>
      <c r="AV3" s="143"/>
      <c r="AW3" s="143"/>
      <c r="AX3" s="143"/>
      <c r="AY3" s="143"/>
      <c r="AZ3" s="143"/>
      <c r="BA3" s="143"/>
      <c r="BB3" s="143"/>
    </row>
    <row r="4" spans="1:54" ht="20.100000000000001" customHeight="1">
      <c r="A4" s="124" t="s">
        <v>761</v>
      </c>
      <c r="B4" s="127"/>
      <c r="C4" s="127"/>
      <c r="D4" s="127"/>
      <c r="E4" s="127"/>
      <c r="F4" s="127"/>
      <c r="G4" s="127"/>
      <c r="H4" s="127"/>
      <c r="I4" s="127"/>
      <c r="J4" s="127"/>
      <c r="K4" s="127"/>
      <c r="L4" s="127"/>
      <c r="M4" s="127"/>
      <c r="N4" s="127"/>
      <c r="O4" s="127"/>
      <c r="P4" s="127"/>
      <c r="Q4" s="127"/>
      <c r="R4" s="127"/>
      <c r="S4" s="127"/>
      <c r="T4" s="127"/>
      <c r="U4" s="141"/>
      <c r="V4" s="141"/>
      <c r="W4" s="141"/>
      <c r="X4" s="141"/>
      <c r="Y4" s="141"/>
      <c r="Z4" s="141"/>
      <c r="AA4" s="141"/>
      <c r="AB4" s="141"/>
      <c r="AC4" s="141"/>
      <c r="AD4" s="141"/>
      <c r="AE4" s="141"/>
      <c r="AF4" s="141"/>
      <c r="AG4" s="127"/>
      <c r="AH4" s="127"/>
      <c r="AI4" s="127"/>
      <c r="AJ4" s="127"/>
      <c r="AK4" s="127"/>
      <c r="AL4" s="127"/>
      <c r="AM4" s="127"/>
      <c r="AN4" s="127"/>
      <c r="AO4" s="127"/>
      <c r="AP4" s="127"/>
      <c r="AQ4" s="141"/>
      <c r="AR4" s="141"/>
      <c r="AS4" s="141"/>
      <c r="AT4" s="141"/>
      <c r="AU4" s="141"/>
      <c r="AV4" s="141"/>
      <c r="AW4" s="141"/>
      <c r="AX4" s="141"/>
      <c r="AY4" s="141"/>
      <c r="AZ4" s="141"/>
      <c r="BA4" s="141"/>
      <c r="BB4" s="140"/>
    </row>
    <row r="5" spans="1:54" ht="20.100000000000001" customHeight="1">
      <c r="A5" s="139"/>
      <c r="B5" s="122"/>
      <c r="C5" s="122"/>
      <c r="D5" s="122"/>
      <c r="E5" s="122"/>
      <c r="F5" s="125"/>
      <c r="G5" s="125"/>
      <c r="H5" s="125"/>
      <c r="I5" s="125"/>
      <c r="J5" s="125"/>
      <c r="K5" s="122"/>
      <c r="L5" s="122"/>
      <c r="M5" s="122"/>
      <c r="N5" s="122"/>
      <c r="O5" s="122"/>
      <c r="P5" s="122"/>
      <c r="Q5" s="122"/>
      <c r="R5" s="122"/>
      <c r="S5" s="122"/>
      <c r="T5" s="122"/>
      <c r="U5" s="138"/>
      <c r="V5" s="138"/>
      <c r="W5" s="138"/>
      <c r="X5" s="138"/>
      <c r="Y5" s="138"/>
      <c r="Z5" s="138"/>
      <c r="AA5" s="138"/>
      <c r="AB5" s="138"/>
      <c r="AC5" s="138"/>
      <c r="AD5" s="138"/>
      <c r="AE5" s="138"/>
      <c r="AF5" s="138"/>
      <c r="AG5" s="122"/>
      <c r="AH5" s="122"/>
      <c r="AI5" s="122"/>
      <c r="AJ5" s="122"/>
      <c r="AK5" s="122"/>
      <c r="AL5" s="122"/>
      <c r="AM5" s="122"/>
      <c r="AN5" s="122"/>
      <c r="AO5" s="122"/>
      <c r="AP5" s="122"/>
      <c r="AQ5" s="138"/>
      <c r="AR5" s="138"/>
      <c r="AS5" s="123"/>
      <c r="AT5" s="138"/>
      <c r="AU5" s="138"/>
      <c r="AV5" s="138"/>
      <c r="AW5" s="138"/>
      <c r="AX5" s="138"/>
      <c r="AY5" s="138"/>
      <c r="AZ5" s="138"/>
      <c r="BA5" s="138"/>
      <c r="BB5" s="126"/>
    </row>
    <row r="6" spans="1:54" s="133" customFormat="1" ht="20.100000000000001" customHeight="1">
      <c r="A6" s="137" t="s">
        <v>762</v>
      </c>
      <c r="B6" s="136"/>
      <c r="C6" s="136"/>
      <c r="D6" s="136"/>
      <c r="E6" s="136"/>
      <c r="F6" s="136"/>
      <c r="G6" s="136"/>
      <c r="H6" s="136"/>
      <c r="I6" s="136"/>
      <c r="J6" s="136"/>
      <c r="K6" s="136"/>
      <c r="L6" s="136"/>
      <c r="M6" s="136"/>
      <c r="N6" s="136"/>
      <c r="O6" s="136"/>
      <c r="P6" s="136"/>
      <c r="Q6" s="136"/>
      <c r="R6" s="136"/>
      <c r="S6" s="136"/>
      <c r="T6" s="117"/>
      <c r="U6" s="120"/>
      <c r="V6" s="121"/>
      <c r="W6" s="121"/>
      <c r="X6" s="121"/>
      <c r="Y6" s="121"/>
      <c r="Z6" s="121"/>
      <c r="AA6" s="121"/>
      <c r="AB6" s="121"/>
      <c r="AC6" s="135"/>
      <c r="AD6" s="135"/>
      <c r="AE6" s="135"/>
      <c r="AF6" s="134"/>
      <c r="AG6" s="137" t="s">
        <v>635</v>
      </c>
      <c r="AH6" s="136"/>
      <c r="AI6" s="136"/>
      <c r="AJ6" s="136"/>
      <c r="AK6" s="136"/>
      <c r="AL6" s="136"/>
      <c r="AM6" s="136"/>
      <c r="AN6" s="136"/>
      <c r="AO6" s="136"/>
      <c r="AP6" s="117"/>
      <c r="AQ6" s="135"/>
      <c r="AR6" s="135"/>
      <c r="AS6" s="135"/>
      <c r="AT6" s="135"/>
      <c r="AU6" s="135"/>
      <c r="AV6" s="135"/>
      <c r="AW6" s="135"/>
      <c r="AX6" s="135"/>
      <c r="AY6" s="135"/>
      <c r="AZ6" s="135"/>
      <c r="BA6" s="135"/>
      <c r="BB6" s="134"/>
    </row>
    <row r="7" spans="1:54" s="133" customFormat="1" ht="20.100000000000001" customHeight="1">
      <c r="A7" s="115" t="s">
        <v>763</v>
      </c>
      <c r="B7" s="118"/>
      <c r="C7" s="118"/>
      <c r="D7" s="118"/>
      <c r="E7" s="132"/>
      <c r="F7" s="115" t="s">
        <v>641</v>
      </c>
      <c r="G7" s="118"/>
      <c r="H7" s="118"/>
      <c r="I7" s="118"/>
      <c r="J7" s="132"/>
      <c r="K7" s="115" t="s">
        <v>643</v>
      </c>
      <c r="L7" s="118"/>
      <c r="M7" s="118"/>
      <c r="N7" s="118"/>
      <c r="O7" s="132"/>
      <c r="P7" s="116" t="s">
        <v>636</v>
      </c>
      <c r="Q7" s="118"/>
      <c r="R7" s="118"/>
      <c r="S7" s="118"/>
      <c r="T7" s="132"/>
      <c r="U7" s="119"/>
      <c r="V7" s="138"/>
      <c r="W7" s="138"/>
      <c r="X7" s="138"/>
      <c r="Y7" s="138"/>
      <c r="Z7" s="138"/>
      <c r="AA7" s="138"/>
      <c r="AB7" s="138"/>
      <c r="AC7" s="138"/>
      <c r="AD7" s="138"/>
      <c r="AE7" s="138"/>
      <c r="AF7" s="131"/>
      <c r="AG7" s="116" t="s">
        <v>636</v>
      </c>
      <c r="AH7" s="118"/>
      <c r="AI7" s="118"/>
      <c r="AJ7" s="118"/>
      <c r="AK7" s="118"/>
      <c r="AL7" s="115" t="s">
        <v>638</v>
      </c>
      <c r="AM7" s="118"/>
      <c r="AN7" s="118"/>
      <c r="AO7" s="118"/>
      <c r="AP7" s="132"/>
      <c r="AQ7" s="130"/>
      <c r="AR7" s="130"/>
      <c r="AS7" s="130"/>
      <c r="AT7" s="130"/>
      <c r="AU7" s="130"/>
      <c r="AV7" s="130"/>
      <c r="AW7" s="130"/>
      <c r="AX7" s="130"/>
      <c r="AY7" s="130"/>
      <c r="AZ7" s="130"/>
      <c r="BA7" s="130"/>
      <c r="BB7" s="131"/>
    </row>
    <row r="8" spans="1:54" s="133" customFormat="1" ht="20.100000000000001" customHeight="1">
      <c r="A8" s="403" t="s">
        <v>764</v>
      </c>
      <c r="B8" s="404"/>
      <c r="C8" s="404"/>
      <c r="D8" s="404"/>
      <c r="E8" s="405"/>
      <c r="F8" s="406" t="s">
        <v>765</v>
      </c>
      <c r="G8" s="407"/>
      <c r="H8" s="407"/>
      <c r="I8" s="407"/>
      <c r="J8" s="408"/>
      <c r="K8" s="403" t="s">
        <v>766</v>
      </c>
      <c r="L8" s="404"/>
      <c r="M8" s="404"/>
      <c r="N8" s="404"/>
      <c r="O8" s="405"/>
      <c r="P8" s="409" t="s">
        <v>767</v>
      </c>
      <c r="Q8" s="404"/>
      <c r="R8" s="404"/>
      <c r="S8" s="404"/>
      <c r="T8" s="405"/>
      <c r="U8" s="129"/>
      <c r="V8" s="138"/>
      <c r="W8" s="138"/>
      <c r="X8" s="138"/>
      <c r="Y8" s="138"/>
      <c r="Z8" s="138"/>
      <c r="AA8" s="138"/>
      <c r="AB8" s="138"/>
      <c r="AC8" s="138"/>
      <c r="AD8" s="138"/>
      <c r="AE8" s="138"/>
      <c r="AF8" s="126"/>
      <c r="AG8" s="409" t="s">
        <v>768</v>
      </c>
      <c r="AH8" s="410"/>
      <c r="AI8" s="410"/>
      <c r="AJ8" s="410"/>
      <c r="AK8" s="411"/>
      <c r="AL8" s="409" t="s">
        <v>768</v>
      </c>
      <c r="AM8" s="410"/>
      <c r="AN8" s="410"/>
      <c r="AO8" s="410"/>
      <c r="AP8" s="411"/>
      <c r="AQ8" s="138"/>
      <c r="AR8" s="138"/>
      <c r="AS8" s="123"/>
      <c r="AT8" s="138"/>
      <c r="AU8" s="138"/>
      <c r="AV8" s="138"/>
      <c r="AW8" s="138"/>
      <c r="AX8" s="138"/>
      <c r="AY8" s="138"/>
      <c r="AZ8" s="138"/>
      <c r="BA8" s="138"/>
      <c r="BB8" s="126"/>
    </row>
    <row r="9" spans="1:54" s="133" customFormat="1" ht="20.100000000000001" customHeight="1">
      <c r="A9" s="446" t="s">
        <v>764</v>
      </c>
      <c r="B9" s="447"/>
      <c r="C9" s="447"/>
      <c r="D9" s="447"/>
      <c r="E9" s="448"/>
      <c r="F9" s="449" t="s">
        <v>769</v>
      </c>
      <c r="G9" s="450"/>
      <c r="H9" s="450"/>
      <c r="I9" s="450"/>
      <c r="J9" s="451"/>
      <c r="K9" s="446" t="s">
        <v>770</v>
      </c>
      <c r="L9" s="447"/>
      <c r="M9" s="447"/>
      <c r="N9" s="447"/>
      <c r="O9" s="448"/>
      <c r="P9" s="452" t="s">
        <v>771</v>
      </c>
      <c r="Q9" s="447"/>
      <c r="R9" s="447"/>
      <c r="S9" s="447"/>
      <c r="T9" s="448"/>
      <c r="U9" s="129"/>
      <c r="V9" s="138"/>
      <c r="W9" s="138"/>
      <c r="X9" s="138"/>
      <c r="Y9" s="138"/>
      <c r="Z9" s="138"/>
      <c r="AA9" s="138"/>
      <c r="AB9" s="138"/>
      <c r="AC9" s="138"/>
      <c r="AD9" s="138"/>
      <c r="AE9" s="138"/>
      <c r="AF9" s="126"/>
      <c r="AG9" s="452">
        <v>11</v>
      </c>
      <c r="AH9" s="453"/>
      <c r="AI9" s="453"/>
      <c r="AJ9" s="453"/>
      <c r="AK9" s="453"/>
      <c r="AL9" s="452">
        <v>11</v>
      </c>
      <c r="AM9" s="453"/>
      <c r="AN9" s="453"/>
      <c r="AO9" s="453"/>
      <c r="AP9" s="454"/>
      <c r="AQ9" s="138"/>
      <c r="AR9" s="138"/>
      <c r="AS9" s="123"/>
      <c r="AT9" s="138"/>
      <c r="AU9" s="138"/>
      <c r="AV9" s="138"/>
      <c r="AW9" s="138"/>
      <c r="AX9" s="138"/>
      <c r="AY9" s="138"/>
      <c r="AZ9" s="138"/>
      <c r="BA9" s="138"/>
      <c r="BB9" s="126"/>
    </row>
    <row r="10" spans="1:54" s="133" customFormat="1" ht="20.100000000000001" customHeight="1">
      <c r="A10" s="436">
        <v>11</v>
      </c>
      <c r="B10" s="437"/>
      <c r="C10" s="437"/>
      <c r="D10" s="437"/>
      <c r="E10" s="438"/>
      <c r="F10" s="439" t="s">
        <v>765</v>
      </c>
      <c r="G10" s="440"/>
      <c r="H10" s="440"/>
      <c r="I10" s="440"/>
      <c r="J10" s="441"/>
      <c r="K10" s="436" t="s">
        <v>770</v>
      </c>
      <c r="L10" s="437"/>
      <c r="M10" s="437"/>
      <c r="N10" s="437"/>
      <c r="O10" s="438"/>
      <c r="P10" s="442" t="s">
        <v>767</v>
      </c>
      <c r="Q10" s="437"/>
      <c r="R10" s="437"/>
      <c r="S10" s="437"/>
      <c r="T10" s="438"/>
      <c r="U10" s="185"/>
      <c r="V10" s="138"/>
      <c r="W10" s="138"/>
      <c r="X10" s="138"/>
      <c r="Y10" s="138"/>
      <c r="Z10" s="138"/>
      <c r="AA10" s="138"/>
      <c r="AB10" s="138"/>
      <c r="AC10" s="138"/>
      <c r="AD10" s="138"/>
      <c r="AE10" s="138"/>
      <c r="AF10" s="126"/>
      <c r="AG10" s="443" t="s">
        <v>772</v>
      </c>
      <c r="AH10" s="444"/>
      <c r="AI10" s="444"/>
      <c r="AJ10" s="444"/>
      <c r="AK10" s="444"/>
      <c r="AL10" s="443" t="s">
        <v>772</v>
      </c>
      <c r="AM10" s="444"/>
      <c r="AN10" s="444"/>
      <c r="AO10" s="444"/>
      <c r="AP10" s="445"/>
      <c r="AQ10" s="138"/>
      <c r="AR10" s="138"/>
      <c r="AS10" s="123"/>
      <c r="AT10" s="123"/>
      <c r="AU10" s="123"/>
      <c r="AV10" s="123"/>
      <c r="AW10" s="123"/>
      <c r="AX10" s="123"/>
      <c r="AY10" s="123"/>
      <c r="AZ10" s="123"/>
      <c r="BA10" s="123"/>
      <c r="BB10" s="186"/>
    </row>
    <row r="11" spans="1:54" s="133" customFormat="1" ht="20.100000000000001" customHeight="1">
      <c r="A11" s="446">
        <v>11</v>
      </c>
      <c r="B11" s="447"/>
      <c r="C11" s="447"/>
      <c r="D11" s="447"/>
      <c r="E11" s="448"/>
      <c r="F11" s="449" t="s">
        <v>769</v>
      </c>
      <c r="G11" s="450"/>
      <c r="H11" s="450"/>
      <c r="I11" s="450"/>
      <c r="J11" s="451"/>
      <c r="K11" s="446" t="s">
        <v>773</v>
      </c>
      <c r="L11" s="447"/>
      <c r="M11" s="447"/>
      <c r="N11" s="447"/>
      <c r="O11" s="448"/>
      <c r="P11" s="452" t="s">
        <v>774</v>
      </c>
      <c r="Q11" s="447"/>
      <c r="R11" s="447"/>
      <c r="S11" s="447"/>
      <c r="T11" s="448"/>
      <c r="U11" s="185"/>
      <c r="V11" s="138"/>
      <c r="W11" s="138"/>
      <c r="X11" s="138"/>
      <c r="Y11" s="138"/>
      <c r="Z11" s="138"/>
      <c r="AA11" s="138"/>
      <c r="AB11" s="138"/>
      <c r="AC11" s="138"/>
      <c r="AD11" s="138"/>
      <c r="AE11" s="138"/>
      <c r="AF11" s="126"/>
      <c r="AG11" s="452" t="s">
        <v>775</v>
      </c>
      <c r="AH11" s="453"/>
      <c r="AI11" s="453"/>
      <c r="AJ11" s="453"/>
      <c r="AK11" s="453"/>
      <c r="AL11" s="452" t="s">
        <v>775</v>
      </c>
      <c r="AM11" s="453"/>
      <c r="AN11" s="453"/>
      <c r="AO11" s="453"/>
      <c r="AP11" s="454"/>
      <c r="AQ11" s="138"/>
      <c r="AR11" s="138"/>
      <c r="AS11" s="123"/>
      <c r="AT11" s="138"/>
      <c r="AU11" s="138"/>
      <c r="AV11" s="138"/>
      <c r="AW11" s="138"/>
      <c r="AX11" s="138"/>
      <c r="AY11" s="138"/>
      <c r="AZ11" s="138"/>
      <c r="BA11" s="138"/>
      <c r="BB11" s="126"/>
    </row>
    <row r="12" spans="1:54" s="133" customFormat="1" ht="20.100000000000001" customHeight="1">
      <c r="A12" s="436">
        <v>31</v>
      </c>
      <c r="B12" s="437"/>
      <c r="C12" s="437"/>
      <c r="D12" s="437"/>
      <c r="E12" s="438"/>
      <c r="F12" s="439" t="s">
        <v>769</v>
      </c>
      <c r="G12" s="440"/>
      <c r="H12" s="440"/>
      <c r="I12" s="440"/>
      <c r="J12" s="441"/>
      <c r="K12" s="436" t="s">
        <v>770</v>
      </c>
      <c r="L12" s="437"/>
      <c r="M12" s="437"/>
      <c r="N12" s="437"/>
      <c r="O12" s="438"/>
      <c r="P12" s="442" t="s">
        <v>776</v>
      </c>
      <c r="Q12" s="437"/>
      <c r="R12" s="437"/>
      <c r="S12" s="437"/>
      <c r="T12" s="438"/>
      <c r="U12" s="185"/>
      <c r="V12" s="138"/>
      <c r="W12" s="138"/>
      <c r="X12" s="138"/>
      <c r="Y12" s="138"/>
      <c r="Z12" s="138"/>
      <c r="AA12" s="138"/>
      <c r="AB12" s="138"/>
      <c r="AC12" s="138"/>
      <c r="AD12" s="138"/>
      <c r="AE12" s="138"/>
      <c r="AF12" s="126"/>
      <c r="AG12" s="442" t="s">
        <v>777</v>
      </c>
      <c r="AH12" s="455"/>
      <c r="AI12" s="455"/>
      <c r="AJ12" s="455"/>
      <c r="AK12" s="455"/>
      <c r="AL12" s="442" t="s">
        <v>777</v>
      </c>
      <c r="AM12" s="455"/>
      <c r="AN12" s="455"/>
      <c r="AO12" s="455"/>
      <c r="AP12" s="456"/>
      <c r="AQ12" s="138"/>
      <c r="AR12" s="138"/>
      <c r="AS12" s="123"/>
      <c r="AT12" s="138"/>
      <c r="AU12" s="138"/>
      <c r="AV12" s="138"/>
      <c r="AW12" s="138"/>
      <c r="AX12" s="138"/>
      <c r="AY12" s="138"/>
      <c r="AZ12" s="138"/>
      <c r="BA12" s="138"/>
      <c r="BB12" s="126"/>
    </row>
    <row r="13" spans="1:54" s="133" customFormat="1" ht="20.100000000000001" customHeight="1">
      <c r="A13" s="452" t="s">
        <v>778</v>
      </c>
      <c r="B13" s="447"/>
      <c r="C13" s="447"/>
      <c r="D13" s="447"/>
      <c r="E13" s="448"/>
      <c r="F13" s="449" t="s">
        <v>765</v>
      </c>
      <c r="G13" s="450"/>
      <c r="H13" s="450"/>
      <c r="I13" s="450"/>
      <c r="J13" s="451"/>
      <c r="K13" s="446" t="s">
        <v>779</v>
      </c>
      <c r="L13" s="447"/>
      <c r="M13" s="447"/>
      <c r="N13" s="447"/>
      <c r="O13" s="448"/>
      <c r="P13" s="452" t="s">
        <v>780</v>
      </c>
      <c r="Q13" s="447"/>
      <c r="R13" s="447"/>
      <c r="S13" s="447"/>
      <c r="T13" s="448"/>
      <c r="U13" s="129"/>
      <c r="V13" s="138"/>
      <c r="W13" s="138"/>
      <c r="X13" s="138"/>
      <c r="Y13" s="138"/>
      <c r="Z13" s="138"/>
      <c r="AA13" s="138"/>
      <c r="AB13" s="138"/>
      <c r="AC13" s="138"/>
      <c r="AD13" s="138"/>
      <c r="AE13" s="138"/>
      <c r="AF13" s="126"/>
      <c r="AG13" s="452" t="s">
        <v>780</v>
      </c>
      <c r="AH13" s="453"/>
      <c r="AI13" s="453"/>
      <c r="AJ13" s="453"/>
      <c r="AK13" s="454"/>
      <c r="AL13" s="452" t="s">
        <v>780</v>
      </c>
      <c r="AM13" s="453"/>
      <c r="AN13" s="453"/>
      <c r="AO13" s="453"/>
      <c r="AP13" s="454"/>
      <c r="AQ13" s="138"/>
      <c r="AR13" s="138"/>
      <c r="AS13" s="123"/>
      <c r="AT13" s="138"/>
      <c r="AU13" s="138"/>
      <c r="AV13" s="138"/>
      <c r="AW13" s="138"/>
      <c r="AX13" s="138"/>
      <c r="AY13" s="138"/>
      <c r="AZ13" s="138"/>
      <c r="BA13" s="138"/>
      <c r="BB13" s="126"/>
    </row>
    <row r="14" spans="1:54" s="133" customFormat="1" ht="20.100000000000001" customHeight="1">
      <c r="A14" s="442" t="s">
        <v>778</v>
      </c>
      <c r="B14" s="437"/>
      <c r="C14" s="437"/>
      <c r="D14" s="437"/>
      <c r="E14" s="438"/>
      <c r="F14" s="439" t="s">
        <v>769</v>
      </c>
      <c r="G14" s="440"/>
      <c r="H14" s="440"/>
      <c r="I14" s="440"/>
      <c r="J14" s="441"/>
      <c r="K14" s="436" t="s">
        <v>781</v>
      </c>
      <c r="L14" s="437"/>
      <c r="M14" s="437"/>
      <c r="N14" s="437"/>
      <c r="O14" s="438"/>
      <c r="P14" s="442">
        <v>22</v>
      </c>
      <c r="Q14" s="437"/>
      <c r="R14" s="437"/>
      <c r="S14" s="437"/>
      <c r="T14" s="438"/>
      <c r="U14" s="129"/>
      <c r="V14" s="138"/>
      <c r="W14" s="138"/>
      <c r="X14" s="138"/>
      <c r="Y14" s="138"/>
      <c r="Z14" s="138"/>
      <c r="AA14" s="138"/>
      <c r="AB14" s="138"/>
      <c r="AC14" s="138"/>
      <c r="AD14" s="138"/>
      <c r="AE14" s="138"/>
      <c r="AF14" s="126"/>
      <c r="AG14" s="442">
        <v>12</v>
      </c>
      <c r="AH14" s="455"/>
      <c r="AI14" s="455"/>
      <c r="AJ14" s="455"/>
      <c r="AK14" s="456"/>
      <c r="AL14" s="442">
        <v>12</v>
      </c>
      <c r="AM14" s="455"/>
      <c r="AN14" s="455"/>
      <c r="AO14" s="455"/>
      <c r="AP14" s="456"/>
      <c r="AQ14" s="138"/>
      <c r="AR14" s="138"/>
      <c r="AS14" s="123"/>
      <c r="AT14" s="138"/>
      <c r="AU14" s="138"/>
      <c r="AV14" s="138"/>
      <c r="AW14" s="138"/>
      <c r="AX14" s="138"/>
      <c r="AY14" s="138"/>
      <c r="AZ14" s="138"/>
      <c r="BA14" s="138"/>
      <c r="BB14" s="126"/>
    </row>
    <row r="15" spans="1:54" s="133" customFormat="1" ht="20.100000000000001" customHeight="1">
      <c r="A15" s="452" t="s">
        <v>782</v>
      </c>
      <c r="B15" s="447"/>
      <c r="C15" s="447"/>
      <c r="D15" s="447"/>
      <c r="E15" s="448"/>
      <c r="F15" s="449" t="s">
        <v>765</v>
      </c>
      <c r="G15" s="450"/>
      <c r="H15" s="450"/>
      <c r="I15" s="450"/>
      <c r="J15" s="451"/>
      <c r="K15" s="446" t="s">
        <v>781</v>
      </c>
      <c r="L15" s="447"/>
      <c r="M15" s="447"/>
      <c r="N15" s="447"/>
      <c r="O15" s="448"/>
      <c r="P15" s="452" t="s">
        <v>780</v>
      </c>
      <c r="Q15" s="447"/>
      <c r="R15" s="447"/>
      <c r="S15" s="447"/>
      <c r="T15" s="448"/>
      <c r="U15" s="129"/>
      <c r="V15" s="138"/>
      <c r="W15" s="138"/>
      <c r="X15" s="138"/>
      <c r="Y15" s="138"/>
      <c r="Z15" s="138"/>
      <c r="AA15" s="138"/>
      <c r="AB15" s="138"/>
      <c r="AC15" s="138"/>
      <c r="AD15" s="138"/>
      <c r="AE15" s="138"/>
      <c r="AF15" s="126"/>
      <c r="AG15" s="457">
        <v>12</v>
      </c>
      <c r="AH15" s="458"/>
      <c r="AI15" s="458"/>
      <c r="AJ15" s="458"/>
      <c r="AK15" s="459"/>
      <c r="AL15" s="457">
        <v>12</v>
      </c>
      <c r="AM15" s="458"/>
      <c r="AN15" s="458"/>
      <c r="AO15" s="458"/>
      <c r="AP15" s="459"/>
      <c r="AQ15" s="138"/>
      <c r="AR15" s="138"/>
      <c r="AS15" s="123"/>
      <c r="AT15" s="138"/>
      <c r="AU15" s="138"/>
      <c r="AV15" s="138"/>
      <c r="AW15" s="138"/>
      <c r="AX15" s="138"/>
      <c r="AY15" s="138"/>
      <c r="AZ15" s="138"/>
      <c r="BA15" s="138"/>
      <c r="BB15" s="126"/>
    </row>
    <row r="16" spans="1:54" s="133" customFormat="1" ht="20.100000000000001" customHeight="1">
      <c r="A16" s="442" t="s">
        <v>782</v>
      </c>
      <c r="B16" s="437"/>
      <c r="C16" s="437"/>
      <c r="D16" s="437"/>
      <c r="E16" s="438"/>
      <c r="F16" s="439" t="s">
        <v>769</v>
      </c>
      <c r="G16" s="440"/>
      <c r="H16" s="440"/>
      <c r="I16" s="440"/>
      <c r="J16" s="441"/>
      <c r="K16" s="436" t="s">
        <v>783</v>
      </c>
      <c r="L16" s="437"/>
      <c r="M16" s="437"/>
      <c r="N16" s="437"/>
      <c r="O16" s="438"/>
      <c r="P16" s="442">
        <v>12</v>
      </c>
      <c r="Q16" s="437"/>
      <c r="R16" s="437"/>
      <c r="S16" s="437"/>
      <c r="T16" s="438"/>
      <c r="U16" s="129"/>
      <c r="V16" s="138"/>
      <c r="W16" s="138"/>
      <c r="X16" s="138"/>
      <c r="Y16" s="138"/>
      <c r="Z16" s="138"/>
      <c r="AA16" s="138"/>
      <c r="AB16" s="138"/>
      <c r="AC16" s="138"/>
      <c r="AD16" s="138"/>
      <c r="AE16" s="138"/>
      <c r="AF16" s="126"/>
      <c r="AG16" s="442">
        <v>22</v>
      </c>
      <c r="AH16" s="455"/>
      <c r="AI16" s="455"/>
      <c r="AJ16" s="455"/>
      <c r="AK16" s="456"/>
      <c r="AL16" s="442">
        <v>22</v>
      </c>
      <c r="AM16" s="455"/>
      <c r="AN16" s="455"/>
      <c r="AO16" s="455"/>
      <c r="AP16" s="456"/>
      <c r="AQ16" s="138"/>
      <c r="AR16" s="138"/>
      <c r="AS16" s="138"/>
      <c r="AT16" s="138"/>
      <c r="AU16" s="138"/>
      <c r="AV16" s="138"/>
      <c r="AW16" s="138"/>
      <c r="AX16" s="138"/>
      <c r="AY16" s="138"/>
      <c r="AZ16" s="138"/>
      <c r="BA16" s="138"/>
      <c r="BB16" s="126"/>
    </row>
    <row r="17" spans="1:54" s="133" customFormat="1" ht="20.100000000000001" customHeight="1">
      <c r="A17" s="452" t="s">
        <v>784</v>
      </c>
      <c r="B17" s="447"/>
      <c r="C17" s="447"/>
      <c r="D17" s="447"/>
      <c r="E17" s="448"/>
      <c r="F17" s="449" t="s">
        <v>769</v>
      </c>
      <c r="G17" s="450"/>
      <c r="H17" s="450"/>
      <c r="I17" s="450"/>
      <c r="J17" s="451"/>
      <c r="K17" s="446" t="s">
        <v>785</v>
      </c>
      <c r="L17" s="447"/>
      <c r="M17" s="447"/>
      <c r="N17" s="447"/>
      <c r="O17" s="448"/>
      <c r="P17" s="452">
        <v>32</v>
      </c>
      <c r="Q17" s="447"/>
      <c r="R17" s="447"/>
      <c r="S17" s="447"/>
      <c r="T17" s="448"/>
      <c r="U17" s="129"/>
      <c r="V17" s="138"/>
      <c r="W17" s="138"/>
      <c r="X17" s="138"/>
      <c r="Y17" s="138"/>
      <c r="Z17" s="138"/>
      <c r="AA17" s="138"/>
      <c r="AB17" s="138"/>
      <c r="AC17" s="138"/>
      <c r="AD17" s="138"/>
      <c r="AE17" s="138"/>
      <c r="AF17" s="126"/>
      <c r="AG17" s="452">
        <v>32</v>
      </c>
      <c r="AH17" s="453"/>
      <c r="AI17" s="453"/>
      <c r="AJ17" s="453"/>
      <c r="AK17" s="454"/>
      <c r="AL17" s="452">
        <v>32</v>
      </c>
      <c r="AM17" s="453"/>
      <c r="AN17" s="453"/>
      <c r="AO17" s="453"/>
      <c r="AP17" s="454"/>
      <c r="AQ17" s="138"/>
      <c r="AR17" s="138"/>
      <c r="AS17" s="138"/>
      <c r="AT17" s="138"/>
      <c r="AU17" s="138"/>
      <c r="AV17" s="138"/>
      <c r="AW17" s="138"/>
      <c r="AX17" s="138"/>
      <c r="AY17" s="138"/>
      <c r="AZ17" s="138"/>
      <c r="BA17" s="138"/>
      <c r="BB17" s="126"/>
    </row>
    <row r="18" spans="1:54" s="133" customFormat="1" ht="20.100000000000001" customHeight="1">
      <c r="A18" s="442" t="s">
        <v>786</v>
      </c>
      <c r="B18" s="437"/>
      <c r="C18" s="437"/>
      <c r="D18" s="437"/>
      <c r="E18" s="438"/>
      <c r="F18" s="439" t="s">
        <v>787</v>
      </c>
      <c r="G18" s="440"/>
      <c r="H18" s="440"/>
      <c r="I18" s="440"/>
      <c r="J18" s="441"/>
      <c r="K18" s="436" t="s">
        <v>788</v>
      </c>
      <c r="L18" s="437"/>
      <c r="M18" s="437"/>
      <c r="N18" s="437"/>
      <c r="O18" s="438"/>
      <c r="P18" s="442" t="s">
        <v>786</v>
      </c>
      <c r="Q18" s="437"/>
      <c r="R18" s="437"/>
      <c r="S18" s="437"/>
      <c r="T18" s="438"/>
      <c r="U18" s="129"/>
      <c r="V18" s="138"/>
      <c r="W18" s="138"/>
      <c r="X18" s="138"/>
      <c r="Y18" s="138"/>
      <c r="Z18" s="138"/>
      <c r="AA18" s="138"/>
      <c r="AB18" s="138"/>
      <c r="AC18" s="138"/>
      <c r="AD18" s="138"/>
      <c r="AE18" s="138"/>
      <c r="AF18" s="126"/>
      <c r="AG18" s="460" t="s">
        <v>786</v>
      </c>
      <c r="AH18" s="461"/>
      <c r="AI18" s="461"/>
      <c r="AJ18" s="461"/>
      <c r="AK18" s="462"/>
      <c r="AL18" s="460" t="s">
        <v>786</v>
      </c>
      <c r="AM18" s="461"/>
      <c r="AN18" s="461"/>
      <c r="AO18" s="461"/>
      <c r="AP18" s="462"/>
      <c r="AQ18" s="138"/>
      <c r="AR18" s="138"/>
      <c r="AS18" s="123"/>
      <c r="AT18" s="138"/>
      <c r="AU18" s="138"/>
      <c r="AV18" s="138"/>
      <c r="AW18" s="138"/>
      <c r="AX18" s="138"/>
      <c r="AY18" s="138"/>
      <c r="AZ18" s="138"/>
      <c r="BA18" s="138"/>
      <c r="BB18" s="126"/>
    </row>
    <row r="19" spans="1:54" s="133" customFormat="1" ht="20.100000000000001" customHeight="1">
      <c r="A19" s="139"/>
      <c r="B19" s="122"/>
      <c r="C19" s="122"/>
      <c r="D19" s="122"/>
      <c r="E19" s="122"/>
      <c r="F19" s="125"/>
      <c r="G19" s="125"/>
      <c r="H19" s="125"/>
      <c r="I19" s="125"/>
      <c r="J19" s="125"/>
      <c r="K19" s="122"/>
      <c r="L19" s="122"/>
      <c r="M19" s="122"/>
      <c r="N19" s="122"/>
      <c r="O19" s="122"/>
      <c r="P19" s="122"/>
      <c r="Q19" s="122"/>
      <c r="R19" s="122"/>
      <c r="S19" s="122"/>
      <c r="T19" s="122"/>
      <c r="U19" s="187"/>
      <c r="V19" s="187"/>
      <c r="W19" s="187"/>
      <c r="X19" s="187"/>
      <c r="Y19" s="187"/>
      <c r="Z19" s="187"/>
      <c r="AA19" s="187"/>
      <c r="AB19" s="187"/>
      <c r="AC19" s="187"/>
      <c r="AD19" s="187"/>
      <c r="AE19" s="138"/>
      <c r="AF19" s="138"/>
      <c r="AG19" s="122"/>
      <c r="AH19" s="122"/>
      <c r="AI19" s="122"/>
      <c r="AJ19" s="122"/>
      <c r="AK19" s="122"/>
      <c r="AL19" s="122"/>
      <c r="AM19" s="122"/>
      <c r="AN19" s="122"/>
      <c r="AO19" s="122"/>
      <c r="AP19" s="122"/>
      <c r="AQ19" s="187"/>
      <c r="AR19" s="187"/>
      <c r="AS19" s="188"/>
      <c r="AT19" s="187"/>
      <c r="AU19" s="187"/>
      <c r="AV19" s="138"/>
      <c r="AW19" s="138"/>
      <c r="AX19" s="138"/>
      <c r="AY19" s="138"/>
      <c r="AZ19" s="138"/>
      <c r="BA19" s="138"/>
      <c r="BB19" s="126"/>
    </row>
    <row r="20" spans="1:54" s="133" customFormat="1" ht="20.100000000000001" customHeight="1">
      <c r="A20" s="189" t="s">
        <v>618</v>
      </c>
      <c r="B20" s="190"/>
      <c r="C20" s="190"/>
      <c r="D20" s="190"/>
      <c r="E20" s="190"/>
      <c r="F20" s="190"/>
      <c r="G20" s="190"/>
      <c r="H20" s="190"/>
      <c r="I20" s="190"/>
      <c r="J20" s="190"/>
      <c r="K20" s="190"/>
      <c r="L20" s="190"/>
      <c r="M20" s="190"/>
      <c r="N20" s="190"/>
      <c r="O20" s="190"/>
      <c r="P20" s="190"/>
      <c r="Q20" s="190"/>
      <c r="R20" s="190"/>
      <c r="S20" s="190"/>
      <c r="T20" s="190"/>
      <c r="U20" s="190"/>
      <c r="V20" s="191"/>
      <c r="W20" s="191"/>
      <c r="X20" s="191"/>
      <c r="Y20" s="191"/>
      <c r="Z20" s="191"/>
      <c r="AA20" s="191"/>
      <c r="AB20" s="191"/>
      <c r="AC20" s="190"/>
      <c r="AD20" s="192"/>
      <c r="AE20" s="120"/>
      <c r="AF20" s="134"/>
      <c r="AG20" s="189" t="s">
        <v>789</v>
      </c>
      <c r="AH20" s="190"/>
      <c r="AI20" s="190"/>
      <c r="AJ20" s="190"/>
      <c r="AK20" s="190"/>
      <c r="AL20" s="190"/>
      <c r="AM20" s="190"/>
      <c r="AN20" s="190"/>
      <c r="AO20" s="190"/>
      <c r="AP20" s="190"/>
      <c r="AQ20" s="190"/>
      <c r="AR20" s="190"/>
      <c r="AS20" s="190"/>
      <c r="AT20" s="190"/>
      <c r="AU20" s="192"/>
      <c r="AV20" s="138"/>
      <c r="AW20" s="138"/>
      <c r="AX20" s="138"/>
      <c r="AY20" s="138"/>
      <c r="AZ20" s="138"/>
      <c r="BA20" s="138"/>
      <c r="BB20" s="126"/>
    </row>
    <row r="21" spans="1:54" s="133" customFormat="1" ht="20.100000000000001" customHeight="1">
      <c r="A21" s="115" t="s">
        <v>638</v>
      </c>
      <c r="B21" s="118"/>
      <c r="C21" s="118"/>
      <c r="D21" s="118"/>
      <c r="E21" s="132"/>
      <c r="F21" s="115" t="s">
        <v>790</v>
      </c>
      <c r="G21" s="118"/>
      <c r="H21" s="118"/>
      <c r="I21" s="118"/>
      <c r="J21" s="132"/>
      <c r="K21" s="115" t="s">
        <v>791</v>
      </c>
      <c r="L21" s="118"/>
      <c r="M21" s="118"/>
      <c r="N21" s="118"/>
      <c r="O21" s="132"/>
      <c r="P21" s="115" t="s">
        <v>643</v>
      </c>
      <c r="Q21" s="118"/>
      <c r="R21" s="118"/>
      <c r="S21" s="118"/>
      <c r="T21" s="132"/>
      <c r="U21" s="115" t="s">
        <v>745</v>
      </c>
      <c r="V21" s="193"/>
      <c r="W21" s="193"/>
      <c r="X21" s="193"/>
      <c r="Y21" s="194"/>
      <c r="Z21" s="195" t="s">
        <v>792</v>
      </c>
      <c r="AA21" s="193"/>
      <c r="AB21" s="193"/>
      <c r="AC21" s="118"/>
      <c r="AD21" s="132"/>
      <c r="AE21" s="119"/>
      <c r="AF21" s="131"/>
      <c r="AG21" s="115" t="s">
        <v>638</v>
      </c>
      <c r="AH21" s="118"/>
      <c r="AI21" s="118"/>
      <c r="AJ21" s="118"/>
      <c r="AK21" s="118"/>
      <c r="AL21" s="463" t="s">
        <v>793</v>
      </c>
      <c r="AM21" s="464"/>
      <c r="AN21" s="464"/>
      <c r="AO21" s="464"/>
      <c r="AP21" s="465"/>
      <c r="AQ21" s="466" t="s">
        <v>794</v>
      </c>
      <c r="AR21" s="467"/>
      <c r="AS21" s="467"/>
      <c r="AT21" s="467"/>
      <c r="AU21" s="468"/>
      <c r="AV21" s="138"/>
      <c r="AW21" s="138"/>
      <c r="AX21" s="138"/>
      <c r="AY21" s="138"/>
      <c r="AZ21" s="138"/>
      <c r="BA21" s="138"/>
      <c r="BB21" s="126"/>
    </row>
    <row r="22" spans="1:54" s="133" customFormat="1" ht="20.100000000000001" customHeight="1">
      <c r="A22" s="409" t="s">
        <v>767</v>
      </c>
      <c r="B22" s="410"/>
      <c r="C22" s="410"/>
      <c r="D22" s="410"/>
      <c r="E22" s="410"/>
      <c r="F22" s="409" t="s">
        <v>768</v>
      </c>
      <c r="G22" s="404"/>
      <c r="H22" s="404"/>
      <c r="I22" s="404"/>
      <c r="J22" s="405"/>
      <c r="K22" s="403">
        <v>8</v>
      </c>
      <c r="L22" s="404"/>
      <c r="M22" s="404"/>
      <c r="N22" s="404"/>
      <c r="O22" s="405"/>
      <c r="P22" s="469" t="s">
        <v>770</v>
      </c>
      <c r="Q22" s="404"/>
      <c r="R22" s="404"/>
      <c r="S22" s="404"/>
      <c r="T22" s="405"/>
      <c r="U22" s="403">
        <v>0</v>
      </c>
      <c r="V22" s="404"/>
      <c r="W22" s="404"/>
      <c r="X22" s="404"/>
      <c r="Y22" s="405"/>
      <c r="Z22" s="409" t="s">
        <v>786</v>
      </c>
      <c r="AA22" s="410"/>
      <c r="AB22" s="410"/>
      <c r="AC22" s="410"/>
      <c r="AD22" s="411"/>
      <c r="AE22" s="129"/>
      <c r="AF22" s="126"/>
      <c r="AG22" s="442" t="s">
        <v>767</v>
      </c>
      <c r="AH22" s="455"/>
      <c r="AI22" s="455"/>
      <c r="AJ22" s="455"/>
      <c r="AK22" s="455"/>
      <c r="AL22" s="439" t="s">
        <v>795</v>
      </c>
      <c r="AM22" s="470"/>
      <c r="AN22" s="470"/>
      <c r="AO22" s="470"/>
      <c r="AP22" s="471"/>
      <c r="AQ22" s="442"/>
      <c r="AR22" s="455"/>
      <c r="AS22" s="455"/>
      <c r="AT22" s="455"/>
      <c r="AU22" s="456"/>
      <c r="AV22" s="138"/>
      <c r="AW22" s="138"/>
      <c r="AX22" s="138"/>
      <c r="AY22" s="138"/>
      <c r="AZ22" s="138"/>
      <c r="BA22" s="138"/>
      <c r="BB22" s="126"/>
    </row>
    <row r="23" spans="1:54" s="133" customFormat="1" ht="20.100000000000001" customHeight="1">
      <c r="A23" s="452" t="s">
        <v>772</v>
      </c>
      <c r="B23" s="453"/>
      <c r="C23" s="453"/>
      <c r="D23" s="453"/>
      <c r="E23" s="453"/>
      <c r="F23" s="452" t="s">
        <v>768</v>
      </c>
      <c r="G23" s="447"/>
      <c r="H23" s="447"/>
      <c r="I23" s="447"/>
      <c r="J23" s="448"/>
      <c r="K23" s="446">
        <v>10</v>
      </c>
      <c r="L23" s="447"/>
      <c r="M23" s="447"/>
      <c r="N23" s="447"/>
      <c r="O23" s="448"/>
      <c r="P23" s="446" t="s">
        <v>773</v>
      </c>
      <c r="Q23" s="447"/>
      <c r="R23" s="447"/>
      <c r="S23" s="447"/>
      <c r="T23" s="448"/>
      <c r="U23" s="446">
        <v>0</v>
      </c>
      <c r="V23" s="447"/>
      <c r="W23" s="447"/>
      <c r="X23" s="447"/>
      <c r="Y23" s="448"/>
      <c r="Z23" s="452" t="s">
        <v>786</v>
      </c>
      <c r="AA23" s="453"/>
      <c r="AB23" s="453"/>
      <c r="AC23" s="453"/>
      <c r="AD23" s="454"/>
      <c r="AE23" s="129"/>
      <c r="AF23" s="126"/>
      <c r="AG23" s="452" t="s">
        <v>772</v>
      </c>
      <c r="AH23" s="453"/>
      <c r="AI23" s="453"/>
      <c r="AJ23" s="453"/>
      <c r="AK23" s="453"/>
      <c r="AL23" s="449" t="s">
        <v>795</v>
      </c>
      <c r="AM23" s="472"/>
      <c r="AN23" s="472"/>
      <c r="AO23" s="472"/>
      <c r="AP23" s="473"/>
      <c r="AQ23" s="452" t="s">
        <v>767</v>
      </c>
      <c r="AR23" s="453"/>
      <c r="AS23" s="453"/>
      <c r="AT23" s="453"/>
      <c r="AU23" s="454"/>
      <c r="AV23" s="138"/>
      <c r="AW23" s="138"/>
      <c r="AX23" s="138"/>
      <c r="AY23" s="138"/>
      <c r="AZ23" s="138"/>
      <c r="BA23" s="138"/>
      <c r="BB23" s="126"/>
    </row>
    <row r="24" spans="1:54" s="133" customFormat="1" ht="20.100000000000001" customHeight="1">
      <c r="A24" s="442" t="s">
        <v>775</v>
      </c>
      <c r="B24" s="455"/>
      <c r="C24" s="455"/>
      <c r="D24" s="455"/>
      <c r="E24" s="455"/>
      <c r="F24" s="442" t="s">
        <v>768</v>
      </c>
      <c r="G24" s="437"/>
      <c r="H24" s="437"/>
      <c r="I24" s="437"/>
      <c r="J24" s="438"/>
      <c r="K24" s="436">
        <v>8</v>
      </c>
      <c r="L24" s="437"/>
      <c r="M24" s="437"/>
      <c r="N24" s="437"/>
      <c r="O24" s="438"/>
      <c r="P24" s="436" t="s">
        <v>796</v>
      </c>
      <c r="Q24" s="437"/>
      <c r="R24" s="437"/>
      <c r="S24" s="437"/>
      <c r="T24" s="438"/>
      <c r="U24" s="436">
        <v>0</v>
      </c>
      <c r="V24" s="437"/>
      <c r="W24" s="437"/>
      <c r="X24" s="437"/>
      <c r="Y24" s="438"/>
      <c r="Z24" s="442" t="s">
        <v>786</v>
      </c>
      <c r="AA24" s="455"/>
      <c r="AB24" s="455"/>
      <c r="AC24" s="455"/>
      <c r="AD24" s="456"/>
      <c r="AE24" s="129"/>
      <c r="AF24" s="126"/>
      <c r="AG24" s="442" t="s">
        <v>775</v>
      </c>
      <c r="AH24" s="455"/>
      <c r="AI24" s="455"/>
      <c r="AJ24" s="455"/>
      <c r="AK24" s="455"/>
      <c r="AL24" s="439" t="s">
        <v>797</v>
      </c>
      <c r="AM24" s="470"/>
      <c r="AN24" s="470"/>
      <c r="AO24" s="470"/>
      <c r="AP24" s="471"/>
      <c r="AQ24" s="442" t="s">
        <v>798</v>
      </c>
      <c r="AR24" s="455"/>
      <c r="AS24" s="455"/>
      <c r="AT24" s="455"/>
      <c r="AU24" s="456"/>
      <c r="AV24" s="138"/>
      <c r="AW24" s="138"/>
      <c r="AX24" s="138"/>
      <c r="AY24" s="138"/>
      <c r="AZ24" s="138"/>
      <c r="BA24" s="138"/>
      <c r="BB24" s="126"/>
    </row>
    <row r="25" spans="1:54" s="133" customFormat="1" ht="20.100000000000001" customHeight="1">
      <c r="A25" s="452" t="s">
        <v>777</v>
      </c>
      <c r="B25" s="453"/>
      <c r="C25" s="453"/>
      <c r="D25" s="453"/>
      <c r="E25" s="453"/>
      <c r="F25" s="452" t="s">
        <v>768</v>
      </c>
      <c r="G25" s="447"/>
      <c r="H25" s="447"/>
      <c r="I25" s="447"/>
      <c r="J25" s="448"/>
      <c r="K25" s="446">
        <v>8</v>
      </c>
      <c r="L25" s="447"/>
      <c r="M25" s="447"/>
      <c r="N25" s="447"/>
      <c r="O25" s="448"/>
      <c r="P25" s="446" t="s">
        <v>799</v>
      </c>
      <c r="Q25" s="447"/>
      <c r="R25" s="447"/>
      <c r="S25" s="447"/>
      <c r="T25" s="448"/>
      <c r="U25" s="446">
        <v>0</v>
      </c>
      <c r="V25" s="447"/>
      <c r="W25" s="447"/>
      <c r="X25" s="447"/>
      <c r="Y25" s="448"/>
      <c r="Z25" s="452" t="s">
        <v>786</v>
      </c>
      <c r="AA25" s="453"/>
      <c r="AB25" s="453"/>
      <c r="AC25" s="453"/>
      <c r="AD25" s="454"/>
      <c r="AE25" s="129"/>
      <c r="AF25" s="126"/>
      <c r="AG25" s="452" t="s">
        <v>777</v>
      </c>
      <c r="AH25" s="453"/>
      <c r="AI25" s="453"/>
      <c r="AJ25" s="453"/>
      <c r="AK25" s="453"/>
      <c r="AL25" s="449" t="s">
        <v>795</v>
      </c>
      <c r="AM25" s="472"/>
      <c r="AN25" s="472"/>
      <c r="AO25" s="472"/>
      <c r="AP25" s="473"/>
      <c r="AQ25" s="452"/>
      <c r="AR25" s="453"/>
      <c r="AS25" s="453"/>
      <c r="AT25" s="453"/>
      <c r="AU25" s="454"/>
      <c r="AV25" s="138"/>
      <c r="AW25" s="138"/>
      <c r="AX25" s="138"/>
      <c r="AY25" s="138"/>
      <c r="AZ25" s="138"/>
      <c r="BA25" s="138"/>
      <c r="BB25" s="126"/>
    </row>
    <row r="26" spans="1:54" s="133" customFormat="1" ht="20.100000000000001" customHeight="1">
      <c r="A26" s="442" t="s">
        <v>778</v>
      </c>
      <c r="B26" s="455"/>
      <c r="C26" s="455"/>
      <c r="D26" s="455"/>
      <c r="E26" s="455"/>
      <c r="F26" s="442" t="s">
        <v>780</v>
      </c>
      <c r="G26" s="437"/>
      <c r="H26" s="437"/>
      <c r="I26" s="437"/>
      <c r="J26" s="438"/>
      <c r="K26" s="436">
        <v>8</v>
      </c>
      <c r="L26" s="437"/>
      <c r="M26" s="437"/>
      <c r="N26" s="437"/>
      <c r="O26" s="438"/>
      <c r="P26" s="474" t="s">
        <v>785</v>
      </c>
      <c r="Q26" s="437"/>
      <c r="R26" s="437"/>
      <c r="S26" s="437"/>
      <c r="T26" s="438"/>
      <c r="U26" s="436">
        <v>0</v>
      </c>
      <c r="V26" s="437"/>
      <c r="W26" s="437"/>
      <c r="X26" s="437"/>
      <c r="Y26" s="438"/>
      <c r="Z26" s="442" t="s">
        <v>786</v>
      </c>
      <c r="AA26" s="455"/>
      <c r="AB26" s="455"/>
      <c r="AC26" s="455"/>
      <c r="AD26" s="456"/>
      <c r="AE26" s="129"/>
      <c r="AF26" s="126"/>
      <c r="AG26" s="442" t="s">
        <v>778</v>
      </c>
      <c r="AH26" s="455"/>
      <c r="AI26" s="455"/>
      <c r="AJ26" s="455"/>
      <c r="AK26" s="455"/>
      <c r="AL26" s="439" t="s">
        <v>795</v>
      </c>
      <c r="AM26" s="470"/>
      <c r="AN26" s="470"/>
      <c r="AO26" s="470"/>
      <c r="AP26" s="471"/>
      <c r="AQ26" s="442"/>
      <c r="AR26" s="455"/>
      <c r="AS26" s="455"/>
      <c r="AT26" s="455"/>
      <c r="AU26" s="456"/>
      <c r="AV26" s="138"/>
      <c r="AW26" s="138"/>
      <c r="AX26" s="138"/>
      <c r="AY26" s="138"/>
      <c r="AZ26" s="138"/>
      <c r="BA26" s="138"/>
      <c r="BB26" s="126"/>
    </row>
    <row r="27" spans="1:54" s="133" customFormat="1" ht="20.100000000000001" customHeight="1">
      <c r="A27" s="452" t="s">
        <v>782</v>
      </c>
      <c r="B27" s="453"/>
      <c r="C27" s="453"/>
      <c r="D27" s="453"/>
      <c r="E27" s="453"/>
      <c r="F27" s="446" t="s">
        <v>750</v>
      </c>
      <c r="G27" s="447"/>
      <c r="H27" s="447"/>
      <c r="I27" s="447"/>
      <c r="J27" s="448"/>
      <c r="K27" s="446">
        <v>10</v>
      </c>
      <c r="L27" s="447"/>
      <c r="M27" s="447"/>
      <c r="N27" s="447"/>
      <c r="O27" s="448"/>
      <c r="P27" s="446" t="s">
        <v>783</v>
      </c>
      <c r="Q27" s="447"/>
      <c r="R27" s="447"/>
      <c r="S27" s="447"/>
      <c r="T27" s="448"/>
      <c r="U27" s="446">
        <v>0</v>
      </c>
      <c r="V27" s="447"/>
      <c r="W27" s="447"/>
      <c r="X27" s="447"/>
      <c r="Y27" s="448"/>
      <c r="Z27" s="452" t="s">
        <v>786</v>
      </c>
      <c r="AA27" s="453"/>
      <c r="AB27" s="453"/>
      <c r="AC27" s="453"/>
      <c r="AD27" s="454"/>
      <c r="AE27" s="129"/>
      <c r="AF27" s="126"/>
      <c r="AG27" s="452" t="s">
        <v>782</v>
      </c>
      <c r="AH27" s="453"/>
      <c r="AI27" s="453"/>
      <c r="AJ27" s="453"/>
      <c r="AK27" s="453"/>
      <c r="AL27" s="449" t="s">
        <v>795</v>
      </c>
      <c r="AM27" s="472"/>
      <c r="AN27" s="472"/>
      <c r="AO27" s="472"/>
      <c r="AP27" s="473"/>
      <c r="AQ27" s="452" t="s">
        <v>778</v>
      </c>
      <c r="AR27" s="453"/>
      <c r="AS27" s="453"/>
      <c r="AT27" s="453"/>
      <c r="AU27" s="454"/>
      <c r="AV27" s="138"/>
      <c r="AW27" s="138"/>
      <c r="AX27" s="138"/>
      <c r="AY27" s="138"/>
      <c r="AZ27" s="138"/>
      <c r="BA27" s="138"/>
      <c r="BB27" s="126"/>
    </row>
    <row r="28" spans="1:54" s="133" customFormat="1" ht="20.100000000000001" customHeight="1">
      <c r="A28" s="442">
        <v>22</v>
      </c>
      <c r="B28" s="455"/>
      <c r="C28" s="455"/>
      <c r="D28" s="455"/>
      <c r="E28" s="455"/>
      <c r="F28" s="436" t="s">
        <v>750</v>
      </c>
      <c r="G28" s="437"/>
      <c r="H28" s="437"/>
      <c r="I28" s="437"/>
      <c r="J28" s="438"/>
      <c r="K28" s="436">
        <v>8</v>
      </c>
      <c r="L28" s="437"/>
      <c r="M28" s="437"/>
      <c r="N28" s="437"/>
      <c r="O28" s="438"/>
      <c r="P28" s="436" t="s">
        <v>800</v>
      </c>
      <c r="Q28" s="437"/>
      <c r="R28" s="437"/>
      <c r="S28" s="437"/>
      <c r="T28" s="438"/>
      <c r="U28" s="436">
        <v>0</v>
      </c>
      <c r="V28" s="437"/>
      <c r="W28" s="437"/>
      <c r="X28" s="437"/>
      <c r="Y28" s="438"/>
      <c r="Z28" s="442" t="s">
        <v>786</v>
      </c>
      <c r="AA28" s="455"/>
      <c r="AB28" s="455"/>
      <c r="AC28" s="455"/>
      <c r="AD28" s="456"/>
      <c r="AE28" s="129"/>
      <c r="AF28" s="126"/>
      <c r="AG28" s="442">
        <v>22</v>
      </c>
      <c r="AH28" s="455"/>
      <c r="AI28" s="455"/>
      <c r="AJ28" s="455"/>
      <c r="AK28" s="455"/>
      <c r="AL28" s="439" t="s">
        <v>797</v>
      </c>
      <c r="AM28" s="470"/>
      <c r="AN28" s="470"/>
      <c r="AO28" s="470"/>
      <c r="AP28" s="471"/>
      <c r="AQ28" s="442">
        <v>12</v>
      </c>
      <c r="AR28" s="455"/>
      <c r="AS28" s="455"/>
      <c r="AT28" s="455"/>
      <c r="AU28" s="456"/>
      <c r="AV28" s="138"/>
      <c r="AW28" s="138"/>
      <c r="AX28" s="138"/>
      <c r="AY28" s="138"/>
      <c r="AZ28" s="138"/>
      <c r="BA28" s="138"/>
      <c r="BB28" s="126"/>
    </row>
    <row r="29" spans="1:54" s="133" customFormat="1" ht="20.100000000000001" customHeight="1">
      <c r="A29" s="452">
        <v>32</v>
      </c>
      <c r="B29" s="453"/>
      <c r="C29" s="453"/>
      <c r="D29" s="453"/>
      <c r="E29" s="453"/>
      <c r="F29" s="446" t="s">
        <v>750</v>
      </c>
      <c r="G29" s="447"/>
      <c r="H29" s="447"/>
      <c r="I29" s="447"/>
      <c r="J29" s="448"/>
      <c r="K29" s="446">
        <v>8</v>
      </c>
      <c r="L29" s="447"/>
      <c r="M29" s="447"/>
      <c r="N29" s="447"/>
      <c r="O29" s="448"/>
      <c r="P29" s="446" t="s">
        <v>801</v>
      </c>
      <c r="Q29" s="447"/>
      <c r="R29" s="447"/>
      <c r="S29" s="447"/>
      <c r="T29" s="448"/>
      <c r="U29" s="446">
        <v>0</v>
      </c>
      <c r="V29" s="447"/>
      <c r="W29" s="447"/>
      <c r="X29" s="447"/>
      <c r="Y29" s="448"/>
      <c r="Z29" s="452" t="s">
        <v>786</v>
      </c>
      <c r="AA29" s="453"/>
      <c r="AB29" s="453"/>
      <c r="AC29" s="453"/>
      <c r="AD29" s="454"/>
      <c r="AE29" s="129"/>
      <c r="AF29" s="126"/>
      <c r="AG29" s="452">
        <v>32</v>
      </c>
      <c r="AH29" s="453"/>
      <c r="AI29" s="453"/>
      <c r="AJ29" s="453"/>
      <c r="AK29" s="453"/>
      <c r="AL29" s="449" t="s">
        <v>795</v>
      </c>
      <c r="AM29" s="472"/>
      <c r="AN29" s="472"/>
      <c r="AO29" s="472"/>
      <c r="AP29" s="473"/>
      <c r="AQ29" s="452"/>
      <c r="AR29" s="453"/>
      <c r="AS29" s="453"/>
      <c r="AT29" s="453"/>
      <c r="AU29" s="454"/>
      <c r="AV29" s="138"/>
      <c r="AW29" s="138"/>
      <c r="AX29" s="138"/>
      <c r="AY29" s="138"/>
      <c r="AZ29" s="138"/>
      <c r="BA29" s="138"/>
      <c r="BB29" s="126"/>
    </row>
    <row r="30" spans="1:54" s="133" customFormat="1" ht="20.100000000000001" customHeight="1">
      <c r="A30" s="442" t="s">
        <v>786</v>
      </c>
      <c r="B30" s="455"/>
      <c r="C30" s="455"/>
      <c r="D30" s="455"/>
      <c r="E30" s="455"/>
      <c r="F30" s="442" t="s">
        <v>802</v>
      </c>
      <c r="G30" s="437"/>
      <c r="H30" s="437"/>
      <c r="I30" s="437"/>
      <c r="J30" s="438"/>
      <c r="K30" s="436">
        <v>0</v>
      </c>
      <c r="L30" s="437"/>
      <c r="M30" s="437"/>
      <c r="N30" s="437"/>
      <c r="O30" s="438"/>
      <c r="P30" s="436" t="s">
        <v>788</v>
      </c>
      <c r="Q30" s="437"/>
      <c r="R30" s="437"/>
      <c r="S30" s="437"/>
      <c r="T30" s="438"/>
      <c r="U30" s="436">
        <v>0</v>
      </c>
      <c r="V30" s="437"/>
      <c r="W30" s="437"/>
      <c r="X30" s="437"/>
      <c r="Y30" s="438"/>
      <c r="Z30" s="442">
        <v>0</v>
      </c>
      <c r="AA30" s="455"/>
      <c r="AB30" s="455"/>
      <c r="AC30" s="455"/>
      <c r="AD30" s="456"/>
      <c r="AE30" s="196"/>
      <c r="AF30" s="197"/>
      <c r="AG30" s="442" t="s">
        <v>786</v>
      </c>
      <c r="AH30" s="455"/>
      <c r="AI30" s="455"/>
      <c r="AJ30" s="455"/>
      <c r="AK30" s="455"/>
      <c r="AL30" s="439" t="s">
        <v>795</v>
      </c>
      <c r="AM30" s="470"/>
      <c r="AN30" s="470"/>
      <c r="AO30" s="470"/>
      <c r="AP30" s="471"/>
      <c r="AQ30" s="442"/>
      <c r="AR30" s="455"/>
      <c r="AS30" s="455"/>
      <c r="AT30" s="455"/>
      <c r="AU30" s="456"/>
      <c r="AV30" s="138"/>
      <c r="AW30" s="138"/>
      <c r="AX30" s="138"/>
      <c r="AY30" s="138"/>
      <c r="AZ30" s="138"/>
      <c r="BA30" s="138"/>
      <c r="BB30" s="126"/>
    </row>
    <row r="31" spans="1:54" ht="13.5" customHeight="1">
      <c r="AV31" s="138"/>
      <c r="AW31" s="138"/>
      <c r="AX31" s="138"/>
      <c r="AY31" s="138"/>
      <c r="AZ31" s="138"/>
      <c r="BA31" s="138"/>
      <c r="BB31" s="126"/>
    </row>
    <row r="32" spans="1:54" ht="13.5" customHeight="1">
      <c r="A32" s="198"/>
      <c r="B32" s="198"/>
      <c r="C32" s="198"/>
      <c r="D32" s="198"/>
      <c r="E32" s="198"/>
      <c r="F32" s="198"/>
      <c r="G32" s="198"/>
      <c r="H32" s="198"/>
      <c r="I32" s="198"/>
      <c r="J32" s="198"/>
      <c r="K32" s="198"/>
      <c r="L32" s="198"/>
      <c r="M32" s="198"/>
      <c r="N32" s="198"/>
      <c r="O32" s="198"/>
      <c r="P32" s="198"/>
      <c r="Q32" s="198"/>
      <c r="R32" s="198"/>
      <c r="S32" s="198"/>
      <c r="T32" s="198"/>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98"/>
      <c r="AU32" s="198"/>
      <c r="AV32" s="187"/>
      <c r="AW32" s="187"/>
      <c r="AX32" s="187"/>
      <c r="AY32" s="187"/>
      <c r="AZ32" s="187"/>
      <c r="BA32" s="187"/>
      <c r="BB32" s="197"/>
    </row>
  </sheetData>
  <mergeCells count="161">
    <mergeCell ref="AQ30:AU30"/>
    <mergeCell ref="AL29:AP29"/>
    <mergeCell ref="AQ29:AU29"/>
    <mergeCell ref="A30:E30"/>
    <mergeCell ref="F30:J30"/>
    <mergeCell ref="K30:O30"/>
    <mergeCell ref="P30:T30"/>
    <mergeCell ref="U30:Y30"/>
    <mergeCell ref="Z30:AD30"/>
    <mergeCell ref="AG30:AK30"/>
    <mergeCell ref="AL30:AP30"/>
    <mergeCell ref="AG28:AK28"/>
    <mergeCell ref="AL28:AP28"/>
    <mergeCell ref="AQ28:AU28"/>
    <mergeCell ref="A29:E29"/>
    <mergeCell ref="F29:J29"/>
    <mergeCell ref="K29:O29"/>
    <mergeCell ref="P29:T29"/>
    <mergeCell ref="U29:Y29"/>
    <mergeCell ref="Z29:AD29"/>
    <mergeCell ref="AG29:AK29"/>
    <mergeCell ref="A28:E28"/>
    <mergeCell ref="F28:J28"/>
    <mergeCell ref="K28:O28"/>
    <mergeCell ref="P28:T28"/>
    <mergeCell ref="U28:Y28"/>
    <mergeCell ref="Z28:AD28"/>
    <mergeCell ref="A27:E27"/>
    <mergeCell ref="F27:J27"/>
    <mergeCell ref="K27:O27"/>
    <mergeCell ref="P27:T27"/>
    <mergeCell ref="U27:Y27"/>
    <mergeCell ref="Z27:AD27"/>
    <mergeCell ref="AG27:AK27"/>
    <mergeCell ref="AL27:AP27"/>
    <mergeCell ref="AQ27:AU27"/>
    <mergeCell ref="A26:E26"/>
    <mergeCell ref="F26:J26"/>
    <mergeCell ref="K26:O26"/>
    <mergeCell ref="P26:T26"/>
    <mergeCell ref="U26:Y26"/>
    <mergeCell ref="Z26:AD26"/>
    <mergeCell ref="AG26:AK26"/>
    <mergeCell ref="AL26:AP26"/>
    <mergeCell ref="AQ26:AU26"/>
    <mergeCell ref="AG24:AK24"/>
    <mergeCell ref="AL24:AP24"/>
    <mergeCell ref="AQ24:AU24"/>
    <mergeCell ref="A25:E25"/>
    <mergeCell ref="F25:J25"/>
    <mergeCell ref="K25:O25"/>
    <mergeCell ref="P25:T25"/>
    <mergeCell ref="U25:Y25"/>
    <mergeCell ref="Z25:AD25"/>
    <mergeCell ref="AG25:AK25"/>
    <mergeCell ref="A24:E24"/>
    <mergeCell ref="F24:J24"/>
    <mergeCell ref="K24:O24"/>
    <mergeCell ref="P24:T24"/>
    <mergeCell ref="U24:Y24"/>
    <mergeCell ref="Z24:AD24"/>
    <mergeCell ref="AL25:AP25"/>
    <mergeCell ref="AQ25:AU25"/>
    <mergeCell ref="A23:E23"/>
    <mergeCell ref="F23:J23"/>
    <mergeCell ref="K23:O23"/>
    <mergeCell ref="P23:T23"/>
    <mergeCell ref="U23:Y23"/>
    <mergeCell ref="Z23:AD23"/>
    <mergeCell ref="AG23:AK23"/>
    <mergeCell ref="AL23:AP23"/>
    <mergeCell ref="AQ23:AU23"/>
    <mergeCell ref="AL21:AP21"/>
    <mergeCell ref="AQ21:AU21"/>
    <mergeCell ref="A22:E22"/>
    <mergeCell ref="F22:J22"/>
    <mergeCell ref="K22:O22"/>
    <mergeCell ref="P22:T22"/>
    <mergeCell ref="U22:Y22"/>
    <mergeCell ref="Z22:AD22"/>
    <mergeCell ref="AG22:AK22"/>
    <mergeCell ref="AL22:AP22"/>
    <mergeCell ref="AQ22:AU22"/>
    <mergeCell ref="A18:E18"/>
    <mergeCell ref="F18:J18"/>
    <mergeCell ref="K18:O18"/>
    <mergeCell ref="P18:T18"/>
    <mergeCell ref="AG18:AK18"/>
    <mergeCell ref="AL18:AP18"/>
    <mergeCell ref="A17:E17"/>
    <mergeCell ref="F17:J17"/>
    <mergeCell ref="K17:O17"/>
    <mergeCell ref="P17:T17"/>
    <mergeCell ref="AG17:AK17"/>
    <mergeCell ref="AL17:AP17"/>
    <mergeCell ref="A16:E16"/>
    <mergeCell ref="F16:J16"/>
    <mergeCell ref="K16:O16"/>
    <mergeCell ref="P16:T16"/>
    <mergeCell ref="AG16:AK16"/>
    <mergeCell ref="AL16:AP16"/>
    <mergeCell ref="A15:E15"/>
    <mergeCell ref="F15:J15"/>
    <mergeCell ref="K15:O15"/>
    <mergeCell ref="P15:T15"/>
    <mergeCell ref="AG15:AK15"/>
    <mergeCell ref="AL15:AP15"/>
    <mergeCell ref="A14:E14"/>
    <mergeCell ref="F14:J14"/>
    <mergeCell ref="K14:O14"/>
    <mergeCell ref="P14:T14"/>
    <mergeCell ref="AG14:AK14"/>
    <mergeCell ref="AL14:AP14"/>
    <mergeCell ref="A13:E13"/>
    <mergeCell ref="F13:J13"/>
    <mergeCell ref="K13:O13"/>
    <mergeCell ref="P13:T13"/>
    <mergeCell ref="AG13:AK13"/>
    <mergeCell ref="AL13:AP13"/>
    <mergeCell ref="A12:E12"/>
    <mergeCell ref="F12:J12"/>
    <mergeCell ref="K12:O12"/>
    <mergeCell ref="P12:T12"/>
    <mergeCell ref="AG12:AK12"/>
    <mergeCell ref="AL12:AP12"/>
    <mergeCell ref="A11:E11"/>
    <mergeCell ref="F11:J11"/>
    <mergeCell ref="K11:O11"/>
    <mergeCell ref="P11:T11"/>
    <mergeCell ref="AG11:AK11"/>
    <mergeCell ref="AL11:AP11"/>
    <mergeCell ref="A10:E10"/>
    <mergeCell ref="F10:J10"/>
    <mergeCell ref="K10:O10"/>
    <mergeCell ref="P10:T10"/>
    <mergeCell ref="AG10:AK10"/>
    <mergeCell ref="AL10:AP10"/>
    <mergeCell ref="A9:E9"/>
    <mergeCell ref="F9:J9"/>
    <mergeCell ref="K9:O9"/>
    <mergeCell ref="P9:T9"/>
    <mergeCell ref="AG9:AK9"/>
    <mergeCell ref="AL9:AP9"/>
    <mergeCell ref="A8:E8"/>
    <mergeCell ref="F8:J8"/>
    <mergeCell ref="K8:O8"/>
    <mergeCell ref="P8:T8"/>
    <mergeCell ref="AG8:AK8"/>
    <mergeCell ref="AL8:AP8"/>
    <mergeCell ref="AX1:BB1"/>
    <mergeCell ref="S2:AI2"/>
    <mergeCell ref="AJ2:AM2"/>
    <mergeCell ref="AN2:AQ2"/>
    <mergeCell ref="AR2:AW2"/>
    <mergeCell ref="AX2:BB2"/>
    <mergeCell ref="A1:I2"/>
    <mergeCell ref="J1:R2"/>
    <mergeCell ref="S1:AI1"/>
    <mergeCell ref="AJ1:AM1"/>
    <mergeCell ref="AN1:AQ1"/>
    <mergeCell ref="AR1:AW1"/>
  </mergeCells>
  <phoneticPr fontId="4"/>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B632DB3-400A-49E5-8CB7-C57D2F2B8DEB}">
  <ds:schemaRefs>
    <ds:schemaRef ds:uri="http://schemas.microsoft.com/office/2006/metadata/properties"/>
    <ds:schemaRef ds:uri="http://schemas.microsoft.com/office/infopath/2007/PartnerControls"/>
    <ds:schemaRef ds:uri="2dd5972e-fc8f-47aa-916d-ced3529f73a8"/>
    <ds:schemaRef ds:uri="c25985f6-738a-4fbb-ade1-fdbe81c9268b"/>
  </ds:schemaRefs>
</ds:datastoreItem>
</file>

<file path=customXml/itemProps2.xml><?xml version="1.0" encoding="utf-8"?>
<ds:datastoreItem xmlns:ds="http://schemas.openxmlformats.org/officeDocument/2006/customXml" ds:itemID="{C596CA84-C310-47E8-96B3-1EEB2797D23A}">
  <ds:schemaRefs>
    <ds:schemaRef ds:uri="http://schemas.microsoft.com/sharepoint/v3/contenttype/forms"/>
  </ds:schemaRefs>
</ds:datastoreItem>
</file>

<file path=customXml/itemProps3.xml><?xml version="1.0" encoding="utf-8"?>
<ds:datastoreItem xmlns:ds="http://schemas.openxmlformats.org/officeDocument/2006/customXml" ds:itemID="{A5E3B05A-90E1-494C-9AF0-377DE134EE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7</vt:i4>
      </vt:variant>
    </vt:vector>
  </HeadingPairs>
  <TitlesOfParts>
    <vt:vector size="27" baseType="lpstr">
      <vt:lpstr>マスタ連携一覧</vt:lpstr>
      <vt:lpstr>分類マスタ</vt:lpstr>
      <vt:lpstr>商品マスタ</vt:lpstr>
      <vt:lpstr>企画マスタ</vt:lpstr>
      <vt:lpstr>強制売価マスタ</vt:lpstr>
      <vt:lpstr>特売マスタ</vt:lpstr>
      <vt:lpstr>ＭＭマスタ</vt:lpstr>
      <vt:lpstr>ＭＭ商品マスタ</vt:lpstr>
      <vt:lpstr>分類値引マスタ</vt:lpstr>
      <vt:lpstr>小計値引マスタ（曜日指定）_朝割</vt:lpstr>
      <vt:lpstr>小計値引マスタ（曜日指定）_メガ割</vt:lpstr>
      <vt:lpstr>分類拡張マスタ_朝割</vt:lpstr>
      <vt:lpstr>分類拡張マスタ_メガ割</vt:lpstr>
      <vt:lpstr>税コードマスタ</vt:lpstr>
      <vt:lpstr>税グループ詳細マスタ</vt:lpstr>
      <vt:lpstr>税グループマスタ</vt:lpstr>
      <vt:lpstr>税タイプマスタ</vt:lpstr>
      <vt:lpstr>軽減税率マスタ</vt:lpstr>
      <vt:lpstr>消費税仕様（相関図）</vt:lpstr>
      <vt:lpstr>設定値</vt:lpstr>
      <vt:lpstr>商品マスタ!_FilterDatabase</vt:lpstr>
      <vt:lpstr>軽減税率マスタ!Print_Area</vt:lpstr>
      <vt:lpstr>'小計値引マスタ（曜日指定）_メガ割'!Print_Area</vt:lpstr>
      <vt:lpstr>'小計値引マスタ（曜日指定）_朝割'!Print_Area</vt:lpstr>
      <vt:lpstr>分類拡張マスタ_メガ割!Print_Area</vt:lpstr>
      <vt:lpstr>分類拡張マスタ_朝割!Print_Area</vt:lpstr>
      <vt:lpstr>分類値引マスタ!Print_Area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ユーザー</dc:creator>
  <cp:keywords/>
  <dc:description/>
  <cp:lastModifiedBy>Thanh Nguyên</cp:lastModifiedBy>
  <cp:revision/>
  <dcterms:created xsi:type="dcterms:W3CDTF">2019-08-11T20:05:47Z</dcterms:created>
  <dcterms:modified xsi:type="dcterms:W3CDTF">2025-04-25T02:42:18Z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0x010100E9C9A0A944670C40B3577B9A3C159E6D</vt:lpwstr>
  </property>
  <property fmtid="{D5CDD505-2E9C-101B-9397-08002B2CF9AE}" pid="3" name="MediaServiceImageTags">
    <vt:lpwstr/>
  </property>
</Properties>
</file>