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Fujitsu\作業フォルダ\01_案件\01_ignicaPOS連携\02_作業\20250107_ST進捗報告\"/>
    </mc:Choice>
  </mc:AlternateContent>
  <xr:revisionPtr revIDLastSave="0" documentId="13_ncr:1_{56C851CC-1B6E-4AE4-9CCC-090E9E267CE9}" xr6:coauthVersionLast="47" xr6:coauthVersionMax="47" xr10:uidLastSave="{00000000-0000-0000-0000-000000000000}"/>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<sst xmlns="http://schemas.openxmlformats.org/spreadsheetml/2006/main" count="5668" uniqueCount="1148">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</sst>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3">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0" fontId="25" fillId="0" borderId="17" xfId="14" applyFont="1" applyFill="1" applyBorder="1" applyAlignment="1">
      <alignment vertical="top"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5"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9" fillId="0" borderId="70" xfId="14" applyFont="1" applyFill="1" applyBorder="1" applyAlignment="1">
      <alignment horizontal="left"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501027</xdr:colOff>
      <xdr:row>303</xdr:row>
      <xdr:rowOff>134472</xdr:rowOff>
    </xdr:from>
    <xdr:to>
      <xdr:col>21</xdr:col>
      <xdr:colOff>88651</xdr:colOff>
      <xdr:row>306</xdr:row>
      <xdr:rowOff>50800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7959294" y="43915605"/>
          <a:ext cx="713690" cy="34812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225612</xdr:colOff>
      <xdr:row>299</xdr:row>
      <xdr:rowOff>16934</xdr:rowOff>
    </xdr:from>
    <xdr:to>
      <xdr:col>24</xdr:col>
      <xdr:colOff>1570319</xdr:colOff>
      <xdr:row>304</xdr:row>
      <xdr:rowOff>25400</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9809012" y="43222334"/>
          <a:ext cx="1801907" cy="728133"/>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3037732</xdr:colOff>
      <xdr:row>246</xdr:row>
      <xdr:rowOff>68599</xdr:rowOff>
    </xdr:from>
    <xdr:to>
      <xdr:col>7</xdr:col>
      <xdr:colOff>5200310</xdr:colOff>
      <xdr:row>251</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241308" y="35524011"/>
          <a:ext cx="2162578" cy="7013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38</xdr:row>
      <xdr:rowOff>8966</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2730" y="4733367"/>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入金・出金の対応状況？</a:t>
          </a:r>
          <a:endParaRPr kumimoji="1" lang="en-US" altLang="ja-JP" sz="1100" b="1">
            <a:solidFill>
              <a:srgbClr val="FF0000"/>
            </a:solidFill>
          </a:endParaRPr>
        </a:p>
      </xdr:txBody>
    </xdr:sp>
    <xdr:clientData/>
  </xdr:twoCellAnchor>
  <xdr:twoCellAnchor>
    <xdr:from>
      <xdr:col>20</xdr:col>
      <xdr:colOff>528918</xdr:colOff>
      <xdr:row>71</xdr:row>
      <xdr:rowOff>134470</xdr:rowOff>
    </xdr:from>
    <xdr:to>
      <xdr:col>22</xdr:col>
      <xdr:colOff>62753</xdr:colOff>
      <xdr:row>75</xdr:row>
      <xdr:rowOff>44824</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26871" y="10488705"/>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179293</xdr:colOff>
      <xdr:row>62</xdr:row>
      <xdr:rowOff>107576</xdr:rowOff>
    </xdr:from>
    <xdr:to>
      <xdr:col>25</xdr:col>
      <xdr:colOff>1524000</xdr:colOff>
      <xdr:row>67</xdr:row>
      <xdr:rowOff>98612</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55669" y="91708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79</xdr:row>
      <xdr:rowOff>71716</xdr:rowOff>
    </xdr:from>
    <xdr:to>
      <xdr:col>22</xdr:col>
      <xdr:colOff>125508</xdr:colOff>
      <xdr:row>86</xdr:row>
      <xdr:rowOff>35858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3766" y="11573434"/>
          <a:ext cx="699248" cy="9681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73</xdr:row>
      <xdr:rowOff>89646</xdr:rowOff>
    </xdr:from>
    <xdr:to>
      <xdr:col>25</xdr:col>
      <xdr:colOff>1703294</xdr:colOff>
      <xdr:row>77</xdr:row>
      <xdr:rowOff>125506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4963" y="10730752"/>
          <a:ext cx="1801907" cy="60960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xdr:txBody>
    </xdr:sp>
    <xdr:clientData/>
  </xdr:twoCellAnchor>
  <xdr:twoCellAnchor>
    <xdr:from>
      <xdr:col>20</xdr:col>
      <xdr:colOff>573742</xdr:colOff>
      <xdr:row>140</xdr:row>
      <xdr:rowOff>125505</xdr:rowOff>
    </xdr:from>
    <xdr:to>
      <xdr:col>22</xdr:col>
      <xdr:colOff>107577</xdr:colOff>
      <xdr:row>144</xdr:row>
      <xdr:rowOff>35859</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71695" y="20376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125507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46704" y="18906565"/>
          <a:ext cx="1801907" cy="753036"/>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573741</xdr:colOff>
      <xdr:row>221</xdr:row>
      <xdr:rowOff>107577</xdr:rowOff>
    </xdr:from>
    <xdr:to>
      <xdr:col>22</xdr:col>
      <xdr:colOff>107576</xdr:colOff>
      <xdr:row>227</xdr:row>
      <xdr:rowOff>134471</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5571694" y="31977106"/>
          <a:ext cx="663388" cy="8875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116540</xdr:colOff>
      <xdr:row>213</xdr:row>
      <xdr:rowOff>0</xdr:rowOff>
    </xdr:from>
    <xdr:to>
      <xdr:col>25</xdr:col>
      <xdr:colOff>1461247</xdr:colOff>
      <xdr:row>217</xdr:row>
      <xdr:rowOff>134471</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7292916" y="3072204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p>
      </xdr:txBody>
    </xdr:sp>
    <xdr:clientData/>
  </xdr:twoCellAnchor>
  <xdr:twoCellAnchor>
    <xdr:from>
      <xdr:col>20</xdr:col>
      <xdr:colOff>573742</xdr:colOff>
      <xdr:row>228</xdr:row>
      <xdr:rowOff>1</xdr:rowOff>
    </xdr:from>
    <xdr:to>
      <xdr:col>22</xdr:col>
      <xdr:colOff>116542</xdr:colOff>
      <xdr:row>233</xdr:row>
      <xdr:rowOff>116541</xdr:rowOff>
    </xdr:to>
    <xdr:sp macro="" textlink="">
      <xdr:nvSpPr>
        <xdr:cNvPr id="5" name="正方形/長方形 4">
          <a:extLst>
            <a:ext uri="{FF2B5EF4-FFF2-40B4-BE49-F238E27FC236}">
              <a16:creationId xmlns:a16="http://schemas.microsoft.com/office/drawing/2014/main" id="{16EB13F8-2EC2-A6AD-A34E-B9D28D4AA601}"/>
            </a:ext>
          </a:extLst>
        </xdr:cNvPr>
        <xdr:cNvSpPr/>
      </xdr:nvSpPr>
      <xdr:spPr>
        <a:xfrm>
          <a:off x="15571695" y="32873577"/>
          <a:ext cx="672353" cy="8337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224117</xdr:colOff>
      <xdr:row>218</xdr:row>
      <xdr:rowOff>143434</xdr:rowOff>
    </xdr:from>
    <xdr:to>
      <xdr:col>25</xdr:col>
      <xdr:colOff>1568824</xdr:colOff>
      <xdr:row>223</xdr:row>
      <xdr:rowOff>134470</xdr:rowOff>
    </xdr:to>
    <xdr:sp macro="" textlink="">
      <xdr:nvSpPr>
        <xdr:cNvPr id="8" name="吹き出し: 折線 7">
          <a:extLst>
            <a:ext uri="{FF2B5EF4-FFF2-40B4-BE49-F238E27FC236}">
              <a16:creationId xmlns:a16="http://schemas.microsoft.com/office/drawing/2014/main" id="{0EB2E11B-6623-4852-AB57-EE2984EE865B}"/>
            </a:ext>
          </a:extLst>
        </xdr:cNvPr>
        <xdr:cNvSpPr/>
      </xdr:nvSpPr>
      <xdr:spPr>
        <a:xfrm>
          <a:off x="17400493" y="31582658"/>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異常仕込み必要</a:t>
          </a:r>
          <a:endParaRPr kumimoji="1" lang="en-US" altLang="ja-JP" sz="1100" b="1">
            <a:solidFill>
              <a:srgbClr val="FF0000"/>
            </a:solidFill>
          </a:endParaRPr>
        </a:p>
        <a:p>
          <a:pPr algn="l"/>
          <a:r>
            <a:rPr kumimoji="1" lang="ja-JP" altLang="en-US" sz="1100" b="1">
              <a:solidFill>
                <a:srgbClr val="FF0000"/>
              </a:solidFill>
            </a:rPr>
            <a:t>開店異常：検知されない</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2" t="s">
        <v>19</v>
      </c>
      <c r="D7" s="313"/>
      <c r="E7" s="313"/>
      <c r="F7" s="313"/>
      <c r="G7" s="313"/>
      <c r="H7" s="313"/>
      <c r="I7" s="313"/>
      <c r="J7" s="313"/>
      <c r="K7" s="314"/>
    </row>
    <row r="8" spans="3:11" ht="15" customHeight="1" x14ac:dyDescent="0.3">
      <c r="C8" s="172"/>
      <c r="D8" s="173"/>
      <c r="E8" s="173"/>
      <c r="F8" s="173"/>
      <c r="G8" s="173"/>
      <c r="H8" s="173"/>
      <c r="I8" s="173"/>
      <c r="J8" s="173"/>
      <c r="K8" s="174"/>
    </row>
    <row r="9" spans="3:11" ht="35.4" x14ac:dyDescent="0.65">
      <c r="C9" s="309" t="s">
        <v>20</v>
      </c>
      <c r="D9" s="310"/>
      <c r="E9" s="310"/>
      <c r="F9" s="310"/>
      <c r="G9" s="310"/>
      <c r="H9" s="310"/>
      <c r="I9" s="310"/>
      <c r="J9" s="310"/>
      <c r="K9" s="311"/>
    </row>
    <row r="10" spans="3:11" ht="35.4" x14ac:dyDescent="0.65">
      <c r="C10" s="309" t="s">
        <v>21</v>
      </c>
      <c r="D10" s="310"/>
      <c r="E10" s="310"/>
      <c r="F10" s="310"/>
      <c r="G10" s="310"/>
      <c r="H10" s="310"/>
      <c r="I10" s="310"/>
      <c r="J10" s="310"/>
      <c r="K10" s="311"/>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5" t="s">
        <v>22</v>
      </c>
      <c r="F18" s="315"/>
      <c r="G18" s="315"/>
      <c r="H18" s="315"/>
      <c r="I18" s="315"/>
    </row>
    <row r="19" spans="3:9" ht="15" customHeight="1" x14ac:dyDescent="0.3"/>
    <row r="20" spans="3:9" ht="15" customHeight="1" x14ac:dyDescent="0.3"/>
    <row r="21" spans="3:9" ht="18.600000000000001" x14ac:dyDescent="0.35">
      <c r="C21" s="166"/>
      <c r="F21" s="316" t="s">
        <v>23</v>
      </c>
      <c r="G21" s="316"/>
      <c r="H21" s="316"/>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44" t="s">
        <v>1094</v>
      </c>
      <c r="U1" s="337" t="s">
        <v>33</v>
      </c>
      <c r="V1" s="337"/>
      <c r="W1" s="337"/>
      <c r="X1" s="321" t="s">
        <v>34</v>
      </c>
      <c r="Y1" s="321" t="s">
        <v>35</v>
      </c>
    </row>
    <row r="2" spans="1:26" s="237"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17" t="s">
        <v>17</v>
      </c>
      <c r="V402" s="317"/>
      <c r="W402" s="318"/>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19"/>
      <c r="V403" s="319"/>
      <c r="W403" s="320"/>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23">
        <f>COUNTA(U3:U401)</f>
        <v>382</v>
      </c>
      <c r="V404" s="325">
        <f>COUNTA(V3:V401)</f>
        <v>12</v>
      </c>
      <c r="W404" s="327">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24"/>
      <c r="V405" s="326"/>
      <c r="W405" s="328"/>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90" zoomScaleNormal="90" zoomScaleSheetLayoutView="100" workbookViewId="0">
      <pane ySplit="2" topLeftCell="A62" activePane="bottomLeft" state="frozen"/>
      <selection activeCell="D6" sqref="D6"/>
      <selection pane="bottomLeft" activeCell="X85" sqref="X8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21" t="s">
        <v>1094</v>
      </c>
      <c r="U1" s="337" t="s">
        <v>33</v>
      </c>
      <c r="V1" s="337"/>
      <c r="W1" s="337"/>
      <c r="X1" s="321" t="s">
        <v>34</v>
      </c>
      <c r="Y1" s="321" t="s">
        <v>35</v>
      </c>
      <c r="Z1" s="237"/>
    </row>
    <row r="2" spans="1:26" s="239"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304">
        <v>45673</v>
      </c>
      <c r="V304" s="297"/>
      <c r="W304" s="272"/>
      <c r="X304" s="184" t="s">
        <v>1146</v>
      </c>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992</v>
      </c>
      <c r="S305" s="180"/>
      <c r="T305" s="266">
        <v>45672</v>
      </c>
      <c r="U305" s="304"/>
      <c r="V305" s="297">
        <v>45673</v>
      </c>
      <c r="W305" s="272"/>
      <c r="X305" s="184" t="s">
        <v>1146</v>
      </c>
      <c r="Y305" s="229" t="s">
        <v>1092</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992</v>
      </c>
      <c r="S306" s="180"/>
      <c r="T306" s="266">
        <v>45672</v>
      </c>
      <c r="U306" s="304"/>
      <c r="V306" s="297">
        <v>45673</v>
      </c>
      <c r="W306" s="272"/>
      <c r="X306" s="184" t="s">
        <v>1146</v>
      </c>
      <c r="Y306" s="185" t="s">
        <v>562</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278">
        <f t="shared" si="12"/>
        <v>307</v>
      </c>
      <c r="B309" s="279"/>
      <c r="C309" s="279"/>
      <c r="D309" s="279"/>
      <c r="E309" s="280" t="s">
        <v>566</v>
      </c>
      <c r="F309" s="295"/>
      <c r="G309" s="294" t="s">
        <v>336</v>
      </c>
      <c r="H309" s="282"/>
      <c r="I309" s="283"/>
      <c r="J309" s="283"/>
      <c r="K309" s="284"/>
      <c r="L309" s="282"/>
      <c r="M309" s="283"/>
      <c r="N309" s="283"/>
      <c r="O309" s="285"/>
      <c r="P309" s="285"/>
      <c r="Q309" s="285"/>
      <c r="R309" s="285" t="s">
        <v>1068</v>
      </c>
      <c r="S309" s="285"/>
      <c r="T309" s="286">
        <v>45672</v>
      </c>
      <c r="U309" s="287"/>
      <c r="V309" s="288">
        <v>45679</v>
      </c>
      <c r="W309" s="288">
        <v>45679</v>
      </c>
      <c r="X309" s="290" t="s">
        <v>1146</v>
      </c>
      <c r="Y309" s="291" t="s">
        <v>567</v>
      </c>
      <c r="Z309" s="255" t="s">
        <v>1134</v>
      </c>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50</v>
      </c>
      <c r="P362" s="193">
        <f t="shared" si="13"/>
        <v>69</v>
      </c>
      <c r="Q362" s="193">
        <f t="shared" si="13"/>
        <v>167</v>
      </c>
      <c r="R362" s="195">
        <f t="shared" si="13"/>
        <v>38</v>
      </c>
      <c r="S362" s="195">
        <f t="shared" si="13"/>
        <v>14</v>
      </c>
      <c r="T362" s="260"/>
      <c r="U362" s="317" t="s">
        <v>17</v>
      </c>
      <c r="V362" s="317"/>
      <c r="W362" s="318"/>
      <c r="X362" s="196" t="s">
        <v>411</v>
      </c>
      <c r="Y362" s="197">
        <f>SUM(H362:S362)</f>
        <v>350</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2</v>
      </c>
      <c r="S363" s="205">
        <f t="shared" si="14"/>
        <v>0</v>
      </c>
      <c r="T363" s="261"/>
      <c r="U363" s="319"/>
      <c r="V363" s="319"/>
      <c r="W363" s="320"/>
      <c r="X363" s="206" t="s">
        <v>411</v>
      </c>
      <c r="Y363" s="207">
        <f t="shared" ref="Y363:Y365" si="15">SUM(H363:S363)</f>
        <v>2</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23">
        <f>COUNTA(U3:U361)</f>
        <v>329</v>
      </c>
      <c r="V364" s="325">
        <f>COUNTA(V3:V361)</f>
        <v>23</v>
      </c>
      <c r="W364" s="327">
        <f>COUNTA(W3:W361)</f>
        <v>21</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24"/>
      <c r="V365" s="326"/>
      <c r="W365" s="328"/>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0" zoomScaleNormal="80" zoomScaleSheetLayoutView="85" workbookViewId="0">
      <pane ySplit="2" topLeftCell="A3"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9" t="s">
        <v>24</v>
      </c>
      <c r="B1" s="331" t="s">
        <v>25</v>
      </c>
      <c r="C1" s="333" t="s">
        <v>26</v>
      </c>
      <c r="D1" s="333" t="s">
        <v>27</v>
      </c>
      <c r="E1" s="333" t="s">
        <v>28</v>
      </c>
      <c r="F1" s="335" t="s">
        <v>29</v>
      </c>
      <c r="G1" s="345" t="s">
        <v>1093</v>
      </c>
      <c r="H1" s="338" t="s">
        <v>30</v>
      </c>
      <c r="I1" s="337" t="s">
        <v>31</v>
      </c>
      <c r="J1" s="337"/>
      <c r="K1" s="337"/>
      <c r="L1" s="340"/>
      <c r="M1" s="341" t="s">
        <v>32</v>
      </c>
      <c r="N1" s="342"/>
      <c r="O1" s="342"/>
      <c r="P1" s="343"/>
      <c r="Q1" s="343"/>
      <c r="R1" s="343"/>
      <c r="S1" s="343"/>
      <c r="T1" s="343"/>
      <c r="U1" s="321" t="s">
        <v>1095</v>
      </c>
      <c r="V1" s="337" t="s">
        <v>33</v>
      </c>
      <c r="W1" s="337"/>
      <c r="X1" s="337"/>
      <c r="Y1" s="321" t="s">
        <v>34</v>
      </c>
      <c r="Z1" s="321" t="s">
        <v>35</v>
      </c>
    </row>
    <row r="2" spans="1:28" s="237" customFormat="1" ht="22.8" x14ac:dyDescent="0.15">
      <c r="A2" s="330"/>
      <c r="B2" s="332"/>
      <c r="C2" s="334"/>
      <c r="D2" s="334"/>
      <c r="E2" s="334"/>
      <c r="F2" s="336"/>
      <c r="G2" s="336"/>
      <c r="H2" s="339"/>
      <c r="I2" s="223" t="s">
        <v>36</v>
      </c>
      <c r="J2" s="224" t="s">
        <v>37</v>
      </c>
      <c r="K2" s="225" t="s">
        <v>38</v>
      </c>
      <c r="L2" s="225" t="s">
        <v>39</v>
      </c>
      <c r="M2" s="226" t="s">
        <v>36</v>
      </c>
      <c r="N2" s="225" t="s">
        <v>40</v>
      </c>
      <c r="O2" s="225" t="s">
        <v>41</v>
      </c>
      <c r="P2" s="225" t="s">
        <v>42</v>
      </c>
      <c r="Q2" s="225" t="s">
        <v>43</v>
      </c>
      <c r="R2" s="225" t="s">
        <v>44</v>
      </c>
      <c r="S2" s="225" t="s">
        <v>45</v>
      </c>
      <c r="T2" s="225" t="s">
        <v>46</v>
      </c>
      <c r="U2" s="339"/>
      <c r="V2" s="223" t="s">
        <v>47</v>
      </c>
      <c r="W2" s="224" t="s">
        <v>48</v>
      </c>
      <c r="X2" s="225" t="s">
        <v>49</v>
      </c>
      <c r="Y2" s="322"/>
      <c r="Z2" s="322"/>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61</v>
      </c>
      <c r="S82" s="180"/>
      <c r="T82" s="180"/>
      <c r="U82" s="305"/>
      <c r="V82" s="304"/>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61</v>
      </c>
      <c r="S86" s="180"/>
      <c r="T86" s="180"/>
      <c r="U86" s="305"/>
      <c r="V86" s="304"/>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61</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304"/>
      <c r="W227" s="271"/>
      <c r="X227" s="272"/>
      <c r="Y227" s="184" t="s">
        <v>1146</v>
      </c>
      <c r="Z227" s="185" t="s">
        <v>472</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t="s">
        <v>1146</v>
      </c>
      <c r="Z228" s="185" t="s">
        <v>556</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992</v>
      </c>
      <c r="O229" s="178"/>
      <c r="P229" s="180"/>
      <c r="Q229" s="180"/>
      <c r="R229" s="180"/>
      <c r="S229" s="180"/>
      <c r="T229" s="180"/>
      <c r="U229" s="266"/>
      <c r="V229" s="304"/>
      <c r="W229" s="271">
        <v>45685</v>
      </c>
      <c r="X229" s="272"/>
      <c r="Y229" s="184" t="s">
        <v>1146</v>
      </c>
      <c r="Z229" s="185" t="s">
        <v>334</v>
      </c>
    </row>
    <row r="230" spans="1:27"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992</v>
      </c>
      <c r="T230" s="180"/>
      <c r="U230" s="266"/>
      <c r="V230" s="304"/>
      <c r="W230" s="271">
        <v>45685</v>
      </c>
      <c r="X230" s="272"/>
      <c r="Y230" s="184" t="s">
        <v>1146</v>
      </c>
      <c r="Z230" s="229" t="s">
        <v>1092</v>
      </c>
    </row>
    <row r="231" spans="1:27"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992</v>
      </c>
      <c r="T231" s="180"/>
      <c r="U231" s="266"/>
      <c r="V231" s="304"/>
      <c r="W231" s="271">
        <v>45685</v>
      </c>
      <c r="X231" s="272"/>
      <c r="Y231" s="184" t="s">
        <v>1146</v>
      </c>
      <c r="Z231" s="185" t="s">
        <v>562</v>
      </c>
    </row>
    <row r="232" spans="1:27" ht="11.4" x14ac:dyDescent="0.15">
      <c r="A232" s="175">
        <f t="shared" si="3"/>
        <v>230</v>
      </c>
      <c r="B232" s="176"/>
      <c r="C232" s="176" t="s">
        <v>563</v>
      </c>
      <c r="D232" s="176" t="s">
        <v>564</v>
      </c>
      <c r="E232" s="186" t="s">
        <v>332</v>
      </c>
      <c r="F232" s="233" t="s">
        <v>1088</v>
      </c>
      <c r="G232" s="258"/>
      <c r="H232" s="228" t="s">
        <v>1145</v>
      </c>
      <c r="I232" s="177"/>
      <c r="J232" s="178"/>
      <c r="K232" s="178"/>
      <c r="L232" s="179"/>
      <c r="M232" s="177"/>
      <c r="N232" s="180" t="s">
        <v>56</v>
      </c>
      <c r="O232" s="178"/>
      <c r="P232" s="180"/>
      <c r="Q232" s="180"/>
      <c r="R232" s="180"/>
      <c r="S232" s="180"/>
      <c r="T232" s="180"/>
      <c r="U232" s="266"/>
      <c r="V232" s="304"/>
      <c r="W232" s="271"/>
      <c r="X232" s="272"/>
      <c r="Y232" s="184" t="s">
        <v>1146</v>
      </c>
      <c r="Z232" s="185" t="s">
        <v>334</v>
      </c>
    </row>
    <row r="233" spans="1:27" ht="11.4" x14ac:dyDescent="0.15">
      <c r="A233" s="175">
        <f t="shared" si="3"/>
        <v>231</v>
      </c>
      <c r="B233" s="176"/>
      <c r="C233" s="176"/>
      <c r="D233" s="176"/>
      <c r="E233" s="186" t="s">
        <v>559</v>
      </c>
      <c r="F233" s="233"/>
      <c r="G233" s="258"/>
      <c r="H233" s="228" t="s">
        <v>560</v>
      </c>
      <c r="I233" s="177"/>
      <c r="J233" s="178"/>
      <c r="K233" s="178"/>
      <c r="L233" s="179"/>
      <c r="M233" s="177"/>
      <c r="N233" s="178"/>
      <c r="O233" s="178"/>
      <c r="P233" s="180"/>
      <c r="Q233" s="180"/>
      <c r="R233" s="180"/>
      <c r="S233" s="180" t="s">
        <v>56</v>
      </c>
      <c r="T233" s="180"/>
      <c r="U233" s="266"/>
      <c r="V233" s="304"/>
      <c r="W233" s="271"/>
      <c r="X233" s="272"/>
      <c r="Y233" s="184" t="s">
        <v>1146</v>
      </c>
      <c r="Z233" s="229" t="s">
        <v>1092</v>
      </c>
    </row>
    <row r="234" spans="1:27" ht="11.4" x14ac:dyDescent="0.15">
      <c r="A234" s="175">
        <f t="shared" si="3"/>
        <v>232</v>
      </c>
      <c r="B234" s="176"/>
      <c r="C234" s="176"/>
      <c r="D234" s="176"/>
      <c r="E234" s="186" t="s">
        <v>566</v>
      </c>
      <c r="F234" s="233"/>
      <c r="G234" s="258"/>
      <c r="H234" s="228" t="s">
        <v>336</v>
      </c>
      <c r="I234" s="177"/>
      <c r="J234" s="178"/>
      <c r="K234" s="178"/>
      <c r="L234" s="179"/>
      <c r="M234" s="177"/>
      <c r="N234" s="178"/>
      <c r="O234" s="178"/>
      <c r="P234" s="180"/>
      <c r="Q234" s="180"/>
      <c r="R234" s="180"/>
      <c r="S234" s="180" t="s">
        <v>56</v>
      </c>
      <c r="T234" s="180"/>
      <c r="U234" s="266"/>
      <c r="V234" s="304"/>
      <c r="W234" s="271"/>
      <c r="X234" s="272"/>
      <c r="Y234" s="184" t="s">
        <v>1146</v>
      </c>
      <c r="Z234" s="185"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56</v>
      </c>
      <c r="T235" s="180"/>
      <c r="U235" s="266"/>
      <c r="V235" s="304"/>
      <c r="W235" s="271"/>
      <c r="X235" s="272"/>
      <c r="Y235" s="184" t="s">
        <v>1146</v>
      </c>
      <c r="Z235" s="185" t="s">
        <v>472</v>
      </c>
    </row>
    <row r="236" spans="1:27" ht="11.4" x14ac:dyDescent="0.15">
      <c r="A236" s="364">
        <f t="shared" si="3"/>
        <v>234</v>
      </c>
      <c r="B236" s="365"/>
      <c r="C236" s="365"/>
      <c r="D236" s="366"/>
      <c r="E236" s="366"/>
      <c r="F236" s="366"/>
      <c r="G236" s="367"/>
      <c r="H236" s="228" t="s">
        <v>866</v>
      </c>
      <c r="I236" s="368"/>
      <c r="J236" s="369"/>
      <c r="K236" s="369"/>
      <c r="L236" s="370"/>
      <c r="M236" s="368"/>
      <c r="N236" s="371"/>
      <c r="O236" s="369"/>
      <c r="P236" s="371"/>
      <c r="Q236" s="371"/>
      <c r="R236" s="371"/>
      <c r="S236" s="371" t="s">
        <v>61</v>
      </c>
      <c r="T236" s="371"/>
      <c r="U236" s="305"/>
      <c r="V236" s="304"/>
      <c r="W236" s="297"/>
      <c r="X236" s="300"/>
      <c r="Y236" s="306" t="s">
        <v>1146</v>
      </c>
      <c r="Z236" s="372" t="s">
        <v>1092</v>
      </c>
      <c r="AA236" s="255"/>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61</v>
      </c>
      <c r="U237" s="266"/>
      <c r="V237" s="304"/>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61</v>
      </c>
      <c r="T238" s="180"/>
      <c r="U238" s="266"/>
      <c r="V238" s="304"/>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2</v>
      </c>
      <c r="K254" s="193">
        <f t="shared" si="4"/>
        <v>0</v>
      </c>
      <c r="L254" s="194">
        <f t="shared" si="4"/>
        <v>0</v>
      </c>
      <c r="M254" s="192">
        <f t="shared" si="4"/>
        <v>2</v>
      </c>
      <c r="N254" s="193">
        <f t="shared" si="4"/>
        <v>4</v>
      </c>
      <c r="O254" s="193">
        <f t="shared" si="4"/>
        <v>0</v>
      </c>
      <c r="P254" s="193">
        <f t="shared" si="4"/>
        <v>8</v>
      </c>
      <c r="Q254" s="193">
        <f t="shared" si="4"/>
        <v>18</v>
      </c>
      <c r="R254" s="193">
        <f t="shared" si="4"/>
        <v>125</v>
      </c>
      <c r="S254" s="195">
        <f t="shared" si="4"/>
        <v>14</v>
      </c>
      <c r="T254" s="195">
        <f t="shared" si="4"/>
        <v>49</v>
      </c>
      <c r="U254" s="260"/>
      <c r="V254" s="317" t="s">
        <v>17</v>
      </c>
      <c r="W254" s="317"/>
      <c r="X254" s="318"/>
      <c r="Y254" s="196" t="s">
        <v>411</v>
      </c>
      <c r="Z254" s="197">
        <f>SUM(I254:T254)</f>
        <v>222</v>
      </c>
    </row>
    <row r="255" spans="1:27" s="238" customFormat="1" ht="12" customHeight="1" x14ac:dyDescent="0.25">
      <c r="A255" s="198"/>
      <c r="B255" s="231" t="s">
        <v>412</v>
      </c>
      <c r="C255" s="200">
        <f>Z256</f>
        <v>227</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1</v>
      </c>
      <c r="O255" s="203">
        <f t="shared" si="5"/>
        <v>0</v>
      </c>
      <c r="P255" s="203">
        <f t="shared" si="5"/>
        <v>0</v>
      </c>
      <c r="Q255" s="203">
        <f t="shared" si="5"/>
        <v>0</v>
      </c>
      <c r="R255" s="203">
        <f t="shared" si="5"/>
        <v>2</v>
      </c>
      <c r="S255" s="205">
        <f t="shared" si="5"/>
        <v>2</v>
      </c>
      <c r="T255" s="205">
        <f t="shared" si="5"/>
        <v>0</v>
      </c>
      <c r="U255" s="261"/>
      <c r="V255" s="319"/>
      <c r="W255" s="319"/>
      <c r="X255" s="320"/>
      <c r="Y255" s="206" t="s">
        <v>411</v>
      </c>
      <c r="Z255" s="207">
        <f t="shared" ref="Z255:Z257" si="6">SUM(I255:T255)</f>
        <v>5</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2</v>
      </c>
      <c r="K256" s="203">
        <f t="shared" si="7"/>
        <v>0</v>
      </c>
      <c r="L256" s="204">
        <f t="shared" si="7"/>
        <v>0</v>
      </c>
      <c r="M256" s="202">
        <f t="shared" si="7"/>
        <v>2</v>
      </c>
      <c r="N256" s="203">
        <f t="shared" si="7"/>
        <v>5</v>
      </c>
      <c r="O256" s="203">
        <f t="shared" si="7"/>
        <v>0</v>
      </c>
      <c r="P256" s="203">
        <f t="shared" si="7"/>
        <v>8</v>
      </c>
      <c r="Q256" s="203">
        <f t="shared" si="7"/>
        <v>18</v>
      </c>
      <c r="R256" s="203">
        <f t="shared" ref="R256" si="8">R254+R255</f>
        <v>127</v>
      </c>
      <c r="S256" s="205">
        <f t="shared" ref="S256:T256" si="9">S254+S255</f>
        <v>16</v>
      </c>
      <c r="T256" s="205">
        <f t="shared" si="9"/>
        <v>49</v>
      </c>
      <c r="U256" s="262"/>
      <c r="V256" s="323">
        <f>COUNTA(V3:V253)</f>
        <v>203</v>
      </c>
      <c r="W256" s="325">
        <f>COUNTA(W3:W253)</f>
        <v>25</v>
      </c>
      <c r="X256" s="327">
        <f>COUNTA(X3:X253)</f>
        <v>20</v>
      </c>
      <c r="Y256" s="212" t="s">
        <v>411</v>
      </c>
      <c r="Z256" s="207">
        <f t="shared" si="6"/>
        <v>227</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24"/>
      <c r="W257" s="326"/>
      <c r="X257" s="328"/>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4" t="s">
        <v>31</v>
      </c>
      <c r="H1" s="355"/>
      <c r="I1" s="355"/>
      <c r="J1" s="355"/>
      <c r="K1" s="355"/>
      <c r="L1" s="355"/>
      <c r="M1" s="355"/>
      <c r="N1" s="355"/>
      <c r="O1" s="356" t="s">
        <v>1027</v>
      </c>
      <c r="P1" s="356"/>
      <c r="Q1" s="356"/>
      <c r="R1" s="356"/>
      <c r="S1" s="359" t="s">
        <v>33</v>
      </c>
      <c r="T1" s="359"/>
      <c r="U1" s="359"/>
      <c r="V1" s="360"/>
      <c r="W1" s="54"/>
      <c r="X1" s="361" t="s">
        <v>1028</v>
      </c>
      <c r="Y1" s="346" t="s">
        <v>1029</v>
      </c>
      <c r="AB1" s="1" t="s">
        <v>1030</v>
      </c>
    </row>
    <row r="2" spans="1:28" s="1" customFormat="1" ht="13.5" customHeight="1" x14ac:dyDescent="0.15">
      <c r="A2" s="61"/>
      <c r="B2" s="64"/>
      <c r="C2" s="64"/>
      <c r="D2" s="64"/>
      <c r="E2" s="64"/>
      <c r="F2" s="67"/>
      <c r="G2" s="349" t="s">
        <v>1031</v>
      </c>
      <c r="H2" s="350"/>
      <c r="I2" s="350"/>
      <c r="J2" s="350"/>
      <c r="K2" s="349"/>
      <c r="L2" s="350"/>
      <c r="M2" s="350"/>
      <c r="N2" s="350"/>
      <c r="O2" s="357"/>
      <c r="P2" s="357"/>
      <c r="Q2" s="357"/>
      <c r="R2" s="357"/>
      <c r="S2" s="351" t="s">
        <v>1032</v>
      </c>
      <c r="T2" s="352"/>
      <c r="U2" s="352"/>
      <c r="V2" s="68"/>
      <c r="W2" s="69"/>
      <c r="X2" s="362"/>
      <c r="Y2" s="347"/>
      <c r="Z2" s="1" t="s">
        <v>1031</v>
      </c>
      <c r="AA2" s="1" t="s">
        <v>1033</v>
      </c>
      <c r="AB2" s="1" t="s">
        <v>1034</v>
      </c>
    </row>
    <row r="3" spans="1:28" s="1" customFormat="1" ht="15" customHeight="1" x14ac:dyDescent="0.15">
      <c r="A3" s="35"/>
      <c r="B3" s="84" t="s">
        <v>1035</v>
      </c>
      <c r="C3" s="59"/>
      <c r="D3" s="59"/>
      <c r="E3" s="59"/>
      <c r="F3" s="36"/>
      <c r="G3" s="353" t="s">
        <v>1033</v>
      </c>
      <c r="H3" s="353"/>
      <c r="I3" s="353"/>
      <c r="J3" s="353"/>
      <c r="K3" s="353" t="s">
        <v>1036</v>
      </c>
      <c r="L3" s="353"/>
      <c r="M3" s="353"/>
      <c r="N3" s="353"/>
      <c r="O3" s="357"/>
      <c r="P3" s="357"/>
      <c r="Q3" s="357"/>
      <c r="R3" s="357"/>
      <c r="S3" s="62"/>
      <c r="T3" s="63"/>
      <c r="U3" s="63"/>
      <c r="V3" s="37"/>
      <c r="W3" s="2"/>
      <c r="X3" s="362"/>
      <c r="Y3" s="347"/>
      <c r="Z3" s="1" t="s">
        <v>1037</v>
      </c>
      <c r="AA3" s="1" t="s">
        <v>1036</v>
      </c>
      <c r="AB3" s="1" t="s">
        <v>1038</v>
      </c>
    </row>
    <row r="4" spans="1:28" s="1" customFormat="1" ht="15" customHeight="1" x14ac:dyDescent="0.15">
      <c r="A4" s="45"/>
      <c r="B4" s="39"/>
      <c r="C4" s="56"/>
      <c r="D4" s="56"/>
      <c r="E4" s="89"/>
      <c r="F4" s="40"/>
      <c r="G4" s="353" t="s">
        <v>1030</v>
      </c>
      <c r="H4" s="353"/>
      <c r="I4" s="353"/>
      <c r="J4" s="353"/>
      <c r="K4" s="353"/>
      <c r="L4" s="353"/>
      <c r="M4" s="353"/>
      <c r="N4" s="353"/>
      <c r="O4" s="358"/>
      <c r="P4" s="358"/>
      <c r="Q4" s="358"/>
      <c r="R4" s="358"/>
      <c r="S4" s="65"/>
      <c r="T4" s="66"/>
      <c r="U4" s="66"/>
      <c r="V4" s="37"/>
      <c r="W4" s="2" t="s">
        <v>1039</v>
      </c>
      <c r="X4" s="362"/>
      <c r="Y4" s="347"/>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63"/>
      <c r="Y5" s="348"/>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D00E74-CC1C-4C4C-BBF2-9C798A60E5D9}"/>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purl.org/dc/dcmitype/"/>
    <ds:schemaRef ds:uri="http://schemas.microsoft.com/office/2006/documentManagement/types"/>
    <ds:schemaRef ds:uri="cc94ae7b-2025-4ffb-bd04-1297cd213e7a"/>
    <ds:schemaRef ds:uri="http://purl.org/dc/terms/"/>
    <ds:schemaRef ds:uri="http://www.w3.org/XML/1998/namespace"/>
    <ds:schemaRef ds:uri="http://schemas.microsoft.com/office/infopath/2007/PartnerControls"/>
    <ds:schemaRef ds:uri="http://purl.org/dc/elements/1.1/"/>
    <ds:schemaRef ds:uri="http://schemas.openxmlformats.org/package/2006/metadata/core-properties"/>
    <ds:schemaRef ds:uri="925fb8bf-6124-4564-9086-bab0bf32763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2025-01-29T01:23:08Z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