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863" documentId="8_{63DE28EA-B2E0-40C7-900C-E5A4014923D1}" xr6:coauthVersionLast="47" xr6:coauthVersionMax="47" xr10:uidLastSave="{167F6EB4-6C46-40DA-9B42-498CFA4CD009}"/>
  <bookViews>
    <workbookView xWindow="-108" yWindow="-108" windowWidth="23256" windowHeight="12720" tabRatio="789" firstSheet="1" activeTab="6" xr2:uid="{00000000-000D-0000-FFFF-FFFF00000000}"/>
  </bookViews>
  <sheets>
    <sheet name="ST仕様書表紙" sheetId="16" r:id="rId1"/>
    <sheet name="集配信インターフェースファイル" sheetId="66" r:id="rId2"/>
    <sheet name="カタリナクーポン" sheetId="69" r:id="rId3"/>
    <sheet name="全トラン抽出(d払い)" sheetId="71" r:id="rId4"/>
    <sheet name="クレジット明細データ" sheetId="70" r:id="rId5"/>
    <sheet name="精算確定報" sheetId="67" r:id="rId6"/>
    <sheet name="入金アラート" sheetId="68" r:id="rId7"/>
    <sheet name="【リンク】表B" sheetId="72" r:id="rId8"/>
    <sheet name="【参考】入出金マスタ" sheetId="74" r:id="rId9"/>
    <sheet name="【参考】パターン" sheetId="73" r:id="rId10"/>
  </sheets>
  <definedNames>
    <definedName name="_xlnm._FilterDatabase" localSheetId="8" hidden="1">【参考】入出金マスタ!$A$4:$O$290</definedName>
    <definedName name="_xlnm._FilterDatabase" localSheetId="2" hidden="1">カタリナクーポン!$F$1:$F$19</definedName>
    <definedName name="_xlnm._FilterDatabase" localSheetId="4" hidden="1">クレジット明細データ!$F$1:$F$250</definedName>
    <definedName name="_xlnm._FilterDatabase" localSheetId="1" hidden="1">集配信インターフェースファイル!$F$1:$F$79</definedName>
    <definedName name="_xlnm._FilterDatabase" localSheetId="5" hidden="1">精算確定報!$F$1:$F$25</definedName>
    <definedName name="_xlnm._FilterDatabase" localSheetId="3" hidden="1">'全トラン抽出(d払い)'!$F$1:$F$25</definedName>
    <definedName name="_xlnm._FilterDatabase" localSheetId="6" hidden="1">入金アラート!$F$1:$F$25</definedName>
    <definedName name="HTML_CodePage" hidden="1">932</definedName>
    <definedName name="HTML_Control" localSheetId="9" hidden="1">{"'表紙'!$A$1:$W$39"}</definedName>
    <definedName name="HTML_Control" localSheetId="2" hidden="1">{"'表紙'!$A$1:$W$39"}</definedName>
    <definedName name="HTML_Control" localSheetId="4" hidden="1">{"'表紙'!$A$1:$W$39"}</definedName>
    <definedName name="HTML_Control" localSheetId="1" hidden="1">{"'表紙'!$A$1:$W$39"}</definedName>
    <definedName name="HTML_Control" localSheetId="5" hidden="1">{"'表紙'!$A$1:$W$39"}</definedName>
    <definedName name="HTML_Control" localSheetId="3" hidden="1">{"'表紙'!$A$1:$W$39"}</definedName>
    <definedName name="HTML_Control" localSheetId="6"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0">ST仕様書表紙!$A$1:$M$24</definedName>
    <definedName name="_xlnm.Print_Area" localSheetId="2">カタリナクーポン!$A$1:$X$19</definedName>
    <definedName name="_xlnm.Print_Area" localSheetId="4">クレジット明細データ!$A$1:$X$250</definedName>
    <definedName name="_xlnm.Print_Area" localSheetId="1">集配信インターフェースファイル!$A$1:$X$80</definedName>
    <definedName name="_xlnm.Print_Area" localSheetId="5">精算確定報!$A$1:$X$25</definedName>
    <definedName name="_xlnm.Print_Area" localSheetId="3">'全トラン抽出(d払い)'!$A$1:$X$25</definedName>
    <definedName name="_xlnm.Print_Area" localSheetId="6">入金アラート!$A$1:$X$25</definedName>
    <definedName name="_xlnm.Print_Titles" localSheetId="8">【参考】入出金マスタ!$2:$4</definedName>
    <definedName name="あ" localSheetId="9" hidden="1">{"'表紙'!$A$1:$W$39"}</definedName>
    <definedName name="あ" localSheetId="2" hidden="1">{"'表紙'!$A$1:$W$39"}</definedName>
    <definedName name="あ" localSheetId="4" hidden="1">{"'表紙'!$A$1:$W$39"}</definedName>
    <definedName name="あ" localSheetId="1" hidden="1">{"'表紙'!$A$1:$W$39"}</definedName>
    <definedName name="あ" localSheetId="5" hidden="1">{"'表紙'!$A$1:$W$39"}</definedName>
    <definedName name="あ" localSheetId="3" hidden="1">{"'表紙'!$A$1:$W$39"}</definedName>
    <definedName name="あ" localSheetId="6" hidden="1">{"'表紙'!$A$1:$W$39"}</definedName>
    <definedName name="あ" hidden="1">{"'表紙'!$A$1:$W$39"}</definedName>
  </definedNames>
  <calcPr calcId="191028" concurrentManualCount="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4" i="67" l="1"/>
  <c r="V24" i="67" l="1"/>
  <c r="U24" i="67"/>
  <c r="V78" i="66"/>
  <c r="U78" i="66"/>
  <c r="T78" i="66"/>
  <c r="V18" i="69"/>
  <c r="U18" i="69"/>
  <c r="T18" i="69"/>
  <c r="V24" i="71"/>
  <c r="U24" i="71"/>
  <c r="T24" i="71"/>
  <c r="V249" i="70"/>
  <c r="U249" i="70"/>
  <c r="T249" i="70"/>
  <c r="V24" i="68"/>
  <c r="U24" i="68"/>
  <c r="T24" i="68"/>
  <c r="A20" i="68" l="1"/>
  <c r="A21" i="67"/>
  <c r="A20" i="67"/>
  <c r="A19" i="67"/>
  <c r="A18" i="67"/>
  <c r="A16" i="67"/>
  <c r="A13" i="67"/>
  <c r="A4" i="67"/>
  <c r="A20" i="71" l="1"/>
  <c r="A246" i="70" l="1"/>
  <c r="A245" i="70"/>
  <c r="A244" i="70"/>
  <c r="A243" i="70"/>
  <c r="A242" i="70"/>
  <c r="A241" i="70"/>
  <c r="A240" i="70"/>
  <c r="A239" i="70"/>
  <c r="A238" i="70"/>
  <c r="A237" i="70"/>
  <c r="A236" i="70"/>
  <c r="A235" i="70"/>
  <c r="A234" i="70"/>
  <c r="A233" i="70"/>
  <c r="A232" i="70"/>
  <c r="A231" i="70"/>
  <c r="A230" i="70"/>
  <c r="A229" i="70"/>
  <c r="A228" i="70"/>
  <c r="A227" i="70"/>
  <c r="A226" i="70"/>
  <c r="A225" i="70"/>
  <c r="A224" i="70"/>
  <c r="A223" i="70"/>
  <c r="A222" i="70"/>
  <c r="A221" i="70"/>
  <c r="A220" i="70"/>
  <c r="A219" i="70"/>
  <c r="A218" i="70"/>
  <c r="A217" i="70"/>
  <c r="A216" i="70"/>
  <c r="A215" i="70"/>
  <c r="A214" i="70"/>
  <c r="A213" i="70"/>
  <c r="A212" i="70"/>
  <c r="A211" i="70"/>
  <c r="A210" i="70"/>
  <c r="A209" i="70"/>
  <c r="A208" i="70"/>
  <c r="A207" i="70"/>
  <c r="A206" i="70"/>
  <c r="A205" i="70"/>
  <c r="A204" i="70"/>
  <c r="A203" i="70"/>
  <c r="A202" i="70"/>
  <c r="A201" i="70"/>
  <c r="A200" i="70"/>
  <c r="A199" i="70"/>
  <c r="A198" i="70"/>
  <c r="A197" i="70"/>
  <c r="A196" i="70"/>
  <c r="A195" i="70"/>
  <c r="A194" i="70"/>
  <c r="A193" i="70"/>
  <c r="A192" i="70"/>
  <c r="A191" i="70"/>
  <c r="A190" i="70"/>
  <c r="A189" i="70"/>
  <c r="A188" i="70"/>
  <c r="A187" i="70"/>
  <c r="A186" i="70"/>
  <c r="A185" i="70"/>
  <c r="A184" i="70"/>
  <c r="A183" i="70"/>
  <c r="A182" i="70"/>
  <c r="A181" i="70"/>
  <c r="A180" i="70"/>
  <c r="A179" i="70"/>
  <c r="A178" i="70"/>
  <c r="A177" i="70"/>
  <c r="A176" i="70"/>
  <c r="A175" i="70"/>
  <c r="A174" i="70"/>
  <c r="A173" i="70"/>
  <c r="A172" i="70"/>
  <c r="A171" i="70"/>
  <c r="A170" i="70"/>
  <c r="A169" i="70"/>
  <c r="A168" i="70"/>
  <c r="A167" i="70"/>
  <c r="A166" i="70"/>
  <c r="A165" i="70"/>
  <c r="A164" i="70"/>
  <c r="A163" i="70"/>
  <c r="A162" i="70"/>
  <c r="A161" i="70"/>
  <c r="A160" i="70"/>
  <c r="A159" i="70"/>
  <c r="A158" i="70"/>
  <c r="A157" i="70"/>
  <c r="A156" i="70"/>
  <c r="A155" i="70"/>
  <c r="A154" i="70"/>
  <c r="A153" i="70"/>
  <c r="A152" i="70"/>
  <c r="A151" i="70"/>
  <c r="A150" i="70"/>
  <c r="A149" i="70"/>
  <c r="A148" i="70"/>
  <c r="A147" i="70"/>
  <c r="A146" i="70"/>
  <c r="A145" i="70"/>
  <c r="A144" i="70"/>
  <c r="A143" i="70"/>
  <c r="A142" i="70"/>
  <c r="A141" i="70"/>
  <c r="A140" i="70"/>
  <c r="A139" i="70"/>
  <c r="A138" i="70"/>
  <c r="A137" i="70"/>
  <c r="A136" i="70"/>
  <c r="A135" i="70"/>
  <c r="A134" i="70"/>
  <c r="A133" i="70"/>
  <c r="A132" i="70"/>
  <c r="A131" i="70"/>
  <c r="A130" i="70"/>
  <c r="A129" i="70"/>
  <c r="A128" i="70"/>
  <c r="A127" i="70"/>
  <c r="A126" i="70"/>
  <c r="A125" i="70"/>
  <c r="A124" i="70"/>
  <c r="A123" i="70"/>
  <c r="A122" i="70"/>
  <c r="A121" i="70"/>
  <c r="A120" i="70"/>
  <c r="A119" i="70"/>
  <c r="A118" i="70"/>
  <c r="A117" i="70"/>
  <c r="A116" i="70"/>
  <c r="A115" i="70"/>
  <c r="A114" i="70"/>
  <c r="A113" i="70"/>
  <c r="A112" i="70"/>
  <c r="A111" i="70"/>
  <c r="A110" i="70"/>
  <c r="A109" i="70"/>
  <c r="A108" i="70"/>
  <c r="A107" i="70"/>
  <c r="A106" i="70"/>
  <c r="A105" i="70"/>
  <c r="A104" i="70"/>
  <c r="A103" i="70"/>
  <c r="A102" i="70"/>
  <c r="A101" i="70"/>
  <c r="A100" i="70"/>
  <c r="A99" i="70"/>
  <c r="A98" i="70"/>
  <c r="A97" i="70"/>
  <c r="A96" i="70"/>
  <c r="A95" i="70"/>
  <c r="A94" i="70"/>
  <c r="A93" i="70"/>
  <c r="A92" i="70"/>
  <c r="A91" i="70"/>
  <c r="A90" i="70"/>
  <c r="A89" i="70"/>
  <c r="A88" i="70"/>
  <c r="A87" i="70"/>
  <c r="A86" i="70"/>
  <c r="A85" i="70"/>
  <c r="H25" i="71" l="1"/>
  <c r="I25" i="71"/>
  <c r="J25" i="71"/>
  <c r="K25" i="71"/>
  <c r="L25" i="71"/>
  <c r="M25" i="71"/>
  <c r="N25" i="71"/>
  <c r="O25" i="71"/>
  <c r="P25" i="71"/>
  <c r="Q25" i="71"/>
  <c r="R25" i="71"/>
  <c r="H23" i="71"/>
  <c r="I23" i="71"/>
  <c r="J23" i="71"/>
  <c r="K23" i="71"/>
  <c r="L23" i="71"/>
  <c r="M23" i="71"/>
  <c r="N23" i="71"/>
  <c r="O23" i="71"/>
  <c r="P23" i="71"/>
  <c r="Q23" i="71"/>
  <c r="R23" i="71"/>
  <c r="H22" i="71"/>
  <c r="H24" i="71" s="1"/>
  <c r="I22" i="71"/>
  <c r="J22" i="71"/>
  <c r="J24" i="71" s="1"/>
  <c r="K22" i="71"/>
  <c r="L22" i="71"/>
  <c r="M22" i="71"/>
  <c r="N22" i="71"/>
  <c r="O22" i="71"/>
  <c r="P22" i="71"/>
  <c r="P24" i="71" s="1"/>
  <c r="Q22" i="71"/>
  <c r="R22" i="71"/>
  <c r="R24" i="71" s="1"/>
  <c r="G25" i="71"/>
  <c r="G23" i="71"/>
  <c r="G22" i="71"/>
  <c r="A13" i="71"/>
  <c r="A12" i="71"/>
  <c r="A11" i="71"/>
  <c r="A10" i="71"/>
  <c r="A9" i="71"/>
  <c r="A8" i="71"/>
  <c r="A7" i="71"/>
  <c r="A6" i="71"/>
  <c r="L24" i="71" l="1"/>
  <c r="N24" i="71"/>
  <c r="M24" i="71"/>
  <c r="O24" i="71"/>
  <c r="K24" i="71"/>
  <c r="Q24" i="71"/>
  <c r="I24" i="71"/>
  <c r="A14" i="71"/>
  <c r="A3" i="71"/>
  <c r="A15" i="71"/>
  <c r="A16" i="71"/>
  <c r="A17" i="71"/>
  <c r="A18" i="71"/>
  <c r="A19" i="71"/>
  <c r="H250" i="70"/>
  <c r="I250" i="70"/>
  <c r="J250" i="70"/>
  <c r="K250" i="70"/>
  <c r="L250" i="70"/>
  <c r="M250" i="70"/>
  <c r="N250" i="70"/>
  <c r="O250" i="70"/>
  <c r="P250" i="70"/>
  <c r="Q250" i="70"/>
  <c r="R250" i="70"/>
  <c r="G250" i="70"/>
  <c r="H248" i="70"/>
  <c r="I248" i="70"/>
  <c r="J248" i="70"/>
  <c r="K248" i="70"/>
  <c r="L248" i="70"/>
  <c r="M248" i="70"/>
  <c r="N248" i="70"/>
  <c r="O248" i="70"/>
  <c r="P248" i="70"/>
  <c r="Q248" i="70"/>
  <c r="R248" i="70"/>
  <c r="H247" i="70"/>
  <c r="I247" i="70"/>
  <c r="J247" i="70"/>
  <c r="K247" i="70"/>
  <c r="L247" i="70"/>
  <c r="M247" i="70"/>
  <c r="N247" i="70"/>
  <c r="O247" i="70"/>
  <c r="O249" i="70" s="1"/>
  <c r="P247" i="70"/>
  <c r="P249" i="70" s="1"/>
  <c r="Q247" i="70"/>
  <c r="R247" i="70"/>
  <c r="G248" i="70"/>
  <c r="G247" i="70"/>
  <c r="A84" i="70"/>
  <c r="A83" i="70"/>
  <c r="A82" i="70"/>
  <c r="A81" i="70"/>
  <c r="A80" i="70"/>
  <c r="A79" i="70"/>
  <c r="A78" i="70"/>
  <c r="A77" i="70"/>
  <c r="A76" i="70"/>
  <c r="A75" i="70"/>
  <c r="A74" i="70"/>
  <c r="A73" i="70"/>
  <c r="A72" i="70"/>
  <c r="A71" i="70"/>
  <c r="A70" i="70"/>
  <c r="A69" i="70"/>
  <c r="A68" i="70"/>
  <c r="A67" i="70"/>
  <c r="A66" i="70"/>
  <c r="A65" i="70"/>
  <c r="A64" i="70"/>
  <c r="A63" i="70"/>
  <c r="A62" i="70"/>
  <c r="A61" i="70"/>
  <c r="A60" i="70"/>
  <c r="A59" i="70"/>
  <c r="A58" i="70"/>
  <c r="A57" i="70"/>
  <c r="A56" i="70"/>
  <c r="A55" i="70"/>
  <c r="A54" i="70"/>
  <c r="A53" i="70"/>
  <c r="A52" i="70"/>
  <c r="A51" i="70"/>
  <c r="A50" i="70"/>
  <c r="A49" i="70"/>
  <c r="A48" i="70"/>
  <c r="A47" i="70"/>
  <c r="A46" i="70"/>
  <c r="A45" i="70"/>
  <c r="A44" i="70"/>
  <c r="A43" i="70"/>
  <c r="A42" i="70"/>
  <c r="A41" i="70"/>
  <c r="A40" i="70"/>
  <c r="A36" i="70"/>
  <c r="A35" i="70"/>
  <c r="A34" i="70"/>
  <c r="A33" i="70"/>
  <c r="A32" i="70"/>
  <c r="A31" i="70"/>
  <c r="A30" i="70"/>
  <c r="A39" i="70"/>
  <c r="A38" i="70"/>
  <c r="A37" i="70"/>
  <c r="A29" i="70"/>
  <c r="A28" i="70"/>
  <c r="A27" i="70"/>
  <c r="A26" i="70"/>
  <c r="N249" i="70" l="1"/>
  <c r="M249" i="70"/>
  <c r="K249" i="70"/>
  <c r="R249" i="70"/>
  <c r="J249" i="70"/>
  <c r="Q249" i="70"/>
  <c r="L249" i="70"/>
  <c r="I249" i="70"/>
  <c r="H249" i="70"/>
  <c r="A7" i="70"/>
  <c r="A6" i="70"/>
  <c r="A5" i="70"/>
  <c r="A3" i="70"/>
  <c r="H19" i="69"/>
  <c r="I19" i="69"/>
  <c r="J19" i="69"/>
  <c r="K19" i="69"/>
  <c r="L19" i="69"/>
  <c r="M19" i="69"/>
  <c r="N19" i="69"/>
  <c r="O19" i="69"/>
  <c r="P19" i="69"/>
  <c r="Q19" i="69"/>
  <c r="R19" i="69"/>
  <c r="H17" i="69"/>
  <c r="I17" i="69"/>
  <c r="J17" i="69"/>
  <c r="K17" i="69"/>
  <c r="L17" i="69"/>
  <c r="M17" i="69"/>
  <c r="N17" i="69"/>
  <c r="O17" i="69"/>
  <c r="P17" i="69"/>
  <c r="Q17" i="69"/>
  <c r="R17" i="69"/>
  <c r="H16" i="69"/>
  <c r="I16" i="69"/>
  <c r="J16" i="69"/>
  <c r="K16" i="69"/>
  <c r="K18" i="69" s="1"/>
  <c r="L16" i="69"/>
  <c r="M16" i="69"/>
  <c r="M18" i="69" s="1"/>
  <c r="N16" i="69"/>
  <c r="N18" i="69" s="1"/>
  <c r="O16" i="69"/>
  <c r="O18" i="69" s="1"/>
  <c r="P16" i="69"/>
  <c r="Q16" i="69"/>
  <c r="R16" i="69"/>
  <c r="G19" i="69"/>
  <c r="G17" i="69"/>
  <c r="G16" i="69"/>
  <c r="A6" i="69"/>
  <c r="A3" i="69"/>
  <c r="A7" i="69"/>
  <c r="A8" i="69"/>
  <c r="A9" i="69"/>
  <c r="A10" i="69"/>
  <c r="A11" i="69"/>
  <c r="A12" i="69"/>
  <c r="A13" i="69"/>
  <c r="A14" i="69"/>
  <c r="A16" i="68"/>
  <c r="A3" i="68"/>
  <c r="A21" i="68"/>
  <c r="H25" i="68"/>
  <c r="I25" i="68"/>
  <c r="J25" i="68"/>
  <c r="K25" i="68"/>
  <c r="L25" i="68"/>
  <c r="M25" i="68"/>
  <c r="N25" i="68"/>
  <c r="O25" i="68"/>
  <c r="P25" i="68"/>
  <c r="Q25" i="68"/>
  <c r="R25" i="68"/>
  <c r="G25" i="68"/>
  <c r="H23" i="68"/>
  <c r="I23" i="68"/>
  <c r="J23" i="68"/>
  <c r="K23" i="68"/>
  <c r="L23" i="68"/>
  <c r="M23" i="68"/>
  <c r="N23" i="68"/>
  <c r="O23" i="68"/>
  <c r="P23" i="68"/>
  <c r="Q23" i="68"/>
  <c r="R23" i="68"/>
  <c r="G23" i="68"/>
  <c r="H22" i="68"/>
  <c r="I22" i="68"/>
  <c r="J22" i="68"/>
  <c r="K22" i="68"/>
  <c r="L22" i="68"/>
  <c r="M22" i="68"/>
  <c r="N22" i="68"/>
  <c r="O22" i="68"/>
  <c r="P22" i="68"/>
  <c r="Q22" i="68"/>
  <c r="R22" i="68"/>
  <c r="G22" i="68"/>
  <c r="P18" i="69" l="1"/>
  <c r="H18" i="69"/>
  <c r="N24" i="68"/>
  <c r="Q18" i="69"/>
  <c r="I18" i="69"/>
  <c r="L18" i="69"/>
  <c r="R18" i="69"/>
  <c r="J18" i="69"/>
  <c r="O24" i="68"/>
  <c r="L24" i="68"/>
  <c r="M24" i="68"/>
  <c r="K24" i="68"/>
  <c r="Q24" i="68"/>
  <c r="R24" i="68"/>
  <c r="I24" i="68"/>
  <c r="P24" i="68"/>
  <c r="J24" i="68"/>
  <c r="H24" i="68"/>
  <c r="A11" i="67"/>
  <c r="A6" i="68"/>
  <c r="A7" i="68"/>
  <c r="A8" i="68"/>
  <c r="A9" i="68"/>
  <c r="A10" i="68"/>
  <c r="A11" i="68"/>
  <c r="A12" i="68"/>
  <c r="A13" i="68"/>
  <c r="A14" i="68"/>
  <c r="A15" i="68"/>
  <c r="A9" i="67"/>
  <c r="A17" i="67"/>
  <c r="H22" i="67"/>
  <c r="I22" i="67"/>
  <c r="J22" i="67"/>
  <c r="K22" i="67"/>
  <c r="L22" i="67"/>
  <c r="M22" i="67"/>
  <c r="N22" i="67"/>
  <c r="O22" i="67"/>
  <c r="P22" i="67"/>
  <c r="Q22" i="67"/>
  <c r="R22" i="67"/>
  <c r="H23" i="67"/>
  <c r="I23" i="67"/>
  <c r="J23" i="67"/>
  <c r="K23" i="67"/>
  <c r="L23" i="67"/>
  <c r="M23" i="67"/>
  <c r="N23" i="67"/>
  <c r="O23" i="67"/>
  <c r="P23" i="67"/>
  <c r="Q23" i="67"/>
  <c r="R23" i="67"/>
  <c r="G23" i="67"/>
  <c r="G22" i="67"/>
  <c r="H25" i="67"/>
  <c r="I25" i="67"/>
  <c r="J25" i="67"/>
  <c r="K25" i="67"/>
  <c r="L25" i="67"/>
  <c r="M25" i="67"/>
  <c r="N25" i="67"/>
  <c r="O25" i="67"/>
  <c r="P25" i="67"/>
  <c r="Q25" i="67"/>
  <c r="R25" i="67"/>
  <c r="G25" i="67"/>
  <c r="A8" i="67"/>
  <c r="A3" i="67"/>
  <c r="A12" i="67"/>
  <c r="A67" i="66"/>
  <c r="A66" i="66"/>
  <c r="A69" i="66"/>
  <c r="A68" i="66"/>
  <c r="R79" i="66"/>
  <c r="Q79" i="66"/>
  <c r="P79" i="66"/>
  <c r="O79" i="66"/>
  <c r="M79" i="66"/>
  <c r="L79" i="66"/>
  <c r="K79" i="66"/>
  <c r="J79" i="66"/>
  <c r="I79" i="66"/>
  <c r="H79" i="66"/>
  <c r="G79" i="66"/>
  <c r="N79" i="66"/>
  <c r="A75" i="66"/>
  <c r="A73" i="66"/>
  <c r="A71" i="66"/>
  <c r="A65" i="66"/>
  <c r="A63" i="66"/>
  <c r="A61" i="66"/>
  <c r="A59" i="66"/>
  <c r="A57" i="66"/>
  <c r="A55" i="66"/>
  <c r="A53" i="66"/>
  <c r="A51" i="66"/>
  <c r="A49" i="66"/>
  <c r="A47" i="66"/>
  <c r="A45" i="66"/>
  <c r="A43" i="66"/>
  <c r="A41" i="66"/>
  <c r="A39" i="66"/>
  <c r="A37" i="66"/>
  <c r="A35" i="66"/>
  <c r="A33" i="66"/>
  <c r="A31" i="66"/>
  <c r="A29" i="66"/>
  <c r="H24" i="67" l="1"/>
  <c r="P24" i="67"/>
  <c r="N24" i="67"/>
  <c r="Q24" i="67"/>
  <c r="K24" i="67"/>
  <c r="R24" i="67"/>
  <c r="J24" i="67"/>
  <c r="O24" i="67"/>
  <c r="G24" i="67"/>
  <c r="I24" i="67"/>
  <c r="L24" i="67"/>
  <c r="M24" i="67"/>
  <c r="O76" i="66"/>
  <c r="P76" i="66"/>
  <c r="Q76" i="66"/>
  <c r="R76" i="66"/>
  <c r="O77" i="66"/>
  <c r="P77" i="66"/>
  <c r="Q77" i="66"/>
  <c r="R77" i="66"/>
  <c r="A27" i="66"/>
  <c r="A25" i="66"/>
  <c r="A23" i="66"/>
  <c r="A21" i="66"/>
  <c r="A19" i="66"/>
  <c r="A6" i="66"/>
  <c r="A5" i="66"/>
  <c r="A7" i="66"/>
  <c r="A8" i="66"/>
  <c r="A9" i="66"/>
  <c r="A10" i="66"/>
  <c r="A11" i="66"/>
  <c r="A12" i="66"/>
  <c r="A13" i="66"/>
  <c r="A14" i="66"/>
  <c r="A15" i="66"/>
  <c r="A16" i="66"/>
  <c r="A17" i="66"/>
  <c r="A18" i="66"/>
  <c r="R78" i="66" l="1"/>
  <c r="O78" i="66"/>
  <c r="Q78" i="66"/>
  <c r="P78" i="66"/>
  <c r="A20" i="66"/>
  <c r="A22" i="66"/>
  <c r="A24" i="66"/>
  <c r="A26" i="66"/>
  <c r="A28" i="66"/>
  <c r="A30" i="66"/>
  <c r="A32" i="66"/>
  <c r="A34" i="66"/>
  <c r="A36" i="66"/>
  <c r="A38" i="66"/>
  <c r="A3" i="66"/>
  <c r="A74" i="66"/>
  <c r="A72" i="66"/>
  <c r="A70" i="66"/>
  <c r="A21" i="71" l="1"/>
  <c r="A5" i="71"/>
  <c r="A4" i="71"/>
  <c r="A25" i="70"/>
  <c r="A24" i="70"/>
  <c r="A23" i="70"/>
  <c r="A22" i="70"/>
  <c r="A21" i="70"/>
  <c r="A20" i="70"/>
  <c r="A19" i="70"/>
  <c r="A18" i="70"/>
  <c r="A17" i="70"/>
  <c r="A16" i="70"/>
  <c r="A15" i="70"/>
  <c r="A14" i="70"/>
  <c r="A13" i="70"/>
  <c r="A12" i="70"/>
  <c r="A11" i="70"/>
  <c r="A10" i="70"/>
  <c r="A9" i="70"/>
  <c r="A8" i="70"/>
  <c r="A4" i="70"/>
  <c r="A15" i="69"/>
  <c r="A5" i="69"/>
  <c r="A4" i="69"/>
  <c r="X25" i="68"/>
  <c r="C25" i="68" s="1"/>
  <c r="A19" i="68"/>
  <c r="A18" i="68"/>
  <c r="A17" i="68"/>
  <c r="A5" i="68"/>
  <c r="A4" i="68"/>
  <c r="A10" i="67"/>
  <c r="A7" i="67"/>
  <c r="N77" i="66"/>
  <c r="M77" i="66"/>
  <c r="L77" i="66"/>
  <c r="K77" i="66"/>
  <c r="J77" i="66"/>
  <c r="I77" i="66"/>
  <c r="H77" i="66"/>
  <c r="G77" i="66"/>
  <c r="N76" i="66"/>
  <c r="M76" i="66"/>
  <c r="L76" i="66"/>
  <c r="K76" i="66"/>
  <c r="J76" i="66"/>
  <c r="I76" i="66"/>
  <c r="H76" i="66"/>
  <c r="G76" i="66"/>
  <c r="A64" i="66"/>
  <c r="A62" i="66"/>
  <c r="A60" i="66"/>
  <c r="A58" i="66"/>
  <c r="A56" i="66"/>
  <c r="A54" i="66"/>
  <c r="A52" i="66"/>
  <c r="A50" i="66"/>
  <c r="A48" i="66"/>
  <c r="A46" i="66"/>
  <c r="A44" i="66"/>
  <c r="A42" i="66"/>
  <c r="A40" i="66"/>
  <c r="A4" i="66"/>
  <c r="X22" i="71" l="1"/>
  <c r="X25" i="71"/>
  <c r="C25" i="71" s="1"/>
  <c r="X23" i="71"/>
  <c r="X247" i="70"/>
  <c r="X250" i="70"/>
  <c r="C250" i="70" s="1"/>
  <c r="X248" i="70"/>
  <c r="X17" i="69"/>
  <c r="G18" i="69"/>
  <c r="X19" i="69"/>
  <c r="C19" i="69" s="1"/>
  <c r="X23" i="68"/>
  <c r="X22" i="68"/>
  <c r="X25" i="67"/>
  <c r="C25" i="67" s="1"/>
  <c r="X23" i="67"/>
  <c r="X22" i="67"/>
  <c r="H78" i="66"/>
  <c r="I78" i="66"/>
  <c r="J78" i="66"/>
  <c r="N78" i="66"/>
  <c r="X76" i="66"/>
  <c r="X77" i="66"/>
  <c r="K78" i="66"/>
  <c r="L78" i="66"/>
  <c r="X79" i="66"/>
  <c r="C79" i="66" s="1"/>
  <c r="M78" i="66"/>
  <c r="G24" i="71"/>
  <c r="G249" i="70"/>
  <c r="X16" i="69"/>
  <c r="G24" i="68"/>
  <c r="G78" i="66"/>
  <c r="X24" i="71" l="1"/>
  <c r="C23" i="71" s="1"/>
  <c r="X249" i="70"/>
  <c r="C248" i="70" s="1"/>
  <c r="X18" i="69"/>
  <c r="C17" i="69" s="1"/>
  <c r="X24" i="68"/>
  <c r="C23" i="68" s="1"/>
  <c r="X24" i="67"/>
  <c r="C23" i="67" s="1"/>
  <c r="X78" i="66"/>
  <c r="C77" i="6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Kaneko, Tatsuya/金子 達也</author>
  </authors>
  <commentList>
    <comment ref="F164" authorId="0" shapeId="0" xr:uid="{9F38B850-344B-4AB7-A2D5-0270382829BE}">
      <text>
        <r>
          <rPr>
            <sz val="9"/>
            <color indexed="81"/>
            <rFont val="MS P ゴシック"/>
            <family val="3"/>
            <charset val="128"/>
          </rPr>
          <t>こちらはPOS連動用コードになります。</t>
        </r>
      </text>
    </comment>
  </commentList>
</comments>
</file>

<file path=xl/sharedStrings.xml><?xml version="1.0" encoding="utf-8"?>
<sst xmlns="http://schemas.openxmlformats.org/spreadsheetml/2006/main" count="3324" uniqueCount="947">
  <si>
    <t>いなげや様</t>
    <rPh sb="4" eb="5">
      <t>サマ</t>
    </rPh>
    <phoneticPr fontId="6"/>
  </si>
  <si>
    <t>ignicaPOS連携対応</t>
    <rPh sb="11" eb="13">
      <t>タイオウ</t>
    </rPh>
    <phoneticPr fontId="6"/>
  </si>
  <si>
    <t>ST仕様書兼完了報告書</t>
    <phoneticPr fontId="6"/>
  </si>
  <si>
    <t>外部連携テスト</t>
    <rPh sb="0" eb="4">
      <t>ガイブレンケイ</t>
    </rPh>
    <phoneticPr fontId="6"/>
  </si>
  <si>
    <t>第0.1版　2024年10月9日</t>
    <rPh sb="4" eb="5">
      <t>バン</t>
    </rPh>
    <rPh sb="13" eb="14">
      <t>ガツ</t>
    </rPh>
    <phoneticPr fontId="6"/>
  </si>
  <si>
    <t>富士通株式会社</t>
    <rPh sb="3" eb="5">
      <t>カブシキ</t>
    </rPh>
    <rPh sb="5" eb="7">
      <t>カイシャ</t>
    </rPh>
    <phoneticPr fontId="6"/>
  </si>
  <si>
    <t>No.</t>
    <phoneticPr fontId="3"/>
  </si>
  <si>
    <t>大分類</t>
    <rPh sb="0" eb="3">
      <t>ダイブンルイ</t>
    </rPh>
    <phoneticPr fontId="3"/>
  </si>
  <si>
    <t>中分類</t>
    <rPh sb="0" eb="3">
      <t>チュウブンルイ</t>
    </rPh>
    <phoneticPr fontId="3"/>
  </si>
  <si>
    <t>小分類</t>
    <rPh sb="0" eb="1">
      <t>ショウ</t>
    </rPh>
    <rPh sb="1" eb="3">
      <t>ブンルイ</t>
    </rPh>
    <phoneticPr fontId="3"/>
  </si>
  <si>
    <t>操作/設定</t>
    <rPh sb="0" eb="2">
      <t>ソウサ</t>
    </rPh>
    <rPh sb="3" eb="5">
      <t>セッテイ</t>
    </rPh>
    <phoneticPr fontId="3"/>
  </si>
  <si>
    <t>結果</t>
    <phoneticPr fontId="12"/>
  </si>
  <si>
    <t>POS</t>
    <phoneticPr fontId="3"/>
  </si>
  <si>
    <t>SSV</t>
    <phoneticPr fontId="3"/>
  </si>
  <si>
    <t>テスト
予定日</t>
    <rPh sb="4" eb="6">
      <t>ヨテイ</t>
    </rPh>
    <rPh sb="6" eb="7">
      <t>ニチ</t>
    </rPh>
    <phoneticPr fontId="12"/>
  </si>
  <si>
    <t>テスト結果</t>
    <rPh sb="3" eb="5">
      <t>ケッカ</t>
    </rPh>
    <phoneticPr fontId="3"/>
  </si>
  <si>
    <t>担当</t>
  </si>
  <si>
    <t>備考</t>
    <rPh sb="0" eb="2">
      <t>ビコウ</t>
    </rPh>
    <phoneticPr fontId="12"/>
  </si>
  <si>
    <t>操作</t>
    <rPh sb="0" eb="2">
      <t>ソウサ</t>
    </rPh>
    <phoneticPr fontId="12"/>
  </si>
  <si>
    <t>画面</t>
    <rPh sb="0" eb="2">
      <t>ガメン</t>
    </rPh>
    <phoneticPr fontId="3"/>
  </si>
  <si>
    <t>印字</t>
    <phoneticPr fontId="3"/>
  </si>
  <si>
    <t>演算</t>
    <phoneticPr fontId="3"/>
  </si>
  <si>
    <t>画面</t>
  </si>
  <si>
    <t>印字</t>
  </si>
  <si>
    <t>ﾌｧｲﾙ</t>
    <phoneticPr fontId="12"/>
  </si>
  <si>
    <t>名称</t>
    <rPh sb="0" eb="2">
      <t>メイショウ</t>
    </rPh>
    <phoneticPr fontId="12"/>
  </si>
  <si>
    <t>ﾚｲ
ｱｳﾄ</t>
    <phoneticPr fontId="12"/>
  </si>
  <si>
    <t>ﾛｸﾞ</t>
    <phoneticPr fontId="12"/>
  </si>
  <si>
    <t>集計</t>
    <rPh sb="0" eb="2">
      <t>シュウケイ</t>
    </rPh>
    <phoneticPr fontId="3"/>
  </si>
  <si>
    <t>OK</t>
  </si>
  <si>
    <t>NG</t>
  </si>
  <si>
    <t>再確認</t>
    <phoneticPr fontId="3"/>
  </si>
  <si>
    <t>前提条件</t>
    <rPh sb="0" eb="4">
      <t>ゼンテイジョウケン</t>
    </rPh>
    <phoneticPr fontId="12"/>
  </si>
  <si>
    <t>富士通・ignicaPOSの売り上げが混在していること</t>
    <rPh sb="14" eb="15">
      <t>ウ</t>
    </rPh>
    <rPh sb="16" eb="17">
      <t>ア</t>
    </rPh>
    <phoneticPr fontId="12"/>
  </si>
  <si>
    <t>正常系</t>
    <rPh sb="0" eb="3">
      <t>セイジョウケイ</t>
    </rPh>
    <phoneticPr fontId="12"/>
  </si>
  <si>
    <t>実績データ作成</t>
    <rPh sb="0" eb="2">
      <t>ジッセキ</t>
    </rPh>
    <rPh sb="5" eb="7">
      <t>サクセイ</t>
    </rPh>
    <phoneticPr fontId="12"/>
  </si>
  <si>
    <t>単品別時間帯別販売実績</t>
    <rPh sb="0" eb="3">
      <t>タンピンベツ</t>
    </rPh>
    <rPh sb="3" eb="7">
      <t>ジカンタイベツ</t>
    </rPh>
    <rPh sb="7" eb="11">
      <t>ハンバイジッセキ</t>
    </rPh>
    <phoneticPr fontId="12"/>
  </si>
  <si>
    <t>以下の商品パターンで売上をあげる
・JAN13 （〇）
・JAN13(0埋め5桁)
・JAN13(0埋め6桁)
・JAN8
・JAN8(0埋め7桁)
・NON-PLU
・UPC-A
・UPC-A(0埋め10桁)
・UPC-A(0埋め11桁)
・UPC-E
・インストア
・書籍
・新雑誌</t>
    <rPh sb="0" eb="2">
      <t>イカ</t>
    </rPh>
    <rPh sb="3" eb="5">
      <t>ショウヒン</t>
    </rPh>
    <rPh sb="10" eb="12">
      <t>ウリアゲ</t>
    </rPh>
    <rPh sb="36" eb="37">
      <t>ウ</t>
    </rPh>
    <rPh sb="39" eb="40">
      <t>ケタ</t>
    </rPh>
    <rPh sb="50" eb="51">
      <t>ウ</t>
    </rPh>
    <rPh sb="53" eb="54">
      <t>ケタ</t>
    </rPh>
    <rPh sb="69" eb="70">
      <t>ウ</t>
    </rPh>
    <rPh sb="72" eb="73">
      <t>ケタ</t>
    </rPh>
    <rPh sb="99" eb="100">
      <t>ウ</t>
    </rPh>
    <rPh sb="103" eb="104">
      <t>ケタ</t>
    </rPh>
    <rPh sb="114" eb="115">
      <t>ウ</t>
    </rPh>
    <rPh sb="118" eb="119">
      <t>ケタ</t>
    </rPh>
    <phoneticPr fontId="12"/>
  </si>
  <si>
    <t>富士通POSとignicaPOSの売り上げデータが合算されていること</t>
    <rPh sb="0" eb="3">
      <t>フジツウ</t>
    </rPh>
    <rPh sb="17" eb="18">
      <t>ウ</t>
    </rPh>
    <rPh sb="19" eb="20">
      <t>ア</t>
    </rPh>
    <rPh sb="25" eb="27">
      <t>ガッサン</t>
    </rPh>
    <phoneticPr fontId="12"/>
  </si>
  <si>
    <t>●</t>
    <phoneticPr fontId="12"/>
  </si>
  <si>
    <t>C:\CTKY\Data\CCR_Send
CTKY_CCR_PLU_TM_SALE</t>
    <phoneticPr fontId="12"/>
  </si>
  <si>
    <t>時間帯ごとでデータファイル作成</t>
    <rPh sb="0" eb="3">
      <t>ジカンタイ</t>
    </rPh>
    <rPh sb="13" eb="15">
      <t>サクセイ</t>
    </rPh>
    <phoneticPr fontId="12"/>
  </si>
  <si>
    <t>取引ログが出力されていること</t>
    <phoneticPr fontId="12"/>
  </si>
  <si>
    <t>部門別時間帯別販売実績</t>
    <rPh sb="0" eb="3">
      <t>ブモンベツ</t>
    </rPh>
    <rPh sb="3" eb="7">
      <t>ジカンタイベツ</t>
    </rPh>
    <rPh sb="7" eb="11">
      <t>ハンバイジッセキ</t>
    </rPh>
    <phoneticPr fontId="12"/>
  </si>
  <si>
    <t>以下の商品パターンで売上をあげる
・部門登録：野菜(200)
・外税8%
・外税10%
・内税10%
・非課税</t>
    <rPh sb="0" eb="2">
      <t>イカ</t>
    </rPh>
    <rPh sb="3" eb="5">
      <t>ショウヒン</t>
    </rPh>
    <rPh sb="10" eb="12">
      <t>ウリアゲ</t>
    </rPh>
    <rPh sb="18" eb="20">
      <t>ブモン</t>
    </rPh>
    <rPh sb="20" eb="22">
      <t>トウロク</t>
    </rPh>
    <rPh sb="23" eb="25">
      <t>ヤサイ</t>
    </rPh>
    <phoneticPr fontId="12"/>
  </si>
  <si>
    <t>C:\CTKY\Data\CCR_Send
CTKY_CCR_BMN_TM_SALE</t>
    <phoneticPr fontId="12"/>
  </si>
  <si>
    <t>店別時間帯別販売実績(客数)</t>
    <rPh sb="0" eb="2">
      <t>ミセベツ</t>
    </rPh>
    <rPh sb="2" eb="6">
      <t>ジカンタイベツ</t>
    </rPh>
    <rPh sb="6" eb="8">
      <t>ハンバイ</t>
    </rPh>
    <rPh sb="8" eb="10">
      <t>ジッセキ</t>
    </rPh>
    <rPh sb="11" eb="13">
      <t>キャクスウ</t>
    </rPh>
    <phoneticPr fontId="12"/>
  </si>
  <si>
    <t>複数のテスト店で売上をあげる</t>
    <rPh sb="0" eb="2">
      <t>フクスウ</t>
    </rPh>
    <rPh sb="6" eb="7">
      <t>テン</t>
    </rPh>
    <rPh sb="8" eb="10">
      <t>ウリアゲ</t>
    </rPh>
    <phoneticPr fontId="12"/>
  </si>
  <si>
    <t>C:\CTKY\Data\CCR_Send
CTKY_CCR_TRN_TM_COM</t>
    <phoneticPr fontId="12"/>
  </si>
  <si>
    <t>店別時間帯別販売実績(売上)</t>
    <rPh sb="0" eb="2">
      <t>ミセベツ</t>
    </rPh>
    <rPh sb="2" eb="6">
      <t>ジカンタイベツ</t>
    </rPh>
    <rPh sb="6" eb="8">
      <t>ハンバイ</t>
    </rPh>
    <rPh sb="8" eb="10">
      <t>ジッセキ</t>
    </rPh>
    <rPh sb="11" eb="13">
      <t>ウリアゲ</t>
    </rPh>
    <phoneticPr fontId="12"/>
  </si>
  <si>
    <t>C:\CTKY\Data\CCR_Send
CTKY_CCR_TRN_TM_SALE</t>
    <phoneticPr fontId="12"/>
  </si>
  <si>
    <t>単品別時間帯別値引実績</t>
    <rPh sb="0" eb="3">
      <t>タンピンベツ</t>
    </rPh>
    <rPh sb="3" eb="7">
      <t>ジカンタイベツ</t>
    </rPh>
    <rPh sb="7" eb="9">
      <t>ネビ</t>
    </rPh>
    <rPh sb="9" eb="11">
      <t>ジッセキ</t>
    </rPh>
    <phoneticPr fontId="12"/>
  </si>
  <si>
    <t>以下の商品パターンでそれぞれマニュアル値引をして売上をあげる
・JAN13
・JAN13(0埋め5桁)
・JAN13(0埋め6桁)
・JAN8
・JAN8(0埋め7桁)
・NON-PLU
・UPC-A
・UPC-A(0埋め10桁)
・UPC-A(0埋め11桁)
・UPC-E
・インストア
・書籍
・新雑誌</t>
    <rPh sb="0" eb="2">
      <t>イカ</t>
    </rPh>
    <rPh sb="3" eb="5">
      <t>ショウヒン</t>
    </rPh>
    <rPh sb="19" eb="21">
      <t>ネビキ</t>
    </rPh>
    <rPh sb="24" eb="26">
      <t>ウリアゲ</t>
    </rPh>
    <rPh sb="46" eb="47">
      <t>ウ</t>
    </rPh>
    <rPh sb="49" eb="50">
      <t>ケタ</t>
    </rPh>
    <rPh sb="60" eb="61">
      <t>ウ</t>
    </rPh>
    <rPh sb="63" eb="64">
      <t>ケタ</t>
    </rPh>
    <rPh sb="79" eb="80">
      <t>ウ</t>
    </rPh>
    <rPh sb="82" eb="83">
      <t>ケタ</t>
    </rPh>
    <rPh sb="109" eb="110">
      <t>ウ</t>
    </rPh>
    <rPh sb="113" eb="114">
      <t>ケタ</t>
    </rPh>
    <rPh sb="124" eb="125">
      <t>ウ</t>
    </rPh>
    <rPh sb="128" eb="129">
      <t>ケタ</t>
    </rPh>
    <phoneticPr fontId="12"/>
  </si>
  <si>
    <t>C:\CTKY\Data\CCR_Send
CTKY_CCR_PLU_TM_DISC</t>
    <phoneticPr fontId="12"/>
  </si>
  <si>
    <t>部門別時間帯別値引実績</t>
    <rPh sb="0" eb="3">
      <t>ブモンベツ</t>
    </rPh>
    <rPh sb="3" eb="7">
      <t>ジカンタイベツ</t>
    </rPh>
    <rPh sb="7" eb="9">
      <t>ネビ</t>
    </rPh>
    <rPh sb="9" eb="11">
      <t>ジッセキ</t>
    </rPh>
    <phoneticPr fontId="12"/>
  </si>
  <si>
    <t>以下の商品パターンでそれぞれマニュアル値引をして売上をあげる
・部門登録：野菜
・外税8%
・外税10%
・内税
・非課税</t>
    <rPh sb="0" eb="2">
      <t>イカ</t>
    </rPh>
    <rPh sb="3" eb="5">
      <t>ショウヒン</t>
    </rPh>
    <rPh sb="19" eb="21">
      <t>ネビキ</t>
    </rPh>
    <rPh sb="24" eb="26">
      <t>ウリアゲ</t>
    </rPh>
    <rPh sb="32" eb="34">
      <t>ブモン</t>
    </rPh>
    <rPh sb="34" eb="36">
      <t>トウロク</t>
    </rPh>
    <rPh sb="37" eb="39">
      <t>ヤサイ</t>
    </rPh>
    <phoneticPr fontId="12"/>
  </si>
  <si>
    <t>C:\CTKY\Data\CCR_Send
CTKY_CCR_BMN_TM_DISC</t>
    <phoneticPr fontId="12"/>
  </si>
  <si>
    <t>部門別時間帯別客数</t>
    <rPh sb="0" eb="3">
      <t>ブモンベツ</t>
    </rPh>
    <rPh sb="3" eb="7">
      <t>ジカンタイベツ</t>
    </rPh>
    <rPh sb="7" eb="9">
      <t>キャクスウ</t>
    </rPh>
    <phoneticPr fontId="12"/>
  </si>
  <si>
    <t>以下の商品パターンで売上をあげる
・部門登録：野菜(200)
・外税8%
・外税10%
・内税
・非課税</t>
    <rPh sb="0" eb="2">
      <t>イカ</t>
    </rPh>
    <rPh sb="3" eb="5">
      <t>ショウヒン</t>
    </rPh>
    <rPh sb="10" eb="12">
      <t>ウリアゲ</t>
    </rPh>
    <rPh sb="18" eb="20">
      <t>ブモン</t>
    </rPh>
    <rPh sb="20" eb="22">
      <t>トウロク</t>
    </rPh>
    <rPh sb="23" eb="25">
      <t>ヤサイ</t>
    </rPh>
    <phoneticPr fontId="12"/>
  </si>
  <si>
    <t>C:\CTKY\Data\CCR_Send
CTKY_CCR_BMN_TM_COM</t>
    <phoneticPr fontId="12"/>
  </si>
  <si>
    <t>単品別時間帯別販売実績(ALL)</t>
    <rPh sb="0" eb="3">
      <t>タンピンベツ</t>
    </rPh>
    <rPh sb="3" eb="7">
      <t>ジカンタイベツ</t>
    </rPh>
    <rPh sb="7" eb="11">
      <t>ハンバイジッセキ</t>
    </rPh>
    <phoneticPr fontId="12"/>
  </si>
  <si>
    <t>以下の商品パターンで売上をあげる
・JAN13
・JAN13(0埋め5桁)
・JAN13(0埋め6桁)
・JAN8
・JAN8(0埋め7桁)
・NON-PLU
・UPC-A
・UPC-A(0埋め10桁)
・UPC-A(0埋め11桁)
・UPC-E
・インストア
・書籍
・新雑誌</t>
    <rPh sb="0" eb="2">
      <t>イカ</t>
    </rPh>
    <rPh sb="3" eb="5">
      <t>ショウヒン</t>
    </rPh>
    <rPh sb="10" eb="12">
      <t>ウリアゲ</t>
    </rPh>
    <rPh sb="32" eb="33">
      <t>ウ</t>
    </rPh>
    <rPh sb="35" eb="36">
      <t>ケタ</t>
    </rPh>
    <rPh sb="46" eb="47">
      <t>ウ</t>
    </rPh>
    <rPh sb="49" eb="50">
      <t>ケタ</t>
    </rPh>
    <rPh sb="65" eb="66">
      <t>ウ</t>
    </rPh>
    <rPh sb="68" eb="69">
      <t>ケタ</t>
    </rPh>
    <rPh sb="95" eb="96">
      <t>ウ</t>
    </rPh>
    <rPh sb="99" eb="100">
      <t>ケタ</t>
    </rPh>
    <rPh sb="110" eb="111">
      <t>ウ</t>
    </rPh>
    <rPh sb="114" eb="115">
      <t>ケタ</t>
    </rPh>
    <phoneticPr fontId="12"/>
  </si>
  <si>
    <t>C$:CTKY\Data\CCR_SendBack\01
or
運管SV:E$:BACKUP\RECV\PSA\005
CTKY_CCR_PLU_TM_SALE_ALL</t>
    <rPh sb="32" eb="34">
      <t>ウンカン</t>
    </rPh>
    <phoneticPr fontId="12"/>
  </si>
  <si>
    <t>SSV閉局処理にてデータファイル作成</t>
    <rPh sb="3" eb="5">
      <t>ヘイキョク</t>
    </rPh>
    <rPh sb="5" eb="7">
      <t>ショリ</t>
    </rPh>
    <rPh sb="16" eb="18">
      <t>サクセイ</t>
    </rPh>
    <phoneticPr fontId="12"/>
  </si>
  <si>
    <t>部門別時間帯別販売実績(ALL)</t>
    <rPh sb="0" eb="2">
      <t>ブモン</t>
    </rPh>
    <rPh sb="2" eb="3">
      <t>ベツ</t>
    </rPh>
    <rPh sb="3" eb="7">
      <t>ジカンタイベツ</t>
    </rPh>
    <rPh sb="7" eb="11">
      <t>ハンバイジッセキ</t>
    </rPh>
    <phoneticPr fontId="12"/>
  </si>
  <si>
    <t>CTKY_CCR_BMN_TM_SALE_ALL</t>
    <phoneticPr fontId="12"/>
  </si>
  <si>
    <t>店別時間帯別販売実績(客数)(ALL)</t>
    <rPh sb="0" eb="1">
      <t>ミセ</t>
    </rPh>
    <rPh sb="1" eb="2">
      <t>ベツ</t>
    </rPh>
    <rPh sb="2" eb="6">
      <t>ジカンタイベツ</t>
    </rPh>
    <rPh sb="6" eb="10">
      <t>ハンバイジッセキ</t>
    </rPh>
    <rPh sb="11" eb="13">
      <t>キャクスウ</t>
    </rPh>
    <phoneticPr fontId="12"/>
  </si>
  <si>
    <t>CTKY_CCR_TRN_TM_COM_ALL</t>
  </si>
  <si>
    <t>店別時間帯別販売実績(売上)(ALL)</t>
    <rPh sb="0" eb="1">
      <t>ミセ</t>
    </rPh>
    <rPh sb="1" eb="2">
      <t>ベツ</t>
    </rPh>
    <rPh sb="2" eb="6">
      <t>ジカンタイベツ</t>
    </rPh>
    <rPh sb="6" eb="10">
      <t>ハンバイジッセキ</t>
    </rPh>
    <rPh sb="11" eb="13">
      <t>ウリアゲ</t>
    </rPh>
    <phoneticPr fontId="12"/>
  </si>
  <si>
    <t>CTKY_CCR_TRN_TM_SALE_ALL</t>
  </si>
  <si>
    <t>単品別時間帯別値引実績(ALL)</t>
    <rPh sb="0" eb="3">
      <t>タンピンベツ</t>
    </rPh>
    <rPh sb="3" eb="7">
      <t>ジカンタイベツ</t>
    </rPh>
    <rPh sb="7" eb="11">
      <t>ネビキジッセキ</t>
    </rPh>
    <phoneticPr fontId="12"/>
  </si>
  <si>
    <t>CTKY_CCR_PLU_TM_DISC_ALL</t>
  </si>
  <si>
    <t>部門別時間帯別値引実績(ALL)</t>
    <rPh sb="0" eb="3">
      <t>ブモンベツ</t>
    </rPh>
    <rPh sb="3" eb="7">
      <t>ジカンタイベツ</t>
    </rPh>
    <rPh sb="7" eb="11">
      <t>ネビキジッセキ</t>
    </rPh>
    <phoneticPr fontId="12"/>
  </si>
  <si>
    <t xml:space="preserve">
CTKY_CCR_BMN_TM_DISC_ALL</t>
    <phoneticPr fontId="12"/>
  </si>
  <si>
    <t>部門別時間帯別客数(ALL)</t>
    <rPh sb="0" eb="3">
      <t>ブモンベツ</t>
    </rPh>
    <rPh sb="3" eb="7">
      <t>ジカンタイベツ</t>
    </rPh>
    <rPh sb="7" eb="9">
      <t>キャクスウ</t>
    </rPh>
    <phoneticPr fontId="12"/>
  </si>
  <si>
    <t>CTKY_CCR_BMN_TM_COM_ALL</t>
  </si>
  <si>
    <t>全トラン</t>
    <rPh sb="0" eb="1">
      <t>ゼン</t>
    </rPh>
    <phoneticPr fontId="12"/>
  </si>
  <si>
    <t>他項目での売上とignicaの売上を合算して確認する</t>
    <rPh sb="0" eb="1">
      <t>ホカ</t>
    </rPh>
    <rPh sb="1" eb="3">
      <t>コウモク</t>
    </rPh>
    <rPh sb="5" eb="7">
      <t>ウリアゲ</t>
    </rPh>
    <rPh sb="15" eb="17">
      <t>ウリアゲ</t>
    </rPh>
    <rPh sb="18" eb="20">
      <t>ガッサン</t>
    </rPh>
    <rPh sb="22" eb="24">
      <t>カクニン</t>
    </rPh>
    <phoneticPr fontId="12"/>
  </si>
  <si>
    <t>C:\siams\bat\file\cms\sendbak\bakyyyymmdd
ALL_TRANSACTION.DAT</t>
    <phoneticPr fontId="12"/>
  </si>
  <si>
    <t>単品別時間帯別販売実績 
※AOF向け部門制御</t>
    <rPh sb="0" eb="3">
      <t>タンピンベツ</t>
    </rPh>
    <rPh sb="3" eb="7">
      <t>ジカンタイベツ</t>
    </rPh>
    <rPh sb="7" eb="11">
      <t>ハンバイジッセキ</t>
    </rPh>
    <rPh sb="17" eb="18">
      <t>ム</t>
    </rPh>
    <rPh sb="19" eb="21">
      <t>ブモン</t>
    </rPh>
    <rPh sb="21" eb="23">
      <t>セイギョ</t>
    </rPh>
    <phoneticPr fontId="12"/>
  </si>
  <si>
    <t>CTKY_CCR_TRN_TM_COM_NAR</t>
    <phoneticPr fontId="12"/>
  </si>
  <si>
    <t>店別時間帯別販売実績(客数)
※AOF向け部門制御</t>
    <phoneticPr fontId="12"/>
  </si>
  <si>
    <t>CTKY_CCR_PLU_TM_SALE_NAR</t>
  </si>
  <si>
    <t>単品別時間帯別値引実績
※AOF向け部門制御</t>
    <phoneticPr fontId="12"/>
  </si>
  <si>
    <t>CTKY_CCR_PLU_TM_DISC_NAR</t>
  </si>
  <si>
    <t>日別部門別実績データ</t>
    <rPh sb="0" eb="1">
      <t>ヒ</t>
    </rPh>
    <rPh sb="1" eb="2">
      <t>ベツ</t>
    </rPh>
    <rPh sb="2" eb="4">
      <t>ブモン</t>
    </rPh>
    <rPh sb="4" eb="5">
      <t>ベツ</t>
    </rPh>
    <rPh sb="5" eb="7">
      <t>ジッセキ</t>
    </rPh>
    <phoneticPr fontId="1"/>
  </si>
  <si>
    <t>C:\siams\bat\file\cms\sendbak\bakyyyymmdd
SLSDPTDAY</t>
    <phoneticPr fontId="12"/>
  </si>
  <si>
    <t>時間帯別部門別実績データ</t>
    <rPh sb="0" eb="3">
      <t>ジカンタイ</t>
    </rPh>
    <rPh sb="3" eb="4">
      <t>ベツ</t>
    </rPh>
    <rPh sb="4" eb="6">
      <t>ブモン</t>
    </rPh>
    <rPh sb="6" eb="7">
      <t>ベツ</t>
    </rPh>
    <rPh sb="7" eb="9">
      <t>ジッセキ</t>
    </rPh>
    <phoneticPr fontId="1"/>
  </si>
  <si>
    <t>C:\siams\bat\file\cms\sendbak\bakyyyymmdd
SLSDPTTIME</t>
    <phoneticPr fontId="12"/>
  </si>
  <si>
    <t>日別単品別実績データ</t>
    <rPh sb="0" eb="1">
      <t>ヒ</t>
    </rPh>
    <rPh sb="1" eb="2">
      <t>ベツ</t>
    </rPh>
    <rPh sb="2" eb="4">
      <t>タンピン</t>
    </rPh>
    <rPh sb="4" eb="5">
      <t>ベツ</t>
    </rPh>
    <rPh sb="5" eb="7">
      <t>ジッセキ</t>
    </rPh>
    <phoneticPr fontId="1"/>
  </si>
  <si>
    <t>C:\siams\bat\file\cms\sendbak\bakyyyymmdd
SLSITEMDAY</t>
    <phoneticPr fontId="12"/>
  </si>
  <si>
    <t>時間帯別単品実績データ</t>
    <rPh sb="0" eb="3">
      <t>ジカンタイ</t>
    </rPh>
    <rPh sb="3" eb="4">
      <t>ベツ</t>
    </rPh>
    <rPh sb="4" eb="6">
      <t>タンピン</t>
    </rPh>
    <rPh sb="6" eb="8">
      <t>ジッセキ</t>
    </rPh>
    <phoneticPr fontId="1"/>
  </si>
  <si>
    <t>C:\siams\bat\file\cms\sendbak\bakyyyymmdd
SLSITEMTIME</t>
    <phoneticPr fontId="12"/>
  </si>
  <si>
    <t>ＭＩＯ実績データ</t>
    <rPh sb="3" eb="5">
      <t>ジッセキ</t>
    </rPh>
    <phoneticPr fontId="1"/>
  </si>
  <si>
    <t>Vカード宣言・Vカード支払いを実施</t>
    <rPh sb="4" eb="6">
      <t>センゲン</t>
    </rPh>
    <rPh sb="11" eb="13">
      <t>シハラ</t>
    </rPh>
    <rPh sb="15" eb="17">
      <t>ジッシ</t>
    </rPh>
    <phoneticPr fontId="12"/>
  </si>
  <si>
    <t>〇</t>
  </si>
  <si>
    <t>C:\siams\bat\file\cms\sendbak\bakyyyymmdd
SLSMIO</t>
    <phoneticPr fontId="12"/>
  </si>
  <si>
    <t>催事明細ログデータ</t>
    <rPh sb="0" eb="2">
      <t>サイジ</t>
    </rPh>
    <rPh sb="2" eb="4">
      <t>メイサイ</t>
    </rPh>
    <phoneticPr fontId="1"/>
  </si>
  <si>
    <t>テスト用企画を作成して売上をあげる</t>
    <rPh sb="3" eb="4">
      <t>ヨウ</t>
    </rPh>
    <rPh sb="4" eb="6">
      <t>キカク</t>
    </rPh>
    <rPh sb="7" eb="9">
      <t>サクセイ</t>
    </rPh>
    <rPh sb="11" eb="13">
      <t>ウリアゲ</t>
    </rPh>
    <phoneticPr fontId="12"/>
  </si>
  <si>
    <t>C:\siams\bat\file\cms\sendbak\bakyyyymmdd
EVNTDTLLOG</t>
    <phoneticPr fontId="12"/>
  </si>
  <si>
    <t>売上報告（店売上）データ</t>
    <rPh sb="0" eb="2">
      <t>ウリアゲ</t>
    </rPh>
    <rPh sb="2" eb="4">
      <t>ホウコク</t>
    </rPh>
    <rPh sb="5" eb="6">
      <t>ミセ</t>
    </rPh>
    <rPh sb="6" eb="8">
      <t>ウリアゲ</t>
    </rPh>
    <phoneticPr fontId="1"/>
  </si>
  <si>
    <t>POSで精算を実施する</t>
    <rPh sb="4" eb="6">
      <t>セイサン</t>
    </rPh>
    <rPh sb="7" eb="9">
      <t>ジッシ</t>
    </rPh>
    <phoneticPr fontId="12"/>
  </si>
  <si>
    <t>C:\siams\bat\file\cms\sendbak\bakyyyymmdd
RPTSLSSTOR</t>
    <phoneticPr fontId="12"/>
  </si>
  <si>
    <t>売上報告（部門売上）データ</t>
    <rPh sb="0" eb="2">
      <t>ウリアゲ</t>
    </rPh>
    <rPh sb="2" eb="4">
      <t>ホウコク</t>
    </rPh>
    <rPh sb="5" eb="7">
      <t>ブモン</t>
    </rPh>
    <rPh sb="7" eb="9">
      <t>ウリアゲ</t>
    </rPh>
    <phoneticPr fontId="1"/>
  </si>
  <si>
    <t>C:\siams\bat\file\cms\sendbak\bakyyyymmdd
RPTSLSDPT</t>
    <phoneticPr fontId="12"/>
  </si>
  <si>
    <t>レジスター精算データ</t>
    <rPh sb="5" eb="7">
      <t>セイサン</t>
    </rPh>
    <phoneticPr fontId="1"/>
  </si>
  <si>
    <t>C:\siams\bat\file\cms\sendbak\bakyyyymmdd
ACTREGI</t>
    <phoneticPr fontId="12"/>
  </si>
  <si>
    <t>レジスター精算（店売上）データ</t>
    <rPh sb="5" eb="7">
      <t>セイサン</t>
    </rPh>
    <rPh sb="8" eb="9">
      <t>ミセ</t>
    </rPh>
    <rPh sb="9" eb="11">
      <t>ウリアゲ</t>
    </rPh>
    <phoneticPr fontId="1"/>
  </si>
  <si>
    <t>C:\siams\bat\file\cms\sendbak\bakyyyymmdd
ACTSTOR</t>
    <phoneticPr fontId="12"/>
  </si>
  <si>
    <t>レジスター精算（部門売上）データ</t>
    <rPh sb="5" eb="7">
      <t>セイサン</t>
    </rPh>
    <rPh sb="8" eb="10">
      <t>ブモン</t>
    </rPh>
    <rPh sb="10" eb="12">
      <t>ウリアゲ</t>
    </rPh>
    <phoneticPr fontId="1"/>
  </si>
  <si>
    <t>C:\siams\bat\file\cms\sendbak\bakyyyymmdd
ACTDPT</t>
    <phoneticPr fontId="12"/>
  </si>
  <si>
    <t>入出金明細データ</t>
    <rPh sb="0" eb="3">
      <t>ニュウシュッキン</t>
    </rPh>
    <rPh sb="3" eb="5">
      <t>メイサイ</t>
    </rPh>
    <phoneticPr fontId="1"/>
  </si>
  <si>
    <t>Xモード：入金、Zモード：出金を実施する</t>
    <rPh sb="5" eb="7">
      <t>ニュウキン</t>
    </rPh>
    <rPh sb="13" eb="15">
      <t>シュッキン</t>
    </rPh>
    <rPh sb="16" eb="18">
      <t>ジッシ</t>
    </rPh>
    <phoneticPr fontId="12"/>
  </si>
  <si>
    <t>ｘ</t>
    <phoneticPr fontId="12"/>
  </si>
  <si>
    <t>C:\siams\bat\file\cms\sendbak\bakyyyymmdd
RSTYDTL</t>
    <phoneticPr fontId="12"/>
  </si>
  <si>
    <t>小計割引実績ファイル</t>
    <rPh sb="0" eb="1">
      <t>ショウ</t>
    </rPh>
    <rPh sb="1" eb="2">
      <t>ケイ</t>
    </rPh>
    <rPh sb="2" eb="4">
      <t>ワリビキ</t>
    </rPh>
    <rPh sb="4" eb="6">
      <t>ジッセキ</t>
    </rPh>
    <phoneticPr fontId="1"/>
  </si>
  <si>
    <t>さんにち割を設定して売上をあげる</t>
    <rPh sb="4" eb="5">
      <t>ワリ</t>
    </rPh>
    <rPh sb="6" eb="8">
      <t>セッテイ</t>
    </rPh>
    <rPh sb="10" eb="12">
      <t>ウリアゲ</t>
    </rPh>
    <phoneticPr fontId="12"/>
  </si>
  <si>
    <t>C:\siams\bat\file\cms\sendbak\bakyyyymmdd
CTKY_SUBDISC_DATA.dat</t>
    <phoneticPr fontId="12"/>
  </si>
  <si>
    <t>単品付与実績データ</t>
    <rPh sb="0" eb="2">
      <t>タンピン</t>
    </rPh>
    <rPh sb="2" eb="4">
      <t>フヨ</t>
    </rPh>
    <rPh sb="4" eb="6">
      <t>ジッセキ</t>
    </rPh>
    <phoneticPr fontId="1"/>
  </si>
  <si>
    <t>ポイントプラスを商品に設定して売上をあげる</t>
    <rPh sb="8" eb="10">
      <t>ショウヒン</t>
    </rPh>
    <rPh sb="11" eb="13">
      <t>セッテイ</t>
    </rPh>
    <rPh sb="15" eb="17">
      <t>ウリアゲ</t>
    </rPh>
    <phoneticPr fontId="12"/>
  </si>
  <si>
    <t>C:\siams\bat\file\cms\sendbak\bakyyyymmdd
CTKY_ITEM_ADD_DATA.txt</t>
    <phoneticPr fontId="12"/>
  </si>
  <si>
    <t>日別単品別実績データ（部門・ｸﾗｽ）</t>
    <rPh sb="0" eb="1">
      <t>ヒ</t>
    </rPh>
    <rPh sb="1" eb="2">
      <t>ベツ</t>
    </rPh>
    <rPh sb="2" eb="4">
      <t>タンピン</t>
    </rPh>
    <rPh sb="4" eb="5">
      <t>ベツ</t>
    </rPh>
    <rPh sb="5" eb="7">
      <t>ジッセキ</t>
    </rPh>
    <rPh sb="11" eb="13">
      <t>ブモン</t>
    </rPh>
    <phoneticPr fontId="1"/>
  </si>
  <si>
    <t>C:\siams\bat\file\cms\sendbak\bakyyyymmdd
SLSITEMDAYADD</t>
    <phoneticPr fontId="12"/>
  </si>
  <si>
    <t>クレジット明細データ（DMPS）</t>
    <rPh sb="5" eb="7">
      <t>メイサイ</t>
    </rPh>
    <phoneticPr fontId="1"/>
  </si>
  <si>
    <t>他社クレジット、Vカードでの売上を実施</t>
    <rPh sb="0" eb="2">
      <t>タシャ</t>
    </rPh>
    <rPh sb="14" eb="16">
      <t>ウリアゲ</t>
    </rPh>
    <rPh sb="17" eb="19">
      <t>ジッシ</t>
    </rPh>
    <phoneticPr fontId="12"/>
  </si>
  <si>
    <t>C:\siams\bat\file\cms\sendbak\bakyyyymmdd
CR_TRAN.DAT</t>
    <phoneticPr fontId="12"/>
  </si>
  <si>
    <t>夜間バッチ処理にてデータファイル作成</t>
    <rPh sb="0" eb="2">
      <t>ヤカン</t>
    </rPh>
    <rPh sb="5" eb="7">
      <t>ショリ</t>
    </rPh>
    <rPh sb="16" eb="18">
      <t>サクセイ</t>
    </rPh>
    <phoneticPr fontId="12"/>
  </si>
  <si>
    <t>SLSITEMDAY</t>
  </si>
  <si>
    <t>単品別時間帯別販売実績（テキスト出力）</t>
    <rPh sb="0" eb="2">
      <t>タンピン</t>
    </rPh>
    <rPh sb="2" eb="3">
      <t>ベツ</t>
    </rPh>
    <rPh sb="3" eb="6">
      <t>ジカンタイ</t>
    </rPh>
    <rPh sb="6" eb="7">
      <t>ベツ</t>
    </rPh>
    <rPh sb="7" eb="9">
      <t>ハンバイ</t>
    </rPh>
    <rPh sb="9" eb="11">
      <t>ジッセキ</t>
    </rPh>
    <rPh sb="16" eb="18">
      <t>シュツリョク</t>
    </rPh>
    <phoneticPr fontId="1"/>
  </si>
  <si>
    <t>Txt_PluTmPr60.txt</t>
    <phoneticPr fontId="12"/>
  </si>
  <si>
    <t>OK数(●)：</t>
    <phoneticPr fontId="3"/>
  </si>
  <si>
    <t>合計</t>
    <rPh sb="0" eb="2">
      <t>ゴウケイ</t>
    </rPh>
    <phoneticPr fontId="12"/>
  </si>
  <si>
    <t>計：</t>
    <rPh sb="0" eb="1">
      <t>ケイ</t>
    </rPh>
    <phoneticPr fontId="12"/>
  </si>
  <si>
    <t>消化テスト項目数：</t>
    <phoneticPr fontId="12"/>
  </si>
  <si>
    <t>NG数(×)：</t>
    <phoneticPr fontId="12"/>
  </si>
  <si>
    <t xml:space="preserve"> </t>
  </si>
  <si>
    <t>消化項目数：</t>
  </si>
  <si>
    <t>全テスト項目数：</t>
    <phoneticPr fontId="12"/>
  </si>
  <si>
    <t>全項目数：</t>
  </si>
  <si>
    <t>テスト
予定日</t>
    <rPh sb="4" eb="7">
      <t>ヨテイビ</t>
    </rPh>
    <phoneticPr fontId="12"/>
  </si>
  <si>
    <t>ignicaPOSでカタリナクーポンを使用して取引すること</t>
    <rPh sb="19" eb="21">
      <t>シヨウ</t>
    </rPh>
    <rPh sb="23" eb="25">
      <t>トリヒキ</t>
    </rPh>
    <phoneticPr fontId="12"/>
  </si>
  <si>
    <t>カタリナクーポン利用</t>
    <rPh sb="8" eb="10">
      <t>リヨウ</t>
    </rPh>
    <phoneticPr fontId="12"/>
  </si>
  <si>
    <t>TRANSACTION_TENDER</t>
    <phoneticPr fontId="12"/>
  </si>
  <si>
    <t>メーカークーポン</t>
    <phoneticPr fontId="12"/>
  </si>
  <si>
    <t>メーカークーポンを使用して取引をすること</t>
    <rPh sb="9" eb="11">
      <t>シヨウ</t>
    </rPh>
    <rPh sb="13" eb="15">
      <t>トリヒキ</t>
    </rPh>
    <phoneticPr fontId="12"/>
  </si>
  <si>
    <t>取引ログが出力されていること
TND_CDに「186」の値があること</t>
    <rPh sb="0" eb="2">
      <t>トリヒキ</t>
    </rPh>
    <rPh sb="5" eb="7">
      <t>シュツリョク</t>
    </rPh>
    <rPh sb="28" eb="29">
      <t>アタイ</t>
    </rPh>
    <phoneticPr fontId="12"/>
  </si>
  <si>
    <t>取引ログが出力されていること
AMTにクーポンの金額がマイナス値で入っていること</t>
    <rPh sb="0" eb="2">
      <t>トリヒキ</t>
    </rPh>
    <rPh sb="5" eb="7">
      <t>シュツリョク</t>
    </rPh>
    <rPh sb="24" eb="26">
      <t>キンガク</t>
    </rPh>
    <rPh sb="31" eb="32">
      <t>チ</t>
    </rPh>
    <rPh sb="33" eb="34">
      <t>ハイ</t>
    </rPh>
    <phoneticPr fontId="12"/>
  </si>
  <si>
    <t>取引ログが出力されていること
TND_AMTにAMTと同じ値があること</t>
    <rPh sb="0" eb="2">
      <t>トリヒキ</t>
    </rPh>
    <rPh sb="5" eb="7">
      <t>シュツリョク</t>
    </rPh>
    <rPh sb="27" eb="28">
      <t>オナ</t>
    </rPh>
    <rPh sb="29" eb="30">
      <t>アタイ</t>
    </rPh>
    <phoneticPr fontId="12"/>
  </si>
  <si>
    <t>取引ログが出力されていること
VOID_CDに「0」の値があること</t>
    <rPh sb="0" eb="2">
      <t>トリヒキ</t>
    </rPh>
    <rPh sb="5" eb="7">
      <t>シュツリョク</t>
    </rPh>
    <rPh sb="27" eb="28">
      <t>アタイ</t>
    </rPh>
    <phoneticPr fontId="12"/>
  </si>
  <si>
    <t>取引ログが出力されていること
GSFD_GIFT_CERT_CNTに使用したクーポンの枚数があること</t>
    <rPh sb="0" eb="2">
      <t>トリヒキ</t>
    </rPh>
    <rPh sb="5" eb="7">
      <t>シュツリョク</t>
    </rPh>
    <rPh sb="34" eb="36">
      <t>シヨウ</t>
    </rPh>
    <rPh sb="43" eb="45">
      <t>マイスウ</t>
    </rPh>
    <phoneticPr fontId="12"/>
  </si>
  <si>
    <t>取引ログが出力されていること
GSFD_GIFT_BARCORDに利用したクーポンバーコードの値があること</t>
    <rPh sb="0" eb="2">
      <t>トリヒキ</t>
    </rPh>
    <rPh sb="5" eb="7">
      <t>シュツリョク</t>
    </rPh>
    <rPh sb="33" eb="35">
      <t>リヨウ</t>
    </rPh>
    <rPh sb="47" eb="48">
      <t>アタイ</t>
    </rPh>
    <phoneticPr fontId="12"/>
  </si>
  <si>
    <t>ストアクーポン</t>
    <phoneticPr fontId="12"/>
  </si>
  <si>
    <t>ストアクーポンを使用して取引をすること</t>
    <rPh sb="8" eb="10">
      <t>シヨウ</t>
    </rPh>
    <rPh sb="12" eb="14">
      <t>トリヒキ</t>
    </rPh>
    <phoneticPr fontId="12"/>
  </si>
  <si>
    <t>取引ログが出力されていること
TND_CDに「187」の値があること</t>
    <rPh sb="0" eb="2">
      <t>トリヒキ</t>
    </rPh>
    <rPh sb="5" eb="7">
      <t>シュツリョク</t>
    </rPh>
    <rPh sb="28" eb="29">
      <t>アタイ</t>
    </rPh>
    <phoneticPr fontId="12"/>
  </si>
  <si>
    <t>ignicaPOSでd払い売上をあげる</t>
    <rPh sb="11" eb="12">
      <t>ハラ</t>
    </rPh>
    <rPh sb="13" eb="15">
      <t>ウリアゲ</t>
    </rPh>
    <phoneticPr fontId="12"/>
  </si>
  <si>
    <t>TRANSACTION_TENDERテーブル
GSFD_CARD_LOG_DATA_HOUSEカラム
データ部</t>
    <rPh sb="54" eb="55">
      <t>ブ</t>
    </rPh>
    <phoneticPr fontId="12"/>
  </si>
  <si>
    <t>桁数</t>
  </si>
  <si>
    <t>コード決済抽テーブルのデータ部の値を確認する</t>
    <rPh sb="3" eb="5">
      <t>ケッサイ</t>
    </rPh>
    <rPh sb="5" eb="6">
      <t>チュウ</t>
    </rPh>
    <rPh sb="14" eb="15">
      <t>ブ</t>
    </rPh>
    <rPh sb="16" eb="17">
      <t>アタイ</t>
    </rPh>
    <rPh sb="18" eb="20">
      <t>カクニン</t>
    </rPh>
    <phoneticPr fontId="12"/>
  </si>
  <si>
    <t>"16" 固定となっていること</t>
    <phoneticPr fontId="12"/>
  </si>
  <si>
    <t>○</t>
    <phoneticPr fontId="12"/>
  </si>
  <si>
    <t>詳細は「UI-03_トラン連携対応_レイアウト_第1.3版」
「コード決済取引明細ログレイアウト」シートを参照</t>
    <rPh sb="37" eb="41">
      <t>トリヒキメイサイ</t>
    </rPh>
    <phoneticPr fontId="12"/>
  </si>
  <si>
    <t>アイテム識別</t>
    <rPh sb="4" eb="6">
      <t>シキベツ</t>
    </rPh>
    <phoneticPr fontId="4"/>
  </si>
  <si>
    <t>"H1" 固定となっていること</t>
    <rPh sb="5" eb="7">
      <t>コテイ</t>
    </rPh>
    <phoneticPr fontId="4"/>
  </si>
  <si>
    <t>〃</t>
    <phoneticPr fontId="12"/>
  </si>
  <si>
    <t>業務区分コード</t>
    <rPh sb="0" eb="2">
      <t>ギョウム</t>
    </rPh>
    <rPh sb="2" eb="4">
      <t>クブン</t>
    </rPh>
    <phoneticPr fontId="4"/>
  </si>
  <si>
    <t>"2003"となっていること</t>
    <phoneticPr fontId="4"/>
  </si>
  <si>
    <t>暗号化フラグ</t>
    <rPh sb="0" eb="2">
      <t>アンゴウ</t>
    </rPh>
    <rPh sb="2" eb="3">
      <t>カ</t>
    </rPh>
    <phoneticPr fontId="4"/>
  </si>
  <si>
    <t>"0" 固定となっていること</t>
    <rPh sb="4" eb="6">
      <t>コテイ</t>
    </rPh>
    <phoneticPr fontId="4"/>
  </si>
  <si>
    <t>仕向け会社コード</t>
    <rPh sb="0" eb="2">
      <t>シム</t>
    </rPh>
    <rPh sb="3" eb="5">
      <t>カイシャ</t>
    </rPh>
    <phoneticPr fontId="4"/>
  </si>
  <si>
    <t>"ALL 0"固定となっていること</t>
    <phoneticPr fontId="12"/>
  </si>
  <si>
    <t>端末識別コード</t>
    <rPh sb="0" eb="2">
      <t>タンマツ</t>
    </rPh>
    <rPh sb="2" eb="4">
      <t>シキベツ</t>
    </rPh>
    <phoneticPr fontId="4"/>
  </si>
  <si>
    <t>端末を識別するためのコードが入っていること
　識別コード＋店コード＋POS番号を設定する。
　識別コード　　　 …5桁　"00000"（固定）
　店コード           …4桁　店コード4桁(前0埋め)
　POS番号  　　　 …4桁　POS番号4桁(前0埋め)</t>
    <rPh sb="0" eb="2">
      <t>タンマツ</t>
    </rPh>
    <rPh sb="3" eb="5">
      <t>シキベツ</t>
    </rPh>
    <rPh sb="14" eb="15">
      <t>ハイ</t>
    </rPh>
    <phoneticPr fontId="4"/>
  </si>
  <si>
    <t>伝票番号</t>
    <rPh sb="0" eb="2">
      <t>デンピョウ</t>
    </rPh>
    <rPh sb="2" eb="4">
      <t>バンゴウ</t>
    </rPh>
    <phoneticPr fontId="4"/>
  </si>
  <si>
    <t>固定値+POS番号+取引通番+取引内通番+予備が入っていること
　固定値　　　　　…3桁　"000"固定
　POS番号　　　 …4桁　POS番号4桁(前0埋め)
　取引通番　　　 …4桁  取引通番(前0埋め)
　取引内通番　　…2桁  取引内通番(前0埋め)
　予備　　　　　　　…7桁 スペース固定</t>
    <rPh sb="24" eb="25">
      <t>ハイ</t>
    </rPh>
    <phoneticPr fontId="12"/>
  </si>
  <si>
    <t>カード入力区分</t>
    <rPh sb="3" eb="5">
      <t>ニュウリョク</t>
    </rPh>
    <rPh sb="5" eb="7">
      <t>クブン</t>
    </rPh>
    <phoneticPr fontId="4"/>
  </si>
  <si>
    <t>"1"固定となっていること</t>
    <phoneticPr fontId="12"/>
  </si>
  <si>
    <t>カード情報</t>
    <rPh sb="3" eb="5">
      <t>ジョウホウ</t>
    </rPh>
    <phoneticPr fontId="4"/>
  </si>
  <si>
    <t>バーコード情報を設定。（表B参照）
残りにスペースを設定する</t>
    <rPh sb="5" eb="7">
      <t>ジョウホウ</t>
    </rPh>
    <rPh sb="8" eb="10">
      <t>セッテイ</t>
    </rPh>
    <phoneticPr fontId="4"/>
  </si>
  <si>
    <t>表B</t>
    <rPh sb="0" eb="1">
      <t>ヒョウ</t>
    </rPh>
    <phoneticPr fontId="12"/>
  </si>
  <si>
    <t>有効期限
（決済ブランド）</t>
    <rPh sb="0" eb="2">
      <t>ユウコウ</t>
    </rPh>
    <rPh sb="2" eb="4">
      <t>キゲン</t>
    </rPh>
    <phoneticPr fontId="4"/>
  </si>
  <si>
    <t>決済ブランド(有効期限(8桁)+スペース(8桁))を設定する。
※決済ブランド（有効期限）は、センターからの応答値。
d払い：'89270101'となっていること</t>
    <phoneticPr fontId="12"/>
  </si>
  <si>
    <t>商品コード</t>
    <rPh sb="0" eb="2">
      <t>ショウヒン</t>
    </rPh>
    <phoneticPr fontId="4"/>
  </si>
  <si>
    <t>利用ポイント（金額）</t>
    <rPh sb="0" eb="2">
      <t>リヨウ</t>
    </rPh>
    <rPh sb="7" eb="9">
      <t>キンガク</t>
    </rPh>
    <phoneticPr fontId="4"/>
  </si>
  <si>
    <t>1点=1円換算、右詰め先頭0固定となっていること
（00000000～09999999の範囲で有効）
取消返品時=元取引の金額を設定　
※桁数以下でも前ゼロパディングしない。</t>
    <rPh sb="1" eb="2">
      <t>テン</t>
    </rPh>
    <rPh sb="4" eb="5">
      <t>エン</t>
    </rPh>
    <rPh sb="5" eb="7">
      <t>カンサン</t>
    </rPh>
    <rPh sb="8" eb="9">
      <t>ミギ</t>
    </rPh>
    <rPh sb="9" eb="10">
      <t>ヅ</t>
    </rPh>
    <rPh sb="44" eb="46">
      <t>ハンイ</t>
    </rPh>
    <rPh sb="47" eb="49">
      <t>ユウコウ</t>
    </rPh>
    <phoneticPr fontId="4"/>
  </si>
  <si>
    <t>取引ID</t>
  </si>
  <si>
    <t>取引ID(22桁) が入っていること
取引IDは実施業務により以下を設定する。
　与信同時売上時：店コード(4) + POS番号(4) + 取引日付(8) + 取引通番(4) + 取引内通番(2)</t>
    <rPh sb="0" eb="2">
      <t>トリヒキ</t>
    </rPh>
    <rPh sb="7" eb="8">
      <t>ケタ</t>
    </rPh>
    <rPh sb="11" eb="12">
      <t>ハイ</t>
    </rPh>
    <phoneticPr fontId="1"/>
  </si>
  <si>
    <t>元伝票番号</t>
    <rPh sb="0" eb="1">
      <t>モト</t>
    </rPh>
    <rPh sb="1" eb="3">
      <t>デンピョウ</t>
    </rPh>
    <rPh sb="3" eb="5">
      <t>バンゴウ</t>
    </rPh>
    <phoneticPr fontId="4"/>
  </si>
  <si>
    <t>"ALL 0"が設定されていること（設定値無視）</t>
    <phoneticPr fontId="4"/>
  </si>
  <si>
    <t>キャンペーン付与拒否フラグ</t>
    <rPh sb="6" eb="8">
      <t>フヨ</t>
    </rPh>
    <rPh sb="8" eb="10">
      <t>キョヒ</t>
    </rPh>
    <phoneticPr fontId="4"/>
  </si>
  <si>
    <t>スペース固定となっていること</t>
    <phoneticPr fontId="12"/>
  </si>
  <si>
    <t>サブ店コード</t>
  </si>
  <si>
    <t>"0"固定となっていること
※桁数以下でも前ゼロパディングしない。</t>
    <rPh sb="3" eb="5">
      <t>コテイ</t>
    </rPh>
    <phoneticPr fontId="4"/>
  </si>
  <si>
    <t>ファイル出力</t>
    <rPh sb="4" eb="6">
      <t>シュツリョク</t>
    </rPh>
    <phoneticPr fontId="12"/>
  </si>
  <si>
    <t>248号店の集約サーバを確認</t>
    <rPh sb="12" eb="14">
      <t>カクニン</t>
    </rPh>
    <phoneticPr fontId="12"/>
  </si>
  <si>
    <t>（格納場所）に（ファイル名）が格納されていること</t>
    <rPh sb="1" eb="5">
      <t>カクノウバショ</t>
    </rPh>
    <rPh sb="12" eb="13">
      <t>メイ</t>
    </rPh>
    <rPh sb="15" eb="17">
      <t>カクノウ</t>
    </rPh>
    <phoneticPr fontId="12"/>
  </si>
  <si>
    <t>ignicaPOSで売り上げた前日分のd払い実績が集計されていること</t>
    <rPh sb="10" eb="11">
      <t>ウ</t>
    </rPh>
    <rPh sb="12" eb="13">
      <t>ア</t>
    </rPh>
    <rPh sb="15" eb="18">
      <t>ゼンジツブン</t>
    </rPh>
    <rPh sb="20" eb="21">
      <t>ハラ</t>
    </rPh>
    <rPh sb="22" eb="24">
      <t>ジッセキ</t>
    </rPh>
    <rPh sb="25" eb="27">
      <t>シュウケイ</t>
    </rPh>
    <phoneticPr fontId="12"/>
  </si>
  <si>
    <t>○</t>
  </si>
  <si>
    <t>ignicaPOSでクレジットを使用して取引すること
※売上のみ</t>
    <rPh sb="16" eb="18">
      <t>シヨウ</t>
    </rPh>
    <rPh sb="20" eb="22">
      <t>トリヒキ</t>
    </rPh>
    <rPh sb="28" eb="30">
      <t>ウリアゲ</t>
    </rPh>
    <phoneticPr fontId="12"/>
  </si>
  <si>
    <t>クレジット明細データ
TRANS_HEADERテーブル
CARD_LOG_DATAカラム</t>
    <rPh sb="5" eb="7">
      <t>メイサイ</t>
    </rPh>
    <phoneticPr fontId="12"/>
  </si>
  <si>
    <t>クレジット支払（IC）</t>
    <rPh sb="5" eb="7">
      <t>シハラ</t>
    </rPh>
    <phoneticPr fontId="12"/>
  </si>
  <si>
    <t>メッセージレングス</t>
    <phoneticPr fontId="12"/>
  </si>
  <si>
    <t>CARD_LOG_DATAの値を確認する</t>
    <rPh sb="14" eb="15">
      <t>アタイ</t>
    </rPh>
    <rPh sb="16" eb="18">
      <t>カクニン</t>
    </rPh>
    <phoneticPr fontId="12"/>
  </si>
  <si>
    <t>"000999"固定となっていること</t>
    <rPh sb="8" eb="10">
      <t>コテイ</t>
    </rPh>
    <phoneticPr fontId="25"/>
  </si>
  <si>
    <t>詳細は「UI-02_トラン連携対応_方式設計_第1.3版」、
「9.クレ明細データ作成」シートの「9-3. POSクレジット明細データレイアウト」、
「9-4. クレジット取引ログインタフェースレイアウト」を参照のこと</t>
    <rPh sb="0" eb="2">
      <t>ショウサイ</t>
    </rPh>
    <rPh sb="36" eb="38">
      <t>メイサイ</t>
    </rPh>
    <rPh sb="41" eb="43">
      <t>サクセイ</t>
    </rPh>
    <rPh sb="104" eb="106">
      <t>サンショウ</t>
    </rPh>
    <phoneticPr fontId="12"/>
  </si>
  <si>
    <t>局コード</t>
    <rPh sb="0" eb="1">
      <t>キョク</t>
    </rPh>
    <phoneticPr fontId="7"/>
  </si>
  <si>
    <t>"32"固定となっていること</t>
    <rPh sb="4" eb="6">
      <t>コテイ</t>
    </rPh>
    <phoneticPr fontId="25"/>
  </si>
  <si>
    <t>応答組立</t>
    <rPh sb="0" eb="2">
      <t>オウトウ</t>
    </rPh>
    <rPh sb="2" eb="4">
      <t>クミタテ</t>
    </rPh>
    <phoneticPr fontId="7"/>
  </si>
  <si>
    <t>"0"固定となっていること</t>
    <rPh sb="3" eb="5">
      <t>コテイ</t>
    </rPh>
    <phoneticPr fontId="25"/>
  </si>
  <si>
    <t>第一種別</t>
    <rPh sb="0" eb="1">
      <t>ダイ</t>
    </rPh>
    <rPh sb="1" eb="2">
      <t>１</t>
    </rPh>
    <rPh sb="2" eb="4">
      <t>シュベツ</t>
    </rPh>
    <phoneticPr fontId="7"/>
  </si>
  <si>
    <t>"2"固定となっていること</t>
    <rPh sb="3" eb="5">
      <t>コテイ</t>
    </rPh>
    <phoneticPr fontId="25"/>
  </si>
  <si>
    <t>第二種別</t>
    <rPh sb="0" eb="1">
      <t>ダイ</t>
    </rPh>
    <rPh sb="1" eb="2">
      <t>２</t>
    </rPh>
    <rPh sb="2" eb="4">
      <t>シュベツ</t>
    </rPh>
    <phoneticPr fontId="7"/>
  </si>
  <si>
    <t>"81"固定となっていること</t>
    <rPh sb="4" eb="6">
      <t>コテイ</t>
    </rPh>
    <phoneticPr fontId="25"/>
  </si>
  <si>
    <t>ブロックSEQ</t>
  </si>
  <si>
    <t>"0001"固定となっていること</t>
    <rPh sb="6" eb="8">
      <t>コテイ</t>
    </rPh>
    <phoneticPr fontId="25"/>
  </si>
  <si>
    <t>電文組立</t>
    <rPh sb="0" eb="2">
      <t>デンブン</t>
    </rPh>
    <rPh sb="2" eb="4">
      <t>クミタテ</t>
    </rPh>
    <phoneticPr fontId="7"/>
  </si>
  <si>
    <t>"3"固定となっていること</t>
    <rPh sb="3" eb="5">
      <t>コテイ</t>
    </rPh>
    <phoneticPr fontId="25"/>
  </si>
  <si>
    <t>応答SEQ</t>
    <rPh sb="0" eb="2">
      <t>オウトウ</t>
    </rPh>
    <phoneticPr fontId="7"/>
  </si>
  <si>
    <t>POSNo．</t>
  </si>
  <si>
    <t>"0000"固定となっていること</t>
    <rPh sb="6" eb="8">
      <t>コテイ</t>
    </rPh>
    <phoneticPr fontId="25"/>
  </si>
  <si>
    <t>タイムアウトフラグ</t>
  </si>
  <si>
    <t>ビジーフラグ</t>
  </si>
  <si>
    <t>取引開始電文</t>
    <rPh sb="0" eb="2">
      <t>トリヒキ</t>
    </rPh>
    <rPh sb="2" eb="4">
      <t>カイシ</t>
    </rPh>
    <rPh sb="4" eb="6">
      <t>デンブン</t>
    </rPh>
    <phoneticPr fontId="7"/>
  </si>
  <si>
    <t>取引終了電文</t>
    <rPh sb="0" eb="2">
      <t>トリヒキ</t>
    </rPh>
    <rPh sb="2" eb="4">
      <t>シュウリョウ</t>
    </rPh>
    <rPh sb="4" eb="6">
      <t>デンブン</t>
    </rPh>
    <phoneticPr fontId="7"/>
  </si>
  <si>
    <t>ＩＮＱ電文</t>
    <rPh sb="3" eb="5">
      <t>デンブン</t>
    </rPh>
    <phoneticPr fontId="7"/>
  </si>
  <si>
    <t>確定応答フラグ</t>
    <rPh sb="0" eb="2">
      <t>カクテイ</t>
    </rPh>
    <rPh sb="2" eb="4">
      <t>オウトウ</t>
    </rPh>
    <phoneticPr fontId="7"/>
  </si>
  <si>
    <t>全件送信依頼</t>
    <rPh sb="0" eb="2">
      <t>ゼンケン</t>
    </rPh>
    <rPh sb="2" eb="4">
      <t>ソウシン</t>
    </rPh>
    <rPh sb="4" eb="6">
      <t>イライ</t>
    </rPh>
    <phoneticPr fontId="7"/>
  </si>
  <si>
    <t>アプリケーションエラーフラグ</t>
  </si>
  <si>
    <t>固定部</t>
    <rPh sb="0" eb="2">
      <t>コテイ</t>
    </rPh>
    <rPh sb="2" eb="3">
      <t>ブ</t>
    </rPh>
    <phoneticPr fontId="7"/>
  </si>
  <si>
    <t>空白(ALLスペース）となっていること</t>
    <rPh sb="0" eb="2">
      <t>クウハク</t>
    </rPh>
    <phoneticPr fontId="25"/>
  </si>
  <si>
    <t>店コード</t>
  </si>
  <si>
    <t>"0000"固定となっていること</t>
    <phoneticPr fontId="12"/>
  </si>
  <si>
    <t>取引通番</t>
  </si>
  <si>
    <t>POS処理時間</t>
  </si>
  <si>
    <t>CREPiCOセンター応答値(AdditionalSecurityInformation) の売上年月日時分秒が設定されていること</t>
    <rPh sb="56" eb="58">
      <t>セッテイ</t>
    </rPh>
    <phoneticPr fontId="12"/>
  </si>
  <si>
    <t>稼動状況</t>
  </si>
  <si>
    <t>システムヘッダ予備</t>
  </si>
  <si>
    <t>"0013"固定となっていること</t>
    <phoneticPr fontId="12"/>
  </si>
  <si>
    <t>アイテム識別</t>
  </si>
  <si>
    <t>"11"固定となっていること</t>
    <phoneticPr fontId="12"/>
  </si>
  <si>
    <t>業務コード</t>
  </si>
  <si>
    <t>"00"固定となっていること</t>
    <phoneticPr fontId="12"/>
  </si>
  <si>
    <t>業態／機種区分</t>
  </si>
  <si>
    <t>運用モード</t>
  </si>
  <si>
    <t>取引種別/取引区分</t>
  </si>
  <si>
    <t>"0000"固定となっていること</t>
    <rPh sb="6" eb="8">
      <t>コテイ</t>
    </rPh>
    <phoneticPr fontId="12"/>
  </si>
  <si>
    <t>取引修飾</t>
  </si>
  <si>
    <t>"0000000000000000"固定となっていること</t>
    <rPh sb="18" eb="20">
      <t>コテイ</t>
    </rPh>
    <phoneticPr fontId="25"/>
  </si>
  <si>
    <t>取引日付</t>
  </si>
  <si>
    <t>CREPiCOセンター応答値となっていること</t>
    <phoneticPr fontId="12"/>
  </si>
  <si>
    <t>取引時刻</t>
  </si>
  <si>
    <t>販売員No</t>
  </si>
  <si>
    <t>担当者No</t>
  </si>
  <si>
    <t>"0043"固定となっていること</t>
    <phoneticPr fontId="12"/>
  </si>
  <si>
    <t>"D6"固定となっていること</t>
    <phoneticPr fontId="12"/>
  </si>
  <si>
    <t>入力方法</t>
  </si>
  <si>
    <t>CREPiCO(セイコー）I/F仕様の応答値CardType（カード種別）の値で判定された値が入っていること
00：MSカード→1
01：接触IC カード→2
02：MS（IC付）→1
13：非接触IC（EMVモード）→2
14：非接触IC（Magモード）→2
15：非接触IC（Legacyモード）→2
FF：不明→2</t>
    <rPh sb="45" eb="46">
      <t>アタイ</t>
    </rPh>
    <rPh sb="47" eb="48">
      <t>ハイ</t>
    </rPh>
    <phoneticPr fontId="12"/>
  </si>
  <si>
    <t>カード種別</t>
  </si>
  <si>
    <t>CREPiCO(セイコー）I/F仕様のカード情報が入っていること
応答値≠0の場合、Ｖカードと判断
　Vカードの場合"321"
　他社クレジットの場合"000"</t>
    <rPh sb="25" eb="26">
      <t>ハイ</t>
    </rPh>
    <phoneticPr fontId="12"/>
  </si>
  <si>
    <t>端末識別番号</t>
    <rPh sb="0" eb="2">
      <t>タンマツ</t>
    </rPh>
    <rPh sb="2" eb="4">
      <t>シキベツ</t>
    </rPh>
    <rPh sb="4" eb="6">
      <t>バンゴウ</t>
    </rPh>
    <phoneticPr fontId="28"/>
  </si>
  <si>
    <t>CREPiCOセンター応答値が入っていること
(AdditionalSecurityInformation の
 端末識別番号(13桁))</t>
    <rPh sb="11" eb="13">
      <t>オウトウ</t>
    </rPh>
    <rPh sb="13" eb="14">
      <t>チ</t>
    </rPh>
    <rPh sb="15" eb="16">
      <t>ハイ</t>
    </rPh>
    <rPh sb="56" eb="58">
      <t>タンマツ</t>
    </rPh>
    <rPh sb="58" eb="60">
      <t>シキベツ</t>
    </rPh>
    <rPh sb="60" eb="62">
      <t>バンゴウ</t>
    </rPh>
    <rPh sb="65" eb="66">
      <t>ケタ</t>
    </rPh>
    <phoneticPr fontId="28"/>
  </si>
  <si>
    <t>リザーブ</t>
  </si>
  <si>
    <t>暗証コード（最終入力）</t>
  </si>
  <si>
    <t>暗証NG回数</t>
  </si>
  <si>
    <t>暗証コード（一回目）</t>
  </si>
  <si>
    <t>暗証コード（二回目）</t>
  </si>
  <si>
    <t>有効期限</t>
  </si>
  <si>
    <t>"200000"固定となっていること</t>
    <phoneticPr fontId="12"/>
  </si>
  <si>
    <t>伝票No．</t>
  </si>
  <si>
    <t>CREPiCOｾﾝﾀｰ応答値の伝票番号が入っていること</t>
    <rPh sb="20" eb="21">
      <t>ハイ</t>
    </rPh>
    <phoneticPr fontId="12"/>
  </si>
  <si>
    <t>元伝票No．</t>
  </si>
  <si>
    <t>元取引のCREPiCOｾﾝﾀｰ応答値の伝票番号が入っていること</t>
    <rPh sb="24" eb="25">
      <t>ハイ</t>
    </rPh>
    <phoneticPr fontId="12"/>
  </si>
  <si>
    <t>商品区分</t>
  </si>
  <si>
    <t>"0000   "固定（0：4桁＋スペース:3桁）となっていること</t>
    <phoneticPr fontId="12"/>
  </si>
  <si>
    <t>商品金額</t>
  </si>
  <si>
    <t>クレジット振替額（支払額）となっていること</t>
    <phoneticPr fontId="12"/>
  </si>
  <si>
    <t>税・送料</t>
  </si>
  <si>
    <t>"0000000"固定となっていること</t>
    <rPh sb="9" eb="11">
      <t>コテイ</t>
    </rPh>
    <phoneticPr fontId="25"/>
  </si>
  <si>
    <t>換金性（1）対象商品計</t>
  </si>
  <si>
    <t>"000000000"固定となっていること</t>
    <rPh sb="11" eb="13">
      <t>コテイ</t>
    </rPh>
    <phoneticPr fontId="25"/>
  </si>
  <si>
    <t>換金性（2）対象商品計</t>
  </si>
  <si>
    <t>取扱区分</t>
  </si>
  <si>
    <t>通常："110"、返品/取消："410"　となっていること</t>
    <rPh sb="0" eb="2">
      <t>ツウジョウ</t>
    </rPh>
    <rPh sb="9" eb="11">
      <t>ヘンピン</t>
    </rPh>
    <rPh sb="12" eb="14">
      <t>トリケシ</t>
    </rPh>
    <phoneticPr fontId="25"/>
  </si>
  <si>
    <t>支払開始月</t>
  </si>
  <si>
    <t>初回金</t>
  </si>
  <si>
    <t>分割回数</t>
  </si>
  <si>
    <t>"000"固定　　となっていること</t>
    <rPh sb="5" eb="7">
      <t>コテイ</t>
    </rPh>
    <phoneticPr fontId="25"/>
  </si>
  <si>
    <t>分割金額ﾎﾞｰﾅｽ支払金額(1回目)</t>
  </si>
  <si>
    <t>分割金額ﾎﾞｰﾅｽ支払金額(2回目)</t>
  </si>
  <si>
    <t>分割金額ﾎﾞｰﾅｽ支払金額(3回目)</t>
  </si>
  <si>
    <t>分割金額ﾎﾞｰﾅｽ支払金額(4回目)</t>
  </si>
  <si>
    <t>分割金額ﾎﾞｰﾅｽ支払金額(5回目)</t>
  </si>
  <si>
    <t>分割金額ﾎﾞｰﾅｽ支払金額(6回目)</t>
  </si>
  <si>
    <t>ボーナス回数</t>
  </si>
  <si>
    <t>ボーナス月1</t>
  </si>
  <si>
    <t>ボーナス月2</t>
  </si>
  <si>
    <t>ボーナス月3</t>
  </si>
  <si>
    <t>ボーナス月4</t>
  </si>
  <si>
    <t>ボーナス月5</t>
  </si>
  <si>
    <t>ボーナス月6</t>
  </si>
  <si>
    <t>振替金額</t>
  </si>
  <si>
    <t>内部ＳＣ</t>
  </si>
  <si>
    <t>"00"固定となっていること</t>
    <rPh sb="4" eb="6">
      <t>コテイ</t>
    </rPh>
    <phoneticPr fontId="25"/>
  </si>
  <si>
    <t>外部ＳＣ</t>
  </si>
  <si>
    <t>" 00"固定(SPACE1桁+00)となっていること</t>
    <rPh sb="5" eb="7">
      <t>コテイ</t>
    </rPh>
    <phoneticPr fontId="25"/>
  </si>
  <si>
    <t>サインレスフラグ</t>
  </si>
  <si>
    <t>CREPiCOｾﾝﾀｰ応答値のフラグとなっていること</t>
    <phoneticPr fontId="12"/>
  </si>
  <si>
    <t>承認番号</t>
  </si>
  <si>
    <t>CREPiCOｾﾝﾀｰ応答値の承認番号（0+承認番号(7桁))となっていること</t>
    <phoneticPr fontId="12"/>
  </si>
  <si>
    <t>表示機器フラグ</t>
  </si>
  <si>
    <t>"01"固定となっていること</t>
    <rPh sb="4" eb="6">
      <t>コテイ</t>
    </rPh>
    <phoneticPr fontId="25"/>
  </si>
  <si>
    <t>印字機器フラグ</t>
  </si>
  <si>
    <t>"01"固定　　となっていること</t>
    <rPh sb="4" eb="6">
      <t>コテイ</t>
    </rPh>
    <phoneticPr fontId="25"/>
  </si>
  <si>
    <t>口座番号</t>
  </si>
  <si>
    <t>空白(ALLスペース）となっていること</t>
    <phoneticPr fontId="12"/>
  </si>
  <si>
    <t>クレジット支払（MS）</t>
    <rPh sb="5" eb="7">
      <t>シハラ</t>
    </rPh>
    <phoneticPr fontId="12"/>
  </si>
  <si>
    <t>メッセージレングス</t>
  </si>
  <si>
    <t>クレジット支払（Vカード）</t>
    <rPh sb="5" eb="7">
      <t>シハラ</t>
    </rPh>
    <phoneticPr fontId="12"/>
  </si>
  <si>
    <t>5号店</t>
    <rPh sb="1" eb="3">
      <t>ゴウテン</t>
    </rPh>
    <phoneticPr fontId="12"/>
  </si>
  <si>
    <t>POS操作</t>
    <rPh sb="3" eb="5">
      <t>ソウサ</t>
    </rPh>
    <phoneticPr fontId="12"/>
  </si>
  <si>
    <t>『【参考】入出金マスタ』シートを参考に、
各種入金・出金を実施する。</t>
    <rPh sb="2" eb="4">
      <t>サンコウ</t>
    </rPh>
    <rPh sb="5" eb="8">
      <t>ニュウシュッキン</t>
    </rPh>
    <rPh sb="16" eb="18">
      <t>サンコウ</t>
    </rPh>
    <rPh sb="21" eb="23">
      <t>カクシュ</t>
    </rPh>
    <rPh sb="23" eb="25">
      <t>ニュウキン</t>
    </rPh>
    <rPh sb="26" eb="28">
      <t>シュッキン</t>
    </rPh>
    <rPh sb="29" eb="31">
      <t>ジッシ</t>
    </rPh>
    <phoneticPr fontId="12"/>
  </si>
  <si>
    <t>翌日の精算確定報の入出金明細に実施した項目が記載されること</t>
    <rPh sb="0" eb="2">
      <t>ヨクジツ</t>
    </rPh>
    <rPh sb="3" eb="8">
      <t>セイサンカクテイホウ</t>
    </rPh>
    <rPh sb="9" eb="12">
      <t>ニュウシュッキン</t>
    </rPh>
    <rPh sb="12" eb="14">
      <t>メイサイ</t>
    </rPh>
    <rPh sb="15" eb="17">
      <t>ジッシ</t>
    </rPh>
    <rPh sb="19" eb="21">
      <t>コウモク</t>
    </rPh>
    <rPh sb="22" eb="24">
      <t>キサイ</t>
    </rPh>
    <phoneticPr fontId="12"/>
  </si>
  <si>
    <t>【参考】入出金マスタ</t>
  </si>
  <si>
    <t>ignicaPOSでの売り上げに対して富士通POSで
以下の操作を実施
・取引中止
・レジマイナス
・通番取消
・通番修正</t>
    <rPh sb="16" eb="17">
      <t>タイ</t>
    </rPh>
    <phoneticPr fontId="12"/>
  </si>
  <si>
    <t>翌日のレジマイナス集計レポートに実施した項目が記載されること</t>
    <rPh sb="0" eb="2">
      <t>ヨクジツ</t>
    </rPh>
    <rPh sb="9" eb="11">
      <t>シュウケイ</t>
    </rPh>
    <rPh sb="16" eb="18">
      <t>ジッシ</t>
    </rPh>
    <rPh sb="20" eb="22">
      <t>コウモク</t>
    </rPh>
    <rPh sb="23" eb="25">
      <t>キサイ</t>
    </rPh>
    <phoneticPr fontId="12"/>
  </si>
  <si>
    <t>ignicaPOSでの売り上げに対して富士通POSで
ポイント修正を実施</t>
    <rPh sb="16" eb="17">
      <t>タイ</t>
    </rPh>
    <rPh sb="34" eb="36">
      <t>ジッシ</t>
    </rPh>
    <phoneticPr fontId="12"/>
  </si>
  <si>
    <t>翌日のポイント業務チェックリストに実施した項目が記載されること</t>
    <rPh sb="0" eb="2">
      <t>ヨクジツ</t>
    </rPh>
    <rPh sb="7" eb="9">
      <t>ギョウム</t>
    </rPh>
    <rPh sb="17" eb="19">
      <t>ジッシ</t>
    </rPh>
    <rPh sb="21" eb="23">
      <t>コウモク</t>
    </rPh>
    <rPh sb="24" eb="26">
      <t>キサイ</t>
    </rPh>
    <phoneticPr fontId="12"/>
  </si>
  <si>
    <t>精算確定報</t>
    <rPh sb="0" eb="5">
      <t>セイサンカクテイホウ</t>
    </rPh>
    <phoneticPr fontId="12"/>
  </si>
  <si>
    <t>精算レシート入力後、精算確定を実施して出力された
精算確定報を確認</t>
    <rPh sb="0" eb="2">
      <t>セイサン</t>
    </rPh>
    <rPh sb="6" eb="8">
      <t>ニュウリョク</t>
    </rPh>
    <rPh sb="8" eb="9">
      <t>ゴ</t>
    </rPh>
    <rPh sb="10" eb="12">
      <t>セイサン</t>
    </rPh>
    <rPh sb="12" eb="14">
      <t>カクテイ</t>
    </rPh>
    <rPh sb="15" eb="17">
      <t>ジッシ</t>
    </rPh>
    <rPh sb="19" eb="21">
      <t>シュツリョク</t>
    </rPh>
    <rPh sb="25" eb="30">
      <t>セイサンカクテイホウ</t>
    </rPh>
    <rPh sb="31" eb="33">
      <t>カクニン</t>
    </rPh>
    <phoneticPr fontId="12"/>
  </si>
  <si>
    <t>前日日付の精算確定報が出力されること</t>
    <rPh sb="0" eb="2">
      <t>ゼンジツ</t>
    </rPh>
    <rPh sb="2" eb="4">
      <t>ヒヅケ</t>
    </rPh>
    <rPh sb="5" eb="7">
      <t>セイサン</t>
    </rPh>
    <rPh sb="7" eb="10">
      <t>カクテイホウ</t>
    </rPh>
    <rPh sb="11" eb="13">
      <t>シュツリョク</t>
    </rPh>
    <phoneticPr fontId="12"/>
  </si>
  <si>
    <t>以下の項目に富士通POSとignicaPOSトランが正しく集計されていること
・入出金金額
・客数
・部門別売上
・入金明細
・出金明細
・税率（8%、10%）
・中止回数</t>
    <rPh sb="0" eb="2">
      <t>イカ</t>
    </rPh>
    <rPh sb="3" eb="5">
      <t>コウモク</t>
    </rPh>
    <rPh sb="6" eb="9">
      <t>フジツウ</t>
    </rPh>
    <rPh sb="26" eb="27">
      <t>タダ</t>
    </rPh>
    <rPh sb="29" eb="31">
      <t>シュウケイ</t>
    </rPh>
    <rPh sb="40" eb="43">
      <t>ニュウシュッキン</t>
    </rPh>
    <rPh sb="70" eb="72">
      <t>ゼイリツ</t>
    </rPh>
    <rPh sb="82" eb="86">
      <t>チュウシカイスウ</t>
    </rPh>
    <phoneticPr fontId="12"/>
  </si>
  <si>
    <t>レジマイナス集計レポート</t>
    <rPh sb="6" eb="8">
      <t>シュウケイ</t>
    </rPh>
    <phoneticPr fontId="12"/>
  </si>
  <si>
    <t>精算確定報を出力後、「印刷」ボタン押下</t>
    <phoneticPr fontId="12"/>
  </si>
  <si>
    <t>前日日付のレジマイナス集計レポートが出力されること</t>
    <rPh sb="0" eb="2">
      <t>ゼンジツ</t>
    </rPh>
    <rPh sb="2" eb="4">
      <t>ヒヅケ</t>
    </rPh>
    <rPh sb="11" eb="13">
      <t>シュウケイ</t>
    </rPh>
    <rPh sb="18" eb="20">
      <t>シュツリョク</t>
    </rPh>
    <phoneticPr fontId="12"/>
  </si>
  <si>
    <t>以下の項目がレポートに集計されていること
・取引中止
・レジマイナス
・通番取消
・通番修正</t>
    <rPh sb="0" eb="2">
      <t>イカ</t>
    </rPh>
    <rPh sb="3" eb="5">
      <t>コウモク</t>
    </rPh>
    <rPh sb="11" eb="13">
      <t>シュウケイ</t>
    </rPh>
    <rPh sb="22" eb="26">
      <t>トリヒキチュウシ</t>
    </rPh>
    <rPh sb="36" eb="39">
      <t>ツウバント</t>
    </rPh>
    <rPh sb="39" eb="40">
      <t>ケ</t>
    </rPh>
    <rPh sb="42" eb="46">
      <t>ツウバンシュウセイ</t>
    </rPh>
    <phoneticPr fontId="12"/>
  </si>
  <si>
    <t>ポイント業務チェックリスト</t>
    <rPh sb="4" eb="6">
      <t>ギョウム</t>
    </rPh>
    <phoneticPr fontId="12"/>
  </si>
  <si>
    <t>精算確定報を出力後、「印刷」ボタン押下</t>
    <rPh sb="0" eb="5">
      <t>セイサンカクテイホウ</t>
    </rPh>
    <rPh sb="6" eb="9">
      <t>シュツリョクゴ</t>
    </rPh>
    <rPh sb="11" eb="13">
      <t>インサツ</t>
    </rPh>
    <rPh sb="17" eb="19">
      <t>オウカ</t>
    </rPh>
    <phoneticPr fontId="12"/>
  </si>
  <si>
    <t>前日日付のポイント業務チェックリストが出力されること</t>
    <rPh sb="0" eb="2">
      <t>ゼンジツ</t>
    </rPh>
    <rPh sb="2" eb="4">
      <t>ヒヅケ</t>
    </rPh>
    <rPh sb="9" eb="11">
      <t>ギョウム</t>
    </rPh>
    <rPh sb="19" eb="21">
      <t>シュツリョク</t>
    </rPh>
    <phoneticPr fontId="12"/>
  </si>
  <si>
    <t>ポイント修正がチェックリストに集計されていること</t>
    <rPh sb="4" eb="6">
      <t>シュウセイ</t>
    </rPh>
    <rPh sb="15" eb="17">
      <t>シュウケイ</t>
    </rPh>
    <phoneticPr fontId="12"/>
  </si>
  <si>
    <t>219号店</t>
    <rPh sb="3" eb="5">
      <t>ゴウテン</t>
    </rPh>
    <phoneticPr fontId="12"/>
  </si>
  <si>
    <t>以下の項目に富士通POSとignicaPOSのトランが正しく集計されていること
・入出金金額
・客数
・部門別売上
・入金明細
・出金明細
・税率（8%、10%）
・中止回数
・交通系支払金額</t>
    <rPh sb="0" eb="2">
      <t>イカ</t>
    </rPh>
    <rPh sb="3" eb="5">
      <t>コウモク</t>
    </rPh>
    <rPh sb="6" eb="9">
      <t>フジツウ</t>
    </rPh>
    <rPh sb="27" eb="28">
      <t>タダ</t>
    </rPh>
    <rPh sb="30" eb="32">
      <t>シュウケイ</t>
    </rPh>
    <rPh sb="41" eb="44">
      <t>ニュウシュッキン</t>
    </rPh>
    <rPh sb="71" eb="73">
      <t>ゼイリツ</t>
    </rPh>
    <rPh sb="83" eb="87">
      <t>チュウシカイスウ</t>
    </rPh>
    <rPh sb="89" eb="92">
      <t>コウツウケイ</t>
    </rPh>
    <rPh sb="92" eb="94">
      <t>シハラ</t>
    </rPh>
    <rPh sb="94" eb="96">
      <t>キンガク</t>
    </rPh>
    <phoneticPr fontId="12"/>
  </si>
  <si>
    <t>ignicaPOSで以下の入出金操作を行うこと</t>
    <rPh sb="10" eb="12">
      <t>イカ</t>
    </rPh>
    <rPh sb="13" eb="16">
      <t>ニュウシュッキン</t>
    </rPh>
    <rPh sb="16" eb="18">
      <t>ソウサ</t>
    </rPh>
    <rPh sb="19" eb="20">
      <t>オコナ</t>
    </rPh>
    <phoneticPr fontId="12"/>
  </si>
  <si>
    <t>入金アラート</t>
    <rPh sb="0" eb="2">
      <t>ニュウキン</t>
    </rPh>
    <phoneticPr fontId="12"/>
  </si>
  <si>
    <t>TRANS_HEADER</t>
    <phoneticPr fontId="12"/>
  </si>
  <si>
    <t>釣銭追加
(硬貨・紙幣追加）</t>
    <rPh sb="0" eb="2">
      <t>ツリセン</t>
    </rPh>
    <rPh sb="2" eb="4">
      <t>ツイカ</t>
    </rPh>
    <rPh sb="6" eb="8">
      <t>コウカ</t>
    </rPh>
    <rPh sb="9" eb="11">
      <t>シヘイ</t>
    </rPh>
    <rPh sb="11" eb="13">
      <t>ツイカ</t>
    </rPh>
    <phoneticPr fontId="7"/>
  </si>
  <si>
    <t>釣銭追加(硬貨・紙幣）を実施すること</t>
    <rPh sb="0" eb="2">
      <t>ツリセン</t>
    </rPh>
    <rPh sb="2" eb="4">
      <t>ツイカ</t>
    </rPh>
    <rPh sb="5" eb="7">
      <t>コウカ</t>
    </rPh>
    <rPh sb="8" eb="10">
      <t>シヘイ</t>
    </rPh>
    <rPh sb="12" eb="14">
      <t>ジッシ</t>
    </rPh>
    <phoneticPr fontId="7"/>
  </si>
  <si>
    <t>取引ログ出力されていること
TRAN_CDに「15：Payin」の値があること</t>
    <rPh sb="33" eb="34">
      <t>アタイ</t>
    </rPh>
    <phoneticPr fontId="12"/>
  </si>
  <si>
    <t>取引ログ出力されていること
GSFD_CASH_COLSPY_AMTに追加した釣銭の数値が正しく入っていること</t>
    <rPh sb="35" eb="37">
      <t>ツイカ</t>
    </rPh>
    <rPh sb="39" eb="41">
      <t>ツリセン</t>
    </rPh>
    <rPh sb="42" eb="44">
      <t>スウチ</t>
    </rPh>
    <rPh sb="45" eb="46">
      <t>タダ</t>
    </rPh>
    <rPh sb="48" eb="49">
      <t>ハイ</t>
    </rPh>
    <phoneticPr fontId="12"/>
  </si>
  <si>
    <t>例）1000円札50枚追加
1:0,5:0,10:0,50:0,100:0,500:0;1000:50,2000:0,5000:0,10000:0</t>
    <rPh sb="0" eb="1">
      <t>レイ</t>
    </rPh>
    <rPh sb="6" eb="7">
      <t>エン</t>
    </rPh>
    <rPh sb="7" eb="8">
      <t>サツ</t>
    </rPh>
    <rPh sb="10" eb="11">
      <t>マイ</t>
    </rPh>
    <rPh sb="11" eb="13">
      <t>ツイカ</t>
    </rPh>
    <phoneticPr fontId="12"/>
  </si>
  <si>
    <t>釣銭追加
(棒金ドロア追加）</t>
    <rPh sb="0" eb="2">
      <t>ツリセン</t>
    </rPh>
    <rPh sb="2" eb="4">
      <t>ツイカ</t>
    </rPh>
    <rPh sb="6" eb="8">
      <t>ボウキン</t>
    </rPh>
    <rPh sb="11" eb="13">
      <t>ツイカ</t>
    </rPh>
    <phoneticPr fontId="7"/>
  </si>
  <si>
    <t>釣銭追加(棒金ドロア追加）を実施すること</t>
    <rPh sb="0" eb="2">
      <t>ツリセン</t>
    </rPh>
    <rPh sb="2" eb="4">
      <t>ツイカ</t>
    </rPh>
    <rPh sb="5" eb="7">
      <t>ボウキン</t>
    </rPh>
    <rPh sb="10" eb="12">
      <t>ツイカ</t>
    </rPh>
    <rPh sb="14" eb="16">
      <t>ジッシ</t>
    </rPh>
    <phoneticPr fontId="7"/>
  </si>
  <si>
    <t>例）100円玉1本（50枚）
1:0,5:0,10:0,50:0,100:50,500:0;1000:0,2000:0,5000:0,10000:0</t>
    <rPh sb="0" eb="1">
      <t>レイ</t>
    </rPh>
    <rPh sb="5" eb="7">
      <t>エンダマ</t>
    </rPh>
    <rPh sb="8" eb="9">
      <t>ポン</t>
    </rPh>
    <rPh sb="12" eb="13">
      <t>マイ</t>
    </rPh>
    <phoneticPr fontId="12"/>
  </si>
  <si>
    <t>途中回収（紙幣）</t>
  </si>
  <si>
    <t>Zモード：3.紙幣途中回収（移動）を実施すること</t>
    <rPh sb="7" eb="13">
      <t>シヘイトチュウカイシュウ</t>
    </rPh>
    <rPh sb="14" eb="16">
      <t>イドウ</t>
    </rPh>
    <rPh sb="18" eb="20">
      <t>ジッシ</t>
    </rPh>
    <phoneticPr fontId="12"/>
  </si>
  <si>
    <t>取引ログ出力されていること
TRAN_CDに「12：Pickup」の値があること</t>
    <rPh sb="34" eb="35">
      <t>アタイ</t>
    </rPh>
    <phoneticPr fontId="12"/>
  </si>
  <si>
    <t>取引ログ出力されていること
GSFD_CASH_COLSPY_AMTに回収した紙幣の枚数が正しく入っていること</t>
    <rPh sb="35" eb="37">
      <t>カイシュウ</t>
    </rPh>
    <rPh sb="39" eb="41">
      <t>シヘイ</t>
    </rPh>
    <rPh sb="42" eb="44">
      <t>マイスウ</t>
    </rPh>
    <rPh sb="45" eb="46">
      <t>タダ</t>
    </rPh>
    <rPh sb="48" eb="49">
      <t>ハイ</t>
    </rPh>
    <phoneticPr fontId="12"/>
  </si>
  <si>
    <t>例）1万円札1枚
1000:0,2000:0,5000:0,10000:1</t>
    <rPh sb="0" eb="1">
      <t>レイ</t>
    </rPh>
    <rPh sb="3" eb="6">
      <t>マンエンサツ</t>
    </rPh>
    <rPh sb="7" eb="8">
      <t>マイ</t>
    </rPh>
    <phoneticPr fontId="12"/>
  </si>
  <si>
    <t>途中回収（硬貨）</t>
    <rPh sb="5" eb="7">
      <t>コウカ</t>
    </rPh>
    <phoneticPr fontId="12"/>
  </si>
  <si>
    <t>Zモード：4.硬貨途中回収を実施すること</t>
    <rPh sb="7" eb="9">
      <t>コウカ</t>
    </rPh>
    <rPh sb="9" eb="13">
      <t>トチュウカイシュウ</t>
    </rPh>
    <rPh sb="14" eb="16">
      <t>ジッシ</t>
    </rPh>
    <phoneticPr fontId="12"/>
  </si>
  <si>
    <t>取引ログ出力されていること
TRAN_CDに「16：Payout」の値があること</t>
    <rPh sb="34" eb="35">
      <t>アタイ</t>
    </rPh>
    <phoneticPr fontId="12"/>
  </si>
  <si>
    <t>取引ログ出力されていること
GSFD_CASH_COLSPY_AMTに回収した硬貨の枚数が正しく入っていること</t>
    <rPh sb="35" eb="37">
      <t>カイシュウ</t>
    </rPh>
    <rPh sb="39" eb="41">
      <t>コウカ</t>
    </rPh>
    <rPh sb="42" eb="44">
      <t>マイスウ</t>
    </rPh>
    <rPh sb="45" eb="46">
      <t>タダ</t>
    </rPh>
    <rPh sb="48" eb="49">
      <t>ハイ</t>
    </rPh>
    <phoneticPr fontId="12"/>
  </si>
  <si>
    <t>例）10円玉50枚
1:0,5:0,10:50,50:0,100:0,500:0;1000:0,2000:0,5000:0,10000:0</t>
    <rPh sb="0" eb="1">
      <t>レイ</t>
    </rPh>
    <rPh sb="4" eb="6">
      <t>エンダマ</t>
    </rPh>
    <rPh sb="8" eb="9">
      <t>マイ</t>
    </rPh>
    <phoneticPr fontId="12"/>
  </si>
  <si>
    <t>レジ撤去</t>
    <rPh sb="2" eb="4">
      <t>テッキョ</t>
    </rPh>
    <phoneticPr fontId="12"/>
  </si>
  <si>
    <t>Zモード：14保守
→5.レジ撤去を実施すること</t>
    <rPh sb="7" eb="9">
      <t>ホシュ</t>
    </rPh>
    <rPh sb="15" eb="17">
      <t>テッキョ</t>
    </rPh>
    <rPh sb="18" eb="20">
      <t>ジッシ</t>
    </rPh>
    <phoneticPr fontId="12"/>
  </si>
  <si>
    <t>取引ログ出力されていること
GSFD_CASH_COLSPY_AMTの金種別枚数すべてに0が設定されていること</t>
    <rPh sb="35" eb="38">
      <t>キンシュベツ</t>
    </rPh>
    <rPh sb="38" eb="40">
      <t>マイスウ</t>
    </rPh>
    <rPh sb="46" eb="48">
      <t>セッテイ</t>
    </rPh>
    <phoneticPr fontId="12"/>
  </si>
  <si>
    <t>1:0,5:0,10:0,50:0,100:0,500:0;1000:0,2000:0,5000:0,10000:0</t>
  </si>
  <si>
    <t>レジ精算：売上登録
（手入力分の入金）</t>
    <rPh sb="5" eb="9">
      <t>ウリアゲトウロク</t>
    </rPh>
    <phoneticPr fontId="12"/>
  </si>
  <si>
    <t>取引ログ出力されていること
TRAN_CDに「1：Item Sales」の値があること</t>
    <rPh sb="37" eb="38">
      <t>アタイ</t>
    </rPh>
    <phoneticPr fontId="12"/>
  </si>
  <si>
    <t>取引ログ出力されていること
GSFD_HANDINPUTに手入力された金額が入っていること</t>
    <rPh sb="29" eb="32">
      <t>テニュウリョク</t>
    </rPh>
    <rPh sb="35" eb="37">
      <t>キンガク</t>
    </rPh>
    <rPh sb="38" eb="39">
      <t>ハイ</t>
    </rPh>
    <phoneticPr fontId="12"/>
  </si>
  <si>
    <t>例）11963.00</t>
    <rPh sb="0" eb="1">
      <t>レイ</t>
    </rPh>
    <phoneticPr fontId="12"/>
  </si>
  <si>
    <t>レジ精算：釣銭補充
（手入力分の入金）</t>
    <rPh sb="5" eb="9">
      <t>ツリセンホジュウ</t>
    </rPh>
    <phoneticPr fontId="12"/>
  </si>
  <si>
    <t>取引ログ出力されていること
TRAN_CDに「14：Money Exchange」の値があること</t>
    <rPh sb="42" eb="43">
      <t>アタイ</t>
    </rPh>
    <phoneticPr fontId="12"/>
  </si>
  <si>
    <t>例）1000.00</t>
    <rPh sb="0" eb="1">
      <t>レイ</t>
    </rPh>
    <phoneticPr fontId="12"/>
  </si>
  <si>
    <t>レジ精算：入金
（手入力分の入金）</t>
    <rPh sb="5" eb="7">
      <t>ニュウキン</t>
    </rPh>
    <phoneticPr fontId="12"/>
  </si>
  <si>
    <t>例）242920.00</t>
    <rPh sb="0" eb="1">
      <t>レイ</t>
    </rPh>
    <phoneticPr fontId="12"/>
  </si>
  <si>
    <t>画面表示</t>
    <rPh sb="0" eb="4">
      <t>ガメンヒョウジ</t>
    </rPh>
    <phoneticPr fontId="12"/>
  </si>
  <si>
    <t>【サーバ設定】
テスト店のシステム設定を確認する。
・釣銭追加の操作をするPOSグループにて、アラートを表示するPOS番号を指定（369400302） 
・表示間隔の設定（369400304）があるので、必要に応じて変更する
→「保存」押下
→「送信」押下
→対象POS再起動
テスト店のSQL Serverにて、以下を実施する。
・データベース＞GlobalStore1＞テーブル＞GSFD_CASHBOOK
新規レコードを追加
→CHCK_FG_UPDATE：作業日前日日付
　CHCK_FG：「1」
　他カラムに「0」を設定</t>
    <rPh sb="4" eb="6">
      <t>セッテイ</t>
    </rPh>
    <rPh sb="27" eb="31">
      <t>ツリセンツイカ</t>
    </rPh>
    <rPh sb="32" eb="34">
      <t>ソウサ</t>
    </rPh>
    <rPh sb="115" eb="117">
      <t>ホゾン</t>
    </rPh>
    <rPh sb="118" eb="120">
      <t>オウカ</t>
    </rPh>
    <rPh sb="123" eb="125">
      <t>ソウシン</t>
    </rPh>
    <rPh sb="126" eb="128">
      <t>オウカ</t>
    </rPh>
    <rPh sb="130" eb="132">
      <t>タイショウ</t>
    </rPh>
    <rPh sb="135" eb="138">
      <t>サイキドウ</t>
    </rPh>
    <phoneticPr fontId="12"/>
  </si>
  <si>
    <t>左記の設定が完了すること。</t>
    <rPh sb="0" eb="2">
      <t>サキ</t>
    </rPh>
    <rPh sb="3" eb="5">
      <t>セッテイ</t>
    </rPh>
    <rPh sb="6" eb="8">
      <t>カンリョウ</t>
    </rPh>
    <phoneticPr fontId="12"/>
  </si>
  <si>
    <t>「釣銭追加」押下
→釣銭をPOSに追加
→サーバメニュー：店舗＞運用＞過不足リストの過不足系に先ほどの釣銭追加操作が表示されていることを確認
→入金機とPOSとで差異ができるため、システム設定で設定した分数後にアラートが表示</t>
    <rPh sb="1" eb="5">
      <t>ツリセンツイカ</t>
    </rPh>
    <rPh sb="6" eb="8">
      <t>オウカ</t>
    </rPh>
    <rPh sb="10" eb="12">
      <t>ツリセン</t>
    </rPh>
    <rPh sb="17" eb="19">
      <t>ツイカ</t>
    </rPh>
    <rPh sb="29" eb="31">
      <t>テンポ</t>
    </rPh>
    <rPh sb="32" eb="34">
      <t>ウンヨウ</t>
    </rPh>
    <rPh sb="35" eb="38">
      <t>カフソク</t>
    </rPh>
    <rPh sb="42" eb="46">
      <t>カフソクケイ</t>
    </rPh>
    <rPh sb="47" eb="48">
      <t>サキ</t>
    </rPh>
    <rPh sb="51" eb="55">
      <t>ツリセンツイカ</t>
    </rPh>
    <rPh sb="55" eb="57">
      <t>ソウサ</t>
    </rPh>
    <rPh sb="58" eb="60">
      <t>ヒョウジ</t>
    </rPh>
    <rPh sb="68" eb="70">
      <t>カクニン</t>
    </rPh>
    <rPh sb="72" eb="75">
      <t>ニュウキンキ</t>
    </rPh>
    <rPh sb="81" eb="83">
      <t>サイ</t>
    </rPh>
    <rPh sb="94" eb="96">
      <t>セッテイ</t>
    </rPh>
    <rPh sb="97" eb="99">
      <t>セッテイ</t>
    </rPh>
    <rPh sb="101" eb="104">
      <t>フンスウゴ</t>
    </rPh>
    <rPh sb="110" eb="112">
      <t>ヒョウジ</t>
    </rPh>
    <phoneticPr fontId="12"/>
  </si>
  <si>
    <t>システム設定で設定した通常POSに入金アラートポップアップが表示されること</t>
    <rPh sb="4" eb="6">
      <t>セッテイ</t>
    </rPh>
    <rPh sb="7" eb="9">
      <t>セッテイ</t>
    </rPh>
    <rPh sb="11" eb="13">
      <t>ツウジョウ</t>
    </rPh>
    <rPh sb="17" eb="19">
      <t>ニュウキン</t>
    </rPh>
    <rPh sb="30" eb="32">
      <t>ヒョウジ</t>
    </rPh>
    <phoneticPr fontId="12"/>
  </si>
  <si>
    <t>表B.カード情報</t>
    <rPh sb="0" eb="1">
      <t>ヒョウ</t>
    </rPh>
    <rPh sb="6" eb="8">
      <t>ジョウホウ</t>
    </rPh>
    <phoneticPr fontId="28"/>
  </si>
  <si>
    <t>【 JISⅠストライプ情報の場合】</t>
    <rPh sb="11" eb="13">
      <t>ジョウホウ</t>
    </rPh>
    <rPh sb="14" eb="16">
      <t>バアイ</t>
    </rPh>
    <phoneticPr fontId="28"/>
  </si>
  <si>
    <t>項番</t>
    <rPh sb="0" eb="2">
      <t>コウバン</t>
    </rPh>
    <phoneticPr fontId="29"/>
  </si>
  <si>
    <t>項目</t>
    <rPh sb="0" eb="2">
      <t>コウモク</t>
    </rPh>
    <phoneticPr fontId="29"/>
  </si>
  <si>
    <t>桁数</t>
    <rPh sb="0" eb="2">
      <t>ケタスウ</t>
    </rPh>
    <phoneticPr fontId="29"/>
  </si>
  <si>
    <t>属性</t>
    <rPh sb="0" eb="2">
      <t>ゾクセイ</t>
    </rPh>
    <phoneticPr fontId="29"/>
  </si>
  <si>
    <t>自動ブランド判定 設定値</t>
  </si>
  <si>
    <t>開始符号</t>
    <rPh sb="0" eb="2">
      <t>カイシ</t>
    </rPh>
    <rPh sb="2" eb="4">
      <t>フゴウ</t>
    </rPh>
    <phoneticPr fontId="29"/>
  </si>
  <si>
    <t>a</t>
  </si>
  <si>
    <t>「；」　0x3B：固定</t>
  </si>
  <si>
    <t>バーコード１</t>
  </si>
  <si>
    <t>n</t>
  </si>
  <si>
    <t>項目内
　固定文字4桁「8900」
　　+ バーコード1～12桁目 
　※バーコード桁数が12桁以上の可変長の場合、
分割して設定</t>
    <rPh sb="0" eb="1">
      <t>ナイ</t>
    </rPh>
    <rPh sb="5" eb="7">
      <t>コテイ</t>
    </rPh>
    <rPh sb="7" eb="9">
      <t>モジ</t>
    </rPh>
    <rPh sb="10" eb="11">
      <t>ケタ</t>
    </rPh>
    <rPh sb="42" eb="44">
      <t>ケタスウ</t>
    </rPh>
    <rPh sb="47" eb="48">
      <t>ケタ</t>
    </rPh>
    <rPh sb="48" eb="50">
      <t>イジョウ</t>
    </rPh>
    <rPh sb="51" eb="53">
      <t>カヘン</t>
    </rPh>
    <rPh sb="53" eb="54">
      <t>チョウ</t>
    </rPh>
    <rPh sb="55" eb="57">
      <t>バアイ</t>
    </rPh>
    <rPh sb="59" eb="61">
      <t>ブンカツ</t>
    </rPh>
    <rPh sb="63" eb="65">
      <t>セッテイ</t>
    </rPh>
    <phoneticPr fontId="29"/>
  </si>
  <si>
    <t>セパレータ</t>
  </si>
  <si>
    <t>「=」　0x3D：固定</t>
  </si>
  <si>
    <t>サービス識別</t>
    <rPh sb="4" eb="6">
      <t>シキベツ</t>
    </rPh>
    <phoneticPr fontId="29"/>
  </si>
  <si>
    <t>自動ブランド判定 → 8912</t>
  </si>
  <si>
    <t>バーコード2</t>
  </si>
  <si>
    <t>項目内
　　バーコード桁数が28桁未満の場合、バーコード 13～末桁目（0～最大15桁）+ バーコード終了文字１桁（固定文字"@"）　※左詰、残り０埋め
   バーコード桁数が28桁以上の場合、バーコード 13～28桁目</t>
  </si>
  <si>
    <t>終了符号</t>
  </si>
  <si>
    <t>「?」　0x3F：固定</t>
  </si>
  <si>
    <t>予備</t>
    <rPh sb="0" eb="2">
      <t>ヨビ</t>
    </rPh>
    <phoneticPr fontId="29"/>
  </si>
  <si>
    <t>p</t>
  </si>
  <si>
    <t xml:space="preserve">スペース 
バーコード桁数が28桁以上の場合、バーコード 29桁～末桁目（0～最大29桁）+ バーコード終了文字１桁（固定文字"@"）　※左詰、残り半角空白埋め
</t>
  </si>
  <si>
    <t>入出金マスタ　（38版）　2024.10.08更新</t>
    <rPh sb="0" eb="3">
      <t>ニュウシュッキン</t>
    </rPh>
    <rPh sb="6" eb="7">
      <t>シンパン</t>
    </rPh>
    <rPh sb="10" eb="11">
      <t>ハン</t>
    </rPh>
    <rPh sb="23" eb="25">
      <t>コウシン</t>
    </rPh>
    <phoneticPr fontId="28"/>
  </si>
  <si>
    <t>商品ｺｰﾄﾞ
(itemcd)</t>
    <rPh sb="0" eb="2">
      <t>ショウヒン</t>
    </rPh>
    <phoneticPr fontId="28"/>
  </si>
  <si>
    <t>入出金
区分
(rstycls)</t>
    <rPh sb="0" eb="3">
      <t>ニュウシュッキン</t>
    </rPh>
    <rPh sb="4" eb="6">
      <t>クブン</t>
    </rPh>
    <phoneticPr fontId="28"/>
  </si>
  <si>
    <t>科目ｺｰﾄﾞ
(sjtcd)</t>
    <rPh sb="0" eb="2">
      <t>カモク</t>
    </rPh>
    <phoneticPr fontId="28"/>
  </si>
  <si>
    <t>科目名
(sjtnam)</t>
    <rPh sb="0" eb="3">
      <t>カモクメイ</t>
    </rPh>
    <phoneticPr fontId="28"/>
  </si>
  <si>
    <t>項目
(entcd)</t>
    <rPh sb="0" eb="2">
      <t>コウモク</t>
    </rPh>
    <phoneticPr fontId="28"/>
  </si>
  <si>
    <t>名称
(entnam)</t>
    <rPh sb="0" eb="2">
      <t>メイショウ</t>
    </rPh>
    <phoneticPr fontId="28"/>
  </si>
  <si>
    <t>内訳ｺｰﾄﾞ
(dtlcd)</t>
    <rPh sb="0" eb="2">
      <t>ウチワケ</t>
    </rPh>
    <phoneticPr fontId="28"/>
  </si>
  <si>
    <t>内訳名称２　[名称の後に表示]
(dtlnam)</t>
    <rPh sb="0" eb="2">
      <t>ウチワケ</t>
    </rPh>
    <rPh sb="2" eb="4">
      <t>メイショウ</t>
    </rPh>
    <rPh sb="7" eb="9">
      <t>メイショウ</t>
    </rPh>
    <rPh sb="10" eb="11">
      <t>ウシ</t>
    </rPh>
    <rPh sb="12" eb="14">
      <t>ヒョウジ</t>
    </rPh>
    <phoneticPr fontId="28"/>
  </si>
  <si>
    <t>取引ｺｰﾄﾞ
(trdcd)</t>
    <rPh sb="0" eb="2">
      <t>トリヒキ</t>
    </rPh>
    <phoneticPr fontId="28"/>
  </si>
  <si>
    <t>入力区分
(inpcls)</t>
    <rPh sb="0" eb="2">
      <t>ニュウリョク</t>
    </rPh>
    <rPh sb="2" eb="4">
      <t>クブン</t>
    </rPh>
    <phoneticPr fontId="28"/>
  </si>
  <si>
    <t>計No
(ttlno)</t>
    <rPh sb="0" eb="1">
      <t>ケイ</t>
    </rPh>
    <phoneticPr fontId="28"/>
  </si>
  <si>
    <t>POS取引
ｺｰﾄﾞ</t>
    <rPh sb="3" eb="5">
      <t>トリヒキ</t>
    </rPh>
    <phoneticPr fontId="28"/>
  </si>
  <si>
    <t>modNGflg</t>
    <phoneticPr fontId="28"/>
  </si>
  <si>
    <t>sumexceptflg</t>
    <phoneticPr fontId="28"/>
  </si>
  <si>
    <t>備考</t>
    <rPh sb="0" eb="2">
      <t>ビコウ</t>
    </rPh>
    <phoneticPr fontId="28"/>
  </si>
  <si>
    <t xml:space="preserve">立替金                                  </t>
  </si>
  <si>
    <t>＊５１クレジット　　　　　　　　　　　　</t>
  </si>
  <si>
    <t xml:space="preserve">                                        </t>
  </si>
  <si>
    <t xml:space="preserve">現金仕入 非課税                         </t>
  </si>
  <si>
    <t xml:space="preserve">切手他                                  </t>
  </si>
  <si>
    <t xml:space="preserve">　                                      </t>
  </si>
  <si>
    <t xml:space="preserve">預り金                                  </t>
  </si>
  <si>
    <t xml:space="preserve">店舗売掛金                              </t>
  </si>
  <si>
    <t xml:space="preserve">未収入金                                </t>
  </si>
  <si>
    <t xml:space="preserve">地域商品券                              </t>
  </si>
  <si>
    <t xml:space="preserve">販促費 売上値引き                       </t>
  </si>
  <si>
    <t xml:space="preserve">釣銭機トラブル出金                            </t>
  </si>
  <si>
    <t xml:space="preserve">訂正ミス出金                            </t>
  </si>
  <si>
    <t xml:space="preserve">雑費 店舗                               </t>
  </si>
  <si>
    <t xml:space="preserve">アルミ缶回収                            </t>
  </si>
  <si>
    <t xml:space="preserve">現金過不足                                  </t>
  </si>
  <si>
    <t xml:space="preserve">スイカパスモ過剰分返金                         </t>
  </si>
  <si>
    <t>カード作成費戻し</t>
    <rPh sb="3" eb="5">
      <t>サクセイ</t>
    </rPh>
    <rPh sb="5" eb="6">
      <t>ヒ</t>
    </rPh>
    <rPh sb="6" eb="7">
      <t>モド</t>
    </rPh>
    <phoneticPr fontId="28"/>
  </si>
  <si>
    <t>カード作成費戻し</t>
    <rPh sb="6" eb="7">
      <t>モド</t>
    </rPh>
    <phoneticPr fontId="28"/>
  </si>
  <si>
    <t>※2020/10/22 レコード修正</t>
    <rPh sb="16" eb="18">
      <t>シュウセイ</t>
    </rPh>
    <phoneticPr fontId="28"/>
  </si>
  <si>
    <t xml:space="preserve">売掛金                                  </t>
  </si>
  <si>
    <t xml:space="preserve">売掛金 埼玉医大                         </t>
  </si>
  <si>
    <t xml:space="preserve">仮受金 前払証憑                         </t>
  </si>
  <si>
    <t xml:space="preserve">＊４３商品券                            </t>
  </si>
  <si>
    <t xml:space="preserve">現金仕入 課税                           </t>
  </si>
  <si>
    <t xml:space="preserve">１部門 現金仕入                         </t>
  </si>
  <si>
    <t xml:space="preserve">２部門 現金仕入                         </t>
  </si>
  <si>
    <t xml:space="preserve">３部門 現金仕入                         </t>
  </si>
  <si>
    <t xml:space="preserve">４部門 現金仕入                         </t>
  </si>
  <si>
    <t xml:space="preserve">５部門 現金仕入                         </t>
  </si>
  <si>
    <t xml:space="preserve">６部門 現金仕入                         </t>
  </si>
  <si>
    <t xml:space="preserve">７部門 現金仕入                         </t>
  </si>
  <si>
    <t xml:space="preserve">８部門 現金仕入                         </t>
  </si>
  <si>
    <t xml:space="preserve">９部門 現金仕入                         </t>
  </si>
  <si>
    <t xml:space="preserve">１０部門 現金仕入                       </t>
  </si>
  <si>
    <t xml:space="preserve">１１部門 現金仕入                       </t>
  </si>
  <si>
    <t>※2024/8/29 レコード修正</t>
    <phoneticPr fontId="28"/>
  </si>
  <si>
    <t xml:space="preserve">１２部門 現金仕入                       </t>
  </si>
  <si>
    <t xml:space="preserve">１３部門 現金仕入                       </t>
  </si>
  <si>
    <t xml:space="preserve">１４部門 現金仕入                       </t>
  </si>
  <si>
    <t xml:space="preserve">１５部門 現金仕入                       </t>
  </si>
  <si>
    <t xml:space="preserve">３４部門 現金仕入                       </t>
  </si>
  <si>
    <t xml:space="preserve">４３部門 現金仕入                       </t>
  </si>
  <si>
    <t xml:space="preserve">４４部門 現金仕入                       </t>
  </si>
  <si>
    <t xml:space="preserve">５４部門 現金仕入                       </t>
  </si>
  <si>
    <t xml:space="preserve">売上 割戻し                             </t>
  </si>
  <si>
    <t xml:space="preserve">＊４４ご優待券                          </t>
  </si>
  <si>
    <t xml:space="preserve">寄付金 不課税                           </t>
  </si>
  <si>
    <t xml:space="preserve">寄付金 物品                             </t>
  </si>
  <si>
    <t xml:space="preserve">寄付金 課税                             </t>
  </si>
  <si>
    <t xml:space="preserve">寄付金 現金                             </t>
  </si>
  <si>
    <t xml:space="preserve">交際費                                  </t>
  </si>
  <si>
    <t xml:space="preserve">交際費 ３千円以上                       </t>
  </si>
  <si>
    <t xml:space="preserve">店舗 雑費                               </t>
  </si>
  <si>
    <t xml:space="preserve">交際費 ３千円未満                       </t>
  </si>
  <si>
    <t xml:space="preserve">小口現金 店内消耗品                     </t>
  </si>
  <si>
    <t xml:space="preserve">小口現金 臨時交通費                     </t>
  </si>
  <si>
    <t xml:space="preserve">小口現金 修繕費                         </t>
  </si>
  <si>
    <t xml:space="preserve">会議費                                  </t>
  </si>
  <si>
    <t xml:space="preserve">小口現金 会議費                         </t>
  </si>
  <si>
    <t xml:space="preserve">小口現金 クレーム処理                   </t>
  </si>
  <si>
    <t xml:space="preserve">ペリカン便                              </t>
  </si>
  <si>
    <t xml:space="preserve">お中元．お歳暮                          </t>
  </si>
  <si>
    <t xml:space="preserve">店内事故                                </t>
  </si>
  <si>
    <t xml:space="preserve">小口現金 その他 １                      </t>
  </si>
  <si>
    <t xml:space="preserve">小口現金 その他 ２                      </t>
  </si>
  <si>
    <t xml:space="preserve">パーキング返金                          </t>
  </si>
  <si>
    <t xml:space="preserve">小口現金 その他 ４                      </t>
  </si>
  <si>
    <t xml:space="preserve">仮払金                                  </t>
  </si>
  <si>
    <t xml:space="preserve">その他出金 ３                           </t>
  </si>
  <si>
    <t xml:space="preserve">その他出金 ４                           </t>
  </si>
  <si>
    <t xml:space="preserve">その他出金 ５                           </t>
  </si>
  <si>
    <t xml:space="preserve">＊４５割引クーポン                      </t>
  </si>
  <si>
    <t xml:space="preserve">＊５３個別店舗用                        </t>
  </si>
  <si>
    <t xml:space="preserve">＊５４個別（ギフトカード）              </t>
  </si>
  <si>
    <t xml:space="preserve">売掛金 子会社                           </t>
  </si>
  <si>
    <t xml:space="preserve">クレジットサビア                        </t>
  </si>
  <si>
    <t xml:space="preserve">現金過不足                              </t>
  </si>
  <si>
    <t xml:space="preserve">閉店時違算（－）                        </t>
  </si>
  <si>
    <t xml:space="preserve">全回収時違算（－）                      </t>
  </si>
  <si>
    <t xml:space="preserve">通番取消現外券出金                      </t>
  </si>
  <si>
    <t xml:space="preserve">未収入金 ギフト                         </t>
  </si>
  <si>
    <t xml:space="preserve">＊４８ギフト券                          </t>
  </si>
  <si>
    <t xml:space="preserve">会費組合費                              </t>
  </si>
  <si>
    <t xml:space="preserve">小口現金クレーム電話                    </t>
  </si>
  <si>
    <t xml:space="preserve">志木市買物券                            </t>
  </si>
  <si>
    <t xml:space="preserve">未収入金　子会社                        </t>
  </si>
  <si>
    <t xml:space="preserve">ビューティーカード                      </t>
  </si>
  <si>
    <t xml:space="preserve">福利厚生費                              </t>
  </si>
  <si>
    <t xml:space="preserve">パ－トナ－退職商品券                    </t>
  </si>
  <si>
    <t xml:space="preserve">物品引換券                              </t>
  </si>
  <si>
    <t xml:space="preserve">野塩商品券                              </t>
  </si>
  <si>
    <t xml:space="preserve">三鷹市見舞券                            </t>
  </si>
  <si>
    <t xml:space="preserve">本社切手購入                            </t>
  </si>
  <si>
    <t xml:space="preserve">塩                                      </t>
  </si>
  <si>
    <t xml:space="preserve">雑費                                    </t>
  </si>
  <si>
    <t xml:space="preserve">レジ撤去金庫受入                        </t>
  </si>
  <si>
    <t xml:space="preserve">現金仕入  課税                          </t>
  </si>
  <si>
    <t xml:space="preserve">衣料直し（２７部門仕入）                </t>
  </si>
  <si>
    <t xml:space="preserve">貯蔵品  非課税                          </t>
  </si>
  <si>
    <t xml:space="preserve">本社印紙購入                            </t>
  </si>
  <si>
    <t xml:space="preserve">預り金　一般                            </t>
  </si>
  <si>
    <t xml:space="preserve">永年勤続商品券                          </t>
  </si>
  <si>
    <t>とくし丸不足</t>
    <rPh sb="3" eb="4">
      <t>マル</t>
    </rPh>
    <rPh sb="4" eb="6">
      <t>フソク</t>
    </rPh>
    <phoneticPr fontId="28"/>
  </si>
  <si>
    <t xml:space="preserve">現金Ｄ                                  </t>
  </si>
  <si>
    <t xml:space="preserve">入金機繰越金（出金）                    </t>
  </si>
  <si>
    <t xml:space="preserve">現金仕入　課税                          </t>
  </si>
  <si>
    <t xml:space="preserve">４６部門仕入（ごみ袋）                  </t>
  </si>
  <si>
    <t xml:space="preserve">販売促進費                              </t>
  </si>
  <si>
    <t xml:space="preserve">お年玉スピードくじ                      </t>
  </si>
  <si>
    <t xml:space="preserve">小口現金                                </t>
  </si>
  <si>
    <t xml:space="preserve">キャッシング収入                        </t>
  </si>
  <si>
    <t xml:space="preserve">パーキング返金・釣銭                    </t>
  </si>
  <si>
    <t xml:space="preserve">桜堤児童館　売掛金                      </t>
  </si>
  <si>
    <t xml:space="preserve">レオ保育園　売掛金                      </t>
  </si>
  <si>
    <t xml:space="preserve">商品券プレゼント                        </t>
  </si>
  <si>
    <t xml:space="preserve">その他出金　７                          </t>
  </si>
  <si>
    <t xml:space="preserve">その他出金　８                          </t>
  </si>
  <si>
    <t xml:space="preserve">その他出金　９     </t>
    <phoneticPr fontId="28"/>
  </si>
  <si>
    <t>※2024/5/21 レコード修正（既存漏れ）</t>
    <rPh sb="15" eb="17">
      <t>シュウセイ</t>
    </rPh>
    <rPh sb="18" eb="20">
      <t>キゾン</t>
    </rPh>
    <rPh sb="20" eb="21">
      <t>モ</t>
    </rPh>
    <phoneticPr fontId="28"/>
  </si>
  <si>
    <t xml:space="preserve">感謝券募金                              </t>
  </si>
  <si>
    <t>現金過不足</t>
    <rPh sb="0" eb="5">
      <t>ゲンキンカブソク</t>
    </rPh>
    <phoneticPr fontId="28"/>
  </si>
  <si>
    <t>デジタルコード返金</t>
    <rPh sb="7" eb="9">
      <t>ヘンキン</t>
    </rPh>
    <phoneticPr fontId="28"/>
  </si>
  <si>
    <t>※2022/9/13 レコード修正</t>
    <rPh sb="15" eb="17">
      <t>シュウセイ</t>
    </rPh>
    <phoneticPr fontId="28"/>
  </si>
  <si>
    <t xml:space="preserve">共済会                                  </t>
  </si>
  <si>
    <t xml:space="preserve">土谷食品 （レジ不足分）                 </t>
  </si>
  <si>
    <t xml:space="preserve">その他出金　１３                        </t>
  </si>
  <si>
    <t xml:space="preserve">販促促進費                              </t>
  </si>
  <si>
    <t xml:space="preserve">スタンプカード買い取り                  </t>
  </si>
  <si>
    <t xml:space="preserve">その他出金　１５                        </t>
  </si>
  <si>
    <t xml:space="preserve">その他出金　１６                        </t>
  </si>
  <si>
    <t xml:space="preserve">その他出金　１７                        </t>
  </si>
  <si>
    <t xml:space="preserve">その他出金　１８                        </t>
  </si>
  <si>
    <t xml:space="preserve">その他出金　１９                        </t>
  </si>
  <si>
    <t xml:space="preserve">その他出金　２０                        </t>
  </si>
  <si>
    <t xml:space="preserve">福利厚生費 不課税                       </t>
  </si>
  <si>
    <t>慶弔金　　　　　　　　　　　　　　　　　</t>
  </si>
  <si>
    <t xml:space="preserve">増戸ホーム                              </t>
  </si>
  <si>
    <t xml:space="preserve">売上　割戻し                            </t>
  </si>
  <si>
    <t xml:space="preserve">新店　サービス券                        </t>
  </si>
  <si>
    <t xml:space="preserve">衛生費　ゴミ処理料                      </t>
  </si>
  <si>
    <t xml:space="preserve">あきる野市衛生費                        </t>
  </si>
  <si>
    <t xml:space="preserve">売上                                    </t>
  </si>
  <si>
    <t xml:space="preserve">２９部門レシート（－）                  </t>
  </si>
  <si>
    <t xml:space="preserve">運送費　ギフト送料                      </t>
  </si>
  <si>
    <t xml:space="preserve">４９部門レシート（－）                  </t>
  </si>
  <si>
    <t xml:space="preserve">売上　非課税                            </t>
  </si>
  <si>
    <t xml:space="preserve">５８部門レシート（－）                  </t>
  </si>
  <si>
    <t xml:space="preserve">２６部門レシート（－）                  </t>
  </si>
  <si>
    <t xml:space="preserve">１４部門（－）・釣銭                    </t>
  </si>
  <si>
    <t xml:space="preserve">テレホンカード                          </t>
  </si>
  <si>
    <t xml:space="preserve">未収入金（関係会社１）                  </t>
  </si>
  <si>
    <t xml:space="preserve">レジ袋値引                              </t>
  </si>
  <si>
    <t xml:space="preserve">立替金１                                </t>
  </si>
  <si>
    <t xml:space="preserve">販促費 スタンプ                         </t>
  </si>
  <si>
    <t xml:space="preserve">＊４７ＩＮＡクーポン                    </t>
  </si>
  <si>
    <t xml:space="preserve">感謝券                                  </t>
  </si>
  <si>
    <t xml:space="preserve">立替金（関係会社１）                    </t>
  </si>
  <si>
    <t xml:space="preserve">立替金（関係会社２）                    </t>
  </si>
  <si>
    <t xml:space="preserve">個別店舗金券                            </t>
  </si>
  <si>
    <t xml:space="preserve">当り券／クーポン                        </t>
  </si>
  <si>
    <t xml:space="preserve">オリブ金券                              </t>
  </si>
  <si>
    <t xml:space="preserve">立替金　　　　　　　　　　　　　　　    </t>
  </si>
  <si>
    <t xml:space="preserve">スイカ．パスモ                          </t>
  </si>
  <si>
    <t xml:space="preserve">いなクーポン                            </t>
  </si>
  <si>
    <t xml:space="preserve">販売促進費　スタンプ                    </t>
  </si>
  <si>
    <t xml:space="preserve">レジ袋返金                              </t>
  </si>
  <si>
    <t xml:space="preserve">２７部門 現金仕入                       </t>
  </si>
  <si>
    <t xml:space="preserve">タバコ釣銭（貸出）                      </t>
  </si>
  <si>
    <t xml:space="preserve">４４部門空ビン代                        </t>
  </si>
  <si>
    <t xml:space="preserve">３部門自販機故障返金                    </t>
  </si>
  <si>
    <t xml:space="preserve">７部門コピー機故障返金                  </t>
  </si>
  <si>
    <t xml:space="preserve">７部門ガチャ故障返金                    </t>
  </si>
  <si>
    <t xml:space="preserve">１２部門ガチャ故障返金                  </t>
  </si>
  <si>
    <t xml:space="preserve">包装貨幣不足                            </t>
  </si>
  <si>
    <t xml:space="preserve">新ＰＯＳ手クレ                          </t>
  </si>
  <si>
    <t xml:space="preserve">売掛金その他                            </t>
  </si>
  <si>
    <t xml:space="preserve">売掛金社販                              </t>
  </si>
  <si>
    <t>銀聯カード</t>
    <rPh sb="0" eb="2">
      <t>ギンレン</t>
    </rPh>
    <phoneticPr fontId="28"/>
  </si>
  <si>
    <t>※2016/07/05 レコード追加</t>
    <rPh sb="16" eb="18">
      <t>ツイカ</t>
    </rPh>
    <phoneticPr fontId="28"/>
  </si>
  <si>
    <t>売上割戻</t>
    <phoneticPr fontId="28"/>
  </si>
  <si>
    <t>カタリナSクーポン</t>
    <phoneticPr fontId="28"/>
  </si>
  <si>
    <t>※2020/10/22 レコード追加</t>
    <rPh sb="16" eb="18">
      <t>ツイカ</t>
    </rPh>
    <phoneticPr fontId="28"/>
  </si>
  <si>
    <t>売掛金</t>
    <rPh sb="0" eb="2">
      <t>ウリカケ</t>
    </rPh>
    <rPh sb="2" eb="3">
      <t>キン</t>
    </rPh>
    <phoneticPr fontId="28"/>
  </si>
  <si>
    <t>カタリナＭクーポン</t>
    <phoneticPr fontId="28"/>
  </si>
  <si>
    <t>Ｓクーポン（手入力）</t>
    <rPh sb="6" eb="7">
      <t>テ</t>
    </rPh>
    <rPh sb="7" eb="9">
      <t>ニュウリョク</t>
    </rPh>
    <phoneticPr fontId="28"/>
  </si>
  <si>
    <t>Ｍクーポン（手入力）</t>
    <rPh sb="6" eb="9">
      <t>テニュウリョク</t>
    </rPh>
    <phoneticPr fontId="28"/>
  </si>
  <si>
    <t>ＪＲＥクレジット</t>
    <phoneticPr fontId="28"/>
  </si>
  <si>
    <t xml:space="preserve">仮払金                                  </t>
    <phoneticPr fontId="28"/>
  </si>
  <si>
    <t>とくし丸消費税差額</t>
    <rPh sb="3" eb="4">
      <t>マル</t>
    </rPh>
    <rPh sb="4" eb="7">
      <t>ショウヒゼイ</t>
    </rPh>
    <rPh sb="7" eb="9">
      <t>サガク</t>
    </rPh>
    <phoneticPr fontId="28"/>
  </si>
  <si>
    <t>※2022/9/13 レコード追加</t>
    <rPh sb="15" eb="17">
      <t>ツイカ</t>
    </rPh>
    <phoneticPr fontId="28"/>
  </si>
  <si>
    <t>売掛金</t>
    <rPh sb="0" eb="3">
      <t>ウリカケキン</t>
    </rPh>
    <phoneticPr fontId="28"/>
  </si>
  <si>
    <t>ネット販売他</t>
    <rPh sb="3" eb="5">
      <t>ハンバイ</t>
    </rPh>
    <rPh sb="5" eb="6">
      <t>ホカ</t>
    </rPh>
    <phoneticPr fontId="28"/>
  </si>
  <si>
    <t>コード決済</t>
    <rPh sb="3" eb="5">
      <t>ケッサイ</t>
    </rPh>
    <phoneticPr fontId="28"/>
  </si>
  <si>
    <t xml:space="preserve">ポケパル払い                          </t>
    <rPh sb="4" eb="5">
      <t>バラ</t>
    </rPh>
    <phoneticPr fontId="28"/>
  </si>
  <si>
    <t>※2024/6/6 レコード追加（既存漏れ）</t>
    <rPh sb="14" eb="16">
      <t>ツイカ</t>
    </rPh>
    <rPh sb="17" eb="19">
      <t>キゾン</t>
    </rPh>
    <rPh sb="19" eb="20">
      <t>モ</t>
    </rPh>
    <phoneticPr fontId="28"/>
  </si>
  <si>
    <t>未取引分出金</t>
    <rPh sb="0" eb="4">
      <t>ミトリヒキブン</t>
    </rPh>
    <rPh sb="4" eb="6">
      <t>シュッキン</t>
    </rPh>
    <phoneticPr fontId="28"/>
  </si>
  <si>
    <t>※2023/3/16 レコード修正</t>
    <rPh sb="15" eb="17">
      <t>シュウセイ</t>
    </rPh>
    <phoneticPr fontId="28"/>
  </si>
  <si>
    <t>未収入金</t>
    <rPh sb="0" eb="4">
      <t>ミシュウニュウキン</t>
    </rPh>
    <phoneticPr fontId="28"/>
  </si>
  <si>
    <t>各地域デジタル商品券</t>
    <rPh sb="0" eb="1">
      <t>カク</t>
    </rPh>
    <rPh sb="1" eb="3">
      <t>チイキ</t>
    </rPh>
    <rPh sb="7" eb="10">
      <t>ショウヒンケン</t>
    </rPh>
    <phoneticPr fontId="28"/>
  </si>
  <si>
    <t>PayPay</t>
  </si>
  <si>
    <t>※2023/10/4 レコード追加</t>
    <rPh sb="15" eb="17">
      <t>ツイカ</t>
    </rPh>
    <phoneticPr fontId="28"/>
  </si>
  <si>
    <t>d払い</t>
  </si>
  <si>
    <t>LINE Pay</t>
  </si>
  <si>
    <t>au Pay</t>
  </si>
  <si>
    <t>楽天ペイ</t>
  </si>
  <si>
    <t>メルペイ</t>
  </si>
  <si>
    <t xml:space="preserve">コード決済（手入力）                     </t>
    <rPh sb="6" eb="9">
      <t>テニュウリョク</t>
    </rPh>
    <phoneticPr fontId="28"/>
  </si>
  <si>
    <t>オニゴー</t>
    <phoneticPr fontId="28"/>
  </si>
  <si>
    <t>※2023/5/31 レコード追加</t>
    <rPh sb="15" eb="17">
      <t>ツイカ</t>
    </rPh>
    <phoneticPr fontId="28"/>
  </si>
  <si>
    <t>ＷＯＬＴ</t>
    <phoneticPr fontId="28"/>
  </si>
  <si>
    <t>AEON　Pay</t>
  </si>
  <si>
    <t>交通系IC</t>
  </si>
  <si>
    <t>※2024/5/21 レコード追加</t>
    <rPh sb="15" eb="17">
      <t>ツイカ</t>
    </rPh>
    <phoneticPr fontId="28"/>
  </si>
  <si>
    <t>交通系IC（処理未了）</t>
  </si>
  <si>
    <t>ウーバーイーツ</t>
    <phoneticPr fontId="28"/>
  </si>
  <si>
    <t>※2024/1/16 レコード追加</t>
    <rPh sb="15" eb="17">
      <t>ツイカ</t>
    </rPh>
    <phoneticPr fontId="28"/>
  </si>
  <si>
    <t>未取引処理</t>
    <rPh sb="0" eb="3">
      <t>ミトリヒキ</t>
    </rPh>
    <rPh sb="3" eb="5">
      <t>ショリ</t>
    </rPh>
    <phoneticPr fontId="28"/>
  </si>
  <si>
    <t>※2024/3/7 レコード追加</t>
    <rPh sb="14" eb="16">
      <t>ツイカ</t>
    </rPh>
    <phoneticPr fontId="28"/>
  </si>
  <si>
    <t>QUOｶｰﾄﾞPay</t>
    <phoneticPr fontId="28"/>
  </si>
  <si>
    <t xml:space="preserve">QUOｶｰﾄﾞPay                              </t>
  </si>
  <si>
    <t>残額手入力</t>
    <rPh sb="0" eb="2">
      <t>ザンガク</t>
    </rPh>
    <rPh sb="2" eb="5">
      <t>テニュウリョク</t>
    </rPh>
    <phoneticPr fontId="28"/>
  </si>
  <si>
    <t>※2024/7/5 レコード追加</t>
    <rPh sb="14" eb="16">
      <t>ツイカ</t>
    </rPh>
    <phoneticPr fontId="28"/>
  </si>
  <si>
    <t xml:space="preserve">売上　割戻し                            </t>
    <phoneticPr fontId="28"/>
  </si>
  <si>
    <t>USMH株主優待券上期</t>
    <rPh sb="4" eb="6">
      <t>カブヌシ</t>
    </rPh>
    <rPh sb="6" eb="9">
      <t>ユウタイケン</t>
    </rPh>
    <rPh sb="9" eb="11">
      <t>カミキ</t>
    </rPh>
    <phoneticPr fontId="28"/>
  </si>
  <si>
    <t>※2024/10/1 レコード修正</t>
    <rPh sb="15" eb="17">
      <t>シュウセイ</t>
    </rPh>
    <phoneticPr fontId="28"/>
  </si>
  <si>
    <t>USMH株主優待券下期</t>
    <rPh sb="4" eb="6">
      <t>カブヌシ</t>
    </rPh>
    <rPh sb="6" eb="9">
      <t>ユウタイケン</t>
    </rPh>
    <rPh sb="9" eb="11">
      <t>シモキ</t>
    </rPh>
    <phoneticPr fontId="28"/>
  </si>
  <si>
    <t>仮受金</t>
    <rPh sb="0" eb="1">
      <t>カリ</t>
    </rPh>
    <rPh sb="1" eb="2">
      <t>ウ</t>
    </rPh>
    <rPh sb="2" eb="3">
      <t>キン</t>
    </rPh>
    <phoneticPr fontId="28"/>
  </si>
  <si>
    <t>マルエツ商品券</t>
    <rPh sb="4" eb="7">
      <t>ショウヒンケン</t>
    </rPh>
    <phoneticPr fontId="28"/>
  </si>
  <si>
    <t>カスミ商品券1000円</t>
    <rPh sb="3" eb="6">
      <t>ショウヒンケン</t>
    </rPh>
    <rPh sb="10" eb="11">
      <t>エン</t>
    </rPh>
    <phoneticPr fontId="28"/>
  </si>
  <si>
    <t>カスミ商品券500円</t>
    <rPh sb="3" eb="6">
      <t>ショウヒンケン</t>
    </rPh>
    <rPh sb="9" eb="10">
      <t>エン</t>
    </rPh>
    <phoneticPr fontId="28"/>
  </si>
  <si>
    <t xml:space="preserve">未決済                                  </t>
  </si>
  <si>
    <t xml:space="preserve">報酬金                                  </t>
  </si>
  <si>
    <t xml:space="preserve">その他出金 １                           </t>
  </si>
  <si>
    <t xml:space="preserve">その他出金 ２                           </t>
  </si>
  <si>
    <t xml:space="preserve">売上割戻し                              </t>
  </si>
  <si>
    <t xml:space="preserve">入会券                                  </t>
  </si>
  <si>
    <t xml:space="preserve">売掛金 チェック                         </t>
  </si>
  <si>
    <t xml:space="preserve">＊４９いなげやチェック                  </t>
  </si>
  <si>
    <t xml:space="preserve">未収入金 子会社                         </t>
  </si>
  <si>
    <t xml:space="preserve">ウェルパーク                            </t>
  </si>
  <si>
    <t xml:space="preserve">＊２５クーポン                          </t>
  </si>
  <si>
    <t xml:space="preserve">＊５０地域商品券                        </t>
  </si>
  <si>
    <t xml:space="preserve">ＥＤＹ売上                              </t>
  </si>
  <si>
    <t xml:space="preserve">ＥＤＹ会員小計割引                      </t>
  </si>
  <si>
    <t xml:space="preserve">売掛金 社内販売                         </t>
  </si>
  <si>
    <t xml:space="preserve">入金機繰越金（入金）                    </t>
  </si>
  <si>
    <t xml:space="preserve">売掛金 その他                           </t>
  </si>
  <si>
    <t xml:space="preserve">いなげや チェック                       </t>
  </si>
  <si>
    <t xml:space="preserve">リジェクト入金                          </t>
  </si>
  <si>
    <t xml:space="preserve">釣銭機トラブル入金                       </t>
  </si>
  <si>
    <t xml:space="preserve">チェック入金                            </t>
  </si>
  <si>
    <t xml:space="preserve">仮受金                                  </t>
  </si>
  <si>
    <t xml:space="preserve">その他入金 ２                           </t>
  </si>
  <si>
    <t xml:space="preserve">その他入金 ３                           </t>
  </si>
  <si>
    <t xml:space="preserve">その他入金 ４                           </t>
  </si>
  <si>
    <t xml:space="preserve">その他入金 ５                           </t>
  </si>
  <si>
    <t xml:space="preserve">西村靴店店頭代                          </t>
  </si>
  <si>
    <t xml:space="preserve">水道料                                  </t>
  </si>
  <si>
    <t xml:space="preserve">真田オーナー水道料                      </t>
  </si>
  <si>
    <t xml:space="preserve">電気料                                  </t>
  </si>
  <si>
    <t xml:space="preserve">たばこ自販機電気料                      </t>
  </si>
  <si>
    <t xml:space="preserve">手数料収入                              </t>
  </si>
  <si>
    <t xml:space="preserve">小口現金（戻し）                        </t>
  </si>
  <si>
    <t xml:space="preserve">パーキング戻し                          </t>
  </si>
  <si>
    <t xml:space="preserve">地域商品券換金                          </t>
  </si>
  <si>
    <t xml:space="preserve">通信費                                  </t>
  </si>
  <si>
    <t xml:space="preserve">電話                                    </t>
  </si>
  <si>
    <t xml:space="preserve">消耗品費                                </t>
  </si>
  <si>
    <t xml:space="preserve">店内消耗品販売                          </t>
  </si>
  <si>
    <t xml:space="preserve">たばこ自販機　過剰                      </t>
  </si>
  <si>
    <t>※2024/10/08 計No追記</t>
    <rPh sb="12" eb="13">
      <t>ケイ</t>
    </rPh>
    <rPh sb="15" eb="17">
      <t>ツイキ</t>
    </rPh>
    <phoneticPr fontId="28"/>
  </si>
  <si>
    <t xml:space="preserve">雑収入                                  </t>
  </si>
  <si>
    <t xml:space="preserve">自転車防犯登録料                        </t>
  </si>
  <si>
    <t xml:space="preserve">２４時間テレビ募金                      </t>
  </si>
  <si>
    <t xml:space="preserve">ラジオチャリティー募金                  </t>
  </si>
  <si>
    <t xml:space="preserve">ポイントカード入会金                    </t>
  </si>
  <si>
    <t xml:space="preserve">いなげやチェック                        </t>
  </si>
  <si>
    <t xml:space="preserve">盲導犬育成募金                          </t>
  </si>
  <si>
    <t xml:space="preserve">ミオカード使用分戻し                    </t>
  </si>
  <si>
    <t xml:space="preserve">借地借家料                              </t>
  </si>
  <si>
    <t xml:space="preserve">１６１クックサン駐車場代                </t>
  </si>
  <si>
    <t xml:space="preserve">その他入金　６                          </t>
  </si>
  <si>
    <t xml:space="preserve">その他入金　７                          </t>
  </si>
  <si>
    <t xml:space="preserve">その他入金　８                          </t>
  </si>
  <si>
    <t xml:space="preserve">その他入金　９                          </t>
  </si>
  <si>
    <t xml:space="preserve">その他入金　１１                        </t>
  </si>
  <si>
    <t xml:space="preserve">土谷食品                                </t>
  </si>
  <si>
    <t xml:space="preserve">駐車場                                  </t>
  </si>
  <si>
    <t xml:space="preserve">その他入金　１３                        </t>
  </si>
  <si>
    <t xml:space="preserve">その他入金　１４                        </t>
  </si>
  <si>
    <t xml:space="preserve">その他入金　１５                        </t>
  </si>
  <si>
    <t xml:space="preserve">その他入金　１６                        </t>
  </si>
  <si>
    <t xml:space="preserve">その他入金　１７                        </t>
  </si>
  <si>
    <t xml:space="preserve">その他入金　１８                        </t>
  </si>
  <si>
    <t xml:space="preserve">ＥＤＹチャージャー入金                  </t>
  </si>
  <si>
    <t xml:space="preserve">義援金                                  </t>
  </si>
  <si>
    <t xml:space="preserve">オーナー電気料（直接）                  </t>
  </si>
  <si>
    <t xml:space="preserve">共済会 (入金)                           </t>
  </si>
  <si>
    <t xml:space="preserve">未収入金（固定）                        </t>
  </si>
  <si>
    <t xml:space="preserve">オーナー光熱費                          </t>
  </si>
  <si>
    <t xml:space="preserve">オーナー水道料（直接）                  </t>
  </si>
  <si>
    <t xml:space="preserve">ガス料                                  </t>
  </si>
  <si>
    <t xml:space="preserve">オーナーガス料（直接）                  </t>
  </si>
  <si>
    <t xml:space="preserve">販売促進費　ＩＮＧＦＡＮカード          </t>
  </si>
  <si>
    <t xml:space="preserve">カード作成費                            </t>
  </si>
  <si>
    <t xml:space="preserve">タバコ釣銭戻し                          </t>
  </si>
  <si>
    <t xml:space="preserve">釣銭機精査未収納                        </t>
  </si>
  <si>
    <t xml:space="preserve">全回収時違算（＋）                      </t>
  </si>
  <si>
    <t xml:space="preserve">閉店時違算（＋）                        </t>
  </si>
  <si>
    <t>※2024/9/10 レコード修正</t>
    <rPh sb="15" eb="17">
      <t>シュウセイ</t>
    </rPh>
    <phoneticPr fontId="28"/>
  </si>
  <si>
    <t xml:space="preserve">追加釣銭（紙幣・硬貨）                  </t>
  </si>
  <si>
    <t xml:space="preserve">追加釣銭（棒金）                        </t>
  </si>
  <si>
    <t>借受金</t>
    <rPh sb="0" eb="2">
      <t>カリウケ</t>
    </rPh>
    <rPh sb="2" eb="3">
      <t>キン</t>
    </rPh>
    <phoneticPr fontId="13"/>
  </si>
  <si>
    <t>店舗入金A</t>
    <rPh sb="0" eb="2">
      <t>テンポ</t>
    </rPh>
    <rPh sb="2" eb="4">
      <t>ニュウキン</t>
    </rPh>
    <phoneticPr fontId="13"/>
  </si>
  <si>
    <t>※2020/10/23 レコード修正</t>
    <rPh sb="16" eb="18">
      <t>シュウセイ</t>
    </rPh>
    <phoneticPr fontId="28"/>
  </si>
  <si>
    <t>未取引分入金</t>
    <rPh sb="0" eb="4">
      <t>ミトリヒキブン</t>
    </rPh>
    <rPh sb="4" eb="6">
      <t>ニュウキン</t>
    </rPh>
    <phoneticPr fontId="28"/>
  </si>
  <si>
    <t>※2023/03/28 レコード修正</t>
    <rPh sb="16" eb="18">
      <t>シュウセイ</t>
    </rPh>
    <phoneticPr fontId="28"/>
  </si>
  <si>
    <t xml:space="preserve">預り金 一般                             </t>
  </si>
  <si>
    <t xml:space="preserve">チャリティー                            </t>
  </si>
  <si>
    <t xml:space="preserve">未　決　済　テナント                    </t>
  </si>
  <si>
    <t xml:space="preserve">１６部門（テナント）                    </t>
  </si>
  <si>
    <t xml:space="preserve">足長おじさん                            </t>
  </si>
  <si>
    <t xml:space="preserve">１７部門（テナント）                    </t>
  </si>
  <si>
    <t xml:space="preserve">１８部門（テナント）                    </t>
  </si>
  <si>
    <t xml:space="preserve">１９部門（テナント）                    </t>
  </si>
  <si>
    <t xml:space="preserve">２１部門（テナント）                    </t>
  </si>
  <si>
    <t xml:space="preserve">２２部門（テナント）                    </t>
  </si>
  <si>
    <t xml:space="preserve">２４部門（テナント）                    </t>
  </si>
  <si>
    <t xml:space="preserve">２５部門（テナント）                    </t>
  </si>
  <si>
    <t xml:space="preserve">その他入金 １                           </t>
  </si>
  <si>
    <t xml:space="preserve">８０部門（テナント）                    </t>
  </si>
  <si>
    <t xml:space="preserve">８１部門（テナント）                    </t>
  </si>
  <si>
    <t xml:space="preserve">８２部門（テナント）                    </t>
  </si>
  <si>
    <t xml:space="preserve">８３部門（テナント）                    </t>
  </si>
  <si>
    <t xml:space="preserve">８４部門（テナント）                    </t>
  </si>
  <si>
    <t xml:space="preserve">８５部門（テナント）                    </t>
  </si>
  <si>
    <t xml:space="preserve">８６部門（テナント）                    </t>
  </si>
  <si>
    <t xml:space="preserve">８７部門（テナント）                    </t>
  </si>
  <si>
    <t xml:space="preserve">クレ＜３万円以下＞                      </t>
  </si>
  <si>
    <t xml:space="preserve">サイン有３万円超．海外                  </t>
  </si>
  <si>
    <t xml:space="preserve">３０１．２の計                          </t>
  </si>
  <si>
    <t xml:space="preserve">クレ＜取消＞                            </t>
  </si>
  <si>
    <t xml:space="preserve">クレ＜返品＞                            </t>
  </si>
  <si>
    <t xml:space="preserve">新クレジット売上合計                    </t>
  </si>
  <si>
    <t xml:space="preserve">クレ＜手書き売上＞                      </t>
  </si>
  <si>
    <t xml:space="preserve">手書き計（同額）                        </t>
  </si>
  <si>
    <t xml:space="preserve">クレ＜手書き取消＞                      </t>
  </si>
  <si>
    <t xml:space="preserve">クレ＜手書き返品＞                      </t>
  </si>
  <si>
    <t xml:space="preserve">手書きクレ売上合計                      </t>
  </si>
  <si>
    <t>必要な取引パターン</t>
    <rPh sb="0" eb="2">
      <t>ヒツヨウ</t>
    </rPh>
    <rPh sb="3" eb="5">
      <t>トリヒキ</t>
    </rPh>
    <phoneticPr fontId="12"/>
  </si>
  <si>
    <t>■レポート機能</t>
    <rPh sb="5" eb="7">
      <t>キノウ</t>
    </rPh>
    <phoneticPr fontId="12"/>
  </si>
  <si>
    <t>■機能パターン</t>
    <rPh sb="1" eb="3">
      <t>キノウ</t>
    </rPh>
    <phoneticPr fontId="12"/>
  </si>
  <si>
    <t>■税パターン</t>
    <rPh sb="1" eb="2">
      <t>ゼイ</t>
    </rPh>
    <phoneticPr fontId="12"/>
  </si>
  <si>
    <t>■商品パターン</t>
    <phoneticPr fontId="12"/>
  </si>
  <si>
    <t>■売価変更パターン</t>
    <phoneticPr fontId="12"/>
  </si>
  <si>
    <t>■値引パターン</t>
    <phoneticPr fontId="12"/>
  </si>
  <si>
    <t>■支払パターン</t>
    <rPh sb="1" eb="3">
      <t>シハライ</t>
    </rPh>
    <phoneticPr fontId="12"/>
  </si>
  <si>
    <t>機能名称</t>
    <rPh sb="0" eb="2">
      <t>キノウ</t>
    </rPh>
    <rPh sb="2" eb="4">
      <t>メイショウ</t>
    </rPh>
    <phoneticPr fontId="12"/>
  </si>
  <si>
    <t>説明</t>
    <rPh sb="0" eb="2">
      <t>セツメイ</t>
    </rPh>
    <phoneticPr fontId="12"/>
  </si>
  <si>
    <t>パターン</t>
    <phoneticPr fontId="12"/>
  </si>
  <si>
    <t>連携</t>
    <rPh sb="0" eb="2">
      <t>レンケイ</t>
    </rPh>
    <phoneticPr fontId="12"/>
  </si>
  <si>
    <t>テーブル</t>
    <phoneticPr fontId="12"/>
  </si>
  <si>
    <t>付属情報</t>
    <rPh sb="0" eb="2">
      <t>フゾク</t>
    </rPh>
    <rPh sb="2" eb="4">
      <t>ジョウホウ</t>
    </rPh>
    <phoneticPr fontId="12"/>
  </si>
  <si>
    <t>支払</t>
    <rPh sb="0" eb="2">
      <t>シハライ</t>
    </rPh>
    <phoneticPr fontId="12"/>
  </si>
  <si>
    <t>集計</t>
    <rPh sb="0" eb="2">
      <t>シュウケイ</t>
    </rPh>
    <phoneticPr fontId="12"/>
  </si>
  <si>
    <t>商品階層別速報</t>
    <rPh sb="0" eb="2">
      <t>ショウヒン</t>
    </rPh>
    <rPh sb="2" eb="4">
      <t>カイソウ</t>
    </rPh>
    <rPh sb="4" eb="5">
      <t>ベツ</t>
    </rPh>
    <rPh sb="5" eb="7">
      <t>ソクホウ</t>
    </rPh>
    <phoneticPr fontId="7"/>
  </si>
  <si>
    <t>各商品階層での取引</t>
    <rPh sb="0" eb="1">
      <t>カク</t>
    </rPh>
    <rPh sb="1" eb="5">
      <t>ショウヒンカイソウ</t>
    </rPh>
    <rPh sb="7" eb="9">
      <t>トリヒキ</t>
    </rPh>
    <phoneticPr fontId="12"/>
  </si>
  <si>
    <t>開局</t>
    <rPh sb="0" eb="2">
      <t>カイキョク</t>
    </rPh>
    <phoneticPr fontId="12"/>
  </si>
  <si>
    <t>〇</t>
    <phoneticPr fontId="12"/>
  </si>
  <si>
    <t>外税8%</t>
    <rPh sb="0" eb="2">
      <t>ソトゼイ</t>
    </rPh>
    <phoneticPr fontId="12"/>
  </si>
  <si>
    <t>LN_DETAIL</t>
    <phoneticPr fontId="12"/>
  </si>
  <si>
    <t>JAN13</t>
  </si>
  <si>
    <t>売価変更</t>
    <rPh sb="0" eb="4">
      <t>バイカヘンコウ</t>
    </rPh>
    <phoneticPr fontId="12"/>
  </si>
  <si>
    <t>値上げ</t>
    <rPh sb="0" eb="2">
      <t>ネア</t>
    </rPh>
    <phoneticPr fontId="12"/>
  </si>
  <si>
    <t>LN_LINK</t>
  </si>
  <si>
    <t>マニュアル値引</t>
    <phoneticPr fontId="12"/>
  </si>
  <si>
    <t>LN_DISCOUNT</t>
    <phoneticPr fontId="12"/>
  </si>
  <si>
    <t>ing・fanポイント利用</t>
    <rPh sb="11" eb="13">
      <t>リヨウ</t>
    </rPh>
    <phoneticPr fontId="7"/>
  </si>
  <si>
    <t>TRANS_HEADER</t>
  </si>
  <si>
    <t>担当者別速報</t>
    <rPh sb="0" eb="3">
      <t>タントウシャ</t>
    </rPh>
    <rPh sb="3" eb="4">
      <t>ベツ</t>
    </rPh>
    <rPh sb="4" eb="6">
      <t>ソクホウ</t>
    </rPh>
    <phoneticPr fontId="7"/>
  </si>
  <si>
    <t>各担当者での取引</t>
    <rPh sb="0" eb="1">
      <t>カク</t>
    </rPh>
    <rPh sb="1" eb="4">
      <t>タントウシャ</t>
    </rPh>
    <rPh sb="6" eb="8">
      <t>トリヒキ</t>
    </rPh>
    <phoneticPr fontId="12"/>
  </si>
  <si>
    <t>入金</t>
    <rPh sb="0" eb="2">
      <t>ニュウキン</t>
    </rPh>
    <phoneticPr fontId="12"/>
  </si>
  <si>
    <t>TRANSACTION_TAX</t>
  </si>
  <si>
    <t>JAN13</t>
    <phoneticPr fontId="12"/>
  </si>
  <si>
    <t>0埋め5桁</t>
  </si>
  <si>
    <t>LN_DETAIL</t>
  </si>
  <si>
    <t>マニュアル割引</t>
    <rPh sb="5" eb="7">
      <t>ワリビキ</t>
    </rPh>
    <phoneticPr fontId="12"/>
  </si>
  <si>
    <t>LN_DISCOUNT</t>
  </si>
  <si>
    <t>取引別速報</t>
    <rPh sb="0" eb="3">
      <t>トリヒキベツ</t>
    </rPh>
    <rPh sb="3" eb="5">
      <t>ソクホウ</t>
    </rPh>
    <phoneticPr fontId="7"/>
  </si>
  <si>
    <t>各支払での取引</t>
    <rPh sb="0" eb="1">
      <t>カク</t>
    </rPh>
    <rPh sb="1" eb="3">
      <t>シハライ</t>
    </rPh>
    <rPh sb="5" eb="7">
      <t>トリヒキ</t>
    </rPh>
    <phoneticPr fontId="12"/>
  </si>
  <si>
    <t>TRANSACTION_TENDER</t>
  </si>
  <si>
    <t>GSFD_PNT_TRANS_HEADER</t>
    <phoneticPr fontId="12"/>
  </si>
  <si>
    <t>ポイント登録時の金額確認</t>
    <rPh sb="4" eb="6">
      <t>トウロク</t>
    </rPh>
    <rPh sb="6" eb="7">
      <t>ジ</t>
    </rPh>
    <rPh sb="8" eb="12">
      <t>キンガクカクニン</t>
    </rPh>
    <phoneticPr fontId="12"/>
  </si>
  <si>
    <t>0埋め6桁</t>
    <phoneticPr fontId="12"/>
  </si>
  <si>
    <t>バーコード値引</t>
    <phoneticPr fontId="12"/>
  </si>
  <si>
    <t>1段バーコード値引</t>
    <phoneticPr fontId="12"/>
  </si>
  <si>
    <t>要確認</t>
    <rPh sb="0" eb="3">
      <t>ヨウカクニン</t>
    </rPh>
    <phoneticPr fontId="12"/>
  </si>
  <si>
    <t>GSFD_PNT_TRANS_HEADER</t>
  </si>
  <si>
    <t>POS別速報</t>
    <rPh sb="3" eb="4">
      <t>ベツ</t>
    </rPh>
    <rPh sb="4" eb="6">
      <t>ソクホウ</t>
    </rPh>
    <phoneticPr fontId="7"/>
  </si>
  <si>
    <t>各POSでの取引</t>
    <rPh sb="0" eb="1">
      <t>カク</t>
    </rPh>
    <rPh sb="6" eb="8">
      <t>トリヒキ</t>
    </rPh>
    <phoneticPr fontId="12"/>
  </si>
  <si>
    <t>GL_TRAN</t>
  </si>
  <si>
    <t>外税10%</t>
    <rPh sb="0" eb="2">
      <t>ソトゼイ</t>
    </rPh>
    <phoneticPr fontId="12"/>
  </si>
  <si>
    <t>JAN8</t>
  </si>
  <si>
    <t>MANUAL_PRICE</t>
    <phoneticPr fontId="12"/>
  </si>
  <si>
    <t>2段バーコード値引</t>
    <phoneticPr fontId="12"/>
  </si>
  <si>
    <t>クレジット</t>
    <phoneticPr fontId="12"/>
  </si>
  <si>
    <t>他社クレ</t>
    <rPh sb="0" eb="2">
      <t>タシャ</t>
    </rPh>
    <phoneticPr fontId="12"/>
  </si>
  <si>
    <t>単品別速報</t>
    <rPh sb="0" eb="2">
      <t>タンピン</t>
    </rPh>
    <rPh sb="2" eb="3">
      <t>ベツ</t>
    </rPh>
    <rPh sb="3" eb="5">
      <t>ソクホウ</t>
    </rPh>
    <phoneticPr fontId="7"/>
  </si>
  <si>
    <t>各単品での取引</t>
    <rPh sb="0" eb="1">
      <t>カク</t>
    </rPh>
    <rPh sb="5" eb="7">
      <t>トリヒキ</t>
    </rPh>
    <phoneticPr fontId="12"/>
  </si>
  <si>
    <t>出金</t>
    <rPh sb="0" eb="2">
      <t>シュッキン</t>
    </rPh>
    <phoneticPr fontId="12"/>
  </si>
  <si>
    <t>JAN8</t>
    <phoneticPr fontId="12"/>
  </si>
  <si>
    <t>0埋め7桁</t>
    <phoneticPr fontId="12"/>
  </si>
  <si>
    <t>値下げ</t>
    <rPh sb="0" eb="2">
      <t>ネサ</t>
    </rPh>
    <phoneticPr fontId="12"/>
  </si>
  <si>
    <t>特売</t>
    <phoneticPr fontId="12"/>
  </si>
  <si>
    <t>期間</t>
    <phoneticPr fontId="12"/>
  </si>
  <si>
    <t>商品階層別時間帯別速報</t>
    <rPh sb="0" eb="2">
      <t>ショウヒン</t>
    </rPh>
    <rPh sb="2" eb="5">
      <t>カイソウベツ</t>
    </rPh>
    <rPh sb="5" eb="7">
      <t>ジカン</t>
    </rPh>
    <rPh sb="7" eb="9">
      <t>タイベツ</t>
    </rPh>
    <rPh sb="9" eb="11">
      <t>ソクホウ</t>
    </rPh>
    <phoneticPr fontId="7"/>
  </si>
  <si>
    <t>各商品階層かつ、時間帯ごとでの取引</t>
    <rPh sb="0" eb="1">
      <t>カク</t>
    </rPh>
    <rPh sb="1" eb="3">
      <t>ショウヒン</t>
    </rPh>
    <rPh sb="3" eb="5">
      <t>カイソウ</t>
    </rPh>
    <rPh sb="8" eb="11">
      <t>ジカンタイ</t>
    </rPh>
    <rPh sb="15" eb="17">
      <t>トリヒキ</t>
    </rPh>
    <phoneticPr fontId="12"/>
  </si>
  <si>
    <t>NON-PLU</t>
  </si>
  <si>
    <t>タイムサービス</t>
    <phoneticPr fontId="12"/>
  </si>
  <si>
    <t>Vクレ</t>
    <phoneticPr fontId="12"/>
  </si>
  <si>
    <t>担当者別時間帯別速報</t>
    <rPh sb="0" eb="3">
      <t>タントウシャ</t>
    </rPh>
    <rPh sb="3" eb="4">
      <t>ベツ</t>
    </rPh>
    <rPh sb="4" eb="6">
      <t>ジカン</t>
    </rPh>
    <rPh sb="6" eb="8">
      <t>タイベツ</t>
    </rPh>
    <rPh sb="8" eb="10">
      <t>ソクホウ</t>
    </rPh>
    <phoneticPr fontId="7"/>
  </si>
  <si>
    <t>各担当者かつ、時間帯ごとでの取引</t>
    <rPh sb="0" eb="1">
      <t>カク</t>
    </rPh>
    <rPh sb="1" eb="4">
      <t>タントウシャ</t>
    </rPh>
    <rPh sb="14" eb="16">
      <t>トリヒキ</t>
    </rPh>
    <phoneticPr fontId="12"/>
  </si>
  <si>
    <t>内税</t>
    <rPh sb="0" eb="2">
      <t>ウチゼイ</t>
    </rPh>
    <phoneticPr fontId="12"/>
  </si>
  <si>
    <t>UPC-A</t>
  </si>
  <si>
    <t>組合せ値引</t>
    <phoneticPr fontId="12"/>
  </si>
  <si>
    <t>バンドル</t>
    <phoneticPr fontId="12"/>
  </si>
  <si>
    <t>POS別時間帯別速報</t>
    <rPh sb="3" eb="4">
      <t>ベツ</t>
    </rPh>
    <rPh sb="4" eb="6">
      <t>ジカン</t>
    </rPh>
    <rPh sb="6" eb="7">
      <t>タイ</t>
    </rPh>
    <rPh sb="7" eb="10">
      <t>ベツソクホウ</t>
    </rPh>
    <phoneticPr fontId="7"/>
  </si>
  <si>
    <t>各POSかつ、時間帯ごとでの取引</t>
    <rPh sb="0" eb="1">
      <t>カク</t>
    </rPh>
    <rPh sb="14" eb="16">
      <t>トリヒキ</t>
    </rPh>
    <phoneticPr fontId="12"/>
  </si>
  <si>
    <t>釣銭準備金</t>
    <rPh sb="0" eb="5">
      <t>ツリセンジュンビキン</t>
    </rPh>
    <phoneticPr fontId="12"/>
  </si>
  <si>
    <t>UPC-A</t>
    <phoneticPr fontId="12"/>
  </si>
  <si>
    <t>0埋め10桁</t>
    <phoneticPr fontId="12"/>
  </si>
  <si>
    <t>ミックス</t>
    <phoneticPr fontId="12"/>
  </si>
  <si>
    <t>MS</t>
    <phoneticPr fontId="12"/>
  </si>
  <si>
    <t>単品別時間帯別速報</t>
    <rPh sb="0" eb="2">
      <t>タンピン</t>
    </rPh>
    <rPh sb="2" eb="3">
      <t>ベツ</t>
    </rPh>
    <rPh sb="3" eb="9">
      <t>ジカンタイベツソクホウ</t>
    </rPh>
    <phoneticPr fontId="7"/>
  </si>
  <si>
    <t>各単品かつ、時間帯ごとでの取引</t>
    <rPh sb="0" eb="1">
      <t>カク</t>
    </rPh>
    <rPh sb="1" eb="3">
      <t>タンピン</t>
    </rPh>
    <rPh sb="13" eb="15">
      <t>トリヒキ</t>
    </rPh>
    <phoneticPr fontId="12"/>
  </si>
  <si>
    <t>LOAN_PICKUP</t>
  </si>
  <si>
    <t>非課税</t>
    <rPh sb="0" eb="3">
      <t>ヒカゼイ</t>
    </rPh>
    <phoneticPr fontId="1"/>
  </si>
  <si>
    <t>0埋め11桁</t>
    <phoneticPr fontId="12"/>
  </si>
  <si>
    <t>部門登録</t>
    <rPh sb="0" eb="4">
      <t>ブモントウロク</t>
    </rPh>
    <phoneticPr fontId="12"/>
  </si>
  <si>
    <t>ペア</t>
    <phoneticPr fontId="12"/>
  </si>
  <si>
    <t>ー</t>
    <phoneticPr fontId="12"/>
  </si>
  <si>
    <t>商品階層別日報</t>
    <rPh sb="0" eb="4">
      <t>ショウヒンカイソウ</t>
    </rPh>
    <rPh sb="4" eb="5">
      <t>ベツ</t>
    </rPh>
    <rPh sb="5" eb="7">
      <t>ニッポウ</t>
    </rPh>
    <phoneticPr fontId="7"/>
  </si>
  <si>
    <t>各商品階層かつ、日ごとでの取引</t>
    <rPh sb="0" eb="1">
      <t>カク</t>
    </rPh>
    <rPh sb="1" eb="3">
      <t>ショウヒン</t>
    </rPh>
    <rPh sb="3" eb="5">
      <t>カイソウ</t>
    </rPh>
    <rPh sb="8" eb="9">
      <t>ヒ</t>
    </rPh>
    <rPh sb="13" eb="15">
      <t>トリヒキ</t>
    </rPh>
    <phoneticPr fontId="12"/>
  </si>
  <si>
    <t>釣銭補充</t>
    <rPh sb="0" eb="4">
      <t>ツリセンホジュウ</t>
    </rPh>
    <phoneticPr fontId="12"/>
  </si>
  <si>
    <t>TRANSACTION_TAX</t>
    <phoneticPr fontId="12"/>
  </si>
  <si>
    <t>UPC-E</t>
  </si>
  <si>
    <t>価格手入力</t>
    <rPh sb="0" eb="5">
      <t>カカクテニュウリョク</t>
    </rPh>
    <phoneticPr fontId="12"/>
  </si>
  <si>
    <t>MANUAL_PRICE</t>
  </si>
  <si>
    <t>自動値引</t>
    <phoneticPr fontId="12"/>
  </si>
  <si>
    <t>商品階層自動値引</t>
    <phoneticPr fontId="12"/>
  </si>
  <si>
    <t>コード決済</t>
    <rPh sb="3" eb="5">
      <t>ケッサイ</t>
    </rPh>
    <phoneticPr fontId="7"/>
  </si>
  <si>
    <t>担当者別日報</t>
    <rPh sb="0" eb="3">
      <t>タントウシャ</t>
    </rPh>
    <rPh sb="3" eb="4">
      <t>ベツ</t>
    </rPh>
    <rPh sb="4" eb="6">
      <t>ニッポウ</t>
    </rPh>
    <phoneticPr fontId="7"/>
  </si>
  <si>
    <t>各担当者かつ、日ごとでの取引</t>
    <rPh sb="0" eb="1">
      <t>カク</t>
    </rPh>
    <rPh sb="1" eb="4">
      <t>タントウシャ</t>
    </rPh>
    <rPh sb="12" eb="14">
      <t>トリヒキ</t>
    </rPh>
    <phoneticPr fontId="12"/>
  </si>
  <si>
    <t>LOAN_PICKUP</t>
    <phoneticPr fontId="12"/>
  </si>
  <si>
    <t>作成するか要確認</t>
    <rPh sb="0" eb="2">
      <t>サクセイ</t>
    </rPh>
    <rPh sb="5" eb="6">
      <t>ヨウ</t>
    </rPh>
    <rPh sb="6" eb="8">
      <t>カクニン</t>
    </rPh>
    <phoneticPr fontId="12"/>
  </si>
  <si>
    <t>インストア</t>
  </si>
  <si>
    <t>自動小計値引</t>
    <phoneticPr fontId="12"/>
  </si>
  <si>
    <t>さんにち割</t>
    <phoneticPr fontId="12"/>
  </si>
  <si>
    <t>担当者別管理表</t>
    <rPh sb="0" eb="4">
      <t>タントウシャベツ</t>
    </rPh>
    <rPh sb="4" eb="7">
      <t>カンリヒョウ</t>
    </rPh>
    <phoneticPr fontId="7"/>
  </si>
  <si>
    <t>中間回収</t>
    <rPh sb="0" eb="4">
      <t>チュウカンカイシュウ</t>
    </rPh>
    <phoneticPr fontId="12"/>
  </si>
  <si>
    <t>書籍</t>
    <rPh sb="0" eb="2">
      <t>ショセキ</t>
    </rPh>
    <phoneticPr fontId="1"/>
  </si>
  <si>
    <t>自動小計値引除外</t>
    <rPh sb="6" eb="8">
      <t>ジョガイ</t>
    </rPh>
    <phoneticPr fontId="12"/>
  </si>
  <si>
    <t>d払い</t>
    <rPh sb="1" eb="2">
      <t>ハラ</t>
    </rPh>
    <phoneticPr fontId="7"/>
  </si>
  <si>
    <t>取引別日報</t>
    <rPh sb="0" eb="3">
      <t>トリヒキベツ</t>
    </rPh>
    <rPh sb="3" eb="5">
      <t>ニッポウ</t>
    </rPh>
    <phoneticPr fontId="7"/>
  </si>
  <si>
    <t>各支払かつ、日ごとでの取引</t>
    <rPh sb="0" eb="1">
      <t>カク</t>
    </rPh>
    <rPh sb="1" eb="3">
      <t>シハライ</t>
    </rPh>
    <rPh sb="11" eb="13">
      <t>トリヒキ</t>
    </rPh>
    <phoneticPr fontId="12"/>
  </si>
  <si>
    <t>新雑誌</t>
    <rPh sb="0" eb="2">
      <t>シンザッシ</t>
    </rPh>
    <phoneticPr fontId="1"/>
  </si>
  <si>
    <t>マークダウン</t>
    <phoneticPr fontId="12"/>
  </si>
  <si>
    <t>POS別日報</t>
    <rPh sb="3" eb="4">
      <t>ベツ</t>
    </rPh>
    <rPh sb="4" eb="6">
      <t>ニッポウ</t>
    </rPh>
    <phoneticPr fontId="7"/>
  </si>
  <si>
    <t>精算</t>
    <rPh sb="0" eb="2">
      <t>セイサン</t>
    </rPh>
    <phoneticPr fontId="12"/>
  </si>
  <si>
    <t>auPay</t>
  </si>
  <si>
    <t>単品別日報</t>
    <rPh sb="0" eb="2">
      <t>タンピン</t>
    </rPh>
    <rPh sb="2" eb="3">
      <t>ベツ</t>
    </rPh>
    <rPh sb="3" eb="5">
      <t>ニッポウ</t>
    </rPh>
    <phoneticPr fontId="7"/>
  </si>
  <si>
    <t>各単品かつ、時間帯ごとでの取引</t>
    <rPh sb="0" eb="1">
      <t>カク</t>
    </rPh>
    <rPh sb="13" eb="15">
      <t>トリヒキ</t>
    </rPh>
    <phoneticPr fontId="12"/>
  </si>
  <si>
    <t>ing・fanポイント登録</t>
    <phoneticPr fontId="12"/>
  </si>
  <si>
    <t>企画別単品別日報</t>
    <rPh sb="0" eb="3">
      <t>キカクベツ</t>
    </rPh>
    <rPh sb="3" eb="6">
      <t>タンピンベツ</t>
    </rPh>
    <rPh sb="6" eb="8">
      <t>ニッポウ</t>
    </rPh>
    <phoneticPr fontId="7"/>
  </si>
  <si>
    <t>各企画かつ、各単品かつ、日ごとでの取引</t>
    <rPh sb="1" eb="3">
      <t>キカク</t>
    </rPh>
    <rPh sb="6" eb="7">
      <t>カク</t>
    </rPh>
    <rPh sb="7" eb="9">
      <t>タンピン</t>
    </rPh>
    <rPh sb="12" eb="13">
      <t>ヒ</t>
    </rPh>
    <phoneticPr fontId="12"/>
  </si>
  <si>
    <t>商品階層別時間帯別日報</t>
    <rPh sb="0" eb="5">
      <t>ショウヒンカイソウベツ</t>
    </rPh>
    <rPh sb="5" eb="8">
      <t>ジカンタイ</t>
    </rPh>
    <rPh sb="8" eb="9">
      <t>ベツ</t>
    </rPh>
    <rPh sb="9" eb="11">
      <t>ニッポウ</t>
    </rPh>
    <phoneticPr fontId="7"/>
  </si>
  <si>
    <t>各商品階層かつ、時間帯ごとかつ、日ごとでの取引</t>
    <rPh sb="0" eb="1">
      <t>カク</t>
    </rPh>
    <rPh sb="1" eb="3">
      <t>ショウヒン</t>
    </rPh>
    <rPh sb="3" eb="5">
      <t>カイソウ</t>
    </rPh>
    <rPh sb="8" eb="11">
      <t>ジカンタイ</t>
    </rPh>
    <rPh sb="21" eb="23">
      <t>トリヒキ</t>
    </rPh>
    <phoneticPr fontId="12"/>
  </si>
  <si>
    <t>担当者別時間帯別日報</t>
    <rPh sb="0" eb="4">
      <t>タントウシャベツ</t>
    </rPh>
    <rPh sb="4" eb="7">
      <t>ジカンタイ</t>
    </rPh>
    <rPh sb="7" eb="8">
      <t>ベツ</t>
    </rPh>
    <rPh sb="8" eb="10">
      <t>ニッポウ</t>
    </rPh>
    <phoneticPr fontId="7"/>
  </si>
  <si>
    <t>各担当者かつ、時間帯ごとかつ、日ごとでの取引</t>
    <rPh sb="0" eb="1">
      <t>カク</t>
    </rPh>
    <rPh sb="1" eb="4">
      <t>タントウシャ</t>
    </rPh>
    <phoneticPr fontId="12"/>
  </si>
  <si>
    <t>練習モード</t>
    <phoneticPr fontId="12"/>
  </si>
  <si>
    <t>×</t>
    <phoneticPr fontId="12"/>
  </si>
  <si>
    <t>AEON Pay</t>
  </si>
  <si>
    <t>POS別時間帯別日報</t>
    <rPh sb="3" eb="4">
      <t>ベツ</t>
    </rPh>
    <rPh sb="4" eb="10">
      <t>ジカンタイベツニッポウ</t>
    </rPh>
    <phoneticPr fontId="7"/>
  </si>
  <si>
    <t>各POSかつ、時間帯ごとかつ、日ごとでの取引</t>
    <rPh sb="0" eb="1">
      <t>カク</t>
    </rPh>
    <rPh sb="20" eb="22">
      <t>トリヒキ</t>
    </rPh>
    <phoneticPr fontId="12"/>
  </si>
  <si>
    <t>訂正明細</t>
    <phoneticPr fontId="12"/>
  </si>
  <si>
    <t>単品別時間帯別日報</t>
    <rPh sb="0" eb="3">
      <t>タンピンベツ</t>
    </rPh>
    <rPh sb="3" eb="9">
      <t>ジカンタイベツニッポウ</t>
    </rPh>
    <phoneticPr fontId="7"/>
  </si>
  <si>
    <t>各P単品かつ、時間帯ごとかつ、日ごとでの取引</t>
    <rPh sb="0" eb="1">
      <t>カク</t>
    </rPh>
    <rPh sb="2" eb="4">
      <t>タンピン</t>
    </rPh>
    <rPh sb="20" eb="22">
      <t>トリヒキ</t>
    </rPh>
    <phoneticPr fontId="12"/>
  </si>
  <si>
    <t>返品</t>
    <phoneticPr fontId="12"/>
  </si>
  <si>
    <t>現外コード</t>
    <rPh sb="0" eb="2">
      <t>ゲンガイ</t>
    </rPh>
    <phoneticPr fontId="7"/>
  </si>
  <si>
    <t>楽天ペイ</t>
    <phoneticPr fontId="12"/>
  </si>
  <si>
    <t>商品階層別月報</t>
    <rPh sb="0" eb="5">
      <t>ショウヒンカイソウベツ</t>
    </rPh>
    <rPh sb="5" eb="7">
      <t>ゲッポウ</t>
    </rPh>
    <phoneticPr fontId="7"/>
  </si>
  <si>
    <t>各商品階層かつ、月ごとでの取引</t>
    <rPh sb="0" eb="1">
      <t>カク</t>
    </rPh>
    <rPh sb="1" eb="3">
      <t>ショウヒン</t>
    </rPh>
    <rPh sb="3" eb="5">
      <t>カイソウ</t>
    </rPh>
    <rPh sb="8" eb="9">
      <t>ツキ</t>
    </rPh>
    <rPh sb="13" eb="15">
      <t>トリヒキ</t>
    </rPh>
    <phoneticPr fontId="12"/>
  </si>
  <si>
    <t>GIFT_CERT_TENDER</t>
    <phoneticPr fontId="12"/>
  </si>
  <si>
    <t>商品階層別日別月報</t>
    <rPh sb="0" eb="5">
      <t>ショウヒンカイソウベツ</t>
    </rPh>
    <rPh sb="5" eb="7">
      <t>ヒベツ</t>
    </rPh>
    <rPh sb="7" eb="9">
      <t>ゲッポウ</t>
    </rPh>
    <phoneticPr fontId="7"/>
  </si>
  <si>
    <t>???</t>
    <phoneticPr fontId="12"/>
  </si>
  <si>
    <t>ignicaポイント</t>
    <phoneticPr fontId="12"/>
  </si>
  <si>
    <t>Scan&amp;Go、Online Delivery</t>
    <phoneticPr fontId="12"/>
  </si>
  <si>
    <t>担当者別月報</t>
    <rPh sb="0" eb="4">
      <t>タントウシャベツ</t>
    </rPh>
    <rPh sb="4" eb="6">
      <t>ゲッポウ</t>
    </rPh>
    <phoneticPr fontId="7"/>
  </si>
  <si>
    <t>各担当者かつ、月ごとでの取引</t>
    <rPh sb="0" eb="1">
      <t>カク</t>
    </rPh>
    <rPh sb="1" eb="4">
      <t>タントウシャ</t>
    </rPh>
    <rPh sb="7" eb="8">
      <t>ツキ</t>
    </rPh>
    <rPh sb="12" eb="14">
      <t>トリヒキ</t>
    </rPh>
    <phoneticPr fontId="12"/>
  </si>
  <si>
    <t>取引別月報</t>
    <rPh sb="0" eb="3">
      <t>トリヒキベツ</t>
    </rPh>
    <rPh sb="3" eb="5">
      <t>ゲッポウ</t>
    </rPh>
    <phoneticPr fontId="7"/>
  </si>
  <si>
    <t>各取引かつ、月ごとでの取引</t>
    <rPh sb="0" eb="1">
      <t>カク</t>
    </rPh>
    <rPh sb="1" eb="3">
      <t>トリヒキ</t>
    </rPh>
    <rPh sb="6" eb="7">
      <t>ツキ</t>
    </rPh>
    <rPh sb="11" eb="13">
      <t>トリヒキ</t>
    </rPh>
    <phoneticPr fontId="12"/>
  </si>
  <si>
    <t>取引別日別月報</t>
    <rPh sb="0" eb="3">
      <t>トリヒキベツ</t>
    </rPh>
    <rPh sb="3" eb="5">
      <t>ヒベツ</t>
    </rPh>
    <rPh sb="5" eb="7">
      <t>ゲッポウ</t>
    </rPh>
    <phoneticPr fontId="7"/>
  </si>
  <si>
    <t>POS別月報</t>
    <rPh sb="3" eb="4">
      <t>ベツ</t>
    </rPh>
    <rPh sb="4" eb="6">
      <t>ゲッポウ</t>
    </rPh>
    <phoneticPr fontId="7"/>
  </si>
  <si>
    <t>各POSかつ、月ごとでの取引</t>
    <rPh sb="0" eb="1">
      <t>カク</t>
    </rPh>
    <rPh sb="7" eb="8">
      <t>ツキ</t>
    </rPh>
    <rPh sb="12" eb="14">
      <t>トリヒキ</t>
    </rPh>
    <phoneticPr fontId="12"/>
  </si>
  <si>
    <t>PayPay</t>
    <phoneticPr fontId="12"/>
  </si>
  <si>
    <t>単品別月報</t>
    <rPh sb="0" eb="2">
      <t>タンピン</t>
    </rPh>
    <rPh sb="2" eb="3">
      <t>ベツ</t>
    </rPh>
    <rPh sb="3" eb="5">
      <t>ゲッポウ</t>
    </rPh>
    <phoneticPr fontId="7"/>
  </si>
  <si>
    <t>各単品かつ、月ごとでの取引</t>
    <rPh sb="0" eb="1">
      <t>カク</t>
    </rPh>
    <rPh sb="1" eb="3">
      <t>タンピン</t>
    </rPh>
    <rPh sb="6" eb="7">
      <t>ツキ</t>
    </rPh>
    <rPh sb="11" eb="13">
      <t>トリヒキ</t>
    </rPh>
    <phoneticPr fontId="12"/>
  </si>
  <si>
    <t>現外券バーコード</t>
    <rPh sb="0" eb="2">
      <t>ゲンガイ</t>
    </rPh>
    <rPh sb="2" eb="3">
      <t>ケン</t>
    </rPh>
    <phoneticPr fontId="7"/>
  </si>
  <si>
    <t>USMHご優待券</t>
    <phoneticPr fontId="1"/>
  </si>
  <si>
    <t>マルエツ商品券</t>
    <rPh sb="4" eb="7">
      <t>ショウヒンケン</t>
    </rPh>
    <phoneticPr fontId="1"/>
  </si>
  <si>
    <t>カスミ商品券</t>
    <rPh sb="3" eb="6">
      <t>ショウヒンケン</t>
    </rPh>
    <phoneticPr fontId="1"/>
  </si>
  <si>
    <t>全商品券</t>
    <rPh sb="0" eb="4">
      <t>ゼンショウヒンケン</t>
    </rPh>
    <phoneticPr fontId="12"/>
  </si>
  <si>
    <t>カタリナクーポン</t>
    <phoneticPr fontId="12"/>
  </si>
  <si>
    <t>現金</t>
    <phoneticPr fontId="12"/>
  </si>
  <si>
    <t>ignica個別</t>
    <rPh sb="6" eb="8">
      <t>コベツ</t>
    </rPh>
    <phoneticPr fontId="12"/>
  </si>
  <si>
    <t>雨の日クーポン</t>
    <phoneticPr fontId="12"/>
  </si>
  <si>
    <t>子育てクーポン</t>
    <phoneticPr fontId="12"/>
  </si>
  <si>
    <t>シニアの日クーポン</t>
    <phoneticPr fontId="12"/>
  </si>
  <si>
    <t>Vポイント</t>
    <phoneticPr fontId="12"/>
  </si>
  <si>
    <t>デビット(みんなの銀行)</t>
    <rPh sb="9" eb="11">
      <t>ギンコウ</t>
    </rPh>
    <phoneticPr fontId="7"/>
  </si>
  <si>
    <t>Scan&amp;Go</t>
    <phoneticPr fontId="12"/>
  </si>
  <si>
    <t>ignicaポイント登録</t>
    <rPh sb="10" eb="12">
      <t>トウロク</t>
    </rPh>
    <phoneticPr fontId="12"/>
  </si>
  <si>
    <t>代金引換</t>
    <phoneticPr fontId="12"/>
  </si>
  <si>
    <t>Online Delivery</t>
    <phoneticPr fontId="12"/>
  </si>
  <si>
    <t>●</t>
    <phoneticPr fontId="12"/>
  </si>
  <si>
    <t>千田さんに確認</t>
    <rPh sb="0" eb="2">
      <t>チダ</t>
    </rPh>
    <rPh sb="5" eb="7">
      <t>カクニン</t>
    </rPh>
    <phoneticPr fontId="12"/>
  </si>
  <si>
    <t>ｄ</t>
    <phoneticPr fontId="1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</si>
</sst>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m/d"/>
    <numFmt numFmtId="177" formatCode="#,##0;\-#,##0;&quot;-&quot;"/>
    <numFmt numFmtId="178" formatCode="_(* #,##0.00_);_(* \(#,##0.00\);_(* &quot;-&quot;_);_(@_)"/>
  </numFmts>
  <fonts count="38">
    <font>
      <sz val="9"/>
      <name val="ＭＳ ゴシック"/>
      <family val="3"/>
      <charset val="128"/>
    </font>
    <font>
      <b/>
      <sz val="9"/>
      <name val="ＭＳ ゴシック"/>
      <family val="3"/>
      <charset val="128"/>
    </font>
    <font>
      <sz val="9"/>
      <name val="ＭＳ ゴシック"/>
      <family val="3"/>
      <charset val="128"/>
    </font>
    <font>
      <b/>
      <sz val="7"/>
      <name val="ＭＳ ゴシック"/>
      <family val="3"/>
      <charset val="128"/>
    </font>
    <font>
      <b/>
      <sz val="12"/>
      <name val="Arial"/>
      <family val="2"/>
    </font>
    <font>
      <sz val="11"/>
      <name val="ＭＳ ゴシック"/>
      <family val="3"/>
      <charset val="128"/>
    </font>
    <font>
      <sz val="12"/>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sz val="6"/>
      <name val="ＭＳ ゴシック"/>
      <family val="3"/>
      <charset val="128"/>
    </font>
    <font>
      <sz val="11"/>
      <color theme="1"/>
      <name val="ＭＳ Ｐゴシック"/>
      <family val="3"/>
      <charset val="128"/>
      <scheme val="minor"/>
    </font>
    <font>
      <b/>
      <sz val="8"/>
      <name val="Meiryo UI"/>
      <family val="3"/>
      <charset val="128"/>
    </font>
    <font>
      <sz val="7"/>
      <name val="Meiryo UI"/>
      <family val="3"/>
      <charset val="128"/>
    </font>
    <font>
      <b/>
      <sz val="7"/>
      <name val="Meiryo UI"/>
      <family val="3"/>
      <charset val="128"/>
    </font>
    <font>
      <sz val="11"/>
      <name val="Meiryo UI"/>
      <family val="3"/>
      <charset val="128"/>
    </font>
    <font>
      <b/>
      <sz val="14"/>
      <name val="Meiryo UI"/>
      <family val="3"/>
      <charset val="128"/>
    </font>
    <font>
      <b/>
      <sz val="26"/>
      <name val="Meiryo UI"/>
      <family val="3"/>
      <charset val="128"/>
    </font>
    <font>
      <b/>
      <sz val="20"/>
      <name val="Meiryo UI"/>
      <family val="3"/>
      <charset val="128"/>
    </font>
    <font>
      <b/>
      <sz val="16"/>
      <name val="Meiryo UI"/>
      <family val="3"/>
      <charset val="128"/>
    </font>
    <font>
      <sz val="8"/>
      <color theme="1"/>
      <name val="Meiryo UI"/>
      <family val="3"/>
      <charset val="128"/>
    </font>
    <font>
      <b/>
      <sz val="8"/>
      <color indexed="8"/>
      <name val="Meiryo UI"/>
      <family val="3"/>
      <charset val="128"/>
    </font>
    <font>
      <b/>
      <sz val="9"/>
      <name val="Meiryo UI"/>
      <family val="3"/>
      <charset val="128"/>
    </font>
    <font>
      <sz val="9"/>
      <name val="Meiryo UI"/>
      <family val="3"/>
      <charset val="128"/>
    </font>
    <font>
      <sz val="8"/>
      <name val="Meiryo UI"/>
      <family val="3"/>
      <charset val="128"/>
    </font>
    <font>
      <sz val="11"/>
      <name val="ＭＳ Ｐゴシック"/>
      <family val="3"/>
      <charset val="128"/>
    </font>
    <font>
      <sz val="6"/>
      <name val="ＭＳ Ｐゴシック"/>
      <family val="3"/>
      <charset val="128"/>
    </font>
    <font>
      <b/>
      <sz val="10"/>
      <name val="ＭＳ Ｐゴシック"/>
      <family val="3"/>
      <charset val="128"/>
    </font>
    <font>
      <u/>
      <sz val="9"/>
      <color theme="10"/>
      <name val="ＭＳ ゴシック"/>
      <family val="3"/>
      <charset val="128"/>
    </font>
    <font>
      <sz val="9"/>
      <color rgb="FFFF0000"/>
      <name val="Meiryo UI"/>
      <family val="3"/>
      <charset val="128"/>
    </font>
    <font>
      <sz val="14"/>
      <color theme="1"/>
      <name val="ＭＳ Ｐゴシック"/>
      <family val="3"/>
      <charset val="128"/>
      <scheme val="minor"/>
    </font>
    <font>
      <sz val="11"/>
      <name val="ＭＳ Ｐゴシック"/>
      <family val="3"/>
      <charset val="128"/>
      <scheme val="minor"/>
    </font>
    <font>
      <b/>
      <sz val="11"/>
      <color rgb="FFFF0000"/>
      <name val="ＭＳ Ｐゴシック"/>
      <family val="3"/>
      <charset val="128"/>
      <scheme val="minor"/>
    </font>
    <font>
      <sz val="11"/>
      <color rgb="FFFF0000"/>
      <name val="ＭＳ Ｐゴシック"/>
      <family val="3"/>
      <charset val="128"/>
      <scheme val="minor"/>
    </font>
    <font>
      <sz val="9"/>
      <color indexed="81"/>
      <name val="MS P ゴシック"/>
      <family val="3"/>
      <charset val="128"/>
    </font>
    <font>
      <sz val="7"/>
      <color rgb="FFFF0000"/>
      <name val="Meiryo UI"/>
      <family val="3"/>
      <charset val="128"/>
    </font>
  </fonts>
  <fills count="12">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indexed="9"/>
        <bgColor indexed="64"/>
      </patternFill>
    </fill>
    <fill>
      <patternFill patternType="solid">
        <fgColor rgb="FFFFFF00"/>
        <bgColor indexed="64"/>
      </patternFill>
    </fill>
    <fill>
      <patternFill patternType="solid">
        <fgColor rgb="FF99CCFF"/>
        <bgColor indexed="64"/>
      </patternFill>
    </fill>
    <fill>
      <patternFill patternType="solid">
        <fgColor theme="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0" tint="-0.14999847407452621"/>
        <bgColor indexed="64"/>
      </patternFill>
    </fill>
  </fills>
  <borders count="69">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style="hair">
        <color indexed="64"/>
      </left>
      <right/>
      <top/>
      <bottom style="thin">
        <color indexed="64"/>
      </bottom>
      <diagonal/>
    </border>
    <border>
      <left/>
      <right style="thin">
        <color indexed="64"/>
      </right>
      <top/>
      <bottom style="thin">
        <color indexed="64"/>
      </bottom>
      <diagonal/>
    </border>
    <border>
      <left style="hair">
        <color indexed="64"/>
      </left>
      <right style="hair">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diagonal/>
    </border>
    <border>
      <left/>
      <right/>
      <top style="thin">
        <color indexed="64"/>
      </top>
      <bottom/>
      <diagonal/>
    </border>
    <border>
      <left style="hair">
        <color indexed="64"/>
      </left>
      <right style="hair">
        <color indexed="64"/>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top style="hair">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right style="thin">
        <color indexed="64"/>
      </right>
      <top style="thin">
        <color indexed="64"/>
      </top>
      <bottom/>
      <diagonal/>
    </border>
    <border>
      <left style="thin">
        <color indexed="64"/>
      </left>
      <right/>
      <top style="hair">
        <color indexed="64"/>
      </top>
      <bottom/>
      <diagonal/>
    </border>
    <border>
      <left/>
      <right/>
      <top/>
      <bottom style="thin">
        <color indexed="64"/>
      </bottom>
      <diagonal/>
    </border>
    <border>
      <left style="hair">
        <color indexed="64"/>
      </left>
      <right style="thin">
        <color indexed="64"/>
      </right>
      <top/>
      <bottom style="thin">
        <color indexed="64"/>
      </bottom>
      <diagonal/>
    </border>
    <border>
      <left/>
      <right/>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hair">
        <color indexed="64"/>
      </top>
      <bottom style="hair">
        <color indexed="64"/>
      </bottom>
      <diagonal/>
    </border>
    <border>
      <left/>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hair">
        <color indexed="64"/>
      </left>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right style="thin">
        <color indexed="64"/>
      </right>
      <top style="thin">
        <color indexed="64"/>
      </top>
      <bottom style="thin">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style="mediumDashed">
        <color rgb="FFFF0000"/>
      </left>
      <right style="thin">
        <color indexed="64"/>
      </right>
      <top style="mediumDashed">
        <color rgb="FFFF0000"/>
      </top>
      <bottom style="mediumDashed">
        <color rgb="FFFF0000"/>
      </bottom>
      <diagonal/>
    </border>
    <border>
      <left style="thin">
        <color indexed="64"/>
      </left>
      <right style="mediumDashed">
        <color rgb="FFFF0000"/>
      </right>
      <top style="mediumDashed">
        <color rgb="FFFF0000"/>
      </top>
      <bottom style="mediumDashed">
        <color rgb="FFFF0000"/>
      </bottom>
      <diagonal/>
    </border>
    <border>
      <left/>
      <right/>
      <top style="hair">
        <color indexed="64"/>
      </top>
      <bottom style="hair">
        <color indexed="64"/>
      </bottom>
      <diagonal/>
    </border>
    <border>
      <left/>
      <right style="hair">
        <color indexed="64"/>
      </right>
      <top style="hair">
        <color indexed="64"/>
      </top>
      <bottom/>
      <diagonal/>
    </border>
    <border>
      <left/>
      <right style="hair">
        <color indexed="64"/>
      </right>
      <top/>
      <bottom style="thin">
        <color indexed="64"/>
      </bottom>
      <diagonal/>
    </border>
    <border>
      <left style="thin">
        <color indexed="64"/>
      </left>
      <right style="thin">
        <color indexed="64"/>
      </right>
      <top/>
      <bottom/>
      <diagonal/>
    </border>
  </borders>
  <cellStyleXfs count="17">
    <xf numFmtId="0" fontId="0" fillId="0" borderId="0"/>
    <xf numFmtId="177" fontId="7" fillId="0" borderId="0" applyFill="0" applyBorder="0" applyAlignment="0"/>
    <xf numFmtId="38" fontId="8" fillId="2" borderId="0" applyNumberFormat="0" applyBorder="0" applyAlignment="0" applyProtection="0"/>
    <xf numFmtId="0" fontId="4" fillId="0" borderId="1" applyNumberFormat="0" applyAlignment="0" applyProtection="0">
      <alignment horizontal="left" vertical="center"/>
    </xf>
    <xf numFmtId="0" fontId="4" fillId="0" borderId="2">
      <alignment horizontal="left" vertical="center"/>
    </xf>
    <xf numFmtId="10" fontId="8" fillId="3" borderId="3" applyNumberFormat="0" applyBorder="0" applyAlignment="0" applyProtection="0"/>
    <xf numFmtId="178" fontId="9" fillId="0" borderId="0"/>
    <xf numFmtId="0" fontId="10" fillId="0" borderId="0"/>
    <xf numFmtId="10" fontId="10" fillId="0" borderId="0" applyFont="0" applyFill="0" applyBorder="0" applyAlignment="0" applyProtection="0"/>
    <xf numFmtId="0" fontId="11" fillId="0" borderId="0">
      <alignment vertical="center"/>
    </xf>
    <xf numFmtId="0" fontId="13" fillId="0" borderId="0">
      <alignment vertical="center"/>
    </xf>
    <xf numFmtId="0" fontId="5" fillId="0" borderId="0"/>
    <xf numFmtId="0" fontId="2" fillId="0" borderId="0"/>
    <xf numFmtId="0" fontId="5" fillId="0" borderId="0"/>
    <xf numFmtId="0" fontId="2" fillId="0" borderId="0"/>
    <xf numFmtId="0" fontId="27" fillId="0" borderId="0"/>
    <xf numFmtId="0" fontId="30" fillId="0" borderId="0" applyNumberFormat="0" applyFill="0" applyBorder="0" applyAlignment="0" applyProtection="0"/>
  </cellStyleXfs>
  <cellXfs count="199">
    <xf numFmtId="0" fontId="0" fillId="0" borderId="0" xfId="0"/>
    <xf numFmtId="0" fontId="16" fillId="0" borderId="0" xfId="14" applyFont="1" applyAlignment="1">
      <alignment horizontal="center" vertical="top" wrapText="1"/>
    </xf>
    <xf numFmtId="0" fontId="15" fillId="0" borderId="0" xfId="14" applyFont="1" applyAlignment="1">
      <alignment vertical="top" wrapText="1"/>
    </xf>
    <xf numFmtId="0" fontId="15" fillId="0" borderId="0" xfId="12" applyFont="1" applyAlignment="1">
      <alignment vertical="top" wrapText="1"/>
    </xf>
    <xf numFmtId="0" fontId="15" fillId="0" borderId="0" xfId="14" applyFont="1" applyAlignment="1">
      <alignment horizontal="center" vertical="top" wrapText="1"/>
    </xf>
    <xf numFmtId="0" fontId="17" fillId="0" borderId="0" xfId="11" applyFont="1"/>
    <xf numFmtId="0" fontId="18" fillId="0" borderId="10" xfId="11" applyFont="1" applyBorder="1" applyAlignment="1">
      <alignment horizontal="left"/>
    </xf>
    <xf numFmtId="0" fontId="18" fillId="0" borderId="11" xfId="11" applyFont="1" applyBorder="1" applyAlignment="1">
      <alignment horizontal="left"/>
    </xf>
    <xf numFmtId="0" fontId="17" fillId="0" borderId="13" xfId="11" applyFont="1" applyBorder="1"/>
    <xf numFmtId="0" fontId="17" fillId="0" borderId="12" xfId="11" applyFont="1" applyBorder="1"/>
    <xf numFmtId="0" fontId="18" fillId="0" borderId="0" xfId="13" applyFont="1"/>
    <xf numFmtId="0" fontId="18" fillId="0" borderId="0" xfId="11" applyFont="1" applyAlignment="1">
      <alignment horizontal="center"/>
    </xf>
    <xf numFmtId="0" fontId="21" fillId="0" borderId="9" xfId="11" applyFont="1" applyBorder="1" applyAlignment="1">
      <alignment horizontal="left"/>
    </xf>
    <xf numFmtId="49" fontId="20" fillId="0" borderId="42" xfId="11" applyNumberFormat="1" applyFont="1" applyBorder="1"/>
    <xf numFmtId="0" fontId="20" fillId="0" borderId="43" xfId="11" applyFont="1" applyBorder="1"/>
    <xf numFmtId="0" fontId="20" fillId="0" borderId="44" xfId="11" applyFont="1" applyBorder="1"/>
    <xf numFmtId="0" fontId="19" fillId="0" borderId="13" xfId="11" applyFont="1" applyBorder="1" applyAlignment="1">
      <alignment horizontal="center" vertical="center"/>
    </xf>
    <xf numFmtId="0" fontId="19" fillId="0" borderId="0" xfId="11" applyFont="1" applyAlignment="1">
      <alignment horizontal="center" vertical="center"/>
    </xf>
    <xf numFmtId="0" fontId="19" fillId="0" borderId="12" xfId="11" applyFont="1" applyBorder="1" applyAlignment="1">
      <alignment horizontal="center" vertical="center"/>
    </xf>
    <xf numFmtId="0" fontId="22" fillId="0" borderId="17" xfId="14" applyFont="1" applyBorder="1" applyAlignment="1">
      <alignment vertical="top" wrapText="1"/>
    </xf>
    <xf numFmtId="0" fontId="22" fillId="0" borderId="33" xfId="0" applyFont="1" applyBorder="1" applyAlignment="1">
      <alignment vertical="center" wrapText="1"/>
    </xf>
    <xf numFmtId="0" fontId="22" fillId="0" borderId="40" xfId="14" applyFont="1" applyBorder="1" applyAlignment="1">
      <alignment horizontal="center" vertical="center" wrapText="1"/>
    </xf>
    <xf numFmtId="0" fontId="22" fillId="0" borderId="18" xfId="14" applyFont="1" applyBorder="1" applyAlignment="1">
      <alignment horizontal="center" vertical="center" wrapText="1"/>
    </xf>
    <xf numFmtId="0" fontId="22" fillId="0" borderId="19" xfId="14" applyFont="1" applyBorder="1" applyAlignment="1">
      <alignment horizontal="center" vertical="center" wrapText="1"/>
    </xf>
    <xf numFmtId="0" fontId="22" fillId="0" borderId="41" xfId="14" applyFont="1" applyBorder="1" applyAlignment="1">
      <alignment horizontal="center" vertical="center" wrapText="1"/>
    </xf>
    <xf numFmtId="176" fontId="22" fillId="0" borderId="40" xfId="14" applyNumberFormat="1" applyFont="1" applyBorder="1" applyAlignment="1">
      <alignment horizontal="center" vertical="center" wrapText="1"/>
    </xf>
    <xf numFmtId="176" fontId="22" fillId="0" borderId="18" xfId="14" applyNumberFormat="1" applyFont="1" applyBorder="1" applyAlignment="1">
      <alignment horizontal="center" vertical="center" wrapText="1"/>
    </xf>
    <xf numFmtId="176" fontId="22" fillId="0" borderId="41" xfId="14" applyNumberFormat="1" applyFont="1" applyBorder="1" applyAlignment="1">
      <alignment horizontal="center" vertical="center" wrapText="1"/>
    </xf>
    <xf numFmtId="0" fontId="22" fillId="0" borderId="49" xfId="14" applyFont="1" applyBorder="1" applyAlignment="1">
      <alignment horizontal="center" vertical="center" wrapText="1"/>
    </xf>
    <xf numFmtId="0" fontId="22" fillId="0" borderId="49" xfId="14" applyFont="1" applyBorder="1" applyAlignment="1">
      <alignment horizontal="left" vertical="center" wrapText="1"/>
    </xf>
    <xf numFmtId="0" fontId="22" fillId="0" borderId="34" xfId="0" applyFont="1" applyBorder="1" applyAlignment="1">
      <alignment vertical="center" wrapText="1"/>
    </xf>
    <xf numFmtId="0" fontId="22" fillId="0" borderId="18" xfId="0" applyFont="1" applyBorder="1" applyAlignment="1">
      <alignment vertical="center" wrapText="1"/>
    </xf>
    <xf numFmtId="0" fontId="14" fillId="4" borderId="30" xfId="12" applyFont="1" applyFill="1" applyBorder="1" applyAlignment="1">
      <alignment vertical="top"/>
    </xf>
    <xf numFmtId="0" fontId="14" fillId="4" borderId="14" xfId="12" applyFont="1" applyFill="1" applyBorder="1" applyAlignment="1">
      <alignment vertical="top"/>
    </xf>
    <xf numFmtId="0" fontId="14" fillId="4" borderId="14" xfId="12" applyFont="1" applyFill="1" applyBorder="1"/>
    <xf numFmtId="0" fontId="14" fillId="4" borderId="27" xfId="12" applyFont="1" applyFill="1" applyBorder="1" applyAlignment="1">
      <alignment horizontal="right" vertical="top" wrapText="1"/>
    </xf>
    <xf numFmtId="0" fontId="14" fillId="4" borderId="29" xfId="12" applyFont="1" applyFill="1" applyBorder="1" applyAlignment="1">
      <alignment horizontal="right" wrapText="1"/>
    </xf>
    <xf numFmtId="0" fontId="14" fillId="4" borderId="26" xfId="12" applyFont="1" applyFill="1" applyBorder="1" applyAlignment="1">
      <alignment horizontal="right" wrapText="1"/>
    </xf>
    <xf numFmtId="0" fontId="14" fillId="4" borderId="28" xfId="12" applyFont="1" applyFill="1" applyBorder="1" applyAlignment="1">
      <alignment horizontal="right" wrapText="1"/>
    </xf>
    <xf numFmtId="0" fontId="14" fillId="4" borderId="54" xfId="12" applyFont="1" applyFill="1" applyBorder="1" applyAlignment="1">
      <alignment horizontal="right" wrapText="1"/>
    </xf>
    <xf numFmtId="0" fontId="14" fillId="4" borderId="30" xfId="12" applyFont="1" applyFill="1" applyBorder="1" applyAlignment="1">
      <alignment horizontal="right" vertical="center"/>
    </xf>
    <xf numFmtId="0" fontId="14" fillId="4" borderId="14" xfId="12" applyFont="1" applyFill="1" applyBorder="1" applyAlignment="1">
      <alignment horizontal="left" wrapText="1"/>
    </xf>
    <xf numFmtId="0" fontId="14" fillId="4" borderId="31" xfId="12" applyFont="1" applyFill="1" applyBorder="1" applyAlignment="1">
      <alignment horizontal="left" vertical="center"/>
    </xf>
    <xf numFmtId="0" fontId="14" fillId="4" borderId="0" xfId="12" applyFont="1" applyFill="1" applyAlignment="1">
      <alignment vertical="top"/>
    </xf>
    <xf numFmtId="0" fontId="14" fillId="4" borderId="0" xfId="12" applyFont="1" applyFill="1" applyAlignment="1">
      <alignment horizontal="left"/>
    </xf>
    <xf numFmtId="0" fontId="14" fillId="4" borderId="16" xfId="12" applyFont="1" applyFill="1" applyBorder="1" applyAlignment="1">
      <alignment horizontal="right" vertical="top" wrapText="1"/>
    </xf>
    <xf numFmtId="0" fontId="14" fillId="4" borderId="17" xfId="12" applyFont="1" applyFill="1" applyBorder="1" applyAlignment="1">
      <alignment horizontal="right" wrapText="1"/>
    </xf>
    <xf numFmtId="0" fontId="14" fillId="4" borderId="18" xfId="12" applyFont="1" applyFill="1" applyBorder="1" applyAlignment="1">
      <alignment horizontal="right" wrapText="1"/>
    </xf>
    <xf numFmtId="0" fontId="14" fillId="4" borderId="19" xfId="12" applyFont="1" applyFill="1" applyBorder="1" applyAlignment="1">
      <alignment horizontal="right" wrapText="1"/>
    </xf>
    <xf numFmtId="0" fontId="14" fillId="4" borderId="41" xfId="12" applyFont="1" applyFill="1" applyBorder="1" applyAlignment="1">
      <alignment horizontal="right" wrapText="1"/>
    </xf>
    <xf numFmtId="0" fontId="14" fillId="4" borderId="16" xfId="12" applyFont="1" applyFill="1" applyBorder="1" applyAlignment="1">
      <alignment horizontal="right" vertical="center"/>
    </xf>
    <xf numFmtId="0" fontId="14" fillId="4" borderId="0" xfId="12" applyFont="1" applyFill="1" applyAlignment="1">
      <alignment horizontal="left" wrapText="1"/>
    </xf>
    <xf numFmtId="0" fontId="23" fillId="4" borderId="36" xfId="12" applyFont="1" applyFill="1" applyBorder="1" applyAlignment="1">
      <alignment vertical="top"/>
    </xf>
    <xf numFmtId="0" fontId="14" fillId="4" borderId="20" xfId="12" applyFont="1" applyFill="1" applyBorder="1" applyAlignment="1">
      <alignment vertical="top"/>
    </xf>
    <xf numFmtId="0" fontId="14" fillId="4" borderId="20" xfId="12" applyFont="1" applyFill="1" applyBorder="1" applyAlignment="1">
      <alignment horizontal="left"/>
    </xf>
    <xf numFmtId="0" fontId="14" fillId="4" borderId="21" xfId="12" applyFont="1" applyFill="1" applyBorder="1" applyAlignment="1">
      <alignment horizontal="right" vertical="top" wrapText="1"/>
    </xf>
    <xf numFmtId="0" fontId="14" fillId="4" borderId="16" xfId="12" applyFont="1" applyFill="1" applyBorder="1" applyAlignment="1">
      <alignment horizontal="right" vertical="top"/>
    </xf>
    <xf numFmtId="0" fontId="23" fillId="4" borderId="5" xfId="12" applyFont="1" applyFill="1" applyBorder="1" applyAlignment="1">
      <alignment horizontal="left" vertical="center"/>
    </xf>
    <xf numFmtId="0" fontId="14" fillId="4" borderId="37" xfId="12" applyFont="1" applyFill="1" applyBorder="1" applyAlignment="1">
      <alignment vertical="top"/>
    </xf>
    <xf numFmtId="0" fontId="14" fillId="4" borderId="37" xfId="12" applyFont="1" applyFill="1" applyBorder="1" applyAlignment="1">
      <alignment horizontal="left"/>
    </xf>
    <xf numFmtId="0" fontId="14" fillId="4" borderId="5" xfId="12" applyFont="1" applyFill="1" applyBorder="1" applyAlignment="1">
      <alignment horizontal="right" vertical="top" wrapText="1"/>
    </xf>
    <xf numFmtId="0" fontId="14" fillId="4" borderId="22" xfId="12" applyFont="1" applyFill="1" applyBorder="1" applyAlignment="1">
      <alignment horizontal="right" wrapText="1"/>
    </xf>
    <xf numFmtId="0" fontId="14" fillId="4" borderId="23" xfId="12" applyFont="1" applyFill="1" applyBorder="1" applyAlignment="1">
      <alignment horizontal="right" wrapText="1"/>
    </xf>
    <xf numFmtId="0" fontId="14" fillId="4" borderId="24" xfId="12" applyFont="1" applyFill="1" applyBorder="1" applyAlignment="1">
      <alignment horizontal="right" wrapText="1"/>
    </xf>
    <xf numFmtId="0" fontId="14" fillId="4" borderId="55" xfId="12" applyFont="1" applyFill="1" applyBorder="1" applyAlignment="1">
      <alignment horizontal="right" wrapText="1"/>
    </xf>
    <xf numFmtId="0" fontId="14" fillId="4" borderId="5" xfId="12" applyFont="1" applyFill="1" applyBorder="1" applyAlignment="1">
      <alignment horizontal="right" vertical="top"/>
    </xf>
    <xf numFmtId="0" fontId="14" fillId="4" borderId="37" xfId="12" applyFont="1" applyFill="1" applyBorder="1" applyAlignment="1">
      <alignment horizontal="left" wrapText="1"/>
    </xf>
    <xf numFmtId="0" fontId="26" fillId="4" borderId="37" xfId="14" applyFont="1" applyFill="1" applyBorder="1" applyAlignment="1">
      <alignment horizontal="center" vertical="center" wrapText="1"/>
    </xf>
    <xf numFmtId="0" fontId="26" fillId="4" borderId="8" xfId="14" applyFont="1" applyFill="1" applyBorder="1" applyAlignment="1">
      <alignment horizontal="center" vertical="center" wrapText="1"/>
    </xf>
    <xf numFmtId="0" fontId="26" fillId="4" borderId="6" xfId="14" applyFont="1" applyFill="1" applyBorder="1" applyAlignment="1">
      <alignment horizontal="center" vertical="center" wrapText="1"/>
    </xf>
    <xf numFmtId="0" fontId="26" fillId="4" borderId="5" xfId="14" applyFont="1" applyFill="1" applyBorder="1" applyAlignment="1">
      <alignment horizontal="center" vertical="center" wrapText="1"/>
    </xf>
    <xf numFmtId="0" fontId="22" fillId="6" borderId="58" xfId="0" applyFont="1" applyFill="1" applyBorder="1" applyAlignment="1">
      <alignment vertical="center" wrapText="1"/>
    </xf>
    <xf numFmtId="0" fontId="22" fillId="6" borderId="49" xfId="0" applyFont="1" applyFill="1" applyBorder="1" applyAlignment="1">
      <alignment vertical="center" wrapText="1"/>
    </xf>
    <xf numFmtId="0" fontId="27" fillId="0" borderId="0" xfId="10" applyFont="1" applyAlignment="1"/>
    <xf numFmtId="0" fontId="30" fillId="0" borderId="49" xfId="16" applyFill="1" applyBorder="1" applyAlignment="1">
      <alignment horizontal="left" vertical="center" wrapText="1"/>
    </xf>
    <xf numFmtId="0" fontId="27" fillId="0" borderId="0" xfId="10" applyFont="1" applyAlignment="1">
      <alignment horizontal="left" vertical="center"/>
    </xf>
    <xf numFmtId="0" fontId="27" fillId="0" borderId="0" xfId="10" applyFont="1">
      <alignment vertical="center"/>
    </xf>
    <xf numFmtId="0" fontId="27" fillId="0" borderId="0" xfId="10" applyFont="1" applyAlignment="1">
      <alignment horizontal="center" vertical="center"/>
    </xf>
    <xf numFmtId="0" fontId="13" fillId="0" borderId="0" xfId="10" applyAlignment="1"/>
    <xf numFmtId="0" fontId="13" fillId="0" borderId="0" xfId="10">
      <alignment vertical="center"/>
    </xf>
    <xf numFmtId="0" fontId="27" fillId="7" borderId="3" xfId="10" applyFont="1" applyFill="1" applyBorder="1" applyAlignment="1">
      <alignment horizontal="left" vertical="center"/>
    </xf>
    <xf numFmtId="0" fontId="27" fillId="8" borderId="3" xfId="10" applyFont="1" applyFill="1" applyBorder="1" applyAlignment="1">
      <alignment horizontal="left" vertical="center"/>
    </xf>
    <xf numFmtId="0" fontId="27" fillId="7" borderId="3" xfId="10" applyFont="1" applyFill="1" applyBorder="1" applyAlignment="1">
      <alignment horizontal="center" vertical="center"/>
    </xf>
    <xf numFmtId="0" fontId="27" fillId="8" borderId="3" xfId="10" applyFont="1" applyFill="1" applyBorder="1" applyAlignment="1">
      <alignment horizontal="center" vertical="center"/>
    </xf>
    <xf numFmtId="0" fontId="25" fillId="0" borderId="0" xfId="0" applyFont="1"/>
    <xf numFmtId="0" fontId="25" fillId="9" borderId="60" xfId="0" applyFont="1" applyFill="1" applyBorder="1"/>
    <xf numFmtId="0" fontId="25" fillId="9" borderId="61" xfId="0" applyFont="1" applyFill="1" applyBorder="1"/>
    <xf numFmtId="0" fontId="25" fillId="9" borderId="62" xfId="0" applyFont="1" applyFill="1" applyBorder="1"/>
    <xf numFmtId="0" fontId="25" fillId="0" borderId="16" xfId="0" applyFont="1" applyBorder="1"/>
    <xf numFmtId="0" fontId="25" fillId="0" borderId="4" xfId="0" applyFont="1" applyBorder="1"/>
    <xf numFmtId="0" fontId="25" fillId="0" borderId="16" xfId="0" quotePrefix="1" applyFont="1" applyBorder="1"/>
    <xf numFmtId="0" fontId="25" fillId="0" borderId="5" xfId="0" applyFont="1" applyBorder="1"/>
    <xf numFmtId="0" fontId="25" fillId="0" borderId="37" xfId="0" applyFont="1" applyBorder="1"/>
    <xf numFmtId="0" fontId="25" fillId="0" borderId="7" xfId="0" applyFont="1" applyBorder="1"/>
    <xf numFmtId="0" fontId="31" fillId="6" borderId="0" xfId="0" applyFont="1" applyFill="1"/>
    <xf numFmtId="0" fontId="31" fillId="0" borderId="16" xfId="0" applyFont="1" applyBorder="1"/>
    <xf numFmtId="0" fontId="22" fillId="8" borderId="34" xfId="0" applyFont="1" applyFill="1" applyBorder="1" applyAlignment="1">
      <alignment vertical="center" wrapText="1"/>
    </xf>
    <xf numFmtId="0" fontId="22" fillId="8" borderId="33" xfId="0" applyFont="1" applyFill="1" applyBorder="1" applyAlignment="1">
      <alignment vertical="center" wrapText="1"/>
    </xf>
    <xf numFmtId="49" fontId="26" fillId="5" borderId="21" xfId="0" applyNumberFormat="1" applyFont="1" applyFill="1" applyBorder="1" applyAlignment="1">
      <alignment horizontal="left" vertical="center"/>
    </xf>
    <xf numFmtId="0" fontId="32" fillId="0" borderId="0" xfId="10" applyFont="1">
      <alignment vertical="center"/>
    </xf>
    <xf numFmtId="0" fontId="13" fillId="6" borderId="3" xfId="10" applyFill="1" applyBorder="1" applyAlignment="1">
      <alignment horizontal="center" vertical="center" wrapText="1"/>
    </xf>
    <xf numFmtId="0" fontId="13" fillId="6" borderId="45" xfId="10" applyFill="1" applyBorder="1" applyAlignment="1">
      <alignment horizontal="center" vertical="center" wrapText="1"/>
    </xf>
    <xf numFmtId="0" fontId="13" fillId="6" borderId="63" xfId="10" applyFill="1" applyBorder="1" applyAlignment="1">
      <alignment horizontal="center" vertical="center" wrapText="1"/>
    </xf>
    <xf numFmtId="0" fontId="13" fillId="6" borderId="64" xfId="10" applyFill="1" applyBorder="1" applyAlignment="1">
      <alignment horizontal="center" vertical="center" wrapText="1"/>
    </xf>
    <xf numFmtId="0" fontId="13" fillId="6" borderId="59" xfId="10" applyFill="1" applyBorder="1" applyAlignment="1">
      <alignment horizontal="center" vertical="center" wrapText="1"/>
    </xf>
    <xf numFmtId="0" fontId="13" fillId="0" borderId="0" xfId="10" applyAlignment="1">
      <alignment horizontal="center" vertical="center"/>
    </xf>
    <xf numFmtId="0" fontId="33" fillId="0" borderId="3" xfId="10" applyFont="1" applyBorder="1">
      <alignment vertical="center"/>
    </xf>
    <xf numFmtId="0" fontId="33" fillId="0" borderId="47" xfId="10" applyFont="1" applyBorder="1">
      <alignment vertical="center"/>
    </xf>
    <xf numFmtId="0" fontId="33" fillId="0" borderId="0" xfId="10" applyFont="1">
      <alignment vertical="center"/>
    </xf>
    <xf numFmtId="0" fontId="13" fillId="0" borderId="3" xfId="10" applyBorder="1">
      <alignment vertical="center"/>
    </xf>
    <xf numFmtId="0" fontId="34" fillId="0" borderId="3" xfId="10" applyFont="1" applyBorder="1">
      <alignment vertical="center"/>
    </xf>
    <xf numFmtId="0" fontId="34" fillId="0" borderId="0" xfId="10" applyFont="1">
      <alignment vertical="center"/>
    </xf>
    <xf numFmtId="0" fontId="33" fillId="10" borderId="3" xfId="10" applyFont="1" applyFill="1" applyBorder="1">
      <alignment vertical="center"/>
    </xf>
    <xf numFmtId="0" fontId="35" fillId="0" borderId="0" xfId="10" applyFont="1">
      <alignment vertical="center"/>
    </xf>
    <xf numFmtId="0" fontId="22" fillId="0" borderId="65" xfId="14" applyFont="1" applyBorder="1" applyAlignment="1">
      <alignment horizontal="center" vertical="center" wrapText="1"/>
    </xf>
    <xf numFmtId="0" fontId="30" fillId="0" borderId="49" xfId="16" applyBorder="1" applyAlignment="1">
      <alignment horizontal="left" vertical="center" wrapText="1"/>
    </xf>
    <xf numFmtId="0" fontId="22" fillId="11" borderId="17" xfId="14" applyFont="1" applyFill="1" applyBorder="1" applyAlignment="1">
      <alignment vertical="top" wrapText="1"/>
    </xf>
    <xf numFmtId="0" fontId="22" fillId="11" borderId="33" xfId="0" applyFont="1" applyFill="1" applyBorder="1" applyAlignment="1">
      <alignment vertical="center" wrapText="1"/>
    </xf>
    <xf numFmtId="0" fontId="22" fillId="11" borderId="18" xfId="0" applyFont="1" applyFill="1" applyBorder="1" applyAlignment="1">
      <alignment vertical="center" wrapText="1"/>
    </xf>
    <xf numFmtId="0" fontId="22" fillId="11" borderId="34" xfId="0" applyFont="1" applyFill="1" applyBorder="1" applyAlignment="1">
      <alignment vertical="center" wrapText="1"/>
    </xf>
    <xf numFmtId="0" fontId="22" fillId="11" borderId="58" xfId="0" applyFont="1" applyFill="1" applyBorder="1" applyAlignment="1">
      <alignment vertical="center" wrapText="1"/>
    </xf>
    <xf numFmtId="0" fontId="22" fillId="11" borderId="40" xfId="14" applyFont="1" applyFill="1" applyBorder="1" applyAlignment="1">
      <alignment horizontal="center" vertical="center" wrapText="1"/>
    </xf>
    <xf numFmtId="0" fontId="22" fillId="11" borderId="18" xfId="14" applyFont="1" applyFill="1" applyBorder="1" applyAlignment="1">
      <alignment horizontal="center" vertical="center" wrapText="1"/>
    </xf>
    <xf numFmtId="0" fontId="22" fillId="11" borderId="19" xfId="14" applyFont="1" applyFill="1" applyBorder="1" applyAlignment="1">
      <alignment horizontal="center" vertical="center" wrapText="1"/>
    </xf>
    <xf numFmtId="0" fontId="22" fillId="11" borderId="41" xfId="14" applyFont="1" applyFill="1" applyBorder="1" applyAlignment="1">
      <alignment horizontal="center" vertical="center" wrapText="1"/>
    </xf>
    <xf numFmtId="176" fontId="22" fillId="11" borderId="40" xfId="14" applyNumberFormat="1" applyFont="1" applyFill="1" applyBorder="1" applyAlignment="1">
      <alignment horizontal="center" vertical="center" wrapText="1"/>
    </xf>
    <xf numFmtId="176" fontId="22" fillId="11" borderId="18" xfId="14" applyNumberFormat="1" applyFont="1" applyFill="1" applyBorder="1" applyAlignment="1">
      <alignment horizontal="center" vertical="center" wrapText="1"/>
    </xf>
    <xf numFmtId="176" fontId="22" fillId="11" borderId="41" xfId="14" applyNumberFormat="1" applyFont="1" applyFill="1" applyBorder="1" applyAlignment="1">
      <alignment horizontal="center" vertical="center" wrapText="1"/>
    </xf>
    <xf numFmtId="0" fontId="22" fillId="11" borderId="49" xfId="14" applyFont="1" applyFill="1" applyBorder="1" applyAlignment="1">
      <alignment horizontal="center" vertical="center" wrapText="1"/>
    </xf>
    <xf numFmtId="0" fontId="22" fillId="11" borderId="49" xfId="14" applyFont="1" applyFill="1" applyBorder="1" applyAlignment="1">
      <alignment horizontal="left" vertical="center" wrapText="1"/>
    </xf>
    <xf numFmtId="0" fontId="37" fillId="0" borderId="0" xfId="14" applyFont="1" applyAlignment="1">
      <alignment vertical="top" wrapText="1"/>
    </xf>
    <xf numFmtId="176" fontId="22" fillId="0" borderId="51" xfId="14" applyNumberFormat="1" applyFont="1" applyBorder="1" applyAlignment="1">
      <alignment horizontal="center" vertical="center" wrapText="1"/>
    </xf>
    <xf numFmtId="176" fontId="22" fillId="11" borderId="51" xfId="14" applyNumberFormat="1" applyFont="1" applyFill="1" applyBorder="1" applyAlignment="1">
      <alignment horizontal="center" vertical="center" wrapText="1"/>
    </xf>
    <xf numFmtId="0" fontId="14" fillId="4" borderId="35" xfId="12" applyFont="1" applyFill="1" applyBorder="1" applyAlignment="1">
      <alignment horizontal="right" wrapText="1"/>
    </xf>
    <xf numFmtId="0" fontId="14" fillId="4" borderId="32" xfId="12" applyFont="1" applyFill="1" applyBorder="1" applyAlignment="1">
      <alignment horizontal="right" wrapText="1"/>
    </xf>
    <xf numFmtId="176" fontId="22" fillId="0" borderId="49" xfId="14" applyNumberFormat="1" applyFont="1" applyBorder="1" applyAlignment="1">
      <alignment horizontal="center" vertical="center" wrapText="1"/>
    </xf>
    <xf numFmtId="0" fontId="14" fillId="4" borderId="46" xfId="12" applyFont="1" applyFill="1" applyBorder="1" applyAlignment="1">
      <alignment horizontal="right" wrapText="1"/>
    </xf>
    <xf numFmtId="0" fontId="14" fillId="4" borderId="58" xfId="12" applyFont="1" applyFill="1" applyBorder="1" applyAlignment="1">
      <alignment horizontal="right" wrapText="1"/>
    </xf>
    <xf numFmtId="176" fontId="22" fillId="6" borderId="40" xfId="14" applyNumberFormat="1" applyFont="1" applyFill="1" applyBorder="1" applyAlignment="1">
      <alignment horizontal="center" vertical="center" wrapText="1"/>
    </xf>
    <xf numFmtId="176" fontId="22" fillId="6" borderId="18" xfId="14" applyNumberFormat="1" applyFont="1" applyFill="1" applyBorder="1" applyAlignment="1">
      <alignment horizontal="center" vertical="center" wrapText="1"/>
    </xf>
    <xf numFmtId="176" fontId="22" fillId="6" borderId="41" xfId="14" applyNumberFormat="1" applyFont="1" applyFill="1" applyBorder="1" applyAlignment="1">
      <alignment horizontal="center" vertical="center" wrapText="1"/>
    </xf>
    <xf numFmtId="0" fontId="15" fillId="11" borderId="0" xfId="14" applyFont="1" applyFill="1" applyAlignment="1">
      <alignment vertical="top" wrapText="1"/>
    </xf>
    <xf numFmtId="0" fontId="22" fillId="11" borderId="49" xfId="0" applyFont="1" applyFill="1" applyBorder="1" applyAlignment="1">
      <alignment vertical="center" wrapText="1"/>
    </xf>
    <xf numFmtId="176" fontId="22" fillId="11" borderId="49" xfId="14" applyNumberFormat="1" applyFont="1" applyFill="1" applyBorder="1" applyAlignment="1">
      <alignment horizontal="center" vertical="center" wrapText="1"/>
    </xf>
    <xf numFmtId="0" fontId="30" fillId="11" borderId="49" xfId="16" applyFill="1" applyBorder="1" applyAlignment="1">
      <alignment horizontal="left" vertical="center" wrapText="1"/>
    </xf>
    <xf numFmtId="0" fontId="22" fillId="11" borderId="65" xfId="14" applyFont="1" applyFill="1" applyBorder="1" applyAlignment="1">
      <alignment horizontal="center" vertical="center" wrapText="1"/>
    </xf>
    <xf numFmtId="176" fontId="22" fillId="0" borderId="40" xfId="14" applyNumberFormat="1" applyFont="1" applyFill="1" applyBorder="1" applyAlignment="1">
      <alignment horizontal="center" vertical="center" wrapText="1"/>
    </xf>
    <xf numFmtId="0" fontId="19" fillId="0" borderId="13" xfId="11" applyFont="1" applyBorder="1" applyAlignment="1">
      <alignment horizontal="center"/>
    </xf>
    <xf numFmtId="0" fontId="19" fillId="0" borderId="0" xfId="11" applyFont="1" applyAlignment="1">
      <alignment horizontal="center"/>
    </xf>
    <xf numFmtId="0" fontId="19" fillId="0" borderId="12" xfId="11" applyFont="1" applyBorder="1" applyAlignment="1">
      <alignment horizontal="center"/>
    </xf>
    <xf numFmtId="0" fontId="19" fillId="0" borderId="13" xfId="11" applyFont="1" applyBorder="1" applyAlignment="1">
      <alignment horizontal="center" vertical="center"/>
    </xf>
    <xf numFmtId="0" fontId="19" fillId="0" borderId="0" xfId="11" applyFont="1" applyAlignment="1">
      <alignment horizontal="center" vertical="center"/>
    </xf>
    <xf numFmtId="0" fontId="19" fillId="0" borderId="12" xfId="11" applyFont="1" applyBorder="1" applyAlignment="1">
      <alignment horizontal="center" vertical="center"/>
    </xf>
    <xf numFmtId="0" fontId="18" fillId="0" borderId="0" xfId="11" applyFont="1" applyAlignment="1">
      <alignment horizontal="center"/>
    </xf>
    <xf numFmtId="0" fontId="18" fillId="0" borderId="0" xfId="13" applyFont="1" applyAlignment="1">
      <alignment horizontal="center"/>
    </xf>
    <xf numFmtId="0" fontId="24" fillId="4" borderId="46" xfId="14" applyFont="1" applyFill="1" applyBorder="1" applyAlignment="1">
      <alignment horizontal="center" vertical="center" wrapText="1"/>
    </xf>
    <xf numFmtId="0" fontId="24" fillId="4" borderId="47" xfId="14" applyFont="1" applyFill="1" applyBorder="1" applyAlignment="1">
      <alignment horizontal="center" vertical="center" wrapText="1"/>
    </xf>
    <xf numFmtId="0" fontId="14" fillId="4" borderId="14" xfId="12" applyFont="1" applyFill="1" applyBorder="1" applyAlignment="1">
      <alignment horizontal="center" vertical="center"/>
    </xf>
    <xf numFmtId="0" fontId="14" fillId="4" borderId="35" xfId="12" applyFont="1" applyFill="1" applyBorder="1" applyAlignment="1">
      <alignment horizontal="center" vertical="center"/>
    </xf>
    <xf numFmtId="0" fontId="14" fillId="4" borderId="39" xfId="12" applyFont="1" applyFill="1" applyBorder="1" applyAlignment="1">
      <alignment horizontal="center" vertical="center"/>
    </xf>
    <xf numFmtId="0" fontId="14" fillId="4" borderId="32" xfId="12" applyFont="1" applyFill="1" applyBorder="1" applyAlignment="1">
      <alignment horizontal="center" vertical="center"/>
    </xf>
    <xf numFmtId="0" fontId="24" fillId="4" borderId="48" xfId="14" applyFont="1" applyFill="1" applyBorder="1" applyAlignment="1">
      <alignment horizontal="center" vertical="center" wrapText="1"/>
    </xf>
    <xf numFmtId="0" fontId="24" fillId="4" borderId="25" xfId="14" applyFont="1" applyFill="1" applyBorder="1" applyAlignment="1">
      <alignment horizontal="center" vertical="center" wrapText="1"/>
    </xf>
    <xf numFmtId="0" fontId="24" fillId="4" borderId="15" xfId="14" applyFont="1" applyFill="1" applyBorder="1" applyAlignment="1">
      <alignment horizontal="center" vertical="center" wrapText="1"/>
    </xf>
    <xf numFmtId="0" fontId="24" fillId="4" borderId="8" xfId="14" applyFont="1" applyFill="1" applyBorder="1" applyAlignment="1">
      <alignment horizontal="center" vertical="center" wrapText="1"/>
    </xf>
    <xf numFmtId="0" fontId="24" fillId="4" borderId="15" xfId="14" applyFont="1" applyFill="1" applyBorder="1" applyAlignment="1">
      <alignment horizontal="center" vertical="center"/>
    </xf>
    <xf numFmtId="0" fontId="24" fillId="4" borderId="8" xfId="14" applyFont="1" applyFill="1" applyBorder="1" applyAlignment="1">
      <alignment horizontal="center" vertical="center"/>
    </xf>
    <xf numFmtId="0" fontId="24" fillId="4" borderId="56" xfId="14" applyFont="1" applyFill="1" applyBorder="1" applyAlignment="1">
      <alignment horizontal="center" vertical="center"/>
    </xf>
    <xf numFmtId="0" fontId="24" fillId="4" borderId="6" xfId="14" applyFont="1" applyFill="1" applyBorder="1" applyAlignment="1">
      <alignment horizontal="center" vertical="center"/>
    </xf>
    <xf numFmtId="0" fontId="24" fillId="4" borderId="57" xfId="14" applyFont="1" applyFill="1" applyBorder="1" applyAlignment="1">
      <alignment horizontal="center" vertical="center"/>
    </xf>
    <xf numFmtId="0" fontId="24" fillId="4" borderId="58" xfId="14" applyFont="1" applyFill="1" applyBorder="1" applyAlignment="1">
      <alignment horizontal="center" vertical="center"/>
    </xf>
    <xf numFmtId="0" fontId="14" fillId="4" borderId="66" xfId="12" applyFont="1" applyFill="1" applyBorder="1" applyAlignment="1">
      <alignment horizontal="right"/>
    </xf>
    <xf numFmtId="0" fontId="14" fillId="4" borderId="67" xfId="12" applyFont="1" applyFill="1" applyBorder="1" applyAlignment="1">
      <alignment horizontal="right"/>
    </xf>
    <xf numFmtId="0" fontId="14" fillId="4" borderId="33" xfId="12" applyFont="1" applyFill="1" applyBorder="1" applyAlignment="1">
      <alignment horizontal="right"/>
    </xf>
    <xf numFmtId="0" fontId="14" fillId="4" borderId="8" xfId="12" applyFont="1" applyFill="1" applyBorder="1" applyAlignment="1">
      <alignment horizontal="right"/>
    </xf>
    <xf numFmtId="0" fontId="14" fillId="4" borderId="53" xfId="12" applyFont="1" applyFill="1" applyBorder="1" applyAlignment="1">
      <alignment horizontal="right"/>
    </xf>
    <xf numFmtId="0" fontId="14" fillId="4" borderId="38" xfId="12" applyFont="1" applyFill="1" applyBorder="1" applyAlignment="1">
      <alignment horizontal="right"/>
    </xf>
    <xf numFmtId="0" fontId="24" fillId="4" borderId="50" xfId="14" applyFont="1" applyFill="1" applyBorder="1" applyAlignment="1">
      <alignment horizontal="center" vertical="top" wrapText="1"/>
    </xf>
    <xf numFmtId="0" fontId="24" fillId="4" borderId="52" xfId="14" applyFont="1" applyFill="1" applyBorder="1" applyAlignment="1">
      <alignment horizontal="center" vertical="top" wrapText="1"/>
    </xf>
    <xf numFmtId="0" fontId="24" fillId="4" borderId="51" xfId="14" applyFont="1" applyFill="1" applyBorder="1" applyAlignment="1">
      <alignment horizontal="center" vertical="center"/>
    </xf>
    <xf numFmtId="0" fontId="24" fillId="4" borderId="49" xfId="14" applyFont="1" applyFill="1" applyBorder="1" applyAlignment="1">
      <alignment horizontal="center" vertical="center"/>
    </xf>
    <xf numFmtId="0" fontId="24" fillId="4" borderId="21" xfId="14" applyFont="1" applyFill="1" applyBorder="1" applyAlignment="1">
      <alignment horizontal="center" vertical="center"/>
    </xf>
    <xf numFmtId="0" fontId="14" fillId="4" borderId="57" xfId="12" applyFont="1" applyFill="1" applyBorder="1" applyAlignment="1">
      <alignment horizontal="right"/>
    </xf>
    <xf numFmtId="0" fontId="14" fillId="4" borderId="47" xfId="12" applyFont="1" applyFill="1" applyBorder="1" applyAlignment="1">
      <alignment horizontal="right"/>
    </xf>
    <xf numFmtId="0" fontId="24" fillId="4" borderId="68" xfId="14" applyFont="1" applyFill="1" applyBorder="1" applyAlignment="1">
      <alignment horizontal="center" vertical="center" wrapText="1"/>
    </xf>
    <xf numFmtId="0" fontId="0" fillId="0" borderId="47" xfId="0" applyBorder="1" applyAlignment="1">
      <alignment horizontal="center" vertical="center"/>
    </xf>
    <xf numFmtId="0" fontId="27" fillId="8" borderId="3" xfId="10" applyFont="1" applyFill="1" applyBorder="1" applyAlignment="1">
      <alignment horizontal="left" vertical="center"/>
    </xf>
    <xf numFmtId="0" fontId="27" fillId="8" borderId="3" xfId="10" applyFont="1" applyFill="1" applyBorder="1" applyAlignment="1">
      <alignment horizontal="left" vertical="center" wrapText="1"/>
    </xf>
    <xf numFmtId="0" fontId="27" fillId="7" borderId="59" xfId="10" applyFont="1" applyFill="1" applyBorder="1" applyAlignment="1">
      <alignment horizontal="left" vertical="center"/>
    </xf>
    <xf numFmtId="0" fontId="27" fillId="7" borderId="3" xfId="10" applyFont="1" applyFill="1" applyBorder="1" applyAlignment="1">
      <alignment horizontal="left" vertical="center"/>
    </xf>
    <xf numFmtId="0" fontId="27" fillId="7" borderId="45" xfId="10" applyFont="1" applyFill="1" applyBorder="1" applyAlignment="1">
      <alignment horizontal="left" vertical="center"/>
    </xf>
    <xf numFmtId="0" fontId="27" fillId="7" borderId="2" xfId="10" applyFont="1" applyFill="1" applyBorder="1" applyAlignment="1">
      <alignment horizontal="left" vertical="center"/>
    </xf>
    <xf numFmtId="0" fontId="27" fillId="8" borderId="3" xfId="10" applyFont="1" applyFill="1" applyBorder="1" applyAlignment="1">
      <alignment horizontal="center" vertical="center"/>
    </xf>
    <xf numFmtId="0" fontId="27" fillId="8" borderId="3" xfId="10" applyFont="1" applyFill="1" applyBorder="1" applyAlignment="1">
      <alignment horizontal="left" vertical="top" wrapText="1"/>
    </xf>
    <xf numFmtId="0" fontId="27" fillId="8" borderId="3" xfId="10" applyFont="1" applyFill="1" applyBorder="1" applyAlignment="1">
      <alignment horizontal="center" vertical="top"/>
    </xf>
    <xf numFmtId="0" fontId="27" fillId="8" borderId="3" xfId="10" applyFont="1" applyFill="1" applyBorder="1" applyAlignment="1">
      <alignment horizontal="left" vertical="top"/>
    </xf>
    <xf numFmtId="176" fontId="22" fillId="8" borderId="40" xfId="14" applyNumberFormat="1" applyFont="1" applyFill="1" applyBorder="1" applyAlignment="1">
      <alignment horizontal="center" vertical="center" wrapText="1"/>
    </xf>
    <xf numFmtId="176" fontId="22" fillId="8" borderId="18" xfId="14" applyNumberFormat="1" applyFont="1" applyFill="1" applyBorder="1" applyAlignment="1">
      <alignment horizontal="center" vertical="center" wrapText="1"/>
    </xf>
    <xf numFmtId="176" fontId="22" fillId="8" borderId="41" xfId="14" applyNumberFormat="1" applyFont="1" applyFill="1" applyBorder="1" applyAlignment="1">
      <alignment horizontal="center" vertical="center" wrapText="1"/>
    </xf>
  </cellXfs>
  <cellStyles count="17">
    <cellStyle name="Calc Currency (0)" xfId="1" xr:uid="{00000000-0005-0000-0000-000000000000}"/>
    <cellStyle name="Grey" xfId="2" xr:uid="{00000000-0005-0000-0000-000001000000}"/>
    <cellStyle name="Header1" xfId="3" xr:uid="{00000000-0005-0000-0000-000002000000}"/>
    <cellStyle name="Header2" xfId="4" xr:uid="{00000000-0005-0000-0000-000003000000}"/>
    <cellStyle name="Input [yellow]" xfId="5" xr:uid="{00000000-0005-0000-0000-000004000000}"/>
    <cellStyle name="Normal - Style1" xfId="6" xr:uid="{00000000-0005-0000-0000-000005000000}"/>
    <cellStyle name="Normal_#18-Internet" xfId="7" xr:uid="{00000000-0005-0000-0000-000006000000}"/>
    <cellStyle name="Percent [2]" xfId="8" xr:uid="{00000000-0005-0000-0000-000007000000}"/>
    <cellStyle name="センター" xfId="9" xr:uid="{00000000-0005-0000-0000-000008000000}"/>
    <cellStyle name="ハイパーリンク" xfId="16" builtinId="8"/>
    <cellStyle name="標準" xfId="0" builtinId="0"/>
    <cellStyle name="標準 102" xfId="15" xr:uid="{93238F11-3AD5-49A8-8543-C3471CC99464}"/>
    <cellStyle name="標準 3" xfId="10" xr:uid="{00000000-0005-0000-0000-00000A000000}"/>
    <cellStyle name="標準_GSアオキ殿消費税対応ST仕様書兼完了報告書(適用確認)" xfId="11" xr:uid="{00000000-0005-0000-0000-00000B000000}"/>
    <cellStyle name="標準_ST項目書_仮２回目_(S_13 顧客後宣言対応)" xfId="12" xr:uid="{00000000-0005-0000-0000-00000C000000}"/>
    <cellStyle name="標準_ST仕様書兼完了報告書(領収証・掛伝票印字ﾌｫｰﾏｯﾄ変更)" xfId="13" xr:uid="{00000000-0005-0000-0000-00000D000000}"/>
    <cellStyle name="標準_V05L30 Aｺｰﾌﾟ福井殿2次ｴﾝﾊﾝｽ ST項目書" xfId="14" xr:uid="{00000000-0005-0000-0000-00000E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2</xdr:col>
      <xdr:colOff>144780</xdr:colOff>
      <xdr:row>73</xdr:row>
      <xdr:rowOff>373380</xdr:rowOff>
    </xdr:from>
    <xdr:to>
      <xdr:col>5</xdr:col>
      <xdr:colOff>1356360</xdr:colOff>
      <xdr:row>73</xdr:row>
      <xdr:rowOff>1638300</xdr:rowOff>
    </xdr:to>
    <xdr:sp macro="" textlink="">
      <xdr:nvSpPr>
        <xdr:cNvPr id="2" name="正方形/長方形 1">
          <a:extLst>
            <a:ext uri="{FF2B5EF4-FFF2-40B4-BE49-F238E27FC236}">
              <a16:creationId xmlns:a16="http://schemas.microsoft.com/office/drawing/2014/main" id="{31993A06-7AC8-4565-A7CF-27E4B391765E}"/>
            </a:ext>
          </a:extLst>
        </xdr:cNvPr>
        <xdr:cNvSpPr/>
      </xdr:nvSpPr>
      <xdr:spPr>
        <a:xfrm>
          <a:off x="1127760" y="36736020"/>
          <a:ext cx="7879080" cy="12649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latin typeface="Meiryo UI" panose="020B0604030504040204" pitchFamily="50" charset="-128"/>
              <a:ea typeface="Meiryo UI" panose="020B0604030504040204" pitchFamily="50" charset="-128"/>
            </a:rPr>
            <a:t>2024/11/19</a:t>
          </a:r>
          <a:r>
            <a:rPr kumimoji="1" lang="ja-JP" altLang="en-US" sz="1100">
              <a:latin typeface="Meiryo UI" panose="020B0604030504040204" pitchFamily="50" charset="-128"/>
              <a:ea typeface="Meiryo UI" panose="020B0604030504040204" pitchFamily="50" charset="-128"/>
            </a:rPr>
            <a:t>にさんさん市連携システム停止のためテスト除外</a:t>
          </a:r>
        </a:p>
      </xdr:txBody>
    </xdr:sp>
    <xdr:clientData/>
  </xdr:twoCellAnchor>
  <xdr:twoCellAnchor>
    <xdr:from>
      <xdr:col>0</xdr:col>
      <xdr:colOff>39757</xdr:colOff>
      <xdr:row>47</xdr:row>
      <xdr:rowOff>1</xdr:rowOff>
    </xdr:from>
    <xdr:to>
      <xdr:col>2</xdr:col>
      <xdr:colOff>2107096</xdr:colOff>
      <xdr:row>49</xdr:row>
      <xdr:rowOff>59636</xdr:rowOff>
    </xdr:to>
    <xdr:sp macro="" textlink="">
      <xdr:nvSpPr>
        <xdr:cNvPr id="4" name="正方形/長方形 3">
          <a:extLst>
            <a:ext uri="{FF2B5EF4-FFF2-40B4-BE49-F238E27FC236}">
              <a16:creationId xmlns:a16="http://schemas.microsoft.com/office/drawing/2014/main" id="{330869D5-D660-465D-A35D-4AF1E2E5D29C}"/>
            </a:ext>
          </a:extLst>
        </xdr:cNvPr>
        <xdr:cNvSpPr/>
      </xdr:nvSpPr>
      <xdr:spPr>
        <a:xfrm>
          <a:off x="39757" y="28432540"/>
          <a:ext cx="3041374" cy="49695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社員カードでテストしていないため判定不可</a:t>
          </a:r>
          <a:endParaRPr kumimoji="1" lang="en-US" altLang="ja-JP" sz="1100"/>
        </a:p>
        <a:p>
          <a:pPr algn="l"/>
          <a:r>
            <a:rPr kumimoji="1" lang="ja-JP" altLang="en-US" sz="1100"/>
            <a:t>→いなげや様に相談中</a:t>
          </a:r>
          <a:endParaRPr kumimoji="1" lang="en-US" altLang="ja-JP"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1515533</xdr:colOff>
      <xdr:row>13</xdr:row>
      <xdr:rowOff>93135</xdr:rowOff>
    </xdr:from>
    <xdr:to>
      <xdr:col>5</xdr:col>
      <xdr:colOff>189432</xdr:colOff>
      <xdr:row>18</xdr:row>
      <xdr:rowOff>254001</xdr:rowOff>
    </xdr:to>
    <xdr:sp macro="" textlink="">
      <xdr:nvSpPr>
        <xdr:cNvPr id="2" name="正方形/長方形 1">
          <a:extLst>
            <a:ext uri="{FF2B5EF4-FFF2-40B4-BE49-F238E27FC236}">
              <a16:creationId xmlns:a16="http://schemas.microsoft.com/office/drawing/2014/main" id="{D074FCEE-6356-4D76-A34B-571E190C9A6E}"/>
            </a:ext>
          </a:extLst>
        </xdr:cNvPr>
        <xdr:cNvSpPr/>
      </xdr:nvSpPr>
      <xdr:spPr>
        <a:xfrm>
          <a:off x="3826933" y="4436535"/>
          <a:ext cx="3042699" cy="160019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2000" b="1"/>
            <a:t>現状、手入力で入金できないため実施不可</a:t>
          </a:r>
          <a:endParaRPr kumimoji="1" lang="en-US" altLang="ja-JP" sz="2000" b="1"/>
        </a:p>
      </xdr:txBody>
    </xdr:sp>
    <xdr:clientData/>
  </xdr:twoCellAnchor>
  <xdr:twoCellAnchor>
    <xdr:from>
      <xdr:col>3</xdr:col>
      <xdr:colOff>618067</xdr:colOff>
      <xdr:row>10</xdr:row>
      <xdr:rowOff>364067</xdr:rowOff>
    </xdr:from>
    <xdr:to>
      <xdr:col>5</xdr:col>
      <xdr:colOff>265633</xdr:colOff>
      <xdr:row>12</xdr:row>
      <xdr:rowOff>406400</xdr:rowOff>
    </xdr:to>
    <xdr:sp macro="" textlink="">
      <xdr:nvSpPr>
        <xdr:cNvPr id="3" name="正方形/長方形 2">
          <a:extLst>
            <a:ext uri="{FF2B5EF4-FFF2-40B4-BE49-F238E27FC236}">
              <a16:creationId xmlns:a16="http://schemas.microsoft.com/office/drawing/2014/main" id="{EED804AB-59E4-4626-B2D7-FFBAEA0C9ADD}"/>
            </a:ext>
          </a:extLst>
        </xdr:cNvPr>
        <xdr:cNvSpPr/>
      </xdr:nvSpPr>
      <xdr:spPr>
        <a:xfrm>
          <a:off x="2929467" y="3556000"/>
          <a:ext cx="4016366" cy="762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2000" b="1"/>
            <a:t>レジ撤去に該当する</a:t>
          </a:r>
          <a:r>
            <a:rPr kumimoji="1" lang="en-US" altLang="ja-JP" sz="2000" b="1"/>
            <a:t>POS</a:t>
          </a:r>
          <a:r>
            <a:rPr kumimoji="1" lang="ja-JP" altLang="en-US" sz="2000" b="1"/>
            <a:t>メニューがないため実施不可</a:t>
          </a:r>
          <a:endParaRPr kumimoji="1" lang="en-US" altLang="ja-JP" sz="200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14</xdr:col>
      <xdr:colOff>487678</xdr:colOff>
      <xdr:row>9</xdr:row>
      <xdr:rowOff>6984</xdr:rowOff>
    </xdr:from>
    <xdr:to>
      <xdr:col>22</xdr:col>
      <xdr:colOff>479090</xdr:colOff>
      <xdr:row>17</xdr:row>
      <xdr:rowOff>49540</xdr:rowOff>
    </xdr:to>
    <xdr:sp macro="" textlink="">
      <xdr:nvSpPr>
        <xdr:cNvPr id="2" name="正方形/長方形 1">
          <a:extLst>
            <a:ext uri="{FF2B5EF4-FFF2-40B4-BE49-F238E27FC236}">
              <a16:creationId xmlns:a16="http://schemas.microsoft.com/office/drawing/2014/main" id="{6A5CF97C-D960-42F9-B54E-2630CAA5B3F7}"/>
            </a:ext>
          </a:extLst>
        </xdr:cNvPr>
        <xdr:cNvSpPr/>
      </xdr:nvSpPr>
      <xdr:spPr>
        <a:xfrm>
          <a:off x="11536678" y="1896744"/>
          <a:ext cx="4578652" cy="138367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lnSpc>
              <a:spcPts val="1200"/>
            </a:lnSpc>
          </a:pPr>
          <a:r>
            <a:rPr kumimoji="1" lang="ja-JP" altLang="en-US" sz="1100" b="1">
              <a:latin typeface="ＭＳ ゴシック" panose="020B0609070205080204" pitchFamily="49" charset="-128"/>
              <a:ea typeface="ＭＳ ゴシック" panose="020B0609070205080204" pitchFamily="49" charset="-128"/>
            </a:rPr>
            <a:t>＜入出金種別コード割振時の注意＞</a:t>
          </a:r>
          <a:endParaRPr kumimoji="1" lang="en-US" altLang="ja-JP" sz="1100" b="1">
            <a:latin typeface="ＭＳ ゴシック" panose="020B0609070205080204" pitchFamily="49" charset="-128"/>
            <a:ea typeface="ＭＳ ゴシック" panose="020B0609070205080204" pitchFamily="49" charset="-128"/>
          </a:endParaRPr>
        </a:p>
        <a:p>
          <a:pPr algn="l">
            <a:lnSpc>
              <a:spcPts val="1200"/>
            </a:lnSpc>
          </a:pPr>
          <a:r>
            <a:rPr kumimoji="1" lang="ja-JP" altLang="en-US" sz="1100">
              <a:latin typeface="ＭＳ ゴシック" panose="020B0609070205080204" pitchFamily="49" charset="-128"/>
              <a:ea typeface="ＭＳ ゴシック" panose="020B0609070205080204" pitchFamily="49" charset="-128"/>
            </a:rPr>
            <a:t>入出金種別コード（</a:t>
          </a:r>
          <a:r>
            <a:rPr kumimoji="1" lang="en-US" altLang="ja-JP" sz="1100">
              <a:latin typeface="ＭＳ ゴシック" panose="020B0609070205080204" pitchFamily="49" charset="-128"/>
              <a:ea typeface="ＭＳ ゴシック" panose="020B0609070205080204" pitchFamily="49" charset="-128"/>
            </a:rPr>
            <a:t>POS</a:t>
          </a:r>
          <a:r>
            <a:rPr kumimoji="1" lang="ja-JP" altLang="en-US" sz="1100">
              <a:latin typeface="ＭＳ ゴシック" panose="020B0609070205080204" pitchFamily="49" charset="-128"/>
              <a:ea typeface="ＭＳ ゴシック" panose="020B0609070205080204" pitchFamily="49" charset="-128"/>
            </a:rPr>
            <a:t>コード）は、個別店舗用に以下の番号がリザーブされている。</a:t>
          </a:r>
          <a:endParaRPr kumimoji="1" lang="en-US" altLang="ja-JP" sz="1100">
            <a:latin typeface="ＭＳ ゴシック" panose="020B0609070205080204" pitchFamily="49" charset="-128"/>
            <a:ea typeface="ＭＳ ゴシック" panose="020B0609070205080204" pitchFamily="49" charset="-128"/>
          </a:endParaRPr>
        </a:p>
        <a:p>
          <a:pPr algn="l">
            <a:lnSpc>
              <a:spcPts val="1200"/>
            </a:lnSpc>
          </a:pPr>
          <a:endParaRPr kumimoji="1" lang="en-US" altLang="ja-JP" sz="1100">
            <a:latin typeface="ＭＳ ゴシック" panose="020B0609070205080204" pitchFamily="49" charset="-128"/>
            <a:ea typeface="ＭＳ ゴシック" panose="020B0609070205080204" pitchFamily="49" charset="-128"/>
          </a:endParaRPr>
        </a:p>
        <a:p>
          <a:pPr algn="l">
            <a:lnSpc>
              <a:spcPts val="1200"/>
            </a:lnSpc>
          </a:pPr>
          <a:r>
            <a:rPr kumimoji="1" lang="ja-JP" altLang="en-US" sz="1100">
              <a:latin typeface="ＭＳ ゴシック" panose="020B0609070205080204" pitchFamily="49" charset="-128"/>
              <a:ea typeface="ＭＳ ゴシック" panose="020B0609070205080204" pitchFamily="49" charset="-128"/>
            </a:rPr>
            <a:t>入金：</a:t>
          </a:r>
          <a:r>
            <a:rPr kumimoji="1" lang="en-US" altLang="ja-JP" sz="1100">
              <a:latin typeface="ＭＳ ゴシック" panose="020B0609070205080204" pitchFamily="49" charset="-128"/>
              <a:ea typeface="ＭＳ ゴシック" panose="020B0609070205080204" pitchFamily="49" charset="-128"/>
            </a:rPr>
            <a:t>540</a:t>
          </a:r>
          <a:r>
            <a:rPr kumimoji="1" lang="ja-JP" altLang="en-US" sz="1100">
              <a:latin typeface="ＭＳ ゴシック" panose="020B0609070205080204" pitchFamily="49" charset="-128"/>
              <a:ea typeface="ＭＳ ゴシック" panose="020B0609070205080204" pitchFamily="49" charset="-128"/>
            </a:rPr>
            <a:t>～</a:t>
          </a:r>
          <a:r>
            <a:rPr kumimoji="1" lang="en-US" altLang="ja-JP" sz="1100">
              <a:latin typeface="ＭＳ ゴシック" panose="020B0609070205080204" pitchFamily="49" charset="-128"/>
              <a:ea typeface="ＭＳ ゴシック" panose="020B0609070205080204" pitchFamily="49" charset="-128"/>
            </a:rPr>
            <a:t>579</a:t>
          </a:r>
        </a:p>
        <a:p>
          <a:pPr algn="l">
            <a:lnSpc>
              <a:spcPts val="1200"/>
            </a:lnSpc>
          </a:pPr>
          <a:r>
            <a:rPr kumimoji="1" lang="ja-JP" altLang="en-US" sz="1100">
              <a:latin typeface="ＭＳ ゴシック" panose="020B0609070205080204" pitchFamily="49" charset="-128"/>
              <a:ea typeface="ＭＳ ゴシック" panose="020B0609070205080204" pitchFamily="49" charset="-128"/>
            </a:rPr>
            <a:t>出金：</a:t>
          </a:r>
          <a:r>
            <a:rPr kumimoji="1" lang="en-US" altLang="ja-JP" sz="1100">
              <a:latin typeface="ＭＳ ゴシック" panose="020B0609070205080204" pitchFamily="49" charset="-128"/>
              <a:ea typeface="ＭＳ ゴシック" panose="020B0609070205080204" pitchFamily="49" charset="-128"/>
            </a:rPr>
            <a:t>640</a:t>
          </a:r>
          <a:r>
            <a:rPr kumimoji="1" lang="ja-JP" altLang="en-US" sz="1100">
              <a:latin typeface="ＭＳ ゴシック" panose="020B0609070205080204" pitchFamily="49" charset="-128"/>
              <a:ea typeface="ＭＳ ゴシック" panose="020B0609070205080204" pitchFamily="49" charset="-128"/>
            </a:rPr>
            <a:t>～</a:t>
          </a:r>
          <a:r>
            <a:rPr kumimoji="1" lang="en-US" altLang="ja-JP" sz="1100">
              <a:latin typeface="ＭＳ ゴシック" panose="020B0609070205080204" pitchFamily="49" charset="-128"/>
              <a:ea typeface="ＭＳ ゴシック" panose="020B0609070205080204" pitchFamily="49" charset="-128"/>
            </a:rPr>
            <a:t>679</a:t>
          </a:r>
        </a:p>
        <a:p>
          <a:pPr algn="l">
            <a:lnSpc>
              <a:spcPts val="1200"/>
            </a:lnSpc>
          </a:pPr>
          <a:endParaRPr kumimoji="1" lang="en-US" altLang="ja-JP" sz="1000"/>
        </a:p>
      </xdr:txBody>
    </xdr:sp>
    <xdr:clientData/>
  </xdr:twoCellAnchor>
  <xdr:twoCellAnchor>
    <xdr:from>
      <xdr:col>15</xdr:col>
      <xdr:colOff>0</xdr:colOff>
      <xdr:row>20</xdr:row>
      <xdr:rowOff>0</xdr:rowOff>
    </xdr:from>
    <xdr:to>
      <xdr:col>22</xdr:col>
      <xdr:colOff>478928</xdr:colOff>
      <xdr:row>28</xdr:row>
      <xdr:rowOff>173934</xdr:rowOff>
    </xdr:to>
    <xdr:sp macro="" textlink="">
      <xdr:nvSpPr>
        <xdr:cNvPr id="3" name="正方形/長方形 2">
          <a:extLst>
            <a:ext uri="{FF2B5EF4-FFF2-40B4-BE49-F238E27FC236}">
              <a16:creationId xmlns:a16="http://schemas.microsoft.com/office/drawing/2014/main" id="{459FF128-5A55-474A-8A0E-29DC9A5C68B2}"/>
            </a:ext>
          </a:extLst>
        </xdr:cNvPr>
        <xdr:cNvSpPr/>
      </xdr:nvSpPr>
      <xdr:spPr>
        <a:xfrm>
          <a:off x="11658600" y="3733800"/>
          <a:ext cx="4456568" cy="1507434"/>
        </a:xfrm>
        <a:prstGeom prst="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lnSpc>
              <a:spcPts val="900"/>
            </a:lnSpc>
          </a:pPr>
          <a:r>
            <a:rPr kumimoji="1" lang="ja-JP" altLang="en-US" sz="1100" b="1">
              <a:latin typeface="ＭＳ ゴシック" panose="020B0609070205080204" pitchFamily="49" charset="-128"/>
              <a:ea typeface="ＭＳ ゴシック" panose="020B0609070205080204" pitchFamily="49" charset="-128"/>
            </a:rPr>
            <a:t>＜最新情報＞　</a:t>
          </a:r>
          <a:endParaRPr kumimoji="1" lang="en-US" altLang="ja-JP" sz="1100" b="1">
            <a:latin typeface="ＭＳ ゴシック" panose="020B0609070205080204" pitchFamily="49" charset="-128"/>
            <a:ea typeface="ＭＳ ゴシック" panose="020B0609070205080204" pitchFamily="49" charset="-128"/>
          </a:endParaRPr>
        </a:p>
        <a:p>
          <a:pPr algn="l">
            <a:lnSpc>
              <a:spcPts val="900"/>
            </a:lnSpc>
          </a:pPr>
          <a:r>
            <a:rPr kumimoji="1" lang="ja-JP" altLang="en-US" sz="1100">
              <a:latin typeface="ＭＳ ゴシック" panose="020B0609070205080204" pitchFamily="49" charset="-128"/>
              <a:ea typeface="ＭＳ ゴシック" panose="020B0609070205080204" pitchFamily="49" charset="-128"/>
            </a:rPr>
            <a:t>以下の番号が最新となるため、次回採番時に</a:t>
          </a:r>
          <a:r>
            <a:rPr kumimoji="1" lang="en-US" altLang="ja-JP" sz="1100">
              <a:latin typeface="ＭＳ ゴシック" panose="020B0609070205080204" pitchFamily="49" charset="-128"/>
              <a:ea typeface="ＭＳ ゴシック" panose="020B0609070205080204" pitchFamily="49" charset="-128"/>
            </a:rPr>
            <a:t>+1</a:t>
          </a:r>
          <a:r>
            <a:rPr kumimoji="1" lang="ja-JP" altLang="en-US" sz="1100">
              <a:latin typeface="ＭＳ ゴシック" panose="020B0609070205080204" pitchFamily="49" charset="-128"/>
              <a:ea typeface="ＭＳ ゴシック" panose="020B0609070205080204" pitchFamily="49" charset="-128"/>
            </a:rPr>
            <a:t>した番号を使用すること！</a:t>
          </a:r>
          <a:endParaRPr kumimoji="1" lang="en-US" altLang="ja-JP" sz="1100">
            <a:latin typeface="ＭＳ ゴシック" panose="020B0609070205080204" pitchFamily="49" charset="-128"/>
            <a:ea typeface="ＭＳ ゴシック" panose="020B0609070205080204" pitchFamily="49" charset="-128"/>
          </a:endParaRPr>
        </a:p>
        <a:p>
          <a:pPr algn="l">
            <a:lnSpc>
              <a:spcPts val="1000"/>
            </a:lnSpc>
          </a:pPr>
          <a:endParaRPr kumimoji="1" lang="en-US" altLang="ja-JP" sz="1100">
            <a:latin typeface="ＭＳ ゴシック" panose="020B0609070205080204" pitchFamily="49" charset="-128"/>
            <a:ea typeface="ＭＳ ゴシック" panose="020B0609070205080204" pitchFamily="49" charset="-128"/>
          </a:endParaRPr>
        </a:p>
        <a:p>
          <a:pPr algn="l">
            <a:lnSpc>
              <a:spcPts val="900"/>
            </a:lnSpc>
          </a:pPr>
          <a:r>
            <a:rPr kumimoji="1" lang="ja-JP" altLang="en-US" sz="1100">
              <a:latin typeface="ＭＳ ゴシック" panose="020B0609070205080204" pitchFamily="49" charset="-128"/>
              <a:ea typeface="ＭＳ ゴシック" panose="020B0609070205080204" pitchFamily="49" charset="-128"/>
            </a:rPr>
            <a:t>入金：</a:t>
          </a:r>
          <a:r>
            <a:rPr kumimoji="1" lang="en-US" altLang="ja-JP" sz="1100">
              <a:latin typeface="ＭＳ ゴシック" panose="020B0609070205080204" pitchFamily="49" charset="-128"/>
              <a:ea typeface="ＭＳ ゴシック" panose="020B0609070205080204" pitchFamily="49" charset="-128"/>
            </a:rPr>
            <a:t>575</a:t>
          </a:r>
          <a:r>
            <a:rPr kumimoji="1" lang="ja-JP" altLang="en-US" sz="1100" baseline="0">
              <a:latin typeface="ＭＳ ゴシック" panose="020B0609070205080204" pitchFamily="49" charset="-128"/>
              <a:ea typeface="ＭＳ ゴシック" panose="020B0609070205080204" pitchFamily="49" charset="-128"/>
            </a:rPr>
            <a:t>　（最終更新：</a:t>
          </a:r>
          <a:r>
            <a:rPr kumimoji="1" lang="en-US" altLang="ja-JP" sz="1100" baseline="0">
              <a:latin typeface="ＭＳ ゴシック" panose="020B0609070205080204" pitchFamily="49" charset="-128"/>
              <a:ea typeface="ＭＳ ゴシック" panose="020B0609070205080204" pitchFamily="49" charset="-128"/>
            </a:rPr>
            <a:t>2024/09/10</a:t>
          </a:r>
          <a:r>
            <a:rPr kumimoji="1" lang="ja-JP" altLang="en-US" sz="1100" baseline="0">
              <a:latin typeface="ＭＳ ゴシック" panose="020B0609070205080204" pitchFamily="49" charset="-128"/>
              <a:ea typeface="ＭＳ ゴシック" panose="020B0609070205080204" pitchFamily="49" charset="-128"/>
            </a:rPr>
            <a:t>）</a:t>
          </a:r>
          <a:endParaRPr kumimoji="1" lang="en-US" altLang="ja-JP" sz="1100">
            <a:latin typeface="ＭＳ ゴシック" panose="020B0609070205080204" pitchFamily="49" charset="-128"/>
            <a:ea typeface="ＭＳ ゴシック" panose="020B0609070205080204" pitchFamily="49" charset="-128"/>
          </a:endParaRPr>
        </a:p>
        <a:p>
          <a:pPr algn="l">
            <a:lnSpc>
              <a:spcPts val="1000"/>
            </a:lnSpc>
          </a:pPr>
          <a:r>
            <a:rPr kumimoji="1" lang="ja-JP" altLang="en-US" sz="1100">
              <a:latin typeface="ＭＳ ゴシック" panose="020B0609070205080204" pitchFamily="49" charset="-128"/>
              <a:ea typeface="ＭＳ ゴシック" panose="020B0609070205080204" pitchFamily="49" charset="-128"/>
            </a:rPr>
            <a:t>出金：</a:t>
          </a:r>
          <a:r>
            <a:rPr kumimoji="1" lang="en-US" altLang="ja-JP" sz="1100">
              <a:latin typeface="ＭＳ ゴシック" panose="020B0609070205080204" pitchFamily="49" charset="-128"/>
              <a:ea typeface="ＭＳ ゴシック" panose="020B0609070205080204" pitchFamily="49" charset="-128"/>
            </a:rPr>
            <a:t>659</a:t>
          </a:r>
          <a:r>
            <a:rPr kumimoji="1" lang="ja-JP" altLang="en-US" sz="1100">
              <a:latin typeface="ＭＳ ゴシック" panose="020B0609070205080204" pitchFamily="49" charset="-128"/>
              <a:ea typeface="ＭＳ ゴシック" panose="020B0609070205080204" pitchFamily="49" charset="-128"/>
            </a:rPr>
            <a:t>　</a:t>
          </a:r>
          <a:r>
            <a:rPr kumimoji="1" lang="ja-JP" altLang="ja-JP" sz="1100" baseline="0">
              <a:solidFill>
                <a:schemeClr val="lt1"/>
              </a:solidFill>
              <a:effectLst/>
              <a:latin typeface="ＭＳ ゴシック" panose="020B0609070205080204" pitchFamily="49" charset="-128"/>
              <a:ea typeface="ＭＳ ゴシック" panose="020B0609070205080204" pitchFamily="49" charset="-128"/>
              <a:cs typeface="+mn-cs"/>
            </a:rPr>
            <a:t>（最終更新：</a:t>
          </a:r>
          <a:r>
            <a:rPr kumimoji="1" lang="en-US" altLang="ja-JP" sz="1100" baseline="0">
              <a:solidFill>
                <a:schemeClr val="lt1"/>
              </a:solidFill>
              <a:effectLst/>
              <a:latin typeface="ＭＳ ゴシック" panose="020B0609070205080204" pitchFamily="49" charset="-128"/>
              <a:ea typeface="ＭＳ ゴシック" panose="020B0609070205080204" pitchFamily="49" charset="-128"/>
              <a:cs typeface="+mn-cs"/>
            </a:rPr>
            <a:t>2024/08/29</a:t>
          </a:r>
          <a:r>
            <a:rPr kumimoji="1" lang="ja-JP" altLang="ja-JP" sz="1100" baseline="0">
              <a:solidFill>
                <a:schemeClr val="lt1"/>
              </a:solidFill>
              <a:effectLst/>
              <a:latin typeface="ＭＳ ゴシック" panose="020B0609070205080204" pitchFamily="49" charset="-128"/>
              <a:ea typeface="ＭＳ ゴシック" panose="020B0609070205080204" pitchFamily="49" charset="-128"/>
              <a:cs typeface="+mn-cs"/>
            </a:rPr>
            <a:t>）</a:t>
          </a:r>
          <a:endParaRPr kumimoji="1" lang="en-US" altLang="ja-JP" sz="1100">
            <a:latin typeface="ＭＳ ゴシック" panose="020B0609070205080204" pitchFamily="49" charset="-128"/>
            <a:ea typeface="ＭＳ ゴシック" panose="020B0609070205080204" pitchFamily="49" charset="-128"/>
          </a:endParaRPr>
        </a:p>
        <a:p>
          <a:pPr algn="l">
            <a:lnSpc>
              <a:spcPts val="900"/>
            </a:lnSpc>
          </a:pPr>
          <a:r>
            <a:rPr kumimoji="1" lang="ja-JP" altLang="en-US" sz="1100">
              <a:latin typeface="ＭＳ ゴシック" panose="020B0609070205080204" pitchFamily="49" charset="-128"/>
              <a:ea typeface="ＭＳ ゴシック" panose="020B0609070205080204" pitchFamily="49" charset="-128"/>
            </a:rPr>
            <a:t>計</a:t>
          </a:r>
          <a:r>
            <a:rPr kumimoji="1" lang="en-US" altLang="ja-JP" sz="1100">
              <a:latin typeface="ＭＳ ゴシック" panose="020B0609070205080204" pitchFamily="49" charset="-128"/>
              <a:ea typeface="ＭＳ ゴシック" panose="020B0609070205080204" pitchFamily="49" charset="-128"/>
            </a:rPr>
            <a:t>No</a:t>
          </a:r>
          <a:r>
            <a:rPr kumimoji="1" lang="ja-JP" altLang="en-US" sz="1100">
              <a:latin typeface="ＭＳ ゴシック" panose="020B0609070205080204" pitchFamily="49" charset="-128"/>
              <a:ea typeface="ＭＳ ゴシック" panose="020B0609070205080204" pitchFamily="49" charset="-128"/>
            </a:rPr>
            <a:t>：</a:t>
          </a:r>
          <a:r>
            <a:rPr kumimoji="1" lang="en-US" altLang="ja-JP" sz="1100">
              <a:latin typeface="ＭＳ ゴシック" panose="020B0609070205080204" pitchFamily="49" charset="-128"/>
              <a:ea typeface="ＭＳ ゴシック" panose="020B0609070205080204" pitchFamily="49" charset="-128"/>
            </a:rPr>
            <a:t>230</a:t>
          </a:r>
          <a:r>
            <a:rPr kumimoji="1" lang="ja-JP" altLang="en-US" sz="1100">
              <a:latin typeface="ＭＳ ゴシック" panose="020B0609070205080204" pitchFamily="49" charset="-128"/>
              <a:ea typeface="ＭＳ ゴシック" panose="020B0609070205080204" pitchFamily="49" charset="-128"/>
            </a:rPr>
            <a:t>　</a:t>
          </a:r>
          <a:r>
            <a:rPr kumimoji="1" lang="ja-JP" altLang="ja-JP" sz="1100" baseline="0">
              <a:solidFill>
                <a:schemeClr val="lt1"/>
              </a:solidFill>
              <a:effectLst/>
              <a:latin typeface="ＭＳ ゴシック" panose="020B0609070205080204" pitchFamily="49" charset="-128"/>
              <a:ea typeface="ＭＳ ゴシック" panose="020B0609070205080204" pitchFamily="49" charset="-128"/>
              <a:cs typeface="+mn-cs"/>
            </a:rPr>
            <a:t>（最終更新：</a:t>
          </a:r>
          <a:r>
            <a:rPr kumimoji="1" lang="en-US" altLang="ja-JP" sz="1100" baseline="0">
              <a:solidFill>
                <a:schemeClr val="lt1"/>
              </a:solidFill>
              <a:effectLst/>
              <a:latin typeface="ＭＳ ゴシック" panose="020B0609070205080204" pitchFamily="49" charset="-128"/>
              <a:ea typeface="ＭＳ ゴシック" panose="020B0609070205080204" pitchFamily="49" charset="-128"/>
              <a:cs typeface="+mn-cs"/>
            </a:rPr>
            <a:t>2024/09/30</a:t>
          </a:r>
          <a:r>
            <a:rPr kumimoji="1" lang="ja-JP" altLang="en-US" sz="1100" baseline="0">
              <a:solidFill>
                <a:schemeClr val="lt1"/>
              </a:solidFill>
              <a:effectLst/>
              <a:latin typeface="+mn-lt"/>
              <a:ea typeface="+mn-ea"/>
              <a:cs typeface="+mn-cs"/>
            </a:rPr>
            <a:t>）</a:t>
          </a:r>
          <a:endParaRPr kumimoji="1" lang="en-US" altLang="ja-JP" sz="1000"/>
        </a:p>
      </xdr:txBody>
    </xdr:sp>
    <xdr:clientData/>
  </xdr:twoCellAnchor>
  <xdr:twoCellAnchor>
    <xdr:from>
      <xdr:col>15</xdr:col>
      <xdr:colOff>478790</xdr:colOff>
      <xdr:row>30</xdr:row>
      <xdr:rowOff>50799</xdr:rowOff>
    </xdr:from>
    <xdr:to>
      <xdr:col>21</xdr:col>
      <xdr:colOff>3677</xdr:colOff>
      <xdr:row>35</xdr:row>
      <xdr:rowOff>7473</xdr:rowOff>
    </xdr:to>
    <xdr:sp macro="" textlink="">
      <xdr:nvSpPr>
        <xdr:cNvPr id="5" name="四角形吹き出し 5">
          <a:extLst>
            <a:ext uri="{FF2B5EF4-FFF2-40B4-BE49-F238E27FC236}">
              <a16:creationId xmlns:a16="http://schemas.microsoft.com/office/drawing/2014/main" id="{CA9306BB-E454-4A7A-A635-A6910EA402B6}"/>
            </a:ext>
          </a:extLst>
        </xdr:cNvPr>
        <xdr:cNvSpPr/>
      </xdr:nvSpPr>
      <xdr:spPr>
        <a:xfrm>
          <a:off x="12137390" y="5460999"/>
          <a:ext cx="2892927" cy="794874"/>
        </a:xfrm>
        <a:prstGeom prst="wedgeRectCallout">
          <a:avLst>
            <a:gd name="adj1" fmla="val -43715"/>
            <a:gd name="adj2" fmla="val -151160"/>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b="1">
              <a:solidFill>
                <a:schemeClr val="bg1"/>
              </a:solidFill>
              <a:latin typeface="ＭＳ ゴシック" panose="020B0609070205080204" pitchFamily="49" charset="-128"/>
              <a:ea typeface="ＭＳ ゴシック" panose="020B0609070205080204" pitchFamily="49" charset="-128"/>
            </a:rPr>
            <a:t>【</a:t>
          </a:r>
          <a:r>
            <a:rPr kumimoji="1" lang="ja-JP" altLang="en-US" sz="1100" b="1">
              <a:solidFill>
                <a:schemeClr val="bg1"/>
              </a:solidFill>
              <a:latin typeface="ＭＳ ゴシック" panose="020B0609070205080204" pitchFamily="49" charset="-128"/>
              <a:ea typeface="ＭＳ ゴシック" panose="020B0609070205080204" pitchFamily="49" charset="-128"/>
            </a:rPr>
            <a:t>更新ガイド②</a:t>
          </a:r>
          <a:r>
            <a:rPr kumimoji="1" lang="en-US" altLang="ja-JP" sz="1100" b="1">
              <a:solidFill>
                <a:schemeClr val="bg1"/>
              </a:solidFill>
              <a:latin typeface="ＭＳ ゴシック" panose="020B0609070205080204" pitchFamily="49" charset="-128"/>
              <a:ea typeface="ＭＳ ゴシック" panose="020B0609070205080204" pitchFamily="49" charset="-128"/>
            </a:rPr>
            <a:t>】</a:t>
          </a:r>
        </a:p>
        <a:p>
          <a:pPr algn="l">
            <a:lnSpc>
              <a:spcPts val="1300"/>
            </a:lnSpc>
          </a:pPr>
          <a:r>
            <a:rPr kumimoji="1" lang="ja-JP" altLang="en-US" sz="1100" b="1">
              <a:solidFill>
                <a:schemeClr val="bg1"/>
              </a:solidFill>
              <a:latin typeface="ＭＳ ゴシック" panose="020B0609070205080204" pitchFamily="49" charset="-128"/>
              <a:ea typeface="ＭＳ ゴシック" panose="020B0609070205080204" pitchFamily="49" charset="-128"/>
            </a:rPr>
            <a:t>更新する値と最終更新日を修正してください。</a:t>
          </a:r>
        </a:p>
      </xdr:txBody>
    </xdr:sp>
    <xdr:clientData/>
  </xdr:twoCellAnchor>
  <xdr:twoCellAnchor>
    <xdr:from>
      <xdr:col>15</xdr:col>
      <xdr:colOff>305435</xdr:colOff>
      <xdr:row>39</xdr:row>
      <xdr:rowOff>45085</xdr:rowOff>
    </xdr:from>
    <xdr:to>
      <xdr:col>21</xdr:col>
      <xdr:colOff>485777</xdr:colOff>
      <xdr:row>44</xdr:row>
      <xdr:rowOff>100181</xdr:rowOff>
    </xdr:to>
    <xdr:sp macro="" textlink="">
      <xdr:nvSpPr>
        <xdr:cNvPr id="7" name="四角形吹き出し 7">
          <a:extLst>
            <a:ext uri="{FF2B5EF4-FFF2-40B4-BE49-F238E27FC236}">
              <a16:creationId xmlns:a16="http://schemas.microsoft.com/office/drawing/2014/main" id="{27F91382-214E-4071-B199-5E766F57DF4A}"/>
            </a:ext>
          </a:extLst>
        </xdr:cNvPr>
        <xdr:cNvSpPr/>
      </xdr:nvSpPr>
      <xdr:spPr>
        <a:xfrm>
          <a:off x="11964035" y="6964045"/>
          <a:ext cx="3548382" cy="893296"/>
        </a:xfrm>
        <a:prstGeom prst="wedgeRectCallout">
          <a:avLst>
            <a:gd name="adj1" fmla="val -22843"/>
            <a:gd name="adj2" fmla="val -47314"/>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b="1">
              <a:solidFill>
                <a:schemeClr val="bg1"/>
              </a:solidFill>
              <a:latin typeface="ＭＳ ゴシック" panose="020B0609070205080204" pitchFamily="49" charset="-128"/>
              <a:ea typeface="ＭＳ ゴシック" panose="020B0609070205080204" pitchFamily="49" charset="-128"/>
            </a:rPr>
            <a:t>【</a:t>
          </a:r>
          <a:r>
            <a:rPr kumimoji="1" lang="ja-JP" altLang="en-US" sz="1100" b="1">
              <a:solidFill>
                <a:schemeClr val="bg1"/>
              </a:solidFill>
              <a:latin typeface="ＭＳ ゴシック" panose="020B0609070205080204" pitchFamily="49" charset="-128"/>
              <a:ea typeface="ＭＳ ゴシック" panose="020B0609070205080204" pitchFamily="49" charset="-128"/>
            </a:rPr>
            <a:t>更新ガイド④</a:t>
          </a:r>
          <a:r>
            <a:rPr kumimoji="1" lang="en-US" altLang="ja-JP" sz="1100" b="1">
              <a:solidFill>
                <a:schemeClr val="bg1"/>
              </a:solidFill>
              <a:latin typeface="ＭＳ ゴシック" panose="020B0609070205080204" pitchFamily="49" charset="-128"/>
              <a:ea typeface="ＭＳ ゴシック" panose="020B0609070205080204" pitchFamily="49" charset="-128"/>
            </a:rPr>
            <a:t>】</a:t>
          </a:r>
        </a:p>
        <a:p>
          <a:pPr algn="l">
            <a:lnSpc>
              <a:spcPts val="1300"/>
            </a:lnSpc>
          </a:pPr>
          <a:r>
            <a:rPr kumimoji="1" lang="ja-JP" altLang="en-US" sz="1100" b="1">
              <a:solidFill>
                <a:schemeClr val="bg1"/>
              </a:solidFill>
              <a:latin typeface="ＭＳ ゴシック" panose="020B0609070205080204" pitchFamily="49" charset="-128"/>
              <a:ea typeface="ＭＳ ゴシック" panose="020B0609070205080204" pitchFamily="49" charset="-128"/>
            </a:rPr>
            <a:t>更新ガイド①～③が完了したら保存し、ファイル名に埋め込まれた版数を更新してください。</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0</xdr:colOff>
      <xdr:row>19</xdr:row>
      <xdr:rowOff>0</xdr:rowOff>
    </xdr:from>
    <xdr:to>
      <xdr:col>12</xdr:col>
      <xdr:colOff>0</xdr:colOff>
      <xdr:row>42</xdr:row>
      <xdr:rowOff>15240</xdr:rowOff>
    </xdr:to>
    <xdr:sp macro="" textlink="">
      <xdr:nvSpPr>
        <xdr:cNvPr id="2" name="正方形/長方形 1">
          <a:extLst>
            <a:ext uri="{FF2B5EF4-FFF2-40B4-BE49-F238E27FC236}">
              <a16:creationId xmlns:a16="http://schemas.microsoft.com/office/drawing/2014/main" id="{75A3FDC1-D868-478B-85EF-D1239A2E376B}"/>
            </a:ext>
          </a:extLst>
        </xdr:cNvPr>
        <xdr:cNvSpPr/>
      </xdr:nvSpPr>
      <xdr:spPr>
        <a:xfrm>
          <a:off x="9730740" y="3055620"/>
          <a:ext cx="3924300" cy="3695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■確認方法想定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％商品購入時のトラン実績確認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商品売上</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LN_DETAIL</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EXT_PRC</a:t>
          </a:r>
          <a:r>
            <a:rPr kumimoji="1" lang="ja-JP" altLang="en-US" sz="900">
              <a:latin typeface="Meiryo UI" panose="020B0604030504040204" pitchFamily="50" charset="-128"/>
              <a:ea typeface="Meiryo UI" panose="020B0604030504040204" pitchFamily="50" charset="-128"/>
            </a:rPr>
            <a:t>が外税抜きの販売合価となっている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GSFD_TAX_TYPE</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TRANSACTION_TAX</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TAX_CD</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TAXBLE_AMT</a:t>
          </a:r>
          <a:r>
            <a:rPr kumimoji="1" lang="ja-JP" altLang="en-US" sz="900">
              <a:latin typeface="Meiryo UI" panose="020B0604030504040204" pitchFamily="50" charset="-128"/>
              <a:ea typeface="Meiryo UI" panose="020B0604030504040204" pitchFamily="50" charset="-128"/>
            </a:rPr>
            <a:t>が外税抜きの商品売上額となっている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GSFD_PNT_TRANS_HEADER</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GSTP_SATISFA_OUT_SIDE_TAX</a:t>
          </a:r>
          <a:r>
            <a:rPr kumimoji="1" lang="ja-JP" altLang="en-US" sz="900">
              <a:latin typeface="Meiryo UI" panose="020B0604030504040204" pitchFamily="50" charset="-128"/>
              <a:ea typeface="Meiryo UI" panose="020B0604030504040204" pitchFamily="50" charset="-128"/>
            </a:rPr>
            <a:t>が外税対象金額となっている</a:t>
          </a:r>
          <a:endParaRPr kumimoji="1" lang="en-US" altLang="ja-JP" sz="900">
            <a:latin typeface="Meiryo UI" panose="020B0604030504040204" pitchFamily="50" charset="-128"/>
            <a:ea typeface="Meiryo UI" panose="020B0604030504040204" pitchFamily="50" charset="-128"/>
          </a:endParaRPr>
        </a:p>
      </xdr:txBody>
    </xdr:sp>
    <xdr:clientData/>
  </xdr:twoCellAnchor>
  <xdr:twoCellAnchor>
    <xdr:from>
      <xdr:col>13</xdr:col>
      <xdr:colOff>480060</xdr:colOff>
      <xdr:row>34</xdr:row>
      <xdr:rowOff>15240</xdr:rowOff>
    </xdr:from>
    <xdr:to>
      <xdr:col>22</xdr:col>
      <xdr:colOff>502920</xdr:colOff>
      <xdr:row>42</xdr:row>
      <xdr:rowOff>83820</xdr:rowOff>
    </xdr:to>
    <xdr:sp macro="" textlink="">
      <xdr:nvSpPr>
        <xdr:cNvPr id="3" name="正方形/長方形 2">
          <a:extLst>
            <a:ext uri="{FF2B5EF4-FFF2-40B4-BE49-F238E27FC236}">
              <a16:creationId xmlns:a16="http://schemas.microsoft.com/office/drawing/2014/main" id="{15B76557-3E41-48F0-BA67-FCEE194DA476}"/>
            </a:ext>
          </a:extLst>
        </xdr:cNvPr>
        <xdr:cNvSpPr/>
      </xdr:nvSpPr>
      <xdr:spPr>
        <a:xfrm>
          <a:off x="14683740" y="5471160"/>
          <a:ext cx="5699760" cy="1348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■観点</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・売価強制、販売停止、販売証明書、販売確認が機能するか？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・自動値引除外、単品値引除外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、小計単品値引除外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・売上除外、非商品が機能するか？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・マークダウン</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円、値引額、割引額</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・価格変更予約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endParaRPr kumimoji="1" lang="en-US" altLang="ja-JP" sz="900">
            <a:latin typeface="Meiryo UI" panose="020B0604030504040204" pitchFamily="50" charset="-128"/>
            <a:ea typeface="Meiryo UI"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K24"/>
  <sheetViews>
    <sheetView view="pageBreakPreview" zoomScaleNormal="100" workbookViewId="0"/>
  </sheetViews>
  <sheetFormatPr defaultColWidth="12" defaultRowHeight="15"/>
  <cols>
    <col min="1" max="16384" width="12" style="5"/>
  </cols>
  <sheetData>
    <row r="3" spans="3:11" ht="15.6" thickBot="1"/>
    <row r="4" spans="3:11" ht="23.4" thickTop="1">
      <c r="C4" s="12" t="s">
        <v>0</v>
      </c>
      <c r="D4" s="6"/>
      <c r="E4" s="6"/>
      <c r="F4" s="6"/>
      <c r="G4" s="6"/>
      <c r="H4" s="6"/>
      <c r="I4" s="6"/>
      <c r="J4" s="6"/>
      <c r="K4" s="7"/>
    </row>
    <row r="5" spans="3:11">
      <c r="C5" s="8"/>
      <c r="K5" s="9"/>
    </row>
    <row r="6" spans="3:11">
      <c r="C6" s="8"/>
      <c r="K6" s="9"/>
    </row>
    <row r="7" spans="3:11" ht="35.4">
      <c r="C7" s="150" t="s">
        <v>1</v>
      </c>
      <c r="D7" s="151"/>
      <c r="E7" s="151"/>
      <c r="F7" s="151"/>
      <c r="G7" s="151"/>
      <c r="H7" s="151"/>
      <c r="I7" s="151"/>
      <c r="J7" s="151"/>
      <c r="K7" s="152"/>
    </row>
    <row r="8" spans="3:11" ht="15" customHeight="1">
      <c r="C8" s="16"/>
      <c r="D8" s="17"/>
      <c r="E8" s="17"/>
      <c r="F8" s="17"/>
      <c r="G8" s="17"/>
      <c r="H8" s="17"/>
      <c r="I8" s="17"/>
      <c r="J8" s="17"/>
      <c r="K8" s="18"/>
    </row>
    <row r="9" spans="3:11" ht="35.4">
      <c r="C9" s="147" t="s">
        <v>2</v>
      </c>
      <c r="D9" s="148"/>
      <c r="E9" s="148"/>
      <c r="F9" s="148"/>
      <c r="G9" s="148"/>
      <c r="H9" s="148"/>
      <c r="I9" s="148"/>
      <c r="J9" s="148"/>
      <c r="K9" s="149"/>
    </row>
    <row r="10" spans="3:11" ht="35.4">
      <c r="C10" s="147" t="s">
        <v>3</v>
      </c>
      <c r="D10" s="148"/>
      <c r="E10" s="148"/>
      <c r="F10" s="148"/>
      <c r="G10" s="148"/>
      <c r="H10" s="148"/>
      <c r="I10" s="148"/>
      <c r="J10" s="148"/>
      <c r="K10" s="149"/>
    </row>
    <row r="11" spans="3:11">
      <c r="C11" s="8"/>
      <c r="K11" s="9"/>
    </row>
    <row r="12" spans="3:11" ht="15" customHeight="1" thickBot="1">
      <c r="C12" s="13"/>
      <c r="D12" s="14"/>
      <c r="E12" s="14"/>
      <c r="F12" s="14"/>
      <c r="G12" s="14"/>
      <c r="H12" s="14"/>
      <c r="I12" s="14"/>
      <c r="J12" s="14"/>
      <c r="K12" s="15"/>
    </row>
    <row r="13" spans="3:11" ht="15" customHeight="1" thickTop="1"/>
    <row r="14" spans="3:11" ht="15" customHeight="1"/>
    <row r="15" spans="3:11" ht="15" customHeight="1"/>
    <row r="16" spans="3:11" ht="15" customHeight="1"/>
    <row r="17" spans="3:9" ht="15" customHeight="1"/>
    <row r="18" spans="3:9" ht="18.600000000000001">
      <c r="E18" s="153" t="s">
        <v>4</v>
      </c>
      <c r="F18" s="153"/>
      <c r="G18" s="153"/>
      <c r="H18" s="153"/>
      <c r="I18" s="153"/>
    </row>
    <row r="19" spans="3:9" ht="15" customHeight="1"/>
    <row r="20" spans="3:9" ht="15" customHeight="1"/>
    <row r="21" spans="3:9" ht="18.600000000000001">
      <c r="C21" s="10"/>
      <c r="F21" s="154" t="s">
        <v>5</v>
      </c>
      <c r="G21" s="154"/>
      <c r="H21" s="154"/>
    </row>
    <row r="22" spans="3:9" ht="15" customHeight="1">
      <c r="C22" s="10"/>
      <c r="F22" s="11"/>
      <c r="G22" s="11"/>
      <c r="H22" s="11"/>
    </row>
    <row r="23" spans="3:9" ht="15" customHeight="1">
      <c r="C23" s="10"/>
      <c r="F23" s="11"/>
    </row>
    <row r="24" spans="3:9" ht="15" customHeight="1"/>
  </sheetData>
  <mergeCells count="5">
    <mergeCell ref="C9:K9"/>
    <mergeCell ref="C10:K10"/>
    <mergeCell ref="C7:K7"/>
    <mergeCell ref="E18:I18"/>
    <mergeCell ref="F21:H21"/>
  </mergeCells>
  <phoneticPr fontId="6"/>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4D05A-F5EA-42F1-859D-4E714FFD3C06}">
  <sheetPr>
    <pageSetUpPr fitToPage="1"/>
  </sheetPr>
  <dimension ref="A1:Y79"/>
  <sheetViews>
    <sheetView view="pageBreakPreview" zoomScaleNormal="110" zoomScaleSheetLayoutView="100" workbookViewId="0">
      <pane ySplit="2" topLeftCell="A68" activePane="bottomLeft" state="frozen"/>
      <selection pane="bottomLeft" activeCell="C55" sqref="C55"/>
    </sheetView>
  </sheetViews>
  <sheetFormatPr defaultColWidth="9.375" defaultRowHeight="9" customHeight="1" outlineLevelCol="1"/>
  <cols>
    <col min="1" max="1" width="6.125" style="2" customWidth="1"/>
    <col min="2" max="2" width="9.875" style="2" customWidth="1"/>
    <col min="3" max="3" width="35.125" style="2" customWidth="1"/>
    <col min="4" max="4" width="30.875" style="2" customWidth="1"/>
    <col min="5" max="5" width="43.375" style="2" customWidth="1"/>
    <col min="6" max="6" width="45" style="2" customWidth="1"/>
    <col min="7" max="16" width="4.5" style="4" customWidth="1" outlineLevel="1"/>
    <col min="17" max="17" width="3.625" style="4" customWidth="1" outlineLevel="1"/>
    <col min="18" max="18" width="4.5" style="4" customWidth="1" outlineLevel="1"/>
    <col min="19" max="19" width="8.375" style="4" customWidth="1" outlineLevel="1"/>
    <col min="20" max="22" width="5.875" style="4" customWidth="1" outlineLevel="1"/>
    <col min="23" max="23" width="7.5" style="4" customWidth="1" outlineLevel="1"/>
    <col min="24" max="24" width="69.125" style="2" bestFit="1" customWidth="1"/>
    <col min="25" max="25" width="13.125" style="2" bestFit="1" customWidth="1"/>
    <col min="26" max="16384" width="9.375" style="2"/>
  </cols>
  <sheetData>
    <row r="1" spans="1:24" s="1" customFormat="1" ht="13.5" customHeight="1">
      <c r="A1" s="161" t="s">
        <v>6</v>
      </c>
      <c r="B1" s="163" t="s">
        <v>7</v>
      </c>
      <c r="C1" s="165" t="s">
        <v>8</v>
      </c>
      <c r="D1" s="165" t="s">
        <v>9</v>
      </c>
      <c r="E1" s="167" t="s">
        <v>10</v>
      </c>
      <c r="F1" s="169" t="s">
        <v>11</v>
      </c>
      <c r="G1" s="177" t="s">
        <v>12</v>
      </c>
      <c r="H1" s="177"/>
      <c r="I1" s="177"/>
      <c r="J1" s="178"/>
      <c r="K1" s="179" t="s">
        <v>13</v>
      </c>
      <c r="L1" s="180"/>
      <c r="M1" s="180"/>
      <c r="N1" s="181"/>
      <c r="O1" s="181"/>
      <c r="P1" s="181"/>
      <c r="Q1" s="181"/>
      <c r="R1" s="181"/>
      <c r="S1" s="184" t="s">
        <v>14</v>
      </c>
      <c r="T1" s="177" t="s">
        <v>15</v>
      </c>
      <c r="U1" s="177"/>
      <c r="V1" s="177"/>
      <c r="W1" s="155" t="s">
        <v>16</v>
      </c>
      <c r="X1" s="155" t="s">
        <v>17</v>
      </c>
    </row>
    <row r="2" spans="1:24" s="1" customFormat="1" ht="22.8">
      <c r="A2" s="162"/>
      <c r="B2" s="164"/>
      <c r="C2" s="166"/>
      <c r="D2" s="166"/>
      <c r="E2" s="168"/>
      <c r="F2" s="170"/>
      <c r="G2" s="67" t="s">
        <v>18</v>
      </c>
      <c r="H2" s="68" t="s">
        <v>19</v>
      </c>
      <c r="I2" s="69" t="s">
        <v>20</v>
      </c>
      <c r="J2" s="69" t="s">
        <v>21</v>
      </c>
      <c r="K2" s="70" t="s">
        <v>18</v>
      </c>
      <c r="L2" s="69" t="s">
        <v>22</v>
      </c>
      <c r="M2" s="69" t="s">
        <v>23</v>
      </c>
      <c r="N2" s="69" t="s">
        <v>24</v>
      </c>
      <c r="O2" s="69" t="s">
        <v>25</v>
      </c>
      <c r="P2" s="69" t="s">
        <v>26</v>
      </c>
      <c r="Q2" s="69" t="s">
        <v>27</v>
      </c>
      <c r="R2" s="69" t="s">
        <v>28</v>
      </c>
      <c r="S2" s="185"/>
      <c r="T2" s="67" t="s">
        <v>29</v>
      </c>
      <c r="U2" s="68" t="s">
        <v>30</v>
      </c>
      <c r="V2" s="69" t="s">
        <v>31</v>
      </c>
      <c r="W2" s="156"/>
      <c r="X2" s="156"/>
    </row>
    <row r="3" spans="1:24" ht="11.4">
      <c r="A3" s="19">
        <f t="shared" ref="A3:A75" si="0">ROW()-2</f>
        <v>1</v>
      </c>
      <c r="B3" s="20" t="s">
        <v>32</v>
      </c>
      <c r="C3" s="31" t="s">
        <v>33</v>
      </c>
      <c r="D3" s="30"/>
      <c r="E3" s="30"/>
      <c r="F3" s="72"/>
      <c r="G3" s="21"/>
      <c r="H3" s="22"/>
      <c r="I3" s="22"/>
      <c r="J3" s="23"/>
      <c r="K3" s="21"/>
      <c r="L3" s="22"/>
      <c r="M3" s="22"/>
      <c r="N3" s="24"/>
      <c r="O3" s="24"/>
      <c r="P3" s="24"/>
      <c r="Q3" s="24"/>
      <c r="R3" s="23"/>
      <c r="S3" s="131"/>
      <c r="T3" s="25">
        <v>45678</v>
      </c>
      <c r="U3" s="26"/>
      <c r="V3" s="27"/>
      <c r="W3" s="28"/>
      <c r="X3" s="29"/>
    </row>
    <row r="4" spans="1:24" ht="159.6">
      <c r="A4" s="19">
        <f>ROW()-2</f>
        <v>2</v>
      </c>
      <c r="B4" s="20" t="s">
        <v>34</v>
      </c>
      <c r="C4" s="20" t="s">
        <v>35</v>
      </c>
      <c r="D4" s="20" t="s">
        <v>36</v>
      </c>
      <c r="E4" s="30" t="s">
        <v>37</v>
      </c>
      <c r="F4" s="71" t="s">
        <v>38</v>
      </c>
      <c r="G4" s="21"/>
      <c r="H4" s="22"/>
      <c r="I4" s="22"/>
      <c r="J4" s="23"/>
      <c r="K4" s="21"/>
      <c r="L4" s="22"/>
      <c r="M4" s="22"/>
      <c r="N4" s="24" t="s">
        <v>39</v>
      </c>
      <c r="O4" s="24"/>
      <c r="P4" s="24"/>
      <c r="Q4" s="24"/>
      <c r="R4" s="23"/>
      <c r="S4" s="131">
        <v>45306</v>
      </c>
      <c r="T4" s="25">
        <v>45678</v>
      </c>
      <c r="U4" s="26"/>
      <c r="V4" s="27"/>
      <c r="W4" s="28"/>
      <c r="X4" s="29" t="s">
        <v>40</v>
      </c>
    </row>
    <row r="5" spans="1:24" ht="11.4">
      <c r="A5" s="19">
        <f t="shared" ref="A5:A47" si="1">ROW()-2</f>
        <v>3</v>
      </c>
      <c r="B5" s="20"/>
      <c r="C5" s="20"/>
      <c r="D5" s="20"/>
      <c r="E5" s="30" t="s">
        <v>41</v>
      </c>
      <c r="F5" s="71" t="s">
        <v>42</v>
      </c>
      <c r="G5" s="21"/>
      <c r="H5" s="22"/>
      <c r="I5" s="22"/>
      <c r="J5" s="23"/>
      <c r="K5" s="21"/>
      <c r="L5" s="22"/>
      <c r="M5" s="22"/>
      <c r="N5" s="24"/>
      <c r="O5" s="24"/>
      <c r="P5" s="24"/>
      <c r="Q5" s="24" t="s">
        <v>39</v>
      </c>
      <c r="R5" s="23"/>
      <c r="S5" s="131">
        <v>45306</v>
      </c>
      <c r="T5" s="25">
        <v>45672</v>
      </c>
      <c r="U5" s="26"/>
      <c r="V5" s="27"/>
      <c r="W5" s="28"/>
      <c r="X5" s="29"/>
    </row>
    <row r="6" spans="1:24" ht="68.400000000000006">
      <c r="A6" s="19">
        <f>ROW()-2</f>
        <v>4</v>
      </c>
      <c r="B6" s="20"/>
      <c r="C6" s="20"/>
      <c r="D6" s="20" t="s">
        <v>43</v>
      </c>
      <c r="E6" s="30" t="s">
        <v>44</v>
      </c>
      <c r="F6" s="71" t="s">
        <v>38</v>
      </c>
      <c r="G6" s="21"/>
      <c r="H6" s="22"/>
      <c r="I6" s="22"/>
      <c r="J6" s="23"/>
      <c r="K6" s="21"/>
      <c r="L6" s="22"/>
      <c r="M6" s="22"/>
      <c r="N6" s="24" t="s">
        <v>39</v>
      </c>
      <c r="O6" s="24"/>
      <c r="P6" s="24"/>
      <c r="Q6" s="24"/>
      <c r="R6" s="23"/>
      <c r="S6" s="131">
        <v>45306</v>
      </c>
      <c r="T6" s="25">
        <v>45678</v>
      </c>
      <c r="U6" s="26"/>
      <c r="V6" s="27"/>
      <c r="W6" s="28"/>
      <c r="X6" s="29" t="s">
        <v>45</v>
      </c>
    </row>
    <row r="7" spans="1:24" ht="11.4">
      <c r="A7" s="19">
        <f t="shared" si="1"/>
        <v>5</v>
      </c>
      <c r="B7" s="20"/>
      <c r="C7" s="20"/>
      <c r="D7" s="20"/>
      <c r="E7" s="30" t="s">
        <v>41</v>
      </c>
      <c r="F7" s="71" t="s">
        <v>42</v>
      </c>
      <c r="G7" s="21"/>
      <c r="H7" s="22"/>
      <c r="I7" s="22"/>
      <c r="J7" s="23"/>
      <c r="K7" s="21"/>
      <c r="L7" s="22"/>
      <c r="M7" s="22"/>
      <c r="N7" s="24"/>
      <c r="O7" s="24"/>
      <c r="P7" s="24"/>
      <c r="Q7" s="24" t="s">
        <v>39</v>
      </c>
      <c r="R7" s="23"/>
      <c r="S7" s="131">
        <v>45306</v>
      </c>
      <c r="T7" s="25">
        <v>45672</v>
      </c>
      <c r="U7" s="26"/>
      <c r="V7" s="27"/>
      <c r="W7" s="28"/>
      <c r="X7" s="29"/>
    </row>
    <row r="8" spans="1:24" ht="22.8">
      <c r="A8" s="19">
        <f t="shared" si="1"/>
        <v>6</v>
      </c>
      <c r="B8" s="20"/>
      <c r="C8" s="20"/>
      <c r="D8" s="20" t="s">
        <v>46</v>
      </c>
      <c r="E8" s="30" t="s">
        <v>47</v>
      </c>
      <c r="F8" s="71" t="s">
        <v>38</v>
      </c>
      <c r="G8" s="21"/>
      <c r="H8" s="22"/>
      <c r="I8" s="22"/>
      <c r="J8" s="23"/>
      <c r="K8" s="21"/>
      <c r="L8" s="22"/>
      <c r="M8" s="22"/>
      <c r="N8" s="24" t="s">
        <v>39</v>
      </c>
      <c r="O8" s="24"/>
      <c r="P8" s="24"/>
      <c r="Q8" s="24"/>
      <c r="R8" s="23"/>
      <c r="S8" s="131">
        <v>45306</v>
      </c>
      <c r="T8" s="25">
        <v>45678</v>
      </c>
      <c r="U8" s="26"/>
      <c r="V8" s="27"/>
      <c r="W8" s="28"/>
      <c r="X8" s="29" t="s">
        <v>48</v>
      </c>
    </row>
    <row r="9" spans="1:24" ht="11.4">
      <c r="A9" s="19">
        <f t="shared" si="1"/>
        <v>7</v>
      </c>
      <c r="B9" s="20"/>
      <c r="C9" s="20"/>
      <c r="D9" s="20"/>
      <c r="E9" s="30" t="s">
        <v>41</v>
      </c>
      <c r="F9" s="71" t="s">
        <v>42</v>
      </c>
      <c r="G9" s="21"/>
      <c r="H9" s="22"/>
      <c r="I9" s="22"/>
      <c r="J9" s="23"/>
      <c r="K9" s="21"/>
      <c r="L9" s="22"/>
      <c r="M9" s="22"/>
      <c r="N9" s="24"/>
      <c r="O9" s="24"/>
      <c r="P9" s="24"/>
      <c r="Q9" s="24" t="s">
        <v>39</v>
      </c>
      <c r="R9" s="23"/>
      <c r="S9" s="131">
        <v>45306</v>
      </c>
      <c r="T9" s="25">
        <v>45678</v>
      </c>
      <c r="U9" s="26"/>
      <c r="V9" s="27"/>
      <c r="W9" s="28"/>
      <c r="X9" s="29"/>
    </row>
    <row r="10" spans="1:24" ht="22.8">
      <c r="A10" s="19">
        <f t="shared" si="1"/>
        <v>8</v>
      </c>
      <c r="B10" s="20"/>
      <c r="C10" s="20"/>
      <c r="D10" s="20" t="s">
        <v>49</v>
      </c>
      <c r="E10" s="30" t="s">
        <v>47</v>
      </c>
      <c r="F10" s="71" t="s">
        <v>38</v>
      </c>
      <c r="G10" s="21"/>
      <c r="H10" s="22"/>
      <c r="I10" s="22"/>
      <c r="J10" s="23"/>
      <c r="K10" s="21"/>
      <c r="L10" s="22"/>
      <c r="M10" s="22"/>
      <c r="N10" s="24" t="s">
        <v>39</v>
      </c>
      <c r="O10" s="24"/>
      <c r="P10" s="24"/>
      <c r="Q10" s="24"/>
      <c r="R10" s="23"/>
      <c r="S10" s="131">
        <v>45306</v>
      </c>
      <c r="T10" s="25">
        <v>45678</v>
      </c>
      <c r="U10" s="26"/>
      <c r="V10" s="27"/>
      <c r="W10" s="28"/>
      <c r="X10" s="29" t="s">
        <v>50</v>
      </c>
    </row>
    <row r="11" spans="1:24" ht="11.4">
      <c r="A11" s="19">
        <f t="shared" si="1"/>
        <v>9</v>
      </c>
      <c r="B11" s="20"/>
      <c r="C11" s="20"/>
      <c r="D11" s="20"/>
      <c r="E11" s="30" t="s">
        <v>41</v>
      </c>
      <c r="F11" s="71" t="s">
        <v>42</v>
      </c>
      <c r="G11" s="21"/>
      <c r="H11" s="22"/>
      <c r="I11" s="22"/>
      <c r="J11" s="23"/>
      <c r="K11" s="21"/>
      <c r="L11" s="22"/>
      <c r="M11" s="22"/>
      <c r="N11" s="24"/>
      <c r="O11" s="24"/>
      <c r="P11" s="24"/>
      <c r="Q11" s="24" t="s">
        <v>39</v>
      </c>
      <c r="R11" s="23"/>
      <c r="S11" s="131">
        <v>45306</v>
      </c>
      <c r="T11" s="25">
        <v>45678</v>
      </c>
      <c r="U11" s="26"/>
      <c r="V11" s="27"/>
      <c r="W11" s="28"/>
      <c r="X11" s="29"/>
    </row>
    <row r="12" spans="1:24" ht="159.6">
      <c r="A12" s="19">
        <f t="shared" si="1"/>
        <v>10</v>
      </c>
      <c r="B12" s="20"/>
      <c r="C12" s="20"/>
      <c r="D12" s="20" t="s">
        <v>51</v>
      </c>
      <c r="E12" s="30" t="s">
        <v>52</v>
      </c>
      <c r="F12" s="71" t="s">
        <v>38</v>
      </c>
      <c r="G12" s="21"/>
      <c r="H12" s="22"/>
      <c r="I12" s="22"/>
      <c r="J12" s="23"/>
      <c r="K12" s="21"/>
      <c r="L12" s="22"/>
      <c r="M12" s="22"/>
      <c r="N12" s="24" t="s">
        <v>39</v>
      </c>
      <c r="O12" s="24"/>
      <c r="P12" s="24"/>
      <c r="Q12" s="24"/>
      <c r="R12" s="23"/>
      <c r="S12" s="131">
        <v>45306</v>
      </c>
      <c r="T12" s="25">
        <v>45678</v>
      </c>
      <c r="U12" s="26"/>
      <c r="V12" s="27"/>
      <c r="W12" s="28"/>
      <c r="X12" s="29" t="s">
        <v>53</v>
      </c>
    </row>
    <row r="13" spans="1:24" ht="11.4">
      <c r="A13" s="19">
        <f t="shared" si="1"/>
        <v>11</v>
      </c>
      <c r="B13" s="20"/>
      <c r="C13" s="20"/>
      <c r="D13" s="20"/>
      <c r="E13" s="30" t="s">
        <v>41</v>
      </c>
      <c r="F13" s="71" t="s">
        <v>42</v>
      </c>
      <c r="G13" s="21"/>
      <c r="H13" s="22"/>
      <c r="I13" s="22"/>
      <c r="J13" s="23"/>
      <c r="K13" s="21"/>
      <c r="L13" s="22"/>
      <c r="M13" s="22"/>
      <c r="N13" s="24"/>
      <c r="O13" s="24"/>
      <c r="P13" s="24"/>
      <c r="Q13" s="24" t="s">
        <v>39</v>
      </c>
      <c r="R13" s="23"/>
      <c r="S13" s="131">
        <v>45306</v>
      </c>
      <c r="T13" s="25">
        <v>45678</v>
      </c>
      <c r="U13" s="26"/>
      <c r="V13" s="27"/>
      <c r="W13" s="28"/>
      <c r="X13" s="29"/>
    </row>
    <row r="14" spans="1:24" ht="68.400000000000006">
      <c r="A14" s="19">
        <f t="shared" si="1"/>
        <v>12</v>
      </c>
      <c r="B14" s="20"/>
      <c r="C14" s="20"/>
      <c r="D14" s="20" t="s">
        <v>54</v>
      </c>
      <c r="E14" s="30" t="s">
        <v>55</v>
      </c>
      <c r="F14" s="71" t="s">
        <v>38</v>
      </c>
      <c r="G14" s="21"/>
      <c r="H14" s="22"/>
      <c r="I14" s="22"/>
      <c r="J14" s="23"/>
      <c r="K14" s="21"/>
      <c r="L14" s="22"/>
      <c r="M14" s="22"/>
      <c r="N14" s="24" t="s">
        <v>39</v>
      </c>
      <c r="O14" s="24"/>
      <c r="P14" s="24"/>
      <c r="Q14" s="24"/>
      <c r="R14" s="23"/>
      <c r="S14" s="131">
        <v>45306</v>
      </c>
      <c r="T14" s="25">
        <v>45678</v>
      </c>
      <c r="U14" s="26"/>
      <c r="V14" s="27"/>
      <c r="W14" s="28"/>
      <c r="X14" s="29" t="s">
        <v>56</v>
      </c>
    </row>
    <row r="15" spans="1:24" ht="11.4">
      <c r="A15" s="19">
        <f t="shared" si="1"/>
        <v>13</v>
      </c>
      <c r="B15" s="20"/>
      <c r="C15" s="20"/>
      <c r="D15" s="20"/>
      <c r="E15" s="30" t="s">
        <v>41</v>
      </c>
      <c r="F15" s="71" t="s">
        <v>42</v>
      </c>
      <c r="G15" s="21"/>
      <c r="H15" s="22"/>
      <c r="I15" s="22"/>
      <c r="J15" s="23"/>
      <c r="K15" s="21"/>
      <c r="L15" s="22"/>
      <c r="M15" s="22"/>
      <c r="N15" s="24"/>
      <c r="O15" s="24"/>
      <c r="P15" s="24"/>
      <c r="Q15" s="24" t="s">
        <v>39</v>
      </c>
      <c r="R15" s="23"/>
      <c r="S15" s="131">
        <v>45306</v>
      </c>
      <c r="T15" s="25">
        <v>45678</v>
      </c>
      <c r="U15" s="26"/>
      <c r="V15" s="27"/>
      <c r="W15" s="28"/>
      <c r="X15" s="29"/>
    </row>
    <row r="16" spans="1:24" ht="68.400000000000006">
      <c r="A16" s="19">
        <f t="shared" si="1"/>
        <v>14</v>
      </c>
      <c r="B16" s="20"/>
      <c r="C16" s="20"/>
      <c r="D16" s="20" t="s">
        <v>57</v>
      </c>
      <c r="E16" s="30" t="s">
        <v>58</v>
      </c>
      <c r="F16" s="71" t="s">
        <v>38</v>
      </c>
      <c r="G16" s="21"/>
      <c r="H16" s="22"/>
      <c r="I16" s="22"/>
      <c r="J16" s="23"/>
      <c r="K16" s="21"/>
      <c r="L16" s="22"/>
      <c r="M16" s="22"/>
      <c r="N16" s="24" t="s">
        <v>39</v>
      </c>
      <c r="O16" s="24"/>
      <c r="P16" s="24"/>
      <c r="Q16" s="24"/>
      <c r="R16" s="23"/>
      <c r="S16" s="131">
        <v>45306</v>
      </c>
      <c r="T16" s="25">
        <v>45678</v>
      </c>
      <c r="U16" s="26"/>
      <c r="V16" s="27"/>
      <c r="W16" s="28"/>
      <c r="X16" s="29" t="s">
        <v>59</v>
      </c>
    </row>
    <row r="17" spans="1:24" ht="11.4">
      <c r="A17" s="19">
        <f t="shared" si="1"/>
        <v>15</v>
      </c>
      <c r="B17" s="20"/>
      <c r="C17" s="20"/>
      <c r="D17" s="20"/>
      <c r="E17" s="30" t="s">
        <v>41</v>
      </c>
      <c r="F17" s="71" t="s">
        <v>42</v>
      </c>
      <c r="G17" s="21"/>
      <c r="H17" s="22"/>
      <c r="I17" s="22"/>
      <c r="J17" s="23"/>
      <c r="K17" s="21"/>
      <c r="L17" s="22"/>
      <c r="M17" s="22"/>
      <c r="N17" s="24"/>
      <c r="O17" s="24"/>
      <c r="P17" s="24"/>
      <c r="Q17" s="24" t="s">
        <v>39</v>
      </c>
      <c r="R17" s="23"/>
      <c r="S17" s="131">
        <v>45306</v>
      </c>
      <c r="T17" s="25">
        <v>45678</v>
      </c>
      <c r="U17" s="26"/>
      <c r="V17" s="27"/>
      <c r="W17" s="28"/>
      <c r="X17" s="29"/>
    </row>
    <row r="18" spans="1:24" ht="159.6">
      <c r="A18" s="19">
        <f t="shared" si="1"/>
        <v>16</v>
      </c>
      <c r="B18" s="20"/>
      <c r="C18" s="20"/>
      <c r="D18" s="20" t="s">
        <v>60</v>
      </c>
      <c r="E18" s="30" t="s">
        <v>61</v>
      </c>
      <c r="F18" s="71" t="s">
        <v>38</v>
      </c>
      <c r="G18" s="21"/>
      <c r="H18" s="22"/>
      <c r="I18" s="22"/>
      <c r="J18" s="23"/>
      <c r="K18" s="21"/>
      <c r="L18" s="22"/>
      <c r="M18" s="22"/>
      <c r="N18" s="24" t="s">
        <v>39</v>
      </c>
      <c r="O18" s="24"/>
      <c r="P18" s="24"/>
      <c r="Q18" s="24"/>
      <c r="R18" s="23"/>
      <c r="S18" s="131">
        <v>45306</v>
      </c>
      <c r="T18" s="25">
        <v>45678</v>
      </c>
      <c r="U18" s="26"/>
      <c r="V18" s="27"/>
      <c r="W18" s="28"/>
      <c r="X18" s="29" t="s">
        <v>62</v>
      </c>
    </row>
    <row r="19" spans="1:24" ht="11.4">
      <c r="A19" s="19">
        <f t="shared" si="1"/>
        <v>17</v>
      </c>
      <c r="B19" s="20"/>
      <c r="C19" s="20"/>
      <c r="D19" s="20"/>
      <c r="E19" s="30" t="s">
        <v>63</v>
      </c>
      <c r="F19" s="71" t="s">
        <v>42</v>
      </c>
      <c r="G19" s="21"/>
      <c r="H19" s="22"/>
      <c r="I19" s="22"/>
      <c r="J19" s="23"/>
      <c r="K19" s="21"/>
      <c r="L19" s="22"/>
      <c r="M19" s="22"/>
      <c r="N19" s="24"/>
      <c r="O19" s="24"/>
      <c r="P19" s="24"/>
      <c r="Q19" s="24" t="s">
        <v>39</v>
      </c>
      <c r="R19" s="23"/>
      <c r="S19" s="131">
        <v>45306</v>
      </c>
      <c r="T19" s="25">
        <v>45678</v>
      </c>
      <c r="U19" s="26"/>
      <c r="V19" s="27"/>
      <c r="W19" s="28"/>
      <c r="X19" s="29"/>
    </row>
    <row r="20" spans="1:24" ht="68.400000000000006">
      <c r="A20" s="19">
        <f t="shared" ref="A20:A38" si="2">ROW()-2</f>
        <v>18</v>
      </c>
      <c r="B20" s="20"/>
      <c r="C20" s="20"/>
      <c r="D20" s="20" t="s">
        <v>64</v>
      </c>
      <c r="E20" s="30" t="s">
        <v>58</v>
      </c>
      <c r="F20" s="71" t="s">
        <v>38</v>
      </c>
      <c r="G20" s="21"/>
      <c r="H20" s="22"/>
      <c r="I20" s="22"/>
      <c r="J20" s="23"/>
      <c r="K20" s="21"/>
      <c r="L20" s="22"/>
      <c r="M20" s="22"/>
      <c r="N20" s="24" t="s">
        <v>39</v>
      </c>
      <c r="O20" s="24"/>
      <c r="P20" s="24"/>
      <c r="Q20" s="24"/>
      <c r="R20" s="23"/>
      <c r="S20" s="131">
        <v>45306</v>
      </c>
      <c r="T20" s="25">
        <v>45678</v>
      </c>
      <c r="U20" s="26"/>
      <c r="V20" s="27"/>
      <c r="W20" s="28"/>
      <c r="X20" s="29" t="s">
        <v>65</v>
      </c>
    </row>
    <row r="21" spans="1:24" ht="11.4">
      <c r="A21" s="19">
        <f t="shared" si="1"/>
        <v>19</v>
      </c>
      <c r="B21" s="20"/>
      <c r="C21" s="20"/>
      <c r="D21" s="20"/>
      <c r="E21" s="30" t="s">
        <v>63</v>
      </c>
      <c r="F21" s="71" t="s">
        <v>42</v>
      </c>
      <c r="G21" s="21"/>
      <c r="H21" s="22"/>
      <c r="I21" s="22"/>
      <c r="J21" s="23"/>
      <c r="K21" s="21"/>
      <c r="L21" s="22"/>
      <c r="M21" s="22"/>
      <c r="N21" s="24"/>
      <c r="O21" s="24"/>
      <c r="P21" s="24"/>
      <c r="Q21" s="24" t="s">
        <v>39</v>
      </c>
      <c r="R21" s="23"/>
      <c r="S21" s="131">
        <v>45306</v>
      </c>
      <c r="T21" s="25">
        <v>45678</v>
      </c>
      <c r="U21" s="26"/>
      <c r="V21" s="27"/>
      <c r="W21" s="28"/>
      <c r="X21" s="29"/>
    </row>
    <row r="22" spans="1:24" ht="11.4">
      <c r="A22" s="19">
        <f t="shared" si="2"/>
        <v>20</v>
      </c>
      <c r="B22" s="20"/>
      <c r="C22" s="20"/>
      <c r="D22" s="20" t="s">
        <v>66</v>
      </c>
      <c r="E22" s="30" t="s">
        <v>47</v>
      </c>
      <c r="F22" s="71" t="s">
        <v>38</v>
      </c>
      <c r="G22" s="21"/>
      <c r="H22" s="22"/>
      <c r="I22" s="22"/>
      <c r="J22" s="23"/>
      <c r="K22" s="21"/>
      <c r="L22" s="22"/>
      <c r="M22" s="22"/>
      <c r="N22" s="24" t="s">
        <v>39</v>
      </c>
      <c r="O22" s="24"/>
      <c r="P22" s="24"/>
      <c r="Q22" s="24"/>
      <c r="R22" s="23"/>
      <c r="S22" s="131">
        <v>45306</v>
      </c>
      <c r="T22" s="25">
        <v>45678</v>
      </c>
      <c r="U22" s="26"/>
      <c r="V22" s="27"/>
      <c r="W22" s="28"/>
      <c r="X22" s="29" t="s">
        <v>67</v>
      </c>
    </row>
    <row r="23" spans="1:24" ht="11.4">
      <c r="A23" s="19">
        <f t="shared" si="1"/>
        <v>21</v>
      </c>
      <c r="B23" s="20"/>
      <c r="C23" s="20"/>
      <c r="D23" s="20"/>
      <c r="E23" s="30" t="s">
        <v>63</v>
      </c>
      <c r="F23" s="71" t="s">
        <v>42</v>
      </c>
      <c r="G23" s="21"/>
      <c r="H23" s="22"/>
      <c r="I23" s="22"/>
      <c r="J23" s="23"/>
      <c r="K23" s="21"/>
      <c r="L23" s="22"/>
      <c r="M23" s="22"/>
      <c r="N23" s="24"/>
      <c r="O23" s="24"/>
      <c r="P23" s="24"/>
      <c r="Q23" s="24" t="s">
        <v>39</v>
      </c>
      <c r="R23" s="23"/>
      <c r="S23" s="131">
        <v>45306</v>
      </c>
      <c r="T23" s="25">
        <v>45678</v>
      </c>
      <c r="U23" s="26"/>
      <c r="V23" s="27"/>
      <c r="W23" s="28"/>
      <c r="X23" s="29"/>
    </row>
    <row r="24" spans="1:24" ht="11.4">
      <c r="A24" s="19">
        <f t="shared" si="2"/>
        <v>22</v>
      </c>
      <c r="B24" s="20"/>
      <c r="C24" s="20"/>
      <c r="D24" s="20" t="s">
        <v>68</v>
      </c>
      <c r="E24" s="30" t="s">
        <v>47</v>
      </c>
      <c r="F24" s="71" t="s">
        <v>38</v>
      </c>
      <c r="G24" s="21"/>
      <c r="H24" s="22"/>
      <c r="I24" s="22"/>
      <c r="J24" s="23"/>
      <c r="K24" s="21"/>
      <c r="L24" s="22"/>
      <c r="M24" s="22"/>
      <c r="N24" s="24" t="s">
        <v>39</v>
      </c>
      <c r="O24" s="24"/>
      <c r="P24" s="24"/>
      <c r="Q24" s="24"/>
      <c r="R24" s="23"/>
      <c r="S24" s="131">
        <v>45306</v>
      </c>
      <c r="T24" s="25">
        <v>45678</v>
      </c>
      <c r="U24" s="26"/>
      <c r="V24" s="27"/>
      <c r="W24" s="28"/>
      <c r="X24" s="29" t="s">
        <v>69</v>
      </c>
    </row>
    <row r="25" spans="1:24" ht="11.4">
      <c r="A25" s="19">
        <f t="shared" si="1"/>
        <v>23</v>
      </c>
      <c r="B25" s="20"/>
      <c r="C25" s="20"/>
      <c r="D25" s="20"/>
      <c r="E25" s="30" t="s">
        <v>63</v>
      </c>
      <c r="F25" s="71" t="s">
        <v>42</v>
      </c>
      <c r="G25" s="21"/>
      <c r="H25" s="22"/>
      <c r="I25" s="22"/>
      <c r="J25" s="23"/>
      <c r="K25" s="21"/>
      <c r="L25" s="22"/>
      <c r="M25" s="22"/>
      <c r="N25" s="24"/>
      <c r="O25" s="24"/>
      <c r="P25" s="24"/>
      <c r="Q25" s="24" t="s">
        <v>39</v>
      </c>
      <c r="R25" s="23"/>
      <c r="S25" s="131">
        <v>45306</v>
      </c>
      <c r="T25" s="25">
        <v>45678</v>
      </c>
      <c r="U25" s="26"/>
      <c r="V25" s="27"/>
      <c r="W25" s="28"/>
      <c r="X25" s="29"/>
    </row>
    <row r="26" spans="1:24" ht="159.6">
      <c r="A26" s="19">
        <f t="shared" si="2"/>
        <v>24</v>
      </c>
      <c r="B26" s="20"/>
      <c r="C26" s="20"/>
      <c r="D26" s="30" t="s">
        <v>70</v>
      </c>
      <c r="E26" s="30" t="s">
        <v>52</v>
      </c>
      <c r="F26" s="71" t="s">
        <v>38</v>
      </c>
      <c r="G26" s="21"/>
      <c r="H26" s="22"/>
      <c r="I26" s="22"/>
      <c r="J26" s="23"/>
      <c r="K26" s="21"/>
      <c r="L26" s="22"/>
      <c r="M26" s="22"/>
      <c r="N26" s="24" t="s">
        <v>39</v>
      </c>
      <c r="O26" s="24"/>
      <c r="P26" s="24"/>
      <c r="Q26" s="24"/>
      <c r="R26" s="23"/>
      <c r="S26" s="131">
        <v>45306</v>
      </c>
      <c r="T26" s="25">
        <v>45678</v>
      </c>
      <c r="U26" s="26"/>
      <c r="V26" s="27"/>
      <c r="W26" s="28"/>
      <c r="X26" s="29" t="s">
        <v>71</v>
      </c>
    </row>
    <row r="27" spans="1:24" ht="11.4">
      <c r="A27" s="19">
        <f t="shared" si="1"/>
        <v>25</v>
      </c>
      <c r="B27" s="20"/>
      <c r="C27" s="20"/>
      <c r="D27" s="20"/>
      <c r="E27" s="30" t="s">
        <v>63</v>
      </c>
      <c r="F27" s="71" t="s">
        <v>42</v>
      </c>
      <c r="G27" s="21"/>
      <c r="H27" s="22"/>
      <c r="I27" s="22"/>
      <c r="J27" s="23"/>
      <c r="K27" s="21"/>
      <c r="L27" s="22"/>
      <c r="M27" s="22"/>
      <c r="N27" s="24"/>
      <c r="O27" s="24"/>
      <c r="P27" s="24"/>
      <c r="Q27" s="24" t="s">
        <v>39</v>
      </c>
      <c r="R27" s="23"/>
      <c r="S27" s="131">
        <v>45306</v>
      </c>
      <c r="T27" s="25">
        <v>45678</v>
      </c>
      <c r="U27" s="26"/>
      <c r="V27" s="27"/>
      <c r="W27" s="28"/>
      <c r="X27" s="29"/>
    </row>
    <row r="28" spans="1:24" ht="68.400000000000006">
      <c r="A28" s="19">
        <f t="shared" si="2"/>
        <v>26</v>
      </c>
      <c r="B28" s="20"/>
      <c r="C28" s="20"/>
      <c r="D28" s="30" t="s">
        <v>72</v>
      </c>
      <c r="E28" s="30" t="s">
        <v>55</v>
      </c>
      <c r="F28" s="71" t="s">
        <v>38</v>
      </c>
      <c r="G28" s="21"/>
      <c r="H28" s="22"/>
      <c r="I28" s="22"/>
      <c r="J28" s="23"/>
      <c r="K28" s="21"/>
      <c r="L28" s="22"/>
      <c r="M28" s="22"/>
      <c r="N28" s="24" t="s">
        <v>39</v>
      </c>
      <c r="O28" s="24"/>
      <c r="P28" s="24"/>
      <c r="Q28" s="24"/>
      <c r="R28" s="23"/>
      <c r="S28" s="131">
        <v>45306</v>
      </c>
      <c r="T28" s="25">
        <v>45678</v>
      </c>
      <c r="U28" s="26"/>
      <c r="V28" s="27"/>
      <c r="W28" s="28"/>
      <c r="X28" s="29" t="s">
        <v>73</v>
      </c>
    </row>
    <row r="29" spans="1:24" ht="11.4">
      <c r="A29" s="19">
        <f t="shared" si="1"/>
        <v>27</v>
      </c>
      <c r="B29" s="20"/>
      <c r="C29" s="20"/>
      <c r="D29" s="20"/>
      <c r="E29" s="30" t="s">
        <v>63</v>
      </c>
      <c r="F29" s="71" t="s">
        <v>42</v>
      </c>
      <c r="G29" s="21"/>
      <c r="H29" s="22"/>
      <c r="I29" s="22"/>
      <c r="J29" s="23"/>
      <c r="K29" s="21"/>
      <c r="L29" s="22"/>
      <c r="M29" s="22"/>
      <c r="N29" s="24"/>
      <c r="O29" s="24"/>
      <c r="P29" s="24"/>
      <c r="Q29" s="24" t="s">
        <v>39</v>
      </c>
      <c r="R29" s="23"/>
      <c r="S29" s="131">
        <v>45306</v>
      </c>
      <c r="T29" s="25">
        <v>45678</v>
      </c>
      <c r="U29" s="26"/>
      <c r="V29" s="27"/>
      <c r="W29" s="28"/>
      <c r="X29" s="29"/>
    </row>
    <row r="30" spans="1:24" ht="68.400000000000006">
      <c r="A30" s="19">
        <f t="shared" si="2"/>
        <v>28</v>
      </c>
      <c r="B30" s="20"/>
      <c r="C30" s="20"/>
      <c r="D30" s="30" t="s">
        <v>74</v>
      </c>
      <c r="E30" s="30" t="s">
        <v>58</v>
      </c>
      <c r="F30" s="71" t="s">
        <v>38</v>
      </c>
      <c r="G30" s="21"/>
      <c r="H30" s="22"/>
      <c r="I30" s="22"/>
      <c r="J30" s="23"/>
      <c r="K30" s="21"/>
      <c r="L30" s="22"/>
      <c r="M30" s="22"/>
      <c r="N30" s="24" t="s">
        <v>39</v>
      </c>
      <c r="O30" s="24"/>
      <c r="P30" s="24"/>
      <c r="Q30" s="24"/>
      <c r="R30" s="23"/>
      <c r="S30" s="131">
        <v>45306</v>
      </c>
      <c r="T30" s="25">
        <v>45678</v>
      </c>
      <c r="U30" s="26"/>
      <c r="V30" s="27"/>
      <c r="W30" s="28"/>
      <c r="X30" s="29" t="s">
        <v>75</v>
      </c>
    </row>
    <row r="31" spans="1:24" ht="11.4">
      <c r="A31" s="19">
        <f t="shared" si="1"/>
        <v>29</v>
      </c>
      <c r="B31" s="20"/>
      <c r="C31" s="20"/>
      <c r="D31" s="20"/>
      <c r="E31" s="30" t="s">
        <v>63</v>
      </c>
      <c r="F31" s="71" t="s">
        <v>42</v>
      </c>
      <c r="G31" s="21"/>
      <c r="H31" s="22"/>
      <c r="I31" s="22"/>
      <c r="J31" s="23"/>
      <c r="K31" s="21"/>
      <c r="L31" s="22"/>
      <c r="M31" s="22"/>
      <c r="N31" s="24"/>
      <c r="O31" s="24"/>
      <c r="P31" s="24"/>
      <c r="Q31" s="24" t="s">
        <v>39</v>
      </c>
      <c r="R31" s="23"/>
      <c r="S31" s="131">
        <v>45306</v>
      </c>
      <c r="T31" s="25">
        <v>45678</v>
      </c>
      <c r="U31" s="26"/>
      <c r="V31" s="27"/>
      <c r="W31" s="28"/>
      <c r="X31" s="29"/>
    </row>
    <row r="32" spans="1:24" ht="22.8">
      <c r="A32" s="19">
        <f t="shared" si="2"/>
        <v>30</v>
      </c>
      <c r="B32" s="20"/>
      <c r="C32" s="20"/>
      <c r="D32" s="20" t="s">
        <v>76</v>
      </c>
      <c r="E32" s="30" t="s">
        <v>77</v>
      </c>
      <c r="F32" s="71" t="s">
        <v>38</v>
      </c>
      <c r="G32" s="21"/>
      <c r="H32" s="22"/>
      <c r="I32" s="22"/>
      <c r="J32" s="23"/>
      <c r="K32" s="21"/>
      <c r="L32" s="22"/>
      <c r="M32" s="22"/>
      <c r="N32" s="24" t="s">
        <v>39</v>
      </c>
      <c r="O32" s="24"/>
      <c r="P32" s="24"/>
      <c r="Q32" s="24"/>
      <c r="R32" s="23"/>
      <c r="S32" s="131">
        <v>45307</v>
      </c>
      <c r="T32" s="25">
        <v>45678</v>
      </c>
      <c r="U32" s="26"/>
      <c r="V32" s="27"/>
      <c r="W32" s="28"/>
      <c r="X32" s="29" t="s">
        <v>78</v>
      </c>
    </row>
    <row r="33" spans="1:24" ht="11.4">
      <c r="A33" s="19">
        <f t="shared" si="1"/>
        <v>31</v>
      </c>
      <c r="B33" s="20"/>
      <c r="C33" s="20"/>
      <c r="D33" s="20"/>
      <c r="E33" s="30" t="s">
        <v>63</v>
      </c>
      <c r="F33" s="71" t="s">
        <v>42</v>
      </c>
      <c r="G33" s="21"/>
      <c r="H33" s="22"/>
      <c r="I33" s="22"/>
      <c r="J33" s="23"/>
      <c r="K33" s="21"/>
      <c r="L33" s="22"/>
      <c r="M33" s="22"/>
      <c r="N33" s="24"/>
      <c r="O33" s="24"/>
      <c r="P33" s="24"/>
      <c r="Q33" s="24" t="s">
        <v>39</v>
      </c>
      <c r="R33" s="23"/>
      <c r="S33" s="131">
        <v>45307</v>
      </c>
      <c r="T33" s="25">
        <v>45678</v>
      </c>
      <c r="U33" s="26"/>
      <c r="V33" s="27"/>
      <c r="W33" s="28"/>
      <c r="X33" s="29"/>
    </row>
    <row r="34" spans="1:24" ht="159.6">
      <c r="A34" s="19">
        <f t="shared" si="2"/>
        <v>32</v>
      </c>
      <c r="B34" s="20"/>
      <c r="C34" s="20"/>
      <c r="D34" s="30" t="s">
        <v>79</v>
      </c>
      <c r="E34" s="30" t="s">
        <v>61</v>
      </c>
      <c r="F34" s="71" t="s">
        <v>38</v>
      </c>
      <c r="G34" s="21"/>
      <c r="H34" s="22"/>
      <c r="I34" s="22"/>
      <c r="J34" s="23"/>
      <c r="K34" s="21"/>
      <c r="L34" s="22"/>
      <c r="M34" s="22"/>
      <c r="N34" s="24" t="s">
        <v>39</v>
      </c>
      <c r="O34" s="24"/>
      <c r="P34" s="24"/>
      <c r="Q34" s="24"/>
      <c r="R34" s="23"/>
      <c r="S34" s="131">
        <v>45307</v>
      </c>
      <c r="T34" s="25">
        <v>45678</v>
      </c>
      <c r="U34" s="26"/>
      <c r="V34" s="27"/>
      <c r="W34" s="28"/>
      <c r="X34" s="29" t="s">
        <v>80</v>
      </c>
    </row>
    <row r="35" spans="1:24" ht="11.4">
      <c r="A35" s="19">
        <f t="shared" si="1"/>
        <v>33</v>
      </c>
      <c r="B35" s="20"/>
      <c r="C35" s="20"/>
      <c r="D35" s="20"/>
      <c r="E35" s="30" t="s">
        <v>63</v>
      </c>
      <c r="F35" s="71" t="s">
        <v>42</v>
      </c>
      <c r="G35" s="21"/>
      <c r="H35" s="22"/>
      <c r="I35" s="22"/>
      <c r="J35" s="23"/>
      <c r="K35" s="21"/>
      <c r="L35" s="22"/>
      <c r="M35" s="22"/>
      <c r="N35" s="24"/>
      <c r="O35" s="24"/>
      <c r="P35" s="24"/>
      <c r="Q35" s="24" t="s">
        <v>39</v>
      </c>
      <c r="R35" s="23"/>
      <c r="S35" s="131">
        <v>45307</v>
      </c>
      <c r="T35" s="25">
        <v>45678</v>
      </c>
      <c r="U35" s="26"/>
      <c r="V35" s="27"/>
      <c r="W35" s="28"/>
      <c r="X35" s="29"/>
    </row>
    <row r="36" spans="1:24" ht="22.8">
      <c r="A36" s="19">
        <f t="shared" si="2"/>
        <v>34</v>
      </c>
      <c r="B36" s="20"/>
      <c r="C36" s="20"/>
      <c r="D36" s="30" t="s">
        <v>81</v>
      </c>
      <c r="E36" s="30" t="s">
        <v>47</v>
      </c>
      <c r="F36" s="71" t="s">
        <v>38</v>
      </c>
      <c r="G36" s="21"/>
      <c r="H36" s="22"/>
      <c r="I36" s="22"/>
      <c r="J36" s="23"/>
      <c r="K36" s="21"/>
      <c r="L36" s="22"/>
      <c r="M36" s="22"/>
      <c r="N36" s="24" t="s">
        <v>39</v>
      </c>
      <c r="O36" s="24"/>
      <c r="P36" s="24"/>
      <c r="Q36" s="24"/>
      <c r="R36" s="23"/>
      <c r="S36" s="131">
        <v>45307</v>
      </c>
      <c r="T36" s="25">
        <v>45678</v>
      </c>
      <c r="U36" s="26"/>
      <c r="V36" s="27"/>
      <c r="W36" s="28"/>
      <c r="X36" s="29" t="s">
        <v>82</v>
      </c>
    </row>
    <row r="37" spans="1:24" ht="11.4">
      <c r="A37" s="19">
        <f t="shared" si="1"/>
        <v>35</v>
      </c>
      <c r="B37" s="20"/>
      <c r="C37" s="20"/>
      <c r="D37" s="20"/>
      <c r="E37" s="30" t="s">
        <v>63</v>
      </c>
      <c r="F37" s="71" t="s">
        <v>42</v>
      </c>
      <c r="G37" s="21"/>
      <c r="H37" s="22"/>
      <c r="I37" s="22"/>
      <c r="J37" s="23"/>
      <c r="K37" s="21"/>
      <c r="L37" s="22"/>
      <c r="M37" s="22"/>
      <c r="N37" s="24"/>
      <c r="O37" s="24"/>
      <c r="P37" s="24"/>
      <c r="Q37" s="24" t="s">
        <v>39</v>
      </c>
      <c r="R37" s="23"/>
      <c r="S37" s="131">
        <v>45307</v>
      </c>
      <c r="T37" s="25">
        <v>45678</v>
      </c>
      <c r="U37" s="26"/>
      <c r="V37" s="27"/>
      <c r="W37" s="28"/>
      <c r="X37" s="29"/>
    </row>
    <row r="38" spans="1:24" ht="159.6">
      <c r="A38" s="19">
        <f t="shared" si="2"/>
        <v>36</v>
      </c>
      <c r="B38" s="20"/>
      <c r="C38" s="20"/>
      <c r="D38" s="30" t="s">
        <v>83</v>
      </c>
      <c r="E38" s="30" t="s">
        <v>61</v>
      </c>
      <c r="F38" s="71" t="s">
        <v>38</v>
      </c>
      <c r="G38" s="21"/>
      <c r="H38" s="22"/>
      <c r="I38" s="22"/>
      <c r="J38" s="23"/>
      <c r="K38" s="21"/>
      <c r="L38" s="22"/>
      <c r="M38" s="22"/>
      <c r="N38" s="24" t="s">
        <v>39</v>
      </c>
      <c r="O38" s="24"/>
      <c r="P38" s="24"/>
      <c r="Q38" s="24"/>
      <c r="R38" s="23"/>
      <c r="S38" s="131">
        <v>45307</v>
      </c>
      <c r="T38" s="25">
        <v>45678</v>
      </c>
      <c r="U38" s="26"/>
      <c r="V38" s="27"/>
      <c r="W38" s="28"/>
      <c r="X38" s="29" t="s">
        <v>84</v>
      </c>
    </row>
    <row r="39" spans="1:24" ht="11.4">
      <c r="A39" s="19">
        <f t="shared" si="1"/>
        <v>37</v>
      </c>
      <c r="B39" s="20"/>
      <c r="C39" s="20"/>
      <c r="D39" s="20"/>
      <c r="E39" s="30" t="s">
        <v>63</v>
      </c>
      <c r="F39" s="71" t="s">
        <v>42</v>
      </c>
      <c r="G39" s="21"/>
      <c r="H39" s="22"/>
      <c r="I39" s="22"/>
      <c r="J39" s="23"/>
      <c r="K39" s="21"/>
      <c r="L39" s="22"/>
      <c r="M39" s="22"/>
      <c r="N39" s="24"/>
      <c r="O39" s="24"/>
      <c r="P39" s="24"/>
      <c r="Q39" s="24" t="s">
        <v>39</v>
      </c>
      <c r="R39" s="23"/>
      <c r="S39" s="131">
        <v>45307</v>
      </c>
      <c r="T39" s="25">
        <v>45678</v>
      </c>
      <c r="U39" s="26"/>
      <c r="V39" s="27"/>
      <c r="W39" s="28"/>
      <c r="X39" s="29"/>
    </row>
    <row r="40" spans="1:24" ht="68.400000000000006">
      <c r="A40" s="19">
        <f t="shared" si="0"/>
        <v>38</v>
      </c>
      <c r="B40" s="20"/>
      <c r="C40" s="20"/>
      <c r="D40" s="30" t="s">
        <v>85</v>
      </c>
      <c r="E40" s="30" t="s">
        <v>58</v>
      </c>
      <c r="F40" s="71" t="s">
        <v>38</v>
      </c>
      <c r="G40" s="21"/>
      <c r="H40" s="22"/>
      <c r="I40" s="22"/>
      <c r="J40" s="23"/>
      <c r="K40" s="21"/>
      <c r="L40" s="22"/>
      <c r="M40" s="22"/>
      <c r="N40" s="24" t="s">
        <v>39</v>
      </c>
      <c r="O40" s="24"/>
      <c r="P40" s="24"/>
      <c r="Q40" s="24"/>
      <c r="R40" s="23"/>
      <c r="S40" s="131">
        <v>45307</v>
      </c>
      <c r="T40" s="25">
        <v>45680</v>
      </c>
      <c r="U40" s="26"/>
      <c r="V40" s="27"/>
      <c r="W40" s="28"/>
      <c r="X40" s="29" t="s">
        <v>86</v>
      </c>
    </row>
    <row r="41" spans="1:24" ht="11.4">
      <c r="A41" s="19">
        <f t="shared" si="1"/>
        <v>39</v>
      </c>
      <c r="B41" s="20"/>
      <c r="C41" s="20"/>
      <c r="D41" s="20"/>
      <c r="E41" s="30" t="s">
        <v>63</v>
      </c>
      <c r="F41" s="71" t="s">
        <v>42</v>
      </c>
      <c r="G41" s="21"/>
      <c r="H41" s="22"/>
      <c r="I41" s="22"/>
      <c r="J41" s="23"/>
      <c r="K41" s="21"/>
      <c r="L41" s="22"/>
      <c r="M41" s="22"/>
      <c r="N41" s="24"/>
      <c r="O41" s="24"/>
      <c r="P41" s="24"/>
      <c r="Q41" s="24" t="s">
        <v>39</v>
      </c>
      <c r="R41" s="23"/>
      <c r="S41" s="131">
        <v>45307</v>
      </c>
      <c r="T41" s="25">
        <v>45680</v>
      </c>
      <c r="U41" s="26"/>
      <c r="V41" s="27"/>
      <c r="W41" s="28"/>
      <c r="X41" s="29"/>
    </row>
    <row r="42" spans="1:24" ht="68.400000000000006">
      <c r="A42" s="19">
        <f t="shared" si="0"/>
        <v>40</v>
      </c>
      <c r="B42" s="20"/>
      <c r="C42" s="20"/>
      <c r="D42" s="30" t="s">
        <v>87</v>
      </c>
      <c r="E42" s="30" t="s">
        <v>58</v>
      </c>
      <c r="F42" s="71" t="s">
        <v>38</v>
      </c>
      <c r="G42" s="21"/>
      <c r="H42" s="22"/>
      <c r="I42" s="22"/>
      <c r="J42" s="23"/>
      <c r="K42" s="21"/>
      <c r="L42" s="22"/>
      <c r="M42" s="22"/>
      <c r="N42" s="24" t="s">
        <v>39</v>
      </c>
      <c r="O42" s="24"/>
      <c r="P42" s="24"/>
      <c r="Q42" s="24"/>
      <c r="R42" s="23"/>
      <c r="S42" s="131">
        <v>45307</v>
      </c>
      <c r="T42" s="25">
        <v>45680</v>
      </c>
      <c r="U42" s="26"/>
      <c r="V42" s="27"/>
      <c r="W42" s="28"/>
      <c r="X42" s="29" t="s">
        <v>88</v>
      </c>
    </row>
    <row r="43" spans="1:24" ht="11.4">
      <c r="A43" s="19">
        <f t="shared" si="1"/>
        <v>41</v>
      </c>
      <c r="B43" s="20"/>
      <c r="C43" s="20"/>
      <c r="D43" s="20"/>
      <c r="E43" s="30" t="s">
        <v>63</v>
      </c>
      <c r="F43" s="71" t="s">
        <v>42</v>
      </c>
      <c r="G43" s="21"/>
      <c r="H43" s="22"/>
      <c r="I43" s="22"/>
      <c r="J43" s="23"/>
      <c r="K43" s="21"/>
      <c r="L43" s="22"/>
      <c r="M43" s="22"/>
      <c r="N43" s="24"/>
      <c r="O43" s="24"/>
      <c r="P43" s="24"/>
      <c r="Q43" s="24" t="s">
        <v>39</v>
      </c>
      <c r="R43" s="23"/>
      <c r="S43" s="131">
        <v>45307</v>
      </c>
      <c r="T43" s="25">
        <v>45680</v>
      </c>
      <c r="U43" s="26"/>
      <c r="V43" s="27"/>
      <c r="W43" s="28"/>
      <c r="X43" s="29"/>
    </row>
    <row r="44" spans="1:24" ht="159.6">
      <c r="A44" s="19">
        <f t="shared" si="0"/>
        <v>42</v>
      </c>
      <c r="B44" s="20"/>
      <c r="C44" s="20"/>
      <c r="D44" s="20" t="s">
        <v>89</v>
      </c>
      <c r="E44" s="30" t="s">
        <v>61</v>
      </c>
      <c r="F44" s="71" t="s">
        <v>38</v>
      </c>
      <c r="G44" s="21"/>
      <c r="H44" s="22"/>
      <c r="I44" s="22"/>
      <c r="J44" s="23"/>
      <c r="K44" s="21"/>
      <c r="L44" s="22"/>
      <c r="M44" s="22"/>
      <c r="N44" s="24" t="s">
        <v>39</v>
      </c>
      <c r="O44" s="24"/>
      <c r="P44" s="24"/>
      <c r="Q44" s="24"/>
      <c r="R44" s="23"/>
      <c r="S44" s="131">
        <v>45307</v>
      </c>
      <c r="T44" s="25">
        <v>45680</v>
      </c>
      <c r="U44" s="26"/>
      <c r="V44" s="27"/>
      <c r="W44" s="28"/>
      <c r="X44" s="29" t="s">
        <v>90</v>
      </c>
    </row>
    <row r="45" spans="1:24" ht="11.4">
      <c r="A45" s="19">
        <f t="shared" si="1"/>
        <v>43</v>
      </c>
      <c r="B45" s="20"/>
      <c r="C45" s="20"/>
      <c r="D45" s="20"/>
      <c r="E45" s="30" t="s">
        <v>63</v>
      </c>
      <c r="F45" s="71" t="s">
        <v>42</v>
      </c>
      <c r="G45" s="21"/>
      <c r="H45" s="22"/>
      <c r="I45" s="22"/>
      <c r="J45" s="23"/>
      <c r="K45" s="21"/>
      <c r="L45" s="22"/>
      <c r="M45" s="22"/>
      <c r="N45" s="24"/>
      <c r="O45" s="24"/>
      <c r="P45" s="24"/>
      <c r="Q45" s="24" t="s">
        <v>39</v>
      </c>
      <c r="R45" s="23"/>
      <c r="S45" s="131">
        <v>45307</v>
      </c>
      <c r="T45" s="25">
        <v>45680</v>
      </c>
      <c r="U45" s="26"/>
      <c r="V45" s="27"/>
      <c r="W45" s="28"/>
      <c r="X45" s="29"/>
    </row>
    <row r="46" spans="1:24" ht="159.6">
      <c r="A46" s="19">
        <f t="shared" si="0"/>
        <v>44</v>
      </c>
      <c r="B46" s="20"/>
      <c r="C46" s="20"/>
      <c r="D46" s="20" t="s">
        <v>91</v>
      </c>
      <c r="E46" s="30" t="s">
        <v>61</v>
      </c>
      <c r="F46" s="71" t="s">
        <v>38</v>
      </c>
      <c r="G46" s="21"/>
      <c r="H46" s="22"/>
      <c r="I46" s="22"/>
      <c r="J46" s="23"/>
      <c r="K46" s="21"/>
      <c r="L46" s="22"/>
      <c r="M46" s="22"/>
      <c r="N46" s="24" t="s">
        <v>39</v>
      </c>
      <c r="O46" s="24"/>
      <c r="P46" s="24"/>
      <c r="Q46" s="24"/>
      <c r="R46" s="23"/>
      <c r="S46" s="131">
        <v>45307</v>
      </c>
      <c r="T46" s="25">
        <v>45684</v>
      </c>
      <c r="U46" s="26"/>
      <c r="V46" s="27"/>
      <c r="W46" s="28"/>
      <c r="X46" s="29" t="s">
        <v>92</v>
      </c>
    </row>
    <row r="47" spans="1:24" ht="11.4">
      <c r="A47" s="19">
        <f t="shared" si="1"/>
        <v>45</v>
      </c>
      <c r="B47" s="20"/>
      <c r="C47" s="20"/>
      <c r="D47" s="20"/>
      <c r="E47" s="30" t="s">
        <v>63</v>
      </c>
      <c r="F47" s="71" t="s">
        <v>42</v>
      </c>
      <c r="G47" s="21"/>
      <c r="H47" s="22"/>
      <c r="I47" s="22"/>
      <c r="J47" s="23"/>
      <c r="K47" s="21"/>
      <c r="L47" s="22"/>
      <c r="M47" s="22"/>
      <c r="N47" s="24"/>
      <c r="O47" s="24"/>
      <c r="P47" s="24"/>
      <c r="Q47" s="24" t="s">
        <v>39</v>
      </c>
      <c r="R47" s="23"/>
      <c r="S47" s="131">
        <v>45307</v>
      </c>
      <c r="T47" s="25">
        <v>45684</v>
      </c>
      <c r="U47" s="26"/>
      <c r="V47" s="27"/>
      <c r="W47" s="28"/>
      <c r="X47" s="29"/>
    </row>
    <row r="48" spans="1:24" ht="22.8">
      <c r="A48" s="19">
        <f t="shared" si="0"/>
        <v>46</v>
      </c>
      <c r="B48" s="20"/>
      <c r="C48" s="20"/>
      <c r="D48" s="96" t="s">
        <v>93</v>
      </c>
      <c r="E48" s="30" t="s">
        <v>94</v>
      </c>
      <c r="F48" s="71" t="s">
        <v>38</v>
      </c>
      <c r="G48" s="21"/>
      <c r="H48" s="22"/>
      <c r="I48" s="22"/>
      <c r="J48" s="23"/>
      <c r="K48" s="21"/>
      <c r="L48" s="22"/>
      <c r="M48" s="22"/>
      <c r="N48" s="24" t="s">
        <v>95</v>
      </c>
      <c r="O48" s="24"/>
      <c r="P48" s="24"/>
      <c r="Q48" s="24"/>
      <c r="R48" s="23"/>
      <c r="S48" s="131">
        <v>45307</v>
      </c>
      <c r="T48" s="138"/>
      <c r="U48" s="139"/>
      <c r="V48" s="140"/>
      <c r="W48" s="28"/>
      <c r="X48" s="29" t="s">
        <v>96</v>
      </c>
    </row>
    <row r="49" spans="1:24" ht="11.4">
      <c r="A49" s="19">
        <f t="shared" si="0"/>
        <v>47</v>
      </c>
      <c r="B49" s="20"/>
      <c r="D49" s="20"/>
      <c r="E49" s="30" t="s">
        <v>63</v>
      </c>
      <c r="F49" s="71" t="s">
        <v>42</v>
      </c>
      <c r="G49" s="21"/>
      <c r="H49" s="22"/>
      <c r="I49" s="22"/>
      <c r="J49" s="23"/>
      <c r="K49" s="21"/>
      <c r="L49" s="22"/>
      <c r="M49" s="22"/>
      <c r="N49" s="24"/>
      <c r="O49" s="24"/>
      <c r="P49" s="24"/>
      <c r="Q49" s="24" t="s">
        <v>95</v>
      </c>
      <c r="R49" s="23"/>
      <c r="S49" s="131">
        <v>45307</v>
      </c>
      <c r="T49" s="138"/>
      <c r="U49" s="139"/>
      <c r="V49" s="140"/>
      <c r="W49" s="28"/>
      <c r="X49" s="29"/>
    </row>
    <row r="50" spans="1:24" ht="22.8">
      <c r="A50" s="19">
        <f t="shared" si="0"/>
        <v>48</v>
      </c>
      <c r="B50" s="20"/>
      <c r="C50" s="20"/>
      <c r="D50" s="30" t="s">
        <v>97</v>
      </c>
      <c r="E50" s="30" t="s">
        <v>98</v>
      </c>
      <c r="F50" s="71" t="s">
        <v>38</v>
      </c>
      <c r="G50" s="21"/>
      <c r="H50" s="22"/>
      <c r="I50" s="22"/>
      <c r="J50" s="23"/>
      <c r="K50" s="21"/>
      <c r="L50" s="22"/>
      <c r="M50" s="22"/>
      <c r="N50" s="24" t="s">
        <v>39</v>
      </c>
      <c r="O50" s="24"/>
      <c r="P50" s="24"/>
      <c r="Q50" s="24"/>
      <c r="R50" s="23"/>
      <c r="S50" s="131">
        <v>45307</v>
      </c>
      <c r="T50" s="25">
        <v>45680</v>
      </c>
      <c r="U50" s="26"/>
      <c r="V50" s="27"/>
      <c r="W50" s="28"/>
      <c r="X50" s="29" t="s">
        <v>99</v>
      </c>
    </row>
    <row r="51" spans="1:24" ht="11.4">
      <c r="A51" s="19">
        <f t="shared" si="0"/>
        <v>49</v>
      </c>
      <c r="B51" s="20"/>
      <c r="C51" s="20"/>
      <c r="D51" s="20"/>
      <c r="E51" s="30" t="s">
        <v>63</v>
      </c>
      <c r="F51" s="71" t="s">
        <v>42</v>
      </c>
      <c r="G51" s="21"/>
      <c r="H51" s="22"/>
      <c r="I51" s="22"/>
      <c r="J51" s="23"/>
      <c r="K51" s="21"/>
      <c r="L51" s="22"/>
      <c r="M51" s="22"/>
      <c r="N51" s="24"/>
      <c r="O51" s="24"/>
      <c r="P51" s="24"/>
      <c r="Q51" s="24" t="s">
        <v>39</v>
      </c>
      <c r="R51" s="23"/>
      <c r="S51" s="131">
        <v>45307</v>
      </c>
      <c r="T51" s="25">
        <v>45680</v>
      </c>
      <c r="U51" s="26"/>
      <c r="V51" s="27"/>
      <c r="W51" s="28"/>
      <c r="X51" s="29"/>
    </row>
    <row r="52" spans="1:24" ht="22.8">
      <c r="A52" s="19">
        <f t="shared" si="0"/>
        <v>50</v>
      </c>
      <c r="B52" s="31"/>
      <c r="C52" s="31"/>
      <c r="D52" s="96" t="s">
        <v>100</v>
      </c>
      <c r="E52" s="30" t="s">
        <v>101</v>
      </c>
      <c r="F52" s="71" t="s">
        <v>38</v>
      </c>
      <c r="G52" s="21"/>
      <c r="H52" s="22"/>
      <c r="I52" s="22"/>
      <c r="J52" s="23"/>
      <c r="K52" s="21"/>
      <c r="L52" s="22"/>
      <c r="M52" s="22"/>
      <c r="N52" s="24" t="s">
        <v>39</v>
      </c>
      <c r="O52" s="24"/>
      <c r="P52" s="24"/>
      <c r="Q52" s="24"/>
      <c r="R52" s="23"/>
      <c r="S52" s="131">
        <v>45307</v>
      </c>
      <c r="T52" s="25">
        <v>45680</v>
      </c>
      <c r="U52" s="26"/>
      <c r="V52" s="27"/>
      <c r="W52" s="28"/>
      <c r="X52" s="29" t="s">
        <v>102</v>
      </c>
    </row>
    <row r="53" spans="1:24" ht="11.4">
      <c r="A53" s="19">
        <f t="shared" si="0"/>
        <v>51</v>
      </c>
      <c r="B53" s="20"/>
      <c r="C53" s="20"/>
      <c r="D53" s="97"/>
      <c r="E53" s="30" t="s">
        <v>63</v>
      </c>
      <c r="F53" s="71" t="s">
        <v>42</v>
      </c>
      <c r="G53" s="21"/>
      <c r="H53" s="22"/>
      <c r="I53" s="22"/>
      <c r="J53" s="23"/>
      <c r="K53" s="21"/>
      <c r="L53" s="22"/>
      <c r="M53" s="22"/>
      <c r="N53" s="24"/>
      <c r="O53" s="24"/>
      <c r="P53" s="24"/>
      <c r="Q53" s="24" t="s">
        <v>39</v>
      </c>
      <c r="R53" s="23"/>
      <c r="S53" s="131">
        <v>45307</v>
      </c>
      <c r="T53" s="25">
        <v>45680</v>
      </c>
      <c r="U53" s="26"/>
      <c r="V53" s="27"/>
      <c r="W53" s="28"/>
      <c r="X53" s="29"/>
    </row>
    <row r="54" spans="1:24" ht="22.8">
      <c r="A54" s="19">
        <f t="shared" si="0"/>
        <v>52</v>
      </c>
      <c r="B54" s="31"/>
      <c r="C54" s="31"/>
      <c r="D54" s="96" t="s">
        <v>103</v>
      </c>
      <c r="E54" s="30" t="s">
        <v>101</v>
      </c>
      <c r="F54" s="71" t="s">
        <v>38</v>
      </c>
      <c r="G54" s="21"/>
      <c r="H54" s="22"/>
      <c r="I54" s="22"/>
      <c r="J54" s="23"/>
      <c r="K54" s="21"/>
      <c r="L54" s="22"/>
      <c r="M54" s="22"/>
      <c r="N54" s="24" t="s">
        <v>39</v>
      </c>
      <c r="O54" s="24"/>
      <c r="P54" s="24"/>
      <c r="Q54" s="24"/>
      <c r="R54" s="23"/>
      <c r="S54" s="131">
        <v>45307</v>
      </c>
      <c r="T54" s="25">
        <v>45680</v>
      </c>
      <c r="U54" s="26"/>
      <c r="V54" s="27"/>
      <c r="W54" s="28"/>
      <c r="X54" s="29" t="s">
        <v>104</v>
      </c>
    </row>
    <row r="55" spans="1:24" ht="11.4">
      <c r="A55" s="19">
        <f t="shared" si="0"/>
        <v>53</v>
      </c>
      <c r="B55" s="20"/>
      <c r="C55" s="20" t="s">
        <v>946</v>
      </c>
      <c r="D55" s="97"/>
      <c r="E55" s="30" t="s">
        <v>63</v>
      </c>
      <c r="F55" s="71" t="s">
        <v>42</v>
      </c>
      <c r="G55" s="21"/>
      <c r="H55" s="22"/>
      <c r="I55" s="22"/>
      <c r="J55" s="23"/>
      <c r="K55" s="21"/>
      <c r="L55" s="22"/>
      <c r="M55" s="22"/>
      <c r="N55" s="24"/>
      <c r="O55" s="24"/>
      <c r="P55" s="24"/>
      <c r="Q55" s="24" t="s">
        <v>39</v>
      </c>
      <c r="R55" s="23"/>
      <c r="S55" s="131">
        <v>45307</v>
      </c>
      <c r="T55" s="25">
        <v>45680</v>
      </c>
      <c r="U55" s="26"/>
      <c r="V55" s="27"/>
      <c r="W55" s="28"/>
      <c r="X55" s="29"/>
    </row>
    <row r="56" spans="1:24" ht="22.8">
      <c r="A56" s="19">
        <f t="shared" si="0"/>
        <v>54</v>
      </c>
      <c r="B56" s="31"/>
      <c r="C56" s="31"/>
      <c r="D56" s="96" t="s">
        <v>105</v>
      </c>
      <c r="E56" s="30" t="s">
        <v>101</v>
      </c>
      <c r="F56" s="71" t="s">
        <v>38</v>
      </c>
      <c r="G56" s="21"/>
      <c r="H56" s="22"/>
      <c r="I56" s="22"/>
      <c r="J56" s="23"/>
      <c r="K56" s="21"/>
      <c r="L56" s="22"/>
      <c r="M56" s="22"/>
      <c r="N56" s="24" t="s">
        <v>39</v>
      </c>
      <c r="O56" s="24"/>
      <c r="P56" s="24"/>
      <c r="Q56" s="24"/>
      <c r="R56" s="23"/>
      <c r="S56" s="131">
        <v>45308</v>
      </c>
      <c r="T56" s="25">
        <v>45680</v>
      </c>
      <c r="U56" s="26"/>
      <c r="V56" s="27"/>
      <c r="W56" s="28"/>
      <c r="X56" s="29" t="s">
        <v>106</v>
      </c>
    </row>
    <row r="57" spans="1:24" ht="11.4">
      <c r="A57" s="19">
        <f t="shared" si="0"/>
        <v>55</v>
      </c>
      <c r="B57" s="20"/>
      <c r="C57" s="20"/>
      <c r="D57" s="97"/>
      <c r="E57" s="30" t="s">
        <v>63</v>
      </c>
      <c r="F57" s="71" t="s">
        <v>42</v>
      </c>
      <c r="G57" s="21"/>
      <c r="H57" s="22"/>
      <c r="I57" s="22"/>
      <c r="J57" s="23"/>
      <c r="K57" s="21"/>
      <c r="L57" s="22"/>
      <c r="M57" s="22"/>
      <c r="N57" s="24"/>
      <c r="O57" s="24"/>
      <c r="P57" s="24"/>
      <c r="Q57" s="24" t="s">
        <v>39</v>
      </c>
      <c r="R57" s="23"/>
      <c r="S57" s="131">
        <v>45308</v>
      </c>
      <c r="T57" s="25">
        <v>45680</v>
      </c>
      <c r="U57" s="26"/>
      <c r="V57" s="27"/>
      <c r="W57" s="28"/>
      <c r="X57" s="29"/>
    </row>
    <row r="58" spans="1:24" ht="22.8">
      <c r="A58" s="19">
        <f t="shared" si="0"/>
        <v>56</v>
      </c>
      <c r="B58" s="31"/>
      <c r="C58" s="31"/>
      <c r="D58" s="96" t="s">
        <v>107</v>
      </c>
      <c r="E58" s="30" t="s">
        <v>101</v>
      </c>
      <c r="F58" s="71" t="s">
        <v>38</v>
      </c>
      <c r="G58" s="21"/>
      <c r="H58" s="22"/>
      <c r="I58" s="22"/>
      <c r="J58" s="23"/>
      <c r="K58" s="21"/>
      <c r="L58" s="22"/>
      <c r="M58" s="22"/>
      <c r="N58" s="24" t="s">
        <v>39</v>
      </c>
      <c r="O58" s="24"/>
      <c r="P58" s="24"/>
      <c r="Q58" s="24"/>
      <c r="R58" s="23"/>
      <c r="S58" s="131">
        <v>45308</v>
      </c>
      <c r="T58" s="25">
        <v>45684</v>
      </c>
      <c r="U58" s="26"/>
      <c r="V58" s="27"/>
      <c r="W58" s="28"/>
      <c r="X58" s="29" t="s">
        <v>108</v>
      </c>
    </row>
    <row r="59" spans="1:24" ht="11.4">
      <c r="A59" s="19">
        <f t="shared" si="0"/>
        <v>57</v>
      </c>
      <c r="B59" s="20"/>
      <c r="C59" s="20"/>
      <c r="D59" s="97"/>
      <c r="E59" s="30" t="s">
        <v>63</v>
      </c>
      <c r="F59" s="71" t="s">
        <v>42</v>
      </c>
      <c r="G59" s="21"/>
      <c r="H59" s="22"/>
      <c r="I59" s="22"/>
      <c r="J59" s="23"/>
      <c r="K59" s="21"/>
      <c r="L59" s="22"/>
      <c r="M59" s="22"/>
      <c r="N59" s="24"/>
      <c r="O59" s="24"/>
      <c r="P59" s="24"/>
      <c r="Q59" s="24" t="s">
        <v>39</v>
      </c>
      <c r="R59" s="23"/>
      <c r="S59" s="131">
        <v>45308</v>
      </c>
      <c r="T59" s="25">
        <v>45684</v>
      </c>
      <c r="U59" s="26"/>
      <c r="V59" s="27"/>
      <c r="W59" s="28"/>
      <c r="X59" s="29"/>
    </row>
    <row r="60" spans="1:24" ht="22.8">
      <c r="A60" s="19">
        <f t="shared" si="0"/>
        <v>58</v>
      </c>
      <c r="B60" s="31"/>
      <c r="C60" s="20"/>
      <c r="D60" s="97" t="s">
        <v>109</v>
      </c>
      <c r="E60" s="30" t="s">
        <v>101</v>
      </c>
      <c r="F60" s="71" t="s">
        <v>38</v>
      </c>
      <c r="G60" s="21"/>
      <c r="H60" s="22"/>
      <c r="I60" s="22"/>
      <c r="J60" s="23"/>
      <c r="K60" s="21"/>
      <c r="L60" s="22"/>
      <c r="M60" s="22"/>
      <c r="N60" s="24" t="s">
        <v>39</v>
      </c>
      <c r="O60" s="24"/>
      <c r="P60" s="24"/>
      <c r="Q60" s="24"/>
      <c r="R60" s="23"/>
      <c r="S60" s="131">
        <v>45308</v>
      </c>
      <c r="T60" s="25">
        <v>45684</v>
      </c>
      <c r="U60" s="26"/>
      <c r="V60" s="27"/>
      <c r="W60" s="28"/>
      <c r="X60" s="29" t="s">
        <v>110</v>
      </c>
    </row>
    <row r="61" spans="1:24" ht="11.4">
      <c r="A61" s="19">
        <f t="shared" si="0"/>
        <v>59</v>
      </c>
      <c r="B61" s="20"/>
      <c r="C61" s="20"/>
      <c r="D61" s="97"/>
      <c r="E61" s="30" t="s">
        <v>63</v>
      </c>
      <c r="F61" s="71" t="s">
        <v>42</v>
      </c>
      <c r="G61" s="21"/>
      <c r="H61" s="22"/>
      <c r="I61" s="22"/>
      <c r="J61" s="23"/>
      <c r="K61" s="21"/>
      <c r="L61" s="22"/>
      <c r="M61" s="22"/>
      <c r="N61" s="24"/>
      <c r="O61" s="24"/>
      <c r="P61" s="24"/>
      <c r="Q61" s="24" t="s">
        <v>39</v>
      </c>
      <c r="R61" s="23"/>
      <c r="S61" s="131">
        <v>45308</v>
      </c>
      <c r="T61" s="25">
        <v>45684</v>
      </c>
      <c r="U61" s="26"/>
      <c r="V61" s="27"/>
      <c r="W61" s="28"/>
      <c r="X61" s="29"/>
    </row>
    <row r="62" spans="1:24" ht="22.8">
      <c r="A62" s="19">
        <f t="shared" si="0"/>
        <v>60</v>
      </c>
      <c r="B62" s="31"/>
      <c r="C62" s="20"/>
      <c r="D62" s="20" t="s">
        <v>111</v>
      </c>
      <c r="E62" s="30" t="s">
        <v>112</v>
      </c>
      <c r="F62" s="71" t="s">
        <v>38</v>
      </c>
      <c r="G62" s="21"/>
      <c r="H62" s="22"/>
      <c r="I62" s="22" t="s">
        <v>113</v>
      </c>
      <c r="J62" s="23"/>
      <c r="K62" s="21"/>
      <c r="L62" s="22"/>
      <c r="M62" s="22"/>
      <c r="N62" s="24" t="s">
        <v>39</v>
      </c>
      <c r="O62" s="24"/>
      <c r="P62" s="24"/>
      <c r="Q62" s="24"/>
      <c r="R62" s="23"/>
      <c r="S62" s="131">
        <v>45308</v>
      </c>
      <c r="T62" s="25">
        <v>45681</v>
      </c>
      <c r="U62" s="26"/>
      <c r="V62" s="27"/>
      <c r="W62" s="28"/>
      <c r="X62" s="29" t="s">
        <v>114</v>
      </c>
    </row>
    <row r="63" spans="1:24" ht="11.4">
      <c r="A63" s="19">
        <f t="shared" si="0"/>
        <v>61</v>
      </c>
      <c r="B63" s="20"/>
      <c r="C63" s="20"/>
      <c r="D63" s="20"/>
      <c r="E63" s="30" t="s">
        <v>63</v>
      </c>
      <c r="F63" s="71" t="s">
        <v>42</v>
      </c>
      <c r="G63" s="21"/>
      <c r="H63" s="22"/>
      <c r="I63" s="22"/>
      <c r="J63" s="23"/>
      <c r="K63" s="21"/>
      <c r="L63" s="22"/>
      <c r="M63" s="22"/>
      <c r="N63" s="24"/>
      <c r="O63" s="24"/>
      <c r="P63" s="24"/>
      <c r="Q63" s="24" t="s">
        <v>39</v>
      </c>
      <c r="R63" s="23"/>
      <c r="S63" s="131">
        <v>45308</v>
      </c>
      <c r="T63" s="25">
        <v>45681</v>
      </c>
      <c r="U63" s="26"/>
      <c r="V63" s="27"/>
      <c r="W63" s="28"/>
      <c r="X63" s="29"/>
    </row>
    <row r="64" spans="1:24" ht="22.8">
      <c r="A64" s="19">
        <f t="shared" si="0"/>
        <v>62</v>
      </c>
      <c r="B64" s="20"/>
      <c r="C64" s="20"/>
      <c r="D64" s="30" t="s">
        <v>115</v>
      </c>
      <c r="E64" s="30" t="s">
        <v>116</v>
      </c>
      <c r="F64" s="71" t="s">
        <v>38</v>
      </c>
      <c r="G64" s="21"/>
      <c r="H64" s="22"/>
      <c r="I64" s="22"/>
      <c r="J64" s="23"/>
      <c r="K64" s="21"/>
      <c r="L64" s="22"/>
      <c r="M64" s="22"/>
      <c r="N64" s="24" t="s">
        <v>39</v>
      </c>
      <c r="O64" s="24"/>
      <c r="P64" s="24"/>
      <c r="Q64" s="24"/>
      <c r="R64" s="23"/>
      <c r="S64" s="131">
        <v>45308</v>
      </c>
      <c r="T64" s="25">
        <v>45680</v>
      </c>
      <c r="U64" s="26"/>
      <c r="V64" s="27"/>
      <c r="W64" s="28"/>
      <c r="X64" s="29" t="s">
        <v>117</v>
      </c>
    </row>
    <row r="65" spans="1:25" ht="11.4">
      <c r="A65" s="19">
        <f t="shared" si="0"/>
        <v>63</v>
      </c>
      <c r="B65" s="20"/>
      <c r="C65" s="20"/>
      <c r="D65" s="20"/>
      <c r="E65" s="30" t="s">
        <v>63</v>
      </c>
      <c r="F65" s="71" t="s">
        <v>42</v>
      </c>
      <c r="G65" s="21"/>
      <c r="H65" s="22"/>
      <c r="I65" s="22"/>
      <c r="J65" s="23"/>
      <c r="K65" s="21"/>
      <c r="L65" s="22"/>
      <c r="M65" s="22"/>
      <c r="N65" s="24"/>
      <c r="O65" s="24"/>
      <c r="P65" s="24"/>
      <c r="Q65" s="24" t="s">
        <v>39</v>
      </c>
      <c r="R65" s="23"/>
      <c r="S65" s="131">
        <v>45308</v>
      </c>
      <c r="T65" s="25">
        <v>45680</v>
      </c>
      <c r="U65" s="26"/>
      <c r="V65" s="27"/>
      <c r="W65" s="28"/>
      <c r="X65" s="29"/>
    </row>
    <row r="66" spans="1:25" ht="22.8">
      <c r="A66" s="19">
        <f t="shared" si="0"/>
        <v>64</v>
      </c>
      <c r="B66" s="20"/>
      <c r="C66" s="20"/>
      <c r="D66" s="30" t="s">
        <v>118</v>
      </c>
      <c r="E66" s="30" t="s">
        <v>119</v>
      </c>
      <c r="F66" s="71" t="s">
        <v>38</v>
      </c>
      <c r="G66" s="21"/>
      <c r="H66" s="22"/>
      <c r="I66" s="22"/>
      <c r="J66" s="23"/>
      <c r="K66" s="21"/>
      <c r="L66" s="22"/>
      <c r="M66" s="22"/>
      <c r="N66" s="24" t="s">
        <v>39</v>
      </c>
      <c r="O66" s="24"/>
      <c r="P66" s="24"/>
      <c r="Q66" s="24"/>
      <c r="R66" s="23"/>
      <c r="S66" s="131">
        <v>45308</v>
      </c>
      <c r="T66" s="25">
        <v>45679</v>
      </c>
      <c r="U66" s="26"/>
      <c r="V66" s="27"/>
      <c r="W66" s="28"/>
      <c r="X66" s="29" t="s">
        <v>120</v>
      </c>
    </row>
    <row r="67" spans="1:25" ht="11.4">
      <c r="A67" s="19">
        <f t="shared" si="0"/>
        <v>65</v>
      </c>
      <c r="B67" s="20"/>
      <c r="C67" s="20"/>
      <c r="D67" s="20"/>
      <c r="E67" s="30" t="s">
        <v>63</v>
      </c>
      <c r="F67" s="71" t="s">
        <v>42</v>
      </c>
      <c r="G67" s="21"/>
      <c r="H67" s="22"/>
      <c r="I67" s="22"/>
      <c r="J67" s="23"/>
      <c r="K67" s="21"/>
      <c r="L67" s="22"/>
      <c r="M67" s="22"/>
      <c r="N67" s="24"/>
      <c r="O67" s="24"/>
      <c r="P67" s="24"/>
      <c r="Q67" s="24" t="s">
        <v>39</v>
      </c>
      <c r="R67" s="23"/>
      <c r="S67" s="131">
        <v>45308</v>
      </c>
      <c r="T67" s="25">
        <v>45679</v>
      </c>
      <c r="U67" s="26"/>
      <c r="V67" s="27"/>
      <c r="W67" s="28"/>
      <c r="X67" s="29"/>
    </row>
    <row r="68" spans="1:25" ht="68.400000000000006">
      <c r="A68" s="19">
        <f t="shared" si="0"/>
        <v>66</v>
      </c>
      <c r="B68" s="20"/>
      <c r="C68" s="20"/>
      <c r="D68" s="30" t="s">
        <v>121</v>
      </c>
      <c r="E68" s="30" t="s">
        <v>58</v>
      </c>
      <c r="F68" s="71" t="s">
        <v>38</v>
      </c>
      <c r="G68" s="21"/>
      <c r="H68" s="22"/>
      <c r="I68" s="22"/>
      <c r="J68" s="23"/>
      <c r="K68" s="21"/>
      <c r="L68" s="22"/>
      <c r="M68" s="22"/>
      <c r="N68" s="24" t="s">
        <v>39</v>
      </c>
      <c r="O68" s="24"/>
      <c r="P68" s="24"/>
      <c r="Q68" s="24"/>
      <c r="R68" s="23"/>
      <c r="S68" s="131">
        <v>45308</v>
      </c>
      <c r="T68" s="25">
        <v>45679</v>
      </c>
      <c r="U68" s="26"/>
      <c r="V68" s="27"/>
      <c r="W68" s="28"/>
      <c r="X68" s="29" t="s">
        <v>122</v>
      </c>
    </row>
    <row r="69" spans="1:25" ht="11.4">
      <c r="A69" s="19">
        <f t="shared" si="0"/>
        <v>67</v>
      </c>
      <c r="B69" s="20"/>
      <c r="C69" s="20"/>
      <c r="D69" s="20"/>
      <c r="E69" s="30" t="s">
        <v>63</v>
      </c>
      <c r="F69" s="71" t="s">
        <v>42</v>
      </c>
      <c r="G69" s="21"/>
      <c r="H69" s="22"/>
      <c r="I69" s="22"/>
      <c r="J69" s="23"/>
      <c r="K69" s="21"/>
      <c r="L69" s="22"/>
      <c r="M69" s="22"/>
      <c r="N69" s="24"/>
      <c r="O69" s="24"/>
      <c r="P69" s="24"/>
      <c r="Q69" s="24" t="s">
        <v>39</v>
      </c>
      <c r="R69" s="23"/>
      <c r="S69" s="131">
        <v>45308</v>
      </c>
      <c r="T69" s="25">
        <v>45679</v>
      </c>
      <c r="U69" s="26"/>
      <c r="V69" s="27"/>
      <c r="W69" s="28"/>
      <c r="X69" s="29"/>
    </row>
    <row r="70" spans="1:25" ht="22.8">
      <c r="A70" s="19">
        <f t="shared" si="0"/>
        <v>68</v>
      </c>
      <c r="B70" s="20"/>
      <c r="C70" s="31"/>
      <c r="D70" s="30" t="s">
        <v>123</v>
      </c>
      <c r="E70" s="30" t="s">
        <v>124</v>
      </c>
      <c r="F70" s="71" t="s">
        <v>38</v>
      </c>
      <c r="G70" s="21"/>
      <c r="H70" s="22"/>
      <c r="I70" s="22"/>
      <c r="J70" s="23"/>
      <c r="K70" s="21"/>
      <c r="L70" s="22"/>
      <c r="M70" s="22"/>
      <c r="N70" s="24" t="s">
        <v>39</v>
      </c>
      <c r="O70" s="24"/>
      <c r="P70" s="24"/>
      <c r="Q70" s="24"/>
      <c r="R70" s="23"/>
      <c r="S70" s="131">
        <v>45308</v>
      </c>
      <c r="T70" s="25"/>
      <c r="U70" s="26">
        <v>45679</v>
      </c>
      <c r="V70" s="27"/>
      <c r="W70" s="28"/>
      <c r="X70" s="29" t="s">
        <v>125</v>
      </c>
    </row>
    <row r="71" spans="1:25" ht="11.4">
      <c r="A71" s="19">
        <f t="shared" si="0"/>
        <v>69</v>
      </c>
      <c r="B71" s="20"/>
      <c r="C71" s="20"/>
      <c r="D71" s="20"/>
      <c r="E71" s="30" t="s">
        <v>126</v>
      </c>
      <c r="F71" s="71" t="s">
        <v>42</v>
      </c>
      <c r="G71" s="21"/>
      <c r="H71" s="22"/>
      <c r="I71" s="22"/>
      <c r="J71" s="23"/>
      <c r="K71" s="21"/>
      <c r="L71" s="22"/>
      <c r="M71" s="22"/>
      <c r="N71" s="24"/>
      <c r="O71" s="24"/>
      <c r="P71" s="24"/>
      <c r="Q71" s="24" t="s">
        <v>39</v>
      </c>
      <c r="R71" s="23"/>
      <c r="S71" s="131">
        <v>45308</v>
      </c>
      <c r="T71" s="25"/>
      <c r="U71" s="26">
        <v>45679</v>
      </c>
      <c r="V71" s="27"/>
      <c r="W71" s="28"/>
      <c r="X71" s="29"/>
    </row>
    <row r="72" spans="1:25" ht="159.6">
      <c r="A72" s="19">
        <f t="shared" si="0"/>
        <v>70</v>
      </c>
      <c r="B72" s="20"/>
      <c r="C72" s="31"/>
      <c r="D72" s="30" t="s">
        <v>89</v>
      </c>
      <c r="E72" s="30" t="s">
        <v>61</v>
      </c>
      <c r="F72" s="71" t="s">
        <v>38</v>
      </c>
      <c r="G72" s="21"/>
      <c r="H72" s="22"/>
      <c r="I72" s="22"/>
      <c r="J72" s="23"/>
      <c r="K72" s="21"/>
      <c r="L72" s="22"/>
      <c r="M72" s="22"/>
      <c r="N72" s="24" t="s">
        <v>39</v>
      </c>
      <c r="O72" s="24"/>
      <c r="P72" s="24"/>
      <c r="Q72" s="24"/>
      <c r="R72" s="23"/>
      <c r="S72" s="131">
        <v>45308</v>
      </c>
      <c r="T72" s="25">
        <v>45679</v>
      </c>
      <c r="U72" s="26"/>
      <c r="V72" s="27"/>
      <c r="W72" s="28"/>
      <c r="X72" s="98" t="s">
        <v>127</v>
      </c>
    </row>
    <row r="73" spans="1:25" ht="11.4">
      <c r="A73" s="19">
        <f t="shared" si="0"/>
        <v>71</v>
      </c>
      <c r="B73" s="20"/>
      <c r="C73" s="20"/>
      <c r="D73" s="20"/>
      <c r="E73" s="30" t="s">
        <v>63</v>
      </c>
      <c r="F73" s="71" t="s">
        <v>42</v>
      </c>
      <c r="G73" s="21"/>
      <c r="H73" s="22"/>
      <c r="I73" s="22"/>
      <c r="J73" s="23"/>
      <c r="K73" s="21"/>
      <c r="L73" s="22"/>
      <c r="M73" s="22"/>
      <c r="N73" s="24"/>
      <c r="O73" s="24"/>
      <c r="P73" s="24"/>
      <c r="Q73" s="24" t="s">
        <v>39</v>
      </c>
      <c r="R73" s="23"/>
      <c r="S73" s="131">
        <v>45308</v>
      </c>
      <c r="T73" s="25">
        <v>45679</v>
      </c>
      <c r="U73" s="26"/>
      <c r="V73" s="27"/>
      <c r="W73" s="28"/>
      <c r="X73" s="29"/>
    </row>
    <row r="74" spans="1:25" ht="159.6">
      <c r="A74" s="116">
        <f t="shared" si="0"/>
        <v>72</v>
      </c>
      <c r="B74" s="117"/>
      <c r="C74" s="118"/>
      <c r="D74" s="119" t="s">
        <v>128</v>
      </c>
      <c r="E74" s="119" t="s">
        <v>61</v>
      </c>
      <c r="F74" s="120" t="s">
        <v>38</v>
      </c>
      <c r="G74" s="121"/>
      <c r="H74" s="122"/>
      <c r="I74" s="122"/>
      <c r="J74" s="123"/>
      <c r="K74" s="121"/>
      <c r="L74" s="122"/>
      <c r="M74" s="122"/>
      <c r="N74" s="124"/>
      <c r="O74" s="124"/>
      <c r="P74" s="124"/>
      <c r="Q74" s="124"/>
      <c r="R74" s="123"/>
      <c r="S74" s="132"/>
      <c r="T74" s="125"/>
      <c r="U74" s="126"/>
      <c r="V74" s="127"/>
      <c r="W74" s="128"/>
      <c r="X74" s="129" t="s">
        <v>129</v>
      </c>
      <c r="Y74" s="130"/>
    </row>
    <row r="75" spans="1:25" s="141" customFormat="1" ht="11.4">
      <c r="A75" s="116">
        <f t="shared" si="0"/>
        <v>73</v>
      </c>
      <c r="B75" s="117"/>
      <c r="C75" s="117"/>
      <c r="D75" s="117"/>
      <c r="E75" s="119" t="s">
        <v>63</v>
      </c>
      <c r="F75" s="120" t="s">
        <v>42</v>
      </c>
      <c r="G75" s="121"/>
      <c r="H75" s="122"/>
      <c r="I75" s="122"/>
      <c r="J75" s="123"/>
      <c r="K75" s="121"/>
      <c r="L75" s="122"/>
      <c r="M75" s="122"/>
      <c r="N75" s="124"/>
      <c r="O75" s="124"/>
      <c r="P75" s="124"/>
      <c r="Q75" s="124"/>
      <c r="R75" s="123"/>
      <c r="S75" s="132"/>
      <c r="T75" s="125"/>
      <c r="U75" s="126"/>
      <c r="V75" s="127"/>
      <c r="W75" s="128"/>
      <c r="X75" s="129"/>
    </row>
    <row r="76" spans="1:25" s="3" customFormat="1" ht="12" customHeight="1">
      <c r="A76" s="32"/>
      <c r="B76" s="33"/>
      <c r="C76" s="34"/>
      <c r="D76" s="34"/>
      <c r="E76" s="33"/>
      <c r="F76" s="35" t="s">
        <v>130</v>
      </c>
      <c r="G76" s="36">
        <f t="shared" ref="G76:R76" si="3">COUNTIF(G14:G75,"●")</f>
        <v>0</v>
      </c>
      <c r="H76" s="37">
        <f t="shared" si="3"/>
        <v>0</v>
      </c>
      <c r="I76" s="37">
        <f t="shared" si="3"/>
        <v>0</v>
      </c>
      <c r="J76" s="38">
        <f t="shared" si="3"/>
        <v>0</v>
      </c>
      <c r="K76" s="36">
        <f t="shared" si="3"/>
        <v>0</v>
      </c>
      <c r="L76" s="37">
        <f t="shared" si="3"/>
        <v>0</v>
      </c>
      <c r="M76" s="37">
        <f t="shared" si="3"/>
        <v>0</v>
      </c>
      <c r="N76" s="37">
        <f t="shared" si="3"/>
        <v>29</v>
      </c>
      <c r="O76" s="37">
        <f t="shared" si="3"/>
        <v>0</v>
      </c>
      <c r="P76" s="37">
        <f t="shared" si="3"/>
        <v>0</v>
      </c>
      <c r="Q76" s="37">
        <f t="shared" si="3"/>
        <v>29</v>
      </c>
      <c r="R76" s="37">
        <f t="shared" si="3"/>
        <v>0</v>
      </c>
      <c r="S76" s="133"/>
      <c r="T76" s="157" t="s">
        <v>131</v>
      </c>
      <c r="U76" s="157"/>
      <c r="V76" s="158"/>
      <c r="W76" s="40" t="s">
        <v>132</v>
      </c>
      <c r="X76" s="41">
        <f>SUM(G76:R76)</f>
        <v>58</v>
      </c>
    </row>
    <row r="77" spans="1:25" s="3" customFormat="1" ht="12" customHeight="1">
      <c r="A77" s="42"/>
      <c r="B77" s="43" t="s">
        <v>133</v>
      </c>
      <c r="C77" s="44">
        <f>X78</f>
        <v>58</v>
      </c>
      <c r="D77" s="44"/>
      <c r="E77" s="43"/>
      <c r="F77" s="45" t="s">
        <v>134</v>
      </c>
      <c r="G77" s="46">
        <f t="shared" ref="G77:R77" si="4">COUNTIF(G14:G75,"×")</f>
        <v>0</v>
      </c>
      <c r="H77" s="47">
        <f t="shared" si="4"/>
        <v>0</v>
      </c>
      <c r="I77" s="47">
        <f t="shared" si="4"/>
        <v>0</v>
      </c>
      <c r="J77" s="48">
        <f t="shared" si="4"/>
        <v>0</v>
      </c>
      <c r="K77" s="46">
        <f t="shared" si="4"/>
        <v>0</v>
      </c>
      <c r="L77" s="47">
        <f t="shared" si="4"/>
        <v>0</v>
      </c>
      <c r="M77" s="47">
        <f t="shared" si="4"/>
        <v>0</v>
      </c>
      <c r="N77" s="47">
        <f t="shared" si="4"/>
        <v>0</v>
      </c>
      <c r="O77" s="47">
        <f t="shared" si="4"/>
        <v>0</v>
      </c>
      <c r="P77" s="47">
        <f t="shared" si="4"/>
        <v>0</v>
      </c>
      <c r="Q77" s="47">
        <f t="shared" si="4"/>
        <v>0</v>
      </c>
      <c r="R77" s="47">
        <f t="shared" si="4"/>
        <v>0</v>
      </c>
      <c r="S77" s="134"/>
      <c r="T77" s="159"/>
      <c r="U77" s="159"/>
      <c r="V77" s="160"/>
      <c r="W77" s="50" t="s">
        <v>132</v>
      </c>
      <c r="X77" s="51">
        <f t="shared" ref="X77:X79" si="5">SUM(G77:R77)</f>
        <v>0</v>
      </c>
    </row>
    <row r="78" spans="1:25" s="3" customFormat="1" ht="12" customHeight="1">
      <c r="A78" s="52" t="s">
        <v>135</v>
      </c>
      <c r="B78" s="53"/>
      <c r="C78" s="54"/>
      <c r="D78" s="54"/>
      <c r="E78" s="53"/>
      <c r="F78" s="55" t="s">
        <v>136</v>
      </c>
      <c r="G78" s="46">
        <f t="shared" ref="G78:R78" si="6">G76+G77</f>
        <v>0</v>
      </c>
      <c r="H78" s="47">
        <f t="shared" si="6"/>
        <v>0</v>
      </c>
      <c r="I78" s="47">
        <f t="shared" si="6"/>
        <v>0</v>
      </c>
      <c r="J78" s="48">
        <f t="shared" si="6"/>
        <v>0</v>
      </c>
      <c r="K78" s="46">
        <f t="shared" si="6"/>
        <v>0</v>
      </c>
      <c r="L78" s="47">
        <f t="shared" si="6"/>
        <v>0</v>
      </c>
      <c r="M78" s="47">
        <f t="shared" si="6"/>
        <v>0</v>
      </c>
      <c r="N78" s="47">
        <f t="shared" si="6"/>
        <v>29</v>
      </c>
      <c r="O78" s="47">
        <f t="shared" si="6"/>
        <v>0</v>
      </c>
      <c r="P78" s="47">
        <f t="shared" si="6"/>
        <v>0</v>
      </c>
      <c r="Q78" s="47">
        <f t="shared" si="6"/>
        <v>29</v>
      </c>
      <c r="R78" s="47">
        <f t="shared" si="6"/>
        <v>0</v>
      </c>
      <c r="S78" s="182"/>
      <c r="T78" s="171">
        <f>COUNTA(T3:T75)</f>
        <v>67</v>
      </c>
      <c r="U78" s="173">
        <f>COUNTA(U3:U75)</f>
        <v>2</v>
      </c>
      <c r="V78" s="175">
        <f>COUNTA(V3:V75)</f>
        <v>0</v>
      </c>
      <c r="W78" s="56" t="s">
        <v>132</v>
      </c>
      <c r="X78" s="51">
        <f t="shared" si="5"/>
        <v>58</v>
      </c>
    </row>
    <row r="79" spans="1:25" s="3" customFormat="1" ht="12" customHeight="1">
      <c r="A79" s="57"/>
      <c r="B79" s="58" t="s">
        <v>137</v>
      </c>
      <c r="C79" s="59">
        <f>X79</f>
        <v>71</v>
      </c>
      <c r="D79" s="59"/>
      <c r="E79" s="58"/>
      <c r="F79" s="60" t="s">
        <v>138</v>
      </c>
      <c r="G79" s="61">
        <f t="shared" ref="G79:R79" si="7">COUNTA(G3:G75)</f>
        <v>0</v>
      </c>
      <c r="H79" s="62">
        <f t="shared" si="7"/>
        <v>0</v>
      </c>
      <c r="I79" s="62">
        <f t="shared" si="7"/>
        <v>1</v>
      </c>
      <c r="J79" s="62">
        <f t="shared" si="7"/>
        <v>0</v>
      </c>
      <c r="K79" s="62">
        <f t="shared" si="7"/>
        <v>0</v>
      </c>
      <c r="L79" s="62">
        <f t="shared" si="7"/>
        <v>0</v>
      </c>
      <c r="M79" s="62">
        <f t="shared" si="7"/>
        <v>0</v>
      </c>
      <c r="N79" s="62">
        <f t="shared" si="7"/>
        <v>35</v>
      </c>
      <c r="O79" s="62">
        <f t="shared" si="7"/>
        <v>0</v>
      </c>
      <c r="P79" s="62">
        <f t="shared" si="7"/>
        <v>0</v>
      </c>
      <c r="Q79" s="62">
        <f t="shared" si="7"/>
        <v>35</v>
      </c>
      <c r="R79" s="62">
        <f t="shared" si="7"/>
        <v>0</v>
      </c>
      <c r="S79" s="183"/>
      <c r="T79" s="172"/>
      <c r="U79" s="174"/>
      <c r="V79" s="176"/>
      <c r="W79" s="65" t="s">
        <v>132</v>
      </c>
      <c r="X79" s="66">
        <f t="shared" si="5"/>
        <v>71</v>
      </c>
    </row>
  </sheetData>
  <mergeCells count="17">
    <mergeCell ref="T78:T79"/>
    <mergeCell ref="U78:U79"/>
    <mergeCell ref="V78:V79"/>
    <mergeCell ref="G1:J1"/>
    <mergeCell ref="K1:R1"/>
    <mergeCell ref="T1:V1"/>
    <mergeCell ref="S78:S79"/>
    <mergeCell ref="S1:S2"/>
    <mergeCell ref="W1:W2"/>
    <mergeCell ref="X1:X2"/>
    <mergeCell ref="T76:V77"/>
    <mergeCell ref="A1:A2"/>
    <mergeCell ref="B1:B2"/>
    <mergeCell ref="C1:C2"/>
    <mergeCell ref="D1:D2"/>
    <mergeCell ref="E1:E2"/>
    <mergeCell ref="F1:F2"/>
  </mergeCells>
  <phoneticPr fontId="12"/>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6EF96-C989-4EE3-A715-9A420A4C18F7}">
  <sheetPr>
    <pageSetUpPr fitToPage="1"/>
  </sheetPr>
  <dimension ref="A1:X19"/>
  <sheetViews>
    <sheetView view="pageBreakPreview" topLeftCell="D1" zoomScaleNormal="110" zoomScaleSheetLayoutView="100" workbookViewId="0">
      <pane ySplit="2" topLeftCell="A6" activePane="bottomLeft" state="frozen"/>
      <selection activeCell="B8" sqref="B8"/>
      <selection pane="bottomLeft" activeCell="S15" sqref="S15"/>
    </sheetView>
  </sheetViews>
  <sheetFormatPr defaultColWidth="9.375" defaultRowHeight="9" customHeight="1"/>
  <cols>
    <col min="1" max="1" width="5.125" style="2" customWidth="1"/>
    <col min="2" max="2" width="16.875" style="2" customWidth="1"/>
    <col min="3" max="3" width="21.375" style="2" customWidth="1"/>
    <col min="4" max="4" width="26.125" style="2" customWidth="1"/>
    <col min="5" max="5" width="42" style="2" customWidth="1"/>
    <col min="6" max="6" width="46.625" style="2" customWidth="1"/>
    <col min="7" max="13" width="4.5" style="4" bestFit="1" customWidth="1"/>
    <col min="14" max="16" width="4.5" style="4" customWidth="1"/>
    <col min="17" max="17" width="3.625" style="4" bestFit="1" customWidth="1"/>
    <col min="18" max="18" width="4.5" style="4" bestFit="1" customWidth="1"/>
    <col min="19" max="19" width="7.875"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61" t="s">
        <v>6</v>
      </c>
      <c r="B1" s="163" t="s">
        <v>7</v>
      </c>
      <c r="C1" s="165" t="s">
        <v>8</v>
      </c>
      <c r="D1" s="165" t="s">
        <v>9</v>
      </c>
      <c r="E1" s="167" t="s">
        <v>10</v>
      </c>
      <c r="F1" s="169" t="s">
        <v>11</v>
      </c>
      <c r="G1" s="177" t="s">
        <v>12</v>
      </c>
      <c r="H1" s="177"/>
      <c r="I1" s="177"/>
      <c r="J1" s="178"/>
      <c r="K1" s="179" t="s">
        <v>13</v>
      </c>
      <c r="L1" s="180"/>
      <c r="M1" s="180"/>
      <c r="N1" s="181"/>
      <c r="O1" s="181"/>
      <c r="P1" s="181"/>
      <c r="Q1" s="181"/>
      <c r="R1" s="181"/>
      <c r="S1" s="184" t="s">
        <v>139</v>
      </c>
      <c r="T1" s="177" t="s">
        <v>15</v>
      </c>
      <c r="U1" s="177"/>
      <c r="V1" s="177"/>
      <c r="W1" s="155" t="s">
        <v>16</v>
      </c>
      <c r="X1" s="155" t="s">
        <v>17</v>
      </c>
    </row>
    <row r="2" spans="1:24" s="1" customFormat="1" ht="22.8">
      <c r="A2" s="162"/>
      <c r="B2" s="164"/>
      <c r="C2" s="166"/>
      <c r="D2" s="166"/>
      <c r="E2" s="168"/>
      <c r="F2" s="170"/>
      <c r="G2" s="67" t="s">
        <v>18</v>
      </c>
      <c r="H2" s="68" t="s">
        <v>19</v>
      </c>
      <c r="I2" s="69" t="s">
        <v>20</v>
      </c>
      <c r="J2" s="69" t="s">
        <v>21</v>
      </c>
      <c r="K2" s="70" t="s">
        <v>18</v>
      </c>
      <c r="L2" s="69" t="s">
        <v>22</v>
      </c>
      <c r="M2" s="69" t="s">
        <v>23</v>
      </c>
      <c r="N2" s="69" t="s">
        <v>24</v>
      </c>
      <c r="O2" s="69" t="s">
        <v>25</v>
      </c>
      <c r="P2" s="69" t="s">
        <v>26</v>
      </c>
      <c r="Q2" s="69" t="s">
        <v>27</v>
      </c>
      <c r="R2" s="69" t="s">
        <v>28</v>
      </c>
      <c r="S2" s="185"/>
      <c r="T2" s="67" t="s">
        <v>29</v>
      </c>
      <c r="U2" s="68" t="s">
        <v>30</v>
      </c>
      <c r="V2" s="69" t="s">
        <v>31</v>
      </c>
      <c r="W2" s="156"/>
      <c r="X2" s="156"/>
    </row>
    <row r="3" spans="1:24" ht="22.8">
      <c r="A3" s="19">
        <f t="shared" ref="A3:A14" si="0">ROW()-2</f>
        <v>1</v>
      </c>
      <c r="B3" s="20" t="s">
        <v>32</v>
      </c>
      <c r="C3" s="20" t="s">
        <v>140</v>
      </c>
      <c r="D3" s="20"/>
      <c r="E3" s="30"/>
      <c r="F3" s="71"/>
      <c r="G3" s="21"/>
      <c r="H3" s="22"/>
      <c r="I3" s="22"/>
      <c r="J3" s="23"/>
      <c r="K3" s="21"/>
      <c r="L3" s="22"/>
      <c r="M3" s="22"/>
      <c r="N3" s="24"/>
      <c r="O3" s="24"/>
      <c r="P3" s="24"/>
      <c r="Q3" s="24"/>
      <c r="R3" s="23"/>
      <c r="S3" s="135"/>
      <c r="T3" s="25"/>
      <c r="U3" s="26"/>
      <c r="V3" s="27"/>
      <c r="W3" s="28"/>
      <c r="X3" s="29"/>
    </row>
    <row r="4" spans="1:24" ht="22.8">
      <c r="A4" s="19">
        <f>ROW()-2</f>
        <v>2</v>
      </c>
      <c r="B4" s="20" t="s">
        <v>141</v>
      </c>
      <c r="C4" s="20" t="s">
        <v>142</v>
      </c>
      <c r="D4" s="20" t="s">
        <v>143</v>
      </c>
      <c r="E4" s="30" t="s">
        <v>144</v>
      </c>
      <c r="F4" s="71" t="s">
        <v>145</v>
      </c>
      <c r="G4" s="21"/>
      <c r="H4" s="22"/>
      <c r="I4" s="22"/>
      <c r="J4" s="23"/>
      <c r="K4" s="21"/>
      <c r="L4" s="22"/>
      <c r="M4" s="22"/>
      <c r="N4" s="24"/>
      <c r="O4" s="24"/>
      <c r="P4" s="24" t="s">
        <v>39</v>
      </c>
      <c r="Q4" s="24" t="s">
        <v>39</v>
      </c>
      <c r="R4" s="23"/>
      <c r="S4" s="135"/>
      <c r="T4" s="25">
        <v>45679</v>
      </c>
      <c r="U4" s="26"/>
      <c r="V4" s="27"/>
      <c r="W4" s="28"/>
      <c r="X4" s="29"/>
    </row>
    <row r="5" spans="1:24" ht="22.8">
      <c r="A5" s="19">
        <f>ROW()-2</f>
        <v>3</v>
      </c>
      <c r="B5" s="20"/>
      <c r="C5" s="20"/>
      <c r="D5" s="20"/>
      <c r="E5" s="30"/>
      <c r="F5" s="71" t="s">
        <v>146</v>
      </c>
      <c r="G5" s="21"/>
      <c r="H5" s="22"/>
      <c r="I5" s="22"/>
      <c r="J5" s="23"/>
      <c r="K5" s="21"/>
      <c r="L5" s="22"/>
      <c r="M5" s="22"/>
      <c r="N5" s="24"/>
      <c r="O5" s="24"/>
      <c r="P5" s="24" t="s">
        <v>39</v>
      </c>
      <c r="Q5" s="24" t="s">
        <v>39</v>
      </c>
      <c r="R5" s="23"/>
      <c r="S5" s="135"/>
      <c r="T5" s="25">
        <v>45679</v>
      </c>
      <c r="U5" s="26"/>
      <c r="V5" s="27"/>
      <c r="W5" s="28"/>
      <c r="X5" s="29"/>
    </row>
    <row r="6" spans="1:24" ht="22.8">
      <c r="A6" s="19">
        <f t="shared" si="0"/>
        <v>4</v>
      </c>
      <c r="B6" s="20"/>
      <c r="C6" s="20"/>
      <c r="D6" s="20"/>
      <c r="E6" s="30"/>
      <c r="F6" s="71" t="s">
        <v>147</v>
      </c>
      <c r="G6" s="21"/>
      <c r="H6" s="22"/>
      <c r="I6" s="22"/>
      <c r="J6" s="23"/>
      <c r="K6" s="21"/>
      <c r="L6" s="22"/>
      <c r="M6" s="22"/>
      <c r="N6" s="24"/>
      <c r="O6" s="24"/>
      <c r="P6" s="24" t="s">
        <v>39</v>
      </c>
      <c r="Q6" s="24" t="s">
        <v>39</v>
      </c>
      <c r="R6" s="23"/>
      <c r="S6" s="135"/>
      <c r="T6" s="25">
        <v>45679</v>
      </c>
      <c r="U6" s="26"/>
      <c r="V6" s="27"/>
      <c r="W6" s="28"/>
      <c r="X6" s="29"/>
    </row>
    <row r="7" spans="1:24" ht="22.8">
      <c r="A7" s="19">
        <f t="shared" si="0"/>
        <v>5</v>
      </c>
      <c r="B7" s="20"/>
      <c r="C7" s="20"/>
      <c r="D7" s="20"/>
      <c r="E7" s="30"/>
      <c r="F7" s="71" t="s">
        <v>148</v>
      </c>
      <c r="G7" s="21"/>
      <c r="H7" s="22"/>
      <c r="I7" s="22"/>
      <c r="J7" s="23"/>
      <c r="K7" s="21"/>
      <c r="L7" s="22"/>
      <c r="M7" s="22"/>
      <c r="N7" s="24"/>
      <c r="O7" s="24"/>
      <c r="P7" s="24" t="s">
        <v>39</v>
      </c>
      <c r="Q7" s="24" t="s">
        <v>39</v>
      </c>
      <c r="R7" s="23"/>
      <c r="S7" s="135"/>
      <c r="T7" s="25">
        <v>45679</v>
      </c>
      <c r="U7" s="26"/>
      <c r="V7" s="27"/>
      <c r="W7" s="28"/>
      <c r="X7" s="29"/>
    </row>
    <row r="8" spans="1:24" ht="22.8">
      <c r="A8" s="19">
        <f t="shared" si="0"/>
        <v>6</v>
      </c>
      <c r="B8" s="20"/>
      <c r="C8" s="20"/>
      <c r="D8" s="20"/>
      <c r="E8" s="30"/>
      <c r="F8" s="71" t="s">
        <v>149</v>
      </c>
      <c r="G8" s="21"/>
      <c r="H8" s="22"/>
      <c r="I8" s="22"/>
      <c r="J8" s="23"/>
      <c r="K8" s="21"/>
      <c r="L8" s="22"/>
      <c r="M8" s="22"/>
      <c r="N8" s="24"/>
      <c r="O8" s="24"/>
      <c r="P8" s="24" t="s">
        <v>39</v>
      </c>
      <c r="Q8" s="24" t="s">
        <v>39</v>
      </c>
      <c r="R8" s="23"/>
      <c r="S8" s="135"/>
      <c r="T8" s="25">
        <v>45679</v>
      </c>
      <c r="U8" s="26"/>
      <c r="V8" s="27"/>
      <c r="W8" s="28"/>
      <c r="X8" s="29"/>
    </row>
    <row r="9" spans="1:24" ht="22.8">
      <c r="A9" s="19">
        <f t="shared" si="0"/>
        <v>7</v>
      </c>
      <c r="B9" s="20"/>
      <c r="C9" s="20"/>
      <c r="D9" s="20"/>
      <c r="E9" s="30"/>
      <c r="F9" s="71" t="s">
        <v>150</v>
      </c>
      <c r="G9" s="21"/>
      <c r="H9" s="22"/>
      <c r="I9" s="22"/>
      <c r="J9" s="23"/>
      <c r="K9" s="21"/>
      <c r="L9" s="22"/>
      <c r="M9" s="22"/>
      <c r="N9" s="24"/>
      <c r="O9" s="24"/>
      <c r="P9" s="24" t="s">
        <v>39</v>
      </c>
      <c r="Q9" s="24" t="s">
        <v>39</v>
      </c>
      <c r="R9" s="23"/>
      <c r="S9" s="135"/>
      <c r="T9" s="25">
        <v>45679</v>
      </c>
      <c r="U9" s="26"/>
      <c r="V9" s="27"/>
      <c r="W9" s="28"/>
      <c r="X9" s="29"/>
    </row>
    <row r="10" spans="1:24" ht="22.8">
      <c r="A10" s="19">
        <f t="shared" si="0"/>
        <v>8</v>
      </c>
      <c r="B10" s="20"/>
      <c r="C10" s="20"/>
      <c r="D10" s="20" t="s">
        <v>151</v>
      </c>
      <c r="E10" s="30" t="s">
        <v>152</v>
      </c>
      <c r="F10" s="71" t="s">
        <v>153</v>
      </c>
      <c r="G10" s="21"/>
      <c r="H10" s="22"/>
      <c r="I10" s="22"/>
      <c r="J10" s="23"/>
      <c r="K10" s="21"/>
      <c r="L10" s="22"/>
      <c r="M10" s="22"/>
      <c r="N10" s="24"/>
      <c r="O10" s="24"/>
      <c r="P10" s="24" t="s">
        <v>39</v>
      </c>
      <c r="Q10" s="24" t="s">
        <v>39</v>
      </c>
      <c r="R10" s="23"/>
      <c r="S10" s="135"/>
      <c r="T10" s="25">
        <v>45679</v>
      </c>
      <c r="U10" s="26"/>
      <c r="V10" s="27"/>
      <c r="W10" s="28"/>
      <c r="X10" s="29"/>
    </row>
    <row r="11" spans="1:24" ht="22.8">
      <c r="A11" s="19">
        <f t="shared" si="0"/>
        <v>9</v>
      </c>
      <c r="B11" s="20"/>
      <c r="C11" s="20"/>
      <c r="D11" s="30"/>
      <c r="E11" s="30"/>
      <c r="F11" s="71" t="s">
        <v>146</v>
      </c>
      <c r="G11" s="21"/>
      <c r="H11" s="22"/>
      <c r="I11" s="22"/>
      <c r="J11" s="23"/>
      <c r="K11" s="21"/>
      <c r="L11" s="22"/>
      <c r="M11" s="22"/>
      <c r="N11" s="24"/>
      <c r="O11" s="24"/>
      <c r="P11" s="24" t="s">
        <v>39</v>
      </c>
      <c r="Q11" s="24" t="s">
        <v>39</v>
      </c>
      <c r="R11" s="23"/>
      <c r="S11" s="135"/>
      <c r="T11" s="25">
        <v>45679</v>
      </c>
      <c r="U11" s="26"/>
      <c r="V11" s="27"/>
      <c r="W11" s="28"/>
      <c r="X11" s="29"/>
    </row>
    <row r="12" spans="1:24" ht="22.8">
      <c r="A12" s="19">
        <f t="shared" si="0"/>
        <v>10</v>
      </c>
      <c r="B12" s="20"/>
      <c r="C12" s="20"/>
      <c r="D12" s="30"/>
      <c r="E12" s="30"/>
      <c r="F12" s="71" t="s">
        <v>147</v>
      </c>
      <c r="G12" s="21"/>
      <c r="H12" s="22"/>
      <c r="I12" s="22"/>
      <c r="J12" s="23"/>
      <c r="K12" s="21"/>
      <c r="L12" s="22"/>
      <c r="M12" s="22"/>
      <c r="N12" s="24"/>
      <c r="O12" s="24"/>
      <c r="P12" s="24" t="s">
        <v>39</v>
      </c>
      <c r="Q12" s="24" t="s">
        <v>39</v>
      </c>
      <c r="R12" s="23"/>
      <c r="S12" s="135"/>
      <c r="T12" s="25">
        <v>45679</v>
      </c>
      <c r="U12" s="26"/>
      <c r="V12" s="27"/>
      <c r="W12" s="28"/>
      <c r="X12" s="29"/>
    </row>
    <row r="13" spans="1:24" ht="22.8">
      <c r="A13" s="19">
        <f t="shared" si="0"/>
        <v>11</v>
      </c>
      <c r="B13" s="20"/>
      <c r="C13" s="20"/>
      <c r="D13" s="30"/>
      <c r="E13" s="30"/>
      <c r="F13" s="71" t="s">
        <v>148</v>
      </c>
      <c r="G13" s="21"/>
      <c r="H13" s="22"/>
      <c r="I13" s="22"/>
      <c r="J13" s="23"/>
      <c r="K13" s="21"/>
      <c r="L13" s="22"/>
      <c r="M13" s="22"/>
      <c r="N13" s="24"/>
      <c r="O13" s="24"/>
      <c r="P13" s="24" t="s">
        <v>39</v>
      </c>
      <c r="Q13" s="24" t="s">
        <v>39</v>
      </c>
      <c r="R13" s="23"/>
      <c r="S13" s="135"/>
      <c r="T13" s="25">
        <v>45679</v>
      </c>
      <c r="U13" s="26"/>
      <c r="V13" s="27"/>
      <c r="W13" s="28"/>
      <c r="X13" s="29"/>
    </row>
    <row r="14" spans="1:24" ht="22.8">
      <c r="A14" s="19">
        <f t="shared" si="0"/>
        <v>12</v>
      </c>
      <c r="B14" s="20"/>
      <c r="C14" s="20"/>
      <c r="D14" s="30"/>
      <c r="E14" s="30"/>
      <c r="F14" s="71" t="s">
        <v>149</v>
      </c>
      <c r="G14" s="21"/>
      <c r="H14" s="22"/>
      <c r="I14" s="22"/>
      <c r="J14" s="23"/>
      <c r="K14" s="21"/>
      <c r="L14" s="22"/>
      <c r="M14" s="22"/>
      <c r="N14" s="24"/>
      <c r="O14" s="24"/>
      <c r="P14" s="24" t="s">
        <v>39</v>
      </c>
      <c r="Q14" s="24" t="s">
        <v>39</v>
      </c>
      <c r="R14" s="23"/>
      <c r="S14" s="135"/>
      <c r="T14" s="25">
        <v>45679</v>
      </c>
      <c r="U14" s="26"/>
      <c r="V14" s="27"/>
      <c r="W14" s="28"/>
      <c r="X14" s="29"/>
    </row>
    <row r="15" spans="1:24" ht="22.8">
      <c r="A15" s="19">
        <f t="shared" ref="A15" si="1">ROW()-2</f>
        <v>13</v>
      </c>
      <c r="B15" s="20"/>
      <c r="C15" s="20"/>
      <c r="D15" s="30"/>
      <c r="E15" s="30"/>
      <c r="F15" s="71" t="s">
        <v>150</v>
      </c>
      <c r="G15" s="21"/>
      <c r="H15" s="22"/>
      <c r="I15" s="22"/>
      <c r="J15" s="23"/>
      <c r="K15" s="21"/>
      <c r="L15" s="22"/>
      <c r="M15" s="22"/>
      <c r="N15" s="24"/>
      <c r="O15" s="24"/>
      <c r="P15" s="24" t="s">
        <v>39</v>
      </c>
      <c r="Q15" s="24" t="s">
        <v>39</v>
      </c>
      <c r="R15" s="23"/>
      <c r="S15" s="135"/>
      <c r="T15" s="25">
        <v>45679</v>
      </c>
      <c r="U15" s="26"/>
      <c r="V15" s="27"/>
      <c r="W15" s="28"/>
      <c r="X15" s="29"/>
    </row>
    <row r="16" spans="1:24" s="3" customFormat="1" ht="12" customHeight="1">
      <c r="A16" s="32"/>
      <c r="B16" s="33"/>
      <c r="C16" s="34"/>
      <c r="D16" s="34"/>
      <c r="E16" s="33"/>
      <c r="F16" s="35" t="s">
        <v>130</v>
      </c>
      <c r="G16" s="36">
        <f t="shared" ref="G16:R16" si="2">COUNTIF(G3:G15,"●")</f>
        <v>0</v>
      </c>
      <c r="H16" s="37">
        <f t="shared" si="2"/>
        <v>0</v>
      </c>
      <c r="I16" s="37">
        <f t="shared" si="2"/>
        <v>0</v>
      </c>
      <c r="J16" s="38">
        <f t="shared" si="2"/>
        <v>0</v>
      </c>
      <c r="K16" s="36">
        <f t="shared" si="2"/>
        <v>0</v>
      </c>
      <c r="L16" s="37">
        <f t="shared" si="2"/>
        <v>0</v>
      </c>
      <c r="M16" s="37">
        <f t="shared" si="2"/>
        <v>0</v>
      </c>
      <c r="N16" s="37">
        <f t="shared" si="2"/>
        <v>0</v>
      </c>
      <c r="O16" s="37">
        <f t="shared" si="2"/>
        <v>0</v>
      </c>
      <c r="P16" s="39">
        <f t="shared" si="2"/>
        <v>12</v>
      </c>
      <c r="Q16" s="39">
        <f t="shared" si="2"/>
        <v>12</v>
      </c>
      <c r="R16" s="38">
        <f t="shared" si="2"/>
        <v>0</v>
      </c>
      <c r="S16" s="136"/>
      <c r="T16" s="157" t="s">
        <v>131</v>
      </c>
      <c r="U16" s="157"/>
      <c r="V16" s="158"/>
      <c r="W16" s="40" t="s">
        <v>132</v>
      </c>
      <c r="X16" s="41">
        <f>SUM(G16:R16)</f>
        <v>24</v>
      </c>
    </row>
    <row r="17" spans="1:24" s="3" customFormat="1" ht="12" customHeight="1">
      <c r="A17" s="42"/>
      <c r="B17" s="43" t="s">
        <v>133</v>
      </c>
      <c r="C17" s="44">
        <f>X18</f>
        <v>24</v>
      </c>
      <c r="D17" s="44"/>
      <c r="E17" s="43"/>
      <c r="F17" s="45" t="s">
        <v>134</v>
      </c>
      <c r="G17" s="46">
        <f t="shared" ref="G17:R17" si="3">COUNTIF(G3:G15,"×")</f>
        <v>0</v>
      </c>
      <c r="H17" s="47">
        <f t="shared" si="3"/>
        <v>0</v>
      </c>
      <c r="I17" s="47">
        <f t="shared" si="3"/>
        <v>0</v>
      </c>
      <c r="J17" s="48">
        <f t="shared" si="3"/>
        <v>0</v>
      </c>
      <c r="K17" s="46">
        <f t="shared" si="3"/>
        <v>0</v>
      </c>
      <c r="L17" s="47">
        <f t="shared" si="3"/>
        <v>0</v>
      </c>
      <c r="M17" s="47">
        <f t="shared" si="3"/>
        <v>0</v>
      </c>
      <c r="N17" s="47">
        <f t="shared" si="3"/>
        <v>0</v>
      </c>
      <c r="O17" s="47">
        <f t="shared" si="3"/>
        <v>0</v>
      </c>
      <c r="P17" s="49">
        <f t="shared" si="3"/>
        <v>0</v>
      </c>
      <c r="Q17" s="49">
        <f t="shared" si="3"/>
        <v>0</v>
      </c>
      <c r="R17" s="48">
        <f t="shared" si="3"/>
        <v>0</v>
      </c>
      <c r="S17" s="137"/>
      <c r="T17" s="159"/>
      <c r="U17" s="159"/>
      <c r="V17" s="160"/>
      <c r="W17" s="50" t="s">
        <v>132</v>
      </c>
      <c r="X17" s="51">
        <f t="shared" ref="X17:X19" si="4">SUM(G17:R17)</f>
        <v>0</v>
      </c>
    </row>
    <row r="18" spans="1:24" s="3" customFormat="1" ht="12" customHeight="1">
      <c r="A18" s="52" t="s">
        <v>135</v>
      </c>
      <c r="B18" s="53"/>
      <c r="C18" s="54"/>
      <c r="D18" s="54"/>
      <c r="E18" s="53"/>
      <c r="F18" s="55" t="s">
        <v>136</v>
      </c>
      <c r="G18" s="46">
        <f t="shared" ref="G18:R18" si="5">G16+G17</f>
        <v>0</v>
      </c>
      <c r="H18" s="47">
        <f t="shared" si="5"/>
        <v>0</v>
      </c>
      <c r="I18" s="47">
        <f t="shared" si="5"/>
        <v>0</v>
      </c>
      <c r="J18" s="48">
        <f t="shared" si="5"/>
        <v>0</v>
      </c>
      <c r="K18" s="46">
        <f t="shared" si="5"/>
        <v>0</v>
      </c>
      <c r="L18" s="47">
        <f t="shared" si="5"/>
        <v>0</v>
      </c>
      <c r="M18" s="47">
        <f t="shared" si="5"/>
        <v>0</v>
      </c>
      <c r="N18" s="47">
        <f t="shared" si="5"/>
        <v>0</v>
      </c>
      <c r="O18" s="47">
        <f t="shared" si="5"/>
        <v>0</v>
      </c>
      <c r="P18" s="49">
        <f t="shared" si="5"/>
        <v>12</v>
      </c>
      <c r="Q18" s="49">
        <f t="shared" si="5"/>
        <v>12</v>
      </c>
      <c r="R18" s="48">
        <f t="shared" si="5"/>
        <v>0</v>
      </c>
      <c r="S18" s="182"/>
      <c r="T18" s="171">
        <f>COUNTA(T3:T15)</f>
        <v>12</v>
      </c>
      <c r="U18" s="173">
        <f>COUNTA(U3:U15)</f>
        <v>0</v>
      </c>
      <c r="V18" s="175">
        <f>COUNTA(V3:V15)</f>
        <v>0</v>
      </c>
      <c r="W18" s="56" t="s">
        <v>132</v>
      </c>
      <c r="X18" s="51">
        <f t="shared" si="4"/>
        <v>24</v>
      </c>
    </row>
    <row r="19" spans="1:24" s="3" customFormat="1" ht="12" customHeight="1">
      <c r="A19" s="57"/>
      <c r="B19" s="58" t="s">
        <v>137</v>
      </c>
      <c r="C19" s="59">
        <f>X19</f>
        <v>24</v>
      </c>
      <c r="D19" s="59"/>
      <c r="E19" s="58"/>
      <c r="F19" s="60" t="s">
        <v>138</v>
      </c>
      <c r="G19" s="61">
        <f t="shared" ref="G19:R19" si="6">COUNTA(G3:G15)</f>
        <v>0</v>
      </c>
      <c r="H19" s="62">
        <f t="shared" si="6"/>
        <v>0</v>
      </c>
      <c r="I19" s="62">
        <f t="shared" si="6"/>
        <v>0</v>
      </c>
      <c r="J19" s="63">
        <f t="shared" si="6"/>
        <v>0</v>
      </c>
      <c r="K19" s="61">
        <f t="shared" si="6"/>
        <v>0</v>
      </c>
      <c r="L19" s="62">
        <f t="shared" si="6"/>
        <v>0</v>
      </c>
      <c r="M19" s="62">
        <f t="shared" si="6"/>
        <v>0</v>
      </c>
      <c r="N19" s="62">
        <f t="shared" si="6"/>
        <v>0</v>
      </c>
      <c r="O19" s="62">
        <f t="shared" si="6"/>
        <v>0</v>
      </c>
      <c r="P19" s="64">
        <f t="shared" si="6"/>
        <v>12</v>
      </c>
      <c r="Q19" s="64">
        <f t="shared" si="6"/>
        <v>12</v>
      </c>
      <c r="R19" s="63">
        <f t="shared" si="6"/>
        <v>0</v>
      </c>
      <c r="S19" s="183"/>
      <c r="T19" s="172"/>
      <c r="U19" s="174"/>
      <c r="V19" s="176"/>
      <c r="W19" s="65" t="s">
        <v>132</v>
      </c>
      <c r="X19" s="66">
        <f t="shared" si="4"/>
        <v>24</v>
      </c>
    </row>
  </sheetData>
  <mergeCells count="17">
    <mergeCell ref="T18:T19"/>
    <mergeCell ref="U18:U19"/>
    <mergeCell ref="V18:V19"/>
    <mergeCell ref="G1:J1"/>
    <mergeCell ref="K1:R1"/>
    <mergeCell ref="T1:V1"/>
    <mergeCell ref="S18:S19"/>
    <mergeCell ref="S1:S2"/>
    <mergeCell ref="W1:W2"/>
    <mergeCell ref="X1:X2"/>
    <mergeCell ref="T16:V17"/>
    <mergeCell ref="A1:A2"/>
    <mergeCell ref="B1:B2"/>
    <mergeCell ref="C1:C2"/>
    <mergeCell ref="D1:D2"/>
    <mergeCell ref="E1:E2"/>
    <mergeCell ref="F1:F2"/>
  </mergeCells>
  <phoneticPr fontId="12"/>
  <printOptions horizontalCentered="1"/>
  <pageMargins left="0.19685039370078741" right="0.19685039370078741" top="0.59055118110236227" bottom="0.59055118110236227" header="0.51181102362204722" footer="0.31496062992125984"/>
  <pageSetup paperSize="9" scale="56" fitToHeight="0" orientation="landscape" r:id="rId1"/>
  <headerFooter alignWithMargins="0">
    <oddFooter>&amp;RAll Rights Reserved Copyright © Fujitsu Ltd.2017</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B4ADE-5992-4FBC-8161-7599DCA7773B}">
  <sheetPr>
    <pageSetUpPr fitToPage="1"/>
  </sheetPr>
  <dimension ref="A1:X25"/>
  <sheetViews>
    <sheetView view="pageBreakPreview" topLeftCell="F1" zoomScaleNormal="110" zoomScaleSheetLayoutView="100" workbookViewId="0">
      <pane ySplit="2" topLeftCell="A10" activePane="bottomLeft" state="frozen"/>
      <selection activeCell="B8" sqref="B8"/>
      <selection pane="bottomLeft" activeCell="E28" sqref="E28"/>
    </sheetView>
  </sheetViews>
  <sheetFormatPr defaultColWidth="9.375" defaultRowHeight="9" customHeight="1"/>
  <cols>
    <col min="1" max="1" width="5.125" style="2" customWidth="1"/>
    <col min="2" max="2" width="16.875" style="2" customWidth="1"/>
    <col min="3" max="3" width="31.875" style="2" customWidth="1"/>
    <col min="4" max="4" width="26.125" style="2" customWidth="1"/>
    <col min="5" max="5" width="42" style="2" customWidth="1"/>
    <col min="6" max="6" width="53.125" style="2" bestFit="1" customWidth="1"/>
    <col min="7" max="13" width="4.5" style="4" bestFit="1" customWidth="1"/>
    <col min="14" max="16" width="4.5" style="4" customWidth="1"/>
    <col min="17" max="17" width="3.625" style="4" bestFit="1" customWidth="1"/>
    <col min="18" max="18" width="4.5" style="4" bestFit="1" customWidth="1"/>
    <col min="19" max="19" width="7.625"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61" t="s">
        <v>6</v>
      </c>
      <c r="B1" s="163" t="s">
        <v>7</v>
      </c>
      <c r="C1" s="165" t="s">
        <v>8</v>
      </c>
      <c r="D1" s="165" t="s">
        <v>9</v>
      </c>
      <c r="E1" s="167" t="s">
        <v>10</v>
      </c>
      <c r="F1" s="169" t="s">
        <v>11</v>
      </c>
      <c r="G1" s="177" t="s">
        <v>12</v>
      </c>
      <c r="H1" s="177"/>
      <c r="I1" s="177"/>
      <c r="J1" s="178"/>
      <c r="K1" s="179" t="s">
        <v>13</v>
      </c>
      <c r="L1" s="180"/>
      <c r="M1" s="180"/>
      <c r="N1" s="181"/>
      <c r="O1" s="181"/>
      <c r="P1" s="181"/>
      <c r="Q1" s="181"/>
      <c r="R1" s="181"/>
      <c r="S1" s="184" t="s">
        <v>139</v>
      </c>
      <c r="T1" s="177" t="s">
        <v>15</v>
      </c>
      <c r="U1" s="177"/>
      <c r="V1" s="177"/>
      <c r="W1" s="155" t="s">
        <v>16</v>
      </c>
      <c r="X1" s="155" t="s">
        <v>17</v>
      </c>
    </row>
    <row r="2" spans="1:24" s="1" customFormat="1" ht="22.8">
      <c r="A2" s="162"/>
      <c r="B2" s="164"/>
      <c r="C2" s="166"/>
      <c r="D2" s="166"/>
      <c r="E2" s="168"/>
      <c r="F2" s="170"/>
      <c r="G2" s="67" t="s">
        <v>18</v>
      </c>
      <c r="H2" s="68" t="s">
        <v>19</v>
      </c>
      <c r="I2" s="69" t="s">
        <v>20</v>
      </c>
      <c r="J2" s="69" t="s">
        <v>21</v>
      </c>
      <c r="K2" s="70" t="s">
        <v>18</v>
      </c>
      <c r="L2" s="69" t="s">
        <v>22</v>
      </c>
      <c r="M2" s="69" t="s">
        <v>23</v>
      </c>
      <c r="N2" s="69" t="s">
        <v>24</v>
      </c>
      <c r="O2" s="69" t="s">
        <v>25</v>
      </c>
      <c r="P2" s="69" t="s">
        <v>26</v>
      </c>
      <c r="Q2" s="69" t="s">
        <v>27</v>
      </c>
      <c r="R2" s="69" t="s">
        <v>28</v>
      </c>
      <c r="S2" s="185"/>
      <c r="T2" s="67" t="s">
        <v>29</v>
      </c>
      <c r="U2" s="68" t="s">
        <v>30</v>
      </c>
      <c r="V2" s="69" t="s">
        <v>31</v>
      </c>
      <c r="W2" s="156"/>
      <c r="X2" s="156"/>
    </row>
    <row r="3" spans="1:24" ht="11.4">
      <c r="A3" s="19">
        <f t="shared" ref="A3:A20" si="0">ROW()-2</f>
        <v>1</v>
      </c>
      <c r="B3" s="20" t="s">
        <v>32</v>
      </c>
      <c r="C3" s="20" t="s">
        <v>154</v>
      </c>
      <c r="D3" s="20"/>
      <c r="E3" s="30"/>
      <c r="F3" s="71"/>
      <c r="G3" s="21"/>
      <c r="H3" s="22"/>
      <c r="I3" s="22"/>
      <c r="J3" s="23"/>
      <c r="K3" s="21"/>
      <c r="L3" s="22"/>
      <c r="M3" s="22"/>
      <c r="N3" s="24"/>
      <c r="O3" s="24"/>
      <c r="P3" s="24"/>
      <c r="Q3" s="24"/>
      <c r="R3" s="23"/>
      <c r="S3" s="135"/>
      <c r="T3" s="25"/>
      <c r="U3" s="26"/>
      <c r="V3" s="27"/>
      <c r="W3" s="28"/>
      <c r="X3" s="29"/>
    </row>
    <row r="4" spans="1:24" ht="34.200000000000003">
      <c r="A4" s="19">
        <f>ROW()-2</f>
        <v>2</v>
      </c>
      <c r="B4" s="20" t="s">
        <v>34</v>
      </c>
      <c r="C4" s="20" t="s">
        <v>155</v>
      </c>
      <c r="D4" s="20" t="s">
        <v>156</v>
      </c>
      <c r="E4" s="30" t="s">
        <v>157</v>
      </c>
      <c r="F4" s="71" t="s">
        <v>158</v>
      </c>
      <c r="G4" s="21"/>
      <c r="H4" s="22"/>
      <c r="I4" s="22"/>
      <c r="J4" s="23"/>
      <c r="K4" s="21"/>
      <c r="L4" s="22"/>
      <c r="M4" s="22"/>
      <c r="N4" s="24"/>
      <c r="O4" s="24"/>
      <c r="P4" s="24" t="s">
        <v>39</v>
      </c>
      <c r="Q4" s="24"/>
      <c r="R4" s="23"/>
      <c r="S4" s="135">
        <v>45306</v>
      </c>
      <c r="T4" s="25">
        <v>45684</v>
      </c>
      <c r="U4" s="26"/>
      <c r="V4" s="27"/>
      <c r="W4" s="28"/>
      <c r="X4" s="29" t="s">
        <v>160</v>
      </c>
    </row>
    <row r="5" spans="1:24" ht="11.4">
      <c r="A5" s="19">
        <f>ROW()-2</f>
        <v>3</v>
      </c>
      <c r="B5" s="20"/>
      <c r="C5" s="20"/>
      <c r="D5" s="20" t="s">
        <v>161</v>
      </c>
      <c r="E5" s="30" t="s">
        <v>157</v>
      </c>
      <c r="F5" s="71" t="s">
        <v>162</v>
      </c>
      <c r="G5" s="21"/>
      <c r="H5" s="22"/>
      <c r="I5" s="22"/>
      <c r="J5" s="23"/>
      <c r="K5" s="21"/>
      <c r="L5" s="22"/>
      <c r="M5" s="22"/>
      <c r="N5" s="24"/>
      <c r="O5" s="24"/>
      <c r="P5" s="24" t="s">
        <v>39</v>
      </c>
      <c r="Q5" s="24"/>
      <c r="R5" s="23"/>
      <c r="S5" s="135">
        <v>45306</v>
      </c>
      <c r="T5" s="25">
        <v>45684</v>
      </c>
      <c r="U5" s="26"/>
      <c r="V5" s="27"/>
      <c r="W5" s="28"/>
      <c r="X5" s="29" t="s">
        <v>163</v>
      </c>
    </row>
    <row r="6" spans="1:24" ht="11.4">
      <c r="A6" s="19">
        <f t="shared" si="0"/>
        <v>4</v>
      </c>
      <c r="B6" s="20"/>
      <c r="C6" s="20"/>
      <c r="D6" s="20" t="s">
        <v>164</v>
      </c>
      <c r="E6" s="30" t="s">
        <v>157</v>
      </c>
      <c r="F6" s="71" t="s">
        <v>165</v>
      </c>
      <c r="G6" s="21"/>
      <c r="H6" s="22"/>
      <c r="I6" s="22"/>
      <c r="J6" s="23"/>
      <c r="K6" s="21"/>
      <c r="L6" s="22"/>
      <c r="M6" s="22"/>
      <c r="N6" s="24"/>
      <c r="O6" s="24"/>
      <c r="P6" s="24" t="s">
        <v>39</v>
      </c>
      <c r="Q6" s="24"/>
      <c r="R6" s="23"/>
      <c r="S6" s="135">
        <v>45306</v>
      </c>
      <c r="T6" s="25">
        <v>45684</v>
      </c>
      <c r="U6" s="26"/>
      <c r="V6" s="27"/>
      <c r="W6" s="28"/>
      <c r="X6" s="29" t="s">
        <v>163</v>
      </c>
    </row>
    <row r="7" spans="1:24" ht="11.4">
      <c r="A7" s="19">
        <f t="shared" si="0"/>
        <v>5</v>
      </c>
      <c r="B7" s="20"/>
      <c r="C7" s="20"/>
      <c r="D7" s="20" t="s">
        <v>166</v>
      </c>
      <c r="E7" s="30" t="s">
        <v>157</v>
      </c>
      <c r="F7" s="71" t="s">
        <v>167</v>
      </c>
      <c r="G7" s="21"/>
      <c r="H7" s="22"/>
      <c r="I7" s="22"/>
      <c r="J7" s="23"/>
      <c r="K7" s="21"/>
      <c r="L7" s="22"/>
      <c r="M7" s="22"/>
      <c r="N7" s="24"/>
      <c r="O7" s="24"/>
      <c r="P7" s="24" t="s">
        <v>39</v>
      </c>
      <c r="Q7" s="24"/>
      <c r="R7" s="23"/>
      <c r="S7" s="135">
        <v>45306</v>
      </c>
      <c r="T7" s="25">
        <v>45684</v>
      </c>
      <c r="U7" s="26"/>
      <c r="V7" s="27"/>
      <c r="W7" s="28"/>
      <c r="X7" s="29" t="s">
        <v>163</v>
      </c>
    </row>
    <row r="8" spans="1:24" ht="11.4">
      <c r="A8" s="19">
        <f t="shared" si="0"/>
        <v>6</v>
      </c>
      <c r="B8" s="20"/>
      <c r="C8" s="20"/>
      <c r="D8" s="20" t="s">
        <v>168</v>
      </c>
      <c r="E8" s="30" t="s">
        <v>157</v>
      </c>
      <c r="F8" s="71" t="s">
        <v>169</v>
      </c>
      <c r="G8" s="21"/>
      <c r="H8" s="22"/>
      <c r="I8" s="22"/>
      <c r="J8" s="23"/>
      <c r="K8" s="21"/>
      <c r="L8" s="22"/>
      <c r="M8" s="22"/>
      <c r="N8" s="24"/>
      <c r="O8" s="24"/>
      <c r="P8" s="24" t="s">
        <v>39</v>
      </c>
      <c r="Q8" s="24"/>
      <c r="R8" s="23"/>
      <c r="S8" s="135">
        <v>45306</v>
      </c>
      <c r="T8" s="25">
        <v>45684</v>
      </c>
      <c r="U8" s="26"/>
      <c r="V8" s="27"/>
      <c r="W8" s="28"/>
      <c r="X8" s="29" t="s">
        <v>163</v>
      </c>
    </row>
    <row r="9" spans="1:24" ht="57">
      <c r="A9" s="19">
        <f t="shared" si="0"/>
        <v>7</v>
      </c>
      <c r="B9" s="20"/>
      <c r="C9" s="20"/>
      <c r="D9" s="20" t="s">
        <v>170</v>
      </c>
      <c r="E9" s="30" t="s">
        <v>157</v>
      </c>
      <c r="F9" s="71" t="s">
        <v>171</v>
      </c>
      <c r="G9" s="21"/>
      <c r="H9" s="22"/>
      <c r="I9" s="22"/>
      <c r="J9" s="23"/>
      <c r="K9" s="21"/>
      <c r="L9" s="22"/>
      <c r="M9" s="22"/>
      <c r="N9" s="24"/>
      <c r="O9" s="24"/>
      <c r="P9" s="24" t="s">
        <v>39</v>
      </c>
      <c r="Q9" s="24"/>
      <c r="R9" s="23"/>
      <c r="S9" s="135">
        <v>45306</v>
      </c>
      <c r="T9" s="25">
        <v>45684</v>
      </c>
      <c r="U9" s="26"/>
      <c r="V9" s="27"/>
      <c r="W9" s="28"/>
      <c r="X9" s="29" t="s">
        <v>163</v>
      </c>
    </row>
    <row r="10" spans="1:24" ht="68.400000000000006">
      <c r="A10" s="19">
        <f t="shared" si="0"/>
        <v>8</v>
      </c>
      <c r="B10" s="20"/>
      <c r="C10" s="20"/>
      <c r="D10" s="30" t="s">
        <v>172</v>
      </c>
      <c r="E10" s="30" t="s">
        <v>157</v>
      </c>
      <c r="F10" s="71" t="s">
        <v>173</v>
      </c>
      <c r="G10" s="21"/>
      <c r="H10" s="22"/>
      <c r="I10" s="22"/>
      <c r="J10" s="23"/>
      <c r="K10" s="21"/>
      <c r="L10" s="22"/>
      <c r="M10" s="22"/>
      <c r="N10" s="24"/>
      <c r="O10" s="24"/>
      <c r="P10" s="24" t="s">
        <v>39</v>
      </c>
      <c r="Q10" s="24"/>
      <c r="R10" s="23"/>
      <c r="S10" s="135">
        <v>45306</v>
      </c>
      <c r="T10" s="25">
        <v>45684</v>
      </c>
      <c r="U10" s="26"/>
      <c r="V10" s="27"/>
      <c r="W10" s="28"/>
      <c r="X10" s="29" t="s">
        <v>163</v>
      </c>
    </row>
    <row r="11" spans="1:24" ht="11.4">
      <c r="A11" s="19">
        <f t="shared" si="0"/>
        <v>9</v>
      </c>
      <c r="B11" s="20"/>
      <c r="C11" s="20"/>
      <c r="D11" s="30" t="s">
        <v>174</v>
      </c>
      <c r="E11" s="30" t="s">
        <v>157</v>
      </c>
      <c r="F11" s="71" t="s">
        <v>175</v>
      </c>
      <c r="G11" s="21"/>
      <c r="H11" s="22"/>
      <c r="I11" s="22"/>
      <c r="J11" s="23"/>
      <c r="K11" s="21"/>
      <c r="L11" s="22"/>
      <c r="M11" s="22"/>
      <c r="N11" s="24"/>
      <c r="O11" s="24"/>
      <c r="P11" s="24" t="s">
        <v>39</v>
      </c>
      <c r="Q11" s="24"/>
      <c r="R11" s="23"/>
      <c r="S11" s="135">
        <v>45306</v>
      </c>
      <c r="T11" s="25">
        <v>45684</v>
      </c>
      <c r="U11" s="26"/>
      <c r="V11" s="27"/>
      <c r="W11" s="28"/>
      <c r="X11" s="29" t="s">
        <v>163</v>
      </c>
    </row>
    <row r="12" spans="1:24" ht="22.8">
      <c r="A12" s="19">
        <f t="shared" si="0"/>
        <v>10</v>
      </c>
      <c r="B12" s="20"/>
      <c r="C12" s="20"/>
      <c r="D12" s="30" t="s">
        <v>176</v>
      </c>
      <c r="E12" s="30" t="s">
        <v>157</v>
      </c>
      <c r="F12" s="71" t="s">
        <v>177</v>
      </c>
      <c r="G12" s="21"/>
      <c r="H12" s="22"/>
      <c r="I12" s="22"/>
      <c r="J12" s="23"/>
      <c r="K12" s="21"/>
      <c r="L12" s="22"/>
      <c r="M12" s="22"/>
      <c r="N12" s="24"/>
      <c r="O12" s="24"/>
      <c r="P12" s="24" t="s">
        <v>39</v>
      </c>
      <c r="Q12" s="24"/>
      <c r="R12" s="23"/>
      <c r="S12" s="135">
        <v>45306</v>
      </c>
      <c r="T12" s="25">
        <v>45684</v>
      </c>
      <c r="U12" s="26"/>
      <c r="V12" s="27"/>
      <c r="W12" s="28"/>
      <c r="X12" s="74" t="s">
        <v>178</v>
      </c>
    </row>
    <row r="13" spans="1:24" ht="34.200000000000003">
      <c r="A13" s="19">
        <f t="shared" si="0"/>
        <v>11</v>
      </c>
      <c r="B13" s="20"/>
      <c r="C13" s="20"/>
      <c r="D13" s="30" t="s">
        <v>179</v>
      </c>
      <c r="E13" s="30" t="s">
        <v>157</v>
      </c>
      <c r="F13" s="72" t="s">
        <v>180</v>
      </c>
      <c r="G13" s="21"/>
      <c r="H13" s="22"/>
      <c r="I13" s="22"/>
      <c r="J13" s="23"/>
      <c r="K13" s="21"/>
      <c r="L13" s="22"/>
      <c r="M13" s="22"/>
      <c r="N13" s="24"/>
      <c r="O13" s="24"/>
      <c r="P13" s="24" t="s">
        <v>39</v>
      </c>
      <c r="Q13" s="24"/>
      <c r="R13" s="23"/>
      <c r="S13" s="135">
        <v>45306</v>
      </c>
      <c r="T13" s="25">
        <v>45684</v>
      </c>
      <c r="U13" s="26"/>
      <c r="V13" s="27"/>
      <c r="W13" s="28"/>
      <c r="X13" s="29" t="s">
        <v>163</v>
      </c>
    </row>
    <row r="14" spans="1:24" ht="11.4">
      <c r="A14" s="19">
        <f t="shared" si="0"/>
        <v>12</v>
      </c>
      <c r="B14" s="20"/>
      <c r="C14" s="20"/>
      <c r="D14" s="20" t="s">
        <v>181</v>
      </c>
      <c r="E14" s="30" t="s">
        <v>157</v>
      </c>
      <c r="F14" s="71" t="s">
        <v>169</v>
      </c>
      <c r="G14" s="21"/>
      <c r="H14" s="22"/>
      <c r="I14" s="22"/>
      <c r="J14" s="23"/>
      <c r="K14" s="21"/>
      <c r="L14" s="22"/>
      <c r="M14" s="22"/>
      <c r="N14" s="24"/>
      <c r="O14" s="24"/>
      <c r="P14" s="24" t="s">
        <v>39</v>
      </c>
      <c r="Q14" s="24"/>
      <c r="R14" s="23"/>
      <c r="S14" s="135">
        <v>45306</v>
      </c>
      <c r="T14" s="25">
        <v>45684</v>
      </c>
      <c r="U14" s="26"/>
      <c r="V14" s="27"/>
      <c r="W14" s="28"/>
      <c r="X14" s="29" t="s">
        <v>163</v>
      </c>
    </row>
    <row r="15" spans="1:24" ht="45.6">
      <c r="A15" s="19">
        <f t="shared" si="0"/>
        <v>13</v>
      </c>
      <c r="B15" s="20"/>
      <c r="C15" s="20"/>
      <c r="D15" s="20" t="s">
        <v>182</v>
      </c>
      <c r="E15" s="30" t="s">
        <v>157</v>
      </c>
      <c r="F15" s="71" t="s">
        <v>183</v>
      </c>
      <c r="G15" s="21"/>
      <c r="H15" s="22"/>
      <c r="I15" s="22"/>
      <c r="J15" s="23"/>
      <c r="K15" s="21"/>
      <c r="L15" s="22"/>
      <c r="M15" s="22"/>
      <c r="N15" s="24"/>
      <c r="O15" s="24"/>
      <c r="P15" s="24" t="s">
        <v>39</v>
      </c>
      <c r="Q15" s="24"/>
      <c r="R15" s="23"/>
      <c r="S15" s="135">
        <v>45306</v>
      </c>
      <c r="T15" s="25">
        <v>45684</v>
      </c>
      <c r="U15" s="26"/>
      <c r="V15" s="27"/>
      <c r="W15" s="28"/>
      <c r="X15" s="29" t="s">
        <v>163</v>
      </c>
    </row>
    <row r="16" spans="1:24" ht="45.6">
      <c r="A16" s="19">
        <f t="shared" si="0"/>
        <v>14</v>
      </c>
      <c r="B16" s="20"/>
      <c r="C16" s="20"/>
      <c r="D16" s="20" t="s">
        <v>184</v>
      </c>
      <c r="E16" s="30" t="s">
        <v>157</v>
      </c>
      <c r="F16" s="71" t="s">
        <v>185</v>
      </c>
      <c r="G16" s="21"/>
      <c r="H16" s="22"/>
      <c r="I16" s="22"/>
      <c r="J16" s="23"/>
      <c r="K16" s="21"/>
      <c r="L16" s="22"/>
      <c r="M16" s="22"/>
      <c r="N16" s="24"/>
      <c r="O16" s="24"/>
      <c r="P16" s="24" t="s">
        <v>39</v>
      </c>
      <c r="Q16" s="24"/>
      <c r="R16" s="23"/>
      <c r="S16" s="135">
        <v>45306</v>
      </c>
      <c r="T16" s="25">
        <v>45684</v>
      </c>
      <c r="U16" s="26"/>
      <c r="V16" s="27"/>
      <c r="W16" s="28"/>
      <c r="X16" s="29" t="s">
        <v>163</v>
      </c>
    </row>
    <row r="17" spans="1:24" ht="11.4">
      <c r="A17" s="19">
        <f t="shared" si="0"/>
        <v>15</v>
      </c>
      <c r="B17" s="20"/>
      <c r="C17" s="20"/>
      <c r="D17" s="30" t="s">
        <v>186</v>
      </c>
      <c r="E17" s="30" t="s">
        <v>157</v>
      </c>
      <c r="F17" s="71" t="s">
        <v>187</v>
      </c>
      <c r="G17" s="21"/>
      <c r="H17" s="22"/>
      <c r="I17" s="22"/>
      <c r="J17" s="23"/>
      <c r="K17" s="21"/>
      <c r="L17" s="22"/>
      <c r="M17" s="22"/>
      <c r="N17" s="24"/>
      <c r="O17" s="24"/>
      <c r="P17" s="24" t="s">
        <v>39</v>
      </c>
      <c r="Q17" s="24"/>
      <c r="R17" s="23"/>
      <c r="S17" s="135">
        <v>45306</v>
      </c>
      <c r="T17" s="25">
        <v>45684</v>
      </c>
      <c r="U17" s="26"/>
      <c r="V17" s="27"/>
      <c r="W17" s="28"/>
      <c r="X17" s="29" t="s">
        <v>163</v>
      </c>
    </row>
    <row r="18" spans="1:24" ht="11.4">
      <c r="A18" s="19">
        <f t="shared" si="0"/>
        <v>16</v>
      </c>
      <c r="B18" s="20"/>
      <c r="C18" s="20"/>
      <c r="D18" s="30" t="s">
        <v>188</v>
      </c>
      <c r="E18" s="30" t="s">
        <v>157</v>
      </c>
      <c r="F18" s="71" t="s">
        <v>189</v>
      </c>
      <c r="G18" s="21"/>
      <c r="H18" s="22"/>
      <c r="I18" s="22"/>
      <c r="J18" s="23"/>
      <c r="K18" s="21"/>
      <c r="L18" s="22"/>
      <c r="M18" s="22"/>
      <c r="N18" s="24"/>
      <c r="O18" s="24"/>
      <c r="P18" s="24" t="s">
        <v>39</v>
      </c>
      <c r="Q18" s="24"/>
      <c r="R18" s="23"/>
      <c r="S18" s="135">
        <v>45306</v>
      </c>
      <c r="T18" s="25">
        <v>45684</v>
      </c>
      <c r="U18" s="26"/>
      <c r="V18" s="27"/>
      <c r="W18" s="28"/>
      <c r="X18" s="29" t="s">
        <v>163</v>
      </c>
    </row>
    <row r="19" spans="1:24" ht="22.8">
      <c r="A19" s="19">
        <f t="shared" si="0"/>
        <v>17</v>
      </c>
      <c r="B19" s="20"/>
      <c r="C19" s="20"/>
      <c r="D19" s="30" t="s">
        <v>190</v>
      </c>
      <c r="E19" s="30" t="s">
        <v>157</v>
      </c>
      <c r="F19" s="71" t="s">
        <v>191</v>
      </c>
      <c r="G19" s="21"/>
      <c r="H19" s="22"/>
      <c r="I19" s="22"/>
      <c r="J19" s="23"/>
      <c r="K19" s="21"/>
      <c r="L19" s="22"/>
      <c r="M19" s="22"/>
      <c r="N19" s="24"/>
      <c r="O19" s="24"/>
      <c r="P19" s="24" t="s">
        <v>39</v>
      </c>
      <c r="Q19" s="24"/>
      <c r="R19" s="23"/>
      <c r="S19" s="135">
        <v>45306</v>
      </c>
      <c r="T19" s="25">
        <v>45684</v>
      </c>
      <c r="U19" s="26"/>
      <c r="V19" s="27"/>
      <c r="W19" s="28"/>
      <c r="X19" s="29" t="s">
        <v>163</v>
      </c>
    </row>
    <row r="20" spans="1:24" ht="11.4">
      <c r="A20" s="19">
        <f t="shared" si="0"/>
        <v>18</v>
      </c>
      <c r="B20" s="20"/>
      <c r="C20" s="20" t="s">
        <v>192</v>
      </c>
      <c r="D20" s="30"/>
      <c r="E20" s="30" t="s">
        <v>193</v>
      </c>
      <c r="F20" s="71" t="s">
        <v>194</v>
      </c>
      <c r="G20" s="21"/>
      <c r="H20" s="22"/>
      <c r="I20" s="22"/>
      <c r="J20" s="23"/>
      <c r="K20" s="21"/>
      <c r="L20" s="22"/>
      <c r="M20" s="22"/>
      <c r="N20" s="24" t="s">
        <v>159</v>
      </c>
      <c r="O20" s="24"/>
      <c r="P20" s="24"/>
      <c r="Q20" s="24"/>
      <c r="R20" s="23"/>
      <c r="S20" s="135">
        <v>45306</v>
      </c>
      <c r="T20" s="25"/>
      <c r="U20" s="26"/>
      <c r="V20" s="27"/>
      <c r="W20" s="28"/>
      <c r="X20" s="29"/>
    </row>
    <row r="21" spans="1:24" ht="11.4">
      <c r="A21" s="19">
        <f t="shared" ref="A21" si="1">ROW()-2</f>
        <v>19</v>
      </c>
      <c r="B21" s="20"/>
      <c r="C21" s="20"/>
      <c r="D21" s="30"/>
      <c r="E21" s="30"/>
      <c r="F21" s="72" t="s">
        <v>195</v>
      </c>
      <c r="G21" s="21"/>
      <c r="H21" s="22"/>
      <c r="I21" s="22"/>
      <c r="J21" s="23"/>
      <c r="K21" s="21"/>
      <c r="L21" s="22"/>
      <c r="M21" s="22"/>
      <c r="N21" s="24"/>
      <c r="O21" s="24"/>
      <c r="P21" s="24"/>
      <c r="Q21" s="24"/>
      <c r="R21" s="23" t="s">
        <v>196</v>
      </c>
      <c r="S21" s="135">
        <v>45306</v>
      </c>
      <c r="T21" s="25"/>
      <c r="U21" s="26"/>
      <c r="V21" s="27"/>
      <c r="W21" s="28"/>
      <c r="X21" s="29"/>
    </row>
    <row r="22" spans="1:24" s="3" customFormat="1" ht="12" customHeight="1">
      <c r="A22" s="32"/>
      <c r="B22" s="33"/>
      <c r="C22" s="34"/>
      <c r="D22" s="34"/>
      <c r="E22" s="33"/>
      <c r="F22" s="35" t="s">
        <v>130</v>
      </c>
      <c r="G22" s="36">
        <f t="shared" ref="G22:R22" si="2">COUNTIF(G3:G21,"●")</f>
        <v>0</v>
      </c>
      <c r="H22" s="37">
        <f t="shared" si="2"/>
        <v>0</v>
      </c>
      <c r="I22" s="37">
        <f t="shared" si="2"/>
        <v>0</v>
      </c>
      <c r="J22" s="38">
        <f t="shared" si="2"/>
        <v>0</v>
      </c>
      <c r="K22" s="36">
        <f t="shared" si="2"/>
        <v>0</v>
      </c>
      <c r="L22" s="37">
        <f t="shared" si="2"/>
        <v>0</v>
      </c>
      <c r="M22" s="37">
        <f t="shared" si="2"/>
        <v>0</v>
      </c>
      <c r="N22" s="37">
        <f t="shared" si="2"/>
        <v>0</v>
      </c>
      <c r="O22" s="37">
        <f t="shared" si="2"/>
        <v>0</v>
      </c>
      <c r="P22" s="39">
        <f t="shared" si="2"/>
        <v>16</v>
      </c>
      <c r="Q22" s="39">
        <f t="shared" si="2"/>
        <v>0</v>
      </c>
      <c r="R22" s="38">
        <f t="shared" si="2"/>
        <v>0</v>
      </c>
      <c r="S22" s="136"/>
      <c r="T22" s="157" t="s">
        <v>131</v>
      </c>
      <c r="U22" s="157"/>
      <c r="V22" s="158"/>
      <c r="W22" s="40" t="s">
        <v>132</v>
      </c>
      <c r="X22" s="41">
        <f>SUM(G22:R22)</f>
        <v>16</v>
      </c>
    </row>
    <row r="23" spans="1:24" s="3" customFormat="1" ht="12" customHeight="1">
      <c r="A23" s="42"/>
      <c r="B23" s="43" t="s">
        <v>133</v>
      </c>
      <c r="C23" s="44">
        <f>X24</f>
        <v>16</v>
      </c>
      <c r="D23" s="44"/>
      <c r="E23" s="43"/>
      <c r="F23" s="45" t="s">
        <v>134</v>
      </c>
      <c r="G23" s="46">
        <f t="shared" ref="G23:R23" si="3">COUNTIF(G3:G21,"×")</f>
        <v>0</v>
      </c>
      <c r="H23" s="47">
        <f t="shared" si="3"/>
        <v>0</v>
      </c>
      <c r="I23" s="47">
        <f t="shared" si="3"/>
        <v>0</v>
      </c>
      <c r="J23" s="48">
        <f t="shared" si="3"/>
        <v>0</v>
      </c>
      <c r="K23" s="46">
        <f t="shared" si="3"/>
        <v>0</v>
      </c>
      <c r="L23" s="47">
        <f t="shared" si="3"/>
        <v>0</v>
      </c>
      <c r="M23" s="47">
        <f t="shared" si="3"/>
        <v>0</v>
      </c>
      <c r="N23" s="47">
        <f t="shared" si="3"/>
        <v>0</v>
      </c>
      <c r="O23" s="47">
        <f t="shared" si="3"/>
        <v>0</v>
      </c>
      <c r="P23" s="49">
        <f t="shared" si="3"/>
        <v>0</v>
      </c>
      <c r="Q23" s="49">
        <f t="shared" si="3"/>
        <v>0</v>
      </c>
      <c r="R23" s="48">
        <f t="shared" si="3"/>
        <v>0</v>
      </c>
      <c r="S23" s="137"/>
      <c r="T23" s="159"/>
      <c r="U23" s="159"/>
      <c r="V23" s="160"/>
      <c r="W23" s="50" t="s">
        <v>132</v>
      </c>
      <c r="X23" s="51">
        <f t="shared" ref="X23:X25" si="4">SUM(G23:R23)</f>
        <v>0</v>
      </c>
    </row>
    <row r="24" spans="1:24" s="3" customFormat="1" ht="12" customHeight="1">
      <c r="A24" s="52" t="s">
        <v>135</v>
      </c>
      <c r="B24" s="53"/>
      <c r="C24" s="54"/>
      <c r="D24" s="54"/>
      <c r="E24" s="53"/>
      <c r="F24" s="55" t="s">
        <v>136</v>
      </c>
      <c r="G24" s="46">
        <f t="shared" ref="G24:R24" si="5">G22+G23</f>
        <v>0</v>
      </c>
      <c r="H24" s="47">
        <f t="shared" si="5"/>
        <v>0</v>
      </c>
      <c r="I24" s="47">
        <f t="shared" si="5"/>
        <v>0</v>
      </c>
      <c r="J24" s="48">
        <f t="shared" si="5"/>
        <v>0</v>
      </c>
      <c r="K24" s="46">
        <f t="shared" si="5"/>
        <v>0</v>
      </c>
      <c r="L24" s="47">
        <f t="shared" si="5"/>
        <v>0</v>
      </c>
      <c r="M24" s="47">
        <f t="shared" si="5"/>
        <v>0</v>
      </c>
      <c r="N24" s="47">
        <f t="shared" si="5"/>
        <v>0</v>
      </c>
      <c r="O24" s="47">
        <f t="shared" si="5"/>
        <v>0</v>
      </c>
      <c r="P24" s="49">
        <f t="shared" si="5"/>
        <v>16</v>
      </c>
      <c r="Q24" s="49">
        <f t="shared" si="5"/>
        <v>0</v>
      </c>
      <c r="R24" s="48">
        <f t="shared" si="5"/>
        <v>0</v>
      </c>
      <c r="S24" s="182"/>
      <c r="T24" s="171">
        <f>COUNTA(T3:T21)</f>
        <v>16</v>
      </c>
      <c r="U24" s="173">
        <f>COUNTA(U3:U21)</f>
        <v>0</v>
      </c>
      <c r="V24" s="175">
        <f>COUNTA(V3:V21)</f>
        <v>0</v>
      </c>
      <c r="W24" s="56" t="s">
        <v>132</v>
      </c>
      <c r="X24" s="51">
        <f t="shared" si="4"/>
        <v>16</v>
      </c>
    </row>
    <row r="25" spans="1:24" s="3" customFormat="1" ht="12" customHeight="1">
      <c r="A25" s="57"/>
      <c r="B25" s="58" t="s">
        <v>137</v>
      </c>
      <c r="C25" s="59">
        <f>X25</f>
        <v>18</v>
      </c>
      <c r="D25" s="59"/>
      <c r="E25" s="58"/>
      <c r="F25" s="60" t="s">
        <v>138</v>
      </c>
      <c r="G25" s="61">
        <f t="shared" ref="G25:R25" si="6">COUNTA(G3:G21)</f>
        <v>0</v>
      </c>
      <c r="H25" s="62">
        <f t="shared" si="6"/>
        <v>0</v>
      </c>
      <c r="I25" s="62">
        <f t="shared" si="6"/>
        <v>0</v>
      </c>
      <c r="J25" s="63">
        <f t="shared" si="6"/>
        <v>0</v>
      </c>
      <c r="K25" s="61">
        <f t="shared" si="6"/>
        <v>0</v>
      </c>
      <c r="L25" s="62">
        <f t="shared" si="6"/>
        <v>0</v>
      </c>
      <c r="M25" s="62">
        <f t="shared" si="6"/>
        <v>0</v>
      </c>
      <c r="N25" s="62">
        <f t="shared" si="6"/>
        <v>1</v>
      </c>
      <c r="O25" s="62">
        <f t="shared" si="6"/>
        <v>0</v>
      </c>
      <c r="P25" s="64">
        <f t="shared" si="6"/>
        <v>16</v>
      </c>
      <c r="Q25" s="64">
        <f t="shared" si="6"/>
        <v>0</v>
      </c>
      <c r="R25" s="63">
        <f t="shared" si="6"/>
        <v>1</v>
      </c>
      <c r="S25" s="183"/>
      <c r="T25" s="172"/>
      <c r="U25" s="174"/>
      <c r="V25" s="176"/>
      <c r="W25" s="65" t="s">
        <v>132</v>
      </c>
      <c r="X25" s="66">
        <f t="shared" si="4"/>
        <v>18</v>
      </c>
    </row>
  </sheetData>
  <mergeCells count="17">
    <mergeCell ref="T24:T25"/>
    <mergeCell ref="U24:U25"/>
    <mergeCell ref="V24:V25"/>
    <mergeCell ref="G1:J1"/>
    <mergeCell ref="K1:R1"/>
    <mergeCell ref="T1:V1"/>
    <mergeCell ref="S24:S25"/>
    <mergeCell ref="S1:S2"/>
    <mergeCell ref="W1:W2"/>
    <mergeCell ref="X1:X2"/>
    <mergeCell ref="T22:V23"/>
    <mergeCell ref="A1:A2"/>
    <mergeCell ref="B1:B2"/>
    <mergeCell ref="C1:C2"/>
    <mergeCell ref="D1:D2"/>
    <mergeCell ref="E1:E2"/>
    <mergeCell ref="F1:F2"/>
  </mergeCells>
  <phoneticPr fontId="12"/>
  <hyperlinks>
    <hyperlink ref="X12" location="【リンク】表B!A1" display="表B" xr:uid="{E9869E45-110A-4C65-A0F4-31037050B200}"/>
  </hyperlinks>
  <printOptions horizontalCentered="1"/>
  <pageMargins left="0.19685039370078741" right="0.19685039370078741" top="0.59055118110236227" bottom="0.59055118110236227" header="0.51181102362204722" footer="0.31496062992125984"/>
  <pageSetup paperSize="9" scale="53" fitToHeight="0" orientation="landscape" r:id="rId1"/>
  <headerFooter alignWithMargins="0">
    <oddFooter>&amp;RAll Rights Reserved Copyright © Fujitsu Ltd.2017</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CB04D-DD85-4512-A594-EAF2F65C3A05}">
  <sheetPr>
    <pageSetUpPr fitToPage="1"/>
  </sheetPr>
  <dimension ref="A1:X250"/>
  <sheetViews>
    <sheetView view="pageBreakPreview" topLeftCell="E1" zoomScale="85" zoomScaleNormal="110" zoomScaleSheetLayoutView="85" workbookViewId="0">
      <pane ySplit="2" topLeftCell="A45" activePane="bottomLeft" state="frozen"/>
      <selection activeCell="B8" sqref="B8"/>
      <selection pane="bottomLeft" activeCell="X35" sqref="X35"/>
    </sheetView>
  </sheetViews>
  <sheetFormatPr defaultColWidth="9.375" defaultRowHeight="9" customHeight="1"/>
  <cols>
    <col min="1" max="1" width="5.125" style="2" customWidth="1"/>
    <col min="2" max="2" width="21.125" style="2" bestFit="1" customWidth="1"/>
    <col min="3" max="3" width="39.375" style="2" customWidth="1"/>
    <col min="4" max="4" width="18.125" style="2" customWidth="1"/>
    <col min="5" max="5" width="42" style="2" customWidth="1"/>
    <col min="6" max="6" width="45" style="2" customWidth="1"/>
    <col min="7" max="13" width="4.5" style="4" bestFit="1" customWidth="1"/>
    <col min="14" max="16" width="4.5" style="4" customWidth="1"/>
    <col min="17" max="17" width="3.625" style="4" bestFit="1" customWidth="1"/>
    <col min="18" max="18" width="4.5" style="4" bestFit="1" customWidth="1"/>
    <col min="19" max="19" width="8"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61" t="s">
        <v>6</v>
      </c>
      <c r="B1" s="163" t="s">
        <v>7</v>
      </c>
      <c r="C1" s="165" t="s">
        <v>8</v>
      </c>
      <c r="D1" s="165" t="s">
        <v>9</v>
      </c>
      <c r="E1" s="167" t="s">
        <v>10</v>
      </c>
      <c r="F1" s="169" t="s">
        <v>11</v>
      </c>
      <c r="G1" s="177" t="s">
        <v>12</v>
      </c>
      <c r="H1" s="177"/>
      <c r="I1" s="177"/>
      <c r="J1" s="178"/>
      <c r="K1" s="179" t="s">
        <v>13</v>
      </c>
      <c r="L1" s="180"/>
      <c r="M1" s="180"/>
      <c r="N1" s="181"/>
      <c r="O1" s="181"/>
      <c r="P1" s="181"/>
      <c r="Q1" s="181"/>
      <c r="R1" s="181"/>
      <c r="S1" s="184" t="s">
        <v>139</v>
      </c>
      <c r="T1" s="177" t="s">
        <v>15</v>
      </c>
      <c r="U1" s="177"/>
      <c r="V1" s="177"/>
      <c r="W1" s="155" t="s">
        <v>16</v>
      </c>
      <c r="X1" s="155" t="s">
        <v>17</v>
      </c>
    </row>
    <row r="2" spans="1:24" s="1" customFormat="1" ht="22.8">
      <c r="A2" s="162"/>
      <c r="B2" s="164"/>
      <c r="C2" s="166"/>
      <c r="D2" s="166"/>
      <c r="E2" s="168"/>
      <c r="F2" s="170"/>
      <c r="G2" s="67" t="s">
        <v>18</v>
      </c>
      <c r="H2" s="68" t="s">
        <v>19</v>
      </c>
      <c r="I2" s="69" t="s">
        <v>20</v>
      </c>
      <c r="J2" s="69" t="s">
        <v>21</v>
      </c>
      <c r="K2" s="70" t="s">
        <v>18</v>
      </c>
      <c r="L2" s="69" t="s">
        <v>22</v>
      </c>
      <c r="M2" s="69" t="s">
        <v>23</v>
      </c>
      <c r="N2" s="69" t="s">
        <v>24</v>
      </c>
      <c r="O2" s="69" t="s">
        <v>25</v>
      </c>
      <c r="P2" s="69" t="s">
        <v>26</v>
      </c>
      <c r="Q2" s="69" t="s">
        <v>27</v>
      </c>
      <c r="R2" s="69" t="s">
        <v>28</v>
      </c>
      <c r="S2" s="185"/>
      <c r="T2" s="67" t="s">
        <v>29</v>
      </c>
      <c r="U2" s="68" t="s">
        <v>30</v>
      </c>
      <c r="V2" s="69" t="s">
        <v>31</v>
      </c>
      <c r="W2" s="156"/>
      <c r="X2" s="156"/>
    </row>
    <row r="3" spans="1:24" ht="22.8">
      <c r="A3" s="19">
        <f t="shared" ref="A3" si="0">ROW()-2</f>
        <v>1</v>
      </c>
      <c r="B3" s="20" t="s">
        <v>32</v>
      </c>
      <c r="C3" s="20" t="s">
        <v>197</v>
      </c>
      <c r="D3" s="20"/>
      <c r="E3" s="30"/>
      <c r="F3" s="71"/>
      <c r="G3" s="21"/>
      <c r="H3" s="22"/>
      <c r="I3" s="22"/>
      <c r="J3" s="23"/>
      <c r="K3" s="21"/>
      <c r="L3" s="22"/>
      <c r="M3" s="22"/>
      <c r="N3" s="24"/>
      <c r="O3" s="24"/>
      <c r="P3" s="24"/>
      <c r="Q3" s="24"/>
      <c r="R3" s="23"/>
      <c r="S3" s="135"/>
      <c r="T3" s="25"/>
      <c r="U3" s="26"/>
      <c r="V3" s="27"/>
      <c r="W3" s="28"/>
      <c r="X3" s="29"/>
    </row>
    <row r="4" spans="1:24" ht="34.200000000000003">
      <c r="A4" s="19">
        <f>ROW()-2</f>
        <v>2</v>
      </c>
      <c r="B4" s="20" t="s">
        <v>198</v>
      </c>
      <c r="C4" s="20" t="s">
        <v>199</v>
      </c>
      <c r="D4" s="20" t="s">
        <v>200</v>
      </c>
      <c r="E4" s="30" t="s">
        <v>201</v>
      </c>
      <c r="F4" s="71" t="s">
        <v>202</v>
      </c>
      <c r="G4" s="21"/>
      <c r="H4" s="22"/>
      <c r="I4" s="22"/>
      <c r="J4" s="23"/>
      <c r="K4" s="21"/>
      <c r="L4" s="22"/>
      <c r="M4" s="22"/>
      <c r="N4" s="24"/>
      <c r="O4" s="24"/>
      <c r="P4" s="24" t="s">
        <v>159</v>
      </c>
      <c r="Q4" s="24"/>
      <c r="R4" s="23"/>
      <c r="S4" s="135">
        <v>45311</v>
      </c>
      <c r="T4" s="146">
        <v>45679</v>
      </c>
      <c r="U4" s="26"/>
      <c r="V4" s="27"/>
      <c r="W4" s="28"/>
      <c r="X4" s="29" t="s">
        <v>203</v>
      </c>
    </row>
    <row r="5" spans="1:24" ht="11.4">
      <c r="A5" s="19">
        <f t="shared" ref="A5:A7" si="1">ROW()-2</f>
        <v>3</v>
      </c>
      <c r="B5" s="20"/>
      <c r="C5" s="20"/>
      <c r="D5" s="20" t="s">
        <v>204</v>
      </c>
      <c r="E5" s="30" t="s">
        <v>201</v>
      </c>
      <c r="F5" s="71" t="s">
        <v>205</v>
      </c>
      <c r="G5" s="21"/>
      <c r="H5" s="22"/>
      <c r="I5" s="22"/>
      <c r="J5" s="23"/>
      <c r="K5" s="21"/>
      <c r="L5" s="22"/>
      <c r="M5" s="22"/>
      <c r="N5" s="24"/>
      <c r="O5" s="24"/>
      <c r="P5" s="24" t="s">
        <v>159</v>
      </c>
      <c r="Q5" s="24"/>
      <c r="R5" s="23"/>
      <c r="S5" s="135">
        <v>45311</v>
      </c>
      <c r="T5" s="146">
        <v>45679</v>
      </c>
      <c r="U5" s="26"/>
      <c r="V5" s="27"/>
      <c r="W5" s="28"/>
      <c r="X5" s="29" t="s">
        <v>163</v>
      </c>
    </row>
    <row r="6" spans="1:24" ht="11.4">
      <c r="A6" s="19">
        <f t="shared" si="1"/>
        <v>4</v>
      </c>
      <c r="B6" s="20"/>
      <c r="C6" s="20"/>
      <c r="D6" s="20" t="s">
        <v>206</v>
      </c>
      <c r="E6" s="30" t="s">
        <v>201</v>
      </c>
      <c r="F6" s="71" t="s">
        <v>207</v>
      </c>
      <c r="G6" s="21"/>
      <c r="H6" s="22"/>
      <c r="I6" s="22"/>
      <c r="J6" s="23"/>
      <c r="K6" s="21"/>
      <c r="L6" s="22"/>
      <c r="M6" s="22"/>
      <c r="N6" s="24"/>
      <c r="O6" s="24"/>
      <c r="P6" s="24" t="s">
        <v>159</v>
      </c>
      <c r="Q6" s="24"/>
      <c r="R6" s="23"/>
      <c r="S6" s="135">
        <v>45311</v>
      </c>
      <c r="T6" s="146">
        <v>45679</v>
      </c>
      <c r="U6" s="26"/>
      <c r="V6" s="27"/>
      <c r="W6" s="28"/>
      <c r="X6" s="29" t="s">
        <v>163</v>
      </c>
    </row>
    <row r="7" spans="1:24" ht="11.4">
      <c r="A7" s="19">
        <f t="shared" si="1"/>
        <v>5</v>
      </c>
      <c r="B7" s="20"/>
      <c r="C7" s="20"/>
      <c r="D7" s="20" t="s">
        <v>208</v>
      </c>
      <c r="E7" s="30" t="s">
        <v>201</v>
      </c>
      <c r="F7" s="71" t="s">
        <v>209</v>
      </c>
      <c r="G7" s="21"/>
      <c r="H7" s="22"/>
      <c r="I7" s="22"/>
      <c r="J7" s="23"/>
      <c r="K7" s="21"/>
      <c r="L7" s="22"/>
      <c r="M7" s="22"/>
      <c r="N7" s="24"/>
      <c r="O7" s="24"/>
      <c r="P7" s="24" t="s">
        <v>159</v>
      </c>
      <c r="Q7" s="24"/>
      <c r="R7" s="23"/>
      <c r="S7" s="135">
        <v>45311</v>
      </c>
      <c r="T7" s="146">
        <v>45679</v>
      </c>
      <c r="U7" s="26"/>
      <c r="V7" s="27"/>
      <c r="W7" s="28"/>
      <c r="X7" s="29" t="s">
        <v>163</v>
      </c>
    </row>
    <row r="8" spans="1:24" ht="11.4">
      <c r="A8" s="19">
        <f>ROW()-2</f>
        <v>6</v>
      </c>
      <c r="B8" s="20"/>
      <c r="C8" s="20"/>
      <c r="D8" s="20" t="s">
        <v>210</v>
      </c>
      <c r="E8" s="30" t="s">
        <v>201</v>
      </c>
      <c r="F8" s="71" t="s">
        <v>211</v>
      </c>
      <c r="G8" s="21"/>
      <c r="H8" s="22"/>
      <c r="I8" s="22"/>
      <c r="J8" s="23"/>
      <c r="K8" s="21"/>
      <c r="L8" s="22"/>
      <c r="M8" s="22"/>
      <c r="N8" s="24"/>
      <c r="O8" s="24"/>
      <c r="P8" s="24" t="s">
        <v>159</v>
      </c>
      <c r="Q8" s="24"/>
      <c r="R8" s="23"/>
      <c r="S8" s="135">
        <v>45311</v>
      </c>
      <c r="T8" s="146">
        <v>45679</v>
      </c>
      <c r="U8" s="26"/>
      <c r="V8" s="27"/>
      <c r="W8" s="28"/>
      <c r="X8" s="29" t="s">
        <v>163</v>
      </c>
    </row>
    <row r="9" spans="1:24" ht="11.4">
      <c r="A9" s="19">
        <f t="shared" ref="A9:A246" si="2">ROW()-2</f>
        <v>7</v>
      </c>
      <c r="B9" s="20"/>
      <c r="C9" s="20"/>
      <c r="D9" s="20" t="s">
        <v>212</v>
      </c>
      <c r="E9" s="30" t="s">
        <v>201</v>
      </c>
      <c r="F9" s="71" t="s">
        <v>213</v>
      </c>
      <c r="G9" s="21"/>
      <c r="H9" s="22"/>
      <c r="I9" s="22"/>
      <c r="J9" s="23"/>
      <c r="K9" s="21"/>
      <c r="L9" s="22"/>
      <c r="M9" s="22"/>
      <c r="N9" s="24"/>
      <c r="O9" s="24"/>
      <c r="P9" s="24" t="s">
        <v>159</v>
      </c>
      <c r="Q9" s="24"/>
      <c r="R9" s="23"/>
      <c r="S9" s="135">
        <v>45311</v>
      </c>
      <c r="T9" s="146">
        <v>45679</v>
      </c>
      <c r="U9" s="26"/>
      <c r="V9" s="27"/>
      <c r="W9" s="28"/>
      <c r="X9" s="29" t="s">
        <v>163</v>
      </c>
    </row>
    <row r="10" spans="1:24" ht="11.4">
      <c r="A10" s="19">
        <f t="shared" si="2"/>
        <v>8</v>
      </c>
      <c r="B10" s="20"/>
      <c r="C10" s="20"/>
      <c r="D10" s="20" t="s">
        <v>214</v>
      </c>
      <c r="E10" s="30" t="s">
        <v>201</v>
      </c>
      <c r="F10" s="71" t="s">
        <v>215</v>
      </c>
      <c r="G10" s="21"/>
      <c r="H10" s="22"/>
      <c r="I10" s="22"/>
      <c r="J10" s="23"/>
      <c r="K10" s="21"/>
      <c r="L10" s="22"/>
      <c r="M10" s="22"/>
      <c r="N10" s="24"/>
      <c r="O10" s="24"/>
      <c r="P10" s="24" t="s">
        <v>159</v>
      </c>
      <c r="Q10" s="24"/>
      <c r="R10" s="23"/>
      <c r="S10" s="135">
        <v>45311</v>
      </c>
      <c r="T10" s="146">
        <v>45679</v>
      </c>
      <c r="U10" s="26"/>
      <c r="V10" s="27"/>
      <c r="W10" s="28"/>
      <c r="X10" s="29" t="s">
        <v>163</v>
      </c>
    </row>
    <row r="11" spans="1:24" ht="11.4">
      <c r="A11" s="19">
        <f t="shared" si="2"/>
        <v>9</v>
      </c>
      <c r="B11" s="20"/>
      <c r="C11" s="20"/>
      <c r="D11" s="20" t="s">
        <v>216</v>
      </c>
      <c r="E11" s="30" t="s">
        <v>201</v>
      </c>
      <c r="F11" s="71" t="s">
        <v>213</v>
      </c>
      <c r="G11" s="21"/>
      <c r="H11" s="22"/>
      <c r="I11" s="22"/>
      <c r="J11" s="23"/>
      <c r="K11" s="21"/>
      <c r="L11" s="22"/>
      <c r="M11" s="22"/>
      <c r="N11" s="24"/>
      <c r="O11" s="24"/>
      <c r="P11" s="24" t="s">
        <v>159</v>
      </c>
      <c r="Q11" s="24"/>
      <c r="R11" s="23"/>
      <c r="S11" s="135">
        <v>45311</v>
      </c>
      <c r="T11" s="146">
        <v>45679</v>
      </c>
      <c r="U11" s="26"/>
      <c r="V11" s="27"/>
      <c r="W11" s="28"/>
      <c r="X11" s="29" t="s">
        <v>163</v>
      </c>
    </row>
    <row r="12" spans="1:24" ht="11.4">
      <c r="A12" s="19">
        <f t="shared" si="2"/>
        <v>10</v>
      </c>
      <c r="B12" s="20"/>
      <c r="C12" s="20"/>
      <c r="D12" s="30" t="s">
        <v>217</v>
      </c>
      <c r="E12" s="30" t="s">
        <v>201</v>
      </c>
      <c r="F12" s="71" t="s">
        <v>218</v>
      </c>
      <c r="G12" s="21"/>
      <c r="H12" s="22"/>
      <c r="I12" s="22"/>
      <c r="J12" s="23"/>
      <c r="K12" s="21"/>
      <c r="L12" s="22"/>
      <c r="M12" s="22"/>
      <c r="N12" s="24"/>
      <c r="O12" s="24"/>
      <c r="P12" s="24" t="s">
        <v>159</v>
      </c>
      <c r="Q12" s="24"/>
      <c r="R12" s="23"/>
      <c r="S12" s="135">
        <v>45311</v>
      </c>
      <c r="T12" s="146">
        <v>45679</v>
      </c>
      <c r="U12" s="26"/>
      <c r="V12" s="27"/>
      <c r="W12" s="28"/>
      <c r="X12" s="29" t="s">
        <v>163</v>
      </c>
    </row>
    <row r="13" spans="1:24" ht="11.4">
      <c r="A13" s="19">
        <f t="shared" si="2"/>
        <v>11</v>
      </c>
      <c r="B13" s="20"/>
      <c r="C13" s="20"/>
      <c r="D13" s="30" t="s">
        <v>219</v>
      </c>
      <c r="E13" s="30" t="s">
        <v>201</v>
      </c>
      <c r="F13" s="71" t="s">
        <v>207</v>
      </c>
      <c r="G13" s="21"/>
      <c r="H13" s="22"/>
      <c r="I13" s="22"/>
      <c r="J13" s="23"/>
      <c r="K13" s="21"/>
      <c r="L13" s="22"/>
      <c r="M13" s="22"/>
      <c r="N13" s="24"/>
      <c r="O13" s="24"/>
      <c r="P13" s="24" t="s">
        <v>159</v>
      </c>
      <c r="Q13" s="24"/>
      <c r="R13" s="23"/>
      <c r="S13" s="135">
        <v>45311</v>
      </c>
      <c r="T13" s="146">
        <v>45679</v>
      </c>
      <c r="U13" s="26"/>
      <c r="V13" s="27"/>
      <c r="W13" s="28"/>
      <c r="X13" s="29" t="s">
        <v>163</v>
      </c>
    </row>
    <row r="14" spans="1:24" ht="11.4">
      <c r="A14" s="19">
        <f t="shared" si="2"/>
        <v>12</v>
      </c>
      <c r="B14" s="20"/>
      <c r="C14" s="20"/>
      <c r="D14" s="30" t="s">
        <v>220</v>
      </c>
      <c r="E14" s="30" t="s">
        <v>201</v>
      </c>
      <c r="F14" s="71" t="s">
        <v>207</v>
      </c>
      <c r="G14" s="21"/>
      <c r="H14" s="22"/>
      <c r="I14" s="22"/>
      <c r="J14" s="23"/>
      <c r="K14" s="21"/>
      <c r="L14" s="22"/>
      <c r="M14" s="22"/>
      <c r="N14" s="24"/>
      <c r="O14" s="24"/>
      <c r="P14" s="24" t="s">
        <v>159</v>
      </c>
      <c r="Q14" s="24"/>
      <c r="R14" s="23"/>
      <c r="S14" s="135">
        <v>45311</v>
      </c>
      <c r="T14" s="146">
        <v>45679</v>
      </c>
      <c r="U14" s="26"/>
      <c r="V14" s="27"/>
      <c r="W14" s="28"/>
      <c r="X14" s="29" t="s">
        <v>163</v>
      </c>
    </row>
    <row r="15" spans="1:24" ht="11.4">
      <c r="A15" s="19">
        <f t="shared" si="2"/>
        <v>13</v>
      </c>
      <c r="B15" s="20"/>
      <c r="C15" s="20"/>
      <c r="D15" s="30" t="s">
        <v>221</v>
      </c>
      <c r="E15" s="30" t="s">
        <v>201</v>
      </c>
      <c r="F15" s="71" t="s">
        <v>207</v>
      </c>
      <c r="G15" s="21"/>
      <c r="H15" s="22"/>
      <c r="I15" s="22"/>
      <c r="J15" s="23"/>
      <c r="K15" s="21"/>
      <c r="L15" s="22"/>
      <c r="M15" s="22"/>
      <c r="N15" s="24"/>
      <c r="O15" s="24"/>
      <c r="P15" s="24" t="s">
        <v>159</v>
      </c>
      <c r="Q15" s="24"/>
      <c r="R15" s="23"/>
      <c r="S15" s="135">
        <v>45311</v>
      </c>
      <c r="T15" s="146">
        <v>45679</v>
      </c>
      <c r="U15" s="26"/>
      <c r="V15" s="27"/>
      <c r="W15" s="28"/>
      <c r="X15" s="29" t="s">
        <v>163</v>
      </c>
    </row>
    <row r="16" spans="1:24" ht="11.4">
      <c r="A16" s="19">
        <f t="shared" si="2"/>
        <v>14</v>
      </c>
      <c r="B16" s="20"/>
      <c r="C16" s="20"/>
      <c r="D16" s="30" t="s">
        <v>222</v>
      </c>
      <c r="E16" s="30" t="s">
        <v>201</v>
      </c>
      <c r="F16" s="71" t="s">
        <v>207</v>
      </c>
      <c r="G16" s="21"/>
      <c r="H16" s="22"/>
      <c r="I16" s="22"/>
      <c r="J16" s="23"/>
      <c r="K16" s="21"/>
      <c r="L16" s="22"/>
      <c r="M16" s="22"/>
      <c r="N16" s="24"/>
      <c r="O16" s="24"/>
      <c r="P16" s="24" t="s">
        <v>159</v>
      </c>
      <c r="Q16" s="24"/>
      <c r="R16" s="23"/>
      <c r="S16" s="135">
        <v>45311</v>
      </c>
      <c r="T16" s="146">
        <v>45679</v>
      </c>
      <c r="U16" s="26"/>
      <c r="V16" s="27"/>
      <c r="W16" s="28"/>
      <c r="X16" s="29" t="s">
        <v>163</v>
      </c>
    </row>
    <row r="17" spans="1:24" ht="11.4">
      <c r="A17" s="19">
        <f t="shared" si="2"/>
        <v>15</v>
      </c>
      <c r="B17" s="20"/>
      <c r="C17" s="20"/>
      <c r="D17" s="30" t="s">
        <v>223</v>
      </c>
      <c r="E17" s="30" t="s">
        <v>201</v>
      </c>
      <c r="F17" s="71" t="s">
        <v>207</v>
      </c>
      <c r="G17" s="21"/>
      <c r="H17" s="22"/>
      <c r="I17" s="22"/>
      <c r="J17" s="23"/>
      <c r="K17" s="21"/>
      <c r="L17" s="22"/>
      <c r="M17" s="22"/>
      <c r="N17" s="24"/>
      <c r="O17" s="24"/>
      <c r="P17" s="24" t="s">
        <v>159</v>
      </c>
      <c r="Q17" s="24"/>
      <c r="R17" s="23"/>
      <c r="S17" s="135">
        <v>45311</v>
      </c>
      <c r="T17" s="146">
        <v>45679</v>
      </c>
      <c r="U17" s="26"/>
      <c r="V17" s="27"/>
      <c r="W17" s="28"/>
      <c r="X17" s="29" t="s">
        <v>163</v>
      </c>
    </row>
    <row r="18" spans="1:24" ht="11.4">
      <c r="A18" s="19">
        <f t="shared" si="2"/>
        <v>16</v>
      </c>
      <c r="B18" s="20"/>
      <c r="C18" s="20"/>
      <c r="D18" s="20" t="s">
        <v>224</v>
      </c>
      <c r="E18" s="30" t="s">
        <v>201</v>
      </c>
      <c r="F18" s="71" t="s">
        <v>207</v>
      </c>
      <c r="G18" s="21"/>
      <c r="H18" s="22"/>
      <c r="I18" s="22"/>
      <c r="J18" s="23"/>
      <c r="K18" s="21"/>
      <c r="L18" s="22"/>
      <c r="M18" s="22"/>
      <c r="N18" s="24"/>
      <c r="O18" s="24"/>
      <c r="P18" s="24" t="s">
        <v>159</v>
      </c>
      <c r="Q18" s="24"/>
      <c r="R18" s="23"/>
      <c r="S18" s="135">
        <v>45311</v>
      </c>
      <c r="T18" s="146">
        <v>45679</v>
      </c>
      <c r="U18" s="26"/>
      <c r="V18" s="27"/>
      <c r="W18" s="28"/>
      <c r="X18" s="29" t="s">
        <v>163</v>
      </c>
    </row>
    <row r="19" spans="1:24" ht="11.4">
      <c r="A19" s="19">
        <f t="shared" si="2"/>
        <v>17</v>
      </c>
      <c r="B19" s="20"/>
      <c r="C19" s="20"/>
      <c r="D19" s="20" t="s">
        <v>225</v>
      </c>
      <c r="E19" s="30" t="s">
        <v>201</v>
      </c>
      <c r="F19" s="71" t="s">
        <v>207</v>
      </c>
      <c r="G19" s="21"/>
      <c r="H19" s="22"/>
      <c r="I19" s="22"/>
      <c r="J19" s="23"/>
      <c r="K19" s="21"/>
      <c r="L19" s="22"/>
      <c r="M19" s="22"/>
      <c r="N19" s="24"/>
      <c r="O19" s="24"/>
      <c r="P19" s="24" t="s">
        <v>159</v>
      </c>
      <c r="Q19" s="24"/>
      <c r="R19" s="23"/>
      <c r="S19" s="135">
        <v>45311</v>
      </c>
      <c r="T19" s="146">
        <v>45679</v>
      </c>
      <c r="U19" s="26"/>
      <c r="V19" s="27"/>
      <c r="W19" s="28"/>
      <c r="X19" s="29" t="s">
        <v>163</v>
      </c>
    </row>
    <row r="20" spans="1:24" ht="11.4">
      <c r="A20" s="19">
        <f t="shared" si="2"/>
        <v>18</v>
      </c>
      <c r="B20" s="20"/>
      <c r="C20" s="20"/>
      <c r="D20" s="30" t="s">
        <v>226</v>
      </c>
      <c r="E20" s="30" t="s">
        <v>201</v>
      </c>
      <c r="F20" s="71" t="s">
        <v>207</v>
      </c>
      <c r="G20" s="21"/>
      <c r="H20" s="22"/>
      <c r="I20" s="22"/>
      <c r="J20" s="23"/>
      <c r="K20" s="21"/>
      <c r="L20" s="22"/>
      <c r="M20" s="22"/>
      <c r="N20" s="24"/>
      <c r="O20" s="24"/>
      <c r="P20" s="24" t="s">
        <v>159</v>
      </c>
      <c r="Q20" s="24"/>
      <c r="R20" s="23"/>
      <c r="S20" s="135">
        <v>45311</v>
      </c>
      <c r="T20" s="146">
        <v>45679</v>
      </c>
      <c r="U20" s="26"/>
      <c r="V20" s="27"/>
      <c r="W20" s="28"/>
      <c r="X20" s="29" t="s">
        <v>163</v>
      </c>
    </row>
    <row r="21" spans="1:24" ht="11.4">
      <c r="A21" s="19">
        <f t="shared" si="2"/>
        <v>19</v>
      </c>
      <c r="B21" s="20"/>
      <c r="C21" s="20"/>
      <c r="D21" s="30" t="s">
        <v>227</v>
      </c>
      <c r="E21" s="30" t="s">
        <v>201</v>
      </c>
      <c r="F21" s="71" t="s">
        <v>228</v>
      </c>
      <c r="G21" s="21"/>
      <c r="H21" s="22"/>
      <c r="I21" s="22"/>
      <c r="J21" s="23"/>
      <c r="K21" s="21"/>
      <c r="L21" s="22"/>
      <c r="M21" s="22"/>
      <c r="N21" s="24"/>
      <c r="O21" s="24"/>
      <c r="P21" s="24" t="s">
        <v>159</v>
      </c>
      <c r="Q21" s="24"/>
      <c r="R21" s="23"/>
      <c r="S21" s="135">
        <v>45311</v>
      </c>
      <c r="T21" s="146">
        <v>45679</v>
      </c>
      <c r="U21" s="26"/>
      <c r="V21" s="27"/>
      <c r="W21" s="28"/>
      <c r="X21" s="29" t="s">
        <v>163</v>
      </c>
    </row>
    <row r="22" spans="1:24" ht="11.4">
      <c r="A22" s="19">
        <f t="shared" si="2"/>
        <v>20</v>
      </c>
      <c r="B22" s="20"/>
      <c r="C22" s="20"/>
      <c r="D22" s="30" t="s">
        <v>229</v>
      </c>
      <c r="E22" s="30" t="s">
        <v>201</v>
      </c>
      <c r="F22" s="72" t="s">
        <v>230</v>
      </c>
      <c r="G22" s="21"/>
      <c r="H22" s="22"/>
      <c r="I22" s="22"/>
      <c r="J22" s="23"/>
      <c r="K22" s="21"/>
      <c r="L22" s="22"/>
      <c r="M22" s="22"/>
      <c r="N22" s="24"/>
      <c r="O22" s="24"/>
      <c r="P22" s="24" t="s">
        <v>159</v>
      </c>
      <c r="Q22" s="24"/>
      <c r="R22" s="23"/>
      <c r="S22" s="135">
        <v>45311</v>
      </c>
      <c r="T22" s="146">
        <v>45679</v>
      </c>
      <c r="U22" s="26"/>
      <c r="V22" s="27"/>
      <c r="W22" s="28"/>
      <c r="X22" s="29" t="s">
        <v>163</v>
      </c>
    </row>
    <row r="23" spans="1:24" ht="11.4">
      <c r="A23" s="19">
        <f t="shared" si="2"/>
        <v>21</v>
      </c>
      <c r="B23" s="20"/>
      <c r="C23" s="20"/>
      <c r="D23" s="30" t="s">
        <v>217</v>
      </c>
      <c r="E23" s="30" t="s">
        <v>201</v>
      </c>
      <c r="F23" s="72" t="s">
        <v>230</v>
      </c>
      <c r="G23" s="21"/>
      <c r="H23" s="22"/>
      <c r="I23" s="22"/>
      <c r="J23" s="23"/>
      <c r="K23" s="21"/>
      <c r="L23" s="22"/>
      <c r="M23" s="22"/>
      <c r="N23" s="24"/>
      <c r="O23" s="24"/>
      <c r="P23" s="24" t="s">
        <v>159</v>
      </c>
      <c r="Q23" s="24"/>
      <c r="R23" s="23"/>
      <c r="S23" s="135">
        <v>45311</v>
      </c>
      <c r="T23" s="146">
        <v>45679</v>
      </c>
      <c r="U23" s="26"/>
      <c r="V23" s="27"/>
      <c r="W23" s="28"/>
      <c r="X23" s="29" t="s">
        <v>163</v>
      </c>
    </row>
    <row r="24" spans="1:24" ht="11.4">
      <c r="A24" s="19">
        <f t="shared" si="2"/>
        <v>22</v>
      </c>
      <c r="B24" s="20"/>
      <c r="C24" s="20"/>
      <c r="D24" s="30" t="s">
        <v>231</v>
      </c>
      <c r="E24" s="30" t="s">
        <v>201</v>
      </c>
      <c r="F24" s="72" t="s">
        <v>230</v>
      </c>
      <c r="G24" s="21"/>
      <c r="H24" s="22"/>
      <c r="I24" s="22"/>
      <c r="J24" s="23"/>
      <c r="K24" s="21"/>
      <c r="L24" s="22"/>
      <c r="M24" s="22"/>
      <c r="N24" s="24"/>
      <c r="O24" s="24"/>
      <c r="P24" s="24" t="s">
        <v>159</v>
      </c>
      <c r="Q24" s="24"/>
      <c r="R24" s="23"/>
      <c r="S24" s="135">
        <v>45311</v>
      </c>
      <c r="T24" s="146">
        <v>45679</v>
      </c>
      <c r="U24" s="26"/>
      <c r="V24" s="27"/>
      <c r="W24" s="28"/>
      <c r="X24" s="29" t="s">
        <v>163</v>
      </c>
    </row>
    <row r="25" spans="1:24" ht="22.8">
      <c r="A25" s="19">
        <f t="shared" si="2"/>
        <v>23</v>
      </c>
      <c r="B25" s="20"/>
      <c r="C25" s="20"/>
      <c r="D25" s="20" t="s">
        <v>232</v>
      </c>
      <c r="E25" s="30" t="s">
        <v>201</v>
      </c>
      <c r="F25" s="72" t="s">
        <v>233</v>
      </c>
      <c r="G25" s="21"/>
      <c r="H25" s="22"/>
      <c r="I25" s="22"/>
      <c r="J25" s="23"/>
      <c r="K25" s="21"/>
      <c r="L25" s="22"/>
      <c r="M25" s="22"/>
      <c r="N25" s="24"/>
      <c r="O25" s="24"/>
      <c r="P25" s="24" t="s">
        <v>159</v>
      </c>
      <c r="Q25" s="24"/>
      <c r="R25" s="23"/>
      <c r="S25" s="135">
        <v>45311</v>
      </c>
      <c r="T25" s="146"/>
      <c r="U25" s="26">
        <v>45679</v>
      </c>
      <c r="V25" s="27">
        <v>45681</v>
      </c>
      <c r="W25" s="28"/>
      <c r="X25" s="29" t="s">
        <v>163</v>
      </c>
    </row>
    <row r="26" spans="1:24" ht="11.4">
      <c r="A26" s="19">
        <f t="shared" si="2"/>
        <v>24</v>
      </c>
      <c r="B26" s="31"/>
      <c r="C26" s="31"/>
      <c r="D26" s="30" t="s">
        <v>234</v>
      </c>
      <c r="E26" s="30" t="s">
        <v>201</v>
      </c>
      <c r="F26" s="72" t="s">
        <v>207</v>
      </c>
      <c r="G26" s="21"/>
      <c r="H26" s="22"/>
      <c r="I26" s="22"/>
      <c r="J26" s="23"/>
      <c r="K26" s="21"/>
      <c r="L26" s="22"/>
      <c r="M26" s="22"/>
      <c r="N26" s="24"/>
      <c r="O26" s="24"/>
      <c r="P26" s="24" t="s">
        <v>159</v>
      </c>
      <c r="Q26" s="24"/>
      <c r="R26" s="23"/>
      <c r="S26" s="135">
        <v>45311</v>
      </c>
      <c r="T26" s="146"/>
      <c r="U26" s="26">
        <v>45679</v>
      </c>
      <c r="V26" s="27">
        <v>45681</v>
      </c>
      <c r="W26" s="28"/>
      <c r="X26" s="29" t="s">
        <v>163</v>
      </c>
    </row>
    <row r="27" spans="1:24" ht="11.4">
      <c r="A27" s="19">
        <f t="shared" si="2"/>
        <v>25</v>
      </c>
      <c r="B27" s="31"/>
      <c r="C27" s="31"/>
      <c r="D27" s="30" t="s">
        <v>235</v>
      </c>
      <c r="E27" s="30" t="s">
        <v>201</v>
      </c>
      <c r="F27" s="72" t="s">
        <v>228</v>
      </c>
      <c r="G27" s="21"/>
      <c r="H27" s="22"/>
      <c r="I27" s="22"/>
      <c r="J27" s="23"/>
      <c r="K27" s="21"/>
      <c r="L27" s="22"/>
      <c r="M27" s="22"/>
      <c r="N27" s="24"/>
      <c r="O27" s="24"/>
      <c r="P27" s="24" t="s">
        <v>159</v>
      </c>
      <c r="Q27" s="24"/>
      <c r="R27" s="23"/>
      <c r="S27" s="135">
        <v>45311</v>
      </c>
      <c r="T27" s="146">
        <v>45679</v>
      </c>
      <c r="U27" s="26"/>
      <c r="V27" s="27"/>
      <c r="W27" s="28"/>
      <c r="X27" s="29" t="s">
        <v>163</v>
      </c>
    </row>
    <row r="28" spans="1:24" ht="11.4">
      <c r="A28" s="19">
        <f t="shared" si="2"/>
        <v>26</v>
      </c>
      <c r="B28" s="31"/>
      <c r="C28" s="31"/>
      <c r="D28" s="30" t="s">
        <v>156</v>
      </c>
      <c r="E28" s="30" t="s">
        <v>201</v>
      </c>
      <c r="F28" s="72" t="s">
        <v>236</v>
      </c>
      <c r="G28" s="21"/>
      <c r="H28" s="22"/>
      <c r="I28" s="22"/>
      <c r="J28" s="23"/>
      <c r="K28" s="21"/>
      <c r="L28" s="22"/>
      <c r="M28" s="22"/>
      <c r="N28" s="24"/>
      <c r="O28" s="24"/>
      <c r="P28" s="24" t="s">
        <v>159</v>
      </c>
      <c r="Q28" s="24"/>
      <c r="R28" s="23"/>
      <c r="S28" s="135">
        <v>45311</v>
      </c>
      <c r="T28" s="146">
        <v>45679</v>
      </c>
      <c r="U28" s="26"/>
      <c r="V28" s="27"/>
      <c r="W28" s="28"/>
      <c r="X28" s="29" t="s">
        <v>163</v>
      </c>
    </row>
    <row r="29" spans="1:24" ht="11.4">
      <c r="A29" s="19">
        <f t="shared" si="2"/>
        <v>27</v>
      </c>
      <c r="B29" s="31"/>
      <c r="C29" s="20"/>
      <c r="D29" s="20" t="s">
        <v>237</v>
      </c>
      <c r="E29" s="30" t="s">
        <v>201</v>
      </c>
      <c r="F29" s="72" t="s">
        <v>238</v>
      </c>
      <c r="G29" s="21"/>
      <c r="H29" s="22"/>
      <c r="I29" s="22"/>
      <c r="J29" s="23"/>
      <c r="K29" s="21"/>
      <c r="L29" s="22"/>
      <c r="M29" s="22"/>
      <c r="N29" s="24"/>
      <c r="O29" s="24"/>
      <c r="P29" s="24" t="s">
        <v>159</v>
      </c>
      <c r="Q29" s="24"/>
      <c r="R29" s="23"/>
      <c r="S29" s="135">
        <v>45311</v>
      </c>
      <c r="T29" s="146">
        <v>45679</v>
      </c>
      <c r="U29" s="26"/>
      <c r="V29" s="27"/>
      <c r="W29" s="28"/>
      <c r="X29" s="29" t="s">
        <v>163</v>
      </c>
    </row>
    <row r="30" spans="1:24" ht="11.4">
      <c r="A30" s="19">
        <f t="shared" si="2"/>
        <v>28</v>
      </c>
      <c r="B30" s="31"/>
      <c r="C30" s="31"/>
      <c r="D30" s="30" t="s">
        <v>229</v>
      </c>
      <c r="E30" s="30" t="s">
        <v>201</v>
      </c>
      <c r="F30" s="72" t="s">
        <v>218</v>
      </c>
      <c r="G30" s="21"/>
      <c r="H30" s="22"/>
      <c r="I30" s="22"/>
      <c r="J30" s="23"/>
      <c r="K30" s="21"/>
      <c r="L30" s="22"/>
      <c r="M30" s="22"/>
      <c r="N30" s="24"/>
      <c r="O30" s="24"/>
      <c r="P30" s="24" t="s">
        <v>159</v>
      </c>
      <c r="Q30" s="24"/>
      <c r="R30" s="23"/>
      <c r="S30" s="135">
        <v>45311</v>
      </c>
      <c r="T30" s="146">
        <v>45679</v>
      </c>
      <c r="U30" s="26"/>
      <c r="V30" s="27"/>
      <c r="W30" s="28"/>
      <c r="X30" s="29" t="s">
        <v>163</v>
      </c>
    </row>
    <row r="31" spans="1:24" ht="11.4">
      <c r="A31" s="19">
        <f t="shared" si="2"/>
        <v>29</v>
      </c>
      <c r="B31" s="31"/>
      <c r="C31" s="31"/>
      <c r="D31" s="30" t="s">
        <v>239</v>
      </c>
      <c r="E31" s="30" t="s">
        <v>201</v>
      </c>
      <c r="F31" s="72" t="s">
        <v>240</v>
      </c>
      <c r="G31" s="21"/>
      <c r="H31" s="22"/>
      <c r="I31" s="22"/>
      <c r="J31" s="23"/>
      <c r="K31" s="21"/>
      <c r="L31" s="22"/>
      <c r="M31" s="22"/>
      <c r="N31" s="24"/>
      <c r="O31" s="24"/>
      <c r="P31" s="24" t="s">
        <v>159</v>
      </c>
      <c r="Q31" s="24"/>
      <c r="R31" s="23"/>
      <c r="S31" s="135">
        <v>45311</v>
      </c>
      <c r="T31" s="146">
        <v>45679</v>
      </c>
      <c r="U31" s="26"/>
      <c r="V31" s="27"/>
      <c r="W31" s="28"/>
      <c r="X31" s="29" t="s">
        <v>163</v>
      </c>
    </row>
    <row r="32" spans="1:24" ht="11.4">
      <c r="A32" s="19">
        <f t="shared" si="2"/>
        <v>30</v>
      </c>
      <c r="B32" s="31"/>
      <c r="C32" s="31"/>
      <c r="D32" s="30" t="s">
        <v>241</v>
      </c>
      <c r="E32" s="30" t="s">
        <v>201</v>
      </c>
      <c r="F32" s="72" t="s">
        <v>240</v>
      </c>
      <c r="G32" s="21"/>
      <c r="H32" s="22"/>
      <c r="I32" s="22"/>
      <c r="J32" s="23"/>
      <c r="K32" s="21"/>
      <c r="L32" s="22"/>
      <c r="M32" s="22"/>
      <c r="N32" s="24"/>
      <c r="O32" s="24"/>
      <c r="P32" s="24" t="s">
        <v>159</v>
      </c>
      <c r="Q32" s="24"/>
      <c r="R32" s="23"/>
      <c r="S32" s="135">
        <v>45311</v>
      </c>
      <c r="T32" s="146">
        <v>45679</v>
      </c>
      <c r="U32" s="26"/>
      <c r="V32" s="27"/>
      <c r="W32" s="28"/>
      <c r="X32" s="29" t="s">
        <v>163</v>
      </c>
    </row>
    <row r="33" spans="1:24" ht="11.4">
      <c r="A33" s="19">
        <f t="shared" si="2"/>
        <v>31</v>
      </c>
      <c r="B33" s="31"/>
      <c r="C33" s="20"/>
      <c r="D33" s="20" t="s">
        <v>242</v>
      </c>
      <c r="E33" s="30" t="s">
        <v>201</v>
      </c>
      <c r="F33" s="72" t="s">
        <v>175</v>
      </c>
      <c r="G33" s="21"/>
      <c r="H33" s="22"/>
      <c r="I33" s="22"/>
      <c r="J33" s="23"/>
      <c r="K33" s="21"/>
      <c r="L33" s="22"/>
      <c r="M33" s="22"/>
      <c r="N33" s="24"/>
      <c r="O33" s="24"/>
      <c r="P33" s="24" t="s">
        <v>159</v>
      </c>
      <c r="Q33" s="24"/>
      <c r="R33" s="23"/>
      <c r="S33" s="135">
        <v>45311</v>
      </c>
      <c r="T33" s="146">
        <v>45679</v>
      </c>
      <c r="U33" s="26"/>
      <c r="V33" s="27"/>
      <c r="W33" s="28"/>
      <c r="X33" s="29" t="s">
        <v>163</v>
      </c>
    </row>
    <row r="34" spans="1:24" ht="11.4">
      <c r="A34" s="19">
        <f t="shared" si="2"/>
        <v>32</v>
      </c>
      <c r="B34" s="31"/>
      <c r="C34" s="20"/>
      <c r="D34" s="20" t="s">
        <v>231</v>
      </c>
      <c r="E34" s="30" t="s">
        <v>201</v>
      </c>
      <c r="F34" s="72" t="s">
        <v>218</v>
      </c>
      <c r="G34" s="21"/>
      <c r="H34" s="22"/>
      <c r="I34" s="22"/>
      <c r="J34" s="23"/>
      <c r="K34" s="21"/>
      <c r="L34" s="22"/>
      <c r="M34" s="22"/>
      <c r="N34" s="24"/>
      <c r="O34" s="24"/>
      <c r="P34" s="24" t="s">
        <v>159</v>
      </c>
      <c r="Q34" s="24"/>
      <c r="R34" s="23"/>
      <c r="S34" s="135">
        <v>45311</v>
      </c>
      <c r="T34" s="146">
        <v>45679</v>
      </c>
      <c r="U34" s="26"/>
      <c r="V34" s="27"/>
      <c r="W34" s="28"/>
      <c r="X34" s="29" t="s">
        <v>163</v>
      </c>
    </row>
    <row r="35" spans="1:24" ht="11.4">
      <c r="A35" s="19">
        <f t="shared" si="2"/>
        <v>33</v>
      </c>
      <c r="B35" s="20"/>
      <c r="C35" s="20"/>
      <c r="D35" s="30" t="s">
        <v>243</v>
      </c>
      <c r="E35" s="30" t="s">
        <v>201</v>
      </c>
      <c r="F35" s="72" t="s">
        <v>244</v>
      </c>
      <c r="G35" s="21"/>
      <c r="H35" s="22"/>
      <c r="I35" s="22"/>
      <c r="J35" s="23"/>
      <c r="K35" s="21"/>
      <c r="L35" s="22"/>
      <c r="M35" s="22"/>
      <c r="N35" s="24"/>
      <c r="O35" s="24"/>
      <c r="P35" s="24" t="s">
        <v>159</v>
      </c>
      <c r="Q35" s="24"/>
      <c r="R35" s="23"/>
      <c r="S35" s="135">
        <v>45311</v>
      </c>
      <c r="T35" s="146">
        <v>45679</v>
      </c>
      <c r="U35" s="26"/>
      <c r="V35" s="27"/>
      <c r="W35" s="28"/>
      <c r="X35" s="29" t="s">
        <v>163</v>
      </c>
    </row>
    <row r="36" spans="1:24" ht="11.4">
      <c r="A36" s="19">
        <f t="shared" si="2"/>
        <v>34</v>
      </c>
      <c r="B36" s="20"/>
      <c r="C36" s="31"/>
      <c r="D36" s="30" t="s">
        <v>245</v>
      </c>
      <c r="E36" s="30" t="s">
        <v>201</v>
      </c>
      <c r="F36" s="72" t="s">
        <v>246</v>
      </c>
      <c r="G36" s="21"/>
      <c r="H36" s="22"/>
      <c r="I36" s="22"/>
      <c r="J36" s="23"/>
      <c r="K36" s="21"/>
      <c r="L36" s="22"/>
      <c r="M36" s="22"/>
      <c r="N36" s="24"/>
      <c r="O36" s="24"/>
      <c r="P36" s="24" t="s">
        <v>159</v>
      </c>
      <c r="Q36" s="24"/>
      <c r="R36" s="23"/>
      <c r="S36" s="135">
        <v>45311</v>
      </c>
      <c r="T36" s="146">
        <v>45679</v>
      </c>
      <c r="U36" s="26"/>
      <c r="V36" s="27"/>
      <c r="W36" s="28"/>
      <c r="X36" s="29" t="s">
        <v>163</v>
      </c>
    </row>
    <row r="37" spans="1:24" ht="11.4">
      <c r="A37" s="19">
        <f t="shared" si="2"/>
        <v>35</v>
      </c>
      <c r="B37" s="31"/>
      <c r="C37" s="20"/>
      <c r="D37" s="20" t="s">
        <v>247</v>
      </c>
      <c r="E37" s="30" t="s">
        <v>201</v>
      </c>
      <c r="F37" s="72" t="s">
        <v>248</v>
      </c>
      <c r="G37" s="21"/>
      <c r="H37" s="22"/>
      <c r="I37" s="22"/>
      <c r="J37" s="23"/>
      <c r="K37" s="21"/>
      <c r="L37" s="22"/>
      <c r="M37" s="22"/>
      <c r="N37" s="24"/>
      <c r="O37" s="24"/>
      <c r="P37" s="24" t="s">
        <v>159</v>
      </c>
      <c r="Q37" s="24"/>
      <c r="R37" s="23"/>
      <c r="S37" s="135">
        <v>45311</v>
      </c>
      <c r="T37" s="146"/>
      <c r="U37" s="26">
        <v>45679</v>
      </c>
      <c r="V37" s="27">
        <v>45681</v>
      </c>
      <c r="W37" s="28"/>
      <c r="X37" s="29" t="s">
        <v>163</v>
      </c>
    </row>
    <row r="38" spans="1:24" ht="11.4">
      <c r="A38" s="19">
        <f t="shared" si="2"/>
        <v>36</v>
      </c>
      <c r="B38" s="20"/>
      <c r="C38" s="20"/>
      <c r="D38" s="30" t="s">
        <v>249</v>
      </c>
      <c r="E38" s="30" t="s">
        <v>201</v>
      </c>
      <c r="F38" s="72" t="s">
        <v>248</v>
      </c>
      <c r="G38" s="21"/>
      <c r="H38" s="22"/>
      <c r="I38" s="22"/>
      <c r="J38" s="23"/>
      <c r="K38" s="21"/>
      <c r="L38" s="22"/>
      <c r="M38" s="22"/>
      <c r="N38" s="24"/>
      <c r="O38" s="24"/>
      <c r="P38" s="24" t="s">
        <v>159</v>
      </c>
      <c r="Q38" s="24"/>
      <c r="R38" s="23"/>
      <c r="S38" s="135">
        <v>45311</v>
      </c>
      <c r="T38" s="146"/>
      <c r="U38" s="26">
        <v>45679</v>
      </c>
      <c r="V38" s="27">
        <v>45681</v>
      </c>
      <c r="W38" s="28"/>
      <c r="X38" s="29" t="s">
        <v>163</v>
      </c>
    </row>
    <row r="39" spans="1:24" ht="11.4">
      <c r="A39" s="19">
        <f t="shared" si="2"/>
        <v>37</v>
      </c>
      <c r="B39" s="20"/>
      <c r="C39" s="20"/>
      <c r="D39" s="30" t="s">
        <v>250</v>
      </c>
      <c r="E39" s="30" t="s">
        <v>201</v>
      </c>
      <c r="F39" s="72" t="s">
        <v>228</v>
      </c>
      <c r="G39" s="21"/>
      <c r="H39" s="22"/>
      <c r="I39" s="22"/>
      <c r="J39" s="23"/>
      <c r="K39" s="21"/>
      <c r="L39" s="22"/>
      <c r="M39" s="22"/>
      <c r="N39" s="24"/>
      <c r="O39" s="24"/>
      <c r="P39" s="24" t="s">
        <v>159</v>
      </c>
      <c r="Q39" s="24"/>
      <c r="R39" s="23"/>
      <c r="S39" s="135">
        <v>45311</v>
      </c>
      <c r="T39" s="146">
        <v>45679</v>
      </c>
      <c r="U39" s="26"/>
      <c r="V39" s="27"/>
      <c r="W39" s="28"/>
      <c r="X39" s="29" t="s">
        <v>163</v>
      </c>
    </row>
    <row r="40" spans="1:24" ht="11.4">
      <c r="A40" s="19">
        <f t="shared" si="2"/>
        <v>38</v>
      </c>
      <c r="B40" s="31"/>
      <c r="C40" s="31"/>
      <c r="D40" s="30" t="s">
        <v>251</v>
      </c>
      <c r="E40" s="30" t="s">
        <v>201</v>
      </c>
      <c r="F40" s="72" t="s">
        <v>228</v>
      </c>
      <c r="G40" s="21"/>
      <c r="H40" s="22"/>
      <c r="I40" s="22"/>
      <c r="J40" s="23"/>
      <c r="K40" s="21"/>
      <c r="L40" s="22"/>
      <c r="M40" s="22"/>
      <c r="N40" s="24"/>
      <c r="O40" s="24"/>
      <c r="P40" s="24" t="s">
        <v>159</v>
      </c>
      <c r="Q40" s="24"/>
      <c r="R40" s="23"/>
      <c r="S40" s="135">
        <v>45311</v>
      </c>
      <c r="T40" s="146">
        <v>45679</v>
      </c>
      <c r="U40" s="26"/>
      <c r="V40" s="27"/>
      <c r="W40" s="28"/>
      <c r="X40" s="29" t="s">
        <v>163</v>
      </c>
    </row>
    <row r="41" spans="1:24" ht="11.4">
      <c r="A41" s="19">
        <f t="shared" si="2"/>
        <v>39</v>
      </c>
      <c r="B41" s="31"/>
      <c r="C41" s="20"/>
      <c r="D41" s="20" t="s">
        <v>156</v>
      </c>
      <c r="E41" s="30" t="s">
        <v>201</v>
      </c>
      <c r="F41" s="72" t="s">
        <v>252</v>
      </c>
      <c r="G41" s="21"/>
      <c r="H41" s="22"/>
      <c r="I41" s="22"/>
      <c r="J41" s="23"/>
      <c r="K41" s="21"/>
      <c r="L41" s="22"/>
      <c r="M41" s="22"/>
      <c r="N41" s="24"/>
      <c r="O41" s="24"/>
      <c r="P41" s="24" t="s">
        <v>159</v>
      </c>
      <c r="Q41" s="24"/>
      <c r="R41" s="23"/>
      <c r="S41" s="135">
        <v>45311</v>
      </c>
      <c r="T41" s="146">
        <v>45679</v>
      </c>
      <c r="U41" s="26"/>
      <c r="V41" s="27"/>
      <c r="W41" s="28"/>
      <c r="X41" s="29" t="s">
        <v>163</v>
      </c>
    </row>
    <row r="42" spans="1:24" ht="11.4">
      <c r="A42" s="19">
        <f t="shared" si="2"/>
        <v>40</v>
      </c>
      <c r="B42" s="31"/>
      <c r="C42" s="31"/>
      <c r="D42" s="30" t="s">
        <v>237</v>
      </c>
      <c r="E42" s="30" t="s">
        <v>201</v>
      </c>
      <c r="F42" s="72" t="s">
        <v>253</v>
      </c>
      <c r="G42" s="21"/>
      <c r="H42" s="22"/>
      <c r="I42" s="22"/>
      <c r="J42" s="23"/>
      <c r="K42" s="21"/>
      <c r="L42" s="22"/>
      <c r="M42" s="22"/>
      <c r="N42" s="24"/>
      <c r="O42" s="24"/>
      <c r="P42" s="24" t="s">
        <v>159</v>
      </c>
      <c r="Q42" s="24"/>
      <c r="R42" s="23"/>
      <c r="S42" s="135">
        <v>45311</v>
      </c>
      <c r="T42" s="146">
        <v>45679</v>
      </c>
      <c r="U42" s="26"/>
      <c r="V42" s="27"/>
      <c r="W42" s="28"/>
      <c r="X42" s="29" t="s">
        <v>163</v>
      </c>
    </row>
    <row r="43" spans="1:24" ht="102.6">
      <c r="A43" s="19">
        <f t="shared" si="2"/>
        <v>41</v>
      </c>
      <c r="B43" s="31"/>
      <c r="C43" s="31"/>
      <c r="D43" s="30" t="s">
        <v>254</v>
      </c>
      <c r="E43" s="30" t="s">
        <v>201</v>
      </c>
      <c r="F43" s="72" t="s">
        <v>255</v>
      </c>
      <c r="G43" s="21"/>
      <c r="H43" s="22"/>
      <c r="I43" s="22"/>
      <c r="J43" s="23"/>
      <c r="K43" s="21"/>
      <c r="L43" s="22"/>
      <c r="M43" s="22"/>
      <c r="N43" s="24"/>
      <c r="O43" s="24"/>
      <c r="P43" s="24" t="s">
        <v>159</v>
      </c>
      <c r="Q43" s="24"/>
      <c r="R43" s="23"/>
      <c r="S43" s="135">
        <v>45311</v>
      </c>
      <c r="T43" s="146"/>
      <c r="U43" s="26">
        <v>45679</v>
      </c>
      <c r="V43" s="27">
        <v>45681</v>
      </c>
      <c r="W43" s="28"/>
      <c r="X43" s="29" t="s">
        <v>163</v>
      </c>
    </row>
    <row r="44" spans="1:24" ht="45.6">
      <c r="A44" s="19">
        <f t="shared" si="2"/>
        <v>42</v>
      </c>
      <c r="B44" s="31"/>
      <c r="C44" s="31"/>
      <c r="D44" s="30" t="s">
        <v>256</v>
      </c>
      <c r="E44" s="30" t="s">
        <v>201</v>
      </c>
      <c r="F44" s="72" t="s">
        <v>257</v>
      </c>
      <c r="G44" s="21"/>
      <c r="H44" s="22"/>
      <c r="I44" s="22"/>
      <c r="J44" s="23"/>
      <c r="K44" s="21"/>
      <c r="L44" s="22"/>
      <c r="M44" s="22"/>
      <c r="N44" s="24"/>
      <c r="O44" s="24"/>
      <c r="P44" s="24" t="s">
        <v>159</v>
      </c>
      <c r="Q44" s="24"/>
      <c r="R44" s="23"/>
      <c r="S44" s="135">
        <v>45311</v>
      </c>
      <c r="T44" s="146"/>
      <c r="U44" s="26">
        <v>45679</v>
      </c>
      <c r="V44" s="27"/>
      <c r="W44" s="28"/>
      <c r="X44" s="29" t="s">
        <v>163</v>
      </c>
    </row>
    <row r="45" spans="1:24" ht="34.200000000000003">
      <c r="A45" s="19">
        <f t="shared" si="2"/>
        <v>43</v>
      </c>
      <c r="B45" s="31"/>
      <c r="C45" s="31"/>
      <c r="D45" s="30" t="s">
        <v>258</v>
      </c>
      <c r="E45" s="30" t="s">
        <v>201</v>
      </c>
      <c r="F45" s="72" t="s">
        <v>259</v>
      </c>
      <c r="G45" s="21"/>
      <c r="H45" s="22"/>
      <c r="I45" s="22"/>
      <c r="J45" s="23"/>
      <c r="K45" s="21"/>
      <c r="L45" s="22"/>
      <c r="M45" s="22"/>
      <c r="N45" s="24"/>
      <c r="O45" s="24"/>
      <c r="P45" s="24" t="s">
        <v>159</v>
      </c>
      <c r="Q45" s="24"/>
      <c r="R45" s="23"/>
      <c r="S45" s="135">
        <v>45311</v>
      </c>
      <c r="T45" s="146"/>
      <c r="U45" s="26">
        <v>45679</v>
      </c>
      <c r="V45" s="27">
        <v>45681</v>
      </c>
      <c r="W45" s="28"/>
      <c r="X45" s="29" t="s">
        <v>163</v>
      </c>
    </row>
    <row r="46" spans="1:24" ht="11.4">
      <c r="A46" s="19">
        <f t="shared" si="2"/>
        <v>44</v>
      </c>
      <c r="B46" s="31"/>
      <c r="C46" s="20"/>
      <c r="D46" s="20" t="s">
        <v>260</v>
      </c>
      <c r="E46" s="30" t="s">
        <v>201</v>
      </c>
      <c r="F46" s="72" t="s">
        <v>228</v>
      </c>
      <c r="G46" s="21"/>
      <c r="H46" s="22"/>
      <c r="I46" s="22"/>
      <c r="J46" s="23"/>
      <c r="K46" s="21"/>
      <c r="L46" s="22"/>
      <c r="M46" s="22"/>
      <c r="N46" s="24"/>
      <c r="O46" s="24"/>
      <c r="P46" s="24" t="s">
        <v>159</v>
      </c>
      <c r="Q46" s="24"/>
      <c r="R46" s="23"/>
      <c r="S46" s="135">
        <v>45311</v>
      </c>
      <c r="T46" s="146"/>
      <c r="U46" s="26">
        <v>45679</v>
      </c>
      <c r="V46" s="27">
        <v>45681</v>
      </c>
      <c r="W46" s="28"/>
      <c r="X46" s="29" t="s">
        <v>163</v>
      </c>
    </row>
    <row r="47" spans="1:24" ht="11.4">
      <c r="A47" s="19">
        <f t="shared" si="2"/>
        <v>45</v>
      </c>
      <c r="B47" s="31"/>
      <c r="C47" s="20"/>
      <c r="D47" s="20" t="s">
        <v>261</v>
      </c>
      <c r="E47" s="30" t="s">
        <v>201</v>
      </c>
      <c r="F47" s="72" t="s">
        <v>228</v>
      </c>
      <c r="G47" s="21"/>
      <c r="H47" s="22"/>
      <c r="I47" s="22"/>
      <c r="J47" s="23"/>
      <c r="K47" s="21"/>
      <c r="L47" s="22"/>
      <c r="M47" s="22"/>
      <c r="N47" s="24"/>
      <c r="O47" s="24"/>
      <c r="P47" s="24" t="s">
        <v>159</v>
      </c>
      <c r="Q47" s="24"/>
      <c r="R47" s="23"/>
      <c r="S47" s="135">
        <v>45311</v>
      </c>
      <c r="T47" s="146">
        <v>45679</v>
      </c>
      <c r="U47" s="26"/>
      <c r="V47" s="27"/>
      <c r="W47" s="28"/>
      <c r="X47" s="29" t="s">
        <v>163</v>
      </c>
    </row>
    <row r="48" spans="1:24" ht="11.4">
      <c r="A48" s="19">
        <f t="shared" si="2"/>
        <v>46</v>
      </c>
      <c r="B48" s="20"/>
      <c r="C48" s="20"/>
      <c r="D48" s="30" t="s">
        <v>262</v>
      </c>
      <c r="E48" s="30" t="s">
        <v>201</v>
      </c>
      <c r="F48" s="72" t="s">
        <v>207</v>
      </c>
      <c r="G48" s="21"/>
      <c r="H48" s="22"/>
      <c r="I48" s="22"/>
      <c r="J48" s="23"/>
      <c r="K48" s="21"/>
      <c r="L48" s="22"/>
      <c r="M48" s="22"/>
      <c r="N48" s="24"/>
      <c r="O48" s="24"/>
      <c r="P48" s="24" t="s">
        <v>159</v>
      </c>
      <c r="Q48" s="24"/>
      <c r="R48" s="23"/>
      <c r="S48" s="135">
        <v>45311</v>
      </c>
      <c r="T48" s="146">
        <v>45679</v>
      </c>
      <c r="U48" s="26"/>
      <c r="V48" s="27"/>
      <c r="W48" s="28"/>
      <c r="X48" s="29" t="s">
        <v>163</v>
      </c>
    </row>
    <row r="49" spans="1:24" ht="11.4">
      <c r="A49" s="19">
        <f t="shared" si="2"/>
        <v>47</v>
      </c>
      <c r="B49" s="20"/>
      <c r="C49" s="20"/>
      <c r="D49" s="30" t="s">
        <v>263</v>
      </c>
      <c r="E49" s="30" t="s">
        <v>201</v>
      </c>
      <c r="F49" s="72" t="s">
        <v>228</v>
      </c>
      <c r="G49" s="21"/>
      <c r="H49" s="22"/>
      <c r="I49" s="22"/>
      <c r="J49" s="23"/>
      <c r="K49" s="21"/>
      <c r="L49" s="22"/>
      <c r="M49" s="22"/>
      <c r="N49" s="24"/>
      <c r="O49" s="24"/>
      <c r="P49" s="24" t="s">
        <v>159</v>
      </c>
      <c r="Q49" s="24"/>
      <c r="R49" s="23"/>
      <c r="S49" s="135">
        <v>45311</v>
      </c>
      <c r="T49" s="146">
        <v>45679</v>
      </c>
      <c r="U49" s="26"/>
      <c r="V49" s="27"/>
      <c r="W49" s="28"/>
      <c r="X49" s="29" t="s">
        <v>163</v>
      </c>
    </row>
    <row r="50" spans="1:24" ht="11.4">
      <c r="A50" s="19">
        <f t="shared" si="2"/>
        <v>48</v>
      </c>
      <c r="B50" s="20"/>
      <c r="C50" s="31"/>
      <c r="D50" s="30" t="s">
        <v>264</v>
      </c>
      <c r="E50" s="30" t="s">
        <v>201</v>
      </c>
      <c r="F50" s="72" t="s">
        <v>228</v>
      </c>
      <c r="G50" s="21"/>
      <c r="H50" s="22"/>
      <c r="I50" s="22"/>
      <c r="J50" s="23"/>
      <c r="K50" s="21"/>
      <c r="L50" s="22"/>
      <c r="M50" s="22"/>
      <c r="N50" s="24"/>
      <c r="O50" s="24"/>
      <c r="P50" s="24" t="s">
        <v>159</v>
      </c>
      <c r="Q50" s="24"/>
      <c r="R50" s="23"/>
      <c r="S50" s="135">
        <v>45311</v>
      </c>
      <c r="T50" s="146">
        <v>45679</v>
      </c>
      <c r="U50" s="26"/>
      <c r="V50" s="27"/>
      <c r="W50" s="28"/>
      <c r="X50" s="29" t="s">
        <v>163</v>
      </c>
    </row>
    <row r="51" spans="1:24" ht="11.4">
      <c r="A51" s="19">
        <f t="shared" si="2"/>
        <v>49</v>
      </c>
      <c r="B51" s="31"/>
      <c r="C51" s="20"/>
      <c r="D51" s="20" t="s">
        <v>265</v>
      </c>
      <c r="E51" s="30" t="s">
        <v>201</v>
      </c>
      <c r="F51" s="72" t="s">
        <v>266</v>
      </c>
      <c r="G51" s="21"/>
      <c r="H51" s="22"/>
      <c r="I51" s="22"/>
      <c r="J51" s="23"/>
      <c r="K51" s="21"/>
      <c r="L51" s="22"/>
      <c r="M51" s="22"/>
      <c r="N51" s="24"/>
      <c r="O51" s="24"/>
      <c r="P51" s="24" t="s">
        <v>159</v>
      </c>
      <c r="Q51" s="24"/>
      <c r="R51" s="23"/>
      <c r="S51" s="135">
        <v>45311</v>
      </c>
      <c r="T51" s="146">
        <v>45679</v>
      </c>
      <c r="U51" s="26"/>
      <c r="V51" s="27"/>
      <c r="W51" s="28"/>
      <c r="X51" s="29" t="s">
        <v>163</v>
      </c>
    </row>
    <row r="52" spans="1:24" ht="11.4">
      <c r="A52" s="19">
        <f t="shared" si="2"/>
        <v>50</v>
      </c>
      <c r="B52" s="20"/>
      <c r="C52" s="20"/>
      <c r="D52" s="30" t="s">
        <v>267</v>
      </c>
      <c r="E52" s="30" t="s">
        <v>201</v>
      </c>
      <c r="F52" s="72" t="s">
        <v>268</v>
      </c>
      <c r="G52" s="21"/>
      <c r="H52" s="22"/>
      <c r="I52" s="22"/>
      <c r="J52" s="23"/>
      <c r="K52" s="21"/>
      <c r="L52" s="22"/>
      <c r="M52" s="22"/>
      <c r="N52" s="24"/>
      <c r="O52" s="24"/>
      <c r="P52" s="24" t="s">
        <v>159</v>
      </c>
      <c r="Q52" s="24"/>
      <c r="R52" s="23"/>
      <c r="S52" s="135">
        <v>45311</v>
      </c>
      <c r="T52" s="146"/>
      <c r="U52" s="26">
        <v>45679</v>
      </c>
      <c r="V52" s="27">
        <v>45681</v>
      </c>
      <c r="W52" s="28"/>
      <c r="X52" s="29" t="s">
        <v>163</v>
      </c>
    </row>
    <row r="53" spans="1:24" ht="11.4">
      <c r="A53" s="19">
        <f t="shared" si="2"/>
        <v>51</v>
      </c>
      <c r="B53" s="20"/>
      <c r="C53" s="31"/>
      <c r="D53" s="30" t="s">
        <v>269</v>
      </c>
      <c r="E53" s="30" t="s">
        <v>201</v>
      </c>
      <c r="F53" s="72" t="s">
        <v>270</v>
      </c>
      <c r="G53" s="21"/>
      <c r="H53" s="22"/>
      <c r="I53" s="22"/>
      <c r="J53" s="23"/>
      <c r="K53" s="21"/>
      <c r="L53" s="22"/>
      <c r="M53" s="22"/>
      <c r="N53" s="24"/>
      <c r="O53" s="24"/>
      <c r="P53" s="24" t="s">
        <v>159</v>
      </c>
      <c r="Q53" s="24"/>
      <c r="R53" s="23"/>
      <c r="S53" s="135">
        <v>45311</v>
      </c>
      <c r="T53" s="146">
        <v>45679</v>
      </c>
      <c r="U53" s="26"/>
      <c r="V53" s="27"/>
      <c r="W53" s="28"/>
      <c r="X53" s="29" t="s">
        <v>163</v>
      </c>
    </row>
    <row r="54" spans="1:24" ht="11.4">
      <c r="A54" s="19">
        <f t="shared" si="2"/>
        <v>52</v>
      </c>
      <c r="B54" s="31"/>
      <c r="C54" s="31"/>
      <c r="D54" s="30" t="s">
        <v>271</v>
      </c>
      <c r="E54" s="30" t="s">
        <v>201</v>
      </c>
      <c r="F54" s="72" t="s">
        <v>272</v>
      </c>
      <c r="G54" s="21"/>
      <c r="H54" s="22"/>
      <c r="I54" s="22"/>
      <c r="J54" s="23"/>
      <c r="K54" s="21"/>
      <c r="L54" s="22"/>
      <c r="M54" s="22"/>
      <c r="N54" s="24"/>
      <c r="O54" s="24"/>
      <c r="P54" s="24" t="s">
        <v>159</v>
      </c>
      <c r="Q54" s="24"/>
      <c r="R54" s="23"/>
      <c r="S54" s="135">
        <v>45311</v>
      </c>
      <c r="T54" s="146">
        <v>45679</v>
      </c>
      <c r="U54" s="26"/>
      <c r="V54" s="27"/>
      <c r="W54" s="28"/>
      <c r="X54" s="29" t="s">
        <v>163</v>
      </c>
    </row>
    <row r="55" spans="1:24" ht="11.4">
      <c r="A55" s="19">
        <f t="shared" si="2"/>
        <v>53</v>
      </c>
      <c r="B55" s="31"/>
      <c r="C55" s="31"/>
      <c r="D55" s="30" t="s">
        <v>273</v>
      </c>
      <c r="E55" s="30" t="s">
        <v>201</v>
      </c>
      <c r="F55" s="72" t="s">
        <v>274</v>
      </c>
      <c r="G55" s="21"/>
      <c r="H55" s="22"/>
      <c r="I55" s="22"/>
      <c r="J55" s="23"/>
      <c r="K55" s="21"/>
      <c r="L55" s="22"/>
      <c r="M55" s="22"/>
      <c r="N55" s="24"/>
      <c r="O55" s="24"/>
      <c r="P55" s="24" t="s">
        <v>159</v>
      </c>
      <c r="Q55" s="24"/>
      <c r="R55" s="23"/>
      <c r="S55" s="135">
        <v>45311</v>
      </c>
      <c r="T55" s="146">
        <v>45679</v>
      </c>
      <c r="U55" s="26"/>
      <c r="V55" s="27"/>
      <c r="W55" s="28"/>
      <c r="X55" s="29" t="s">
        <v>163</v>
      </c>
    </row>
    <row r="56" spans="1:24" ht="11.4">
      <c r="A56" s="19">
        <f t="shared" si="2"/>
        <v>54</v>
      </c>
      <c r="B56" s="31"/>
      <c r="C56" s="20"/>
      <c r="D56" s="20" t="s">
        <v>275</v>
      </c>
      <c r="E56" s="30" t="s">
        <v>201</v>
      </c>
      <c r="F56" s="72" t="s">
        <v>276</v>
      </c>
      <c r="G56" s="21"/>
      <c r="H56" s="22"/>
      <c r="I56" s="22"/>
      <c r="J56" s="23"/>
      <c r="K56" s="21"/>
      <c r="L56" s="22"/>
      <c r="M56" s="22"/>
      <c r="N56" s="24"/>
      <c r="O56" s="24"/>
      <c r="P56" s="24" t="s">
        <v>159</v>
      </c>
      <c r="Q56" s="24"/>
      <c r="R56" s="23"/>
      <c r="S56" s="135">
        <v>45311</v>
      </c>
      <c r="T56" s="146">
        <v>45679</v>
      </c>
      <c r="U56" s="26"/>
      <c r="V56" s="27"/>
      <c r="W56" s="28"/>
      <c r="X56" s="29" t="s">
        <v>163</v>
      </c>
    </row>
    <row r="57" spans="1:24" ht="11.4">
      <c r="A57" s="19">
        <f t="shared" si="2"/>
        <v>55</v>
      </c>
      <c r="B57" s="31"/>
      <c r="C57" s="20"/>
      <c r="D57" s="20" t="s">
        <v>277</v>
      </c>
      <c r="E57" s="30" t="s">
        <v>201</v>
      </c>
      <c r="F57" s="72" t="s">
        <v>278</v>
      </c>
      <c r="G57" s="21"/>
      <c r="H57" s="22"/>
      <c r="I57" s="22"/>
      <c r="J57" s="23"/>
      <c r="K57" s="21"/>
      <c r="L57" s="22"/>
      <c r="M57" s="22"/>
      <c r="N57" s="24"/>
      <c r="O57" s="24"/>
      <c r="P57" s="24" t="s">
        <v>159</v>
      </c>
      <c r="Q57" s="24"/>
      <c r="R57" s="23"/>
      <c r="S57" s="135">
        <v>45311</v>
      </c>
      <c r="T57" s="146">
        <v>45679</v>
      </c>
      <c r="U57" s="26"/>
      <c r="V57" s="27"/>
      <c r="W57" s="28"/>
      <c r="X57" s="29" t="s">
        <v>163</v>
      </c>
    </row>
    <row r="58" spans="1:24" ht="11.4">
      <c r="A58" s="19">
        <f t="shared" si="2"/>
        <v>56</v>
      </c>
      <c r="B58" s="20"/>
      <c r="C58" s="20"/>
      <c r="D58" s="30" t="s">
        <v>279</v>
      </c>
      <c r="E58" s="30" t="s">
        <v>201</v>
      </c>
      <c r="F58" s="72" t="s">
        <v>278</v>
      </c>
      <c r="G58" s="21"/>
      <c r="H58" s="22"/>
      <c r="I58" s="22"/>
      <c r="J58" s="23"/>
      <c r="K58" s="21"/>
      <c r="L58" s="22"/>
      <c r="M58" s="22"/>
      <c r="N58" s="24"/>
      <c r="O58" s="24"/>
      <c r="P58" s="24" t="s">
        <v>159</v>
      </c>
      <c r="Q58" s="24"/>
      <c r="R58" s="23"/>
      <c r="S58" s="135">
        <v>45311</v>
      </c>
      <c r="T58" s="146">
        <v>45679</v>
      </c>
      <c r="U58" s="26"/>
      <c r="V58" s="27"/>
      <c r="W58" s="28"/>
      <c r="X58" s="29" t="s">
        <v>163</v>
      </c>
    </row>
    <row r="59" spans="1:24" ht="11.4">
      <c r="A59" s="19">
        <f t="shared" si="2"/>
        <v>57</v>
      </c>
      <c r="B59" s="20"/>
      <c r="C59" s="20"/>
      <c r="D59" s="30" t="s">
        <v>280</v>
      </c>
      <c r="E59" s="30" t="s">
        <v>201</v>
      </c>
      <c r="F59" s="72" t="s">
        <v>281</v>
      </c>
      <c r="G59" s="21"/>
      <c r="H59" s="22"/>
      <c r="I59" s="22"/>
      <c r="J59" s="23"/>
      <c r="K59" s="21"/>
      <c r="L59" s="22"/>
      <c r="M59" s="22"/>
      <c r="N59" s="24"/>
      <c r="O59" s="24"/>
      <c r="P59" s="24" t="s">
        <v>159</v>
      </c>
      <c r="Q59" s="24"/>
      <c r="R59" s="23"/>
      <c r="S59" s="135">
        <v>45311</v>
      </c>
      <c r="T59" s="146">
        <v>45679</v>
      </c>
      <c r="U59" s="26"/>
      <c r="V59" s="27"/>
      <c r="W59" s="28"/>
      <c r="X59" s="29" t="s">
        <v>163</v>
      </c>
    </row>
    <row r="60" spans="1:24" ht="11.4">
      <c r="A60" s="19">
        <f t="shared" si="2"/>
        <v>58</v>
      </c>
      <c r="B60" s="20"/>
      <c r="C60" s="31"/>
      <c r="D60" s="30" t="s">
        <v>282</v>
      </c>
      <c r="E60" s="30" t="s">
        <v>201</v>
      </c>
      <c r="F60" s="72" t="s">
        <v>240</v>
      </c>
      <c r="G60" s="21"/>
      <c r="H60" s="22"/>
      <c r="I60" s="22"/>
      <c r="J60" s="23"/>
      <c r="K60" s="21"/>
      <c r="L60" s="22"/>
      <c r="M60" s="22"/>
      <c r="N60" s="24"/>
      <c r="O60" s="24"/>
      <c r="P60" s="24" t="s">
        <v>159</v>
      </c>
      <c r="Q60" s="24"/>
      <c r="R60" s="23"/>
      <c r="S60" s="135">
        <v>45311</v>
      </c>
      <c r="T60" s="146">
        <v>45679</v>
      </c>
      <c r="U60" s="26"/>
      <c r="V60" s="27"/>
      <c r="W60" s="28"/>
      <c r="X60" s="29" t="s">
        <v>163</v>
      </c>
    </row>
    <row r="61" spans="1:24" ht="11.4">
      <c r="A61" s="19">
        <f t="shared" si="2"/>
        <v>59</v>
      </c>
      <c r="B61" s="20"/>
      <c r="C61" s="20"/>
      <c r="D61" s="30" t="s">
        <v>283</v>
      </c>
      <c r="E61" s="30" t="s">
        <v>201</v>
      </c>
      <c r="F61" s="72" t="s">
        <v>278</v>
      </c>
      <c r="G61" s="21"/>
      <c r="H61" s="22"/>
      <c r="I61" s="22"/>
      <c r="J61" s="23"/>
      <c r="K61" s="21"/>
      <c r="L61" s="22"/>
      <c r="M61" s="22"/>
      <c r="N61" s="24"/>
      <c r="O61" s="24"/>
      <c r="P61" s="24" t="s">
        <v>159</v>
      </c>
      <c r="Q61" s="24"/>
      <c r="R61" s="23"/>
      <c r="S61" s="135">
        <v>45311</v>
      </c>
      <c r="T61" s="146">
        <v>45679</v>
      </c>
      <c r="U61" s="26"/>
      <c r="V61" s="27"/>
      <c r="W61" s="28"/>
      <c r="X61" s="29" t="s">
        <v>163</v>
      </c>
    </row>
    <row r="62" spans="1:24" ht="11.4">
      <c r="A62" s="19">
        <f t="shared" si="2"/>
        <v>60</v>
      </c>
      <c r="B62" s="20"/>
      <c r="C62" s="20"/>
      <c r="D62" s="30" t="s">
        <v>284</v>
      </c>
      <c r="E62" s="30" t="s">
        <v>201</v>
      </c>
      <c r="F62" s="72" t="s">
        <v>285</v>
      </c>
      <c r="G62" s="21"/>
      <c r="H62" s="22"/>
      <c r="I62" s="22"/>
      <c r="J62" s="23"/>
      <c r="K62" s="21"/>
      <c r="L62" s="22"/>
      <c r="M62" s="22"/>
      <c r="N62" s="24"/>
      <c r="O62" s="24"/>
      <c r="P62" s="24" t="s">
        <v>159</v>
      </c>
      <c r="Q62" s="24"/>
      <c r="R62" s="23"/>
      <c r="S62" s="135">
        <v>45311</v>
      </c>
      <c r="T62" s="146">
        <v>45679</v>
      </c>
      <c r="U62" s="26"/>
      <c r="V62" s="27"/>
      <c r="W62" s="28"/>
      <c r="X62" s="29" t="s">
        <v>163</v>
      </c>
    </row>
    <row r="63" spans="1:24" ht="22.8">
      <c r="A63" s="19">
        <f t="shared" si="2"/>
        <v>61</v>
      </c>
      <c r="B63" s="20"/>
      <c r="C63" s="31"/>
      <c r="D63" s="30" t="s">
        <v>286</v>
      </c>
      <c r="E63" s="30" t="s">
        <v>201</v>
      </c>
      <c r="F63" s="72" t="s">
        <v>278</v>
      </c>
      <c r="G63" s="21"/>
      <c r="H63" s="22"/>
      <c r="I63" s="22"/>
      <c r="J63" s="23"/>
      <c r="K63" s="21"/>
      <c r="L63" s="22"/>
      <c r="M63" s="22"/>
      <c r="N63" s="24"/>
      <c r="O63" s="24"/>
      <c r="P63" s="24" t="s">
        <v>159</v>
      </c>
      <c r="Q63" s="24"/>
      <c r="R63" s="23"/>
      <c r="S63" s="135">
        <v>45311</v>
      </c>
      <c r="T63" s="146">
        <v>45679</v>
      </c>
      <c r="U63" s="26"/>
      <c r="V63" s="27"/>
      <c r="W63" s="28"/>
      <c r="X63" s="29" t="s">
        <v>163</v>
      </c>
    </row>
    <row r="64" spans="1:24" ht="22.8">
      <c r="A64" s="19">
        <f t="shared" si="2"/>
        <v>62</v>
      </c>
      <c r="B64" s="31"/>
      <c r="C64" s="31"/>
      <c r="D64" s="30" t="s">
        <v>287</v>
      </c>
      <c r="E64" s="30" t="s">
        <v>201</v>
      </c>
      <c r="F64" s="72" t="s">
        <v>278</v>
      </c>
      <c r="G64" s="21"/>
      <c r="H64" s="22"/>
      <c r="I64" s="22"/>
      <c r="J64" s="23"/>
      <c r="K64" s="21"/>
      <c r="L64" s="22"/>
      <c r="M64" s="22"/>
      <c r="N64" s="24"/>
      <c r="O64" s="24"/>
      <c r="P64" s="24" t="s">
        <v>159</v>
      </c>
      <c r="Q64" s="24"/>
      <c r="R64" s="23"/>
      <c r="S64" s="135">
        <v>45311</v>
      </c>
      <c r="T64" s="146">
        <v>45679</v>
      </c>
      <c r="U64" s="26"/>
      <c r="V64" s="27"/>
      <c r="W64" s="28"/>
      <c r="X64" s="29" t="s">
        <v>163</v>
      </c>
    </row>
    <row r="65" spans="1:24" ht="22.8">
      <c r="A65" s="19">
        <f t="shared" si="2"/>
        <v>63</v>
      </c>
      <c r="B65" s="31"/>
      <c r="C65" s="31"/>
      <c r="D65" s="30" t="s">
        <v>288</v>
      </c>
      <c r="E65" s="30" t="s">
        <v>201</v>
      </c>
      <c r="F65" s="72" t="s">
        <v>278</v>
      </c>
      <c r="G65" s="21"/>
      <c r="H65" s="22"/>
      <c r="I65" s="22"/>
      <c r="J65" s="23"/>
      <c r="K65" s="21"/>
      <c r="L65" s="22"/>
      <c r="M65" s="22"/>
      <c r="N65" s="24"/>
      <c r="O65" s="24"/>
      <c r="P65" s="24" t="s">
        <v>159</v>
      </c>
      <c r="Q65" s="24"/>
      <c r="R65" s="23"/>
      <c r="S65" s="135">
        <v>45311</v>
      </c>
      <c r="T65" s="146">
        <v>45679</v>
      </c>
      <c r="U65" s="26"/>
      <c r="V65" s="27"/>
      <c r="W65" s="28"/>
      <c r="X65" s="29" t="s">
        <v>163</v>
      </c>
    </row>
    <row r="66" spans="1:24" ht="22.8">
      <c r="A66" s="19">
        <f t="shared" si="2"/>
        <v>64</v>
      </c>
      <c r="B66" s="31"/>
      <c r="C66" s="31"/>
      <c r="D66" s="30" t="s">
        <v>289</v>
      </c>
      <c r="E66" s="30" t="s">
        <v>201</v>
      </c>
      <c r="F66" s="72" t="s">
        <v>278</v>
      </c>
      <c r="G66" s="21"/>
      <c r="H66" s="22"/>
      <c r="I66" s="22"/>
      <c r="J66" s="23"/>
      <c r="K66" s="21"/>
      <c r="L66" s="22"/>
      <c r="M66" s="22"/>
      <c r="N66" s="24"/>
      <c r="O66" s="24"/>
      <c r="P66" s="24" t="s">
        <v>159</v>
      </c>
      <c r="Q66" s="24"/>
      <c r="R66" s="23"/>
      <c r="S66" s="135">
        <v>45311</v>
      </c>
      <c r="T66" s="146">
        <v>45679</v>
      </c>
      <c r="U66" s="26"/>
      <c r="V66" s="27"/>
      <c r="W66" s="28"/>
      <c r="X66" s="29" t="s">
        <v>163</v>
      </c>
    </row>
    <row r="67" spans="1:24" ht="22.8">
      <c r="A67" s="19">
        <f t="shared" si="2"/>
        <v>65</v>
      </c>
      <c r="B67" s="31"/>
      <c r="C67" s="31"/>
      <c r="D67" s="30" t="s">
        <v>290</v>
      </c>
      <c r="E67" s="30" t="s">
        <v>201</v>
      </c>
      <c r="F67" s="72" t="s">
        <v>278</v>
      </c>
      <c r="G67" s="21"/>
      <c r="H67" s="22"/>
      <c r="I67" s="22"/>
      <c r="J67" s="23"/>
      <c r="K67" s="21"/>
      <c r="L67" s="22"/>
      <c r="M67" s="22"/>
      <c r="N67" s="24"/>
      <c r="O67" s="24"/>
      <c r="P67" s="24" t="s">
        <v>159</v>
      </c>
      <c r="Q67" s="24"/>
      <c r="R67" s="23"/>
      <c r="S67" s="135">
        <v>45311</v>
      </c>
      <c r="T67" s="146">
        <v>45679</v>
      </c>
      <c r="U67" s="26"/>
      <c r="V67" s="27"/>
      <c r="W67" s="28"/>
      <c r="X67" s="29" t="s">
        <v>163</v>
      </c>
    </row>
    <row r="68" spans="1:24" ht="22.8">
      <c r="A68" s="19">
        <f t="shared" si="2"/>
        <v>66</v>
      </c>
      <c r="B68" s="31"/>
      <c r="C68" s="20"/>
      <c r="D68" s="20" t="s">
        <v>291</v>
      </c>
      <c r="E68" s="30" t="s">
        <v>201</v>
      </c>
      <c r="F68" s="72" t="s">
        <v>278</v>
      </c>
      <c r="G68" s="21"/>
      <c r="H68" s="22"/>
      <c r="I68" s="22"/>
      <c r="J68" s="23"/>
      <c r="K68" s="21"/>
      <c r="L68" s="22"/>
      <c r="M68" s="22"/>
      <c r="N68" s="24"/>
      <c r="O68" s="24"/>
      <c r="P68" s="24" t="s">
        <v>159</v>
      </c>
      <c r="Q68" s="24"/>
      <c r="R68" s="23"/>
      <c r="S68" s="135">
        <v>45311</v>
      </c>
      <c r="T68" s="146">
        <v>45679</v>
      </c>
      <c r="U68" s="26"/>
      <c r="V68" s="27"/>
      <c r="W68" s="28"/>
      <c r="X68" s="29" t="s">
        <v>163</v>
      </c>
    </row>
    <row r="69" spans="1:24" ht="11.4">
      <c r="A69" s="19">
        <f t="shared" si="2"/>
        <v>67</v>
      </c>
      <c r="B69" s="31"/>
      <c r="C69" s="20"/>
      <c r="D69" s="20" t="s">
        <v>292</v>
      </c>
      <c r="E69" s="30" t="s">
        <v>201</v>
      </c>
      <c r="F69" s="72" t="s">
        <v>240</v>
      </c>
      <c r="G69" s="21"/>
      <c r="H69" s="22"/>
      <c r="I69" s="22"/>
      <c r="J69" s="23"/>
      <c r="K69" s="21"/>
      <c r="L69" s="22"/>
      <c r="M69" s="22"/>
      <c r="N69" s="24"/>
      <c r="O69" s="24"/>
      <c r="P69" s="24" t="s">
        <v>159</v>
      </c>
      <c r="Q69" s="24"/>
      <c r="R69" s="23"/>
      <c r="S69" s="135">
        <v>45311</v>
      </c>
      <c r="T69" s="146">
        <v>45679</v>
      </c>
      <c r="U69" s="26"/>
      <c r="V69" s="27"/>
      <c r="W69" s="28"/>
      <c r="X69" s="29" t="s">
        <v>163</v>
      </c>
    </row>
    <row r="70" spans="1:24" ht="11.4">
      <c r="A70" s="19">
        <f t="shared" si="2"/>
        <v>68</v>
      </c>
      <c r="B70" s="20"/>
      <c r="C70" s="20"/>
      <c r="D70" s="30" t="s">
        <v>293</v>
      </c>
      <c r="E70" s="30" t="s">
        <v>201</v>
      </c>
      <c r="F70" s="72" t="s">
        <v>240</v>
      </c>
      <c r="G70" s="21"/>
      <c r="H70" s="22"/>
      <c r="I70" s="22"/>
      <c r="J70" s="23"/>
      <c r="K70" s="21"/>
      <c r="L70" s="22"/>
      <c r="M70" s="22"/>
      <c r="N70" s="24"/>
      <c r="O70" s="24"/>
      <c r="P70" s="24" t="s">
        <v>159</v>
      </c>
      <c r="Q70" s="24"/>
      <c r="R70" s="23"/>
      <c r="S70" s="135">
        <v>45311</v>
      </c>
      <c r="T70" s="146">
        <v>45679</v>
      </c>
      <c r="U70" s="26"/>
      <c r="V70" s="27"/>
      <c r="W70" s="28"/>
      <c r="X70" s="29" t="s">
        <v>163</v>
      </c>
    </row>
    <row r="71" spans="1:24" ht="11.4">
      <c r="A71" s="19">
        <f t="shared" si="2"/>
        <v>69</v>
      </c>
      <c r="B71" s="20"/>
      <c r="C71" s="20"/>
      <c r="D71" s="30" t="s">
        <v>294</v>
      </c>
      <c r="E71" s="30" t="s">
        <v>201</v>
      </c>
      <c r="F71" s="72" t="s">
        <v>240</v>
      </c>
      <c r="G71" s="21"/>
      <c r="H71" s="22"/>
      <c r="I71" s="22"/>
      <c r="J71" s="23"/>
      <c r="K71" s="21"/>
      <c r="L71" s="22"/>
      <c r="M71" s="22"/>
      <c r="N71" s="24"/>
      <c r="O71" s="24"/>
      <c r="P71" s="24" t="s">
        <v>159</v>
      </c>
      <c r="Q71" s="24"/>
      <c r="R71" s="23"/>
      <c r="S71" s="135">
        <v>45311</v>
      </c>
      <c r="T71" s="146">
        <v>45679</v>
      </c>
      <c r="U71" s="26"/>
      <c r="V71" s="27"/>
      <c r="W71" s="28"/>
      <c r="X71" s="29" t="s">
        <v>163</v>
      </c>
    </row>
    <row r="72" spans="1:24" ht="11.4">
      <c r="A72" s="19">
        <f t="shared" si="2"/>
        <v>70</v>
      </c>
      <c r="B72" s="20"/>
      <c r="C72" s="31"/>
      <c r="D72" s="30" t="s">
        <v>295</v>
      </c>
      <c r="E72" s="30" t="s">
        <v>201</v>
      </c>
      <c r="F72" s="72" t="s">
        <v>240</v>
      </c>
      <c r="G72" s="21"/>
      <c r="H72" s="22"/>
      <c r="I72" s="22"/>
      <c r="J72" s="23"/>
      <c r="K72" s="21"/>
      <c r="L72" s="22"/>
      <c r="M72" s="22"/>
      <c r="N72" s="24"/>
      <c r="O72" s="24"/>
      <c r="P72" s="24" t="s">
        <v>159</v>
      </c>
      <c r="Q72" s="24"/>
      <c r="R72" s="23"/>
      <c r="S72" s="135">
        <v>45311</v>
      </c>
      <c r="T72" s="146">
        <v>45679</v>
      </c>
      <c r="U72" s="26"/>
      <c r="V72" s="27"/>
      <c r="W72" s="28"/>
      <c r="X72" s="29" t="s">
        <v>163</v>
      </c>
    </row>
    <row r="73" spans="1:24" ht="11.4">
      <c r="A73" s="19">
        <f t="shared" si="2"/>
        <v>71</v>
      </c>
      <c r="B73" s="20"/>
      <c r="C73" s="20"/>
      <c r="D73" s="30" t="s">
        <v>296</v>
      </c>
      <c r="E73" s="30" t="s">
        <v>201</v>
      </c>
      <c r="F73" s="72" t="s">
        <v>240</v>
      </c>
      <c r="G73" s="21"/>
      <c r="H73" s="22"/>
      <c r="I73" s="22"/>
      <c r="J73" s="23"/>
      <c r="K73" s="21"/>
      <c r="L73" s="22"/>
      <c r="M73" s="22"/>
      <c r="N73" s="24"/>
      <c r="O73" s="24"/>
      <c r="P73" s="24" t="s">
        <v>159</v>
      </c>
      <c r="Q73" s="24"/>
      <c r="R73" s="23"/>
      <c r="S73" s="135">
        <v>45311</v>
      </c>
      <c r="T73" s="146">
        <v>45679</v>
      </c>
      <c r="U73" s="26"/>
      <c r="V73" s="27"/>
      <c r="W73" s="28"/>
      <c r="X73" s="29" t="s">
        <v>163</v>
      </c>
    </row>
    <row r="74" spans="1:24" ht="11.4">
      <c r="A74" s="19">
        <f t="shared" si="2"/>
        <v>72</v>
      </c>
      <c r="B74" s="20"/>
      <c r="C74" s="20"/>
      <c r="D74" s="30" t="s">
        <v>297</v>
      </c>
      <c r="E74" s="30" t="s">
        <v>201</v>
      </c>
      <c r="F74" s="72" t="s">
        <v>240</v>
      </c>
      <c r="G74" s="21"/>
      <c r="H74" s="22"/>
      <c r="I74" s="22"/>
      <c r="J74" s="23"/>
      <c r="K74" s="21"/>
      <c r="L74" s="22"/>
      <c r="M74" s="22"/>
      <c r="N74" s="24"/>
      <c r="O74" s="24"/>
      <c r="P74" s="24" t="s">
        <v>159</v>
      </c>
      <c r="Q74" s="24"/>
      <c r="R74" s="23"/>
      <c r="S74" s="135">
        <v>45311</v>
      </c>
      <c r="T74" s="146">
        <v>45679</v>
      </c>
      <c r="U74" s="26"/>
      <c r="V74" s="27"/>
      <c r="W74" s="28"/>
      <c r="X74" s="29" t="s">
        <v>163</v>
      </c>
    </row>
    <row r="75" spans="1:24" ht="11.4">
      <c r="A75" s="19">
        <f t="shared" si="2"/>
        <v>73</v>
      </c>
      <c r="B75" s="20"/>
      <c r="C75" s="31"/>
      <c r="D75" s="30" t="s">
        <v>298</v>
      </c>
      <c r="E75" s="30" t="s">
        <v>201</v>
      </c>
      <c r="F75" s="72" t="s">
        <v>240</v>
      </c>
      <c r="G75" s="21"/>
      <c r="H75" s="22"/>
      <c r="I75" s="22"/>
      <c r="J75" s="23"/>
      <c r="K75" s="21"/>
      <c r="L75" s="22"/>
      <c r="M75" s="22"/>
      <c r="N75" s="24"/>
      <c r="O75" s="24"/>
      <c r="P75" s="24" t="s">
        <v>159</v>
      </c>
      <c r="Q75" s="24"/>
      <c r="R75" s="23"/>
      <c r="S75" s="135">
        <v>45311</v>
      </c>
      <c r="T75" s="146">
        <v>45679</v>
      </c>
      <c r="U75" s="26"/>
      <c r="V75" s="27"/>
      <c r="W75" s="28"/>
      <c r="X75" s="29" t="s">
        <v>163</v>
      </c>
    </row>
    <row r="76" spans="1:24" ht="11.4">
      <c r="A76" s="19">
        <f t="shared" si="2"/>
        <v>74</v>
      </c>
      <c r="B76" s="31"/>
      <c r="C76" s="31"/>
      <c r="D76" s="30" t="s">
        <v>299</v>
      </c>
      <c r="E76" s="30" t="s">
        <v>201</v>
      </c>
      <c r="F76" s="72" t="s">
        <v>274</v>
      </c>
      <c r="G76" s="21"/>
      <c r="H76" s="22"/>
      <c r="I76" s="22"/>
      <c r="J76" s="23"/>
      <c r="K76" s="21"/>
      <c r="L76" s="22"/>
      <c r="M76" s="22"/>
      <c r="N76" s="24"/>
      <c r="O76" s="24"/>
      <c r="P76" s="24" t="s">
        <v>159</v>
      </c>
      <c r="Q76" s="24"/>
      <c r="R76" s="23"/>
      <c r="S76" s="135">
        <v>45311</v>
      </c>
      <c r="T76" s="146">
        <v>45679</v>
      </c>
      <c r="U76" s="26"/>
      <c r="V76" s="27"/>
      <c r="W76" s="28"/>
      <c r="X76" s="29" t="s">
        <v>163</v>
      </c>
    </row>
    <row r="77" spans="1:24" ht="11.4">
      <c r="A77" s="19">
        <f t="shared" si="2"/>
        <v>75</v>
      </c>
      <c r="B77" s="31"/>
      <c r="C77" s="31"/>
      <c r="D77" s="30" t="s">
        <v>300</v>
      </c>
      <c r="E77" s="30" t="s">
        <v>201</v>
      </c>
      <c r="F77" s="72" t="s">
        <v>301</v>
      </c>
      <c r="G77" s="21"/>
      <c r="H77" s="22"/>
      <c r="I77" s="22"/>
      <c r="J77" s="23"/>
      <c r="K77" s="21"/>
      <c r="L77" s="22"/>
      <c r="M77" s="22"/>
      <c r="N77" s="24"/>
      <c r="O77" s="24"/>
      <c r="P77" s="24" t="s">
        <v>159</v>
      </c>
      <c r="Q77" s="24"/>
      <c r="R77" s="23"/>
      <c r="S77" s="135">
        <v>45311</v>
      </c>
      <c r="T77" s="146">
        <v>45679</v>
      </c>
      <c r="U77" s="26"/>
      <c r="V77" s="27"/>
      <c r="W77" s="28"/>
      <c r="X77" s="29" t="s">
        <v>163</v>
      </c>
    </row>
    <row r="78" spans="1:24" ht="11.4">
      <c r="A78" s="19">
        <f t="shared" si="2"/>
        <v>76</v>
      </c>
      <c r="B78" s="31"/>
      <c r="C78" s="31"/>
      <c r="D78" s="30" t="s">
        <v>302</v>
      </c>
      <c r="E78" s="30" t="s">
        <v>201</v>
      </c>
      <c r="F78" s="72" t="s">
        <v>303</v>
      </c>
      <c r="G78" s="21"/>
      <c r="H78" s="22"/>
      <c r="I78" s="22"/>
      <c r="J78" s="23"/>
      <c r="K78" s="21"/>
      <c r="L78" s="22"/>
      <c r="M78" s="22"/>
      <c r="N78" s="24"/>
      <c r="O78" s="24"/>
      <c r="P78" s="24" t="s">
        <v>159</v>
      </c>
      <c r="Q78" s="24"/>
      <c r="R78" s="23"/>
      <c r="S78" s="135">
        <v>45311</v>
      </c>
      <c r="T78" s="146">
        <v>45679</v>
      </c>
      <c r="U78" s="26"/>
      <c r="V78" s="27"/>
      <c r="W78" s="28"/>
      <c r="X78" s="29" t="s">
        <v>163</v>
      </c>
    </row>
    <row r="79" spans="1:24" ht="11.4">
      <c r="A79" s="19">
        <f t="shared" si="2"/>
        <v>77</v>
      </c>
      <c r="B79" s="31"/>
      <c r="C79" s="31"/>
      <c r="D79" s="30" t="s">
        <v>304</v>
      </c>
      <c r="E79" s="30" t="s">
        <v>201</v>
      </c>
      <c r="F79" s="72" t="s">
        <v>305</v>
      </c>
      <c r="G79" s="21"/>
      <c r="H79" s="22"/>
      <c r="I79" s="22"/>
      <c r="J79" s="23"/>
      <c r="K79" s="21"/>
      <c r="L79" s="22"/>
      <c r="M79" s="22"/>
      <c r="N79" s="24"/>
      <c r="O79" s="24"/>
      <c r="P79" s="24" t="s">
        <v>159</v>
      </c>
      <c r="Q79" s="24"/>
      <c r="R79" s="23"/>
      <c r="S79" s="135">
        <v>45311</v>
      </c>
      <c r="T79" s="146">
        <v>45679</v>
      </c>
      <c r="U79" s="26"/>
      <c r="V79" s="27"/>
      <c r="W79" s="28"/>
      <c r="X79" s="29" t="s">
        <v>163</v>
      </c>
    </row>
    <row r="80" spans="1:24" ht="22.8">
      <c r="A80" s="19">
        <f t="shared" si="2"/>
        <v>78</v>
      </c>
      <c r="B80" s="31"/>
      <c r="C80" s="20"/>
      <c r="D80" s="20" t="s">
        <v>306</v>
      </c>
      <c r="E80" s="30" t="s">
        <v>201</v>
      </c>
      <c r="F80" s="72" t="s">
        <v>307</v>
      </c>
      <c r="G80" s="21"/>
      <c r="H80" s="22"/>
      <c r="I80" s="22"/>
      <c r="J80" s="23"/>
      <c r="K80" s="21"/>
      <c r="L80" s="22"/>
      <c r="M80" s="22"/>
      <c r="N80" s="24"/>
      <c r="O80" s="24"/>
      <c r="P80" s="24" t="s">
        <v>159</v>
      </c>
      <c r="Q80" s="24"/>
      <c r="R80" s="23"/>
      <c r="S80" s="135">
        <v>45311</v>
      </c>
      <c r="T80" s="146"/>
      <c r="U80" s="26">
        <v>45679</v>
      </c>
      <c r="V80" s="27">
        <v>45681</v>
      </c>
      <c r="W80" s="28"/>
      <c r="X80" s="29" t="s">
        <v>163</v>
      </c>
    </row>
    <row r="81" spans="1:24" ht="11.4">
      <c r="A81" s="19">
        <f t="shared" si="2"/>
        <v>79</v>
      </c>
      <c r="B81" s="20"/>
      <c r="C81" s="20"/>
      <c r="D81" s="30" t="s">
        <v>308</v>
      </c>
      <c r="E81" s="30" t="s">
        <v>201</v>
      </c>
      <c r="F81" s="72" t="s">
        <v>309</v>
      </c>
      <c r="G81" s="21"/>
      <c r="H81" s="22"/>
      <c r="I81" s="22"/>
      <c r="J81" s="23"/>
      <c r="K81" s="21"/>
      <c r="L81" s="22"/>
      <c r="M81" s="22"/>
      <c r="N81" s="24"/>
      <c r="O81" s="24"/>
      <c r="P81" s="24" t="s">
        <v>159</v>
      </c>
      <c r="Q81" s="24"/>
      <c r="R81" s="23"/>
      <c r="S81" s="135">
        <v>45311</v>
      </c>
      <c r="T81" s="146">
        <v>45679</v>
      </c>
      <c r="U81" s="26"/>
      <c r="V81" s="27"/>
      <c r="W81" s="28"/>
      <c r="X81" s="29" t="s">
        <v>163</v>
      </c>
    </row>
    <row r="82" spans="1:24" ht="11.4">
      <c r="A82" s="19">
        <f t="shared" si="2"/>
        <v>80</v>
      </c>
      <c r="B82" s="20"/>
      <c r="C82" s="20"/>
      <c r="D82" s="30" t="s">
        <v>310</v>
      </c>
      <c r="E82" s="30" t="s">
        <v>201</v>
      </c>
      <c r="F82" s="72" t="s">
        <v>311</v>
      </c>
      <c r="G82" s="21"/>
      <c r="H82" s="22"/>
      <c r="I82" s="22"/>
      <c r="J82" s="23"/>
      <c r="K82" s="21"/>
      <c r="L82" s="22"/>
      <c r="M82" s="22"/>
      <c r="N82" s="24"/>
      <c r="O82" s="24"/>
      <c r="P82" s="24" t="s">
        <v>159</v>
      </c>
      <c r="Q82" s="24"/>
      <c r="R82" s="23"/>
      <c r="S82" s="135">
        <v>45311</v>
      </c>
      <c r="T82" s="146">
        <v>45679</v>
      </c>
      <c r="U82" s="26"/>
      <c r="V82" s="27"/>
      <c r="W82" s="28"/>
      <c r="X82" s="29" t="s">
        <v>163</v>
      </c>
    </row>
    <row r="83" spans="1:24" ht="11.4">
      <c r="A83" s="19">
        <f t="shared" si="2"/>
        <v>81</v>
      </c>
      <c r="B83" s="20"/>
      <c r="C83" s="31"/>
      <c r="D83" s="30" t="s">
        <v>312</v>
      </c>
      <c r="E83" s="30" t="s">
        <v>201</v>
      </c>
      <c r="F83" s="72" t="s">
        <v>313</v>
      </c>
      <c r="G83" s="21"/>
      <c r="H83" s="22"/>
      <c r="I83" s="22"/>
      <c r="J83" s="23"/>
      <c r="K83" s="21"/>
      <c r="L83" s="22"/>
      <c r="M83" s="22"/>
      <c r="N83" s="24"/>
      <c r="O83" s="24"/>
      <c r="P83" s="24" t="s">
        <v>159</v>
      </c>
      <c r="Q83" s="24"/>
      <c r="R83" s="23"/>
      <c r="S83" s="135">
        <v>45311</v>
      </c>
      <c r="T83" s="146">
        <v>45679</v>
      </c>
      <c r="U83" s="26"/>
      <c r="V83" s="27"/>
      <c r="W83" s="28"/>
      <c r="X83" s="29" t="s">
        <v>163</v>
      </c>
    </row>
    <row r="84" spans="1:24" ht="11.4">
      <c r="A84" s="19">
        <f t="shared" si="2"/>
        <v>82</v>
      </c>
      <c r="B84" s="20"/>
      <c r="C84" s="20"/>
      <c r="D84" s="30" t="s">
        <v>260</v>
      </c>
      <c r="E84" s="30" t="s">
        <v>201</v>
      </c>
      <c r="F84" s="72" t="s">
        <v>228</v>
      </c>
      <c r="G84" s="21"/>
      <c r="H84" s="22"/>
      <c r="I84" s="22"/>
      <c r="J84" s="23"/>
      <c r="K84" s="21"/>
      <c r="L84" s="22"/>
      <c r="M84" s="22"/>
      <c r="N84" s="24"/>
      <c r="O84" s="24"/>
      <c r="P84" s="24" t="s">
        <v>159</v>
      </c>
      <c r="Q84" s="24"/>
      <c r="R84" s="23"/>
      <c r="S84" s="135">
        <v>45311</v>
      </c>
      <c r="T84" s="146">
        <v>45679</v>
      </c>
      <c r="U84" s="26"/>
      <c r="V84" s="27"/>
      <c r="W84" s="28"/>
      <c r="X84" s="29" t="s">
        <v>163</v>
      </c>
    </row>
    <row r="85" spans="1:24" ht="11.4">
      <c r="A85" s="19">
        <f>ROW()-2</f>
        <v>83</v>
      </c>
      <c r="B85" s="20"/>
      <c r="C85" s="20" t="s">
        <v>314</v>
      </c>
      <c r="D85" s="20" t="s">
        <v>315</v>
      </c>
      <c r="E85" s="30" t="s">
        <v>201</v>
      </c>
      <c r="F85" s="71" t="s">
        <v>202</v>
      </c>
      <c r="G85" s="21"/>
      <c r="H85" s="22"/>
      <c r="I85" s="22"/>
      <c r="J85" s="23"/>
      <c r="K85" s="21"/>
      <c r="L85" s="22"/>
      <c r="M85" s="22"/>
      <c r="N85" s="24"/>
      <c r="O85" s="24"/>
      <c r="P85" s="24" t="s">
        <v>159</v>
      </c>
      <c r="Q85" s="24"/>
      <c r="R85" s="23"/>
      <c r="S85" s="135">
        <v>45312</v>
      </c>
      <c r="T85" s="146">
        <v>45679</v>
      </c>
      <c r="U85" s="26"/>
      <c r="V85" s="27"/>
      <c r="W85" s="28"/>
      <c r="X85" s="29" t="s">
        <v>163</v>
      </c>
    </row>
    <row r="86" spans="1:24" ht="11.4">
      <c r="A86" s="19">
        <f t="shared" ref="A86:A88" si="3">ROW()-2</f>
        <v>84</v>
      </c>
      <c r="B86" s="20"/>
      <c r="C86" s="20"/>
      <c r="D86" s="20" t="s">
        <v>204</v>
      </c>
      <c r="E86" s="30" t="s">
        <v>201</v>
      </c>
      <c r="F86" s="71" t="s">
        <v>205</v>
      </c>
      <c r="G86" s="21"/>
      <c r="H86" s="22"/>
      <c r="I86" s="22"/>
      <c r="J86" s="23"/>
      <c r="K86" s="21"/>
      <c r="L86" s="22"/>
      <c r="M86" s="22"/>
      <c r="N86" s="24"/>
      <c r="O86" s="24"/>
      <c r="P86" s="24" t="s">
        <v>159</v>
      </c>
      <c r="Q86" s="24"/>
      <c r="R86" s="23"/>
      <c r="S86" s="135">
        <v>45312</v>
      </c>
      <c r="T86" s="146">
        <v>45679</v>
      </c>
      <c r="U86" s="26"/>
      <c r="V86" s="27"/>
      <c r="W86" s="28"/>
      <c r="X86" s="29" t="s">
        <v>163</v>
      </c>
    </row>
    <row r="87" spans="1:24" ht="11.4">
      <c r="A87" s="19">
        <f t="shared" si="3"/>
        <v>85</v>
      </c>
      <c r="B87" s="20"/>
      <c r="C87" s="20"/>
      <c r="D87" s="20" t="s">
        <v>206</v>
      </c>
      <c r="E87" s="30" t="s">
        <v>201</v>
      </c>
      <c r="F87" s="71" t="s">
        <v>207</v>
      </c>
      <c r="G87" s="21"/>
      <c r="H87" s="22"/>
      <c r="I87" s="22"/>
      <c r="J87" s="23"/>
      <c r="K87" s="21"/>
      <c r="L87" s="22"/>
      <c r="M87" s="22"/>
      <c r="N87" s="24"/>
      <c r="O87" s="24"/>
      <c r="P87" s="24" t="s">
        <v>159</v>
      </c>
      <c r="Q87" s="24"/>
      <c r="R87" s="23"/>
      <c r="S87" s="135">
        <v>45312</v>
      </c>
      <c r="T87" s="146">
        <v>45679</v>
      </c>
      <c r="U87" s="26"/>
      <c r="V87" s="27"/>
      <c r="W87" s="28"/>
      <c r="X87" s="29" t="s">
        <v>163</v>
      </c>
    </row>
    <row r="88" spans="1:24" ht="11.4">
      <c r="A88" s="19">
        <f t="shared" si="3"/>
        <v>86</v>
      </c>
      <c r="B88" s="20"/>
      <c r="C88" s="20"/>
      <c r="D88" s="20" t="s">
        <v>208</v>
      </c>
      <c r="E88" s="30" t="s">
        <v>201</v>
      </c>
      <c r="F88" s="71" t="s">
        <v>209</v>
      </c>
      <c r="G88" s="21"/>
      <c r="H88" s="22"/>
      <c r="I88" s="22"/>
      <c r="J88" s="23"/>
      <c r="K88" s="21"/>
      <c r="L88" s="22"/>
      <c r="M88" s="22"/>
      <c r="N88" s="24"/>
      <c r="O88" s="24"/>
      <c r="P88" s="24" t="s">
        <v>159</v>
      </c>
      <c r="Q88" s="24"/>
      <c r="R88" s="23"/>
      <c r="S88" s="135">
        <v>45312</v>
      </c>
      <c r="T88" s="146">
        <v>45679</v>
      </c>
      <c r="U88" s="26"/>
      <c r="V88" s="27"/>
      <c r="W88" s="28"/>
      <c r="X88" s="29" t="s">
        <v>163</v>
      </c>
    </row>
    <row r="89" spans="1:24" ht="11.4">
      <c r="A89" s="19">
        <f>ROW()-2</f>
        <v>87</v>
      </c>
      <c r="B89" s="20"/>
      <c r="C89" s="20"/>
      <c r="D89" s="20" t="s">
        <v>210</v>
      </c>
      <c r="E89" s="30" t="s">
        <v>201</v>
      </c>
      <c r="F89" s="71" t="s">
        <v>211</v>
      </c>
      <c r="G89" s="21"/>
      <c r="H89" s="22"/>
      <c r="I89" s="22"/>
      <c r="J89" s="23"/>
      <c r="K89" s="21"/>
      <c r="L89" s="22"/>
      <c r="M89" s="22"/>
      <c r="N89" s="24"/>
      <c r="O89" s="24"/>
      <c r="P89" s="24" t="s">
        <v>159</v>
      </c>
      <c r="Q89" s="24"/>
      <c r="R89" s="23"/>
      <c r="S89" s="135">
        <v>45312</v>
      </c>
      <c r="T89" s="146">
        <v>45679</v>
      </c>
      <c r="U89" s="26"/>
      <c r="V89" s="27"/>
      <c r="W89" s="28"/>
      <c r="X89" s="29" t="s">
        <v>163</v>
      </c>
    </row>
    <row r="90" spans="1:24" ht="11.4">
      <c r="A90" s="19">
        <f t="shared" si="2"/>
        <v>88</v>
      </c>
      <c r="B90" s="20"/>
      <c r="C90" s="20"/>
      <c r="D90" s="20" t="s">
        <v>212</v>
      </c>
      <c r="E90" s="30" t="s">
        <v>201</v>
      </c>
      <c r="F90" s="71" t="s">
        <v>213</v>
      </c>
      <c r="G90" s="21"/>
      <c r="H90" s="22"/>
      <c r="I90" s="22"/>
      <c r="J90" s="23"/>
      <c r="K90" s="21"/>
      <c r="L90" s="22"/>
      <c r="M90" s="22"/>
      <c r="N90" s="24"/>
      <c r="O90" s="24"/>
      <c r="P90" s="24" t="s">
        <v>159</v>
      </c>
      <c r="Q90" s="24"/>
      <c r="R90" s="23"/>
      <c r="S90" s="135">
        <v>45312</v>
      </c>
      <c r="T90" s="146">
        <v>45679</v>
      </c>
      <c r="U90" s="26"/>
      <c r="V90" s="27"/>
      <c r="W90" s="28"/>
      <c r="X90" s="29" t="s">
        <v>163</v>
      </c>
    </row>
    <row r="91" spans="1:24" ht="11.4">
      <c r="A91" s="19">
        <f t="shared" si="2"/>
        <v>89</v>
      </c>
      <c r="B91" s="20"/>
      <c r="C91" s="20"/>
      <c r="D91" s="20" t="s">
        <v>214</v>
      </c>
      <c r="E91" s="30" t="s">
        <v>201</v>
      </c>
      <c r="F91" s="71" t="s">
        <v>215</v>
      </c>
      <c r="G91" s="21"/>
      <c r="H91" s="22"/>
      <c r="I91" s="22"/>
      <c r="J91" s="23"/>
      <c r="K91" s="21"/>
      <c r="L91" s="22"/>
      <c r="M91" s="22"/>
      <c r="N91" s="24"/>
      <c r="O91" s="24"/>
      <c r="P91" s="24" t="s">
        <v>159</v>
      </c>
      <c r="Q91" s="24"/>
      <c r="R91" s="23"/>
      <c r="S91" s="135">
        <v>45312</v>
      </c>
      <c r="T91" s="146">
        <v>45679</v>
      </c>
      <c r="U91" s="26"/>
      <c r="V91" s="27"/>
      <c r="W91" s="28"/>
      <c r="X91" s="29" t="s">
        <v>163</v>
      </c>
    </row>
    <row r="92" spans="1:24" ht="11.4">
      <c r="A92" s="19">
        <f t="shared" si="2"/>
        <v>90</v>
      </c>
      <c r="B92" s="20"/>
      <c r="C92" s="20"/>
      <c r="D92" s="20" t="s">
        <v>216</v>
      </c>
      <c r="E92" s="30" t="s">
        <v>201</v>
      </c>
      <c r="F92" s="71" t="s">
        <v>213</v>
      </c>
      <c r="G92" s="21"/>
      <c r="H92" s="22"/>
      <c r="I92" s="22"/>
      <c r="J92" s="23"/>
      <c r="K92" s="21"/>
      <c r="L92" s="22"/>
      <c r="M92" s="22"/>
      <c r="N92" s="24"/>
      <c r="O92" s="24"/>
      <c r="P92" s="24" t="s">
        <v>159</v>
      </c>
      <c r="Q92" s="24"/>
      <c r="R92" s="23"/>
      <c r="S92" s="135">
        <v>45312</v>
      </c>
      <c r="T92" s="146">
        <v>45679</v>
      </c>
      <c r="U92" s="26"/>
      <c r="V92" s="27"/>
      <c r="W92" s="28"/>
      <c r="X92" s="29" t="s">
        <v>163</v>
      </c>
    </row>
    <row r="93" spans="1:24" ht="11.4">
      <c r="A93" s="19">
        <f t="shared" si="2"/>
        <v>91</v>
      </c>
      <c r="B93" s="20"/>
      <c r="C93" s="20"/>
      <c r="D93" s="30" t="s">
        <v>217</v>
      </c>
      <c r="E93" s="30" t="s">
        <v>201</v>
      </c>
      <c r="F93" s="71" t="s">
        <v>218</v>
      </c>
      <c r="G93" s="21"/>
      <c r="H93" s="22"/>
      <c r="I93" s="22"/>
      <c r="J93" s="23"/>
      <c r="K93" s="21"/>
      <c r="L93" s="22"/>
      <c r="M93" s="22"/>
      <c r="N93" s="24"/>
      <c r="O93" s="24"/>
      <c r="P93" s="24" t="s">
        <v>159</v>
      </c>
      <c r="Q93" s="24"/>
      <c r="R93" s="23"/>
      <c r="S93" s="135">
        <v>45312</v>
      </c>
      <c r="T93" s="146">
        <v>45679</v>
      </c>
      <c r="U93" s="26"/>
      <c r="V93" s="27"/>
      <c r="W93" s="28"/>
      <c r="X93" s="29" t="s">
        <v>163</v>
      </c>
    </row>
    <row r="94" spans="1:24" ht="11.4">
      <c r="A94" s="19">
        <f t="shared" si="2"/>
        <v>92</v>
      </c>
      <c r="B94" s="20"/>
      <c r="C94" s="20"/>
      <c r="D94" s="30" t="s">
        <v>219</v>
      </c>
      <c r="E94" s="30" t="s">
        <v>201</v>
      </c>
      <c r="F94" s="71" t="s">
        <v>207</v>
      </c>
      <c r="G94" s="21"/>
      <c r="H94" s="22"/>
      <c r="I94" s="22"/>
      <c r="J94" s="23"/>
      <c r="K94" s="21"/>
      <c r="L94" s="22"/>
      <c r="M94" s="22"/>
      <c r="N94" s="24"/>
      <c r="O94" s="24"/>
      <c r="P94" s="24" t="s">
        <v>159</v>
      </c>
      <c r="Q94" s="24"/>
      <c r="R94" s="23"/>
      <c r="S94" s="135">
        <v>45312</v>
      </c>
      <c r="T94" s="146">
        <v>45679</v>
      </c>
      <c r="U94" s="26"/>
      <c r="V94" s="27"/>
      <c r="W94" s="28"/>
      <c r="X94" s="29" t="s">
        <v>163</v>
      </c>
    </row>
    <row r="95" spans="1:24" ht="11.4">
      <c r="A95" s="19">
        <f t="shared" si="2"/>
        <v>93</v>
      </c>
      <c r="B95" s="20"/>
      <c r="C95" s="20"/>
      <c r="D95" s="30" t="s">
        <v>220</v>
      </c>
      <c r="E95" s="30" t="s">
        <v>201</v>
      </c>
      <c r="F95" s="71" t="s">
        <v>207</v>
      </c>
      <c r="G95" s="21"/>
      <c r="H95" s="22"/>
      <c r="I95" s="22"/>
      <c r="J95" s="23"/>
      <c r="K95" s="21"/>
      <c r="L95" s="22"/>
      <c r="M95" s="22"/>
      <c r="N95" s="24"/>
      <c r="O95" s="24"/>
      <c r="P95" s="24" t="s">
        <v>159</v>
      </c>
      <c r="Q95" s="24"/>
      <c r="R95" s="23"/>
      <c r="S95" s="135">
        <v>45312</v>
      </c>
      <c r="T95" s="146">
        <v>45679</v>
      </c>
      <c r="U95" s="26"/>
      <c r="V95" s="27"/>
      <c r="W95" s="28"/>
      <c r="X95" s="29" t="s">
        <v>163</v>
      </c>
    </row>
    <row r="96" spans="1:24" ht="11.4">
      <c r="A96" s="19">
        <f t="shared" si="2"/>
        <v>94</v>
      </c>
      <c r="B96" s="20"/>
      <c r="C96" s="20"/>
      <c r="D96" s="30" t="s">
        <v>221</v>
      </c>
      <c r="E96" s="30" t="s">
        <v>201</v>
      </c>
      <c r="F96" s="71" t="s">
        <v>207</v>
      </c>
      <c r="G96" s="21"/>
      <c r="H96" s="22"/>
      <c r="I96" s="22"/>
      <c r="J96" s="23"/>
      <c r="K96" s="21"/>
      <c r="L96" s="22"/>
      <c r="M96" s="22"/>
      <c r="N96" s="24"/>
      <c r="O96" s="24"/>
      <c r="P96" s="24" t="s">
        <v>159</v>
      </c>
      <c r="Q96" s="24"/>
      <c r="R96" s="23"/>
      <c r="S96" s="135">
        <v>45312</v>
      </c>
      <c r="T96" s="146">
        <v>45679</v>
      </c>
      <c r="U96" s="26"/>
      <c r="V96" s="27"/>
      <c r="W96" s="28"/>
      <c r="X96" s="29" t="s">
        <v>163</v>
      </c>
    </row>
    <row r="97" spans="1:24" ht="11.4">
      <c r="A97" s="19">
        <f t="shared" si="2"/>
        <v>95</v>
      </c>
      <c r="B97" s="20"/>
      <c r="C97" s="20"/>
      <c r="D97" s="30" t="s">
        <v>222</v>
      </c>
      <c r="E97" s="30" t="s">
        <v>201</v>
      </c>
      <c r="F97" s="71" t="s">
        <v>207</v>
      </c>
      <c r="G97" s="21"/>
      <c r="H97" s="22"/>
      <c r="I97" s="22"/>
      <c r="J97" s="23"/>
      <c r="K97" s="21"/>
      <c r="L97" s="22"/>
      <c r="M97" s="22"/>
      <c r="N97" s="24"/>
      <c r="O97" s="24"/>
      <c r="P97" s="24" t="s">
        <v>159</v>
      </c>
      <c r="Q97" s="24"/>
      <c r="R97" s="23"/>
      <c r="S97" s="135">
        <v>45312</v>
      </c>
      <c r="T97" s="146">
        <v>45679</v>
      </c>
      <c r="U97" s="26"/>
      <c r="V97" s="27"/>
      <c r="W97" s="28"/>
      <c r="X97" s="29" t="s">
        <v>163</v>
      </c>
    </row>
    <row r="98" spans="1:24" ht="11.4">
      <c r="A98" s="19">
        <f t="shared" si="2"/>
        <v>96</v>
      </c>
      <c r="B98" s="20"/>
      <c r="C98" s="20"/>
      <c r="D98" s="30" t="s">
        <v>223</v>
      </c>
      <c r="E98" s="30" t="s">
        <v>201</v>
      </c>
      <c r="F98" s="71" t="s">
        <v>207</v>
      </c>
      <c r="G98" s="21"/>
      <c r="H98" s="22"/>
      <c r="I98" s="22"/>
      <c r="J98" s="23"/>
      <c r="K98" s="21"/>
      <c r="L98" s="22"/>
      <c r="M98" s="22"/>
      <c r="N98" s="24"/>
      <c r="O98" s="24"/>
      <c r="P98" s="24" t="s">
        <v>159</v>
      </c>
      <c r="Q98" s="24"/>
      <c r="R98" s="23"/>
      <c r="S98" s="135">
        <v>45312</v>
      </c>
      <c r="T98" s="146">
        <v>45679</v>
      </c>
      <c r="U98" s="26"/>
      <c r="V98" s="27"/>
      <c r="W98" s="28"/>
      <c r="X98" s="29" t="s">
        <v>163</v>
      </c>
    </row>
    <row r="99" spans="1:24" ht="11.4">
      <c r="A99" s="19">
        <f t="shared" si="2"/>
        <v>97</v>
      </c>
      <c r="B99" s="20"/>
      <c r="C99" s="20"/>
      <c r="D99" s="20" t="s">
        <v>224</v>
      </c>
      <c r="E99" s="30" t="s">
        <v>201</v>
      </c>
      <c r="F99" s="71" t="s">
        <v>207</v>
      </c>
      <c r="G99" s="21"/>
      <c r="H99" s="22"/>
      <c r="I99" s="22"/>
      <c r="J99" s="23"/>
      <c r="K99" s="21"/>
      <c r="L99" s="22"/>
      <c r="M99" s="22"/>
      <c r="N99" s="24"/>
      <c r="O99" s="24"/>
      <c r="P99" s="24" t="s">
        <v>159</v>
      </c>
      <c r="Q99" s="24"/>
      <c r="R99" s="23"/>
      <c r="S99" s="135">
        <v>45312</v>
      </c>
      <c r="T99" s="146">
        <v>45679</v>
      </c>
      <c r="U99" s="26"/>
      <c r="V99" s="27"/>
      <c r="W99" s="28"/>
      <c r="X99" s="29" t="s">
        <v>163</v>
      </c>
    </row>
    <row r="100" spans="1:24" ht="11.4">
      <c r="A100" s="19">
        <f t="shared" si="2"/>
        <v>98</v>
      </c>
      <c r="B100" s="20"/>
      <c r="C100" s="20"/>
      <c r="D100" s="20" t="s">
        <v>225</v>
      </c>
      <c r="E100" s="30" t="s">
        <v>201</v>
      </c>
      <c r="F100" s="71" t="s">
        <v>207</v>
      </c>
      <c r="G100" s="21"/>
      <c r="H100" s="22"/>
      <c r="I100" s="22"/>
      <c r="J100" s="23"/>
      <c r="K100" s="21"/>
      <c r="L100" s="22"/>
      <c r="M100" s="22"/>
      <c r="N100" s="24"/>
      <c r="O100" s="24"/>
      <c r="P100" s="24" t="s">
        <v>159</v>
      </c>
      <c r="Q100" s="24"/>
      <c r="R100" s="23"/>
      <c r="S100" s="135">
        <v>45312</v>
      </c>
      <c r="T100" s="146">
        <v>45679</v>
      </c>
      <c r="U100" s="26"/>
      <c r="V100" s="27"/>
      <c r="W100" s="28"/>
      <c r="X100" s="29" t="s">
        <v>163</v>
      </c>
    </row>
    <row r="101" spans="1:24" ht="11.4">
      <c r="A101" s="19">
        <f t="shared" si="2"/>
        <v>99</v>
      </c>
      <c r="B101" s="20"/>
      <c r="C101" s="20"/>
      <c r="D101" s="30" t="s">
        <v>226</v>
      </c>
      <c r="E101" s="30" t="s">
        <v>201</v>
      </c>
      <c r="F101" s="71" t="s">
        <v>207</v>
      </c>
      <c r="G101" s="21"/>
      <c r="H101" s="22"/>
      <c r="I101" s="22"/>
      <c r="J101" s="23"/>
      <c r="K101" s="21"/>
      <c r="L101" s="22"/>
      <c r="M101" s="22"/>
      <c r="N101" s="24"/>
      <c r="O101" s="24"/>
      <c r="P101" s="24" t="s">
        <v>159</v>
      </c>
      <c r="Q101" s="24"/>
      <c r="R101" s="23"/>
      <c r="S101" s="135">
        <v>45312</v>
      </c>
      <c r="T101" s="146">
        <v>45679</v>
      </c>
      <c r="U101" s="26"/>
      <c r="V101" s="27"/>
      <c r="W101" s="28"/>
      <c r="X101" s="29" t="s">
        <v>163</v>
      </c>
    </row>
    <row r="102" spans="1:24" ht="11.4">
      <c r="A102" s="19">
        <f t="shared" si="2"/>
        <v>100</v>
      </c>
      <c r="B102" s="20"/>
      <c r="C102" s="20"/>
      <c r="D102" s="30" t="s">
        <v>227</v>
      </c>
      <c r="E102" s="30" t="s">
        <v>201</v>
      </c>
      <c r="F102" s="71" t="s">
        <v>228</v>
      </c>
      <c r="G102" s="21"/>
      <c r="H102" s="22"/>
      <c r="I102" s="22"/>
      <c r="J102" s="23"/>
      <c r="K102" s="21"/>
      <c r="L102" s="22"/>
      <c r="M102" s="22"/>
      <c r="N102" s="24"/>
      <c r="O102" s="24"/>
      <c r="P102" s="24" t="s">
        <v>159</v>
      </c>
      <c r="Q102" s="24"/>
      <c r="R102" s="23"/>
      <c r="S102" s="135">
        <v>45312</v>
      </c>
      <c r="T102" s="146">
        <v>45679</v>
      </c>
      <c r="U102" s="26"/>
      <c r="V102" s="27"/>
      <c r="W102" s="28"/>
      <c r="X102" s="29" t="s">
        <v>163</v>
      </c>
    </row>
    <row r="103" spans="1:24" ht="11.4">
      <c r="A103" s="19">
        <f t="shared" si="2"/>
        <v>101</v>
      </c>
      <c r="B103" s="20"/>
      <c r="C103" s="20"/>
      <c r="D103" s="30" t="s">
        <v>229</v>
      </c>
      <c r="E103" s="30" t="s">
        <v>201</v>
      </c>
      <c r="F103" s="72" t="s">
        <v>230</v>
      </c>
      <c r="G103" s="21"/>
      <c r="H103" s="22"/>
      <c r="I103" s="22"/>
      <c r="J103" s="23"/>
      <c r="K103" s="21"/>
      <c r="L103" s="22"/>
      <c r="M103" s="22"/>
      <c r="N103" s="24"/>
      <c r="O103" s="24"/>
      <c r="P103" s="24" t="s">
        <v>159</v>
      </c>
      <c r="Q103" s="24"/>
      <c r="R103" s="23"/>
      <c r="S103" s="135">
        <v>45312</v>
      </c>
      <c r="T103" s="146">
        <v>45679</v>
      </c>
      <c r="U103" s="26"/>
      <c r="V103" s="27"/>
      <c r="W103" s="28"/>
      <c r="X103" s="29" t="s">
        <v>163</v>
      </c>
    </row>
    <row r="104" spans="1:24" ht="11.4">
      <c r="A104" s="19">
        <f t="shared" si="2"/>
        <v>102</v>
      </c>
      <c r="B104" s="20"/>
      <c r="C104" s="20"/>
      <c r="D104" s="30" t="s">
        <v>217</v>
      </c>
      <c r="E104" s="30" t="s">
        <v>201</v>
      </c>
      <c r="F104" s="72" t="s">
        <v>230</v>
      </c>
      <c r="G104" s="21"/>
      <c r="H104" s="22"/>
      <c r="I104" s="22"/>
      <c r="J104" s="23"/>
      <c r="K104" s="21"/>
      <c r="L104" s="22"/>
      <c r="M104" s="22"/>
      <c r="N104" s="24"/>
      <c r="O104" s="24"/>
      <c r="P104" s="24" t="s">
        <v>159</v>
      </c>
      <c r="Q104" s="24"/>
      <c r="R104" s="23"/>
      <c r="S104" s="135">
        <v>45312</v>
      </c>
      <c r="T104" s="146">
        <v>45679</v>
      </c>
      <c r="U104" s="26"/>
      <c r="V104" s="27"/>
      <c r="W104" s="28"/>
      <c r="X104" s="29" t="s">
        <v>163</v>
      </c>
    </row>
    <row r="105" spans="1:24" ht="11.4">
      <c r="A105" s="19">
        <f t="shared" si="2"/>
        <v>103</v>
      </c>
      <c r="B105" s="20"/>
      <c r="C105" s="20"/>
      <c r="D105" s="30" t="s">
        <v>231</v>
      </c>
      <c r="E105" s="30" t="s">
        <v>201</v>
      </c>
      <c r="F105" s="72" t="s">
        <v>230</v>
      </c>
      <c r="G105" s="21"/>
      <c r="H105" s="22"/>
      <c r="I105" s="22"/>
      <c r="J105" s="23"/>
      <c r="K105" s="21"/>
      <c r="L105" s="22"/>
      <c r="M105" s="22"/>
      <c r="N105" s="24"/>
      <c r="O105" s="24"/>
      <c r="P105" s="24" t="s">
        <v>159</v>
      </c>
      <c r="Q105" s="24"/>
      <c r="R105" s="23"/>
      <c r="S105" s="135">
        <v>45312</v>
      </c>
      <c r="T105" s="146">
        <v>45679</v>
      </c>
      <c r="U105" s="26"/>
      <c r="V105" s="27"/>
      <c r="W105" s="28"/>
      <c r="X105" s="29" t="s">
        <v>163</v>
      </c>
    </row>
    <row r="106" spans="1:24" ht="22.8">
      <c r="A106" s="19">
        <f t="shared" si="2"/>
        <v>104</v>
      </c>
      <c r="B106" s="20"/>
      <c r="C106" s="20"/>
      <c r="D106" s="20" t="s">
        <v>232</v>
      </c>
      <c r="E106" s="30" t="s">
        <v>201</v>
      </c>
      <c r="F106" s="72" t="s">
        <v>233</v>
      </c>
      <c r="G106" s="21"/>
      <c r="H106" s="22"/>
      <c r="I106" s="22"/>
      <c r="J106" s="23"/>
      <c r="K106" s="21"/>
      <c r="L106" s="22"/>
      <c r="M106" s="22"/>
      <c r="N106" s="24"/>
      <c r="O106" s="24"/>
      <c r="P106" s="24" t="s">
        <v>159</v>
      </c>
      <c r="Q106" s="24"/>
      <c r="R106" s="23"/>
      <c r="S106" s="135">
        <v>45312</v>
      </c>
      <c r="T106" s="146"/>
      <c r="U106" s="26">
        <v>45679</v>
      </c>
      <c r="V106" s="27">
        <v>45681</v>
      </c>
      <c r="W106" s="28"/>
      <c r="X106" s="29" t="s">
        <v>163</v>
      </c>
    </row>
    <row r="107" spans="1:24" ht="11.4">
      <c r="A107" s="19">
        <f t="shared" si="2"/>
        <v>105</v>
      </c>
      <c r="B107" s="31"/>
      <c r="C107" s="31"/>
      <c r="D107" s="30" t="s">
        <v>234</v>
      </c>
      <c r="E107" s="30" t="s">
        <v>201</v>
      </c>
      <c r="F107" s="72" t="s">
        <v>207</v>
      </c>
      <c r="G107" s="21"/>
      <c r="H107" s="22"/>
      <c r="I107" s="22"/>
      <c r="J107" s="23"/>
      <c r="K107" s="21"/>
      <c r="L107" s="22"/>
      <c r="M107" s="22"/>
      <c r="N107" s="24"/>
      <c r="O107" s="24"/>
      <c r="P107" s="24" t="s">
        <v>159</v>
      </c>
      <c r="Q107" s="24"/>
      <c r="R107" s="23"/>
      <c r="S107" s="135">
        <v>45312</v>
      </c>
      <c r="T107" s="146"/>
      <c r="U107" s="26">
        <v>45679</v>
      </c>
      <c r="V107" s="27">
        <v>45681</v>
      </c>
      <c r="W107" s="28"/>
      <c r="X107" s="29" t="s">
        <v>163</v>
      </c>
    </row>
    <row r="108" spans="1:24" ht="11.4">
      <c r="A108" s="19">
        <f t="shared" si="2"/>
        <v>106</v>
      </c>
      <c r="B108" s="31"/>
      <c r="C108" s="31"/>
      <c r="D108" s="30" t="s">
        <v>235</v>
      </c>
      <c r="E108" s="30" t="s">
        <v>201</v>
      </c>
      <c r="F108" s="72" t="s">
        <v>228</v>
      </c>
      <c r="G108" s="21"/>
      <c r="H108" s="22"/>
      <c r="I108" s="22"/>
      <c r="J108" s="23"/>
      <c r="K108" s="21"/>
      <c r="L108" s="22"/>
      <c r="M108" s="22"/>
      <c r="N108" s="24"/>
      <c r="O108" s="24"/>
      <c r="P108" s="24" t="s">
        <v>159</v>
      </c>
      <c r="Q108" s="24"/>
      <c r="R108" s="23"/>
      <c r="S108" s="135">
        <v>45312</v>
      </c>
      <c r="T108" s="146">
        <v>45679</v>
      </c>
      <c r="U108" s="26"/>
      <c r="V108" s="27"/>
      <c r="W108" s="28"/>
      <c r="X108" s="29" t="s">
        <v>163</v>
      </c>
    </row>
    <row r="109" spans="1:24" ht="11.4">
      <c r="A109" s="19">
        <f t="shared" si="2"/>
        <v>107</v>
      </c>
      <c r="B109" s="31"/>
      <c r="C109" s="31"/>
      <c r="D109" s="30" t="s">
        <v>156</v>
      </c>
      <c r="E109" s="30" t="s">
        <v>201</v>
      </c>
      <c r="F109" s="72" t="s">
        <v>236</v>
      </c>
      <c r="G109" s="21"/>
      <c r="H109" s="22"/>
      <c r="I109" s="22"/>
      <c r="J109" s="23"/>
      <c r="K109" s="21"/>
      <c r="L109" s="22"/>
      <c r="M109" s="22"/>
      <c r="N109" s="24"/>
      <c r="O109" s="24"/>
      <c r="P109" s="24" t="s">
        <v>159</v>
      </c>
      <c r="Q109" s="24"/>
      <c r="R109" s="23"/>
      <c r="S109" s="135">
        <v>45312</v>
      </c>
      <c r="T109" s="146">
        <v>45679</v>
      </c>
      <c r="U109" s="26"/>
      <c r="V109" s="27"/>
      <c r="W109" s="28"/>
      <c r="X109" s="29" t="s">
        <v>163</v>
      </c>
    </row>
    <row r="110" spans="1:24" ht="11.4">
      <c r="A110" s="19">
        <f t="shared" si="2"/>
        <v>108</v>
      </c>
      <c r="B110" s="31"/>
      <c r="C110" s="20"/>
      <c r="D110" s="20" t="s">
        <v>237</v>
      </c>
      <c r="E110" s="30" t="s">
        <v>201</v>
      </c>
      <c r="F110" s="72" t="s">
        <v>238</v>
      </c>
      <c r="G110" s="21"/>
      <c r="H110" s="22"/>
      <c r="I110" s="22"/>
      <c r="J110" s="23"/>
      <c r="K110" s="21"/>
      <c r="L110" s="22"/>
      <c r="M110" s="22"/>
      <c r="N110" s="24"/>
      <c r="O110" s="24"/>
      <c r="P110" s="24" t="s">
        <v>159</v>
      </c>
      <c r="Q110" s="24"/>
      <c r="R110" s="23"/>
      <c r="S110" s="135">
        <v>45312</v>
      </c>
      <c r="T110" s="146">
        <v>45679</v>
      </c>
      <c r="U110" s="26"/>
      <c r="V110" s="27"/>
      <c r="W110" s="28"/>
      <c r="X110" s="29" t="s">
        <v>163</v>
      </c>
    </row>
    <row r="111" spans="1:24" ht="11.4">
      <c r="A111" s="19">
        <f t="shared" si="2"/>
        <v>109</v>
      </c>
      <c r="B111" s="31"/>
      <c r="C111" s="31"/>
      <c r="D111" s="30" t="s">
        <v>229</v>
      </c>
      <c r="E111" s="30" t="s">
        <v>201</v>
      </c>
      <c r="F111" s="72" t="s">
        <v>218</v>
      </c>
      <c r="G111" s="21"/>
      <c r="H111" s="22"/>
      <c r="I111" s="22"/>
      <c r="J111" s="23"/>
      <c r="K111" s="21"/>
      <c r="L111" s="22"/>
      <c r="M111" s="22"/>
      <c r="N111" s="24"/>
      <c r="O111" s="24"/>
      <c r="P111" s="24" t="s">
        <v>159</v>
      </c>
      <c r="Q111" s="24"/>
      <c r="R111" s="23"/>
      <c r="S111" s="135">
        <v>45312</v>
      </c>
      <c r="T111" s="146">
        <v>45679</v>
      </c>
      <c r="U111" s="26"/>
      <c r="V111" s="27"/>
      <c r="W111" s="28"/>
      <c r="X111" s="29" t="s">
        <v>163</v>
      </c>
    </row>
    <row r="112" spans="1:24" ht="11.4">
      <c r="A112" s="19">
        <f t="shared" si="2"/>
        <v>110</v>
      </c>
      <c r="B112" s="31"/>
      <c r="C112" s="31"/>
      <c r="D112" s="30" t="s">
        <v>239</v>
      </c>
      <c r="E112" s="30" t="s">
        <v>201</v>
      </c>
      <c r="F112" s="72" t="s">
        <v>240</v>
      </c>
      <c r="G112" s="21"/>
      <c r="H112" s="22"/>
      <c r="I112" s="22"/>
      <c r="J112" s="23"/>
      <c r="K112" s="21"/>
      <c r="L112" s="22"/>
      <c r="M112" s="22"/>
      <c r="N112" s="24"/>
      <c r="O112" s="24"/>
      <c r="P112" s="24" t="s">
        <v>159</v>
      </c>
      <c r="Q112" s="24"/>
      <c r="R112" s="23"/>
      <c r="S112" s="135">
        <v>45312</v>
      </c>
      <c r="T112" s="146">
        <v>45679</v>
      </c>
      <c r="U112" s="26"/>
      <c r="V112" s="27"/>
      <c r="W112" s="28"/>
      <c r="X112" s="29" t="s">
        <v>163</v>
      </c>
    </row>
    <row r="113" spans="1:24" ht="11.4">
      <c r="A113" s="19">
        <f t="shared" si="2"/>
        <v>111</v>
      </c>
      <c r="B113" s="31"/>
      <c r="C113" s="31"/>
      <c r="D113" s="30" t="s">
        <v>241</v>
      </c>
      <c r="E113" s="30" t="s">
        <v>201</v>
      </c>
      <c r="F113" s="72" t="s">
        <v>240</v>
      </c>
      <c r="G113" s="21"/>
      <c r="H113" s="22"/>
      <c r="I113" s="22"/>
      <c r="J113" s="23"/>
      <c r="K113" s="21"/>
      <c r="L113" s="22"/>
      <c r="M113" s="22"/>
      <c r="N113" s="24"/>
      <c r="O113" s="24"/>
      <c r="P113" s="24" t="s">
        <v>159</v>
      </c>
      <c r="Q113" s="24"/>
      <c r="R113" s="23"/>
      <c r="S113" s="135">
        <v>45312</v>
      </c>
      <c r="T113" s="146">
        <v>45679</v>
      </c>
      <c r="U113" s="26"/>
      <c r="V113" s="27"/>
      <c r="W113" s="28"/>
      <c r="X113" s="29" t="s">
        <v>163</v>
      </c>
    </row>
    <row r="114" spans="1:24" ht="11.4">
      <c r="A114" s="19">
        <f t="shared" si="2"/>
        <v>112</v>
      </c>
      <c r="B114" s="31"/>
      <c r="C114" s="20"/>
      <c r="D114" s="20" t="s">
        <v>242</v>
      </c>
      <c r="E114" s="30" t="s">
        <v>201</v>
      </c>
      <c r="F114" s="72" t="s">
        <v>175</v>
      </c>
      <c r="G114" s="21"/>
      <c r="H114" s="22"/>
      <c r="I114" s="22"/>
      <c r="J114" s="23"/>
      <c r="K114" s="21"/>
      <c r="L114" s="22"/>
      <c r="M114" s="22"/>
      <c r="N114" s="24"/>
      <c r="O114" s="24"/>
      <c r="P114" s="24" t="s">
        <v>159</v>
      </c>
      <c r="Q114" s="24"/>
      <c r="R114" s="23"/>
      <c r="S114" s="135">
        <v>45312</v>
      </c>
      <c r="T114" s="146">
        <v>45679</v>
      </c>
      <c r="U114" s="26"/>
      <c r="V114" s="27"/>
      <c r="W114" s="28"/>
      <c r="X114" s="29" t="s">
        <v>163</v>
      </c>
    </row>
    <row r="115" spans="1:24" ht="11.4">
      <c r="A115" s="19">
        <f t="shared" si="2"/>
        <v>113</v>
      </c>
      <c r="B115" s="31"/>
      <c r="C115" s="20"/>
      <c r="D115" s="20" t="s">
        <v>231</v>
      </c>
      <c r="E115" s="30" t="s">
        <v>201</v>
      </c>
      <c r="F115" s="72" t="s">
        <v>218</v>
      </c>
      <c r="G115" s="21"/>
      <c r="H115" s="22"/>
      <c r="I115" s="22"/>
      <c r="J115" s="23"/>
      <c r="K115" s="21"/>
      <c r="L115" s="22"/>
      <c r="M115" s="22"/>
      <c r="N115" s="24"/>
      <c r="O115" s="24"/>
      <c r="P115" s="24" t="s">
        <v>159</v>
      </c>
      <c r="Q115" s="24"/>
      <c r="R115" s="23"/>
      <c r="S115" s="135">
        <v>45312</v>
      </c>
      <c r="T115" s="146">
        <v>45679</v>
      </c>
      <c r="U115" s="26"/>
      <c r="V115" s="27"/>
      <c r="W115" s="28"/>
      <c r="X115" s="29" t="s">
        <v>163</v>
      </c>
    </row>
    <row r="116" spans="1:24" ht="11.4">
      <c r="A116" s="19">
        <f t="shared" si="2"/>
        <v>114</v>
      </c>
      <c r="B116" s="20"/>
      <c r="C116" s="20"/>
      <c r="D116" s="30" t="s">
        <v>243</v>
      </c>
      <c r="E116" s="30" t="s">
        <v>201</v>
      </c>
      <c r="F116" s="72" t="s">
        <v>244</v>
      </c>
      <c r="G116" s="21"/>
      <c r="H116" s="22"/>
      <c r="I116" s="22"/>
      <c r="J116" s="23"/>
      <c r="K116" s="21"/>
      <c r="L116" s="22"/>
      <c r="M116" s="22"/>
      <c r="N116" s="24"/>
      <c r="O116" s="24"/>
      <c r="P116" s="24" t="s">
        <v>159</v>
      </c>
      <c r="Q116" s="24"/>
      <c r="R116" s="23"/>
      <c r="S116" s="135">
        <v>45312</v>
      </c>
      <c r="T116" s="146">
        <v>45679</v>
      </c>
      <c r="U116" s="26"/>
      <c r="V116" s="27"/>
      <c r="W116" s="28"/>
      <c r="X116" s="29" t="s">
        <v>163</v>
      </c>
    </row>
    <row r="117" spans="1:24" ht="11.4">
      <c r="A117" s="19">
        <f t="shared" si="2"/>
        <v>115</v>
      </c>
      <c r="B117" s="20"/>
      <c r="C117" s="31"/>
      <c r="D117" s="30" t="s">
        <v>245</v>
      </c>
      <c r="E117" s="30" t="s">
        <v>201</v>
      </c>
      <c r="F117" s="72" t="s">
        <v>246</v>
      </c>
      <c r="G117" s="21"/>
      <c r="H117" s="22"/>
      <c r="I117" s="22"/>
      <c r="J117" s="23"/>
      <c r="K117" s="21"/>
      <c r="L117" s="22"/>
      <c r="M117" s="22"/>
      <c r="N117" s="24"/>
      <c r="O117" s="24"/>
      <c r="P117" s="24" t="s">
        <v>159</v>
      </c>
      <c r="Q117" s="24"/>
      <c r="R117" s="23"/>
      <c r="S117" s="135">
        <v>45312</v>
      </c>
      <c r="T117" s="146">
        <v>45679</v>
      </c>
      <c r="U117" s="26"/>
      <c r="V117" s="27"/>
      <c r="W117" s="28"/>
      <c r="X117" s="29" t="s">
        <v>163</v>
      </c>
    </row>
    <row r="118" spans="1:24" ht="11.4">
      <c r="A118" s="19">
        <f t="shared" si="2"/>
        <v>116</v>
      </c>
      <c r="B118" s="31"/>
      <c r="C118" s="20"/>
      <c r="D118" s="20" t="s">
        <v>247</v>
      </c>
      <c r="E118" s="30" t="s">
        <v>201</v>
      </c>
      <c r="F118" s="72" t="s">
        <v>248</v>
      </c>
      <c r="G118" s="21"/>
      <c r="H118" s="22"/>
      <c r="I118" s="22"/>
      <c r="J118" s="23"/>
      <c r="K118" s="21"/>
      <c r="L118" s="22"/>
      <c r="M118" s="22"/>
      <c r="N118" s="24"/>
      <c r="O118" s="24"/>
      <c r="P118" s="24" t="s">
        <v>159</v>
      </c>
      <c r="Q118" s="24"/>
      <c r="R118" s="23"/>
      <c r="S118" s="135">
        <v>45312</v>
      </c>
      <c r="T118" s="146"/>
      <c r="U118" s="26">
        <v>45679</v>
      </c>
      <c r="V118" s="27">
        <v>45681</v>
      </c>
      <c r="W118" s="28"/>
      <c r="X118" s="29" t="s">
        <v>163</v>
      </c>
    </row>
    <row r="119" spans="1:24" ht="11.4">
      <c r="A119" s="19">
        <f t="shared" si="2"/>
        <v>117</v>
      </c>
      <c r="B119" s="20"/>
      <c r="C119" s="20"/>
      <c r="D119" s="30" t="s">
        <v>249</v>
      </c>
      <c r="E119" s="30" t="s">
        <v>201</v>
      </c>
      <c r="F119" s="72" t="s">
        <v>248</v>
      </c>
      <c r="G119" s="21"/>
      <c r="H119" s="22"/>
      <c r="I119" s="22"/>
      <c r="J119" s="23"/>
      <c r="K119" s="21"/>
      <c r="L119" s="22"/>
      <c r="M119" s="22"/>
      <c r="N119" s="24"/>
      <c r="O119" s="24"/>
      <c r="P119" s="24" t="s">
        <v>159</v>
      </c>
      <c r="Q119" s="24"/>
      <c r="R119" s="23"/>
      <c r="S119" s="135">
        <v>45312</v>
      </c>
      <c r="T119" s="146"/>
      <c r="U119" s="26">
        <v>45679</v>
      </c>
      <c r="V119" s="27">
        <v>45681</v>
      </c>
      <c r="W119" s="28"/>
      <c r="X119" s="29" t="s">
        <v>163</v>
      </c>
    </row>
    <row r="120" spans="1:24" ht="11.4">
      <c r="A120" s="19">
        <f t="shared" si="2"/>
        <v>118</v>
      </c>
      <c r="B120" s="20"/>
      <c r="C120" s="20"/>
      <c r="D120" s="30" t="s">
        <v>250</v>
      </c>
      <c r="E120" s="30" t="s">
        <v>201</v>
      </c>
      <c r="F120" s="72" t="s">
        <v>228</v>
      </c>
      <c r="G120" s="21"/>
      <c r="H120" s="22"/>
      <c r="I120" s="22"/>
      <c r="J120" s="23"/>
      <c r="K120" s="21"/>
      <c r="L120" s="22"/>
      <c r="M120" s="22"/>
      <c r="N120" s="24"/>
      <c r="O120" s="24"/>
      <c r="P120" s="24" t="s">
        <v>159</v>
      </c>
      <c r="Q120" s="24"/>
      <c r="R120" s="23"/>
      <c r="S120" s="135">
        <v>45312</v>
      </c>
      <c r="T120" s="146">
        <v>45679</v>
      </c>
      <c r="U120" s="26"/>
      <c r="V120" s="27"/>
      <c r="W120" s="28"/>
      <c r="X120" s="29" t="s">
        <v>163</v>
      </c>
    </row>
    <row r="121" spans="1:24" ht="11.4">
      <c r="A121" s="19">
        <f t="shared" si="2"/>
        <v>119</v>
      </c>
      <c r="B121" s="31"/>
      <c r="C121" s="31"/>
      <c r="D121" s="30" t="s">
        <v>251</v>
      </c>
      <c r="E121" s="30" t="s">
        <v>201</v>
      </c>
      <c r="F121" s="72" t="s">
        <v>228</v>
      </c>
      <c r="G121" s="21"/>
      <c r="H121" s="22"/>
      <c r="I121" s="22"/>
      <c r="J121" s="23"/>
      <c r="K121" s="21"/>
      <c r="L121" s="22"/>
      <c r="M121" s="22"/>
      <c r="N121" s="24"/>
      <c r="O121" s="24"/>
      <c r="P121" s="24" t="s">
        <v>159</v>
      </c>
      <c r="Q121" s="24"/>
      <c r="R121" s="23"/>
      <c r="S121" s="135">
        <v>45312</v>
      </c>
      <c r="T121" s="146">
        <v>45679</v>
      </c>
      <c r="U121" s="26"/>
      <c r="V121" s="27"/>
      <c r="W121" s="28"/>
      <c r="X121" s="29" t="s">
        <v>163</v>
      </c>
    </row>
    <row r="122" spans="1:24" ht="11.4">
      <c r="A122" s="19">
        <f t="shared" si="2"/>
        <v>120</v>
      </c>
      <c r="B122" s="31"/>
      <c r="C122" s="20"/>
      <c r="D122" s="20" t="s">
        <v>156</v>
      </c>
      <c r="E122" s="30" t="s">
        <v>201</v>
      </c>
      <c r="F122" s="72" t="s">
        <v>252</v>
      </c>
      <c r="G122" s="21"/>
      <c r="H122" s="22"/>
      <c r="I122" s="22"/>
      <c r="J122" s="23"/>
      <c r="K122" s="21"/>
      <c r="L122" s="22"/>
      <c r="M122" s="22"/>
      <c r="N122" s="24"/>
      <c r="O122" s="24"/>
      <c r="P122" s="24" t="s">
        <v>159</v>
      </c>
      <c r="Q122" s="24"/>
      <c r="R122" s="23"/>
      <c r="S122" s="135">
        <v>45312</v>
      </c>
      <c r="T122" s="146">
        <v>45679</v>
      </c>
      <c r="U122" s="26"/>
      <c r="V122" s="27"/>
      <c r="W122" s="28"/>
      <c r="X122" s="29" t="s">
        <v>163</v>
      </c>
    </row>
    <row r="123" spans="1:24" ht="11.4">
      <c r="A123" s="19">
        <f t="shared" si="2"/>
        <v>121</v>
      </c>
      <c r="B123" s="31"/>
      <c r="C123" s="31"/>
      <c r="D123" s="30" t="s">
        <v>237</v>
      </c>
      <c r="E123" s="30" t="s">
        <v>201</v>
      </c>
      <c r="F123" s="72" t="s">
        <v>253</v>
      </c>
      <c r="G123" s="21"/>
      <c r="H123" s="22"/>
      <c r="I123" s="22"/>
      <c r="J123" s="23"/>
      <c r="K123" s="21"/>
      <c r="L123" s="22"/>
      <c r="M123" s="22"/>
      <c r="N123" s="24"/>
      <c r="O123" s="24"/>
      <c r="P123" s="24" t="s">
        <v>159</v>
      </c>
      <c r="Q123" s="24"/>
      <c r="R123" s="23"/>
      <c r="S123" s="135">
        <v>45312</v>
      </c>
      <c r="T123" s="146">
        <v>45679</v>
      </c>
      <c r="U123" s="26"/>
      <c r="V123" s="27"/>
      <c r="W123" s="28"/>
      <c r="X123" s="29" t="s">
        <v>163</v>
      </c>
    </row>
    <row r="124" spans="1:24" ht="102.6">
      <c r="A124" s="19">
        <f t="shared" si="2"/>
        <v>122</v>
      </c>
      <c r="B124" s="31"/>
      <c r="C124" s="31"/>
      <c r="D124" s="30" t="s">
        <v>254</v>
      </c>
      <c r="E124" s="30" t="s">
        <v>201</v>
      </c>
      <c r="F124" s="72" t="s">
        <v>255</v>
      </c>
      <c r="G124" s="21"/>
      <c r="H124" s="22"/>
      <c r="I124" s="22"/>
      <c r="J124" s="23"/>
      <c r="K124" s="21"/>
      <c r="L124" s="22"/>
      <c r="M124" s="22"/>
      <c r="N124" s="24"/>
      <c r="O124" s="24"/>
      <c r="P124" s="24" t="s">
        <v>159</v>
      </c>
      <c r="Q124" s="24"/>
      <c r="R124" s="23"/>
      <c r="S124" s="135">
        <v>45312</v>
      </c>
      <c r="T124" s="146"/>
      <c r="U124" s="26">
        <v>45679</v>
      </c>
      <c r="V124" s="27">
        <v>45681</v>
      </c>
      <c r="W124" s="28"/>
      <c r="X124" s="29" t="s">
        <v>163</v>
      </c>
    </row>
    <row r="125" spans="1:24" ht="45.6">
      <c r="A125" s="19">
        <f t="shared" si="2"/>
        <v>123</v>
      </c>
      <c r="B125" s="31"/>
      <c r="C125" s="31"/>
      <c r="D125" s="30" t="s">
        <v>256</v>
      </c>
      <c r="E125" s="30" t="s">
        <v>201</v>
      </c>
      <c r="F125" s="72" t="s">
        <v>257</v>
      </c>
      <c r="G125" s="21"/>
      <c r="H125" s="22"/>
      <c r="I125" s="22"/>
      <c r="J125" s="23"/>
      <c r="K125" s="21"/>
      <c r="L125" s="22"/>
      <c r="M125" s="22"/>
      <c r="N125" s="24"/>
      <c r="O125" s="24"/>
      <c r="P125" s="24" t="s">
        <v>159</v>
      </c>
      <c r="Q125" s="24"/>
      <c r="R125" s="23"/>
      <c r="S125" s="135">
        <v>45312</v>
      </c>
      <c r="T125" s="146"/>
      <c r="U125" s="26">
        <v>45679</v>
      </c>
      <c r="V125" s="27"/>
      <c r="W125" s="28"/>
      <c r="X125" s="29" t="s">
        <v>163</v>
      </c>
    </row>
    <row r="126" spans="1:24" ht="34.200000000000003">
      <c r="A126" s="19">
        <f t="shared" si="2"/>
        <v>124</v>
      </c>
      <c r="B126" s="31"/>
      <c r="C126" s="31"/>
      <c r="D126" s="30" t="s">
        <v>258</v>
      </c>
      <c r="E126" s="30" t="s">
        <v>201</v>
      </c>
      <c r="F126" s="72" t="s">
        <v>259</v>
      </c>
      <c r="G126" s="21"/>
      <c r="H126" s="22"/>
      <c r="I126" s="22"/>
      <c r="J126" s="23"/>
      <c r="K126" s="21"/>
      <c r="L126" s="22"/>
      <c r="M126" s="22"/>
      <c r="N126" s="24"/>
      <c r="O126" s="24"/>
      <c r="P126" s="24" t="s">
        <v>159</v>
      </c>
      <c r="Q126" s="24"/>
      <c r="R126" s="23"/>
      <c r="S126" s="135">
        <v>45312</v>
      </c>
      <c r="T126" s="146"/>
      <c r="U126" s="26">
        <v>45679</v>
      </c>
      <c r="V126" s="27">
        <v>45681</v>
      </c>
      <c r="W126" s="28"/>
      <c r="X126" s="29" t="s">
        <v>163</v>
      </c>
    </row>
    <row r="127" spans="1:24" ht="11.4">
      <c r="A127" s="19">
        <f t="shared" si="2"/>
        <v>125</v>
      </c>
      <c r="B127" s="31"/>
      <c r="C127" s="20"/>
      <c r="D127" s="20" t="s">
        <v>260</v>
      </c>
      <c r="E127" s="30" t="s">
        <v>201</v>
      </c>
      <c r="F127" s="72" t="s">
        <v>228</v>
      </c>
      <c r="G127" s="21"/>
      <c r="H127" s="22"/>
      <c r="I127" s="22"/>
      <c r="J127" s="23"/>
      <c r="K127" s="21"/>
      <c r="L127" s="22"/>
      <c r="M127" s="22"/>
      <c r="N127" s="24"/>
      <c r="O127" s="24"/>
      <c r="P127" s="24" t="s">
        <v>159</v>
      </c>
      <c r="Q127" s="24"/>
      <c r="R127" s="23"/>
      <c r="S127" s="135">
        <v>45312</v>
      </c>
      <c r="T127" s="146"/>
      <c r="U127" s="26">
        <v>45679</v>
      </c>
      <c r="V127" s="27">
        <v>45681</v>
      </c>
      <c r="W127" s="28"/>
      <c r="X127" s="29" t="s">
        <v>163</v>
      </c>
    </row>
    <row r="128" spans="1:24" ht="11.4">
      <c r="A128" s="19">
        <f t="shared" si="2"/>
        <v>126</v>
      </c>
      <c r="B128" s="31"/>
      <c r="C128" s="20"/>
      <c r="D128" s="20" t="s">
        <v>261</v>
      </c>
      <c r="E128" s="30" t="s">
        <v>201</v>
      </c>
      <c r="F128" s="72" t="s">
        <v>228</v>
      </c>
      <c r="G128" s="21"/>
      <c r="H128" s="22"/>
      <c r="I128" s="22"/>
      <c r="J128" s="23"/>
      <c r="K128" s="21"/>
      <c r="L128" s="22"/>
      <c r="M128" s="22"/>
      <c r="N128" s="24"/>
      <c r="O128" s="24"/>
      <c r="P128" s="24" t="s">
        <v>159</v>
      </c>
      <c r="Q128" s="24"/>
      <c r="R128" s="23"/>
      <c r="S128" s="135">
        <v>45312</v>
      </c>
      <c r="T128" s="146">
        <v>45679</v>
      </c>
      <c r="U128" s="26"/>
      <c r="V128" s="27"/>
      <c r="W128" s="28"/>
      <c r="X128" s="29" t="s">
        <v>163</v>
      </c>
    </row>
    <row r="129" spans="1:24" ht="11.4">
      <c r="A129" s="19">
        <f t="shared" si="2"/>
        <v>127</v>
      </c>
      <c r="B129" s="20"/>
      <c r="C129" s="20"/>
      <c r="D129" s="30" t="s">
        <v>262</v>
      </c>
      <c r="E129" s="30" t="s">
        <v>201</v>
      </c>
      <c r="F129" s="72" t="s">
        <v>207</v>
      </c>
      <c r="G129" s="21"/>
      <c r="H129" s="22"/>
      <c r="I129" s="22"/>
      <c r="J129" s="23"/>
      <c r="K129" s="21"/>
      <c r="L129" s="22"/>
      <c r="M129" s="22"/>
      <c r="N129" s="24"/>
      <c r="O129" s="24"/>
      <c r="P129" s="24" t="s">
        <v>159</v>
      </c>
      <c r="Q129" s="24"/>
      <c r="R129" s="23"/>
      <c r="S129" s="135">
        <v>45312</v>
      </c>
      <c r="T129" s="146">
        <v>45679</v>
      </c>
      <c r="U129" s="26"/>
      <c r="V129" s="27"/>
      <c r="W129" s="28"/>
      <c r="X129" s="29" t="s">
        <v>163</v>
      </c>
    </row>
    <row r="130" spans="1:24" ht="11.4">
      <c r="A130" s="19">
        <f t="shared" si="2"/>
        <v>128</v>
      </c>
      <c r="B130" s="20"/>
      <c r="C130" s="20"/>
      <c r="D130" s="30" t="s">
        <v>263</v>
      </c>
      <c r="E130" s="30" t="s">
        <v>201</v>
      </c>
      <c r="F130" s="72" t="s">
        <v>228</v>
      </c>
      <c r="G130" s="21"/>
      <c r="H130" s="22"/>
      <c r="I130" s="22"/>
      <c r="J130" s="23"/>
      <c r="K130" s="21"/>
      <c r="L130" s="22"/>
      <c r="M130" s="22"/>
      <c r="N130" s="24"/>
      <c r="O130" s="24"/>
      <c r="P130" s="24" t="s">
        <v>159</v>
      </c>
      <c r="Q130" s="24"/>
      <c r="R130" s="23"/>
      <c r="S130" s="135">
        <v>45312</v>
      </c>
      <c r="T130" s="146">
        <v>45679</v>
      </c>
      <c r="U130" s="26"/>
      <c r="V130" s="27"/>
      <c r="W130" s="28"/>
      <c r="X130" s="29" t="s">
        <v>163</v>
      </c>
    </row>
    <row r="131" spans="1:24" ht="11.4">
      <c r="A131" s="19">
        <f t="shared" si="2"/>
        <v>129</v>
      </c>
      <c r="B131" s="20"/>
      <c r="C131" s="31"/>
      <c r="D131" s="30" t="s">
        <v>264</v>
      </c>
      <c r="E131" s="30" t="s">
        <v>201</v>
      </c>
      <c r="F131" s="72" t="s">
        <v>228</v>
      </c>
      <c r="G131" s="21"/>
      <c r="H131" s="22"/>
      <c r="I131" s="22"/>
      <c r="J131" s="23"/>
      <c r="K131" s="21"/>
      <c r="L131" s="22"/>
      <c r="M131" s="22"/>
      <c r="N131" s="24"/>
      <c r="O131" s="24"/>
      <c r="P131" s="24" t="s">
        <v>159</v>
      </c>
      <c r="Q131" s="24"/>
      <c r="R131" s="23"/>
      <c r="S131" s="135">
        <v>45312</v>
      </c>
      <c r="T131" s="146">
        <v>45679</v>
      </c>
      <c r="U131" s="26"/>
      <c r="V131" s="27"/>
      <c r="W131" s="28"/>
      <c r="X131" s="29" t="s">
        <v>163</v>
      </c>
    </row>
    <row r="132" spans="1:24" ht="11.4">
      <c r="A132" s="19">
        <f t="shared" si="2"/>
        <v>130</v>
      </c>
      <c r="B132" s="31"/>
      <c r="C132" s="20"/>
      <c r="D132" s="20" t="s">
        <v>265</v>
      </c>
      <c r="E132" s="30" t="s">
        <v>201</v>
      </c>
      <c r="F132" s="72" t="s">
        <v>266</v>
      </c>
      <c r="G132" s="21"/>
      <c r="H132" s="22"/>
      <c r="I132" s="22"/>
      <c r="J132" s="23"/>
      <c r="K132" s="21"/>
      <c r="L132" s="22"/>
      <c r="M132" s="22"/>
      <c r="N132" s="24"/>
      <c r="O132" s="24"/>
      <c r="P132" s="24" t="s">
        <v>159</v>
      </c>
      <c r="Q132" s="24"/>
      <c r="R132" s="23"/>
      <c r="S132" s="135">
        <v>45312</v>
      </c>
      <c r="T132" s="146">
        <v>45679</v>
      </c>
      <c r="U132" s="26"/>
      <c r="V132" s="27"/>
      <c r="W132" s="28"/>
      <c r="X132" s="29" t="s">
        <v>163</v>
      </c>
    </row>
    <row r="133" spans="1:24" ht="11.4">
      <c r="A133" s="19">
        <f t="shared" si="2"/>
        <v>131</v>
      </c>
      <c r="B133" s="20"/>
      <c r="C133" s="20"/>
      <c r="D133" s="30" t="s">
        <v>267</v>
      </c>
      <c r="E133" s="30" t="s">
        <v>201</v>
      </c>
      <c r="F133" s="72" t="s">
        <v>268</v>
      </c>
      <c r="G133" s="21"/>
      <c r="H133" s="22"/>
      <c r="I133" s="22"/>
      <c r="J133" s="23"/>
      <c r="K133" s="21"/>
      <c r="L133" s="22"/>
      <c r="M133" s="22"/>
      <c r="N133" s="24"/>
      <c r="O133" s="24"/>
      <c r="P133" s="24" t="s">
        <v>159</v>
      </c>
      <c r="Q133" s="24"/>
      <c r="R133" s="23"/>
      <c r="S133" s="135">
        <v>45312</v>
      </c>
      <c r="T133" s="146"/>
      <c r="U133" s="26">
        <v>45679</v>
      </c>
      <c r="V133" s="27">
        <v>45681</v>
      </c>
      <c r="W133" s="28"/>
      <c r="X133" s="29" t="s">
        <v>163</v>
      </c>
    </row>
    <row r="134" spans="1:24" ht="11.4">
      <c r="A134" s="19">
        <f t="shared" si="2"/>
        <v>132</v>
      </c>
      <c r="B134" s="20"/>
      <c r="C134" s="31"/>
      <c r="D134" s="30" t="s">
        <v>269</v>
      </c>
      <c r="E134" s="30" t="s">
        <v>201</v>
      </c>
      <c r="F134" s="72" t="s">
        <v>270</v>
      </c>
      <c r="G134" s="21"/>
      <c r="H134" s="22"/>
      <c r="I134" s="22"/>
      <c r="J134" s="23"/>
      <c r="K134" s="21"/>
      <c r="L134" s="22"/>
      <c r="M134" s="22"/>
      <c r="N134" s="24"/>
      <c r="O134" s="24"/>
      <c r="P134" s="24" t="s">
        <v>159</v>
      </c>
      <c r="Q134" s="24"/>
      <c r="R134" s="23"/>
      <c r="S134" s="135">
        <v>45312</v>
      </c>
      <c r="T134" s="146">
        <v>45679</v>
      </c>
      <c r="U134" s="26"/>
      <c r="V134" s="27"/>
      <c r="W134" s="28"/>
      <c r="X134" s="29" t="s">
        <v>163</v>
      </c>
    </row>
    <row r="135" spans="1:24" ht="11.4">
      <c r="A135" s="19">
        <f t="shared" si="2"/>
        <v>133</v>
      </c>
      <c r="B135" s="31"/>
      <c r="C135" s="31"/>
      <c r="D135" s="30" t="s">
        <v>271</v>
      </c>
      <c r="E135" s="30" t="s">
        <v>201</v>
      </c>
      <c r="F135" s="72" t="s">
        <v>272</v>
      </c>
      <c r="G135" s="21"/>
      <c r="H135" s="22"/>
      <c r="I135" s="22"/>
      <c r="J135" s="23"/>
      <c r="K135" s="21"/>
      <c r="L135" s="22"/>
      <c r="M135" s="22"/>
      <c r="N135" s="24"/>
      <c r="O135" s="24"/>
      <c r="P135" s="24" t="s">
        <v>159</v>
      </c>
      <c r="Q135" s="24"/>
      <c r="R135" s="23"/>
      <c r="S135" s="135">
        <v>45312</v>
      </c>
      <c r="T135" s="146">
        <v>45679</v>
      </c>
      <c r="U135" s="26"/>
      <c r="V135" s="27"/>
      <c r="W135" s="28"/>
      <c r="X135" s="29" t="s">
        <v>163</v>
      </c>
    </row>
    <row r="136" spans="1:24" ht="11.4">
      <c r="A136" s="19">
        <f t="shared" si="2"/>
        <v>134</v>
      </c>
      <c r="B136" s="31"/>
      <c r="C136" s="31"/>
      <c r="D136" s="30" t="s">
        <v>273</v>
      </c>
      <c r="E136" s="30" t="s">
        <v>201</v>
      </c>
      <c r="F136" s="72" t="s">
        <v>274</v>
      </c>
      <c r="G136" s="21"/>
      <c r="H136" s="22"/>
      <c r="I136" s="22"/>
      <c r="J136" s="23"/>
      <c r="K136" s="21"/>
      <c r="L136" s="22"/>
      <c r="M136" s="22"/>
      <c r="N136" s="24"/>
      <c r="O136" s="24"/>
      <c r="P136" s="24" t="s">
        <v>159</v>
      </c>
      <c r="Q136" s="24"/>
      <c r="R136" s="23"/>
      <c r="S136" s="135">
        <v>45312</v>
      </c>
      <c r="T136" s="146">
        <v>45679</v>
      </c>
      <c r="U136" s="26"/>
      <c r="V136" s="27"/>
      <c r="W136" s="28"/>
      <c r="X136" s="29" t="s">
        <v>163</v>
      </c>
    </row>
    <row r="137" spans="1:24" ht="11.4">
      <c r="A137" s="19">
        <f t="shared" si="2"/>
        <v>135</v>
      </c>
      <c r="B137" s="31"/>
      <c r="C137" s="20"/>
      <c r="D137" s="20" t="s">
        <v>275</v>
      </c>
      <c r="E137" s="30" t="s">
        <v>201</v>
      </c>
      <c r="F137" s="72" t="s">
        <v>276</v>
      </c>
      <c r="G137" s="21"/>
      <c r="H137" s="22"/>
      <c r="I137" s="22"/>
      <c r="J137" s="23"/>
      <c r="K137" s="21"/>
      <c r="L137" s="22"/>
      <c r="M137" s="22"/>
      <c r="N137" s="24"/>
      <c r="O137" s="24"/>
      <c r="P137" s="24" t="s">
        <v>159</v>
      </c>
      <c r="Q137" s="24"/>
      <c r="R137" s="23"/>
      <c r="S137" s="135">
        <v>45312</v>
      </c>
      <c r="T137" s="146">
        <v>45679</v>
      </c>
      <c r="U137" s="26"/>
      <c r="V137" s="27"/>
      <c r="W137" s="28"/>
      <c r="X137" s="29" t="s">
        <v>163</v>
      </c>
    </row>
    <row r="138" spans="1:24" ht="11.4">
      <c r="A138" s="19">
        <f t="shared" si="2"/>
        <v>136</v>
      </c>
      <c r="B138" s="31"/>
      <c r="C138" s="20"/>
      <c r="D138" s="20" t="s">
        <v>277</v>
      </c>
      <c r="E138" s="30" t="s">
        <v>201</v>
      </c>
      <c r="F138" s="72" t="s">
        <v>278</v>
      </c>
      <c r="G138" s="21"/>
      <c r="H138" s="22"/>
      <c r="I138" s="22"/>
      <c r="J138" s="23"/>
      <c r="K138" s="21"/>
      <c r="L138" s="22"/>
      <c r="M138" s="22"/>
      <c r="N138" s="24"/>
      <c r="O138" s="24"/>
      <c r="P138" s="24" t="s">
        <v>159</v>
      </c>
      <c r="Q138" s="24"/>
      <c r="R138" s="23"/>
      <c r="S138" s="135">
        <v>45312</v>
      </c>
      <c r="T138" s="146">
        <v>45679</v>
      </c>
      <c r="U138" s="26"/>
      <c r="V138" s="27"/>
      <c r="W138" s="28"/>
      <c r="X138" s="29" t="s">
        <v>163</v>
      </c>
    </row>
    <row r="139" spans="1:24" ht="11.4">
      <c r="A139" s="19">
        <f t="shared" si="2"/>
        <v>137</v>
      </c>
      <c r="B139" s="20"/>
      <c r="C139" s="20"/>
      <c r="D139" s="30" t="s">
        <v>279</v>
      </c>
      <c r="E139" s="30" t="s">
        <v>201</v>
      </c>
      <c r="F139" s="72" t="s">
        <v>278</v>
      </c>
      <c r="G139" s="21"/>
      <c r="H139" s="22"/>
      <c r="I139" s="22"/>
      <c r="J139" s="23"/>
      <c r="K139" s="21"/>
      <c r="L139" s="22"/>
      <c r="M139" s="22"/>
      <c r="N139" s="24"/>
      <c r="O139" s="24"/>
      <c r="P139" s="24" t="s">
        <v>159</v>
      </c>
      <c r="Q139" s="24"/>
      <c r="R139" s="23"/>
      <c r="S139" s="135">
        <v>45312</v>
      </c>
      <c r="T139" s="146">
        <v>45679</v>
      </c>
      <c r="U139" s="26"/>
      <c r="V139" s="27"/>
      <c r="W139" s="28"/>
      <c r="X139" s="29" t="s">
        <v>163</v>
      </c>
    </row>
    <row r="140" spans="1:24" ht="11.4">
      <c r="A140" s="19">
        <f t="shared" si="2"/>
        <v>138</v>
      </c>
      <c r="B140" s="20"/>
      <c r="C140" s="20"/>
      <c r="D140" s="30" t="s">
        <v>280</v>
      </c>
      <c r="E140" s="30" t="s">
        <v>201</v>
      </c>
      <c r="F140" s="72" t="s">
        <v>281</v>
      </c>
      <c r="G140" s="21"/>
      <c r="H140" s="22"/>
      <c r="I140" s="22"/>
      <c r="J140" s="23"/>
      <c r="K140" s="21"/>
      <c r="L140" s="22"/>
      <c r="M140" s="22"/>
      <c r="N140" s="24"/>
      <c r="O140" s="24"/>
      <c r="P140" s="24" t="s">
        <v>159</v>
      </c>
      <c r="Q140" s="24"/>
      <c r="R140" s="23"/>
      <c r="S140" s="135">
        <v>45312</v>
      </c>
      <c r="T140" s="146">
        <v>45679</v>
      </c>
      <c r="U140" s="26"/>
      <c r="V140" s="27"/>
      <c r="W140" s="28"/>
      <c r="X140" s="29" t="s">
        <v>163</v>
      </c>
    </row>
    <row r="141" spans="1:24" ht="11.4">
      <c r="A141" s="19">
        <f t="shared" si="2"/>
        <v>139</v>
      </c>
      <c r="B141" s="20"/>
      <c r="C141" s="31"/>
      <c r="D141" s="30" t="s">
        <v>282</v>
      </c>
      <c r="E141" s="30" t="s">
        <v>201</v>
      </c>
      <c r="F141" s="72" t="s">
        <v>240</v>
      </c>
      <c r="G141" s="21"/>
      <c r="H141" s="22"/>
      <c r="I141" s="22"/>
      <c r="J141" s="23"/>
      <c r="K141" s="21"/>
      <c r="L141" s="22"/>
      <c r="M141" s="22"/>
      <c r="N141" s="24"/>
      <c r="O141" s="24"/>
      <c r="P141" s="24" t="s">
        <v>159</v>
      </c>
      <c r="Q141" s="24"/>
      <c r="R141" s="23"/>
      <c r="S141" s="135">
        <v>45312</v>
      </c>
      <c r="T141" s="146">
        <v>45679</v>
      </c>
      <c r="U141" s="26"/>
      <c r="V141" s="27"/>
      <c r="W141" s="28"/>
      <c r="X141" s="29" t="s">
        <v>163</v>
      </c>
    </row>
    <row r="142" spans="1:24" ht="11.4">
      <c r="A142" s="19">
        <f t="shared" si="2"/>
        <v>140</v>
      </c>
      <c r="B142" s="20"/>
      <c r="C142" s="20"/>
      <c r="D142" s="30" t="s">
        <v>283</v>
      </c>
      <c r="E142" s="30" t="s">
        <v>201</v>
      </c>
      <c r="F142" s="72" t="s">
        <v>278</v>
      </c>
      <c r="G142" s="21"/>
      <c r="H142" s="22"/>
      <c r="I142" s="22"/>
      <c r="J142" s="23"/>
      <c r="K142" s="21"/>
      <c r="L142" s="22"/>
      <c r="M142" s="22"/>
      <c r="N142" s="24"/>
      <c r="O142" s="24"/>
      <c r="P142" s="24" t="s">
        <v>159</v>
      </c>
      <c r="Q142" s="24"/>
      <c r="R142" s="23"/>
      <c r="S142" s="135">
        <v>45312</v>
      </c>
      <c r="T142" s="146">
        <v>45679</v>
      </c>
      <c r="U142" s="26"/>
      <c r="V142" s="27"/>
      <c r="W142" s="28"/>
      <c r="X142" s="29" t="s">
        <v>163</v>
      </c>
    </row>
    <row r="143" spans="1:24" ht="11.4">
      <c r="A143" s="19">
        <f t="shared" si="2"/>
        <v>141</v>
      </c>
      <c r="B143" s="20"/>
      <c r="C143" s="20"/>
      <c r="D143" s="30" t="s">
        <v>284</v>
      </c>
      <c r="E143" s="30" t="s">
        <v>201</v>
      </c>
      <c r="F143" s="72" t="s">
        <v>285</v>
      </c>
      <c r="G143" s="21"/>
      <c r="H143" s="22"/>
      <c r="I143" s="22"/>
      <c r="J143" s="23"/>
      <c r="K143" s="21"/>
      <c r="L143" s="22"/>
      <c r="M143" s="22"/>
      <c r="N143" s="24"/>
      <c r="O143" s="24"/>
      <c r="P143" s="24" t="s">
        <v>159</v>
      </c>
      <c r="Q143" s="24"/>
      <c r="R143" s="23"/>
      <c r="S143" s="135">
        <v>45312</v>
      </c>
      <c r="T143" s="146">
        <v>45679</v>
      </c>
      <c r="U143" s="26"/>
      <c r="V143" s="27"/>
      <c r="W143" s="28"/>
      <c r="X143" s="29" t="s">
        <v>163</v>
      </c>
    </row>
    <row r="144" spans="1:24" ht="22.8">
      <c r="A144" s="19">
        <f t="shared" si="2"/>
        <v>142</v>
      </c>
      <c r="B144" s="20"/>
      <c r="C144" s="31"/>
      <c r="D144" s="30" t="s">
        <v>286</v>
      </c>
      <c r="E144" s="30" t="s">
        <v>201</v>
      </c>
      <c r="F144" s="72" t="s">
        <v>278</v>
      </c>
      <c r="G144" s="21"/>
      <c r="H144" s="22"/>
      <c r="I144" s="22"/>
      <c r="J144" s="23"/>
      <c r="K144" s="21"/>
      <c r="L144" s="22"/>
      <c r="M144" s="22"/>
      <c r="N144" s="24"/>
      <c r="O144" s="24"/>
      <c r="P144" s="24" t="s">
        <v>159</v>
      </c>
      <c r="Q144" s="24"/>
      <c r="R144" s="23"/>
      <c r="S144" s="135">
        <v>45312</v>
      </c>
      <c r="T144" s="146">
        <v>45679</v>
      </c>
      <c r="U144" s="26"/>
      <c r="V144" s="27"/>
      <c r="W144" s="28"/>
      <c r="X144" s="29" t="s">
        <v>163</v>
      </c>
    </row>
    <row r="145" spans="1:24" ht="22.8">
      <c r="A145" s="19">
        <f t="shared" si="2"/>
        <v>143</v>
      </c>
      <c r="B145" s="31"/>
      <c r="C145" s="31"/>
      <c r="D145" s="30" t="s">
        <v>287</v>
      </c>
      <c r="E145" s="30" t="s">
        <v>201</v>
      </c>
      <c r="F145" s="72" t="s">
        <v>278</v>
      </c>
      <c r="G145" s="21"/>
      <c r="H145" s="22"/>
      <c r="I145" s="22"/>
      <c r="J145" s="23"/>
      <c r="K145" s="21"/>
      <c r="L145" s="22"/>
      <c r="M145" s="22"/>
      <c r="N145" s="24"/>
      <c r="O145" s="24"/>
      <c r="P145" s="24" t="s">
        <v>159</v>
      </c>
      <c r="Q145" s="24"/>
      <c r="R145" s="23"/>
      <c r="S145" s="135">
        <v>45312</v>
      </c>
      <c r="T145" s="146">
        <v>45679</v>
      </c>
      <c r="U145" s="26"/>
      <c r="V145" s="27"/>
      <c r="W145" s="28"/>
      <c r="X145" s="29" t="s">
        <v>163</v>
      </c>
    </row>
    <row r="146" spans="1:24" ht="22.8">
      <c r="A146" s="19">
        <f t="shared" si="2"/>
        <v>144</v>
      </c>
      <c r="B146" s="31"/>
      <c r="C146" s="31"/>
      <c r="D146" s="30" t="s">
        <v>288</v>
      </c>
      <c r="E146" s="30" t="s">
        <v>201</v>
      </c>
      <c r="F146" s="72" t="s">
        <v>278</v>
      </c>
      <c r="G146" s="21"/>
      <c r="H146" s="22"/>
      <c r="I146" s="22"/>
      <c r="J146" s="23"/>
      <c r="K146" s="21"/>
      <c r="L146" s="22"/>
      <c r="M146" s="22"/>
      <c r="N146" s="24"/>
      <c r="O146" s="24"/>
      <c r="P146" s="24" t="s">
        <v>159</v>
      </c>
      <c r="Q146" s="24"/>
      <c r="R146" s="23"/>
      <c r="S146" s="135">
        <v>45312</v>
      </c>
      <c r="T146" s="146">
        <v>45679</v>
      </c>
      <c r="U146" s="26"/>
      <c r="V146" s="27"/>
      <c r="W146" s="28"/>
      <c r="X146" s="29" t="s">
        <v>163</v>
      </c>
    </row>
    <row r="147" spans="1:24" ht="22.8">
      <c r="A147" s="19">
        <f t="shared" si="2"/>
        <v>145</v>
      </c>
      <c r="B147" s="31"/>
      <c r="C147" s="31"/>
      <c r="D147" s="30" t="s">
        <v>289</v>
      </c>
      <c r="E147" s="30" t="s">
        <v>201</v>
      </c>
      <c r="F147" s="72" t="s">
        <v>278</v>
      </c>
      <c r="G147" s="21"/>
      <c r="H147" s="22"/>
      <c r="I147" s="22"/>
      <c r="J147" s="23"/>
      <c r="K147" s="21"/>
      <c r="L147" s="22"/>
      <c r="M147" s="22"/>
      <c r="N147" s="24"/>
      <c r="O147" s="24"/>
      <c r="P147" s="24" t="s">
        <v>159</v>
      </c>
      <c r="Q147" s="24"/>
      <c r="R147" s="23"/>
      <c r="S147" s="135">
        <v>45312</v>
      </c>
      <c r="T147" s="146">
        <v>45679</v>
      </c>
      <c r="U147" s="26"/>
      <c r="V147" s="27"/>
      <c r="W147" s="28"/>
      <c r="X147" s="29" t="s">
        <v>163</v>
      </c>
    </row>
    <row r="148" spans="1:24" ht="22.8">
      <c r="A148" s="19">
        <f t="shared" si="2"/>
        <v>146</v>
      </c>
      <c r="B148" s="31"/>
      <c r="C148" s="31"/>
      <c r="D148" s="30" t="s">
        <v>290</v>
      </c>
      <c r="E148" s="30" t="s">
        <v>201</v>
      </c>
      <c r="F148" s="72" t="s">
        <v>278</v>
      </c>
      <c r="G148" s="21"/>
      <c r="H148" s="22"/>
      <c r="I148" s="22"/>
      <c r="J148" s="23"/>
      <c r="K148" s="21"/>
      <c r="L148" s="22"/>
      <c r="M148" s="22"/>
      <c r="N148" s="24"/>
      <c r="O148" s="24"/>
      <c r="P148" s="24" t="s">
        <v>159</v>
      </c>
      <c r="Q148" s="24"/>
      <c r="R148" s="23"/>
      <c r="S148" s="135">
        <v>45312</v>
      </c>
      <c r="T148" s="146">
        <v>45679</v>
      </c>
      <c r="U148" s="26"/>
      <c r="V148" s="27"/>
      <c r="W148" s="28"/>
      <c r="X148" s="29" t="s">
        <v>163</v>
      </c>
    </row>
    <row r="149" spans="1:24" ht="22.8">
      <c r="A149" s="19">
        <f t="shared" si="2"/>
        <v>147</v>
      </c>
      <c r="B149" s="31"/>
      <c r="C149" s="20"/>
      <c r="D149" s="20" t="s">
        <v>291</v>
      </c>
      <c r="E149" s="30" t="s">
        <v>201</v>
      </c>
      <c r="F149" s="72" t="s">
        <v>278</v>
      </c>
      <c r="G149" s="21"/>
      <c r="H149" s="22"/>
      <c r="I149" s="22"/>
      <c r="J149" s="23"/>
      <c r="K149" s="21"/>
      <c r="L149" s="22"/>
      <c r="M149" s="22"/>
      <c r="N149" s="24"/>
      <c r="O149" s="24"/>
      <c r="P149" s="24" t="s">
        <v>159</v>
      </c>
      <c r="Q149" s="24"/>
      <c r="R149" s="23"/>
      <c r="S149" s="135">
        <v>45312</v>
      </c>
      <c r="T149" s="146">
        <v>45679</v>
      </c>
      <c r="U149" s="26"/>
      <c r="V149" s="27"/>
      <c r="W149" s="28"/>
      <c r="X149" s="29" t="s">
        <v>163</v>
      </c>
    </row>
    <row r="150" spans="1:24" ht="11.4">
      <c r="A150" s="19">
        <f t="shared" si="2"/>
        <v>148</v>
      </c>
      <c r="B150" s="31"/>
      <c r="C150" s="20"/>
      <c r="D150" s="20" t="s">
        <v>292</v>
      </c>
      <c r="E150" s="30" t="s">
        <v>201</v>
      </c>
      <c r="F150" s="72" t="s">
        <v>240</v>
      </c>
      <c r="G150" s="21"/>
      <c r="H150" s="22"/>
      <c r="I150" s="22"/>
      <c r="J150" s="23"/>
      <c r="K150" s="21"/>
      <c r="L150" s="22"/>
      <c r="M150" s="22"/>
      <c r="N150" s="24"/>
      <c r="O150" s="24"/>
      <c r="P150" s="24" t="s">
        <v>159</v>
      </c>
      <c r="Q150" s="24"/>
      <c r="R150" s="23"/>
      <c r="S150" s="135">
        <v>45312</v>
      </c>
      <c r="T150" s="146">
        <v>45679</v>
      </c>
      <c r="U150" s="26"/>
      <c r="V150" s="27"/>
      <c r="W150" s="28"/>
      <c r="X150" s="29" t="s">
        <v>163</v>
      </c>
    </row>
    <row r="151" spans="1:24" ht="11.4">
      <c r="A151" s="19">
        <f t="shared" si="2"/>
        <v>149</v>
      </c>
      <c r="B151" s="20"/>
      <c r="C151" s="20"/>
      <c r="D151" s="30" t="s">
        <v>293</v>
      </c>
      <c r="E151" s="30" t="s">
        <v>201</v>
      </c>
      <c r="F151" s="72" t="s">
        <v>240</v>
      </c>
      <c r="G151" s="21"/>
      <c r="H151" s="22"/>
      <c r="I151" s="22"/>
      <c r="J151" s="23"/>
      <c r="K151" s="21"/>
      <c r="L151" s="22"/>
      <c r="M151" s="22"/>
      <c r="N151" s="24"/>
      <c r="O151" s="24"/>
      <c r="P151" s="24" t="s">
        <v>159</v>
      </c>
      <c r="Q151" s="24"/>
      <c r="R151" s="23"/>
      <c r="S151" s="135">
        <v>45312</v>
      </c>
      <c r="T151" s="146">
        <v>45679</v>
      </c>
      <c r="U151" s="26"/>
      <c r="V151" s="27"/>
      <c r="W151" s="28"/>
      <c r="X151" s="29" t="s">
        <v>163</v>
      </c>
    </row>
    <row r="152" spans="1:24" ht="11.4">
      <c r="A152" s="19">
        <f t="shared" si="2"/>
        <v>150</v>
      </c>
      <c r="B152" s="20"/>
      <c r="C152" s="20"/>
      <c r="D152" s="30" t="s">
        <v>294</v>
      </c>
      <c r="E152" s="30" t="s">
        <v>201</v>
      </c>
      <c r="F152" s="72" t="s">
        <v>240</v>
      </c>
      <c r="G152" s="21"/>
      <c r="H152" s="22"/>
      <c r="I152" s="22"/>
      <c r="J152" s="23"/>
      <c r="K152" s="21"/>
      <c r="L152" s="22"/>
      <c r="M152" s="22"/>
      <c r="N152" s="24"/>
      <c r="O152" s="24"/>
      <c r="P152" s="24" t="s">
        <v>159</v>
      </c>
      <c r="Q152" s="24"/>
      <c r="R152" s="23"/>
      <c r="S152" s="135">
        <v>45312</v>
      </c>
      <c r="T152" s="146">
        <v>45679</v>
      </c>
      <c r="U152" s="26"/>
      <c r="V152" s="27"/>
      <c r="W152" s="28"/>
      <c r="X152" s="29" t="s">
        <v>163</v>
      </c>
    </row>
    <row r="153" spans="1:24" ht="11.4">
      <c r="A153" s="19">
        <f t="shared" si="2"/>
        <v>151</v>
      </c>
      <c r="B153" s="20"/>
      <c r="C153" s="31"/>
      <c r="D153" s="30" t="s">
        <v>295</v>
      </c>
      <c r="E153" s="30" t="s">
        <v>201</v>
      </c>
      <c r="F153" s="72" t="s">
        <v>240</v>
      </c>
      <c r="G153" s="21"/>
      <c r="H153" s="22"/>
      <c r="I153" s="22"/>
      <c r="J153" s="23"/>
      <c r="K153" s="21"/>
      <c r="L153" s="22"/>
      <c r="M153" s="22"/>
      <c r="N153" s="24"/>
      <c r="O153" s="24"/>
      <c r="P153" s="24" t="s">
        <v>159</v>
      </c>
      <c r="Q153" s="24"/>
      <c r="R153" s="23"/>
      <c r="S153" s="135">
        <v>45312</v>
      </c>
      <c r="T153" s="146">
        <v>45679</v>
      </c>
      <c r="U153" s="26"/>
      <c r="V153" s="27"/>
      <c r="W153" s="28"/>
      <c r="X153" s="29" t="s">
        <v>163</v>
      </c>
    </row>
    <row r="154" spans="1:24" ht="11.4">
      <c r="A154" s="19">
        <f t="shared" si="2"/>
        <v>152</v>
      </c>
      <c r="B154" s="20"/>
      <c r="C154" s="20"/>
      <c r="D154" s="30" t="s">
        <v>296</v>
      </c>
      <c r="E154" s="30" t="s">
        <v>201</v>
      </c>
      <c r="F154" s="72" t="s">
        <v>240</v>
      </c>
      <c r="G154" s="21"/>
      <c r="H154" s="22"/>
      <c r="I154" s="22"/>
      <c r="J154" s="23"/>
      <c r="K154" s="21"/>
      <c r="L154" s="22"/>
      <c r="M154" s="22"/>
      <c r="N154" s="24"/>
      <c r="O154" s="24"/>
      <c r="P154" s="24" t="s">
        <v>159</v>
      </c>
      <c r="Q154" s="24"/>
      <c r="R154" s="23"/>
      <c r="S154" s="135">
        <v>45312</v>
      </c>
      <c r="T154" s="146">
        <v>45679</v>
      </c>
      <c r="U154" s="26"/>
      <c r="V154" s="27"/>
      <c r="W154" s="28"/>
      <c r="X154" s="29" t="s">
        <v>163</v>
      </c>
    </row>
    <row r="155" spans="1:24" ht="11.4">
      <c r="A155" s="19">
        <f t="shared" si="2"/>
        <v>153</v>
      </c>
      <c r="B155" s="20"/>
      <c r="C155" s="20"/>
      <c r="D155" s="30" t="s">
        <v>297</v>
      </c>
      <c r="E155" s="30" t="s">
        <v>201</v>
      </c>
      <c r="F155" s="72" t="s">
        <v>240</v>
      </c>
      <c r="G155" s="21"/>
      <c r="H155" s="22"/>
      <c r="I155" s="22"/>
      <c r="J155" s="23"/>
      <c r="K155" s="21"/>
      <c r="L155" s="22"/>
      <c r="M155" s="22"/>
      <c r="N155" s="24"/>
      <c r="O155" s="24"/>
      <c r="P155" s="24" t="s">
        <v>159</v>
      </c>
      <c r="Q155" s="24"/>
      <c r="R155" s="23"/>
      <c r="S155" s="135">
        <v>45312</v>
      </c>
      <c r="T155" s="146">
        <v>45679</v>
      </c>
      <c r="U155" s="26"/>
      <c r="V155" s="27"/>
      <c r="W155" s="28"/>
      <c r="X155" s="29" t="s">
        <v>163</v>
      </c>
    </row>
    <row r="156" spans="1:24" ht="11.4">
      <c r="A156" s="19">
        <f t="shared" si="2"/>
        <v>154</v>
      </c>
      <c r="B156" s="20"/>
      <c r="C156" s="31"/>
      <c r="D156" s="30" t="s">
        <v>298</v>
      </c>
      <c r="E156" s="30" t="s">
        <v>201</v>
      </c>
      <c r="F156" s="72" t="s">
        <v>240</v>
      </c>
      <c r="G156" s="21"/>
      <c r="H156" s="22"/>
      <c r="I156" s="22"/>
      <c r="J156" s="23"/>
      <c r="K156" s="21"/>
      <c r="L156" s="22"/>
      <c r="M156" s="22"/>
      <c r="N156" s="24"/>
      <c r="O156" s="24"/>
      <c r="P156" s="24" t="s">
        <v>159</v>
      </c>
      <c r="Q156" s="24"/>
      <c r="R156" s="23"/>
      <c r="S156" s="135">
        <v>45312</v>
      </c>
      <c r="T156" s="146">
        <v>45679</v>
      </c>
      <c r="U156" s="26"/>
      <c r="V156" s="27"/>
      <c r="W156" s="28"/>
      <c r="X156" s="29" t="s">
        <v>163</v>
      </c>
    </row>
    <row r="157" spans="1:24" ht="11.4">
      <c r="A157" s="19">
        <f t="shared" si="2"/>
        <v>155</v>
      </c>
      <c r="B157" s="31"/>
      <c r="C157" s="31"/>
      <c r="D157" s="30" t="s">
        <v>299</v>
      </c>
      <c r="E157" s="30" t="s">
        <v>201</v>
      </c>
      <c r="F157" s="72" t="s">
        <v>274</v>
      </c>
      <c r="G157" s="21"/>
      <c r="H157" s="22"/>
      <c r="I157" s="22"/>
      <c r="J157" s="23"/>
      <c r="K157" s="21"/>
      <c r="L157" s="22"/>
      <c r="M157" s="22"/>
      <c r="N157" s="24"/>
      <c r="O157" s="24"/>
      <c r="P157" s="24" t="s">
        <v>159</v>
      </c>
      <c r="Q157" s="24"/>
      <c r="R157" s="23"/>
      <c r="S157" s="135">
        <v>45312</v>
      </c>
      <c r="T157" s="146">
        <v>45679</v>
      </c>
      <c r="U157" s="26"/>
      <c r="V157" s="27"/>
      <c r="W157" s="28"/>
      <c r="X157" s="29" t="s">
        <v>163</v>
      </c>
    </row>
    <row r="158" spans="1:24" ht="11.4">
      <c r="A158" s="19">
        <f t="shared" si="2"/>
        <v>156</v>
      </c>
      <c r="B158" s="31"/>
      <c r="C158" s="31"/>
      <c r="D158" s="30" t="s">
        <v>300</v>
      </c>
      <c r="E158" s="30" t="s">
        <v>201</v>
      </c>
      <c r="F158" s="72" t="s">
        <v>301</v>
      </c>
      <c r="G158" s="21"/>
      <c r="H158" s="22"/>
      <c r="I158" s="22"/>
      <c r="J158" s="23"/>
      <c r="K158" s="21"/>
      <c r="L158" s="22"/>
      <c r="M158" s="22"/>
      <c r="N158" s="24"/>
      <c r="O158" s="24"/>
      <c r="P158" s="24" t="s">
        <v>159</v>
      </c>
      <c r="Q158" s="24"/>
      <c r="R158" s="23"/>
      <c r="S158" s="135">
        <v>45312</v>
      </c>
      <c r="T158" s="146">
        <v>45679</v>
      </c>
      <c r="U158" s="26"/>
      <c r="V158" s="27"/>
      <c r="W158" s="28"/>
      <c r="X158" s="29" t="s">
        <v>163</v>
      </c>
    </row>
    <row r="159" spans="1:24" ht="11.4">
      <c r="A159" s="19">
        <f t="shared" si="2"/>
        <v>157</v>
      </c>
      <c r="B159" s="31"/>
      <c r="C159" s="31"/>
      <c r="D159" s="30" t="s">
        <v>302</v>
      </c>
      <c r="E159" s="30" t="s">
        <v>201</v>
      </c>
      <c r="F159" s="72" t="s">
        <v>303</v>
      </c>
      <c r="G159" s="21"/>
      <c r="H159" s="22"/>
      <c r="I159" s="22"/>
      <c r="J159" s="23"/>
      <c r="K159" s="21"/>
      <c r="L159" s="22"/>
      <c r="M159" s="22"/>
      <c r="N159" s="24"/>
      <c r="O159" s="24"/>
      <c r="P159" s="24" t="s">
        <v>159</v>
      </c>
      <c r="Q159" s="24"/>
      <c r="R159" s="23"/>
      <c r="S159" s="135">
        <v>45312</v>
      </c>
      <c r="T159" s="146">
        <v>45679</v>
      </c>
      <c r="U159" s="26"/>
      <c r="V159" s="27"/>
      <c r="W159" s="28"/>
      <c r="X159" s="29" t="s">
        <v>163</v>
      </c>
    </row>
    <row r="160" spans="1:24" ht="11.4">
      <c r="A160" s="19">
        <f t="shared" si="2"/>
        <v>158</v>
      </c>
      <c r="B160" s="31"/>
      <c r="C160" s="31"/>
      <c r="D160" s="30" t="s">
        <v>304</v>
      </c>
      <c r="E160" s="30" t="s">
        <v>201</v>
      </c>
      <c r="F160" s="72" t="s">
        <v>305</v>
      </c>
      <c r="G160" s="21"/>
      <c r="H160" s="22"/>
      <c r="I160" s="22"/>
      <c r="J160" s="23"/>
      <c r="K160" s="21"/>
      <c r="L160" s="22"/>
      <c r="M160" s="22"/>
      <c r="N160" s="24"/>
      <c r="O160" s="24"/>
      <c r="P160" s="24" t="s">
        <v>159</v>
      </c>
      <c r="Q160" s="24"/>
      <c r="R160" s="23"/>
      <c r="S160" s="135">
        <v>45312</v>
      </c>
      <c r="T160" s="146">
        <v>45679</v>
      </c>
      <c r="U160" s="26"/>
      <c r="V160" s="27"/>
      <c r="W160" s="28"/>
      <c r="X160" s="29" t="s">
        <v>163</v>
      </c>
    </row>
    <row r="161" spans="1:24" ht="22.8">
      <c r="A161" s="19">
        <f t="shared" si="2"/>
        <v>159</v>
      </c>
      <c r="B161" s="31"/>
      <c r="C161" s="20"/>
      <c r="D161" s="20" t="s">
        <v>306</v>
      </c>
      <c r="E161" s="30" t="s">
        <v>201</v>
      </c>
      <c r="F161" s="72" t="s">
        <v>307</v>
      </c>
      <c r="G161" s="21"/>
      <c r="H161" s="22"/>
      <c r="I161" s="22"/>
      <c r="J161" s="23"/>
      <c r="K161" s="21"/>
      <c r="L161" s="22"/>
      <c r="M161" s="22"/>
      <c r="N161" s="24"/>
      <c r="O161" s="24"/>
      <c r="P161" s="24" t="s">
        <v>159</v>
      </c>
      <c r="Q161" s="24"/>
      <c r="R161" s="23"/>
      <c r="S161" s="135">
        <v>45312</v>
      </c>
      <c r="T161" s="146"/>
      <c r="U161" s="26">
        <v>45679</v>
      </c>
      <c r="V161" s="27">
        <v>45681</v>
      </c>
      <c r="W161" s="28"/>
      <c r="X161" s="29" t="s">
        <v>163</v>
      </c>
    </row>
    <row r="162" spans="1:24" ht="11.4">
      <c r="A162" s="19">
        <f t="shared" si="2"/>
        <v>160</v>
      </c>
      <c r="B162" s="20"/>
      <c r="C162" s="20"/>
      <c r="D162" s="30" t="s">
        <v>308</v>
      </c>
      <c r="E162" s="30" t="s">
        <v>201</v>
      </c>
      <c r="F162" s="72" t="s">
        <v>309</v>
      </c>
      <c r="G162" s="21"/>
      <c r="H162" s="22"/>
      <c r="I162" s="22"/>
      <c r="J162" s="23"/>
      <c r="K162" s="21"/>
      <c r="L162" s="22"/>
      <c r="M162" s="22"/>
      <c r="N162" s="24"/>
      <c r="O162" s="24"/>
      <c r="P162" s="24" t="s">
        <v>159</v>
      </c>
      <c r="Q162" s="24"/>
      <c r="R162" s="23"/>
      <c r="S162" s="135">
        <v>45312</v>
      </c>
      <c r="T162" s="146">
        <v>45679</v>
      </c>
      <c r="U162" s="26"/>
      <c r="V162" s="27"/>
      <c r="W162" s="28"/>
      <c r="X162" s="29" t="s">
        <v>163</v>
      </c>
    </row>
    <row r="163" spans="1:24" ht="11.4">
      <c r="A163" s="19">
        <f t="shared" si="2"/>
        <v>161</v>
      </c>
      <c r="B163" s="20"/>
      <c r="C163" s="20"/>
      <c r="D163" s="30" t="s">
        <v>310</v>
      </c>
      <c r="E163" s="30" t="s">
        <v>201</v>
      </c>
      <c r="F163" s="72" t="s">
        <v>311</v>
      </c>
      <c r="G163" s="21"/>
      <c r="H163" s="22"/>
      <c r="I163" s="22"/>
      <c r="J163" s="23"/>
      <c r="K163" s="21"/>
      <c r="L163" s="22"/>
      <c r="M163" s="22"/>
      <c r="N163" s="24"/>
      <c r="O163" s="24"/>
      <c r="P163" s="24" t="s">
        <v>159</v>
      </c>
      <c r="Q163" s="24"/>
      <c r="R163" s="23"/>
      <c r="S163" s="135">
        <v>45312</v>
      </c>
      <c r="T163" s="146">
        <v>45679</v>
      </c>
      <c r="U163" s="26"/>
      <c r="V163" s="27"/>
      <c r="W163" s="28"/>
      <c r="X163" s="29" t="s">
        <v>163</v>
      </c>
    </row>
    <row r="164" spans="1:24" ht="11.4">
      <c r="A164" s="19">
        <f t="shared" si="2"/>
        <v>162</v>
      </c>
      <c r="B164" s="20"/>
      <c r="C164" s="31"/>
      <c r="D164" s="30" t="s">
        <v>312</v>
      </c>
      <c r="E164" s="30" t="s">
        <v>201</v>
      </c>
      <c r="F164" s="72" t="s">
        <v>313</v>
      </c>
      <c r="G164" s="21"/>
      <c r="H164" s="22"/>
      <c r="I164" s="22"/>
      <c r="J164" s="23"/>
      <c r="K164" s="21"/>
      <c r="L164" s="22"/>
      <c r="M164" s="22"/>
      <c r="N164" s="24"/>
      <c r="O164" s="24"/>
      <c r="P164" s="24" t="s">
        <v>159</v>
      </c>
      <c r="Q164" s="24"/>
      <c r="R164" s="23"/>
      <c r="S164" s="135">
        <v>45312</v>
      </c>
      <c r="T164" s="146">
        <v>45679</v>
      </c>
      <c r="U164" s="26"/>
      <c r="V164" s="27"/>
      <c r="W164" s="28"/>
      <c r="X164" s="29" t="s">
        <v>163</v>
      </c>
    </row>
    <row r="165" spans="1:24" ht="11.4">
      <c r="A165" s="19">
        <f t="shared" si="2"/>
        <v>163</v>
      </c>
      <c r="B165" s="20"/>
      <c r="C165" s="20"/>
      <c r="D165" s="30" t="s">
        <v>260</v>
      </c>
      <c r="E165" s="30" t="s">
        <v>201</v>
      </c>
      <c r="F165" s="72" t="s">
        <v>228</v>
      </c>
      <c r="G165" s="21"/>
      <c r="H165" s="22"/>
      <c r="I165" s="22"/>
      <c r="J165" s="23"/>
      <c r="K165" s="21"/>
      <c r="L165" s="22"/>
      <c r="M165" s="22"/>
      <c r="N165" s="24"/>
      <c r="O165" s="24"/>
      <c r="P165" s="24" t="s">
        <v>159</v>
      </c>
      <c r="Q165" s="24"/>
      <c r="R165" s="23"/>
      <c r="S165" s="135">
        <v>45312</v>
      </c>
      <c r="T165" s="146">
        <v>45679</v>
      </c>
      <c r="U165" s="26"/>
      <c r="V165" s="27"/>
      <c r="W165" s="28"/>
      <c r="X165" s="29" t="s">
        <v>163</v>
      </c>
    </row>
    <row r="166" spans="1:24" ht="11.4">
      <c r="A166" s="19">
        <f>ROW()-2</f>
        <v>164</v>
      </c>
      <c r="B166" s="20"/>
      <c r="C166" s="20" t="s">
        <v>316</v>
      </c>
      <c r="D166" s="20" t="s">
        <v>315</v>
      </c>
      <c r="E166" s="30" t="s">
        <v>201</v>
      </c>
      <c r="F166" s="71" t="s">
        <v>202</v>
      </c>
      <c r="G166" s="21"/>
      <c r="H166" s="22"/>
      <c r="I166" s="22"/>
      <c r="J166" s="23"/>
      <c r="K166" s="21"/>
      <c r="L166" s="22"/>
      <c r="M166" s="22"/>
      <c r="N166" s="24"/>
      <c r="O166" s="24"/>
      <c r="P166" s="24" t="s">
        <v>159</v>
      </c>
      <c r="Q166" s="24"/>
      <c r="R166" s="23"/>
      <c r="S166" s="135">
        <v>45312</v>
      </c>
      <c r="T166" s="146">
        <v>45672</v>
      </c>
      <c r="U166" s="26"/>
      <c r="V166" s="27"/>
      <c r="W166" s="28"/>
      <c r="X166" s="29" t="s">
        <v>163</v>
      </c>
    </row>
    <row r="167" spans="1:24" ht="11.4">
      <c r="A167" s="19">
        <f t="shared" ref="A167:A169" si="4">ROW()-2</f>
        <v>165</v>
      </c>
      <c r="B167" s="20"/>
      <c r="C167" s="20"/>
      <c r="D167" s="20" t="s">
        <v>204</v>
      </c>
      <c r="E167" s="30" t="s">
        <v>201</v>
      </c>
      <c r="F167" s="71" t="s">
        <v>205</v>
      </c>
      <c r="G167" s="21"/>
      <c r="H167" s="22"/>
      <c r="I167" s="22"/>
      <c r="J167" s="23"/>
      <c r="K167" s="21"/>
      <c r="L167" s="22"/>
      <c r="M167" s="22"/>
      <c r="N167" s="24"/>
      <c r="O167" s="24"/>
      <c r="P167" s="24" t="s">
        <v>159</v>
      </c>
      <c r="Q167" s="24"/>
      <c r="R167" s="23"/>
      <c r="S167" s="135">
        <v>45312</v>
      </c>
      <c r="T167" s="146">
        <v>45672</v>
      </c>
      <c r="U167" s="26"/>
      <c r="V167" s="27"/>
      <c r="W167" s="28"/>
      <c r="X167" s="29" t="s">
        <v>163</v>
      </c>
    </row>
    <row r="168" spans="1:24" ht="11.4">
      <c r="A168" s="19">
        <f t="shared" si="4"/>
        <v>166</v>
      </c>
      <c r="B168" s="20"/>
      <c r="C168" s="20"/>
      <c r="D168" s="20" t="s">
        <v>206</v>
      </c>
      <c r="E168" s="30" t="s">
        <v>201</v>
      </c>
      <c r="F168" s="71" t="s">
        <v>207</v>
      </c>
      <c r="G168" s="21"/>
      <c r="H168" s="22"/>
      <c r="I168" s="22"/>
      <c r="J168" s="23"/>
      <c r="K168" s="21"/>
      <c r="L168" s="22"/>
      <c r="M168" s="22"/>
      <c r="N168" s="24"/>
      <c r="O168" s="24"/>
      <c r="P168" s="24" t="s">
        <v>159</v>
      </c>
      <c r="Q168" s="24"/>
      <c r="R168" s="23"/>
      <c r="S168" s="135">
        <v>45312</v>
      </c>
      <c r="T168" s="146">
        <v>45672</v>
      </c>
      <c r="U168" s="26"/>
      <c r="V168" s="27"/>
      <c r="W168" s="28"/>
      <c r="X168" s="29" t="s">
        <v>163</v>
      </c>
    </row>
    <row r="169" spans="1:24" ht="11.4">
      <c r="A169" s="19">
        <f t="shared" si="4"/>
        <v>167</v>
      </c>
      <c r="B169" s="20"/>
      <c r="C169" s="20"/>
      <c r="D169" s="20" t="s">
        <v>208</v>
      </c>
      <c r="E169" s="30" t="s">
        <v>201</v>
      </c>
      <c r="F169" s="71" t="s">
        <v>209</v>
      </c>
      <c r="G169" s="21"/>
      <c r="H169" s="22"/>
      <c r="I169" s="22"/>
      <c r="J169" s="23"/>
      <c r="K169" s="21"/>
      <c r="L169" s="22"/>
      <c r="M169" s="22"/>
      <c r="N169" s="24"/>
      <c r="O169" s="24"/>
      <c r="P169" s="24" t="s">
        <v>159</v>
      </c>
      <c r="Q169" s="24"/>
      <c r="R169" s="23"/>
      <c r="S169" s="135">
        <v>45312</v>
      </c>
      <c r="T169" s="146">
        <v>45672</v>
      </c>
      <c r="U169" s="26"/>
      <c r="V169" s="27"/>
      <c r="W169" s="28"/>
      <c r="X169" s="29" t="s">
        <v>163</v>
      </c>
    </row>
    <row r="170" spans="1:24" ht="11.4">
      <c r="A170" s="19">
        <f>ROW()-2</f>
        <v>168</v>
      </c>
      <c r="B170" s="20"/>
      <c r="C170" s="20"/>
      <c r="D170" s="20" t="s">
        <v>210</v>
      </c>
      <c r="E170" s="30" t="s">
        <v>201</v>
      </c>
      <c r="F170" s="71" t="s">
        <v>211</v>
      </c>
      <c r="G170" s="21"/>
      <c r="H170" s="22"/>
      <c r="I170" s="22"/>
      <c r="J170" s="23"/>
      <c r="K170" s="21"/>
      <c r="L170" s="22"/>
      <c r="M170" s="22"/>
      <c r="N170" s="24"/>
      <c r="O170" s="24"/>
      <c r="P170" s="24" t="s">
        <v>159</v>
      </c>
      <c r="Q170" s="24"/>
      <c r="R170" s="23"/>
      <c r="S170" s="135">
        <v>45312</v>
      </c>
      <c r="T170" s="146">
        <v>45672</v>
      </c>
      <c r="U170" s="26"/>
      <c r="V170" s="27"/>
      <c r="W170" s="28"/>
      <c r="X170" s="29" t="s">
        <v>163</v>
      </c>
    </row>
    <row r="171" spans="1:24" ht="11.4">
      <c r="A171" s="19">
        <f t="shared" si="2"/>
        <v>169</v>
      </c>
      <c r="B171" s="20"/>
      <c r="C171" s="20"/>
      <c r="D171" s="20" t="s">
        <v>212</v>
      </c>
      <c r="E171" s="30" t="s">
        <v>201</v>
      </c>
      <c r="F171" s="71" t="s">
        <v>213</v>
      </c>
      <c r="G171" s="21"/>
      <c r="H171" s="22"/>
      <c r="I171" s="22"/>
      <c r="J171" s="23"/>
      <c r="K171" s="21"/>
      <c r="L171" s="22"/>
      <c r="M171" s="22"/>
      <c r="N171" s="24"/>
      <c r="O171" s="24"/>
      <c r="P171" s="24" t="s">
        <v>159</v>
      </c>
      <c r="Q171" s="24"/>
      <c r="R171" s="23"/>
      <c r="S171" s="135">
        <v>45312</v>
      </c>
      <c r="T171" s="146">
        <v>45672</v>
      </c>
      <c r="U171" s="26"/>
      <c r="V171" s="27"/>
      <c r="W171" s="28"/>
      <c r="X171" s="29" t="s">
        <v>163</v>
      </c>
    </row>
    <row r="172" spans="1:24" ht="11.4">
      <c r="A172" s="19">
        <f t="shared" si="2"/>
        <v>170</v>
      </c>
      <c r="B172" s="20"/>
      <c r="C172" s="20"/>
      <c r="D172" s="20" t="s">
        <v>214</v>
      </c>
      <c r="E172" s="30" t="s">
        <v>201</v>
      </c>
      <c r="F172" s="71" t="s">
        <v>215</v>
      </c>
      <c r="G172" s="21"/>
      <c r="H172" s="22"/>
      <c r="I172" s="22"/>
      <c r="J172" s="23"/>
      <c r="K172" s="21"/>
      <c r="L172" s="22"/>
      <c r="M172" s="22"/>
      <c r="N172" s="24"/>
      <c r="O172" s="24"/>
      <c r="P172" s="24" t="s">
        <v>159</v>
      </c>
      <c r="Q172" s="24"/>
      <c r="R172" s="23"/>
      <c r="S172" s="135">
        <v>45312</v>
      </c>
      <c r="T172" s="146">
        <v>45672</v>
      </c>
      <c r="U172" s="26"/>
      <c r="V172" s="27"/>
      <c r="W172" s="28"/>
      <c r="X172" s="29" t="s">
        <v>163</v>
      </c>
    </row>
    <row r="173" spans="1:24" ht="11.4">
      <c r="A173" s="19">
        <f t="shared" si="2"/>
        <v>171</v>
      </c>
      <c r="B173" s="20"/>
      <c r="C173" s="20"/>
      <c r="D173" s="20" t="s">
        <v>216</v>
      </c>
      <c r="E173" s="30" t="s">
        <v>201</v>
      </c>
      <c r="F173" s="71" t="s">
        <v>213</v>
      </c>
      <c r="G173" s="21"/>
      <c r="H173" s="22"/>
      <c r="I173" s="22"/>
      <c r="J173" s="23"/>
      <c r="K173" s="21"/>
      <c r="L173" s="22"/>
      <c r="M173" s="22"/>
      <c r="N173" s="24"/>
      <c r="O173" s="24"/>
      <c r="P173" s="24" t="s">
        <v>159</v>
      </c>
      <c r="Q173" s="24"/>
      <c r="R173" s="23"/>
      <c r="S173" s="135">
        <v>45312</v>
      </c>
      <c r="T173" s="146">
        <v>45672</v>
      </c>
      <c r="U173" s="26"/>
      <c r="V173" s="27"/>
      <c r="W173" s="28"/>
      <c r="X173" s="29" t="s">
        <v>163</v>
      </c>
    </row>
    <row r="174" spans="1:24" ht="11.4">
      <c r="A174" s="19">
        <f t="shared" si="2"/>
        <v>172</v>
      </c>
      <c r="B174" s="20"/>
      <c r="C174" s="20"/>
      <c r="D174" s="30" t="s">
        <v>217</v>
      </c>
      <c r="E174" s="30" t="s">
        <v>201</v>
      </c>
      <c r="F174" s="71" t="s">
        <v>218</v>
      </c>
      <c r="G174" s="21"/>
      <c r="H174" s="22"/>
      <c r="I174" s="22"/>
      <c r="J174" s="23"/>
      <c r="K174" s="21"/>
      <c r="L174" s="22"/>
      <c r="M174" s="22"/>
      <c r="N174" s="24"/>
      <c r="O174" s="24"/>
      <c r="P174" s="24" t="s">
        <v>159</v>
      </c>
      <c r="Q174" s="24"/>
      <c r="R174" s="23"/>
      <c r="S174" s="135">
        <v>45312</v>
      </c>
      <c r="T174" s="146">
        <v>45672</v>
      </c>
      <c r="U174" s="26"/>
      <c r="V174" s="27"/>
      <c r="W174" s="28"/>
      <c r="X174" s="29" t="s">
        <v>163</v>
      </c>
    </row>
    <row r="175" spans="1:24" ht="11.4">
      <c r="A175" s="19">
        <f t="shared" si="2"/>
        <v>173</v>
      </c>
      <c r="B175" s="20"/>
      <c r="C175" s="20"/>
      <c r="D175" s="30" t="s">
        <v>219</v>
      </c>
      <c r="E175" s="30" t="s">
        <v>201</v>
      </c>
      <c r="F175" s="71" t="s">
        <v>207</v>
      </c>
      <c r="G175" s="21"/>
      <c r="H175" s="22"/>
      <c r="I175" s="22"/>
      <c r="J175" s="23"/>
      <c r="K175" s="21"/>
      <c r="L175" s="22"/>
      <c r="M175" s="22"/>
      <c r="N175" s="24"/>
      <c r="O175" s="24"/>
      <c r="P175" s="24" t="s">
        <v>159</v>
      </c>
      <c r="Q175" s="24"/>
      <c r="R175" s="23"/>
      <c r="S175" s="135">
        <v>45312</v>
      </c>
      <c r="T175" s="146">
        <v>45672</v>
      </c>
      <c r="U175" s="26"/>
      <c r="V175" s="27"/>
      <c r="W175" s="28"/>
      <c r="X175" s="29" t="s">
        <v>163</v>
      </c>
    </row>
    <row r="176" spans="1:24" ht="11.4">
      <c r="A176" s="19">
        <f t="shared" si="2"/>
        <v>174</v>
      </c>
      <c r="B176" s="20"/>
      <c r="C176" s="20"/>
      <c r="D176" s="30" t="s">
        <v>220</v>
      </c>
      <c r="E176" s="30" t="s">
        <v>201</v>
      </c>
      <c r="F176" s="71" t="s">
        <v>207</v>
      </c>
      <c r="G176" s="21"/>
      <c r="H176" s="22"/>
      <c r="I176" s="22"/>
      <c r="J176" s="23"/>
      <c r="K176" s="21"/>
      <c r="L176" s="22"/>
      <c r="M176" s="22"/>
      <c r="N176" s="24"/>
      <c r="O176" s="24"/>
      <c r="P176" s="24" t="s">
        <v>159</v>
      </c>
      <c r="Q176" s="24"/>
      <c r="R176" s="23"/>
      <c r="S176" s="135">
        <v>45312</v>
      </c>
      <c r="T176" s="146">
        <v>45672</v>
      </c>
      <c r="U176" s="26"/>
      <c r="V176" s="27"/>
      <c r="W176" s="28"/>
      <c r="X176" s="29" t="s">
        <v>163</v>
      </c>
    </row>
    <row r="177" spans="1:24" ht="11.4">
      <c r="A177" s="19">
        <f t="shared" si="2"/>
        <v>175</v>
      </c>
      <c r="B177" s="20"/>
      <c r="C177" s="20"/>
      <c r="D177" s="30" t="s">
        <v>221</v>
      </c>
      <c r="E177" s="30" t="s">
        <v>201</v>
      </c>
      <c r="F177" s="71" t="s">
        <v>207</v>
      </c>
      <c r="G177" s="21"/>
      <c r="H177" s="22"/>
      <c r="I177" s="22"/>
      <c r="J177" s="23"/>
      <c r="K177" s="21"/>
      <c r="L177" s="22"/>
      <c r="M177" s="22"/>
      <c r="N177" s="24"/>
      <c r="O177" s="24"/>
      <c r="P177" s="24" t="s">
        <v>159</v>
      </c>
      <c r="Q177" s="24"/>
      <c r="R177" s="23"/>
      <c r="S177" s="135">
        <v>45312</v>
      </c>
      <c r="T177" s="146">
        <v>45672</v>
      </c>
      <c r="U177" s="26"/>
      <c r="V177" s="27"/>
      <c r="W177" s="28"/>
      <c r="X177" s="29" t="s">
        <v>163</v>
      </c>
    </row>
    <row r="178" spans="1:24" ht="11.4">
      <c r="A178" s="19">
        <f t="shared" si="2"/>
        <v>176</v>
      </c>
      <c r="B178" s="20"/>
      <c r="C178" s="20"/>
      <c r="D178" s="30" t="s">
        <v>222</v>
      </c>
      <c r="E178" s="30" t="s">
        <v>201</v>
      </c>
      <c r="F178" s="71" t="s">
        <v>207</v>
      </c>
      <c r="G178" s="21"/>
      <c r="H178" s="22"/>
      <c r="I178" s="22"/>
      <c r="J178" s="23"/>
      <c r="K178" s="21"/>
      <c r="L178" s="22"/>
      <c r="M178" s="22"/>
      <c r="N178" s="24"/>
      <c r="O178" s="24"/>
      <c r="P178" s="24" t="s">
        <v>159</v>
      </c>
      <c r="Q178" s="24"/>
      <c r="R178" s="23"/>
      <c r="S178" s="135">
        <v>45312</v>
      </c>
      <c r="T178" s="146">
        <v>45672</v>
      </c>
      <c r="U178" s="26"/>
      <c r="V178" s="27"/>
      <c r="W178" s="28"/>
      <c r="X178" s="29" t="s">
        <v>163</v>
      </c>
    </row>
    <row r="179" spans="1:24" ht="11.4">
      <c r="A179" s="19">
        <f t="shared" si="2"/>
        <v>177</v>
      </c>
      <c r="B179" s="20"/>
      <c r="C179" s="20"/>
      <c r="D179" s="30" t="s">
        <v>223</v>
      </c>
      <c r="E179" s="30" t="s">
        <v>201</v>
      </c>
      <c r="F179" s="71" t="s">
        <v>207</v>
      </c>
      <c r="G179" s="21"/>
      <c r="H179" s="22"/>
      <c r="I179" s="22"/>
      <c r="J179" s="23"/>
      <c r="K179" s="21"/>
      <c r="L179" s="22"/>
      <c r="M179" s="22"/>
      <c r="N179" s="24"/>
      <c r="O179" s="24"/>
      <c r="P179" s="24" t="s">
        <v>159</v>
      </c>
      <c r="Q179" s="24"/>
      <c r="R179" s="23"/>
      <c r="S179" s="135">
        <v>45312</v>
      </c>
      <c r="T179" s="146">
        <v>45672</v>
      </c>
      <c r="U179" s="26"/>
      <c r="V179" s="27"/>
      <c r="W179" s="28"/>
      <c r="X179" s="29" t="s">
        <v>163</v>
      </c>
    </row>
    <row r="180" spans="1:24" ht="11.4">
      <c r="A180" s="19">
        <f t="shared" si="2"/>
        <v>178</v>
      </c>
      <c r="B180" s="20"/>
      <c r="C180" s="20"/>
      <c r="D180" s="20" t="s">
        <v>224</v>
      </c>
      <c r="E180" s="30" t="s">
        <v>201</v>
      </c>
      <c r="F180" s="71" t="s">
        <v>207</v>
      </c>
      <c r="G180" s="21"/>
      <c r="H180" s="22"/>
      <c r="I180" s="22"/>
      <c r="J180" s="23"/>
      <c r="K180" s="21"/>
      <c r="L180" s="22"/>
      <c r="M180" s="22"/>
      <c r="N180" s="24"/>
      <c r="O180" s="24"/>
      <c r="P180" s="24" t="s">
        <v>159</v>
      </c>
      <c r="Q180" s="24"/>
      <c r="R180" s="23"/>
      <c r="S180" s="135">
        <v>45312</v>
      </c>
      <c r="T180" s="146">
        <v>45672</v>
      </c>
      <c r="U180" s="26"/>
      <c r="V180" s="27"/>
      <c r="W180" s="28"/>
      <c r="X180" s="29" t="s">
        <v>163</v>
      </c>
    </row>
    <row r="181" spans="1:24" ht="11.4">
      <c r="A181" s="19">
        <f t="shared" si="2"/>
        <v>179</v>
      </c>
      <c r="B181" s="20"/>
      <c r="C181" s="20"/>
      <c r="D181" s="20" t="s">
        <v>225</v>
      </c>
      <c r="E181" s="30" t="s">
        <v>201</v>
      </c>
      <c r="F181" s="71" t="s">
        <v>207</v>
      </c>
      <c r="G181" s="21"/>
      <c r="H181" s="22"/>
      <c r="I181" s="22"/>
      <c r="J181" s="23"/>
      <c r="K181" s="21"/>
      <c r="L181" s="22"/>
      <c r="M181" s="22"/>
      <c r="N181" s="24"/>
      <c r="O181" s="24"/>
      <c r="P181" s="24" t="s">
        <v>159</v>
      </c>
      <c r="Q181" s="24"/>
      <c r="R181" s="23"/>
      <c r="S181" s="135">
        <v>45312</v>
      </c>
      <c r="T181" s="146">
        <v>45672</v>
      </c>
      <c r="U181" s="26"/>
      <c r="V181" s="27"/>
      <c r="W181" s="28"/>
      <c r="X181" s="29" t="s">
        <v>163</v>
      </c>
    </row>
    <row r="182" spans="1:24" ht="11.4">
      <c r="A182" s="19">
        <f t="shared" si="2"/>
        <v>180</v>
      </c>
      <c r="B182" s="20"/>
      <c r="C182" s="20"/>
      <c r="D182" s="30" t="s">
        <v>226</v>
      </c>
      <c r="E182" s="30" t="s">
        <v>201</v>
      </c>
      <c r="F182" s="71" t="s">
        <v>207</v>
      </c>
      <c r="G182" s="21"/>
      <c r="H182" s="22"/>
      <c r="I182" s="22"/>
      <c r="J182" s="23"/>
      <c r="K182" s="21"/>
      <c r="L182" s="22"/>
      <c r="M182" s="22"/>
      <c r="N182" s="24"/>
      <c r="O182" s="24"/>
      <c r="P182" s="24" t="s">
        <v>159</v>
      </c>
      <c r="Q182" s="24"/>
      <c r="R182" s="23"/>
      <c r="S182" s="135">
        <v>45312</v>
      </c>
      <c r="T182" s="146">
        <v>45672</v>
      </c>
      <c r="U182" s="26"/>
      <c r="V182" s="27"/>
      <c r="W182" s="28"/>
      <c r="X182" s="29" t="s">
        <v>163</v>
      </c>
    </row>
    <row r="183" spans="1:24" ht="11.4">
      <c r="A183" s="19">
        <f t="shared" si="2"/>
        <v>181</v>
      </c>
      <c r="B183" s="20"/>
      <c r="C183" s="20"/>
      <c r="D183" s="30" t="s">
        <v>227</v>
      </c>
      <c r="E183" s="30" t="s">
        <v>201</v>
      </c>
      <c r="F183" s="71" t="s">
        <v>228</v>
      </c>
      <c r="G183" s="21"/>
      <c r="H183" s="22"/>
      <c r="I183" s="22"/>
      <c r="J183" s="23"/>
      <c r="K183" s="21"/>
      <c r="L183" s="22"/>
      <c r="M183" s="22"/>
      <c r="N183" s="24"/>
      <c r="O183" s="24"/>
      <c r="P183" s="24" t="s">
        <v>159</v>
      </c>
      <c r="Q183" s="24"/>
      <c r="R183" s="23"/>
      <c r="S183" s="135">
        <v>45312</v>
      </c>
      <c r="T183" s="146">
        <v>45672</v>
      </c>
      <c r="U183" s="26"/>
      <c r="V183" s="27"/>
      <c r="W183" s="28"/>
      <c r="X183" s="29" t="s">
        <v>163</v>
      </c>
    </row>
    <row r="184" spans="1:24" ht="11.4">
      <c r="A184" s="19">
        <f t="shared" si="2"/>
        <v>182</v>
      </c>
      <c r="B184" s="20"/>
      <c r="C184" s="20"/>
      <c r="D184" s="30" t="s">
        <v>229</v>
      </c>
      <c r="E184" s="30" t="s">
        <v>201</v>
      </c>
      <c r="F184" s="72" t="s">
        <v>230</v>
      </c>
      <c r="G184" s="21"/>
      <c r="H184" s="22"/>
      <c r="I184" s="22"/>
      <c r="J184" s="23"/>
      <c r="K184" s="21"/>
      <c r="L184" s="22"/>
      <c r="M184" s="22"/>
      <c r="N184" s="24"/>
      <c r="O184" s="24"/>
      <c r="P184" s="24" t="s">
        <v>159</v>
      </c>
      <c r="Q184" s="24"/>
      <c r="R184" s="23"/>
      <c r="S184" s="135">
        <v>45312</v>
      </c>
      <c r="T184" s="146">
        <v>45672</v>
      </c>
      <c r="U184" s="26"/>
      <c r="V184" s="27"/>
      <c r="W184" s="28"/>
      <c r="X184" s="29" t="s">
        <v>163</v>
      </c>
    </row>
    <row r="185" spans="1:24" ht="11.4">
      <c r="A185" s="19">
        <f t="shared" si="2"/>
        <v>183</v>
      </c>
      <c r="B185" s="20"/>
      <c r="C185" s="20"/>
      <c r="D185" s="30" t="s">
        <v>217</v>
      </c>
      <c r="E185" s="30" t="s">
        <v>201</v>
      </c>
      <c r="F185" s="72" t="s">
        <v>230</v>
      </c>
      <c r="G185" s="21"/>
      <c r="H185" s="22"/>
      <c r="I185" s="22"/>
      <c r="J185" s="23"/>
      <c r="K185" s="21"/>
      <c r="L185" s="22"/>
      <c r="M185" s="22"/>
      <c r="N185" s="24"/>
      <c r="O185" s="24"/>
      <c r="P185" s="24" t="s">
        <v>159</v>
      </c>
      <c r="Q185" s="24"/>
      <c r="R185" s="23"/>
      <c r="S185" s="135">
        <v>45312</v>
      </c>
      <c r="T185" s="146">
        <v>45672</v>
      </c>
      <c r="U185" s="26"/>
      <c r="V185" s="27"/>
      <c r="W185" s="28"/>
      <c r="X185" s="29" t="s">
        <v>163</v>
      </c>
    </row>
    <row r="186" spans="1:24" ht="11.4">
      <c r="A186" s="19">
        <f t="shared" si="2"/>
        <v>184</v>
      </c>
      <c r="B186" s="20"/>
      <c r="C186" s="20"/>
      <c r="D186" s="30" t="s">
        <v>231</v>
      </c>
      <c r="E186" s="30" t="s">
        <v>201</v>
      </c>
      <c r="F186" s="72" t="s">
        <v>230</v>
      </c>
      <c r="G186" s="21"/>
      <c r="H186" s="22"/>
      <c r="I186" s="22"/>
      <c r="J186" s="23"/>
      <c r="K186" s="21"/>
      <c r="L186" s="22"/>
      <c r="M186" s="22"/>
      <c r="N186" s="24"/>
      <c r="O186" s="24"/>
      <c r="P186" s="24" t="s">
        <v>159</v>
      </c>
      <c r="Q186" s="24"/>
      <c r="R186" s="23"/>
      <c r="S186" s="135">
        <v>45312</v>
      </c>
      <c r="T186" s="146">
        <v>45672</v>
      </c>
      <c r="U186" s="26"/>
      <c r="V186" s="27"/>
      <c r="W186" s="28"/>
      <c r="X186" s="29" t="s">
        <v>163</v>
      </c>
    </row>
    <row r="187" spans="1:24" ht="22.8">
      <c r="A187" s="19">
        <f t="shared" si="2"/>
        <v>185</v>
      </c>
      <c r="B187" s="20"/>
      <c r="C187" s="20"/>
      <c r="D187" s="20" t="s">
        <v>232</v>
      </c>
      <c r="E187" s="30" t="s">
        <v>201</v>
      </c>
      <c r="F187" s="72" t="s">
        <v>233</v>
      </c>
      <c r="G187" s="21"/>
      <c r="H187" s="22"/>
      <c r="I187" s="22"/>
      <c r="J187" s="23"/>
      <c r="K187" s="21"/>
      <c r="L187" s="22"/>
      <c r="M187" s="22"/>
      <c r="N187" s="24"/>
      <c r="O187" s="24"/>
      <c r="P187" s="24" t="s">
        <v>159</v>
      </c>
      <c r="Q187" s="24"/>
      <c r="R187" s="23"/>
      <c r="S187" s="135">
        <v>45312</v>
      </c>
      <c r="T187" s="146"/>
      <c r="U187" s="26">
        <v>45679</v>
      </c>
      <c r="V187" s="27">
        <v>45681</v>
      </c>
      <c r="W187" s="28"/>
      <c r="X187" s="29" t="s">
        <v>163</v>
      </c>
    </row>
    <row r="188" spans="1:24" ht="11.4">
      <c r="A188" s="19">
        <f t="shared" si="2"/>
        <v>186</v>
      </c>
      <c r="B188" s="31"/>
      <c r="C188" s="31"/>
      <c r="D188" s="30" t="s">
        <v>234</v>
      </c>
      <c r="E188" s="30" t="s">
        <v>201</v>
      </c>
      <c r="F188" s="72" t="s">
        <v>207</v>
      </c>
      <c r="G188" s="21"/>
      <c r="H188" s="22"/>
      <c r="I188" s="22"/>
      <c r="J188" s="23"/>
      <c r="K188" s="21"/>
      <c r="L188" s="22"/>
      <c r="M188" s="22"/>
      <c r="N188" s="24"/>
      <c r="O188" s="24"/>
      <c r="P188" s="24" t="s">
        <v>159</v>
      </c>
      <c r="Q188" s="24"/>
      <c r="R188" s="23"/>
      <c r="S188" s="135">
        <v>45312</v>
      </c>
      <c r="T188" s="146"/>
      <c r="U188" s="26">
        <v>45679</v>
      </c>
      <c r="V188" s="27">
        <v>45681</v>
      </c>
      <c r="W188" s="28"/>
      <c r="X188" s="29" t="s">
        <v>163</v>
      </c>
    </row>
    <row r="189" spans="1:24" ht="11.4">
      <c r="A189" s="19">
        <f t="shared" si="2"/>
        <v>187</v>
      </c>
      <c r="B189" s="31"/>
      <c r="C189" s="31"/>
      <c r="D189" s="30" t="s">
        <v>235</v>
      </c>
      <c r="E189" s="30" t="s">
        <v>201</v>
      </c>
      <c r="F189" s="72" t="s">
        <v>228</v>
      </c>
      <c r="G189" s="21"/>
      <c r="H189" s="22"/>
      <c r="I189" s="22"/>
      <c r="J189" s="23"/>
      <c r="K189" s="21"/>
      <c r="L189" s="22"/>
      <c r="M189" s="22"/>
      <c r="N189" s="24"/>
      <c r="O189" s="24"/>
      <c r="P189" s="24" t="s">
        <v>159</v>
      </c>
      <c r="Q189" s="24"/>
      <c r="R189" s="23"/>
      <c r="S189" s="135">
        <v>45312</v>
      </c>
      <c r="T189" s="146">
        <v>45672</v>
      </c>
      <c r="U189" s="26"/>
      <c r="V189" s="27"/>
      <c r="W189" s="28"/>
      <c r="X189" s="29" t="s">
        <v>163</v>
      </c>
    </row>
    <row r="190" spans="1:24" ht="11.4">
      <c r="A190" s="19">
        <f t="shared" si="2"/>
        <v>188</v>
      </c>
      <c r="B190" s="31"/>
      <c r="C190" s="31"/>
      <c r="D190" s="30" t="s">
        <v>156</v>
      </c>
      <c r="E190" s="30" t="s">
        <v>201</v>
      </c>
      <c r="F190" s="72" t="s">
        <v>236</v>
      </c>
      <c r="G190" s="21"/>
      <c r="H190" s="22"/>
      <c r="I190" s="22"/>
      <c r="J190" s="23"/>
      <c r="K190" s="21"/>
      <c r="L190" s="22"/>
      <c r="M190" s="22"/>
      <c r="N190" s="24"/>
      <c r="O190" s="24"/>
      <c r="P190" s="24" t="s">
        <v>159</v>
      </c>
      <c r="Q190" s="24"/>
      <c r="R190" s="23"/>
      <c r="S190" s="135">
        <v>45312</v>
      </c>
      <c r="T190" s="146">
        <v>45672</v>
      </c>
      <c r="U190" s="26"/>
      <c r="V190" s="27"/>
      <c r="W190" s="28"/>
      <c r="X190" s="29" t="s">
        <v>163</v>
      </c>
    </row>
    <row r="191" spans="1:24" ht="11.4">
      <c r="A191" s="19">
        <f t="shared" si="2"/>
        <v>189</v>
      </c>
      <c r="B191" s="31"/>
      <c r="C191" s="20"/>
      <c r="D191" s="20" t="s">
        <v>237</v>
      </c>
      <c r="E191" s="30" t="s">
        <v>201</v>
      </c>
      <c r="F191" s="72" t="s">
        <v>238</v>
      </c>
      <c r="G191" s="21"/>
      <c r="H191" s="22"/>
      <c r="I191" s="22"/>
      <c r="J191" s="23"/>
      <c r="K191" s="21"/>
      <c r="L191" s="22"/>
      <c r="M191" s="22"/>
      <c r="N191" s="24"/>
      <c r="O191" s="24"/>
      <c r="P191" s="24" t="s">
        <v>159</v>
      </c>
      <c r="Q191" s="24"/>
      <c r="R191" s="23"/>
      <c r="S191" s="135">
        <v>45312</v>
      </c>
      <c r="T191" s="146">
        <v>45672</v>
      </c>
      <c r="U191" s="26"/>
      <c r="V191" s="27"/>
      <c r="W191" s="28"/>
      <c r="X191" s="29" t="s">
        <v>163</v>
      </c>
    </row>
    <row r="192" spans="1:24" ht="11.4">
      <c r="A192" s="19">
        <f t="shared" si="2"/>
        <v>190</v>
      </c>
      <c r="B192" s="31"/>
      <c r="C192" s="31"/>
      <c r="D192" s="30" t="s">
        <v>229</v>
      </c>
      <c r="E192" s="30" t="s">
        <v>201</v>
      </c>
      <c r="F192" s="72" t="s">
        <v>218</v>
      </c>
      <c r="G192" s="21"/>
      <c r="H192" s="22"/>
      <c r="I192" s="22"/>
      <c r="J192" s="23"/>
      <c r="K192" s="21"/>
      <c r="L192" s="22"/>
      <c r="M192" s="22"/>
      <c r="N192" s="24"/>
      <c r="O192" s="24"/>
      <c r="P192" s="24" t="s">
        <v>159</v>
      </c>
      <c r="Q192" s="24"/>
      <c r="R192" s="23"/>
      <c r="S192" s="135">
        <v>45312</v>
      </c>
      <c r="T192" s="146">
        <v>45672</v>
      </c>
      <c r="U192" s="26"/>
      <c r="V192" s="27"/>
      <c r="W192" s="28"/>
      <c r="X192" s="29" t="s">
        <v>163</v>
      </c>
    </row>
    <row r="193" spans="1:24" ht="11.4">
      <c r="A193" s="19">
        <f t="shared" si="2"/>
        <v>191</v>
      </c>
      <c r="B193" s="31"/>
      <c r="C193" s="31"/>
      <c r="D193" s="30" t="s">
        <v>239</v>
      </c>
      <c r="E193" s="30" t="s">
        <v>201</v>
      </c>
      <c r="F193" s="72" t="s">
        <v>240</v>
      </c>
      <c r="G193" s="21"/>
      <c r="H193" s="22"/>
      <c r="I193" s="22"/>
      <c r="J193" s="23"/>
      <c r="K193" s="21"/>
      <c r="L193" s="22"/>
      <c r="M193" s="22"/>
      <c r="N193" s="24"/>
      <c r="O193" s="24"/>
      <c r="P193" s="24" t="s">
        <v>159</v>
      </c>
      <c r="Q193" s="24"/>
      <c r="R193" s="23"/>
      <c r="S193" s="135">
        <v>45312</v>
      </c>
      <c r="T193" s="146">
        <v>45672</v>
      </c>
      <c r="U193" s="26"/>
      <c r="V193" s="27"/>
      <c r="W193" s="28"/>
      <c r="X193" s="29" t="s">
        <v>163</v>
      </c>
    </row>
    <row r="194" spans="1:24" ht="11.4">
      <c r="A194" s="19">
        <f t="shared" si="2"/>
        <v>192</v>
      </c>
      <c r="B194" s="31"/>
      <c r="C194" s="31"/>
      <c r="D194" s="30" t="s">
        <v>241</v>
      </c>
      <c r="E194" s="30" t="s">
        <v>201</v>
      </c>
      <c r="F194" s="72" t="s">
        <v>240</v>
      </c>
      <c r="G194" s="21"/>
      <c r="H194" s="22"/>
      <c r="I194" s="22"/>
      <c r="J194" s="23"/>
      <c r="K194" s="21"/>
      <c r="L194" s="22"/>
      <c r="M194" s="22"/>
      <c r="N194" s="24"/>
      <c r="O194" s="24"/>
      <c r="P194" s="24" t="s">
        <v>159</v>
      </c>
      <c r="Q194" s="24"/>
      <c r="R194" s="23"/>
      <c r="S194" s="135">
        <v>45312</v>
      </c>
      <c r="T194" s="146">
        <v>45672</v>
      </c>
      <c r="U194" s="26"/>
      <c r="V194" s="27"/>
      <c r="W194" s="28"/>
      <c r="X194" s="29" t="s">
        <v>163</v>
      </c>
    </row>
    <row r="195" spans="1:24" ht="11.4">
      <c r="A195" s="19">
        <f t="shared" si="2"/>
        <v>193</v>
      </c>
      <c r="B195" s="31"/>
      <c r="C195" s="20"/>
      <c r="D195" s="20" t="s">
        <v>242</v>
      </c>
      <c r="E195" s="30" t="s">
        <v>201</v>
      </c>
      <c r="F195" s="72" t="s">
        <v>175</v>
      </c>
      <c r="G195" s="21"/>
      <c r="H195" s="22"/>
      <c r="I195" s="22"/>
      <c r="J195" s="23"/>
      <c r="K195" s="21"/>
      <c r="L195" s="22"/>
      <c r="M195" s="22"/>
      <c r="N195" s="24"/>
      <c r="O195" s="24"/>
      <c r="P195" s="24" t="s">
        <v>159</v>
      </c>
      <c r="Q195" s="24"/>
      <c r="R195" s="23"/>
      <c r="S195" s="135">
        <v>45312</v>
      </c>
      <c r="T195" s="146">
        <v>45672</v>
      </c>
      <c r="U195" s="26"/>
      <c r="V195" s="27"/>
      <c r="W195" s="28"/>
      <c r="X195" s="29" t="s">
        <v>163</v>
      </c>
    </row>
    <row r="196" spans="1:24" ht="11.4">
      <c r="A196" s="19">
        <f t="shared" si="2"/>
        <v>194</v>
      </c>
      <c r="B196" s="31"/>
      <c r="C196" s="20"/>
      <c r="D196" s="20" t="s">
        <v>231</v>
      </c>
      <c r="E196" s="30" t="s">
        <v>201</v>
      </c>
      <c r="F196" s="72" t="s">
        <v>218</v>
      </c>
      <c r="G196" s="21"/>
      <c r="H196" s="22"/>
      <c r="I196" s="22"/>
      <c r="J196" s="23"/>
      <c r="K196" s="21"/>
      <c r="L196" s="22"/>
      <c r="M196" s="22"/>
      <c r="N196" s="24"/>
      <c r="O196" s="24"/>
      <c r="P196" s="24" t="s">
        <v>159</v>
      </c>
      <c r="Q196" s="24"/>
      <c r="R196" s="23"/>
      <c r="S196" s="135">
        <v>45312</v>
      </c>
      <c r="T196" s="146">
        <v>45672</v>
      </c>
      <c r="U196" s="26"/>
      <c r="V196" s="27"/>
      <c r="W196" s="28"/>
      <c r="X196" s="29" t="s">
        <v>163</v>
      </c>
    </row>
    <row r="197" spans="1:24" ht="11.4">
      <c r="A197" s="19">
        <f t="shared" si="2"/>
        <v>195</v>
      </c>
      <c r="B197" s="20"/>
      <c r="C197" s="20"/>
      <c r="D197" s="30" t="s">
        <v>243</v>
      </c>
      <c r="E197" s="30" t="s">
        <v>201</v>
      </c>
      <c r="F197" s="72" t="s">
        <v>244</v>
      </c>
      <c r="G197" s="21"/>
      <c r="H197" s="22"/>
      <c r="I197" s="22"/>
      <c r="J197" s="23"/>
      <c r="K197" s="21"/>
      <c r="L197" s="22"/>
      <c r="M197" s="22"/>
      <c r="N197" s="24"/>
      <c r="O197" s="24"/>
      <c r="P197" s="24" t="s">
        <v>159</v>
      </c>
      <c r="Q197" s="24"/>
      <c r="R197" s="23"/>
      <c r="S197" s="135">
        <v>45312</v>
      </c>
      <c r="T197" s="146">
        <v>45672</v>
      </c>
      <c r="U197" s="26"/>
      <c r="V197" s="27"/>
      <c r="W197" s="28"/>
      <c r="X197" s="29" t="s">
        <v>163</v>
      </c>
    </row>
    <row r="198" spans="1:24" ht="11.4">
      <c r="A198" s="19">
        <f t="shared" si="2"/>
        <v>196</v>
      </c>
      <c r="B198" s="20"/>
      <c r="C198" s="31"/>
      <c r="D198" s="30" t="s">
        <v>245</v>
      </c>
      <c r="E198" s="30" t="s">
        <v>201</v>
      </c>
      <c r="F198" s="72" t="s">
        <v>246</v>
      </c>
      <c r="G198" s="21"/>
      <c r="H198" s="22"/>
      <c r="I198" s="22"/>
      <c r="J198" s="23"/>
      <c r="K198" s="21"/>
      <c r="L198" s="22"/>
      <c r="M198" s="22"/>
      <c r="N198" s="24"/>
      <c r="O198" s="24"/>
      <c r="P198" s="24" t="s">
        <v>159</v>
      </c>
      <c r="Q198" s="24"/>
      <c r="R198" s="23"/>
      <c r="S198" s="135">
        <v>45312</v>
      </c>
      <c r="T198" s="146">
        <v>45672</v>
      </c>
      <c r="U198" s="26"/>
      <c r="V198" s="27"/>
      <c r="W198" s="28"/>
      <c r="X198" s="29" t="s">
        <v>163</v>
      </c>
    </row>
    <row r="199" spans="1:24" ht="11.4">
      <c r="A199" s="19">
        <f t="shared" si="2"/>
        <v>197</v>
      </c>
      <c r="B199" s="31"/>
      <c r="C199" s="20"/>
      <c r="D199" s="20" t="s">
        <v>247</v>
      </c>
      <c r="E199" s="30" t="s">
        <v>201</v>
      </c>
      <c r="F199" s="72" t="s">
        <v>248</v>
      </c>
      <c r="G199" s="21"/>
      <c r="H199" s="22"/>
      <c r="I199" s="22"/>
      <c r="J199" s="23"/>
      <c r="K199" s="21"/>
      <c r="L199" s="22"/>
      <c r="M199" s="22"/>
      <c r="N199" s="24"/>
      <c r="O199" s="24"/>
      <c r="P199" s="24" t="s">
        <v>159</v>
      </c>
      <c r="Q199" s="24"/>
      <c r="R199" s="23"/>
      <c r="S199" s="135">
        <v>45312</v>
      </c>
      <c r="T199" s="146"/>
      <c r="U199" s="26">
        <v>45679</v>
      </c>
      <c r="V199" s="27">
        <v>45681</v>
      </c>
      <c r="W199" s="28"/>
      <c r="X199" s="29" t="s">
        <v>163</v>
      </c>
    </row>
    <row r="200" spans="1:24" ht="11.4">
      <c r="A200" s="19">
        <f t="shared" si="2"/>
        <v>198</v>
      </c>
      <c r="B200" s="20"/>
      <c r="C200" s="20"/>
      <c r="D200" s="30" t="s">
        <v>249</v>
      </c>
      <c r="E200" s="30" t="s">
        <v>201</v>
      </c>
      <c r="F200" s="72" t="s">
        <v>248</v>
      </c>
      <c r="G200" s="21"/>
      <c r="H200" s="22"/>
      <c r="I200" s="22"/>
      <c r="J200" s="23"/>
      <c r="K200" s="21"/>
      <c r="L200" s="22"/>
      <c r="M200" s="22"/>
      <c r="N200" s="24"/>
      <c r="O200" s="24"/>
      <c r="P200" s="24" t="s">
        <v>159</v>
      </c>
      <c r="Q200" s="24"/>
      <c r="R200" s="23"/>
      <c r="S200" s="135">
        <v>45312</v>
      </c>
      <c r="T200" s="146"/>
      <c r="U200" s="26">
        <v>45679</v>
      </c>
      <c r="V200" s="27">
        <v>45681</v>
      </c>
      <c r="W200" s="28"/>
      <c r="X200" s="29" t="s">
        <v>163</v>
      </c>
    </row>
    <row r="201" spans="1:24" ht="11.4">
      <c r="A201" s="19">
        <f t="shared" si="2"/>
        <v>199</v>
      </c>
      <c r="B201" s="20"/>
      <c r="C201" s="20"/>
      <c r="D201" s="30" t="s">
        <v>250</v>
      </c>
      <c r="E201" s="30" t="s">
        <v>201</v>
      </c>
      <c r="F201" s="72" t="s">
        <v>228</v>
      </c>
      <c r="G201" s="21"/>
      <c r="H201" s="22"/>
      <c r="I201" s="22"/>
      <c r="J201" s="23"/>
      <c r="K201" s="21"/>
      <c r="L201" s="22"/>
      <c r="M201" s="22"/>
      <c r="N201" s="24"/>
      <c r="O201" s="24"/>
      <c r="P201" s="24" t="s">
        <v>159</v>
      </c>
      <c r="Q201" s="24"/>
      <c r="R201" s="23"/>
      <c r="S201" s="135">
        <v>45312</v>
      </c>
      <c r="T201" s="146">
        <v>45672</v>
      </c>
      <c r="U201" s="26"/>
      <c r="V201" s="27"/>
      <c r="W201" s="28"/>
      <c r="X201" s="29" t="s">
        <v>163</v>
      </c>
    </row>
    <row r="202" spans="1:24" ht="11.4">
      <c r="A202" s="19">
        <f t="shared" si="2"/>
        <v>200</v>
      </c>
      <c r="B202" s="31"/>
      <c r="C202" s="31"/>
      <c r="D202" s="30" t="s">
        <v>251</v>
      </c>
      <c r="E202" s="30" t="s">
        <v>201</v>
      </c>
      <c r="F202" s="72" t="s">
        <v>228</v>
      </c>
      <c r="G202" s="21"/>
      <c r="H202" s="22"/>
      <c r="I202" s="22"/>
      <c r="J202" s="23"/>
      <c r="K202" s="21"/>
      <c r="L202" s="22"/>
      <c r="M202" s="22"/>
      <c r="N202" s="24"/>
      <c r="O202" s="24"/>
      <c r="P202" s="24" t="s">
        <v>159</v>
      </c>
      <c r="Q202" s="24"/>
      <c r="R202" s="23"/>
      <c r="S202" s="135">
        <v>45312</v>
      </c>
      <c r="T202" s="146">
        <v>45672</v>
      </c>
      <c r="U202" s="26"/>
      <c r="V202" s="27"/>
      <c r="W202" s="28"/>
      <c r="X202" s="29" t="s">
        <v>163</v>
      </c>
    </row>
    <row r="203" spans="1:24" ht="11.4">
      <c r="A203" s="19">
        <f t="shared" si="2"/>
        <v>201</v>
      </c>
      <c r="B203" s="31"/>
      <c r="C203" s="20"/>
      <c r="D203" s="20" t="s">
        <v>156</v>
      </c>
      <c r="E203" s="30" t="s">
        <v>201</v>
      </c>
      <c r="F203" s="72" t="s">
        <v>252</v>
      </c>
      <c r="G203" s="21"/>
      <c r="H203" s="22"/>
      <c r="I203" s="22"/>
      <c r="J203" s="23"/>
      <c r="K203" s="21"/>
      <c r="L203" s="22"/>
      <c r="M203" s="22"/>
      <c r="N203" s="24"/>
      <c r="O203" s="24"/>
      <c r="P203" s="24" t="s">
        <v>159</v>
      </c>
      <c r="Q203" s="24"/>
      <c r="R203" s="23"/>
      <c r="S203" s="135">
        <v>45312</v>
      </c>
      <c r="T203" s="146">
        <v>45672</v>
      </c>
      <c r="U203" s="26"/>
      <c r="V203" s="27"/>
      <c r="W203" s="28"/>
      <c r="X203" s="29" t="s">
        <v>163</v>
      </c>
    </row>
    <row r="204" spans="1:24" ht="11.4">
      <c r="A204" s="19">
        <f t="shared" si="2"/>
        <v>202</v>
      </c>
      <c r="B204" s="31"/>
      <c r="C204" s="31"/>
      <c r="D204" s="30" t="s">
        <v>237</v>
      </c>
      <c r="E204" s="30" t="s">
        <v>201</v>
      </c>
      <c r="F204" s="72" t="s">
        <v>253</v>
      </c>
      <c r="G204" s="21"/>
      <c r="H204" s="22"/>
      <c r="I204" s="22"/>
      <c r="J204" s="23"/>
      <c r="K204" s="21"/>
      <c r="L204" s="22"/>
      <c r="M204" s="22"/>
      <c r="N204" s="24"/>
      <c r="O204" s="24"/>
      <c r="P204" s="24" t="s">
        <v>159</v>
      </c>
      <c r="Q204" s="24"/>
      <c r="R204" s="23"/>
      <c r="S204" s="135">
        <v>45312</v>
      </c>
      <c r="T204" s="146">
        <v>45672</v>
      </c>
      <c r="U204" s="26"/>
      <c r="V204" s="27"/>
      <c r="W204" s="28"/>
      <c r="X204" s="29" t="s">
        <v>163</v>
      </c>
    </row>
    <row r="205" spans="1:24" ht="102.6">
      <c r="A205" s="19">
        <f t="shared" si="2"/>
        <v>203</v>
      </c>
      <c r="B205" s="31"/>
      <c r="C205" s="31"/>
      <c r="D205" s="30" t="s">
        <v>254</v>
      </c>
      <c r="E205" s="30" t="s">
        <v>201</v>
      </c>
      <c r="F205" s="72" t="s">
        <v>255</v>
      </c>
      <c r="G205" s="21"/>
      <c r="H205" s="22"/>
      <c r="I205" s="22"/>
      <c r="J205" s="23"/>
      <c r="K205" s="21"/>
      <c r="L205" s="22"/>
      <c r="M205" s="22"/>
      <c r="N205" s="24"/>
      <c r="O205" s="24"/>
      <c r="P205" s="24" t="s">
        <v>159</v>
      </c>
      <c r="Q205" s="24"/>
      <c r="R205" s="23"/>
      <c r="S205" s="135">
        <v>45312</v>
      </c>
      <c r="T205" s="146"/>
      <c r="U205" s="26">
        <v>45679</v>
      </c>
      <c r="V205" s="27">
        <v>45681</v>
      </c>
      <c r="W205" s="28"/>
      <c r="X205" s="29" t="s">
        <v>163</v>
      </c>
    </row>
    <row r="206" spans="1:24" ht="45.6">
      <c r="A206" s="19">
        <f t="shared" si="2"/>
        <v>204</v>
      </c>
      <c r="B206" s="31"/>
      <c r="C206" s="31"/>
      <c r="D206" s="30" t="s">
        <v>256</v>
      </c>
      <c r="E206" s="30" t="s">
        <v>201</v>
      </c>
      <c r="F206" s="72" t="s">
        <v>257</v>
      </c>
      <c r="G206" s="21"/>
      <c r="H206" s="22"/>
      <c r="I206" s="22"/>
      <c r="J206" s="23"/>
      <c r="K206" s="21"/>
      <c r="L206" s="22"/>
      <c r="M206" s="22"/>
      <c r="N206" s="24"/>
      <c r="O206" s="24"/>
      <c r="P206" s="24" t="s">
        <v>159</v>
      </c>
      <c r="Q206" s="24"/>
      <c r="R206" s="23"/>
      <c r="S206" s="135">
        <v>45312</v>
      </c>
      <c r="T206" s="146"/>
      <c r="U206" s="26">
        <v>45679</v>
      </c>
      <c r="V206" s="27">
        <v>45681</v>
      </c>
      <c r="W206" s="28"/>
      <c r="X206" s="29" t="s">
        <v>163</v>
      </c>
    </row>
    <row r="207" spans="1:24" ht="34.200000000000003">
      <c r="A207" s="19">
        <f t="shared" si="2"/>
        <v>205</v>
      </c>
      <c r="B207" s="31"/>
      <c r="C207" s="31"/>
      <c r="D207" s="30" t="s">
        <v>258</v>
      </c>
      <c r="E207" s="30" t="s">
        <v>201</v>
      </c>
      <c r="F207" s="72" t="s">
        <v>259</v>
      </c>
      <c r="G207" s="21"/>
      <c r="H207" s="22"/>
      <c r="I207" s="22"/>
      <c r="J207" s="23"/>
      <c r="K207" s="21"/>
      <c r="L207" s="22"/>
      <c r="M207" s="22"/>
      <c r="N207" s="24"/>
      <c r="O207" s="24"/>
      <c r="P207" s="24" t="s">
        <v>159</v>
      </c>
      <c r="Q207" s="24"/>
      <c r="R207" s="23"/>
      <c r="S207" s="135">
        <v>45312</v>
      </c>
      <c r="T207" s="146"/>
      <c r="U207" s="26">
        <v>45679</v>
      </c>
      <c r="V207" s="27">
        <v>45681</v>
      </c>
      <c r="W207" s="28"/>
      <c r="X207" s="29" t="s">
        <v>163</v>
      </c>
    </row>
    <row r="208" spans="1:24" ht="11.4">
      <c r="A208" s="19">
        <f t="shared" si="2"/>
        <v>206</v>
      </c>
      <c r="B208" s="31"/>
      <c r="C208" s="20"/>
      <c r="D208" s="20" t="s">
        <v>260</v>
      </c>
      <c r="E208" s="30" t="s">
        <v>201</v>
      </c>
      <c r="F208" s="72" t="s">
        <v>228</v>
      </c>
      <c r="G208" s="21"/>
      <c r="H208" s="22"/>
      <c r="I208" s="22"/>
      <c r="J208" s="23"/>
      <c r="K208" s="21"/>
      <c r="L208" s="22"/>
      <c r="M208" s="22"/>
      <c r="N208" s="24"/>
      <c r="O208" s="24"/>
      <c r="P208" s="24" t="s">
        <v>159</v>
      </c>
      <c r="Q208" s="24"/>
      <c r="R208" s="23"/>
      <c r="S208" s="135">
        <v>45312</v>
      </c>
      <c r="T208" s="146"/>
      <c r="U208" s="26">
        <v>45679</v>
      </c>
      <c r="V208" s="27">
        <v>45681</v>
      </c>
      <c r="W208" s="28"/>
      <c r="X208" s="29" t="s">
        <v>163</v>
      </c>
    </row>
    <row r="209" spans="1:24" ht="11.4">
      <c r="A209" s="19">
        <f t="shared" si="2"/>
        <v>207</v>
      </c>
      <c r="B209" s="31"/>
      <c r="C209" s="20"/>
      <c r="D209" s="20" t="s">
        <v>261</v>
      </c>
      <c r="E209" s="30" t="s">
        <v>201</v>
      </c>
      <c r="F209" s="72" t="s">
        <v>228</v>
      </c>
      <c r="G209" s="21"/>
      <c r="H209" s="22"/>
      <c r="I209" s="22"/>
      <c r="J209" s="23"/>
      <c r="K209" s="21"/>
      <c r="L209" s="22"/>
      <c r="M209" s="22"/>
      <c r="N209" s="24"/>
      <c r="O209" s="24"/>
      <c r="P209" s="24" t="s">
        <v>159</v>
      </c>
      <c r="Q209" s="24"/>
      <c r="R209" s="23"/>
      <c r="S209" s="135">
        <v>45312</v>
      </c>
      <c r="T209" s="146">
        <v>45672</v>
      </c>
      <c r="U209" s="26"/>
      <c r="V209" s="27"/>
      <c r="W209" s="28"/>
      <c r="X209" s="29" t="s">
        <v>163</v>
      </c>
    </row>
    <row r="210" spans="1:24" ht="11.4">
      <c r="A210" s="19">
        <f t="shared" si="2"/>
        <v>208</v>
      </c>
      <c r="B210" s="20"/>
      <c r="C210" s="20"/>
      <c r="D210" s="30" t="s">
        <v>262</v>
      </c>
      <c r="E210" s="30" t="s">
        <v>201</v>
      </c>
      <c r="F210" s="72" t="s">
        <v>207</v>
      </c>
      <c r="G210" s="21"/>
      <c r="H210" s="22"/>
      <c r="I210" s="22"/>
      <c r="J210" s="23"/>
      <c r="K210" s="21"/>
      <c r="L210" s="22"/>
      <c r="M210" s="22"/>
      <c r="N210" s="24"/>
      <c r="O210" s="24"/>
      <c r="P210" s="24" t="s">
        <v>159</v>
      </c>
      <c r="Q210" s="24"/>
      <c r="R210" s="23"/>
      <c r="S210" s="135">
        <v>45312</v>
      </c>
      <c r="T210" s="146">
        <v>45672</v>
      </c>
      <c r="U210" s="26"/>
      <c r="V210" s="27"/>
      <c r="W210" s="28"/>
      <c r="X210" s="29" t="s">
        <v>163</v>
      </c>
    </row>
    <row r="211" spans="1:24" ht="11.4">
      <c r="A211" s="19">
        <f t="shared" si="2"/>
        <v>209</v>
      </c>
      <c r="B211" s="20"/>
      <c r="C211" s="20"/>
      <c r="D211" s="30" t="s">
        <v>263</v>
      </c>
      <c r="E211" s="30" t="s">
        <v>201</v>
      </c>
      <c r="F211" s="72" t="s">
        <v>228</v>
      </c>
      <c r="G211" s="21"/>
      <c r="H211" s="22"/>
      <c r="I211" s="22"/>
      <c r="J211" s="23"/>
      <c r="K211" s="21"/>
      <c r="L211" s="22"/>
      <c r="M211" s="22"/>
      <c r="N211" s="24"/>
      <c r="O211" s="24"/>
      <c r="P211" s="24" t="s">
        <v>159</v>
      </c>
      <c r="Q211" s="24"/>
      <c r="R211" s="23"/>
      <c r="S211" s="135">
        <v>45312</v>
      </c>
      <c r="T211" s="146">
        <v>45672</v>
      </c>
      <c r="U211" s="26"/>
      <c r="V211" s="27"/>
      <c r="W211" s="28"/>
      <c r="X211" s="29" t="s">
        <v>163</v>
      </c>
    </row>
    <row r="212" spans="1:24" ht="11.4">
      <c r="A212" s="19">
        <f t="shared" si="2"/>
        <v>210</v>
      </c>
      <c r="B212" s="20"/>
      <c r="C212" s="31"/>
      <c r="D212" s="30" t="s">
        <v>264</v>
      </c>
      <c r="E212" s="30" t="s">
        <v>201</v>
      </c>
      <c r="F212" s="72" t="s">
        <v>228</v>
      </c>
      <c r="G212" s="21"/>
      <c r="H212" s="22"/>
      <c r="I212" s="22"/>
      <c r="J212" s="23"/>
      <c r="K212" s="21"/>
      <c r="L212" s="22"/>
      <c r="M212" s="22"/>
      <c r="N212" s="24"/>
      <c r="O212" s="24"/>
      <c r="P212" s="24" t="s">
        <v>159</v>
      </c>
      <c r="Q212" s="24"/>
      <c r="R212" s="23"/>
      <c r="S212" s="135">
        <v>45312</v>
      </c>
      <c r="T212" s="146">
        <v>45672</v>
      </c>
      <c r="U212" s="26"/>
      <c r="V212" s="27"/>
      <c r="W212" s="28"/>
      <c r="X212" s="29" t="s">
        <v>163</v>
      </c>
    </row>
    <row r="213" spans="1:24" ht="11.4">
      <c r="A213" s="19">
        <f t="shared" si="2"/>
        <v>211</v>
      </c>
      <c r="B213" s="31"/>
      <c r="C213" s="20"/>
      <c r="D213" s="20" t="s">
        <v>265</v>
      </c>
      <c r="E213" s="30" t="s">
        <v>201</v>
      </c>
      <c r="F213" s="72" t="s">
        <v>266</v>
      </c>
      <c r="G213" s="21"/>
      <c r="H213" s="22"/>
      <c r="I213" s="22"/>
      <c r="J213" s="23"/>
      <c r="K213" s="21"/>
      <c r="L213" s="22"/>
      <c r="M213" s="22"/>
      <c r="N213" s="24"/>
      <c r="O213" s="24"/>
      <c r="P213" s="24" t="s">
        <v>159</v>
      </c>
      <c r="Q213" s="24"/>
      <c r="R213" s="23"/>
      <c r="S213" s="135">
        <v>45312</v>
      </c>
      <c r="T213" s="146">
        <v>45672</v>
      </c>
      <c r="U213" s="26"/>
      <c r="V213" s="27"/>
      <c r="W213" s="28"/>
      <c r="X213" s="29" t="s">
        <v>163</v>
      </c>
    </row>
    <row r="214" spans="1:24" ht="11.4">
      <c r="A214" s="19">
        <f t="shared" si="2"/>
        <v>212</v>
      </c>
      <c r="B214" s="20"/>
      <c r="C214" s="20"/>
      <c r="D214" s="30" t="s">
        <v>267</v>
      </c>
      <c r="E214" s="30" t="s">
        <v>201</v>
      </c>
      <c r="F214" s="72" t="s">
        <v>268</v>
      </c>
      <c r="G214" s="21"/>
      <c r="H214" s="22"/>
      <c r="I214" s="22"/>
      <c r="J214" s="23"/>
      <c r="K214" s="21"/>
      <c r="L214" s="22"/>
      <c r="M214" s="22"/>
      <c r="N214" s="24"/>
      <c r="O214" s="24"/>
      <c r="P214" s="24" t="s">
        <v>159</v>
      </c>
      <c r="Q214" s="24"/>
      <c r="R214" s="23"/>
      <c r="S214" s="135">
        <v>45312</v>
      </c>
      <c r="U214" s="26">
        <v>45679</v>
      </c>
      <c r="V214" s="27">
        <v>45681</v>
      </c>
      <c r="W214" s="28"/>
      <c r="X214" s="29" t="s">
        <v>163</v>
      </c>
    </row>
    <row r="215" spans="1:24" ht="11.4">
      <c r="A215" s="19">
        <f t="shared" si="2"/>
        <v>213</v>
      </c>
      <c r="B215" s="20"/>
      <c r="C215" s="31"/>
      <c r="D215" s="30" t="s">
        <v>269</v>
      </c>
      <c r="E215" s="30" t="s">
        <v>201</v>
      </c>
      <c r="F215" s="72" t="s">
        <v>270</v>
      </c>
      <c r="G215" s="21"/>
      <c r="H215" s="22"/>
      <c r="I215" s="22"/>
      <c r="J215" s="23"/>
      <c r="K215" s="21"/>
      <c r="L215" s="22"/>
      <c r="M215" s="22"/>
      <c r="N215" s="24"/>
      <c r="O215" s="24"/>
      <c r="P215" s="24" t="s">
        <v>159</v>
      </c>
      <c r="Q215" s="24"/>
      <c r="R215" s="23"/>
      <c r="S215" s="135">
        <v>45312</v>
      </c>
      <c r="T215" s="146">
        <v>45672</v>
      </c>
      <c r="V215" s="27"/>
      <c r="W215" s="28"/>
      <c r="X215" s="29" t="s">
        <v>163</v>
      </c>
    </row>
    <row r="216" spans="1:24" ht="11.4">
      <c r="A216" s="19">
        <f t="shared" si="2"/>
        <v>214</v>
      </c>
      <c r="B216" s="31"/>
      <c r="C216" s="31"/>
      <c r="D216" s="30" t="s">
        <v>271</v>
      </c>
      <c r="E216" s="30" t="s">
        <v>201</v>
      </c>
      <c r="F216" s="72" t="s">
        <v>272</v>
      </c>
      <c r="G216" s="21"/>
      <c r="H216" s="22"/>
      <c r="I216" s="22"/>
      <c r="J216" s="23"/>
      <c r="K216" s="21"/>
      <c r="L216" s="22"/>
      <c r="M216" s="22"/>
      <c r="N216" s="24"/>
      <c r="O216" s="24"/>
      <c r="P216" s="24" t="s">
        <v>159</v>
      </c>
      <c r="Q216" s="24"/>
      <c r="R216" s="23"/>
      <c r="S216" s="135">
        <v>45312</v>
      </c>
      <c r="T216" s="146">
        <v>45672</v>
      </c>
      <c r="U216" s="26"/>
      <c r="V216" s="27"/>
      <c r="W216" s="28"/>
      <c r="X216" s="29" t="s">
        <v>163</v>
      </c>
    </row>
    <row r="217" spans="1:24" ht="11.4">
      <c r="A217" s="19">
        <f t="shared" si="2"/>
        <v>215</v>
      </c>
      <c r="B217" s="31"/>
      <c r="C217" s="31"/>
      <c r="D217" s="30" t="s">
        <v>273</v>
      </c>
      <c r="E217" s="30" t="s">
        <v>201</v>
      </c>
      <c r="F217" s="72" t="s">
        <v>274</v>
      </c>
      <c r="G217" s="21"/>
      <c r="H217" s="22"/>
      <c r="I217" s="22"/>
      <c r="J217" s="23"/>
      <c r="K217" s="21"/>
      <c r="L217" s="22"/>
      <c r="M217" s="22"/>
      <c r="N217" s="24"/>
      <c r="O217" s="24"/>
      <c r="P217" s="24" t="s">
        <v>159</v>
      </c>
      <c r="Q217" s="24"/>
      <c r="R217" s="23"/>
      <c r="S217" s="135">
        <v>45312</v>
      </c>
      <c r="T217" s="146">
        <v>45672</v>
      </c>
      <c r="U217" s="26"/>
      <c r="V217" s="27"/>
      <c r="W217" s="28"/>
      <c r="X217" s="29" t="s">
        <v>163</v>
      </c>
    </row>
    <row r="218" spans="1:24" ht="11.4">
      <c r="A218" s="19">
        <f t="shared" si="2"/>
        <v>216</v>
      </c>
      <c r="B218" s="31"/>
      <c r="C218" s="20"/>
      <c r="D218" s="20" t="s">
        <v>275</v>
      </c>
      <c r="E218" s="30" t="s">
        <v>201</v>
      </c>
      <c r="F218" s="72" t="s">
        <v>276</v>
      </c>
      <c r="G218" s="21"/>
      <c r="H218" s="22"/>
      <c r="I218" s="22"/>
      <c r="J218" s="23"/>
      <c r="K218" s="21"/>
      <c r="L218" s="22"/>
      <c r="M218" s="22"/>
      <c r="N218" s="24"/>
      <c r="O218" s="24"/>
      <c r="P218" s="24" t="s">
        <v>159</v>
      </c>
      <c r="Q218" s="24"/>
      <c r="R218" s="23"/>
      <c r="S218" s="135">
        <v>45312</v>
      </c>
      <c r="T218" s="146">
        <v>45672</v>
      </c>
      <c r="U218" s="26"/>
      <c r="V218" s="27"/>
      <c r="W218" s="28"/>
      <c r="X218" s="29" t="s">
        <v>163</v>
      </c>
    </row>
    <row r="219" spans="1:24" ht="11.4">
      <c r="A219" s="19">
        <f t="shared" si="2"/>
        <v>217</v>
      </c>
      <c r="B219" s="31"/>
      <c r="C219" s="20"/>
      <c r="D219" s="20" t="s">
        <v>277</v>
      </c>
      <c r="E219" s="30" t="s">
        <v>201</v>
      </c>
      <c r="F219" s="72" t="s">
        <v>278</v>
      </c>
      <c r="G219" s="21"/>
      <c r="H219" s="22"/>
      <c r="I219" s="22"/>
      <c r="J219" s="23"/>
      <c r="K219" s="21"/>
      <c r="L219" s="22"/>
      <c r="M219" s="22"/>
      <c r="N219" s="24"/>
      <c r="O219" s="24"/>
      <c r="P219" s="24" t="s">
        <v>159</v>
      </c>
      <c r="Q219" s="24"/>
      <c r="R219" s="23"/>
      <c r="S219" s="135">
        <v>45312</v>
      </c>
      <c r="T219" s="146">
        <v>45672</v>
      </c>
      <c r="U219" s="26"/>
      <c r="V219" s="27"/>
      <c r="W219" s="28"/>
      <c r="X219" s="29" t="s">
        <v>163</v>
      </c>
    </row>
    <row r="220" spans="1:24" ht="11.4">
      <c r="A220" s="19">
        <f t="shared" si="2"/>
        <v>218</v>
      </c>
      <c r="B220" s="20"/>
      <c r="C220" s="20"/>
      <c r="D220" s="30" t="s">
        <v>279</v>
      </c>
      <c r="E220" s="30" t="s">
        <v>201</v>
      </c>
      <c r="F220" s="72" t="s">
        <v>278</v>
      </c>
      <c r="G220" s="21"/>
      <c r="H220" s="22"/>
      <c r="I220" s="22"/>
      <c r="J220" s="23"/>
      <c r="K220" s="21"/>
      <c r="L220" s="22"/>
      <c r="M220" s="22"/>
      <c r="N220" s="24"/>
      <c r="O220" s="24"/>
      <c r="P220" s="24" t="s">
        <v>159</v>
      </c>
      <c r="Q220" s="24"/>
      <c r="R220" s="23"/>
      <c r="S220" s="135">
        <v>45312</v>
      </c>
      <c r="T220" s="146">
        <v>45672</v>
      </c>
      <c r="U220" s="26"/>
      <c r="V220" s="27"/>
      <c r="W220" s="28"/>
      <c r="X220" s="29" t="s">
        <v>163</v>
      </c>
    </row>
    <row r="221" spans="1:24" ht="11.4">
      <c r="A221" s="19">
        <f t="shared" si="2"/>
        <v>219</v>
      </c>
      <c r="B221" s="20"/>
      <c r="C221" s="20"/>
      <c r="D221" s="30" t="s">
        <v>280</v>
      </c>
      <c r="E221" s="30" t="s">
        <v>201</v>
      </c>
      <c r="F221" s="72" t="s">
        <v>281</v>
      </c>
      <c r="G221" s="21"/>
      <c r="H221" s="22"/>
      <c r="I221" s="22"/>
      <c r="J221" s="23"/>
      <c r="K221" s="21"/>
      <c r="L221" s="22"/>
      <c r="M221" s="22"/>
      <c r="N221" s="24"/>
      <c r="O221" s="24"/>
      <c r="P221" s="24" t="s">
        <v>159</v>
      </c>
      <c r="Q221" s="24"/>
      <c r="R221" s="23"/>
      <c r="S221" s="135">
        <v>45312</v>
      </c>
      <c r="T221" s="146">
        <v>45672</v>
      </c>
      <c r="U221" s="26"/>
      <c r="V221" s="27"/>
      <c r="W221" s="28"/>
      <c r="X221" s="29" t="s">
        <v>163</v>
      </c>
    </row>
    <row r="222" spans="1:24" ht="11.4">
      <c r="A222" s="19">
        <f t="shared" si="2"/>
        <v>220</v>
      </c>
      <c r="B222" s="20"/>
      <c r="C222" s="31"/>
      <c r="D222" s="30" t="s">
        <v>282</v>
      </c>
      <c r="E222" s="30" t="s">
        <v>201</v>
      </c>
      <c r="F222" s="72" t="s">
        <v>240</v>
      </c>
      <c r="G222" s="21"/>
      <c r="H222" s="22"/>
      <c r="I222" s="22"/>
      <c r="J222" s="23"/>
      <c r="K222" s="21"/>
      <c r="L222" s="22"/>
      <c r="M222" s="22"/>
      <c r="N222" s="24"/>
      <c r="O222" s="24"/>
      <c r="P222" s="24" t="s">
        <v>159</v>
      </c>
      <c r="Q222" s="24"/>
      <c r="R222" s="23"/>
      <c r="S222" s="135">
        <v>45312</v>
      </c>
      <c r="T222" s="146">
        <v>45672</v>
      </c>
      <c r="U222" s="26"/>
      <c r="V222" s="27"/>
      <c r="W222" s="28"/>
      <c r="X222" s="29" t="s">
        <v>163</v>
      </c>
    </row>
    <row r="223" spans="1:24" ht="11.4">
      <c r="A223" s="19">
        <f t="shared" si="2"/>
        <v>221</v>
      </c>
      <c r="B223" s="20"/>
      <c r="C223" s="20"/>
      <c r="D223" s="30" t="s">
        <v>283</v>
      </c>
      <c r="E223" s="30" t="s">
        <v>201</v>
      </c>
      <c r="F223" s="72" t="s">
        <v>278</v>
      </c>
      <c r="G223" s="21"/>
      <c r="H223" s="22"/>
      <c r="I223" s="22"/>
      <c r="J223" s="23"/>
      <c r="K223" s="21"/>
      <c r="L223" s="22"/>
      <c r="M223" s="22"/>
      <c r="N223" s="24"/>
      <c r="O223" s="24"/>
      <c r="P223" s="24" t="s">
        <v>159</v>
      </c>
      <c r="Q223" s="24"/>
      <c r="R223" s="23"/>
      <c r="S223" s="135">
        <v>45312</v>
      </c>
      <c r="T223" s="146">
        <v>45672</v>
      </c>
      <c r="U223" s="26"/>
      <c r="V223" s="27"/>
      <c r="W223" s="28"/>
      <c r="X223" s="29" t="s">
        <v>163</v>
      </c>
    </row>
    <row r="224" spans="1:24" ht="11.4">
      <c r="A224" s="19">
        <f t="shared" si="2"/>
        <v>222</v>
      </c>
      <c r="B224" s="20"/>
      <c r="C224" s="20"/>
      <c r="D224" s="30" t="s">
        <v>284</v>
      </c>
      <c r="E224" s="30" t="s">
        <v>201</v>
      </c>
      <c r="F224" s="72" t="s">
        <v>285</v>
      </c>
      <c r="G224" s="21"/>
      <c r="H224" s="22"/>
      <c r="I224" s="22"/>
      <c r="J224" s="23"/>
      <c r="K224" s="21"/>
      <c r="L224" s="22"/>
      <c r="M224" s="22"/>
      <c r="N224" s="24"/>
      <c r="O224" s="24"/>
      <c r="P224" s="24" t="s">
        <v>159</v>
      </c>
      <c r="Q224" s="24"/>
      <c r="R224" s="23"/>
      <c r="S224" s="135">
        <v>45312</v>
      </c>
      <c r="T224" s="146">
        <v>45672</v>
      </c>
      <c r="U224" s="26"/>
      <c r="V224" s="27"/>
      <c r="W224" s="28"/>
      <c r="X224" s="29" t="s">
        <v>163</v>
      </c>
    </row>
    <row r="225" spans="1:24" ht="22.8">
      <c r="A225" s="19">
        <f t="shared" si="2"/>
        <v>223</v>
      </c>
      <c r="B225" s="20"/>
      <c r="C225" s="31"/>
      <c r="D225" s="30" t="s">
        <v>286</v>
      </c>
      <c r="E225" s="30" t="s">
        <v>201</v>
      </c>
      <c r="F225" s="72" t="s">
        <v>278</v>
      </c>
      <c r="G225" s="21"/>
      <c r="H225" s="22"/>
      <c r="I225" s="22"/>
      <c r="J225" s="23"/>
      <c r="K225" s="21"/>
      <c r="L225" s="22"/>
      <c r="M225" s="22"/>
      <c r="N225" s="24"/>
      <c r="O225" s="24"/>
      <c r="P225" s="24" t="s">
        <v>159</v>
      </c>
      <c r="Q225" s="24"/>
      <c r="R225" s="23"/>
      <c r="S225" s="135">
        <v>45312</v>
      </c>
      <c r="T225" s="146">
        <v>45672</v>
      </c>
      <c r="U225" s="26"/>
      <c r="V225" s="27"/>
      <c r="W225" s="28"/>
      <c r="X225" s="29" t="s">
        <v>163</v>
      </c>
    </row>
    <row r="226" spans="1:24" ht="22.8">
      <c r="A226" s="19">
        <f t="shared" si="2"/>
        <v>224</v>
      </c>
      <c r="B226" s="31"/>
      <c r="C226" s="31"/>
      <c r="D226" s="30" t="s">
        <v>287</v>
      </c>
      <c r="E226" s="30" t="s">
        <v>201</v>
      </c>
      <c r="F226" s="72" t="s">
        <v>278</v>
      </c>
      <c r="G226" s="21"/>
      <c r="H226" s="22"/>
      <c r="I226" s="22"/>
      <c r="J226" s="23"/>
      <c r="K226" s="21"/>
      <c r="L226" s="22"/>
      <c r="M226" s="22"/>
      <c r="N226" s="24"/>
      <c r="O226" s="24"/>
      <c r="P226" s="24" t="s">
        <v>159</v>
      </c>
      <c r="Q226" s="24"/>
      <c r="R226" s="23"/>
      <c r="S226" s="135">
        <v>45312</v>
      </c>
      <c r="T226" s="146">
        <v>45672</v>
      </c>
      <c r="U226" s="26"/>
      <c r="V226" s="27"/>
      <c r="W226" s="28"/>
      <c r="X226" s="29" t="s">
        <v>163</v>
      </c>
    </row>
    <row r="227" spans="1:24" ht="22.8">
      <c r="A227" s="19">
        <f t="shared" si="2"/>
        <v>225</v>
      </c>
      <c r="B227" s="31"/>
      <c r="C227" s="31"/>
      <c r="D227" s="30" t="s">
        <v>288</v>
      </c>
      <c r="E227" s="30" t="s">
        <v>201</v>
      </c>
      <c r="F227" s="72" t="s">
        <v>278</v>
      </c>
      <c r="G227" s="21"/>
      <c r="H227" s="22"/>
      <c r="I227" s="22"/>
      <c r="J227" s="23"/>
      <c r="K227" s="21"/>
      <c r="L227" s="22"/>
      <c r="M227" s="22"/>
      <c r="N227" s="24"/>
      <c r="O227" s="24"/>
      <c r="P227" s="24" t="s">
        <v>159</v>
      </c>
      <c r="Q227" s="24"/>
      <c r="R227" s="23"/>
      <c r="S227" s="135">
        <v>45312</v>
      </c>
      <c r="T227" s="146">
        <v>45672</v>
      </c>
      <c r="U227" s="26"/>
      <c r="V227" s="27"/>
      <c r="W227" s="28"/>
      <c r="X227" s="29" t="s">
        <v>163</v>
      </c>
    </row>
    <row r="228" spans="1:24" ht="22.8">
      <c r="A228" s="19">
        <f t="shared" si="2"/>
        <v>226</v>
      </c>
      <c r="B228" s="31"/>
      <c r="C228" s="31"/>
      <c r="D228" s="30" t="s">
        <v>289</v>
      </c>
      <c r="E228" s="30" t="s">
        <v>201</v>
      </c>
      <c r="F228" s="72" t="s">
        <v>278</v>
      </c>
      <c r="G228" s="21"/>
      <c r="H228" s="22"/>
      <c r="I228" s="22"/>
      <c r="J228" s="23"/>
      <c r="K228" s="21"/>
      <c r="L228" s="22"/>
      <c r="M228" s="22"/>
      <c r="N228" s="24"/>
      <c r="O228" s="24"/>
      <c r="P228" s="24" t="s">
        <v>159</v>
      </c>
      <c r="Q228" s="24"/>
      <c r="R228" s="23"/>
      <c r="S228" s="135">
        <v>45312</v>
      </c>
      <c r="T228" s="146">
        <v>45672</v>
      </c>
      <c r="U228" s="26"/>
      <c r="V228" s="27"/>
      <c r="W228" s="28"/>
      <c r="X228" s="29" t="s">
        <v>163</v>
      </c>
    </row>
    <row r="229" spans="1:24" ht="22.8">
      <c r="A229" s="19">
        <f t="shared" si="2"/>
        <v>227</v>
      </c>
      <c r="B229" s="31"/>
      <c r="C229" s="31"/>
      <c r="D229" s="30" t="s">
        <v>290</v>
      </c>
      <c r="E229" s="30" t="s">
        <v>201</v>
      </c>
      <c r="F229" s="72" t="s">
        <v>278</v>
      </c>
      <c r="G229" s="21"/>
      <c r="H229" s="22"/>
      <c r="I229" s="22"/>
      <c r="J229" s="23"/>
      <c r="K229" s="21"/>
      <c r="L229" s="22"/>
      <c r="M229" s="22"/>
      <c r="N229" s="24"/>
      <c r="O229" s="24"/>
      <c r="P229" s="24" t="s">
        <v>159</v>
      </c>
      <c r="Q229" s="24"/>
      <c r="R229" s="23"/>
      <c r="S229" s="135">
        <v>45312</v>
      </c>
      <c r="T229" s="146">
        <v>45672</v>
      </c>
      <c r="U229" s="26"/>
      <c r="V229" s="27"/>
      <c r="W229" s="28"/>
      <c r="X229" s="29" t="s">
        <v>163</v>
      </c>
    </row>
    <row r="230" spans="1:24" ht="22.8">
      <c r="A230" s="19">
        <f t="shared" si="2"/>
        <v>228</v>
      </c>
      <c r="B230" s="31"/>
      <c r="C230" s="20"/>
      <c r="D230" s="20" t="s">
        <v>291</v>
      </c>
      <c r="E230" s="30" t="s">
        <v>201</v>
      </c>
      <c r="F230" s="72" t="s">
        <v>278</v>
      </c>
      <c r="G230" s="21"/>
      <c r="H230" s="22"/>
      <c r="I230" s="22"/>
      <c r="J230" s="23"/>
      <c r="K230" s="21"/>
      <c r="L230" s="22"/>
      <c r="M230" s="22"/>
      <c r="N230" s="24"/>
      <c r="O230" s="24"/>
      <c r="P230" s="24" t="s">
        <v>159</v>
      </c>
      <c r="Q230" s="24"/>
      <c r="R230" s="23"/>
      <c r="S230" s="135">
        <v>45312</v>
      </c>
      <c r="T230" s="146">
        <v>45672</v>
      </c>
      <c r="U230" s="26"/>
      <c r="V230" s="27"/>
      <c r="W230" s="28"/>
      <c r="X230" s="29" t="s">
        <v>163</v>
      </c>
    </row>
    <row r="231" spans="1:24" ht="11.4">
      <c r="A231" s="19">
        <f t="shared" si="2"/>
        <v>229</v>
      </c>
      <c r="B231" s="31"/>
      <c r="C231" s="20"/>
      <c r="D231" s="20" t="s">
        <v>292</v>
      </c>
      <c r="E231" s="30" t="s">
        <v>201</v>
      </c>
      <c r="F231" s="72" t="s">
        <v>240</v>
      </c>
      <c r="G231" s="21"/>
      <c r="H231" s="22"/>
      <c r="I231" s="22"/>
      <c r="J231" s="23"/>
      <c r="K231" s="21"/>
      <c r="L231" s="22"/>
      <c r="M231" s="22"/>
      <c r="N231" s="24"/>
      <c r="O231" s="24"/>
      <c r="P231" s="24" t="s">
        <v>159</v>
      </c>
      <c r="Q231" s="24"/>
      <c r="R231" s="23"/>
      <c r="S231" s="135">
        <v>45312</v>
      </c>
      <c r="T231" s="146">
        <v>45672</v>
      </c>
      <c r="U231" s="26"/>
      <c r="V231" s="27"/>
      <c r="W231" s="28"/>
      <c r="X231" s="29" t="s">
        <v>163</v>
      </c>
    </row>
    <row r="232" spans="1:24" ht="11.4">
      <c r="A232" s="19">
        <f t="shared" si="2"/>
        <v>230</v>
      </c>
      <c r="B232" s="20"/>
      <c r="C232" s="20"/>
      <c r="D232" s="30" t="s">
        <v>293</v>
      </c>
      <c r="E232" s="30" t="s">
        <v>201</v>
      </c>
      <c r="F232" s="72" t="s">
        <v>240</v>
      </c>
      <c r="G232" s="21"/>
      <c r="H232" s="22"/>
      <c r="I232" s="22"/>
      <c r="J232" s="23"/>
      <c r="K232" s="21"/>
      <c r="L232" s="22"/>
      <c r="M232" s="22"/>
      <c r="N232" s="24"/>
      <c r="O232" s="24"/>
      <c r="P232" s="24" t="s">
        <v>159</v>
      </c>
      <c r="Q232" s="24"/>
      <c r="R232" s="23"/>
      <c r="S232" s="135">
        <v>45312</v>
      </c>
      <c r="T232" s="146">
        <v>45672</v>
      </c>
      <c r="U232" s="26"/>
      <c r="V232" s="27"/>
      <c r="W232" s="28"/>
      <c r="X232" s="29" t="s">
        <v>163</v>
      </c>
    </row>
    <row r="233" spans="1:24" ht="11.4">
      <c r="A233" s="19">
        <f t="shared" si="2"/>
        <v>231</v>
      </c>
      <c r="B233" s="20"/>
      <c r="C233" s="20"/>
      <c r="D233" s="30" t="s">
        <v>294</v>
      </c>
      <c r="E233" s="30" t="s">
        <v>201</v>
      </c>
      <c r="F233" s="72" t="s">
        <v>240</v>
      </c>
      <c r="G233" s="21"/>
      <c r="H233" s="22"/>
      <c r="I233" s="22"/>
      <c r="J233" s="23"/>
      <c r="K233" s="21"/>
      <c r="L233" s="22"/>
      <c r="M233" s="22"/>
      <c r="N233" s="24"/>
      <c r="O233" s="24"/>
      <c r="P233" s="24" t="s">
        <v>159</v>
      </c>
      <c r="Q233" s="24"/>
      <c r="R233" s="23"/>
      <c r="S233" s="135">
        <v>45312</v>
      </c>
      <c r="T233" s="146">
        <v>45672</v>
      </c>
      <c r="U233" s="26"/>
      <c r="V233" s="27"/>
      <c r="W233" s="28"/>
      <c r="X233" s="29" t="s">
        <v>163</v>
      </c>
    </row>
    <row r="234" spans="1:24" ht="11.4">
      <c r="A234" s="19">
        <f t="shared" si="2"/>
        <v>232</v>
      </c>
      <c r="B234" s="20"/>
      <c r="C234" s="31"/>
      <c r="D234" s="30" t="s">
        <v>295</v>
      </c>
      <c r="E234" s="30" t="s">
        <v>201</v>
      </c>
      <c r="F234" s="72" t="s">
        <v>240</v>
      </c>
      <c r="G234" s="21"/>
      <c r="H234" s="22"/>
      <c r="I234" s="22"/>
      <c r="J234" s="23"/>
      <c r="K234" s="21"/>
      <c r="L234" s="22"/>
      <c r="M234" s="22"/>
      <c r="N234" s="24"/>
      <c r="O234" s="24"/>
      <c r="P234" s="24" t="s">
        <v>159</v>
      </c>
      <c r="Q234" s="24"/>
      <c r="R234" s="23"/>
      <c r="S234" s="135">
        <v>45312</v>
      </c>
      <c r="T234" s="146">
        <v>45672</v>
      </c>
      <c r="U234" s="26"/>
      <c r="V234" s="27"/>
      <c r="W234" s="28"/>
      <c r="X234" s="29" t="s">
        <v>163</v>
      </c>
    </row>
    <row r="235" spans="1:24" ht="11.4">
      <c r="A235" s="19">
        <f t="shared" si="2"/>
        <v>233</v>
      </c>
      <c r="B235" s="20"/>
      <c r="C235" s="20"/>
      <c r="D235" s="30" t="s">
        <v>296</v>
      </c>
      <c r="E235" s="30" t="s">
        <v>201</v>
      </c>
      <c r="F235" s="72" t="s">
        <v>240</v>
      </c>
      <c r="G235" s="21"/>
      <c r="H235" s="22"/>
      <c r="I235" s="22"/>
      <c r="J235" s="23"/>
      <c r="K235" s="21"/>
      <c r="L235" s="22"/>
      <c r="M235" s="22"/>
      <c r="N235" s="24"/>
      <c r="O235" s="24"/>
      <c r="P235" s="24" t="s">
        <v>159</v>
      </c>
      <c r="Q235" s="24"/>
      <c r="R235" s="23"/>
      <c r="S235" s="135">
        <v>45312</v>
      </c>
      <c r="T235" s="146">
        <v>45672</v>
      </c>
      <c r="U235" s="26"/>
      <c r="V235" s="27"/>
      <c r="W235" s="28"/>
      <c r="X235" s="29" t="s">
        <v>163</v>
      </c>
    </row>
    <row r="236" spans="1:24" ht="11.4">
      <c r="A236" s="19">
        <f t="shared" si="2"/>
        <v>234</v>
      </c>
      <c r="B236" s="20"/>
      <c r="C236" s="20"/>
      <c r="D236" s="30" t="s">
        <v>297</v>
      </c>
      <c r="E236" s="30" t="s">
        <v>201</v>
      </c>
      <c r="F236" s="72" t="s">
        <v>240</v>
      </c>
      <c r="G236" s="21"/>
      <c r="H236" s="22"/>
      <c r="I236" s="22"/>
      <c r="J236" s="23"/>
      <c r="K236" s="21"/>
      <c r="L236" s="22"/>
      <c r="M236" s="22"/>
      <c r="N236" s="24"/>
      <c r="O236" s="24"/>
      <c r="P236" s="24" t="s">
        <v>159</v>
      </c>
      <c r="Q236" s="24"/>
      <c r="R236" s="23"/>
      <c r="S236" s="135">
        <v>45312</v>
      </c>
      <c r="T236" s="146">
        <v>45672</v>
      </c>
      <c r="U236" s="26"/>
      <c r="V236" s="27"/>
      <c r="W236" s="28"/>
      <c r="X236" s="29" t="s">
        <v>163</v>
      </c>
    </row>
    <row r="237" spans="1:24" ht="11.4">
      <c r="A237" s="19">
        <f t="shared" si="2"/>
        <v>235</v>
      </c>
      <c r="B237" s="20"/>
      <c r="C237" s="31"/>
      <c r="D237" s="30" t="s">
        <v>298</v>
      </c>
      <c r="E237" s="30" t="s">
        <v>201</v>
      </c>
      <c r="F237" s="72" t="s">
        <v>240</v>
      </c>
      <c r="G237" s="21"/>
      <c r="H237" s="22"/>
      <c r="I237" s="22"/>
      <c r="J237" s="23"/>
      <c r="K237" s="21"/>
      <c r="L237" s="22"/>
      <c r="M237" s="22"/>
      <c r="N237" s="24"/>
      <c r="O237" s="24"/>
      <c r="P237" s="24" t="s">
        <v>159</v>
      </c>
      <c r="Q237" s="24"/>
      <c r="R237" s="23"/>
      <c r="S237" s="135">
        <v>45312</v>
      </c>
      <c r="T237" s="146">
        <v>45672</v>
      </c>
      <c r="U237" s="26"/>
      <c r="V237" s="27"/>
      <c r="W237" s="28"/>
      <c r="X237" s="29" t="s">
        <v>163</v>
      </c>
    </row>
    <row r="238" spans="1:24" ht="11.4">
      <c r="A238" s="19">
        <f t="shared" si="2"/>
        <v>236</v>
      </c>
      <c r="B238" s="31"/>
      <c r="C238" s="31"/>
      <c r="D238" s="30" t="s">
        <v>299</v>
      </c>
      <c r="E238" s="30" t="s">
        <v>201</v>
      </c>
      <c r="F238" s="72" t="s">
        <v>274</v>
      </c>
      <c r="G238" s="21"/>
      <c r="H238" s="22"/>
      <c r="I238" s="22"/>
      <c r="J238" s="23"/>
      <c r="K238" s="21"/>
      <c r="L238" s="22"/>
      <c r="M238" s="22"/>
      <c r="N238" s="24"/>
      <c r="O238" s="24"/>
      <c r="P238" s="24" t="s">
        <v>159</v>
      </c>
      <c r="Q238" s="24"/>
      <c r="R238" s="23"/>
      <c r="S238" s="135">
        <v>45312</v>
      </c>
      <c r="T238" s="146">
        <v>45672</v>
      </c>
      <c r="U238" s="26"/>
      <c r="V238" s="27"/>
      <c r="W238" s="28"/>
      <c r="X238" s="29" t="s">
        <v>163</v>
      </c>
    </row>
    <row r="239" spans="1:24" ht="11.4">
      <c r="A239" s="19">
        <f t="shared" si="2"/>
        <v>237</v>
      </c>
      <c r="B239" s="31"/>
      <c r="C239" s="31"/>
      <c r="D239" s="30" t="s">
        <v>300</v>
      </c>
      <c r="E239" s="30" t="s">
        <v>201</v>
      </c>
      <c r="F239" s="72" t="s">
        <v>301</v>
      </c>
      <c r="G239" s="21"/>
      <c r="H239" s="22"/>
      <c r="I239" s="22"/>
      <c r="J239" s="23"/>
      <c r="K239" s="21"/>
      <c r="L239" s="22"/>
      <c r="M239" s="22"/>
      <c r="N239" s="24"/>
      <c r="O239" s="24"/>
      <c r="P239" s="24" t="s">
        <v>159</v>
      </c>
      <c r="Q239" s="24"/>
      <c r="R239" s="23"/>
      <c r="S239" s="135">
        <v>45312</v>
      </c>
      <c r="T239" s="146">
        <v>45672</v>
      </c>
      <c r="U239" s="26"/>
      <c r="V239" s="27"/>
      <c r="W239" s="28"/>
      <c r="X239" s="29" t="s">
        <v>163</v>
      </c>
    </row>
    <row r="240" spans="1:24" ht="11.4">
      <c r="A240" s="19">
        <f t="shared" si="2"/>
        <v>238</v>
      </c>
      <c r="B240" s="31"/>
      <c r="C240" s="31"/>
      <c r="D240" s="30" t="s">
        <v>302</v>
      </c>
      <c r="E240" s="30" t="s">
        <v>201</v>
      </c>
      <c r="F240" s="72" t="s">
        <v>303</v>
      </c>
      <c r="G240" s="21"/>
      <c r="H240" s="22"/>
      <c r="I240" s="22"/>
      <c r="J240" s="23"/>
      <c r="K240" s="21"/>
      <c r="L240" s="22"/>
      <c r="M240" s="22"/>
      <c r="N240" s="24"/>
      <c r="O240" s="24"/>
      <c r="P240" s="24" t="s">
        <v>159</v>
      </c>
      <c r="Q240" s="24"/>
      <c r="R240" s="23"/>
      <c r="S240" s="135">
        <v>45312</v>
      </c>
      <c r="T240" s="146">
        <v>45672</v>
      </c>
      <c r="U240" s="26"/>
      <c r="V240" s="27"/>
      <c r="W240" s="28"/>
      <c r="X240" s="29" t="s">
        <v>163</v>
      </c>
    </row>
    <row r="241" spans="1:24" ht="11.4">
      <c r="A241" s="19">
        <f t="shared" si="2"/>
        <v>239</v>
      </c>
      <c r="B241" s="31"/>
      <c r="C241" s="31"/>
      <c r="D241" s="30" t="s">
        <v>304</v>
      </c>
      <c r="E241" s="30" t="s">
        <v>201</v>
      </c>
      <c r="F241" s="72" t="s">
        <v>305</v>
      </c>
      <c r="G241" s="21"/>
      <c r="H241" s="22"/>
      <c r="I241" s="22"/>
      <c r="J241" s="23"/>
      <c r="K241" s="21"/>
      <c r="L241" s="22"/>
      <c r="M241" s="22"/>
      <c r="N241" s="24"/>
      <c r="O241" s="24"/>
      <c r="P241" s="24" t="s">
        <v>159</v>
      </c>
      <c r="Q241" s="24"/>
      <c r="R241" s="23"/>
      <c r="S241" s="135">
        <v>45312</v>
      </c>
      <c r="T241" s="146">
        <v>45672</v>
      </c>
      <c r="U241" s="26"/>
      <c r="V241" s="27"/>
      <c r="W241" s="28"/>
      <c r="X241" s="29" t="s">
        <v>163</v>
      </c>
    </row>
    <row r="242" spans="1:24" ht="22.8">
      <c r="A242" s="19">
        <f t="shared" si="2"/>
        <v>240</v>
      </c>
      <c r="B242" s="31"/>
      <c r="C242" s="20"/>
      <c r="D242" s="20" t="s">
        <v>306</v>
      </c>
      <c r="E242" s="30" t="s">
        <v>201</v>
      </c>
      <c r="F242" s="72" t="s">
        <v>307</v>
      </c>
      <c r="G242" s="21"/>
      <c r="H242" s="22"/>
      <c r="I242" s="22"/>
      <c r="J242" s="23"/>
      <c r="K242" s="21"/>
      <c r="L242" s="22"/>
      <c r="M242" s="22"/>
      <c r="N242" s="24"/>
      <c r="O242" s="24"/>
      <c r="P242" s="24" t="s">
        <v>159</v>
      </c>
      <c r="Q242" s="24"/>
      <c r="R242" s="23"/>
      <c r="S242" s="135">
        <v>45312</v>
      </c>
      <c r="T242" s="146"/>
      <c r="U242" s="26">
        <v>45679</v>
      </c>
      <c r="V242" s="27">
        <v>45681</v>
      </c>
      <c r="W242" s="28"/>
      <c r="X242" s="29" t="s">
        <v>163</v>
      </c>
    </row>
    <row r="243" spans="1:24" ht="11.4">
      <c r="A243" s="19">
        <f t="shared" si="2"/>
        <v>241</v>
      </c>
      <c r="B243" s="20"/>
      <c r="C243" s="20"/>
      <c r="D243" s="30" t="s">
        <v>308</v>
      </c>
      <c r="E243" s="30" t="s">
        <v>201</v>
      </c>
      <c r="F243" s="72" t="s">
        <v>309</v>
      </c>
      <c r="G243" s="21"/>
      <c r="H243" s="22"/>
      <c r="I243" s="22"/>
      <c r="J243" s="23"/>
      <c r="K243" s="21"/>
      <c r="L243" s="22"/>
      <c r="M243" s="22"/>
      <c r="N243" s="24"/>
      <c r="O243" s="24"/>
      <c r="P243" s="24" t="s">
        <v>159</v>
      </c>
      <c r="Q243" s="24"/>
      <c r="R243" s="23"/>
      <c r="S243" s="135">
        <v>45312</v>
      </c>
      <c r="T243" s="25">
        <v>45672</v>
      </c>
      <c r="U243" s="26"/>
      <c r="V243" s="27"/>
      <c r="W243" s="28"/>
      <c r="X243" s="29" t="s">
        <v>163</v>
      </c>
    </row>
    <row r="244" spans="1:24" ht="11.4">
      <c r="A244" s="19">
        <f t="shared" si="2"/>
        <v>242</v>
      </c>
      <c r="B244" s="20"/>
      <c r="C244" s="20"/>
      <c r="D244" s="30" t="s">
        <v>310</v>
      </c>
      <c r="E244" s="30" t="s">
        <v>201</v>
      </c>
      <c r="F244" s="72" t="s">
        <v>311</v>
      </c>
      <c r="G244" s="21"/>
      <c r="H244" s="22"/>
      <c r="I244" s="22"/>
      <c r="J244" s="23"/>
      <c r="K244" s="21"/>
      <c r="L244" s="22"/>
      <c r="M244" s="22"/>
      <c r="N244" s="24"/>
      <c r="O244" s="24"/>
      <c r="P244" s="24" t="s">
        <v>159</v>
      </c>
      <c r="Q244" s="24"/>
      <c r="R244" s="23"/>
      <c r="S244" s="135">
        <v>45312</v>
      </c>
      <c r="T244" s="25">
        <v>45672</v>
      </c>
      <c r="U244" s="26"/>
      <c r="V244" s="27"/>
      <c r="W244" s="28"/>
      <c r="X244" s="29" t="s">
        <v>163</v>
      </c>
    </row>
    <row r="245" spans="1:24" ht="11.4">
      <c r="A245" s="19">
        <f t="shared" si="2"/>
        <v>243</v>
      </c>
      <c r="B245" s="20"/>
      <c r="C245" s="31"/>
      <c r="D245" s="30" t="s">
        <v>312</v>
      </c>
      <c r="E245" s="30" t="s">
        <v>201</v>
      </c>
      <c r="F245" s="72" t="s">
        <v>313</v>
      </c>
      <c r="G245" s="21"/>
      <c r="H245" s="22"/>
      <c r="I245" s="22"/>
      <c r="J245" s="23"/>
      <c r="K245" s="21"/>
      <c r="L245" s="22"/>
      <c r="M245" s="22"/>
      <c r="N245" s="24"/>
      <c r="O245" s="24"/>
      <c r="P245" s="24" t="s">
        <v>159</v>
      </c>
      <c r="Q245" s="24"/>
      <c r="R245" s="23"/>
      <c r="S245" s="135">
        <v>45312</v>
      </c>
      <c r="T245" s="25">
        <v>45672</v>
      </c>
      <c r="U245" s="26"/>
      <c r="V245" s="27"/>
      <c r="W245" s="28"/>
      <c r="X245" s="29" t="s">
        <v>163</v>
      </c>
    </row>
    <row r="246" spans="1:24" ht="11.4">
      <c r="A246" s="19">
        <f t="shared" si="2"/>
        <v>244</v>
      </c>
      <c r="B246" s="20"/>
      <c r="C246" s="20"/>
      <c r="D246" s="30" t="s">
        <v>260</v>
      </c>
      <c r="E246" s="30" t="s">
        <v>201</v>
      </c>
      <c r="F246" s="72" t="s">
        <v>228</v>
      </c>
      <c r="G246" s="21"/>
      <c r="H246" s="22"/>
      <c r="I246" s="22"/>
      <c r="J246" s="23"/>
      <c r="K246" s="21"/>
      <c r="L246" s="22"/>
      <c r="M246" s="22"/>
      <c r="N246" s="24"/>
      <c r="O246" s="24"/>
      <c r="P246" s="24" t="s">
        <v>159</v>
      </c>
      <c r="Q246" s="24"/>
      <c r="R246" s="23"/>
      <c r="S246" s="135">
        <v>45312</v>
      </c>
      <c r="T246" s="25">
        <v>45672</v>
      </c>
      <c r="U246" s="26"/>
      <c r="V246" s="27"/>
      <c r="W246" s="28"/>
      <c r="X246" s="29" t="s">
        <v>163</v>
      </c>
    </row>
    <row r="247" spans="1:24" s="3" customFormat="1" ht="12" customHeight="1">
      <c r="A247" s="32"/>
      <c r="B247" s="33"/>
      <c r="C247" s="34"/>
      <c r="D247" s="34"/>
      <c r="E247" s="33"/>
      <c r="F247" s="35" t="s">
        <v>130</v>
      </c>
      <c r="G247" s="36">
        <f t="shared" ref="G247:R247" si="5">COUNTIF(G3:G246,"●")</f>
        <v>0</v>
      </c>
      <c r="H247" s="37">
        <f t="shared" si="5"/>
        <v>0</v>
      </c>
      <c r="I247" s="37">
        <f t="shared" si="5"/>
        <v>0</v>
      </c>
      <c r="J247" s="38">
        <f t="shared" si="5"/>
        <v>0</v>
      </c>
      <c r="K247" s="36">
        <f t="shared" si="5"/>
        <v>0</v>
      </c>
      <c r="L247" s="37">
        <f t="shared" si="5"/>
        <v>0</v>
      </c>
      <c r="M247" s="37">
        <f t="shared" si="5"/>
        <v>0</v>
      </c>
      <c r="N247" s="37">
        <f t="shared" si="5"/>
        <v>0</v>
      </c>
      <c r="O247" s="37">
        <f t="shared" si="5"/>
        <v>0</v>
      </c>
      <c r="P247" s="39">
        <f t="shared" si="5"/>
        <v>0</v>
      </c>
      <c r="Q247" s="39">
        <f t="shared" si="5"/>
        <v>0</v>
      </c>
      <c r="R247" s="38">
        <f t="shared" si="5"/>
        <v>0</v>
      </c>
      <c r="S247" s="136"/>
      <c r="T247" s="157" t="s">
        <v>131</v>
      </c>
      <c r="U247" s="157"/>
      <c r="V247" s="158"/>
      <c r="W247" s="40" t="s">
        <v>132</v>
      </c>
      <c r="X247" s="41">
        <f>SUM(G247:R247)</f>
        <v>0</v>
      </c>
    </row>
    <row r="248" spans="1:24" s="3" customFormat="1" ht="12" customHeight="1">
      <c r="A248" s="42"/>
      <c r="B248" s="43" t="s">
        <v>133</v>
      </c>
      <c r="C248" s="44">
        <f>X249</f>
        <v>0</v>
      </c>
      <c r="D248" s="44"/>
      <c r="E248" s="43"/>
      <c r="F248" s="45" t="s">
        <v>134</v>
      </c>
      <c r="G248" s="46">
        <f t="shared" ref="G248:R248" si="6">COUNTIF(G3:G246,"×")</f>
        <v>0</v>
      </c>
      <c r="H248" s="47">
        <f t="shared" si="6"/>
        <v>0</v>
      </c>
      <c r="I248" s="47">
        <f t="shared" si="6"/>
        <v>0</v>
      </c>
      <c r="J248" s="48">
        <f t="shared" si="6"/>
        <v>0</v>
      </c>
      <c r="K248" s="46">
        <f t="shared" si="6"/>
        <v>0</v>
      </c>
      <c r="L248" s="47">
        <f t="shared" si="6"/>
        <v>0</v>
      </c>
      <c r="M248" s="47">
        <f t="shared" si="6"/>
        <v>0</v>
      </c>
      <c r="N248" s="47">
        <f t="shared" si="6"/>
        <v>0</v>
      </c>
      <c r="O248" s="47">
        <f t="shared" si="6"/>
        <v>0</v>
      </c>
      <c r="P248" s="49">
        <f t="shared" si="6"/>
        <v>0</v>
      </c>
      <c r="Q248" s="49">
        <f t="shared" si="6"/>
        <v>0</v>
      </c>
      <c r="R248" s="48">
        <f t="shared" si="6"/>
        <v>0</v>
      </c>
      <c r="S248" s="137"/>
      <c r="T248" s="159"/>
      <c r="U248" s="159"/>
      <c r="V248" s="160"/>
      <c r="W248" s="50" t="s">
        <v>132</v>
      </c>
      <c r="X248" s="51">
        <f t="shared" ref="X248:X250" si="7">SUM(G248:R248)</f>
        <v>0</v>
      </c>
    </row>
    <row r="249" spans="1:24" s="3" customFormat="1" ht="12" customHeight="1">
      <c r="A249" s="52" t="s">
        <v>135</v>
      </c>
      <c r="B249" s="53"/>
      <c r="C249" s="54"/>
      <c r="D249" s="54"/>
      <c r="E249" s="53"/>
      <c r="F249" s="55" t="s">
        <v>136</v>
      </c>
      <c r="G249" s="46">
        <f t="shared" ref="G249:R249" si="8">G247+G248</f>
        <v>0</v>
      </c>
      <c r="H249" s="47">
        <f t="shared" si="8"/>
        <v>0</v>
      </c>
      <c r="I249" s="47">
        <f t="shared" si="8"/>
        <v>0</v>
      </c>
      <c r="J249" s="48">
        <f t="shared" si="8"/>
        <v>0</v>
      </c>
      <c r="K249" s="46">
        <f t="shared" si="8"/>
        <v>0</v>
      </c>
      <c r="L249" s="47">
        <f t="shared" si="8"/>
        <v>0</v>
      </c>
      <c r="M249" s="47">
        <f t="shared" si="8"/>
        <v>0</v>
      </c>
      <c r="N249" s="47">
        <f t="shared" si="8"/>
        <v>0</v>
      </c>
      <c r="O249" s="47">
        <f t="shared" si="8"/>
        <v>0</v>
      </c>
      <c r="P249" s="49">
        <f t="shared" si="8"/>
        <v>0</v>
      </c>
      <c r="Q249" s="49">
        <f t="shared" si="8"/>
        <v>0</v>
      </c>
      <c r="R249" s="48">
        <f t="shared" si="8"/>
        <v>0</v>
      </c>
      <c r="S249" s="182"/>
      <c r="T249" s="171">
        <f>COUNTA(T3:T246)</f>
        <v>213</v>
      </c>
      <c r="U249" s="173">
        <f>COUNTA(U3:U246)</f>
        <v>30</v>
      </c>
      <c r="V249" s="175">
        <f>COUNTA(V3:V246)</f>
        <v>28</v>
      </c>
      <c r="W249" s="56" t="s">
        <v>132</v>
      </c>
      <c r="X249" s="51">
        <f t="shared" si="7"/>
        <v>0</v>
      </c>
    </row>
    <row r="250" spans="1:24" s="3" customFormat="1" ht="12" customHeight="1">
      <c r="A250" s="57"/>
      <c r="B250" s="58" t="s">
        <v>137</v>
      </c>
      <c r="C250" s="59">
        <f>X250</f>
        <v>243</v>
      </c>
      <c r="D250" s="59"/>
      <c r="E250" s="58"/>
      <c r="F250" s="60" t="s">
        <v>138</v>
      </c>
      <c r="G250" s="61">
        <f t="shared" ref="G250:R250" si="9">COUNTA(G3:G246)</f>
        <v>0</v>
      </c>
      <c r="H250" s="62">
        <f t="shared" si="9"/>
        <v>0</v>
      </c>
      <c r="I250" s="62">
        <f t="shared" si="9"/>
        <v>0</v>
      </c>
      <c r="J250" s="63">
        <f t="shared" si="9"/>
        <v>0</v>
      </c>
      <c r="K250" s="61">
        <f t="shared" si="9"/>
        <v>0</v>
      </c>
      <c r="L250" s="62">
        <f t="shared" si="9"/>
        <v>0</v>
      </c>
      <c r="M250" s="62">
        <f t="shared" si="9"/>
        <v>0</v>
      </c>
      <c r="N250" s="62">
        <f t="shared" si="9"/>
        <v>0</v>
      </c>
      <c r="O250" s="62">
        <f t="shared" si="9"/>
        <v>0</v>
      </c>
      <c r="P250" s="64">
        <f t="shared" si="9"/>
        <v>243</v>
      </c>
      <c r="Q250" s="64">
        <f t="shared" si="9"/>
        <v>0</v>
      </c>
      <c r="R250" s="63">
        <f t="shared" si="9"/>
        <v>0</v>
      </c>
      <c r="S250" s="183"/>
      <c r="T250" s="172"/>
      <c r="U250" s="174"/>
      <c r="V250" s="176"/>
      <c r="W250" s="65" t="s">
        <v>132</v>
      </c>
      <c r="X250" s="66">
        <f t="shared" si="7"/>
        <v>243</v>
      </c>
    </row>
  </sheetData>
  <mergeCells count="17">
    <mergeCell ref="T249:T250"/>
    <mergeCell ref="U249:U250"/>
    <mergeCell ref="V249:V250"/>
    <mergeCell ref="G1:J1"/>
    <mergeCell ref="K1:R1"/>
    <mergeCell ref="T1:V1"/>
    <mergeCell ref="S249:S250"/>
    <mergeCell ref="S1:S2"/>
    <mergeCell ref="W1:W2"/>
    <mergeCell ref="X1:X2"/>
    <mergeCell ref="T247:V248"/>
    <mergeCell ref="A1:A2"/>
    <mergeCell ref="B1:B2"/>
    <mergeCell ref="C1:C2"/>
    <mergeCell ref="D1:D2"/>
    <mergeCell ref="E1:E2"/>
    <mergeCell ref="F1:F2"/>
  </mergeCells>
  <phoneticPr fontId="12"/>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2D5FA-83CF-44F5-9C46-70E24A272325}">
  <sheetPr>
    <pageSetUpPr fitToPage="1"/>
  </sheetPr>
  <dimension ref="A1:X25"/>
  <sheetViews>
    <sheetView view="pageBreakPreview" zoomScaleNormal="110" zoomScaleSheetLayoutView="100" workbookViewId="0">
      <pane xSplit="1" ySplit="2" topLeftCell="E3" activePane="bottomRight" state="frozen"/>
      <selection pane="topRight" activeCell="B1" sqref="B1"/>
      <selection pane="bottomLeft" activeCell="A3" sqref="A3"/>
      <selection pane="bottomRight" activeCell="S14" sqref="S14"/>
    </sheetView>
  </sheetViews>
  <sheetFormatPr defaultColWidth="9.375" defaultRowHeight="9" customHeight="1"/>
  <cols>
    <col min="1" max="1" width="5.125" style="2" customWidth="1"/>
    <col min="2" max="2" width="15.875" style="2" bestFit="1" customWidth="1"/>
    <col min="3" max="3" width="34.625" style="2" customWidth="1"/>
    <col min="4" max="4" width="26.125" style="2" customWidth="1"/>
    <col min="5" max="5" width="39.125" style="2" bestFit="1" customWidth="1"/>
    <col min="6" max="6" width="48.625" style="2" customWidth="1"/>
    <col min="7" max="13" width="4.5" style="4" bestFit="1" customWidth="1"/>
    <col min="14" max="16" width="4.5" style="4" customWidth="1"/>
    <col min="17" max="17" width="3.625" style="4" bestFit="1" customWidth="1"/>
    <col min="18" max="18" width="4.5" style="4" bestFit="1" customWidth="1"/>
    <col min="19" max="19" width="7.5"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61" t="s">
        <v>6</v>
      </c>
      <c r="B1" s="163" t="s">
        <v>7</v>
      </c>
      <c r="C1" s="165" t="s">
        <v>8</v>
      </c>
      <c r="D1" s="165" t="s">
        <v>9</v>
      </c>
      <c r="E1" s="167" t="s">
        <v>10</v>
      </c>
      <c r="F1" s="169" t="s">
        <v>11</v>
      </c>
      <c r="G1" s="177" t="s">
        <v>12</v>
      </c>
      <c r="H1" s="177"/>
      <c r="I1" s="177"/>
      <c r="J1" s="178"/>
      <c r="K1" s="179" t="s">
        <v>13</v>
      </c>
      <c r="L1" s="180"/>
      <c r="M1" s="180"/>
      <c r="N1" s="181"/>
      <c r="O1" s="181"/>
      <c r="P1" s="181"/>
      <c r="Q1" s="181"/>
      <c r="R1" s="181"/>
      <c r="S1" s="184" t="s">
        <v>139</v>
      </c>
      <c r="T1" s="177" t="s">
        <v>15</v>
      </c>
      <c r="U1" s="177"/>
      <c r="V1" s="177"/>
      <c r="W1" s="155" t="s">
        <v>16</v>
      </c>
      <c r="X1" s="155" t="s">
        <v>17</v>
      </c>
    </row>
    <row r="2" spans="1:24" s="1" customFormat="1" ht="22.8">
      <c r="A2" s="162"/>
      <c r="B2" s="164"/>
      <c r="C2" s="166"/>
      <c r="D2" s="166"/>
      <c r="E2" s="168"/>
      <c r="F2" s="170"/>
      <c r="G2" s="67" t="s">
        <v>18</v>
      </c>
      <c r="H2" s="68" t="s">
        <v>19</v>
      </c>
      <c r="I2" s="69" t="s">
        <v>20</v>
      </c>
      <c r="J2" s="69" t="s">
        <v>21</v>
      </c>
      <c r="K2" s="70" t="s">
        <v>18</v>
      </c>
      <c r="L2" s="69" t="s">
        <v>22</v>
      </c>
      <c r="M2" s="69" t="s">
        <v>23</v>
      </c>
      <c r="N2" s="69" t="s">
        <v>24</v>
      </c>
      <c r="O2" s="69" t="s">
        <v>25</v>
      </c>
      <c r="P2" s="69" t="s">
        <v>26</v>
      </c>
      <c r="Q2" s="69" t="s">
        <v>27</v>
      </c>
      <c r="R2" s="69" t="s">
        <v>28</v>
      </c>
      <c r="S2" s="185"/>
      <c r="T2" s="67" t="s">
        <v>29</v>
      </c>
      <c r="U2" s="68" t="s">
        <v>30</v>
      </c>
      <c r="V2" s="69" t="s">
        <v>31</v>
      </c>
      <c r="W2" s="156"/>
      <c r="X2" s="156"/>
    </row>
    <row r="3" spans="1:24" ht="11.4">
      <c r="A3" s="19">
        <f t="shared" ref="A3" si="0">ROW()-2</f>
        <v>1</v>
      </c>
      <c r="B3" s="20" t="s">
        <v>32</v>
      </c>
      <c r="C3" s="31" t="s">
        <v>33</v>
      </c>
      <c r="D3" s="30"/>
      <c r="E3" s="30"/>
      <c r="F3" s="72"/>
      <c r="G3" s="21"/>
      <c r="H3" s="22"/>
      <c r="I3" s="22"/>
      <c r="J3" s="23"/>
      <c r="K3" s="21"/>
      <c r="L3" s="22"/>
      <c r="M3" s="22"/>
      <c r="N3" s="24"/>
      <c r="O3" s="24"/>
      <c r="P3" s="24"/>
      <c r="Q3" s="24"/>
      <c r="R3" s="23"/>
      <c r="S3" s="135"/>
      <c r="T3" s="25">
        <v>45680</v>
      </c>
      <c r="U3" s="26"/>
      <c r="V3" s="27"/>
      <c r="W3" s="28"/>
      <c r="X3" s="29"/>
    </row>
    <row r="4" spans="1:24" ht="22.8">
      <c r="A4" s="19">
        <f t="shared" ref="A4:A17" si="1">ROW()-2</f>
        <v>2</v>
      </c>
      <c r="B4" s="20" t="s">
        <v>34</v>
      </c>
      <c r="C4" s="20" t="s">
        <v>317</v>
      </c>
      <c r="D4" s="20" t="s">
        <v>318</v>
      </c>
      <c r="E4" s="30" t="s">
        <v>319</v>
      </c>
      <c r="F4" s="72" t="s">
        <v>320</v>
      </c>
      <c r="G4" s="21"/>
      <c r="H4" s="22"/>
      <c r="I4" s="22"/>
      <c r="J4" s="23"/>
      <c r="K4" s="21"/>
      <c r="L4" s="22"/>
      <c r="M4" s="22"/>
      <c r="N4" s="24"/>
      <c r="O4" s="24"/>
      <c r="P4" s="24"/>
      <c r="Q4" s="24"/>
      <c r="R4" s="23" t="s">
        <v>39</v>
      </c>
      <c r="S4" s="135">
        <v>45307</v>
      </c>
      <c r="T4" s="196">
        <v>45684</v>
      </c>
      <c r="U4" s="197"/>
      <c r="V4" s="198"/>
      <c r="W4" s="28"/>
      <c r="X4" s="115"/>
    </row>
    <row r="5" spans="1:24" ht="68.400000000000006">
      <c r="A5" s="19"/>
      <c r="B5" s="20"/>
      <c r="C5" s="20"/>
      <c r="D5" s="30"/>
      <c r="E5" s="30" t="s">
        <v>322</v>
      </c>
      <c r="F5" s="72" t="s">
        <v>323</v>
      </c>
      <c r="G5" s="21"/>
      <c r="H5" s="22"/>
      <c r="I5" s="22"/>
      <c r="J5" s="23"/>
      <c r="K5" s="114"/>
      <c r="L5" s="22"/>
      <c r="M5" s="22"/>
      <c r="N5" s="24"/>
      <c r="O5" s="24"/>
      <c r="P5" s="24"/>
      <c r="Q5" s="24"/>
      <c r="R5" s="23" t="s">
        <v>39</v>
      </c>
      <c r="S5" s="135">
        <v>45307</v>
      </c>
      <c r="T5" s="25">
        <v>45680</v>
      </c>
      <c r="U5" s="26"/>
      <c r="V5" s="27"/>
      <c r="W5" s="28"/>
      <c r="X5" s="115"/>
    </row>
    <row r="6" spans="1:24" ht="22.8">
      <c r="A6" s="19"/>
      <c r="B6" s="20"/>
      <c r="C6" s="20"/>
      <c r="D6" s="30"/>
      <c r="E6" s="30" t="s">
        <v>324</v>
      </c>
      <c r="F6" s="72" t="s">
        <v>325</v>
      </c>
      <c r="G6" s="21"/>
      <c r="H6" s="22"/>
      <c r="I6" s="22"/>
      <c r="J6" s="23"/>
      <c r="K6" s="114"/>
      <c r="L6" s="22"/>
      <c r="M6" s="22"/>
      <c r="N6" s="24"/>
      <c r="O6" s="24"/>
      <c r="P6" s="24"/>
      <c r="Q6" s="24"/>
      <c r="R6" s="23" t="s">
        <v>39</v>
      </c>
      <c r="S6" s="135">
        <v>45307</v>
      </c>
      <c r="T6" s="25">
        <v>45680</v>
      </c>
      <c r="U6" s="26"/>
      <c r="V6" s="27"/>
      <c r="W6" s="28"/>
      <c r="X6" s="115"/>
    </row>
    <row r="7" spans="1:24" ht="22.8">
      <c r="A7" s="19">
        <f>ROW()-2</f>
        <v>5</v>
      </c>
      <c r="B7" s="20"/>
      <c r="C7" s="20"/>
      <c r="D7" s="20" t="s">
        <v>326</v>
      </c>
      <c r="E7" s="30" t="s">
        <v>327</v>
      </c>
      <c r="F7" s="71" t="s">
        <v>328</v>
      </c>
      <c r="G7" s="21"/>
      <c r="H7" s="22"/>
      <c r="I7" s="22"/>
      <c r="J7" s="23"/>
      <c r="K7" s="24" t="s">
        <v>944</v>
      </c>
      <c r="L7" s="22"/>
      <c r="M7" s="22"/>
      <c r="N7" s="24" t="s">
        <v>39</v>
      </c>
      <c r="O7" s="24"/>
      <c r="P7" s="24"/>
      <c r="Q7" s="24"/>
      <c r="R7" s="23"/>
      <c r="S7" s="135">
        <v>45307</v>
      </c>
      <c r="T7" s="25">
        <v>45680</v>
      </c>
      <c r="U7" s="26"/>
      <c r="V7" s="27"/>
      <c r="W7" s="28"/>
      <c r="X7" s="29"/>
    </row>
    <row r="8" spans="1:24" ht="91.2">
      <c r="A8" s="19">
        <f t="shared" si="1"/>
        <v>6</v>
      </c>
      <c r="B8" s="20"/>
      <c r="C8" s="20"/>
      <c r="D8" s="30"/>
      <c r="E8" s="30"/>
      <c r="F8" s="72" t="s">
        <v>329</v>
      </c>
      <c r="G8" s="21"/>
      <c r="H8" s="22"/>
      <c r="I8" s="22"/>
      <c r="J8" s="23"/>
      <c r="K8" s="21"/>
      <c r="L8" s="22"/>
      <c r="M8" s="22"/>
      <c r="N8" s="24"/>
      <c r="O8" s="24"/>
      <c r="P8" s="24"/>
      <c r="Q8" s="24"/>
      <c r="R8" s="23" t="s">
        <v>39</v>
      </c>
      <c r="S8" s="135">
        <v>45307</v>
      </c>
      <c r="T8" s="25">
        <v>45680</v>
      </c>
      <c r="U8" s="26"/>
      <c r="V8" s="27"/>
      <c r="W8" s="28"/>
      <c r="X8" s="29"/>
    </row>
    <row r="9" spans="1:24" ht="11.4">
      <c r="A9" s="19">
        <f t="shared" ref="A9:A21" si="2">ROW()-2</f>
        <v>7</v>
      </c>
      <c r="B9" s="20"/>
      <c r="C9" s="20"/>
      <c r="D9" s="20" t="s">
        <v>330</v>
      </c>
      <c r="E9" s="30" t="s">
        <v>331</v>
      </c>
      <c r="F9" s="71" t="s">
        <v>332</v>
      </c>
      <c r="G9" s="21"/>
      <c r="H9" s="22"/>
      <c r="I9" s="22"/>
      <c r="J9" s="23"/>
      <c r="K9" s="24" t="s">
        <v>944</v>
      </c>
      <c r="L9" s="22"/>
      <c r="M9" s="22"/>
      <c r="N9" s="24" t="s">
        <v>39</v>
      </c>
      <c r="O9" s="24"/>
      <c r="P9" s="24"/>
      <c r="Q9" s="24"/>
      <c r="R9" s="23"/>
      <c r="S9" s="135">
        <v>45307</v>
      </c>
      <c r="T9" s="25">
        <v>45680</v>
      </c>
      <c r="U9" s="26"/>
      <c r="V9" s="27"/>
      <c r="W9" s="28"/>
      <c r="X9" s="29"/>
    </row>
    <row r="10" spans="1:24" ht="57">
      <c r="A10" s="19">
        <f>ROW()-2</f>
        <v>8</v>
      </c>
      <c r="B10" s="20"/>
      <c r="C10" s="20"/>
      <c r="D10" s="20"/>
      <c r="E10" s="30"/>
      <c r="F10" s="71" t="s">
        <v>333</v>
      </c>
      <c r="G10" s="21"/>
      <c r="H10" s="22"/>
      <c r="I10" s="22"/>
      <c r="J10" s="23"/>
      <c r="K10" s="21"/>
      <c r="L10" s="22"/>
      <c r="M10" s="22"/>
      <c r="N10" s="24"/>
      <c r="O10" s="24"/>
      <c r="P10" s="24"/>
      <c r="Q10" s="24"/>
      <c r="R10" s="23" t="s">
        <v>39</v>
      </c>
      <c r="S10" s="135">
        <v>45307</v>
      </c>
      <c r="T10" s="25">
        <v>45680</v>
      </c>
      <c r="U10" s="26"/>
      <c r="V10" s="27"/>
      <c r="W10" s="28"/>
      <c r="X10" s="29"/>
    </row>
    <row r="11" spans="1:24" ht="11.4">
      <c r="A11" s="19">
        <f t="shared" si="2"/>
        <v>9</v>
      </c>
      <c r="B11" s="20"/>
      <c r="C11" s="20"/>
      <c r="D11" s="20" t="s">
        <v>334</v>
      </c>
      <c r="E11" s="30" t="s">
        <v>335</v>
      </c>
      <c r="F11" s="71" t="s">
        <v>336</v>
      </c>
      <c r="G11" s="21"/>
      <c r="H11" s="22"/>
      <c r="I11" s="22"/>
      <c r="J11" s="23"/>
      <c r="K11" s="24" t="s">
        <v>944</v>
      </c>
      <c r="L11" s="22"/>
      <c r="M11" s="22"/>
      <c r="N11" s="24" t="s">
        <v>39</v>
      </c>
      <c r="O11" s="24"/>
      <c r="P11" s="24"/>
      <c r="Q11" s="24"/>
      <c r="R11" s="23"/>
      <c r="S11" s="135">
        <v>45307</v>
      </c>
      <c r="T11" s="25">
        <v>45680</v>
      </c>
      <c r="U11" s="26"/>
      <c r="V11" s="27"/>
      <c r="W11" s="28"/>
      <c r="X11" s="29"/>
    </row>
    <row r="12" spans="1:24" ht="11.4">
      <c r="A12" s="19">
        <f t="shared" si="2"/>
        <v>10</v>
      </c>
      <c r="B12" s="20"/>
      <c r="C12" s="20"/>
      <c r="D12" s="20"/>
      <c r="E12" s="30"/>
      <c r="F12" s="71" t="s">
        <v>337</v>
      </c>
      <c r="G12" s="21"/>
      <c r="H12" s="22"/>
      <c r="I12" s="22"/>
      <c r="J12" s="23"/>
      <c r="K12" s="21"/>
      <c r="L12" s="22"/>
      <c r="M12" s="22"/>
      <c r="N12" s="24"/>
      <c r="O12" s="24"/>
      <c r="P12" s="24"/>
      <c r="Q12" s="24"/>
      <c r="R12" s="23" t="s">
        <v>39</v>
      </c>
      <c r="S12" s="135">
        <v>45307</v>
      </c>
      <c r="T12" s="25">
        <v>45681</v>
      </c>
      <c r="U12" s="26"/>
      <c r="V12" s="27"/>
      <c r="W12" s="28"/>
      <c r="X12" s="29"/>
    </row>
    <row r="13" spans="1:24" s="141" customFormat="1" ht="22.8">
      <c r="A13" s="116">
        <f t="shared" si="1"/>
        <v>11</v>
      </c>
      <c r="B13" s="117"/>
      <c r="C13" s="117" t="s">
        <v>338</v>
      </c>
      <c r="D13" s="117" t="s">
        <v>318</v>
      </c>
      <c r="E13" s="119" t="s">
        <v>319</v>
      </c>
      <c r="F13" s="142" t="s">
        <v>320</v>
      </c>
      <c r="G13" s="121"/>
      <c r="H13" s="122"/>
      <c r="I13" s="122"/>
      <c r="J13" s="123"/>
      <c r="K13" s="121"/>
      <c r="L13" s="122"/>
      <c r="M13" s="122"/>
      <c r="N13" s="124"/>
      <c r="O13" s="124"/>
      <c r="P13" s="124"/>
      <c r="Q13" s="124"/>
      <c r="R13" s="123" t="s">
        <v>39</v>
      </c>
      <c r="S13" s="143">
        <v>45307</v>
      </c>
      <c r="T13" s="125">
        <v>45680</v>
      </c>
      <c r="U13" s="126"/>
      <c r="V13" s="127"/>
      <c r="W13" s="128"/>
      <c r="X13" s="144" t="s">
        <v>321</v>
      </c>
    </row>
    <row r="14" spans="1:24" s="141" customFormat="1" ht="68.400000000000006">
      <c r="A14" s="116"/>
      <c r="B14" s="117"/>
      <c r="C14" s="117"/>
      <c r="D14" s="119"/>
      <c r="E14" s="119" t="s">
        <v>322</v>
      </c>
      <c r="F14" s="142" t="s">
        <v>323</v>
      </c>
      <c r="G14" s="121"/>
      <c r="H14" s="122"/>
      <c r="I14" s="122"/>
      <c r="J14" s="123"/>
      <c r="K14" s="145"/>
      <c r="L14" s="122"/>
      <c r="M14" s="122"/>
      <c r="N14" s="124"/>
      <c r="O14" s="124"/>
      <c r="P14" s="124"/>
      <c r="Q14" s="124"/>
      <c r="R14" s="123" t="s">
        <v>39</v>
      </c>
      <c r="S14" s="143">
        <v>45307</v>
      </c>
      <c r="T14" s="125">
        <v>45680</v>
      </c>
      <c r="U14" s="126"/>
      <c r="V14" s="127"/>
      <c r="W14" s="128"/>
      <c r="X14" s="144"/>
    </row>
    <row r="15" spans="1:24" s="141" customFormat="1" ht="22.8">
      <c r="A15" s="116"/>
      <c r="B15" s="117"/>
      <c r="C15" s="117"/>
      <c r="D15" s="119"/>
      <c r="E15" s="119" t="s">
        <v>324</v>
      </c>
      <c r="F15" s="142" t="s">
        <v>325</v>
      </c>
      <c r="G15" s="121"/>
      <c r="H15" s="122"/>
      <c r="I15" s="122"/>
      <c r="J15" s="123"/>
      <c r="K15" s="145"/>
      <c r="L15" s="122"/>
      <c r="M15" s="122"/>
      <c r="N15" s="124"/>
      <c r="O15" s="124"/>
      <c r="P15" s="124"/>
      <c r="Q15" s="124"/>
      <c r="R15" s="123" t="s">
        <v>39</v>
      </c>
      <c r="S15" s="143">
        <v>45307</v>
      </c>
      <c r="T15" s="125">
        <v>45680</v>
      </c>
      <c r="U15" s="126"/>
      <c r="V15" s="127"/>
      <c r="W15" s="128"/>
      <c r="X15" s="144"/>
    </row>
    <row r="16" spans="1:24" s="141" customFormat="1" ht="22.8">
      <c r="A16" s="116">
        <f>ROW()-2</f>
        <v>14</v>
      </c>
      <c r="B16" s="117"/>
      <c r="C16" s="117"/>
      <c r="D16" s="117" t="s">
        <v>326</v>
      </c>
      <c r="E16" s="119" t="s">
        <v>327</v>
      </c>
      <c r="F16" s="120" t="s">
        <v>328</v>
      </c>
      <c r="G16" s="121"/>
      <c r="H16" s="122"/>
      <c r="I16" s="122"/>
      <c r="J16" s="123"/>
      <c r="K16" s="124" t="s">
        <v>39</v>
      </c>
      <c r="L16" s="122"/>
      <c r="M16" s="122"/>
      <c r="N16" s="124" t="s">
        <v>39</v>
      </c>
      <c r="O16" s="124"/>
      <c r="P16" s="124"/>
      <c r="Q16" s="124"/>
      <c r="R16" s="123"/>
      <c r="S16" s="143">
        <v>45307</v>
      </c>
      <c r="T16" s="125">
        <v>45680</v>
      </c>
      <c r="U16" s="126"/>
      <c r="V16" s="127"/>
      <c r="W16" s="128"/>
      <c r="X16" s="129"/>
    </row>
    <row r="17" spans="1:24" s="141" customFormat="1" ht="102.6">
      <c r="A17" s="116">
        <f t="shared" si="1"/>
        <v>15</v>
      </c>
      <c r="B17" s="117"/>
      <c r="C17" s="117"/>
      <c r="D17" s="119"/>
      <c r="E17" s="119"/>
      <c r="F17" s="142" t="s">
        <v>339</v>
      </c>
      <c r="G17" s="121"/>
      <c r="H17" s="122"/>
      <c r="I17" s="122"/>
      <c r="J17" s="123"/>
      <c r="K17" s="121"/>
      <c r="L17" s="122"/>
      <c r="M17" s="122"/>
      <c r="N17" s="124"/>
      <c r="O17" s="124"/>
      <c r="P17" s="124"/>
      <c r="Q17" s="124"/>
      <c r="R17" s="123" t="s">
        <v>39</v>
      </c>
      <c r="S17" s="143">
        <v>45307</v>
      </c>
      <c r="T17" s="125">
        <v>45680</v>
      </c>
      <c r="U17" s="126"/>
      <c r="V17" s="127"/>
      <c r="W17" s="128"/>
      <c r="X17" s="129"/>
    </row>
    <row r="18" spans="1:24" s="141" customFormat="1" ht="11.4">
      <c r="A18" s="116">
        <f t="shared" si="2"/>
        <v>16</v>
      </c>
      <c r="B18" s="117"/>
      <c r="C18" s="117"/>
      <c r="D18" s="117" t="s">
        <v>330</v>
      </c>
      <c r="E18" s="119" t="s">
        <v>331</v>
      </c>
      <c r="F18" s="120" t="s">
        <v>332</v>
      </c>
      <c r="G18" s="121"/>
      <c r="H18" s="122"/>
      <c r="I18" s="122"/>
      <c r="J18" s="123"/>
      <c r="K18" s="124" t="s">
        <v>39</v>
      </c>
      <c r="L18" s="122"/>
      <c r="M18" s="122"/>
      <c r="N18" s="124" t="s">
        <v>39</v>
      </c>
      <c r="O18" s="124"/>
      <c r="P18" s="124"/>
      <c r="Q18" s="124"/>
      <c r="R18" s="123"/>
      <c r="S18" s="143">
        <v>45307</v>
      </c>
      <c r="T18" s="125">
        <v>45680</v>
      </c>
      <c r="U18" s="126"/>
      <c r="V18" s="127"/>
      <c r="W18" s="128"/>
      <c r="X18" s="129"/>
    </row>
    <row r="19" spans="1:24" s="141" customFormat="1" ht="57">
      <c r="A19" s="116">
        <f>ROW()-2</f>
        <v>17</v>
      </c>
      <c r="B19" s="117"/>
      <c r="C19" s="117"/>
      <c r="D19" s="117"/>
      <c r="E19" s="119"/>
      <c r="F19" s="120" t="s">
        <v>333</v>
      </c>
      <c r="G19" s="121"/>
      <c r="H19" s="122"/>
      <c r="I19" s="122"/>
      <c r="J19" s="123"/>
      <c r="K19" s="121"/>
      <c r="L19" s="122"/>
      <c r="M19" s="122"/>
      <c r="N19" s="124"/>
      <c r="O19" s="124"/>
      <c r="P19" s="124"/>
      <c r="Q19" s="124"/>
      <c r="R19" s="123" t="s">
        <v>39</v>
      </c>
      <c r="S19" s="143">
        <v>45307</v>
      </c>
      <c r="T19" s="125">
        <v>45680</v>
      </c>
      <c r="U19" s="126"/>
      <c r="V19" s="127"/>
      <c r="W19" s="128"/>
      <c r="X19" s="129"/>
    </row>
    <row r="20" spans="1:24" s="141" customFormat="1" ht="11.4">
      <c r="A20" s="116">
        <f t="shared" si="2"/>
        <v>18</v>
      </c>
      <c r="B20" s="117"/>
      <c r="C20" s="117"/>
      <c r="D20" s="117" t="s">
        <v>334</v>
      </c>
      <c r="E20" s="119" t="s">
        <v>335</v>
      </c>
      <c r="F20" s="120" t="s">
        <v>336</v>
      </c>
      <c r="G20" s="121"/>
      <c r="H20" s="122"/>
      <c r="I20" s="122"/>
      <c r="J20" s="123"/>
      <c r="K20" s="124" t="s">
        <v>39</v>
      </c>
      <c r="L20" s="122"/>
      <c r="M20" s="122"/>
      <c r="N20" s="124" t="s">
        <v>39</v>
      </c>
      <c r="O20" s="124"/>
      <c r="P20" s="124"/>
      <c r="Q20" s="124"/>
      <c r="R20" s="123"/>
      <c r="S20" s="143">
        <v>45307</v>
      </c>
      <c r="T20" s="125">
        <v>45680</v>
      </c>
      <c r="U20" s="126"/>
      <c r="V20" s="127"/>
      <c r="W20" s="128"/>
      <c r="X20" s="129"/>
    </row>
    <row r="21" spans="1:24" s="141" customFormat="1" ht="11.4">
      <c r="A21" s="116">
        <f t="shared" si="2"/>
        <v>19</v>
      </c>
      <c r="B21" s="117"/>
      <c r="C21" s="117"/>
      <c r="D21" s="117"/>
      <c r="E21" s="119"/>
      <c r="F21" s="120" t="s">
        <v>337</v>
      </c>
      <c r="G21" s="121"/>
      <c r="H21" s="122"/>
      <c r="I21" s="122"/>
      <c r="J21" s="123"/>
      <c r="K21" s="121"/>
      <c r="L21" s="122"/>
      <c r="M21" s="122"/>
      <c r="N21" s="124"/>
      <c r="O21" s="124"/>
      <c r="P21" s="124"/>
      <c r="Q21" s="124"/>
      <c r="R21" s="123" t="s">
        <v>39</v>
      </c>
      <c r="S21" s="143">
        <v>45307</v>
      </c>
      <c r="T21" s="125">
        <v>45680</v>
      </c>
      <c r="U21" s="126"/>
      <c r="V21" s="127"/>
      <c r="W21" s="128"/>
      <c r="X21" s="129"/>
    </row>
    <row r="22" spans="1:24" s="3" customFormat="1" ht="12" customHeight="1">
      <c r="A22" s="32"/>
      <c r="B22" s="33"/>
      <c r="C22" s="34"/>
      <c r="D22" s="34"/>
      <c r="E22" s="33"/>
      <c r="F22" s="35" t="s">
        <v>130</v>
      </c>
      <c r="G22" s="36">
        <f t="shared" ref="G22:R22" si="3">COUNTIF(G3:G21,"●")</f>
        <v>0</v>
      </c>
      <c r="H22" s="37">
        <f t="shared" si="3"/>
        <v>0</v>
      </c>
      <c r="I22" s="37">
        <f t="shared" si="3"/>
        <v>0</v>
      </c>
      <c r="J22" s="38">
        <f t="shared" si="3"/>
        <v>0</v>
      </c>
      <c r="K22" s="36">
        <f t="shared" si="3"/>
        <v>6</v>
      </c>
      <c r="L22" s="37">
        <f t="shared" si="3"/>
        <v>0</v>
      </c>
      <c r="M22" s="37">
        <f t="shared" si="3"/>
        <v>0</v>
      </c>
      <c r="N22" s="37">
        <f t="shared" si="3"/>
        <v>6</v>
      </c>
      <c r="O22" s="37">
        <f t="shared" si="3"/>
        <v>0</v>
      </c>
      <c r="P22" s="39">
        <f t="shared" si="3"/>
        <v>0</v>
      </c>
      <c r="Q22" s="39">
        <f t="shared" si="3"/>
        <v>0</v>
      </c>
      <c r="R22" s="38">
        <f t="shared" si="3"/>
        <v>12</v>
      </c>
      <c r="S22" s="136"/>
      <c r="T22" s="157" t="s">
        <v>131</v>
      </c>
      <c r="U22" s="157"/>
      <c r="V22" s="158"/>
      <c r="W22" s="40" t="s">
        <v>132</v>
      </c>
      <c r="X22" s="41">
        <f>SUM(G22:R22)</f>
        <v>24</v>
      </c>
    </row>
    <row r="23" spans="1:24" s="3" customFormat="1" ht="12" customHeight="1">
      <c r="A23" s="42"/>
      <c r="B23" s="43" t="s">
        <v>133</v>
      </c>
      <c r="C23" s="44">
        <f>X24</f>
        <v>24</v>
      </c>
      <c r="D23" s="44"/>
      <c r="E23" s="43"/>
      <c r="F23" s="45" t="s">
        <v>134</v>
      </c>
      <c r="G23" s="46">
        <f t="shared" ref="G23:R23" si="4">COUNTIF(G3:G21,"×")</f>
        <v>0</v>
      </c>
      <c r="H23" s="47">
        <f t="shared" si="4"/>
        <v>0</v>
      </c>
      <c r="I23" s="47">
        <f t="shared" si="4"/>
        <v>0</v>
      </c>
      <c r="J23" s="48">
        <f t="shared" si="4"/>
        <v>0</v>
      </c>
      <c r="K23" s="46">
        <f t="shared" si="4"/>
        <v>0</v>
      </c>
      <c r="L23" s="47">
        <f t="shared" si="4"/>
        <v>0</v>
      </c>
      <c r="M23" s="47">
        <f t="shared" si="4"/>
        <v>0</v>
      </c>
      <c r="N23" s="47">
        <f t="shared" si="4"/>
        <v>0</v>
      </c>
      <c r="O23" s="47">
        <f t="shared" si="4"/>
        <v>0</v>
      </c>
      <c r="P23" s="49">
        <f t="shared" si="4"/>
        <v>0</v>
      </c>
      <c r="Q23" s="49">
        <f t="shared" si="4"/>
        <v>0</v>
      </c>
      <c r="R23" s="48">
        <f t="shared" si="4"/>
        <v>0</v>
      </c>
      <c r="S23" s="137"/>
      <c r="T23" s="159"/>
      <c r="U23" s="159"/>
      <c r="V23" s="160"/>
      <c r="W23" s="50" t="s">
        <v>132</v>
      </c>
      <c r="X23" s="51">
        <f t="shared" ref="X23:X25" si="5">SUM(G23:R23)</f>
        <v>0</v>
      </c>
    </row>
    <row r="24" spans="1:24" s="3" customFormat="1" ht="12" customHeight="1">
      <c r="A24" s="52" t="s">
        <v>135</v>
      </c>
      <c r="B24" s="53"/>
      <c r="C24" s="54"/>
      <c r="D24" s="54"/>
      <c r="E24" s="53"/>
      <c r="F24" s="55" t="s">
        <v>136</v>
      </c>
      <c r="G24" s="46">
        <f>G22+G23</f>
        <v>0</v>
      </c>
      <c r="H24" s="47">
        <f t="shared" ref="H24:R24" si="6">H22+H23</f>
        <v>0</v>
      </c>
      <c r="I24" s="47">
        <f t="shared" si="6"/>
        <v>0</v>
      </c>
      <c r="J24" s="48">
        <f t="shared" si="6"/>
        <v>0</v>
      </c>
      <c r="K24" s="46">
        <f t="shared" si="6"/>
        <v>6</v>
      </c>
      <c r="L24" s="47">
        <f t="shared" si="6"/>
        <v>0</v>
      </c>
      <c r="M24" s="47">
        <f t="shared" si="6"/>
        <v>0</v>
      </c>
      <c r="N24" s="47">
        <f t="shared" si="6"/>
        <v>6</v>
      </c>
      <c r="O24" s="47">
        <f t="shared" si="6"/>
        <v>0</v>
      </c>
      <c r="P24" s="49">
        <f t="shared" si="6"/>
        <v>0</v>
      </c>
      <c r="Q24" s="49">
        <f t="shared" si="6"/>
        <v>0</v>
      </c>
      <c r="R24" s="48">
        <f t="shared" si="6"/>
        <v>12</v>
      </c>
      <c r="S24" s="182"/>
      <c r="T24" s="171">
        <f>COUNTA(T3:T21)</f>
        <v>19</v>
      </c>
      <c r="U24" s="171">
        <f>COUNTA(U3:U21)</f>
        <v>0</v>
      </c>
      <c r="V24" s="171">
        <f>COUNTA(V3:V21)</f>
        <v>0</v>
      </c>
      <c r="W24" s="56" t="s">
        <v>132</v>
      </c>
      <c r="X24" s="51">
        <f t="shared" si="5"/>
        <v>24</v>
      </c>
    </row>
    <row r="25" spans="1:24" s="3" customFormat="1" ht="12" customHeight="1">
      <c r="A25" s="57"/>
      <c r="B25" s="58" t="s">
        <v>137</v>
      </c>
      <c r="C25" s="59">
        <f>X25</f>
        <v>24</v>
      </c>
      <c r="D25" s="59"/>
      <c r="E25" s="58"/>
      <c r="F25" s="60" t="s">
        <v>138</v>
      </c>
      <c r="G25" s="61">
        <f t="shared" ref="G25:R25" si="7">COUNTA(G3:G21)</f>
        <v>0</v>
      </c>
      <c r="H25" s="62">
        <f t="shared" si="7"/>
        <v>0</v>
      </c>
      <c r="I25" s="62">
        <f t="shared" si="7"/>
        <v>0</v>
      </c>
      <c r="J25" s="63">
        <f t="shared" si="7"/>
        <v>0</v>
      </c>
      <c r="K25" s="61">
        <f t="shared" si="7"/>
        <v>6</v>
      </c>
      <c r="L25" s="62">
        <f t="shared" si="7"/>
        <v>0</v>
      </c>
      <c r="M25" s="62">
        <f t="shared" si="7"/>
        <v>0</v>
      </c>
      <c r="N25" s="62">
        <f t="shared" si="7"/>
        <v>6</v>
      </c>
      <c r="O25" s="62">
        <f t="shared" si="7"/>
        <v>0</v>
      </c>
      <c r="P25" s="64">
        <f t="shared" si="7"/>
        <v>0</v>
      </c>
      <c r="Q25" s="64">
        <f t="shared" si="7"/>
        <v>0</v>
      </c>
      <c r="R25" s="63">
        <f t="shared" si="7"/>
        <v>12</v>
      </c>
      <c r="S25" s="183"/>
      <c r="T25" s="172"/>
      <c r="U25" s="172"/>
      <c r="V25" s="172"/>
      <c r="W25" s="65" t="s">
        <v>132</v>
      </c>
      <c r="X25" s="66">
        <f t="shared" si="5"/>
        <v>24</v>
      </c>
    </row>
  </sheetData>
  <mergeCells count="17">
    <mergeCell ref="T24:T25"/>
    <mergeCell ref="U24:U25"/>
    <mergeCell ref="V24:V25"/>
    <mergeCell ref="G1:J1"/>
    <mergeCell ref="K1:R1"/>
    <mergeCell ref="T1:V1"/>
    <mergeCell ref="S24:S25"/>
    <mergeCell ref="S1:S2"/>
    <mergeCell ref="W1:W2"/>
    <mergeCell ref="X1:X2"/>
    <mergeCell ref="T22:V23"/>
    <mergeCell ref="A1:A2"/>
    <mergeCell ref="B1:B2"/>
    <mergeCell ref="C1:C2"/>
    <mergeCell ref="D1:D2"/>
    <mergeCell ref="E1:E2"/>
    <mergeCell ref="F1:F2"/>
  </mergeCells>
  <phoneticPr fontId="12"/>
  <hyperlinks>
    <hyperlink ref="X13" location="【参考】入出金マスタ!A1" display="【参考】入出金マスタ" xr:uid="{27981AFB-5F46-4801-B6C8-23A33590270F}"/>
  </hyperlinks>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1AF54-4B04-4022-9C1D-EE9B9B589489}">
  <sheetPr>
    <pageSetUpPr fitToPage="1"/>
  </sheetPr>
  <dimension ref="A1:X25"/>
  <sheetViews>
    <sheetView tabSelected="1" view="pageBreakPreview" zoomScale="90" zoomScaleNormal="110" zoomScaleSheetLayoutView="90" workbookViewId="0">
      <pane ySplit="2" topLeftCell="A16" activePane="bottomLeft" state="frozen"/>
      <selection activeCell="B8" sqref="B8"/>
      <selection pane="bottomLeft" activeCell="F20" sqref="F20"/>
    </sheetView>
  </sheetViews>
  <sheetFormatPr defaultColWidth="9.375" defaultRowHeight="9" customHeight="1"/>
  <cols>
    <col min="1" max="1" width="5.125" style="2" customWidth="1"/>
    <col min="2" max="2" width="13.875" style="2" customWidth="1"/>
    <col min="3" max="3" width="18.875" style="2" customWidth="1"/>
    <col min="4" max="4" width="26.125" style="2" customWidth="1"/>
    <col min="5" max="5" width="45.5" style="2" customWidth="1"/>
    <col min="6" max="6" width="44.125" style="2" bestFit="1" customWidth="1"/>
    <col min="7" max="13" width="4.5" style="4" bestFit="1" customWidth="1"/>
    <col min="14" max="16" width="4.5" style="4" customWidth="1"/>
    <col min="17" max="17" width="3.625" style="4" bestFit="1" customWidth="1"/>
    <col min="18" max="18" width="4.5" style="4" bestFit="1" customWidth="1"/>
    <col min="19" max="19" width="8.375"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61" t="s">
        <v>6</v>
      </c>
      <c r="B1" s="163" t="s">
        <v>7</v>
      </c>
      <c r="C1" s="165" t="s">
        <v>8</v>
      </c>
      <c r="D1" s="165" t="s">
        <v>9</v>
      </c>
      <c r="E1" s="167" t="s">
        <v>10</v>
      </c>
      <c r="F1" s="169" t="s">
        <v>11</v>
      </c>
      <c r="G1" s="177" t="s">
        <v>12</v>
      </c>
      <c r="H1" s="177"/>
      <c r="I1" s="177"/>
      <c r="J1" s="178"/>
      <c r="K1" s="179" t="s">
        <v>13</v>
      </c>
      <c r="L1" s="180"/>
      <c r="M1" s="180"/>
      <c r="N1" s="181"/>
      <c r="O1" s="181"/>
      <c r="P1" s="181"/>
      <c r="Q1" s="181"/>
      <c r="R1" s="181"/>
      <c r="S1" s="184" t="s">
        <v>139</v>
      </c>
      <c r="T1" s="177" t="s">
        <v>15</v>
      </c>
      <c r="U1" s="177"/>
      <c r="V1" s="177"/>
      <c r="W1" s="155" t="s">
        <v>16</v>
      </c>
      <c r="X1" s="155" t="s">
        <v>17</v>
      </c>
    </row>
    <row r="2" spans="1:24" s="1" customFormat="1" ht="22.8">
      <c r="A2" s="162"/>
      <c r="B2" s="164"/>
      <c r="C2" s="166"/>
      <c r="D2" s="166"/>
      <c r="E2" s="168"/>
      <c r="F2" s="170"/>
      <c r="G2" s="67" t="s">
        <v>18</v>
      </c>
      <c r="H2" s="68" t="s">
        <v>19</v>
      </c>
      <c r="I2" s="69" t="s">
        <v>20</v>
      </c>
      <c r="J2" s="69" t="s">
        <v>21</v>
      </c>
      <c r="K2" s="70" t="s">
        <v>18</v>
      </c>
      <c r="L2" s="69" t="s">
        <v>22</v>
      </c>
      <c r="M2" s="69" t="s">
        <v>23</v>
      </c>
      <c r="N2" s="69" t="s">
        <v>24</v>
      </c>
      <c r="O2" s="69" t="s">
        <v>25</v>
      </c>
      <c r="P2" s="69" t="s">
        <v>26</v>
      </c>
      <c r="Q2" s="69" t="s">
        <v>27</v>
      </c>
      <c r="R2" s="69" t="s">
        <v>28</v>
      </c>
      <c r="S2" s="185"/>
      <c r="T2" s="67" t="s">
        <v>29</v>
      </c>
      <c r="U2" s="68" t="s">
        <v>30</v>
      </c>
      <c r="V2" s="69" t="s">
        <v>31</v>
      </c>
      <c r="W2" s="156"/>
      <c r="X2" s="156"/>
    </row>
    <row r="3" spans="1:24" ht="22.8">
      <c r="A3" s="19">
        <f t="shared" ref="A3" si="0">ROW()-2</f>
        <v>1</v>
      </c>
      <c r="B3" s="20" t="s">
        <v>32</v>
      </c>
      <c r="C3" s="20" t="s">
        <v>340</v>
      </c>
      <c r="D3" s="30"/>
      <c r="E3" s="30"/>
      <c r="F3" s="71"/>
      <c r="G3" s="21"/>
      <c r="H3" s="22"/>
      <c r="I3" s="22"/>
      <c r="J3" s="23"/>
      <c r="K3" s="21"/>
      <c r="L3" s="22"/>
      <c r="M3" s="22"/>
      <c r="N3" s="24"/>
      <c r="O3" s="24"/>
      <c r="P3" s="24"/>
      <c r="Q3" s="24"/>
      <c r="R3" s="23"/>
      <c r="S3" s="135"/>
      <c r="T3" s="25"/>
      <c r="U3" s="26"/>
      <c r="V3" s="27"/>
      <c r="W3" s="28"/>
      <c r="X3" s="29"/>
    </row>
    <row r="4" spans="1:24" ht="22.8">
      <c r="A4" s="19">
        <f>ROW()-2</f>
        <v>2</v>
      </c>
      <c r="B4" s="20" t="s">
        <v>341</v>
      </c>
      <c r="C4" s="20" t="s">
        <v>342</v>
      </c>
      <c r="D4" s="20" t="s">
        <v>343</v>
      </c>
      <c r="E4" s="30" t="s">
        <v>344</v>
      </c>
      <c r="F4" s="71" t="s">
        <v>345</v>
      </c>
      <c r="G4" s="21"/>
      <c r="H4" s="22"/>
      <c r="I4" s="22"/>
      <c r="J4" s="23"/>
      <c r="K4" s="21"/>
      <c r="L4" s="22"/>
      <c r="M4" s="22"/>
      <c r="N4" s="24"/>
      <c r="O4" s="24"/>
      <c r="P4" s="24" t="s">
        <v>159</v>
      </c>
      <c r="Q4" s="24" t="s">
        <v>159</v>
      </c>
      <c r="R4" s="23"/>
      <c r="S4" s="135">
        <v>45307</v>
      </c>
      <c r="T4" s="25"/>
      <c r="U4" s="26">
        <v>45681</v>
      </c>
      <c r="V4" s="27"/>
      <c r="W4" s="28"/>
      <c r="X4" s="29"/>
    </row>
    <row r="5" spans="1:24" ht="34.200000000000003">
      <c r="A5" s="19">
        <f>ROW()-2</f>
        <v>3</v>
      </c>
      <c r="B5" s="20"/>
      <c r="C5" s="20"/>
      <c r="D5" s="20"/>
      <c r="E5" s="30"/>
      <c r="F5" s="71" t="s">
        <v>346</v>
      </c>
      <c r="G5" s="21"/>
      <c r="H5" s="22"/>
      <c r="I5" s="22"/>
      <c r="J5" s="23"/>
      <c r="K5" s="21"/>
      <c r="L5" s="22"/>
      <c r="M5" s="22"/>
      <c r="N5" s="24"/>
      <c r="O5" s="24"/>
      <c r="P5" s="24" t="s">
        <v>159</v>
      </c>
      <c r="Q5" s="24" t="s">
        <v>159</v>
      </c>
      <c r="R5" s="23"/>
      <c r="S5" s="135">
        <v>45307</v>
      </c>
      <c r="T5" s="25"/>
      <c r="U5" s="26">
        <v>45681</v>
      </c>
      <c r="V5" s="27"/>
      <c r="W5" s="28"/>
      <c r="X5" s="29" t="s">
        <v>347</v>
      </c>
    </row>
    <row r="6" spans="1:24" ht="22.8">
      <c r="A6" s="19">
        <f t="shared" ref="A6:A16" si="1">ROW()-2</f>
        <v>4</v>
      </c>
      <c r="B6" s="20"/>
      <c r="C6" s="20"/>
      <c r="D6" s="20" t="s">
        <v>348</v>
      </c>
      <c r="E6" s="30" t="s">
        <v>349</v>
      </c>
      <c r="F6" s="71" t="s">
        <v>345</v>
      </c>
      <c r="G6" s="21"/>
      <c r="H6" s="22"/>
      <c r="I6" s="22"/>
      <c r="J6" s="23"/>
      <c r="K6" s="21"/>
      <c r="L6" s="22"/>
      <c r="M6" s="22"/>
      <c r="N6" s="24"/>
      <c r="O6" s="24"/>
      <c r="P6" s="24" t="s">
        <v>159</v>
      </c>
      <c r="Q6" s="24" t="s">
        <v>159</v>
      </c>
      <c r="R6" s="23"/>
      <c r="S6" s="135">
        <v>45307</v>
      </c>
      <c r="T6" s="25"/>
      <c r="U6" s="26">
        <v>45681</v>
      </c>
      <c r="V6" s="27"/>
      <c r="W6" s="28"/>
      <c r="X6" s="29"/>
    </row>
    <row r="7" spans="1:24" ht="34.200000000000003">
      <c r="A7" s="19">
        <f t="shared" si="1"/>
        <v>5</v>
      </c>
      <c r="B7" s="20"/>
      <c r="C7" s="20"/>
      <c r="D7" s="20"/>
      <c r="E7" s="30"/>
      <c r="F7" s="71" t="s">
        <v>346</v>
      </c>
      <c r="G7" s="21"/>
      <c r="H7" s="22"/>
      <c r="I7" s="22"/>
      <c r="J7" s="23"/>
      <c r="K7" s="21"/>
      <c r="L7" s="22"/>
      <c r="M7" s="22"/>
      <c r="N7" s="24"/>
      <c r="O7" s="24"/>
      <c r="P7" s="24" t="s">
        <v>159</v>
      </c>
      <c r="Q7" s="24" t="s">
        <v>159</v>
      </c>
      <c r="R7" s="23"/>
      <c r="S7" s="135">
        <v>45307</v>
      </c>
      <c r="T7" s="25"/>
      <c r="U7" s="26">
        <v>45681</v>
      </c>
      <c r="V7" s="27"/>
      <c r="W7" s="28"/>
      <c r="X7" s="29" t="s">
        <v>350</v>
      </c>
    </row>
    <row r="8" spans="1:24" ht="22.8">
      <c r="A8" s="19">
        <f t="shared" si="1"/>
        <v>6</v>
      </c>
      <c r="B8" s="20"/>
      <c r="C8" s="20"/>
      <c r="D8" s="20" t="s">
        <v>351</v>
      </c>
      <c r="E8" s="30" t="s">
        <v>352</v>
      </c>
      <c r="F8" s="71" t="s">
        <v>353</v>
      </c>
      <c r="G8" s="21"/>
      <c r="H8" s="22"/>
      <c r="I8" s="22"/>
      <c r="J8" s="23"/>
      <c r="K8" s="21"/>
      <c r="L8" s="22"/>
      <c r="M8" s="22"/>
      <c r="N8" s="24"/>
      <c r="O8" s="24"/>
      <c r="P8" s="24" t="s">
        <v>159</v>
      </c>
      <c r="Q8" s="24" t="s">
        <v>159</v>
      </c>
      <c r="R8" s="23"/>
      <c r="S8" s="135">
        <v>45307</v>
      </c>
      <c r="T8" s="25">
        <v>45681</v>
      </c>
      <c r="U8" s="26"/>
      <c r="V8" s="27"/>
      <c r="W8" s="28"/>
      <c r="X8" s="29"/>
    </row>
    <row r="9" spans="1:24" ht="34.200000000000003">
      <c r="A9" s="19">
        <f t="shared" si="1"/>
        <v>7</v>
      </c>
      <c r="B9" s="20"/>
      <c r="C9" s="20"/>
      <c r="D9" s="20"/>
      <c r="E9" s="30"/>
      <c r="F9" s="71" t="s">
        <v>354</v>
      </c>
      <c r="G9" s="21"/>
      <c r="H9" s="22"/>
      <c r="I9" s="22"/>
      <c r="J9" s="23"/>
      <c r="K9" s="21"/>
      <c r="L9" s="22"/>
      <c r="M9" s="22"/>
      <c r="N9" s="24"/>
      <c r="O9" s="24"/>
      <c r="P9" s="24" t="s">
        <v>159</v>
      </c>
      <c r="Q9" s="24" t="s">
        <v>159</v>
      </c>
      <c r="R9" s="23"/>
      <c r="S9" s="135">
        <v>45307</v>
      </c>
      <c r="T9" s="25">
        <v>45681</v>
      </c>
      <c r="U9" s="26"/>
      <c r="V9" s="27"/>
      <c r="W9" s="28"/>
      <c r="X9" s="29" t="s">
        <v>355</v>
      </c>
    </row>
    <row r="10" spans="1:24" ht="22.8">
      <c r="A10" s="19">
        <f t="shared" si="1"/>
        <v>8</v>
      </c>
      <c r="B10" s="20"/>
      <c r="C10" s="20"/>
      <c r="D10" s="20" t="s">
        <v>356</v>
      </c>
      <c r="E10" s="30" t="s">
        <v>357</v>
      </c>
      <c r="F10" s="71" t="s">
        <v>358</v>
      </c>
      <c r="G10" s="21"/>
      <c r="H10" s="22"/>
      <c r="I10" s="22"/>
      <c r="J10" s="23"/>
      <c r="K10" s="21"/>
      <c r="L10" s="22"/>
      <c r="M10" s="22"/>
      <c r="N10" s="24"/>
      <c r="O10" s="24"/>
      <c r="P10" s="24" t="s">
        <v>159</v>
      </c>
      <c r="Q10" s="24" t="s">
        <v>159</v>
      </c>
      <c r="R10" s="23"/>
      <c r="S10" s="135">
        <v>45307</v>
      </c>
      <c r="T10" s="25"/>
      <c r="U10" s="26">
        <v>45681</v>
      </c>
      <c r="V10" s="27"/>
      <c r="W10" s="28"/>
      <c r="X10" s="29"/>
    </row>
    <row r="11" spans="1:24" ht="34.200000000000003">
      <c r="A11" s="19">
        <f t="shared" si="1"/>
        <v>9</v>
      </c>
      <c r="B11" s="20"/>
      <c r="C11" s="20"/>
      <c r="D11" s="20"/>
      <c r="E11" s="30"/>
      <c r="F11" s="71" t="s">
        <v>359</v>
      </c>
      <c r="G11" s="21"/>
      <c r="H11" s="22"/>
      <c r="I11" s="22"/>
      <c r="J11" s="23"/>
      <c r="K11" s="21"/>
      <c r="L11" s="22"/>
      <c r="M11" s="22"/>
      <c r="N11" s="24"/>
      <c r="O11" s="24"/>
      <c r="P11" s="24" t="s">
        <v>159</v>
      </c>
      <c r="Q11" s="24" t="s">
        <v>159</v>
      </c>
      <c r="R11" s="23"/>
      <c r="S11" s="135">
        <v>45307</v>
      </c>
      <c r="T11" s="25"/>
      <c r="U11" s="26">
        <v>45681</v>
      </c>
      <c r="V11" s="27"/>
      <c r="W11" s="28"/>
      <c r="X11" s="29" t="s">
        <v>360</v>
      </c>
    </row>
    <row r="12" spans="1:24" ht="22.8">
      <c r="A12" s="19">
        <f t="shared" si="1"/>
        <v>10</v>
      </c>
      <c r="B12" s="20"/>
      <c r="C12" s="20"/>
      <c r="D12" s="20" t="s">
        <v>361</v>
      </c>
      <c r="E12" s="30" t="s">
        <v>362</v>
      </c>
      <c r="F12" s="71" t="s">
        <v>358</v>
      </c>
      <c r="G12" s="21"/>
      <c r="H12" s="22"/>
      <c r="I12" s="22"/>
      <c r="J12" s="23"/>
      <c r="K12" s="21"/>
      <c r="L12" s="22"/>
      <c r="M12" s="22"/>
      <c r="N12" s="24"/>
      <c r="O12" s="24"/>
      <c r="P12" s="24" t="s">
        <v>159</v>
      </c>
      <c r="Q12" s="24" t="s">
        <v>159</v>
      </c>
      <c r="R12" s="23"/>
      <c r="S12" s="135">
        <v>45307</v>
      </c>
      <c r="T12" s="138"/>
      <c r="U12" s="139"/>
      <c r="V12" s="140"/>
      <c r="W12" s="28"/>
      <c r="X12" s="29"/>
    </row>
    <row r="13" spans="1:24" ht="34.200000000000003">
      <c r="A13" s="19">
        <f t="shared" si="1"/>
        <v>11</v>
      </c>
      <c r="B13" s="20"/>
      <c r="C13" s="20"/>
      <c r="D13" s="30"/>
      <c r="E13" s="30"/>
      <c r="F13" s="71" t="s">
        <v>363</v>
      </c>
      <c r="G13" s="21"/>
      <c r="H13" s="22"/>
      <c r="I13" s="22"/>
      <c r="J13" s="23"/>
      <c r="K13" s="21"/>
      <c r="L13" s="22"/>
      <c r="M13" s="22"/>
      <c r="N13" s="24"/>
      <c r="O13" s="24"/>
      <c r="P13" s="24" t="s">
        <v>159</v>
      </c>
      <c r="Q13" s="24" t="s">
        <v>159</v>
      </c>
      <c r="R13" s="23"/>
      <c r="S13" s="135">
        <v>45307</v>
      </c>
      <c r="T13" s="138"/>
      <c r="U13" s="139"/>
      <c r="V13" s="140"/>
      <c r="W13" s="28"/>
      <c r="X13" s="29" t="s">
        <v>364</v>
      </c>
    </row>
    <row r="14" spans="1:24" ht="22.8">
      <c r="A14" s="19">
        <f t="shared" si="1"/>
        <v>12</v>
      </c>
      <c r="B14" s="20"/>
      <c r="C14" s="20"/>
      <c r="D14" s="30" t="s">
        <v>365</v>
      </c>
      <c r="E14" s="30" t="s">
        <v>365</v>
      </c>
      <c r="F14" s="71" t="s">
        <v>366</v>
      </c>
      <c r="G14" s="21"/>
      <c r="H14" s="22"/>
      <c r="I14" s="22"/>
      <c r="J14" s="23"/>
      <c r="K14" s="21"/>
      <c r="L14" s="22"/>
      <c r="M14" s="22"/>
      <c r="N14" s="24"/>
      <c r="O14" s="24"/>
      <c r="P14" s="24" t="s">
        <v>159</v>
      </c>
      <c r="Q14" s="24" t="s">
        <v>159</v>
      </c>
      <c r="R14" s="23"/>
      <c r="S14" s="135">
        <v>45307</v>
      </c>
      <c r="T14" s="138"/>
      <c r="U14" s="139"/>
      <c r="V14" s="138"/>
      <c r="W14" s="28"/>
      <c r="X14" s="29"/>
    </row>
    <row r="15" spans="1:24" ht="22.8">
      <c r="A15" s="19">
        <f t="shared" si="1"/>
        <v>13</v>
      </c>
      <c r="B15" s="20"/>
      <c r="C15" s="20"/>
      <c r="D15" s="30"/>
      <c r="E15" s="30"/>
      <c r="F15" s="71" t="s">
        <v>367</v>
      </c>
      <c r="G15" s="21"/>
      <c r="H15" s="22"/>
      <c r="I15" s="22"/>
      <c r="J15" s="23"/>
      <c r="K15" s="21"/>
      <c r="L15" s="22"/>
      <c r="M15" s="22"/>
      <c r="N15" s="24"/>
      <c r="O15" s="24"/>
      <c r="P15" s="24" t="s">
        <v>159</v>
      </c>
      <c r="Q15" s="24" t="s">
        <v>159</v>
      </c>
      <c r="R15" s="23"/>
      <c r="S15" s="135">
        <v>45307</v>
      </c>
      <c r="T15" s="138"/>
      <c r="U15" s="139"/>
      <c r="V15" s="139"/>
      <c r="W15" s="28"/>
      <c r="X15" s="29" t="s">
        <v>368</v>
      </c>
    </row>
    <row r="16" spans="1:24" ht="22.8">
      <c r="A16" s="19">
        <f t="shared" si="1"/>
        <v>14</v>
      </c>
      <c r="B16" s="20"/>
      <c r="C16" s="20"/>
      <c r="D16" s="20" t="s">
        <v>369</v>
      </c>
      <c r="E16" s="30" t="s">
        <v>369</v>
      </c>
      <c r="F16" s="71" t="s">
        <v>370</v>
      </c>
      <c r="G16" s="21"/>
      <c r="H16" s="22"/>
      <c r="I16" s="22"/>
      <c r="J16" s="23"/>
      <c r="K16" s="21"/>
      <c r="L16" s="22"/>
      <c r="M16" s="22"/>
      <c r="N16" s="24"/>
      <c r="O16" s="24"/>
      <c r="P16" s="24" t="s">
        <v>159</v>
      </c>
      <c r="Q16" s="24" t="s">
        <v>159</v>
      </c>
      <c r="R16" s="23"/>
      <c r="S16" s="135">
        <v>45307</v>
      </c>
      <c r="T16" s="138"/>
      <c r="U16" s="139"/>
      <c r="V16" s="140"/>
      <c r="W16" s="28"/>
      <c r="X16" s="29"/>
    </row>
    <row r="17" spans="1:24" ht="22.8">
      <c r="A17" s="19">
        <f t="shared" ref="A17:A21" si="2">ROW()-2</f>
        <v>15</v>
      </c>
      <c r="B17" s="20"/>
      <c r="C17" s="20"/>
      <c r="D17" s="30"/>
      <c r="E17" s="30"/>
      <c r="F17" s="71" t="s">
        <v>367</v>
      </c>
      <c r="G17" s="21"/>
      <c r="H17" s="22"/>
      <c r="I17" s="22"/>
      <c r="J17" s="23"/>
      <c r="K17" s="21"/>
      <c r="L17" s="22"/>
      <c r="M17" s="22"/>
      <c r="N17" s="24"/>
      <c r="O17" s="24"/>
      <c r="P17" s="24" t="s">
        <v>159</v>
      </c>
      <c r="Q17" s="24" t="s">
        <v>159</v>
      </c>
      <c r="R17" s="23"/>
      <c r="S17" s="135">
        <v>45307</v>
      </c>
      <c r="T17" s="138"/>
      <c r="U17" s="139"/>
      <c r="V17" s="139"/>
      <c r="W17" s="28"/>
      <c r="X17" s="29" t="s">
        <v>371</v>
      </c>
    </row>
    <row r="18" spans="1:24" ht="22.8">
      <c r="A18" s="19">
        <f t="shared" si="2"/>
        <v>16</v>
      </c>
      <c r="B18" s="20"/>
      <c r="C18" s="20"/>
      <c r="D18" s="30" t="s">
        <v>372</v>
      </c>
      <c r="E18" s="30" t="s">
        <v>372</v>
      </c>
      <c r="F18" s="71" t="s">
        <v>345</v>
      </c>
      <c r="G18" s="21"/>
      <c r="H18" s="22"/>
      <c r="I18" s="22"/>
      <c r="J18" s="23"/>
      <c r="K18" s="21"/>
      <c r="L18" s="22"/>
      <c r="M18" s="22"/>
      <c r="N18" s="24"/>
      <c r="O18" s="24"/>
      <c r="P18" s="24" t="s">
        <v>159</v>
      </c>
      <c r="Q18" s="24" t="s">
        <v>159</v>
      </c>
      <c r="R18" s="23"/>
      <c r="S18" s="135">
        <v>45307</v>
      </c>
      <c r="T18" s="138"/>
      <c r="U18" s="139"/>
      <c r="V18" s="139"/>
      <c r="W18" s="28"/>
      <c r="X18" s="29"/>
    </row>
    <row r="19" spans="1:24" ht="22.8">
      <c r="A19" s="19">
        <f t="shared" si="2"/>
        <v>17</v>
      </c>
      <c r="B19" s="20"/>
      <c r="C19" s="20"/>
      <c r="D19" s="30"/>
      <c r="E19" s="30"/>
      <c r="F19" s="71" t="s">
        <v>367</v>
      </c>
      <c r="G19" s="21"/>
      <c r="H19" s="22"/>
      <c r="I19" s="22"/>
      <c r="J19" s="23"/>
      <c r="K19" s="21"/>
      <c r="L19" s="22"/>
      <c r="M19" s="22"/>
      <c r="N19" s="24"/>
      <c r="O19" s="24"/>
      <c r="P19" s="24" t="s">
        <v>159</v>
      </c>
      <c r="Q19" s="24" t="s">
        <v>159</v>
      </c>
      <c r="R19" s="23"/>
      <c r="S19" s="135">
        <v>45307</v>
      </c>
      <c r="T19" s="138"/>
      <c r="U19" s="139"/>
      <c r="V19" s="139"/>
      <c r="W19" s="28"/>
      <c r="X19" s="29" t="s">
        <v>373</v>
      </c>
    </row>
    <row r="20" spans="1:24" ht="182.4">
      <c r="A20" s="19">
        <f t="shared" si="2"/>
        <v>18</v>
      </c>
      <c r="B20" s="20"/>
      <c r="C20" s="20"/>
      <c r="D20" s="20" t="s">
        <v>374</v>
      </c>
      <c r="E20" s="30" t="s">
        <v>375</v>
      </c>
      <c r="F20" s="71" t="s">
        <v>376</v>
      </c>
      <c r="G20" s="21"/>
      <c r="H20" s="22"/>
      <c r="I20" s="22"/>
      <c r="J20" s="23"/>
      <c r="K20" s="21" t="s">
        <v>159</v>
      </c>
      <c r="L20" s="22"/>
      <c r="M20" s="22"/>
      <c r="N20" s="24"/>
      <c r="O20" s="24"/>
      <c r="P20" s="24"/>
      <c r="Q20" s="24"/>
      <c r="R20" s="23"/>
      <c r="S20" s="135">
        <v>45307</v>
      </c>
      <c r="T20" s="138"/>
      <c r="U20" s="139"/>
      <c r="V20" s="140"/>
      <c r="W20" s="28"/>
      <c r="X20" s="29" t="s">
        <v>945</v>
      </c>
    </row>
    <row r="21" spans="1:24" ht="68.400000000000006">
      <c r="A21" s="19">
        <f t="shared" si="2"/>
        <v>19</v>
      </c>
      <c r="B21" s="20"/>
      <c r="C21" s="20"/>
      <c r="D21" s="20"/>
      <c r="E21" s="30" t="s">
        <v>377</v>
      </c>
      <c r="F21" s="71" t="s">
        <v>378</v>
      </c>
      <c r="G21" s="21"/>
      <c r="H21" s="22" t="s">
        <v>159</v>
      </c>
      <c r="I21" s="22"/>
      <c r="J21" s="23"/>
      <c r="K21" s="21"/>
      <c r="L21" s="22"/>
      <c r="M21" s="22"/>
      <c r="N21" s="24"/>
      <c r="O21" s="24"/>
      <c r="P21" s="24"/>
      <c r="Q21" s="24"/>
      <c r="R21" s="23"/>
      <c r="S21" s="135">
        <v>45307</v>
      </c>
      <c r="T21" s="138"/>
      <c r="U21" s="139"/>
      <c r="V21" s="140"/>
      <c r="W21" s="28"/>
      <c r="X21" s="29"/>
    </row>
    <row r="22" spans="1:24" s="3" customFormat="1" ht="12" customHeight="1">
      <c r="A22" s="32"/>
      <c r="B22" s="33"/>
      <c r="C22" s="34"/>
      <c r="D22" s="34"/>
      <c r="E22" s="33"/>
      <c r="F22" s="35" t="s">
        <v>130</v>
      </c>
      <c r="G22" s="36">
        <f t="shared" ref="G22:R22" si="3">COUNTIF(G4:G21,"●")</f>
        <v>0</v>
      </c>
      <c r="H22" s="37">
        <f t="shared" si="3"/>
        <v>0</v>
      </c>
      <c r="I22" s="37">
        <f t="shared" si="3"/>
        <v>0</v>
      </c>
      <c r="J22" s="38">
        <f t="shared" si="3"/>
        <v>0</v>
      </c>
      <c r="K22" s="36">
        <f t="shared" si="3"/>
        <v>0</v>
      </c>
      <c r="L22" s="37">
        <f t="shared" si="3"/>
        <v>0</v>
      </c>
      <c r="M22" s="37">
        <f t="shared" si="3"/>
        <v>0</v>
      </c>
      <c r="N22" s="37">
        <f t="shared" si="3"/>
        <v>0</v>
      </c>
      <c r="O22" s="37">
        <f t="shared" si="3"/>
        <v>0</v>
      </c>
      <c r="P22" s="39">
        <f t="shared" si="3"/>
        <v>0</v>
      </c>
      <c r="Q22" s="39">
        <f t="shared" si="3"/>
        <v>0</v>
      </c>
      <c r="R22" s="38">
        <f t="shared" si="3"/>
        <v>0</v>
      </c>
      <c r="S22" s="136"/>
      <c r="T22" s="157" t="s">
        <v>131</v>
      </c>
      <c r="U22" s="157"/>
      <c r="V22" s="158"/>
      <c r="W22" s="40" t="s">
        <v>132</v>
      </c>
      <c r="X22" s="41">
        <f>SUM(G22:R22)</f>
        <v>0</v>
      </c>
    </row>
    <row r="23" spans="1:24" s="3" customFormat="1" ht="12" customHeight="1">
      <c r="A23" s="42"/>
      <c r="B23" s="43" t="s">
        <v>133</v>
      </c>
      <c r="C23" s="44">
        <f>X24</f>
        <v>0</v>
      </c>
      <c r="D23" s="44"/>
      <c r="E23" s="43"/>
      <c r="F23" s="45" t="s">
        <v>134</v>
      </c>
      <c r="G23" s="46">
        <f t="shared" ref="G23:R23" si="4">COUNTIF(G4:G21,"×")</f>
        <v>0</v>
      </c>
      <c r="H23" s="47">
        <f t="shared" si="4"/>
        <v>0</v>
      </c>
      <c r="I23" s="47">
        <f t="shared" si="4"/>
        <v>0</v>
      </c>
      <c r="J23" s="48">
        <f t="shared" si="4"/>
        <v>0</v>
      </c>
      <c r="K23" s="46">
        <f t="shared" si="4"/>
        <v>0</v>
      </c>
      <c r="L23" s="47">
        <f t="shared" si="4"/>
        <v>0</v>
      </c>
      <c r="M23" s="47">
        <f t="shared" si="4"/>
        <v>0</v>
      </c>
      <c r="N23" s="47">
        <f t="shared" si="4"/>
        <v>0</v>
      </c>
      <c r="O23" s="47">
        <f t="shared" si="4"/>
        <v>0</v>
      </c>
      <c r="P23" s="49">
        <f t="shared" si="4"/>
        <v>0</v>
      </c>
      <c r="Q23" s="49">
        <f t="shared" si="4"/>
        <v>0</v>
      </c>
      <c r="R23" s="48">
        <f t="shared" si="4"/>
        <v>0</v>
      </c>
      <c r="S23" s="137"/>
      <c r="T23" s="159"/>
      <c r="U23" s="159"/>
      <c r="V23" s="160"/>
      <c r="W23" s="50" t="s">
        <v>132</v>
      </c>
      <c r="X23" s="51">
        <f t="shared" ref="X23:X25" si="5">SUM(G23:R23)</f>
        <v>0</v>
      </c>
    </row>
    <row r="24" spans="1:24" s="3" customFormat="1" ht="11.4">
      <c r="A24" s="52" t="s">
        <v>135</v>
      </c>
      <c r="B24" s="53"/>
      <c r="C24" s="54"/>
      <c r="D24" s="54"/>
      <c r="E24" s="53"/>
      <c r="F24" s="55" t="s">
        <v>136</v>
      </c>
      <c r="G24" s="46">
        <f t="shared" ref="G24:R24" si="6">G22+G23</f>
        <v>0</v>
      </c>
      <c r="H24" s="47">
        <f t="shared" si="6"/>
        <v>0</v>
      </c>
      <c r="I24" s="47">
        <f t="shared" si="6"/>
        <v>0</v>
      </c>
      <c r="J24" s="48">
        <f t="shared" si="6"/>
        <v>0</v>
      </c>
      <c r="K24" s="46">
        <f t="shared" si="6"/>
        <v>0</v>
      </c>
      <c r="L24" s="47">
        <f t="shared" si="6"/>
        <v>0</v>
      </c>
      <c r="M24" s="47">
        <f t="shared" si="6"/>
        <v>0</v>
      </c>
      <c r="N24" s="47">
        <f t="shared" si="6"/>
        <v>0</v>
      </c>
      <c r="O24" s="47">
        <f t="shared" si="6"/>
        <v>0</v>
      </c>
      <c r="P24" s="49">
        <f t="shared" si="6"/>
        <v>0</v>
      </c>
      <c r="Q24" s="49">
        <f t="shared" si="6"/>
        <v>0</v>
      </c>
      <c r="R24" s="48">
        <f t="shared" si="6"/>
        <v>0</v>
      </c>
      <c r="S24" s="182"/>
      <c r="T24" s="171">
        <f>COUNTA(T3:T21)</f>
        <v>2</v>
      </c>
      <c r="U24" s="173">
        <f>COUNTA(U3:U21)</f>
        <v>6</v>
      </c>
      <c r="V24" s="175">
        <f>COUNTA(V3:V21)</f>
        <v>0</v>
      </c>
      <c r="W24" s="56" t="s">
        <v>132</v>
      </c>
      <c r="X24" s="51">
        <f t="shared" si="5"/>
        <v>0</v>
      </c>
    </row>
    <row r="25" spans="1:24" s="3" customFormat="1" ht="11.4">
      <c r="A25" s="57"/>
      <c r="B25" s="58" t="s">
        <v>137</v>
      </c>
      <c r="C25" s="59">
        <f>X25</f>
        <v>34</v>
      </c>
      <c r="D25" s="59"/>
      <c r="E25" s="58"/>
      <c r="F25" s="60" t="s">
        <v>138</v>
      </c>
      <c r="G25" s="61">
        <f t="shared" ref="G25:R25" si="7">COUNTA(G4:G21)</f>
        <v>0</v>
      </c>
      <c r="H25" s="62">
        <f t="shared" si="7"/>
        <v>1</v>
      </c>
      <c r="I25" s="62">
        <f t="shared" si="7"/>
        <v>0</v>
      </c>
      <c r="J25" s="63">
        <f t="shared" si="7"/>
        <v>0</v>
      </c>
      <c r="K25" s="61">
        <f t="shared" si="7"/>
        <v>1</v>
      </c>
      <c r="L25" s="62">
        <f t="shared" si="7"/>
        <v>0</v>
      </c>
      <c r="M25" s="62">
        <f t="shared" si="7"/>
        <v>0</v>
      </c>
      <c r="N25" s="62">
        <f t="shared" si="7"/>
        <v>0</v>
      </c>
      <c r="O25" s="62">
        <f t="shared" si="7"/>
        <v>0</v>
      </c>
      <c r="P25" s="64">
        <f t="shared" si="7"/>
        <v>16</v>
      </c>
      <c r="Q25" s="64">
        <f t="shared" si="7"/>
        <v>16</v>
      </c>
      <c r="R25" s="63">
        <f t="shared" si="7"/>
        <v>0</v>
      </c>
      <c r="S25" s="183"/>
      <c r="T25" s="172"/>
      <c r="U25" s="174"/>
      <c r="V25" s="176"/>
      <c r="W25" s="65" t="s">
        <v>132</v>
      </c>
      <c r="X25" s="66">
        <f t="shared" si="5"/>
        <v>34</v>
      </c>
    </row>
  </sheetData>
  <mergeCells count="17">
    <mergeCell ref="T24:T25"/>
    <mergeCell ref="U24:U25"/>
    <mergeCell ref="V24:V25"/>
    <mergeCell ref="G1:J1"/>
    <mergeCell ref="K1:R1"/>
    <mergeCell ref="T1:V1"/>
    <mergeCell ref="S24:S25"/>
    <mergeCell ref="S1:S2"/>
    <mergeCell ref="W1:W2"/>
    <mergeCell ref="X1:X2"/>
    <mergeCell ref="T22:V23"/>
    <mergeCell ref="A1:A2"/>
    <mergeCell ref="B1:B2"/>
    <mergeCell ref="C1:C2"/>
    <mergeCell ref="D1:D2"/>
    <mergeCell ref="E1:E2"/>
    <mergeCell ref="F1:F2"/>
  </mergeCells>
  <phoneticPr fontId="12"/>
  <printOptions horizontalCentered="1"/>
  <pageMargins left="0.19685039370078741" right="0.19685039370078741" top="0.59055118110236227" bottom="0.59055118110236227" header="0.51181102362204722" footer="0.31496062992125984"/>
  <pageSetup paperSize="9" scale="57" fitToHeight="0" orientation="landscape" r:id="rId1"/>
  <headerFooter alignWithMargins="0">
    <oddFooter>&amp;RAll Rights Reserved Copyright © Fujitsu Ltd.2017</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CDFF6-B855-4417-9115-C39361718449}">
  <sheetPr>
    <tabColor theme="0" tint="-0.249977111117893"/>
  </sheetPr>
  <dimension ref="B4:P21"/>
  <sheetViews>
    <sheetView workbookViewId="0"/>
  </sheetViews>
  <sheetFormatPr defaultRowHeight="10.8"/>
  <cols>
    <col min="3" max="3" width="8.875" customWidth="1"/>
    <col min="4" max="4" width="9" customWidth="1"/>
  </cols>
  <sheetData>
    <row r="4" spans="2:16" ht="13.2">
      <c r="B4" s="75" t="s">
        <v>379</v>
      </c>
      <c r="C4" s="73"/>
      <c r="D4" s="76"/>
      <c r="E4" s="76"/>
      <c r="F4" s="76"/>
      <c r="G4" s="77"/>
      <c r="H4" s="77"/>
      <c r="I4" s="77"/>
      <c r="J4" s="77"/>
      <c r="K4" s="77"/>
      <c r="L4" s="77"/>
      <c r="M4" s="77"/>
      <c r="N4" s="77"/>
      <c r="O4" s="77"/>
      <c r="P4" s="78"/>
    </row>
    <row r="5" spans="2:16" ht="13.2">
      <c r="B5" s="75" t="s">
        <v>380</v>
      </c>
      <c r="C5" s="73"/>
      <c r="D5" s="76"/>
      <c r="E5" s="76"/>
      <c r="F5" s="76"/>
      <c r="G5" s="77"/>
      <c r="H5" s="77"/>
      <c r="I5" s="77"/>
      <c r="J5" s="77"/>
      <c r="K5" s="77"/>
      <c r="L5" s="77"/>
      <c r="M5" s="77"/>
      <c r="N5" s="77"/>
      <c r="O5" s="77"/>
      <c r="P5" s="79"/>
    </row>
    <row r="6" spans="2:16" ht="13.2">
      <c r="B6" s="82" t="s">
        <v>381</v>
      </c>
      <c r="C6" s="188" t="s">
        <v>382</v>
      </c>
      <c r="D6" s="189"/>
      <c r="E6" s="80" t="s">
        <v>383</v>
      </c>
      <c r="F6" s="80" t="s">
        <v>384</v>
      </c>
      <c r="G6" s="190" t="s">
        <v>385</v>
      </c>
      <c r="H6" s="191"/>
      <c r="I6" s="191"/>
      <c r="J6" s="191"/>
      <c r="K6" s="191"/>
      <c r="L6" s="191"/>
      <c r="M6" s="191"/>
      <c r="N6" s="191"/>
      <c r="O6" s="191"/>
      <c r="P6" s="188"/>
    </row>
    <row r="7" spans="2:16" ht="22.2" customHeight="1">
      <c r="B7" s="83">
        <v>1</v>
      </c>
      <c r="C7" s="186" t="s">
        <v>386</v>
      </c>
      <c r="D7" s="186"/>
      <c r="E7" s="81">
        <v>1</v>
      </c>
      <c r="F7" s="81" t="s">
        <v>387</v>
      </c>
      <c r="G7" s="187" t="s">
        <v>388</v>
      </c>
      <c r="H7" s="187"/>
      <c r="I7" s="187"/>
      <c r="J7" s="187"/>
      <c r="K7" s="187"/>
      <c r="L7" s="187"/>
      <c r="M7" s="187"/>
      <c r="N7" s="187"/>
      <c r="O7" s="187"/>
      <c r="P7" s="187"/>
    </row>
    <row r="8" spans="2:16">
      <c r="B8" s="192">
        <v>2</v>
      </c>
      <c r="C8" s="186" t="s">
        <v>389</v>
      </c>
      <c r="D8" s="186"/>
      <c r="E8" s="186">
        <v>16</v>
      </c>
      <c r="F8" s="186" t="s">
        <v>390</v>
      </c>
      <c r="G8" s="193" t="s">
        <v>391</v>
      </c>
      <c r="H8" s="193"/>
      <c r="I8" s="193"/>
      <c r="J8" s="193"/>
      <c r="K8" s="193"/>
      <c r="L8" s="193"/>
      <c r="M8" s="193"/>
      <c r="N8" s="193"/>
      <c r="O8" s="193"/>
      <c r="P8" s="193"/>
    </row>
    <row r="9" spans="2:16">
      <c r="B9" s="192"/>
      <c r="C9" s="186"/>
      <c r="D9" s="186"/>
      <c r="E9" s="186"/>
      <c r="F9" s="186"/>
      <c r="G9" s="193"/>
      <c r="H9" s="193"/>
      <c r="I9" s="193"/>
      <c r="J9" s="193"/>
      <c r="K9" s="193"/>
      <c r="L9" s="193"/>
      <c r="M9" s="193"/>
      <c r="N9" s="193"/>
      <c r="O9" s="193"/>
      <c r="P9" s="193"/>
    </row>
    <row r="10" spans="2:16">
      <c r="B10" s="192"/>
      <c r="C10" s="186"/>
      <c r="D10" s="186"/>
      <c r="E10" s="186"/>
      <c r="F10" s="186"/>
      <c r="G10" s="193"/>
      <c r="H10" s="193"/>
      <c r="I10" s="193"/>
      <c r="J10" s="193"/>
      <c r="K10" s="193"/>
      <c r="L10" s="193"/>
      <c r="M10" s="193"/>
      <c r="N10" s="193"/>
      <c r="O10" s="193"/>
      <c r="P10" s="193"/>
    </row>
    <row r="11" spans="2:16" ht="36.6" customHeight="1">
      <c r="B11" s="192"/>
      <c r="C11" s="186"/>
      <c r="D11" s="186"/>
      <c r="E11" s="186"/>
      <c r="F11" s="186"/>
      <c r="G11" s="193"/>
      <c r="H11" s="193"/>
      <c r="I11" s="193"/>
      <c r="J11" s="193"/>
      <c r="K11" s="193"/>
      <c r="L11" s="193"/>
      <c r="M11" s="193"/>
      <c r="N11" s="193"/>
      <c r="O11" s="193"/>
      <c r="P11" s="193"/>
    </row>
    <row r="12" spans="2:16" ht="13.2">
      <c r="B12" s="83">
        <v>3</v>
      </c>
      <c r="C12" s="186" t="s">
        <v>392</v>
      </c>
      <c r="D12" s="186"/>
      <c r="E12" s="81">
        <v>1</v>
      </c>
      <c r="F12" s="81" t="s">
        <v>387</v>
      </c>
      <c r="G12" s="187" t="s">
        <v>393</v>
      </c>
      <c r="H12" s="187"/>
      <c r="I12" s="187"/>
      <c r="J12" s="187"/>
      <c r="K12" s="187"/>
      <c r="L12" s="187"/>
      <c r="M12" s="187"/>
      <c r="N12" s="187"/>
      <c r="O12" s="187"/>
      <c r="P12" s="187"/>
    </row>
    <row r="13" spans="2:16" ht="13.2">
      <c r="B13" s="83">
        <v>4</v>
      </c>
      <c r="C13" s="186" t="s">
        <v>394</v>
      </c>
      <c r="D13" s="186"/>
      <c r="E13" s="81">
        <v>4</v>
      </c>
      <c r="F13" s="81" t="s">
        <v>390</v>
      </c>
      <c r="G13" s="187" t="s">
        <v>395</v>
      </c>
      <c r="H13" s="187"/>
      <c r="I13" s="187"/>
      <c r="J13" s="187"/>
      <c r="K13" s="187"/>
      <c r="L13" s="187"/>
      <c r="M13" s="187"/>
      <c r="N13" s="187"/>
      <c r="O13" s="187"/>
      <c r="P13" s="187"/>
    </row>
    <row r="14" spans="2:16" ht="26.4" customHeight="1">
      <c r="B14" s="192">
        <v>5</v>
      </c>
      <c r="C14" s="186" t="s">
        <v>396</v>
      </c>
      <c r="D14" s="186"/>
      <c r="E14" s="186">
        <v>16</v>
      </c>
      <c r="F14" s="186" t="s">
        <v>390</v>
      </c>
      <c r="G14" s="193" t="s">
        <v>397</v>
      </c>
      <c r="H14" s="193"/>
      <c r="I14" s="193"/>
      <c r="J14" s="193"/>
      <c r="K14" s="193"/>
      <c r="L14" s="193"/>
      <c r="M14" s="193"/>
      <c r="N14" s="193"/>
      <c r="O14" s="193"/>
      <c r="P14" s="193"/>
    </row>
    <row r="15" spans="2:16">
      <c r="B15" s="192"/>
      <c r="C15" s="186"/>
      <c r="D15" s="186"/>
      <c r="E15" s="186"/>
      <c r="F15" s="186"/>
      <c r="G15" s="193"/>
      <c r="H15" s="193"/>
      <c r="I15" s="193"/>
      <c r="J15" s="193"/>
      <c r="K15" s="193"/>
      <c r="L15" s="193"/>
      <c r="M15" s="193"/>
      <c r="N15" s="193"/>
      <c r="O15" s="193"/>
      <c r="P15" s="193"/>
    </row>
    <row r="16" spans="2:16">
      <c r="B16" s="192"/>
      <c r="C16" s="186"/>
      <c r="D16" s="186"/>
      <c r="E16" s="186"/>
      <c r="F16" s="186"/>
      <c r="G16" s="193"/>
      <c r="H16" s="193"/>
      <c r="I16" s="193"/>
      <c r="J16" s="193"/>
      <c r="K16" s="193"/>
      <c r="L16" s="193"/>
      <c r="M16" s="193"/>
      <c r="N16" s="193"/>
      <c r="O16" s="193"/>
      <c r="P16" s="193"/>
    </row>
    <row r="17" spans="2:16">
      <c r="B17" s="192"/>
      <c r="C17" s="186"/>
      <c r="D17" s="186"/>
      <c r="E17" s="186"/>
      <c r="F17" s="186"/>
      <c r="G17" s="193"/>
      <c r="H17" s="193"/>
      <c r="I17" s="193"/>
      <c r="J17" s="193"/>
      <c r="K17" s="193"/>
      <c r="L17" s="193"/>
      <c r="M17" s="193"/>
      <c r="N17" s="193"/>
      <c r="O17" s="193"/>
      <c r="P17" s="193"/>
    </row>
    <row r="18" spans="2:16" ht="13.2">
      <c r="B18" s="83">
        <v>6</v>
      </c>
      <c r="C18" s="186" t="s">
        <v>398</v>
      </c>
      <c r="D18" s="186"/>
      <c r="E18" s="81">
        <v>1</v>
      </c>
      <c r="F18" s="81" t="s">
        <v>387</v>
      </c>
      <c r="G18" s="187" t="s">
        <v>399</v>
      </c>
      <c r="H18" s="187"/>
      <c r="I18" s="187"/>
      <c r="J18" s="187"/>
      <c r="K18" s="187"/>
      <c r="L18" s="187"/>
      <c r="M18" s="187"/>
      <c r="N18" s="187"/>
      <c r="O18" s="187"/>
      <c r="P18" s="187"/>
    </row>
    <row r="19" spans="2:16">
      <c r="B19" s="194">
        <v>7</v>
      </c>
      <c r="C19" s="195" t="s">
        <v>400</v>
      </c>
      <c r="D19" s="195"/>
      <c r="E19" s="195">
        <v>41</v>
      </c>
      <c r="F19" s="195" t="s">
        <v>401</v>
      </c>
      <c r="G19" s="193" t="s">
        <v>402</v>
      </c>
      <c r="H19" s="193"/>
      <c r="I19" s="193"/>
      <c r="J19" s="193"/>
      <c r="K19" s="193"/>
      <c r="L19" s="193"/>
      <c r="M19" s="193"/>
      <c r="N19" s="193"/>
      <c r="O19" s="193"/>
      <c r="P19" s="193"/>
    </row>
    <row r="20" spans="2:16">
      <c r="B20" s="194"/>
      <c r="C20" s="195"/>
      <c r="D20" s="195"/>
      <c r="E20" s="195"/>
      <c r="F20" s="195"/>
      <c r="G20" s="193"/>
      <c r="H20" s="193"/>
      <c r="I20" s="193"/>
      <c r="J20" s="193"/>
      <c r="K20" s="193"/>
      <c r="L20" s="193"/>
      <c r="M20" s="193"/>
      <c r="N20" s="193"/>
      <c r="O20" s="193"/>
      <c r="P20" s="193"/>
    </row>
    <row r="21" spans="2:16" ht="28.2" customHeight="1">
      <c r="B21" s="194"/>
      <c r="C21" s="195"/>
      <c r="D21" s="195"/>
      <c r="E21" s="195"/>
      <c r="F21" s="195"/>
      <c r="G21" s="193"/>
      <c r="H21" s="193"/>
      <c r="I21" s="193"/>
      <c r="J21" s="193"/>
      <c r="K21" s="193"/>
      <c r="L21" s="193"/>
      <c r="M21" s="193"/>
      <c r="N21" s="193"/>
      <c r="O21" s="193"/>
      <c r="P21" s="193"/>
    </row>
  </sheetData>
  <mergeCells count="25">
    <mergeCell ref="C18:D18"/>
    <mergeCell ref="G18:P18"/>
    <mergeCell ref="B19:B21"/>
    <mergeCell ref="C19:D21"/>
    <mergeCell ref="E19:E21"/>
    <mergeCell ref="F19:F21"/>
    <mergeCell ref="G19:P21"/>
    <mergeCell ref="C13:D13"/>
    <mergeCell ref="G13:P13"/>
    <mergeCell ref="B14:B17"/>
    <mergeCell ref="C14:D17"/>
    <mergeCell ref="E14:E17"/>
    <mergeCell ref="F14:F17"/>
    <mergeCell ref="G14:P17"/>
    <mergeCell ref="B8:B11"/>
    <mergeCell ref="C8:D11"/>
    <mergeCell ref="E8:E11"/>
    <mergeCell ref="F8:F11"/>
    <mergeCell ref="G8:P11"/>
    <mergeCell ref="C12:D12"/>
    <mergeCell ref="G12:P12"/>
    <mergeCell ref="C6:D6"/>
    <mergeCell ref="G6:P6"/>
    <mergeCell ref="C7:D7"/>
    <mergeCell ref="G7:P7"/>
  </mergeCells>
  <phoneticPr fontId="12"/>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661E1-E3D7-41C4-A863-D0FA2FFB4477}">
  <sheetPr>
    <tabColor theme="0" tint="-0.249977111117893"/>
  </sheetPr>
  <dimension ref="A2:R290"/>
  <sheetViews>
    <sheetView zoomScale="115" zoomScaleNormal="115" workbookViewId="0">
      <pane ySplit="4" topLeftCell="A59" activePane="bottomLeft" state="frozen"/>
      <selection pane="bottomLeft" activeCell="G15" sqref="G15"/>
    </sheetView>
  </sheetViews>
  <sheetFormatPr defaultRowHeight="13.2"/>
  <cols>
    <col min="1" max="1" width="12.375" style="79" customWidth="1"/>
    <col min="2" max="2" width="10.125" style="79" customWidth="1"/>
    <col min="3" max="3" width="9.625" style="79" customWidth="1"/>
    <col min="4" max="4" width="38.625" style="79" customWidth="1"/>
    <col min="5" max="5" width="10.125" style="79" customWidth="1"/>
    <col min="6" max="6" width="36.625" style="79" customWidth="1"/>
    <col min="7" max="11" width="10.125" style="79" customWidth="1"/>
    <col min="12" max="12" width="12.625" style="79" customWidth="1"/>
    <col min="13" max="14" width="0" style="79" hidden="1" customWidth="1"/>
    <col min="15" max="18" width="9" style="79"/>
    <col min="19" max="19" width="5.125" style="79" customWidth="1"/>
    <col min="20" max="256" width="9" style="79"/>
    <col min="257" max="257" width="12.375" style="79" customWidth="1"/>
    <col min="258" max="258" width="10.125" style="79" customWidth="1"/>
    <col min="259" max="259" width="9.625" style="79" customWidth="1"/>
    <col min="260" max="260" width="38.625" style="79" customWidth="1"/>
    <col min="261" max="261" width="10.125" style="79" customWidth="1"/>
    <col min="262" max="262" width="36.625" style="79" customWidth="1"/>
    <col min="263" max="267" width="10.125" style="79" customWidth="1"/>
    <col min="268" max="268" width="12.625" style="79" customWidth="1"/>
    <col min="269" max="270" width="0" style="79" hidden="1" customWidth="1"/>
    <col min="271" max="274" width="9" style="79"/>
    <col min="275" max="275" width="5.125" style="79" customWidth="1"/>
    <col min="276" max="512" width="9" style="79"/>
    <col min="513" max="513" width="12.375" style="79" customWidth="1"/>
    <col min="514" max="514" width="10.125" style="79" customWidth="1"/>
    <col min="515" max="515" width="9.625" style="79" customWidth="1"/>
    <col min="516" max="516" width="38.625" style="79" customWidth="1"/>
    <col min="517" max="517" width="10.125" style="79" customWidth="1"/>
    <col min="518" max="518" width="36.625" style="79" customWidth="1"/>
    <col min="519" max="523" width="10.125" style="79" customWidth="1"/>
    <col min="524" max="524" width="12.625" style="79" customWidth="1"/>
    <col min="525" max="526" width="0" style="79" hidden="1" customWidth="1"/>
    <col min="527" max="530" width="9" style="79"/>
    <col min="531" max="531" width="5.125" style="79" customWidth="1"/>
    <col min="532" max="768" width="9" style="79"/>
    <col min="769" max="769" width="12.375" style="79" customWidth="1"/>
    <col min="770" max="770" width="10.125" style="79" customWidth="1"/>
    <col min="771" max="771" width="9.625" style="79" customWidth="1"/>
    <col min="772" max="772" width="38.625" style="79" customWidth="1"/>
    <col min="773" max="773" width="10.125" style="79" customWidth="1"/>
    <col min="774" max="774" width="36.625" style="79" customWidth="1"/>
    <col min="775" max="779" width="10.125" style="79" customWidth="1"/>
    <col min="780" max="780" width="12.625" style="79" customWidth="1"/>
    <col min="781" max="782" width="0" style="79" hidden="1" customWidth="1"/>
    <col min="783" max="786" width="9" style="79"/>
    <col min="787" max="787" width="5.125" style="79" customWidth="1"/>
    <col min="788" max="1024" width="9" style="79"/>
    <col min="1025" max="1025" width="12.375" style="79" customWidth="1"/>
    <col min="1026" max="1026" width="10.125" style="79" customWidth="1"/>
    <col min="1027" max="1027" width="9.625" style="79" customWidth="1"/>
    <col min="1028" max="1028" width="38.625" style="79" customWidth="1"/>
    <col min="1029" max="1029" width="10.125" style="79" customWidth="1"/>
    <col min="1030" max="1030" width="36.625" style="79" customWidth="1"/>
    <col min="1031" max="1035" width="10.125" style="79" customWidth="1"/>
    <col min="1036" max="1036" width="12.625" style="79" customWidth="1"/>
    <col min="1037" max="1038" width="0" style="79" hidden="1" customWidth="1"/>
    <col min="1039" max="1042" width="9" style="79"/>
    <col min="1043" max="1043" width="5.125" style="79" customWidth="1"/>
    <col min="1044" max="1280" width="9" style="79"/>
    <col min="1281" max="1281" width="12.375" style="79" customWidth="1"/>
    <col min="1282" max="1282" width="10.125" style="79" customWidth="1"/>
    <col min="1283" max="1283" width="9.625" style="79" customWidth="1"/>
    <col min="1284" max="1284" width="38.625" style="79" customWidth="1"/>
    <col min="1285" max="1285" width="10.125" style="79" customWidth="1"/>
    <col min="1286" max="1286" width="36.625" style="79" customWidth="1"/>
    <col min="1287" max="1291" width="10.125" style="79" customWidth="1"/>
    <col min="1292" max="1292" width="12.625" style="79" customWidth="1"/>
    <col min="1293" max="1294" width="0" style="79" hidden="1" customWidth="1"/>
    <col min="1295" max="1298" width="9" style="79"/>
    <col min="1299" max="1299" width="5.125" style="79" customWidth="1"/>
    <col min="1300" max="1536" width="9" style="79"/>
    <col min="1537" max="1537" width="12.375" style="79" customWidth="1"/>
    <col min="1538" max="1538" width="10.125" style="79" customWidth="1"/>
    <col min="1539" max="1539" width="9.625" style="79" customWidth="1"/>
    <col min="1540" max="1540" width="38.625" style="79" customWidth="1"/>
    <col min="1541" max="1541" width="10.125" style="79" customWidth="1"/>
    <col min="1542" max="1542" width="36.625" style="79" customWidth="1"/>
    <col min="1543" max="1547" width="10.125" style="79" customWidth="1"/>
    <col min="1548" max="1548" width="12.625" style="79" customWidth="1"/>
    <col min="1549" max="1550" width="0" style="79" hidden="1" customWidth="1"/>
    <col min="1551" max="1554" width="9" style="79"/>
    <col min="1555" max="1555" width="5.125" style="79" customWidth="1"/>
    <col min="1556" max="1792" width="9" style="79"/>
    <col min="1793" max="1793" width="12.375" style="79" customWidth="1"/>
    <col min="1794" max="1794" width="10.125" style="79" customWidth="1"/>
    <col min="1795" max="1795" width="9.625" style="79" customWidth="1"/>
    <col min="1796" max="1796" width="38.625" style="79" customWidth="1"/>
    <col min="1797" max="1797" width="10.125" style="79" customWidth="1"/>
    <col min="1798" max="1798" width="36.625" style="79" customWidth="1"/>
    <col min="1799" max="1803" width="10.125" style="79" customWidth="1"/>
    <col min="1804" max="1804" width="12.625" style="79" customWidth="1"/>
    <col min="1805" max="1806" width="0" style="79" hidden="1" customWidth="1"/>
    <col min="1807" max="1810" width="9" style="79"/>
    <col min="1811" max="1811" width="5.125" style="79" customWidth="1"/>
    <col min="1812" max="2048" width="9" style="79"/>
    <col min="2049" max="2049" width="12.375" style="79" customWidth="1"/>
    <col min="2050" max="2050" width="10.125" style="79" customWidth="1"/>
    <col min="2051" max="2051" width="9.625" style="79" customWidth="1"/>
    <col min="2052" max="2052" width="38.625" style="79" customWidth="1"/>
    <col min="2053" max="2053" width="10.125" style="79" customWidth="1"/>
    <col min="2054" max="2054" width="36.625" style="79" customWidth="1"/>
    <col min="2055" max="2059" width="10.125" style="79" customWidth="1"/>
    <col min="2060" max="2060" width="12.625" style="79" customWidth="1"/>
    <col min="2061" max="2062" width="0" style="79" hidden="1" customWidth="1"/>
    <col min="2063" max="2066" width="9" style="79"/>
    <col min="2067" max="2067" width="5.125" style="79" customWidth="1"/>
    <col min="2068" max="2304" width="9" style="79"/>
    <col min="2305" max="2305" width="12.375" style="79" customWidth="1"/>
    <col min="2306" max="2306" width="10.125" style="79" customWidth="1"/>
    <col min="2307" max="2307" width="9.625" style="79" customWidth="1"/>
    <col min="2308" max="2308" width="38.625" style="79" customWidth="1"/>
    <col min="2309" max="2309" width="10.125" style="79" customWidth="1"/>
    <col min="2310" max="2310" width="36.625" style="79" customWidth="1"/>
    <col min="2311" max="2315" width="10.125" style="79" customWidth="1"/>
    <col min="2316" max="2316" width="12.625" style="79" customWidth="1"/>
    <col min="2317" max="2318" width="0" style="79" hidden="1" customWidth="1"/>
    <col min="2319" max="2322" width="9" style="79"/>
    <col min="2323" max="2323" width="5.125" style="79" customWidth="1"/>
    <col min="2324" max="2560" width="9" style="79"/>
    <col min="2561" max="2561" width="12.375" style="79" customWidth="1"/>
    <col min="2562" max="2562" width="10.125" style="79" customWidth="1"/>
    <col min="2563" max="2563" width="9.625" style="79" customWidth="1"/>
    <col min="2564" max="2564" width="38.625" style="79" customWidth="1"/>
    <col min="2565" max="2565" width="10.125" style="79" customWidth="1"/>
    <col min="2566" max="2566" width="36.625" style="79" customWidth="1"/>
    <col min="2567" max="2571" width="10.125" style="79" customWidth="1"/>
    <col min="2572" max="2572" width="12.625" style="79" customWidth="1"/>
    <col min="2573" max="2574" width="0" style="79" hidden="1" customWidth="1"/>
    <col min="2575" max="2578" width="9" style="79"/>
    <col min="2579" max="2579" width="5.125" style="79" customWidth="1"/>
    <col min="2580" max="2816" width="9" style="79"/>
    <col min="2817" max="2817" width="12.375" style="79" customWidth="1"/>
    <col min="2818" max="2818" width="10.125" style="79" customWidth="1"/>
    <col min="2819" max="2819" width="9.625" style="79" customWidth="1"/>
    <col min="2820" max="2820" width="38.625" style="79" customWidth="1"/>
    <col min="2821" max="2821" width="10.125" style="79" customWidth="1"/>
    <col min="2822" max="2822" width="36.625" style="79" customWidth="1"/>
    <col min="2823" max="2827" width="10.125" style="79" customWidth="1"/>
    <col min="2828" max="2828" width="12.625" style="79" customWidth="1"/>
    <col min="2829" max="2830" width="0" style="79" hidden="1" customWidth="1"/>
    <col min="2831" max="2834" width="9" style="79"/>
    <col min="2835" max="2835" width="5.125" style="79" customWidth="1"/>
    <col min="2836" max="3072" width="9" style="79"/>
    <col min="3073" max="3073" width="12.375" style="79" customWidth="1"/>
    <col min="3074" max="3074" width="10.125" style="79" customWidth="1"/>
    <col min="3075" max="3075" width="9.625" style="79" customWidth="1"/>
    <col min="3076" max="3076" width="38.625" style="79" customWidth="1"/>
    <col min="3077" max="3077" width="10.125" style="79" customWidth="1"/>
    <col min="3078" max="3078" width="36.625" style="79" customWidth="1"/>
    <col min="3079" max="3083" width="10.125" style="79" customWidth="1"/>
    <col min="3084" max="3084" width="12.625" style="79" customWidth="1"/>
    <col min="3085" max="3086" width="0" style="79" hidden="1" customWidth="1"/>
    <col min="3087" max="3090" width="9" style="79"/>
    <col min="3091" max="3091" width="5.125" style="79" customWidth="1"/>
    <col min="3092" max="3328" width="9" style="79"/>
    <col min="3329" max="3329" width="12.375" style="79" customWidth="1"/>
    <col min="3330" max="3330" width="10.125" style="79" customWidth="1"/>
    <col min="3331" max="3331" width="9.625" style="79" customWidth="1"/>
    <col min="3332" max="3332" width="38.625" style="79" customWidth="1"/>
    <col min="3333" max="3333" width="10.125" style="79" customWidth="1"/>
    <col min="3334" max="3334" width="36.625" style="79" customWidth="1"/>
    <col min="3335" max="3339" width="10.125" style="79" customWidth="1"/>
    <col min="3340" max="3340" width="12.625" style="79" customWidth="1"/>
    <col min="3341" max="3342" width="0" style="79" hidden="1" customWidth="1"/>
    <col min="3343" max="3346" width="9" style="79"/>
    <col min="3347" max="3347" width="5.125" style="79" customWidth="1"/>
    <col min="3348" max="3584" width="9" style="79"/>
    <col min="3585" max="3585" width="12.375" style="79" customWidth="1"/>
    <col min="3586" max="3586" width="10.125" style="79" customWidth="1"/>
    <col min="3587" max="3587" width="9.625" style="79" customWidth="1"/>
    <col min="3588" max="3588" width="38.625" style="79" customWidth="1"/>
    <col min="3589" max="3589" width="10.125" style="79" customWidth="1"/>
    <col min="3590" max="3590" width="36.625" style="79" customWidth="1"/>
    <col min="3591" max="3595" width="10.125" style="79" customWidth="1"/>
    <col min="3596" max="3596" width="12.625" style="79" customWidth="1"/>
    <col min="3597" max="3598" width="0" style="79" hidden="1" customWidth="1"/>
    <col min="3599" max="3602" width="9" style="79"/>
    <col min="3603" max="3603" width="5.125" style="79" customWidth="1"/>
    <col min="3604" max="3840" width="9" style="79"/>
    <col min="3841" max="3841" width="12.375" style="79" customWidth="1"/>
    <col min="3842" max="3842" width="10.125" style="79" customWidth="1"/>
    <col min="3843" max="3843" width="9.625" style="79" customWidth="1"/>
    <col min="3844" max="3844" width="38.625" style="79" customWidth="1"/>
    <col min="3845" max="3845" width="10.125" style="79" customWidth="1"/>
    <col min="3846" max="3846" width="36.625" style="79" customWidth="1"/>
    <col min="3847" max="3851" width="10.125" style="79" customWidth="1"/>
    <col min="3852" max="3852" width="12.625" style="79" customWidth="1"/>
    <col min="3853" max="3854" width="0" style="79" hidden="1" customWidth="1"/>
    <col min="3855" max="3858" width="9" style="79"/>
    <col min="3859" max="3859" width="5.125" style="79" customWidth="1"/>
    <col min="3860" max="4096" width="9" style="79"/>
    <col min="4097" max="4097" width="12.375" style="79" customWidth="1"/>
    <col min="4098" max="4098" width="10.125" style="79" customWidth="1"/>
    <col min="4099" max="4099" width="9.625" style="79" customWidth="1"/>
    <col min="4100" max="4100" width="38.625" style="79" customWidth="1"/>
    <col min="4101" max="4101" width="10.125" style="79" customWidth="1"/>
    <col min="4102" max="4102" width="36.625" style="79" customWidth="1"/>
    <col min="4103" max="4107" width="10.125" style="79" customWidth="1"/>
    <col min="4108" max="4108" width="12.625" style="79" customWidth="1"/>
    <col min="4109" max="4110" width="0" style="79" hidden="1" customWidth="1"/>
    <col min="4111" max="4114" width="9" style="79"/>
    <col min="4115" max="4115" width="5.125" style="79" customWidth="1"/>
    <col min="4116" max="4352" width="9" style="79"/>
    <col min="4353" max="4353" width="12.375" style="79" customWidth="1"/>
    <col min="4354" max="4354" width="10.125" style="79" customWidth="1"/>
    <col min="4355" max="4355" width="9.625" style="79" customWidth="1"/>
    <col min="4356" max="4356" width="38.625" style="79" customWidth="1"/>
    <col min="4357" max="4357" width="10.125" style="79" customWidth="1"/>
    <col min="4358" max="4358" width="36.625" style="79" customWidth="1"/>
    <col min="4359" max="4363" width="10.125" style="79" customWidth="1"/>
    <col min="4364" max="4364" width="12.625" style="79" customWidth="1"/>
    <col min="4365" max="4366" width="0" style="79" hidden="1" customWidth="1"/>
    <col min="4367" max="4370" width="9" style="79"/>
    <col min="4371" max="4371" width="5.125" style="79" customWidth="1"/>
    <col min="4372" max="4608" width="9" style="79"/>
    <col min="4609" max="4609" width="12.375" style="79" customWidth="1"/>
    <col min="4610" max="4610" width="10.125" style="79" customWidth="1"/>
    <col min="4611" max="4611" width="9.625" style="79" customWidth="1"/>
    <col min="4612" max="4612" width="38.625" style="79" customWidth="1"/>
    <col min="4613" max="4613" width="10.125" style="79" customWidth="1"/>
    <col min="4614" max="4614" width="36.625" style="79" customWidth="1"/>
    <col min="4615" max="4619" width="10.125" style="79" customWidth="1"/>
    <col min="4620" max="4620" width="12.625" style="79" customWidth="1"/>
    <col min="4621" max="4622" width="0" style="79" hidden="1" customWidth="1"/>
    <col min="4623" max="4626" width="9" style="79"/>
    <col min="4627" max="4627" width="5.125" style="79" customWidth="1"/>
    <col min="4628" max="4864" width="9" style="79"/>
    <col min="4865" max="4865" width="12.375" style="79" customWidth="1"/>
    <col min="4866" max="4866" width="10.125" style="79" customWidth="1"/>
    <col min="4867" max="4867" width="9.625" style="79" customWidth="1"/>
    <col min="4868" max="4868" width="38.625" style="79" customWidth="1"/>
    <col min="4869" max="4869" width="10.125" style="79" customWidth="1"/>
    <col min="4870" max="4870" width="36.625" style="79" customWidth="1"/>
    <col min="4871" max="4875" width="10.125" style="79" customWidth="1"/>
    <col min="4876" max="4876" width="12.625" style="79" customWidth="1"/>
    <col min="4877" max="4878" width="0" style="79" hidden="1" customWidth="1"/>
    <col min="4879" max="4882" width="9" style="79"/>
    <col min="4883" max="4883" width="5.125" style="79" customWidth="1"/>
    <col min="4884" max="5120" width="9" style="79"/>
    <col min="5121" max="5121" width="12.375" style="79" customWidth="1"/>
    <col min="5122" max="5122" width="10.125" style="79" customWidth="1"/>
    <col min="5123" max="5123" width="9.625" style="79" customWidth="1"/>
    <col min="5124" max="5124" width="38.625" style="79" customWidth="1"/>
    <col min="5125" max="5125" width="10.125" style="79" customWidth="1"/>
    <col min="5126" max="5126" width="36.625" style="79" customWidth="1"/>
    <col min="5127" max="5131" width="10.125" style="79" customWidth="1"/>
    <col min="5132" max="5132" width="12.625" style="79" customWidth="1"/>
    <col min="5133" max="5134" width="0" style="79" hidden="1" customWidth="1"/>
    <col min="5135" max="5138" width="9" style="79"/>
    <col min="5139" max="5139" width="5.125" style="79" customWidth="1"/>
    <col min="5140" max="5376" width="9" style="79"/>
    <col min="5377" max="5377" width="12.375" style="79" customWidth="1"/>
    <col min="5378" max="5378" width="10.125" style="79" customWidth="1"/>
    <col min="5379" max="5379" width="9.625" style="79" customWidth="1"/>
    <col min="5380" max="5380" width="38.625" style="79" customWidth="1"/>
    <col min="5381" max="5381" width="10.125" style="79" customWidth="1"/>
    <col min="5382" max="5382" width="36.625" style="79" customWidth="1"/>
    <col min="5383" max="5387" width="10.125" style="79" customWidth="1"/>
    <col min="5388" max="5388" width="12.625" style="79" customWidth="1"/>
    <col min="5389" max="5390" width="0" style="79" hidden="1" customWidth="1"/>
    <col min="5391" max="5394" width="9" style="79"/>
    <col min="5395" max="5395" width="5.125" style="79" customWidth="1"/>
    <col min="5396" max="5632" width="9" style="79"/>
    <col min="5633" max="5633" width="12.375" style="79" customWidth="1"/>
    <col min="5634" max="5634" width="10.125" style="79" customWidth="1"/>
    <col min="5635" max="5635" width="9.625" style="79" customWidth="1"/>
    <col min="5636" max="5636" width="38.625" style="79" customWidth="1"/>
    <col min="5637" max="5637" width="10.125" style="79" customWidth="1"/>
    <col min="5638" max="5638" width="36.625" style="79" customWidth="1"/>
    <col min="5639" max="5643" width="10.125" style="79" customWidth="1"/>
    <col min="5644" max="5644" width="12.625" style="79" customWidth="1"/>
    <col min="5645" max="5646" width="0" style="79" hidden="1" customWidth="1"/>
    <col min="5647" max="5650" width="9" style="79"/>
    <col min="5651" max="5651" width="5.125" style="79" customWidth="1"/>
    <col min="5652" max="5888" width="9" style="79"/>
    <col min="5889" max="5889" width="12.375" style="79" customWidth="1"/>
    <col min="5890" max="5890" width="10.125" style="79" customWidth="1"/>
    <col min="5891" max="5891" width="9.625" style="79" customWidth="1"/>
    <col min="5892" max="5892" width="38.625" style="79" customWidth="1"/>
    <col min="5893" max="5893" width="10.125" style="79" customWidth="1"/>
    <col min="5894" max="5894" width="36.625" style="79" customWidth="1"/>
    <col min="5895" max="5899" width="10.125" style="79" customWidth="1"/>
    <col min="5900" max="5900" width="12.625" style="79" customWidth="1"/>
    <col min="5901" max="5902" width="0" style="79" hidden="1" customWidth="1"/>
    <col min="5903" max="5906" width="9" style="79"/>
    <col min="5907" max="5907" width="5.125" style="79" customWidth="1"/>
    <col min="5908" max="6144" width="9" style="79"/>
    <col min="6145" max="6145" width="12.375" style="79" customWidth="1"/>
    <col min="6146" max="6146" width="10.125" style="79" customWidth="1"/>
    <col min="6147" max="6147" width="9.625" style="79" customWidth="1"/>
    <col min="6148" max="6148" width="38.625" style="79" customWidth="1"/>
    <col min="6149" max="6149" width="10.125" style="79" customWidth="1"/>
    <col min="6150" max="6150" width="36.625" style="79" customWidth="1"/>
    <col min="6151" max="6155" width="10.125" style="79" customWidth="1"/>
    <col min="6156" max="6156" width="12.625" style="79" customWidth="1"/>
    <col min="6157" max="6158" width="0" style="79" hidden="1" customWidth="1"/>
    <col min="6159" max="6162" width="9" style="79"/>
    <col min="6163" max="6163" width="5.125" style="79" customWidth="1"/>
    <col min="6164" max="6400" width="9" style="79"/>
    <col min="6401" max="6401" width="12.375" style="79" customWidth="1"/>
    <col min="6402" max="6402" width="10.125" style="79" customWidth="1"/>
    <col min="6403" max="6403" width="9.625" style="79" customWidth="1"/>
    <col min="6404" max="6404" width="38.625" style="79" customWidth="1"/>
    <col min="6405" max="6405" width="10.125" style="79" customWidth="1"/>
    <col min="6406" max="6406" width="36.625" style="79" customWidth="1"/>
    <col min="6407" max="6411" width="10.125" style="79" customWidth="1"/>
    <col min="6412" max="6412" width="12.625" style="79" customWidth="1"/>
    <col min="6413" max="6414" width="0" style="79" hidden="1" customWidth="1"/>
    <col min="6415" max="6418" width="9" style="79"/>
    <col min="6419" max="6419" width="5.125" style="79" customWidth="1"/>
    <col min="6420" max="6656" width="9" style="79"/>
    <col min="6657" max="6657" width="12.375" style="79" customWidth="1"/>
    <col min="6658" max="6658" width="10.125" style="79" customWidth="1"/>
    <col min="6659" max="6659" width="9.625" style="79" customWidth="1"/>
    <col min="6660" max="6660" width="38.625" style="79" customWidth="1"/>
    <col min="6661" max="6661" width="10.125" style="79" customWidth="1"/>
    <col min="6662" max="6662" width="36.625" style="79" customWidth="1"/>
    <col min="6663" max="6667" width="10.125" style="79" customWidth="1"/>
    <col min="6668" max="6668" width="12.625" style="79" customWidth="1"/>
    <col min="6669" max="6670" width="0" style="79" hidden="1" customWidth="1"/>
    <col min="6671" max="6674" width="9" style="79"/>
    <col min="6675" max="6675" width="5.125" style="79" customWidth="1"/>
    <col min="6676" max="6912" width="9" style="79"/>
    <col min="6913" max="6913" width="12.375" style="79" customWidth="1"/>
    <col min="6914" max="6914" width="10.125" style="79" customWidth="1"/>
    <col min="6915" max="6915" width="9.625" style="79" customWidth="1"/>
    <col min="6916" max="6916" width="38.625" style="79" customWidth="1"/>
    <col min="6917" max="6917" width="10.125" style="79" customWidth="1"/>
    <col min="6918" max="6918" width="36.625" style="79" customWidth="1"/>
    <col min="6919" max="6923" width="10.125" style="79" customWidth="1"/>
    <col min="6924" max="6924" width="12.625" style="79" customWidth="1"/>
    <col min="6925" max="6926" width="0" style="79" hidden="1" customWidth="1"/>
    <col min="6927" max="6930" width="9" style="79"/>
    <col min="6931" max="6931" width="5.125" style="79" customWidth="1"/>
    <col min="6932" max="7168" width="9" style="79"/>
    <col min="7169" max="7169" width="12.375" style="79" customWidth="1"/>
    <col min="7170" max="7170" width="10.125" style="79" customWidth="1"/>
    <col min="7171" max="7171" width="9.625" style="79" customWidth="1"/>
    <col min="7172" max="7172" width="38.625" style="79" customWidth="1"/>
    <col min="7173" max="7173" width="10.125" style="79" customWidth="1"/>
    <col min="7174" max="7174" width="36.625" style="79" customWidth="1"/>
    <col min="7175" max="7179" width="10.125" style="79" customWidth="1"/>
    <col min="7180" max="7180" width="12.625" style="79" customWidth="1"/>
    <col min="7181" max="7182" width="0" style="79" hidden="1" customWidth="1"/>
    <col min="7183" max="7186" width="9" style="79"/>
    <col min="7187" max="7187" width="5.125" style="79" customWidth="1"/>
    <col min="7188" max="7424" width="9" style="79"/>
    <col min="7425" max="7425" width="12.375" style="79" customWidth="1"/>
    <col min="7426" max="7426" width="10.125" style="79" customWidth="1"/>
    <col min="7427" max="7427" width="9.625" style="79" customWidth="1"/>
    <col min="7428" max="7428" width="38.625" style="79" customWidth="1"/>
    <col min="7429" max="7429" width="10.125" style="79" customWidth="1"/>
    <col min="7430" max="7430" width="36.625" style="79" customWidth="1"/>
    <col min="7431" max="7435" width="10.125" style="79" customWidth="1"/>
    <col min="7436" max="7436" width="12.625" style="79" customWidth="1"/>
    <col min="7437" max="7438" width="0" style="79" hidden="1" customWidth="1"/>
    <col min="7439" max="7442" width="9" style="79"/>
    <col min="7443" max="7443" width="5.125" style="79" customWidth="1"/>
    <col min="7444" max="7680" width="9" style="79"/>
    <col min="7681" max="7681" width="12.375" style="79" customWidth="1"/>
    <col min="7682" max="7682" width="10.125" style="79" customWidth="1"/>
    <col min="7683" max="7683" width="9.625" style="79" customWidth="1"/>
    <col min="7684" max="7684" width="38.625" style="79" customWidth="1"/>
    <col min="7685" max="7685" width="10.125" style="79" customWidth="1"/>
    <col min="7686" max="7686" width="36.625" style="79" customWidth="1"/>
    <col min="7687" max="7691" width="10.125" style="79" customWidth="1"/>
    <col min="7692" max="7692" width="12.625" style="79" customWidth="1"/>
    <col min="7693" max="7694" width="0" style="79" hidden="1" customWidth="1"/>
    <col min="7695" max="7698" width="9" style="79"/>
    <col min="7699" max="7699" width="5.125" style="79" customWidth="1"/>
    <col min="7700" max="7936" width="9" style="79"/>
    <col min="7937" max="7937" width="12.375" style="79" customWidth="1"/>
    <col min="7938" max="7938" width="10.125" style="79" customWidth="1"/>
    <col min="7939" max="7939" width="9.625" style="79" customWidth="1"/>
    <col min="7940" max="7940" width="38.625" style="79" customWidth="1"/>
    <col min="7941" max="7941" width="10.125" style="79" customWidth="1"/>
    <col min="7942" max="7942" width="36.625" style="79" customWidth="1"/>
    <col min="7943" max="7947" width="10.125" style="79" customWidth="1"/>
    <col min="7948" max="7948" width="12.625" style="79" customWidth="1"/>
    <col min="7949" max="7950" width="0" style="79" hidden="1" customWidth="1"/>
    <col min="7951" max="7954" width="9" style="79"/>
    <col min="7955" max="7955" width="5.125" style="79" customWidth="1"/>
    <col min="7956" max="8192" width="9" style="79"/>
    <col min="8193" max="8193" width="12.375" style="79" customWidth="1"/>
    <col min="8194" max="8194" width="10.125" style="79" customWidth="1"/>
    <col min="8195" max="8195" width="9.625" style="79" customWidth="1"/>
    <col min="8196" max="8196" width="38.625" style="79" customWidth="1"/>
    <col min="8197" max="8197" width="10.125" style="79" customWidth="1"/>
    <col min="8198" max="8198" width="36.625" style="79" customWidth="1"/>
    <col min="8199" max="8203" width="10.125" style="79" customWidth="1"/>
    <col min="8204" max="8204" width="12.625" style="79" customWidth="1"/>
    <col min="8205" max="8206" width="0" style="79" hidden="1" customWidth="1"/>
    <col min="8207" max="8210" width="9" style="79"/>
    <col min="8211" max="8211" width="5.125" style="79" customWidth="1"/>
    <col min="8212" max="8448" width="9" style="79"/>
    <col min="8449" max="8449" width="12.375" style="79" customWidth="1"/>
    <col min="8450" max="8450" width="10.125" style="79" customWidth="1"/>
    <col min="8451" max="8451" width="9.625" style="79" customWidth="1"/>
    <col min="8452" max="8452" width="38.625" style="79" customWidth="1"/>
    <col min="8453" max="8453" width="10.125" style="79" customWidth="1"/>
    <col min="8454" max="8454" width="36.625" style="79" customWidth="1"/>
    <col min="8455" max="8459" width="10.125" style="79" customWidth="1"/>
    <col min="8460" max="8460" width="12.625" style="79" customWidth="1"/>
    <col min="8461" max="8462" width="0" style="79" hidden="1" customWidth="1"/>
    <col min="8463" max="8466" width="9" style="79"/>
    <col min="8467" max="8467" width="5.125" style="79" customWidth="1"/>
    <col min="8468" max="8704" width="9" style="79"/>
    <col min="8705" max="8705" width="12.375" style="79" customWidth="1"/>
    <col min="8706" max="8706" width="10.125" style="79" customWidth="1"/>
    <col min="8707" max="8707" width="9.625" style="79" customWidth="1"/>
    <col min="8708" max="8708" width="38.625" style="79" customWidth="1"/>
    <col min="8709" max="8709" width="10.125" style="79" customWidth="1"/>
    <col min="8710" max="8710" width="36.625" style="79" customWidth="1"/>
    <col min="8711" max="8715" width="10.125" style="79" customWidth="1"/>
    <col min="8716" max="8716" width="12.625" style="79" customWidth="1"/>
    <col min="8717" max="8718" width="0" style="79" hidden="1" customWidth="1"/>
    <col min="8719" max="8722" width="9" style="79"/>
    <col min="8723" max="8723" width="5.125" style="79" customWidth="1"/>
    <col min="8724" max="8960" width="9" style="79"/>
    <col min="8961" max="8961" width="12.375" style="79" customWidth="1"/>
    <col min="8962" max="8962" width="10.125" style="79" customWidth="1"/>
    <col min="8963" max="8963" width="9.625" style="79" customWidth="1"/>
    <col min="8964" max="8964" width="38.625" style="79" customWidth="1"/>
    <col min="8965" max="8965" width="10.125" style="79" customWidth="1"/>
    <col min="8966" max="8966" width="36.625" style="79" customWidth="1"/>
    <col min="8967" max="8971" width="10.125" style="79" customWidth="1"/>
    <col min="8972" max="8972" width="12.625" style="79" customWidth="1"/>
    <col min="8973" max="8974" width="0" style="79" hidden="1" customWidth="1"/>
    <col min="8975" max="8978" width="9" style="79"/>
    <col min="8979" max="8979" width="5.125" style="79" customWidth="1"/>
    <col min="8980" max="9216" width="9" style="79"/>
    <col min="9217" max="9217" width="12.375" style="79" customWidth="1"/>
    <col min="9218" max="9218" width="10.125" style="79" customWidth="1"/>
    <col min="9219" max="9219" width="9.625" style="79" customWidth="1"/>
    <col min="9220" max="9220" width="38.625" style="79" customWidth="1"/>
    <col min="9221" max="9221" width="10.125" style="79" customWidth="1"/>
    <col min="9222" max="9222" width="36.625" style="79" customWidth="1"/>
    <col min="9223" max="9227" width="10.125" style="79" customWidth="1"/>
    <col min="9228" max="9228" width="12.625" style="79" customWidth="1"/>
    <col min="9229" max="9230" width="0" style="79" hidden="1" customWidth="1"/>
    <col min="9231" max="9234" width="9" style="79"/>
    <col min="9235" max="9235" width="5.125" style="79" customWidth="1"/>
    <col min="9236" max="9472" width="9" style="79"/>
    <col min="9473" max="9473" width="12.375" style="79" customWidth="1"/>
    <col min="9474" max="9474" width="10.125" style="79" customWidth="1"/>
    <col min="9475" max="9475" width="9.625" style="79" customWidth="1"/>
    <col min="9476" max="9476" width="38.625" style="79" customWidth="1"/>
    <col min="9477" max="9477" width="10.125" style="79" customWidth="1"/>
    <col min="9478" max="9478" width="36.625" style="79" customWidth="1"/>
    <col min="9479" max="9483" width="10.125" style="79" customWidth="1"/>
    <col min="9484" max="9484" width="12.625" style="79" customWidth="1"/>
    <col min="9485" max="9486" width="0" style="79" hidden="1" customWidth="1"/>
    <col min="9487" max="9490" width="9" style="79"/>
    <col min="9491" max="9491" width="5.125" style="79" customWidth="1"/>
    <col min="9492" max="9728" width="9" style="79"/>
    <col min="9729" max="9729" width="12.375" style="79" customWidth="1"/>
    <col min="9730" max="9730" width="10.125" style="79" customWidth="1"/>
    <col min="9731" max="9731" width="9.625" style="79" customWidth="1"/>
    <col min="9732" max="9732" width="38.625" style="79" customWidth="1"/>
    <col min="9733" max="9733" width="10.125" style="79" customWidth="1"/>
    <col min="9734" max="9734" width="36.625" style="79" customWidth="1"/>
    <col min="9735" max="9739" width="10.125" style="79" customWidth="1"/>
    <col min="9740" max="9740" width="12.625" style="79" customWidth="1"/>
    <col min="9741" max="9742" width="0" style="79" hidden="1" customWidth="1"/>
    <col min="9743" max="9746" width="9" style="79"/>
    <col min="9747" max="9747" width="5.125" style="79" customWidth="1"/>
    <col min="9748" max="9984" width="9" style="79"/>
    <col min="9985" max="9985" width="12.375" style="79" customWidth="1"/>
    <col min="9986" max="9986" width="10.125" style="79" customWidth="1"/>
    <col min="9987" max="9987" width="9.625" style="79" customWidth="1"/>
    <col min="9988" max="9988" width="38.625" style="79" customWidth="1"/>
    <col min="9989" max="9989" width="10.125" style="79" customWidth="1"/>
    <col min="9990" max="9990" width="36.625" style="79" customWidth="1"/>
    <col min="9991" max="9995" width="10.125" style="79" customWidth="1"/>
    <col min="9996" max="9996" width="12.625" style="79" customWidth="1"/>
    <col min="9997" max="9998" width="0" style="79" hidden="1" customWidth="1"/>
    <col min="9999" max="10002" width="9" style="79"/>
    <col min="10003" max="10003" width="5.125" style="79" customWidth="1"/>
    <col min="10004" max="10240" width="9" style="79"/>
    <col min="10241" max="10241" width="12.375" style="79" customWidth="1"/>
    <col min="10242" max="10242" width="10.125" style="79" customWidth="1"/>
    <col min="10243" max="10243" width="9.625" style="79" customWidth="1"/>
    <col min="10244" max="10244" width="38.625" style="79" customWidth="1"/>
    <col min="10245" max="10245" width="10.125" style="79" customWidth="1"/>
    <col min="10246" max="10246" width="36.625" style="79" customWidth="1"/>
    <col min="10247" max="10251" width="10.125" style="79" customWidth="1"/>
    <col min="10252" max="10252" width="12.625" style="79" customWidth="1"/>
    <col min="10253" max="10254" width="0" style="79" hidden="1" customWidth="1"/>
    <col min="10255" max="10258" width="9" style="79"/>
    <col min="10259" max="10259" width="5.125" style="79" customWidth="1"/>
    <col min="10260" max="10496" width="9" style="79"/>
    <col min="10497" max="10497" width="12.375" style="79" customWidth="1"/>
    <col min="10498" max="10498" width="10.125" style="79" customWidth="1"/>
    <col min="10499" max="10499" width="9.625" style="79" customWidth="1"/>
    <col min="10500" max="10500" width="38.625" style="79" customWidth="1"/>
    <col min="10501" max="10501" width="10.125" style="79" customWidth="1"/>
    <col min="10502" max="10502" width="36.625" style="79" customWidth="1"/>
    <col min="10503" max="10507" width="10.125" style="79" customWidth="1"/>
    <col min="10508" max="10508" width="12.625" style="79" customWidth="1"/>
    <col min="10509" max="10510" width="0" style="79" hidden="1" customWidth="1"/>
    <col min="10511" max="10514" width="9" style="79"/>
    <col min="10515" max="10515" width="5.125" style="79" customWidth="1"/>
    <col min="10516" max="10752" width="9" style="79"/>
    <col min="10753" max="10753" width="12.375" style="79" customWidth="1"/>
    <col min="10754" max="10754" width="10.125" style="79" customWidth="1"/>
    <col min="10755" max="10755" width="9.625" style="79" customWidth="1"/>
    <col min="10756" max="10756" width="38.625" style="79" customWidth="1"/>
    <col min="10757" max="10757" width="10.125" style="79" customWidth="1"/>
    <col min="10758" max="10758" width="36.625" style="79" customWidth="1"/>
    <col min="10759" max="10763" width="10.125" style="79" customWidth="1"/>
    <col min="10764" max="10764" width="12.625" style="79" customWidth="1"/>
    <col min="10765" max="10766" width="0" style="79" hidden="1" customWidth="1"/>
    <col min="10767" max="10770" width="9" style="79"/>
    <col min="10771" max="10771" width="5.125" style="79" customWidth="1"/>
    <col min="10772" max="11008" width="9" style="79"/>
    <col min="11009" max="11009" width="12.375" style="79" customWidth="1"/>
    <col min="11010" max="11010" width="10.125" style="79" customWidth="1"/>
    <col min="11011" max="11011" width="9.625" style="79" customWidth="1"/>
    <col min="11012" max="11012" width="38.625" style="79" customWidth="1"/>
    <col min="11013" max="11013" width="10.125" style="79" customWidth="1"/>
    <col min="11014" max="11014" width="36.625" style="79" customWidth="1"/>
    <col min="11015" max="11019" width="10.125" style="79" customWidth="1"/>
    <col min="11020" max="11020" width="12.625" style="79" customWidth="1"/>
    <col min="11021" max="11022" width="0" style="79" hidden="1" customWidth="1"/>
    <col min="11023" max="11026" width="9" style="79"/>
    <col min="11027" max="11027" width="5.125" style="79" customWidth="1"/>
    <col min="11028" max="11264" width="9" style="79"/>
    <col min="11265" max="11265" width="12.375" style="79" customWidth="1"/>
    <col min="11266" max="11266" width="10.125" style="79" customWidth="1"/>
    <col min="11267" max="11267" width="9.625" style="79" customWidth="1"/>
    <col min="11268" max="11268" width="38.625" style="79" customWidth="1"/>
    <col min="11269" max="11269" width="10.125" style="79" customWidth="1"/>
    <col min="11270" max="11270" width="36.625" style="79" customWidth="1"/>
    <col min="11271" max="11275" width="10.125" style="79" customWidth="1"/>
    <col min="11276" max="11276" width="12.625" style="79" customWidth="1"/>
    <col min="11277" max="11278" width="0" style="79" hidden="1" customWidth="1"/>
    <col min="11279" max="11282" width="9" style="79"/>
    <col min="11283" max="11283" width="5.125" style="79" customWidth="1"/>
    <col min="11284" max="11520" width="9" style="79"/>
    <col min="11521" max="11521" width="12.375" style="79" customWidth="1"/>
    <col min="11522" max="11522" width="10.125" style="79" customWidth="1"/>
    <col min="11523" max="11523" width="9.625" style="79" customWidth="1"/>
    <col min="11524" max="11524" width="38.625" style="79" customWidth="1"/>
    <col min="11525" max="11525" width="10.125" style="79" customWidth="1"/>
    <col min="11526" max="11526" width="36.625" style="79" customWidth="1"/>
    <col min="11527" max="11531" width="10.125" style="79" customWidth="1"/>
    <col min="11532" max="11532" width="12.625" style="79" customWidth="1"/>
    <col min="11533" max="11534" width="0" style="79" hidden="1" customWidth="1"/>
    <col min="11535" max="11538" width="9" style="79"/>
    <col min="11539" max="11539" width="5.125" style="79" customWidth="1"/>
    <col min="11540" max="11776" width="9" style="79"/>
    <col min="11777" max="11777" width="12.375" style="79" customWidth="1"/>
    <col min="11778" max="11778" width="10.125" style="79" customWidth="1"/>
    <col min="11779" max="11779" width="9.625" style="79" customWidth="1"/>
    <col min="11780" max="11780" width="38.625" style="79" customWidth="1"/>
    <col min="11781" max="11781" width="10.125" style="79" customWidth="1"/>
    <col min="11782" max="11782" width="36.625" style="79" customWidth="1"/>
    <col min="11783" max="11787" width="10.125" style="79" customWidth="1"/>
    <col min="11788" max="11788" width="12.625" style="79" customWidth="1"/>
    <col min="11789" max="11790" width="0" style="79" hidden="1" customWidth="1"/>
    <col min="11791" max="11794" width="9" style="79"/>
    <col min="11795" max="11795" width="5.125" style="79" customWidth="1"/>
    <col min="11796" max="12032" width="9" style="79"/>
    <col min="12033" max="12033" width="12.375" style="79" customWidth="1"/>
    <col min="12034" max="12034" width="10.125" style="79" customWidth="1"/>
    <col min="12035" max="12035" width="9.625" style="79" customWidth="1"/>
    <col min="12036" max="12036" width="38.625" style="79" customWidth="1"/>
    <col min="12037" max="12037" width="10.125" style="79" customWidth="1"/>
    <col min="12038" max="12038" width="36.625" style="79" customWidth="1"/>
    <col min="12039" max="12043" width="10.125" style="79" customWidth="1"/>
    <col min="12044" max="12044" width="12.625" style="79" customWidth="1"/>
    <col min="12045" max="12046" width="0" style="79" hidden="1" customWidth="1"/>
    <col min="12047" max="12050" width="9" style="79"/>
    <col min="12051" max="12051" width="5.125" style="79" customWidth="1"/>
    <col min="12052" max="12288" width="9" style="79"/>
    <col min="12289" max="12289" width="12.375" style="79" customWidth="1"/>
    <col min="12290" max="12290" width="10.125" style="79" customWidth="1"/>
    <col min="12291" max="12291" width="9.625" style="79" customWidth="1"/>
    <col min="12292" max="12292" width="38.625" style="79" customWidth="1"/>
    <col min="12293" max="12293" width="10.125" style="79" customWidth="1"/>
    <col min="12294" max="12294" width="36.625" style="79" customWidth="1"/>
    <col min="12295" max="12299" width="10.125" style="79" customWidth="1"/>
    <col min="12300" max="12300" width="12.625" style="79" customWidth="1"/>
    <col min="12301" max="12302" width="0" style="79" hidden="1" customWidth="1"/>
    <col min="12303" max="12306" width="9" style="79"/>
    <col min="12307" max="12307" width="5.125" style="79" customWidth="1"/>
    <col min="12308" max="12544" width="9" style="79"/>
    <col min="12545" max="12545" width="12.375" style="79" customWidth="1"/>
    <col min="12546" max="12546" width="10.125" style="79" customWidth="1"/>
    <col min="12547" max="12547" width="9.625" style="79" customWidth="1"/>
    <col min="12548" max="12548" width="38.625" style="79" customWidth="1"/>
    <col min="12549" max="12549" width="10.125" style="79" customWidth="1"/>
    <col min="12550" max="12550" width="36.625" style="79" customWidth="1"/>
    <col min="12551" max="12555" width="10.125" style="79" customWidth="1"/>
    <col min="12556" max="12556" width="12.625" style="79" customWidth="1"/>
    <col min="12557" max="12558" width="0" style="79" hidden="1" customWidth="1"/>
    <col min="12559" max="12562" width="9" style="79"/>
    <col min="12563" max="12563" width="5.125" style="79" customWidth="1"/>
    <col min="12564" max="12800" width="9" style="79"/>
    <col min="12801" max="12801" width="12.375" style="79" customWidth="1"/>
    <col min="12802" max="12802" width="10.125" style="79" customWidth="1"/>
    <col min="12803" max="12803" width="9.625" style="79" customWidth="1"/>
    <col min="12804" max="12804" width="38.625" style="79" customWidth="1"/>
    <col min="12805" max="12805" width="10.125" style="79" customWidth="1"/>
    <col min="12806" max="12806" width="36.625" style="79" customWidth="1"/>
    <col min="12807" max="12811" width="10.125" style="79" customWidth="1"/>
    <col min="12812" max="12812" width="12.625" style="79" customWidth="1"/>
    <col min="12813" max="12814" width="0" style="79" hidden="1" customWidth="1"/>
    <col min="12815" max="12818" width="9" style="79"/>
    <col min="12819" max="12819" width="5.125" style="79" customWidth="1"/>
    <col min="12820" max="13056" width="9" style="79"/>
    <col min="13057" max="13057" width="12.375" style="79" customWidth="1"/>
    <col min="13058" max="13058" width="10.125" style="79" customWidth="1"/>
    <col min="13059" max="13059" width="9.625" style="79" customWidth="1"/>
    <col min="13060" max="13060" width="38.625" style="79" customWidth="1"/>
    <col min="13061" max="13061" width="10.125" style="79" customWidth="1"/>
    <col min="13062" max="13062" width="36.625" style="79" customWidth="1"/>
    <col min="13063" max="13067" width="10.125" style="79" customWidth="1"/>
    <col min="13068" max="13068" width="12.625" style="79" customWidth="1"/>
    <col min="13069" max="13070" width="0" style="79" hidden="1" customWidth="1"/>
    <col min="13071" max="13074" width="9" style="79"/>
    <col min="13075" max="13075" width="5.125" style="79" customWidth="1"/>
    <col min="13076" max="13312" width="9" style="79"/>
    <col min="13313" max="13313" width="12.375" style="79" customWidth="1"/>
    <col min="13314" max="13314" width="10.125" style="79" customWidth="1"/>
    <col min="13315" max="13315" width="9.625" style="79" customWidth="1"/>
    <col min="13316" max="13316" width="38.625" style="79" customWidth="1"/>
    <col min="13317" max="13317" width="10.125" style="79" customWidth="1"/>
    <col min="13318" max="13318" width="36.625" style="79" customWidth="1"/>
    <col min="13319" max="13323" width="10.125" style="79" customWidth="1"/>
    <col min="13324" max="13324" width="12.625" style="79" customWidth="1"/>
    <col min="13325" max="13326" width="0" style="79" hidden="1" customWidth="1"/>
    <col min="13327" max="13330" width="9" style="79"/>
    <col min="13331" max="13331" width="5.125" style="79" customWidth="1"/>
    <col min="13332" max="13568" width="9" style="79"/>
    <col min="13569" max="13569" width="12.375" style="79" customWidth="1"/>
    <col min="13570" max="13570" width="10.125" style="79" customWidth="1"/>
    <col min="13571" max="13571" width="9.625" style="79" customWidth="1"/>
    <col min="13572" max="13572" width="38.625" style="79" customWidth="1"/>
    <col min="13573" max="13573" width="10.125" style="79" customWidth="1"/>
    <col min="13574" max="13574" width="36.625" style="79" customWidth="1"/>
    <col min="13575" max="13579" width="10.125" style="79" customWidth="1"/>
    <col min="13580" max="13580" width="12.625" style="79" customWidth="1"/>
    <col min="13581" max="13582" width="0" style="79" hidden="1" customWidth="1"/>
    <col min="13583" max="13586" width="9" style="79"/>
    <col min="13587" max="13587" width="5.125" style="79" customWidth="1"/>
    <col min="13588" max="13824" width="9" style="79"/>
    <col min="13825" max="13825" width="12.375" style="79" customWidth="1"/>
    <col min="13826" max="13826" width="10.125" style="79" customWidth="1"/>
    <col min="13827" max="13827" width="9.625" style="79" customWidth="1"/>
    <col min="13828" max="13828" width="38.625" style="79" customWidth="1"/>
    <col min="13829" max="13829" width="10.125" style="79" customWidth="1"/>
    <col min="13830" max="13830" width="36.625" style="79" customWidth="1"/>
    <col min="13831" max="13835" width="10.125" style="79" customWidth="1"/>
    <col min="13836" max="13836" width="12.625" style="79" customWidth="1"/>
    <col min="13837" max="13838" width="0" style="79" hidden="1" customWidth="1"/>
    <col min="13839" max="13842" width="9" style="79"/>
    <col min="13843" max="13843" width="5.125" style="79" customWidth="1"/>
    <col min="13844" max="14080" width="9" style="79"/>
    <col min="14081" max="14081" width="12.375" style="79" customWidth="1"/>
    <col min="14082" max="14082" width="10.125" style="79" customWidth="1"/>
    <col min="14083" max="14083" width="9.625" style="79" customWidth="1"/>
    <col min="14084" max="14084" width="38.625" style="79" customWidth="1"/>
    <col min="14085" max="14085" width="10.125" style="79" customWidth="1"/>
    <col min="14086" max="14086" width="36.625" style="79" customWidth="1"/>
    <col min="14087" max="14091" width="10.125" style="79" customWidth="1"/>
    <col min="14092" max="14092" width="12.625" style="79" customWidth="1"/>
    <col min="14093" max="14094" width="0" style="79" hidden="1" customWidth="1"/>
    <col min="14095" max="14098" width="9" style="79"/>
    <col min="14099" max="14099" width="5.125" style="79" customWidth="1"/>
    <col min="14100" max="14336" width="9" style="79"/>
    <col min="14337" max="14337" width="12.375" style="79" customWidth="1"/>
    <col min="14338" max="14338" width="10.125" style="79" customWidth="1"/>
    <col min="14339" max="14339" width="9.625" style="79" customWidth="1"/>
    <col min="14340" max="14340" width="38.625" style="79" customWidth="1"/>
    <col min="14341" max="14341" width="10.125" style="79" customWidth="1"/>
    <col min="14342" max="14342" width="36.625" style="79" customWidth="1"/>
    <col min="14343" max="14347" width="10.125" style="79" customWidth="1"/>
    <col min="14348" max="14348" width="12.625" style="79" customWidth="1"/>
    <col min="14349" max="14350" width="0" style="79" hidden="1" customWidth="1"/>
    <col min="14351" max="14354" width="9" style="79"/>
    <col min="14355" max="14355" width="5.125" style="79" customWidth="1"/>
    <col min="14356" max="14592" width="9" style="79"/>
    <col min="14593" max="14593" width="12.375" style="79" customWidth="1"/>
    <col min="14594" max="14594" width="10.125" style="79" customWidth="1"/>
    <col min="14595" max="14595" width="9.625" style="79" customWidth="1"/>
    <col min="14596" max="14596" width="38.625" style="79" customWidth="1"/>
    <col min="14597" max="14597" width="10.125" style="79" customWidth="1"/>
    <col min="14598" max="14598" width="36.625" style="79" customWidth="1"/>
    <col min="14599" max="14603" width="10.125" style="79" customWidth="1"/>
    <col min="14604" max="14604" width="12.625" style="79" customWidth="1"/>
    <col min="14605" max="14606" width="0" style="79" hidden="1" customWidth="1"/>
    <col min="14607" max="14610" width="9" style="79"/>
    <col min="14611" max="14611" width="5.125" style="79" customWidth="1"/>
    <col min="14612" max="14848" width="9" style="79"/>
    <col min="14849" max="14849" width="12.375" style="79" customWidth="1"/>
    <col min="14850" max="14850" width="10.125" style="79" customWidth="1"/>
    <col min="14851" max="14851" width="9.625" style="79" customWidth="1"/>
    <col min="14852" max="14852" width="38.625" style="79" customWidth="1"/>
    <col min="14853" max="14853" width="10.125" style="79" customWidth="1"/>
    <col min="14854" max="14854" width="36.625" style="79" customWidth="1"/>
    <col min="14855" max="14859" width="10.125" style="79" customWidth="1"/>
    <col min="14860" max="14860" width="12.625" style="79" customWidth="1"/>
    <col min="14861" max="14862" width="0" style="79" hidden="1" customWidth="1"/>
    <col min="14863" max="14866" width="9" style="79"/>
    <col min="14867" max="14867" width="5.125" style="79" customWidth="1"/>
    <col min="14868" max="15104" width="9" style="79"/>
    <col min="15105" max="15105" width="12.375" style="79" customWidth="1"/>
    <col min="15106" max="15106" width="10.125" style="79" customWidth="1"/>
    <col min="15107" max="15107" width="9.625" style="79" customWidth="1"/>
    <col min="15108" max="15108" width="38.625" style="79" customWidth="1"/>
    <col min="15109" max="15109" width="10.125" style="79" customWidth="1"/>
    <col min="15110" max="15110" width="36.625" style="79" customWidth="1"/>
    <col min="15111" max="15115" width="10.125" style="79" customWidth="1"/>
    <col min="15116" max="15116" width="12.625" style="79" customWidth="1"/>
    <col min="15117" max="15118" width="0" style="79" hidden="1" customWidth="1"/>
    <col min="15119" max="15122" width="9" style="79"/>
    <col min="15123" max="15123" width="5.125" style="79" customWidth="1"/>
    <col min="15124" max="15360" width="9" style="79"/>
    <col min="15361" max="15361" width="12.375" style="79" customWidth="1"/>
    <col min="15362" max="15362" width="10.125" style="79" customWidth="1"/>
    <col min="15363" max="15363" width="9.625" style="79" customWidth="1"/>
    <col min="15364" max="15364" width="38.625" style="79" customWidth="1"/>
    <col min="15365" max="15365" width="10.125" style="79" customWidth="1"/>
    <col min="15366" max="15366" width="36.625" style="79" customWidth="1"/>
    <col min="15367" max="15371" width="10.125" style="79" customWidth="1"/>
    <col min="15372" max="15372" width="12.625" style="79" customWidth="1"/>
    <col min="15373" max="15374" width="0" style="79" hidden="1" customWidth="1"/>
    <col min="15375" max="15378" width="9" style="79"/>
    <col min="15379" max="15379" width="5.125" style="79" customWidth="1"/>
    <col min="15380" max="15616" width="9" style="79"/>
    <col min="15617" max="15617" width="12.375" style="79" customWidth="1"/>
    <col min="15618" max="15618" width="10.125" style="79" customWidth="1"/>
    <col min="15619" max="15619" width="9.625" style="79" customWidth="1"/>
    <col min="15620" max="15620" width="38.625" style="79" customWidth="1"/>
    <col min="15621" max="15621" width="10.125" style="79" customWidth="1"/>
    <col min="15622" max="15622" width="36.625" style="79" customWidth="1"/>
    <col min="15623" max="15627" width="10.125" style="79" customWidth="1"/>
    <col min="15628" max="15628" width="12.625" style="79" customWidth="1"/>
    <col min="15629" max="15630" width="0" style="79" hidden="1" customWidth="1"/>
    <col min="15631" max="15634" width="9" style="79"/>
    <col min="15635" max="15635" width="5.125" style="79" customWidth="1"/>
    <col min="15636" max="15872" width="9" style="79"/>
    <col min="15873" max="15873" width="12.375" style="79" customWidth="1"/>
    <col min="15874" max="15874" width="10.125" style="79" customWidth="1"/>
    <col min="15875" max="15875" width="9.625" style="79" customWidth="1"/>
    <col min="15876" max="15876" width="38.625" style="79" customWidth="1"/>
    <col min="15877" max="15877" width="10.125" style="79" customWidth="1"/>
    <col min="15878" max="15878" width="36.625" style="79" customWidth="1"/>
    <col min="15879" max="15883" width="10.125" style="79" customWidth="1"/>
    <col min="15884" max="15884" width="12.625" style="79" customWidth="1"/>
    <col min="15885" max="15886" width="0" style="79" hidden="1" customWidth="1"/>
    <col min="15887" max="15890" width="9" style="79"/>
    <col min="15891" max="15891" width="5.125" style="79" customWidth="1"/>
    <col min="15892" max="16128" width="9" style="79"/>
    <col min="16129" max="16129" width="12.375" style="79" customWidth="1"/>
    <col min="16130" max="16130" width="10.125" style="79" customWidth="1"/>
    <col min="16131" max="16131" width="9.625" style="79" customWidth="1"/>
    <col min="16132" max="16132" width="38.625" style="79" customWidth="1"/>
    <col min="16133" max="16133" width="10.125" style="79" customWidth="1"/>
    <col min="16134" max="16134" width="36.625" style="79" customWidth="1"/>
    <col min="16135" max="16139" width="10.125" style="79" customWidth="1"/>
    <col min="16140" max="16140" width="12.625" style="79" customWidth="1"/>
    <col min="16141" max="16142" width="0" style="79" hidden="1" customWidth="1"/>
    <col min="16143" max="16146" width="9" style="79"/>
    <col min="16147" max="16147" width="5.125" style="79" customWidth="1"/>
    <col min="16148" max="16384" width="9" style="79"/>
  </cols>
  <sheetData>
    <row r="2" spans="1:15" ht="16.2">
      <c r="A2" s="99" t="s">
        <v>403</v>
      </c>
    </row>
    <row r="3" spans="1:15" ht="13.8" thickBot="1"/>
    <row r="4" spans="1:15" s="105" customFormat="1" ht="39.75" customHeight="1" thickBot="1">
      <c r="A4" s="100" t="s">
        <v>404</v>
      </c>
      <c r="B4" s="100" t="s">
        <v>405</v>
      </c>
      <c r="C4" s="100" t="s">
        <v>406</v>
      </c>
      <c r="D4" s="100" t="s">
        <v>407</v>
      </c>
      <c r="E4" s="100" t="s">
        <v>408</v>
      </c>
      <c r="F4" s="100" t="s">
        <v>409</v>
      </c>
      <c r="G4" s="100" t="s">
        <v>410</v>
      </c>
      <c r="H4" s="100" t="s">
        <v>411</v>
      </c>
      <c r="I4" s="100" t="s">
        <v>412</v>
      </c>
      <c r="J4" s="101" t="s">
        <v>413</v>
      </c>
      <c r="K4" s="102" t="s">
        <v>414</v>
      </c>
      <c r="L4" s="103" t="s">
        <v>415</v>
      </c>
      <c r="M4" s="104" t="s">
        <v>416</v>
      </c>
      <c r="N4" s="104" t="s">
        <v>417</v>
      </c>
      <c r="O4" s="105" t="s">
        <v>418</v>
      </c>
    </row>
    <row r="5" spans="1:15">
      <c r="A5" s="106">
        <v>95000003</v>
      </c>
      <c r="B5" s="106">
        <v>1</v>
      </c>
      <c r="C5" s="106">
        <v>15500</v>
      </c>
      <c r="D5" s="106" t="s">
        <v>419</v>
      </c>
      <c r="E5" s="106">
        <v>16</v>
      </c>
      <c r="F5" s="106" t="s">
        <v>420</v>
      </c>
      <c r="G5" s="106">
        <v>0</v>
      </c>
      <c r="H5" s="106" t="s">
        <v>421</v>
      </c>
      <c r="I5" s="106">
        <v>4681</v>
      </c>
      <c r="J5" s="106">
        <v>0</v>
      </c>
      <c r="K5" s="107">
        <v>51</v>
      </c>
      <c r="L5" s="107">
        <v>267</v>
      </c>
      <c r="M5" s="106">
        <v>0</v>
      </c>
      <c r="N5" s="106">
        <v>0</v>
      </c>
      <c r="O5" s="108"/>
    </row>
    <row r="6" spans="1:15">
      <c r="A6" s="106">
        <v>95000011</v>
      </c>
      <c r="B6" s="106">
        <v>1</v>
      </c>
      <c r="C6" s="106">
        <v>71207</v>
      </c>
      <c r="D6" s="106" t="s">
        <v>422</v>
      </c>
      <c r="E6" s="106">
        <v>17</v>
      </c>
      <c r="F6" s="106" t="s">
        <v>423</v>
      </c>
      <c r="G6" s="106">
        <v>0</v>
      </c>
      <c r="H6" s="106" t="s">
        <v>424</v>
      </c>
      <c r="I6" s="106">
        <v>0</v>
      </c>
      <c r="J6" s="106">
        <v>1</v>
      </c>
      <c r="K6" s="106">
        <v>167</v>
      </c>
      <c r="L6" s="106">
        <v>643</v>
      </c>
      <c r="M6" s="106">
        <v>0</v>
      </c>
      <c r="N6" s="106">
        <v>0</v>
      </c>
      <c r="O6" s="108"/>
    </row>
    <row r="7" spans="1:15">
      <c r="A7" s="106">
        <v>95000020</v>
      </c>
      <c r="B7" s="106">
        <v>1</v>
      </c>
      <c r="C7" s="106">
        <v>43000</v>
      </c>
      <c r="D7" s="106" t="s">
        <v>425</v>
      </c>
      <c r="E7" s="106">
        <v>18</v>
      </c>
      <c r="F7" s="106" t="s">
        <v>426</v>
      </c>
      <c r="G7" s="106">
        <v>0</v>
      </c>
      <c r="H7" s="106" t="s">
        <v>424</v>
      </c>
      <c r="I7" s="106">
        <v>0</v>
      </c>
      <c r="J7" s="106">
        <v>1</v>
      </c>
      <c r="K7" s="106">
        <v>80</v>
      </c>
      <c r="L7" s="106">
        <v>297</v>
      </c>
      <c r="M7" s="106">
        <v>0</v>
      </c>
      <c r="N7" s="106">
        <v>0</v>
      </c>
      <c r="O7" s="108"/>
    </row>
    <row r="8" spans="1:15">
      <c r="A8" s="106">
        <v>95000038</v>
      </c>
      <c r="B8" s="106">
        <v>1</v>
      </c>
      <c r="C8" s="106">
        <v>15200</v>
      </c>
      <c r="D8" s="106" t="s">
        <v>427</v>
      </c>
      <c r="E8" s="106">
        <v>212</v>
      </c>
      <c r="F8" s="106" t="s">
        <v>428</v>
      </c>
      <c r="G8" s="106">
        <v>0</v>
      </c>
      <c r="H8" s="106" t="s">
        <v>421</v>
      </c>
      <c r="I8" s="106">
        <v>0</v>
      </c>
      <c r="J8" s="106">
        <v>0</v>
      </c>
      <c r="K8" s="106">
        <v>72</v>
      </c>
      <c r="L8" s="106">
        <v>284</v>
      </c>
      <c r="M8" s="106">
        <v>0</v>
      </c>
      <c r="N8" s="106">
        <v>0</v>
      </c>
      <c r="O8" s="108"/>
    </row>
    <row r="9" spans="1:15">
      <c r="A9" s="106">
        <v>95000046</v>
      </c>
      <c r="B9" s="106">
        <v>1</v>
      </c>
      <c r="C9" s="106">
        <v>73302</v>
      </c>
      <c r="D9" s="106" t="s">
        <v>429</v>
      </c>
      <c r="E9" s="106">
        <v>20</v>
      </c>
      <c r="F9" s="106" t="s">
        <v>430</v>
      </c>
      <c r="G9" s="106">
        <v>0</v>
      </c>
      <c r="H9" s="106" t="s">
        <v>421</v>
      </c>
      <c r="I9" s="106">
        <v>4376</v>
      </c>
      <c r="J9" s="106">
        <v>1</v>
      </c>
      <c r="K9" s="106">
        <v>173</v>
      </c>
      <c r="L9" s="106">
        <v>649</v>
      </c>
      <c r="M9" s="106">
        <v>0</v>
      </c>
      <c r="N9" s="106">
        <v>0</v>
      </c>
      <c r="O9" s="108"/>
    </row>
    <row r="10" spans="1:15">
      <c r="A10" s="106">
        <v>95000054</v>
      </c>
      <c r="B10" s="106">
        <v>1</v>
      </c>
      <c r="C10" s="106">
        <v>43000</v>
      </c>
      <c r="D10" s="106" t="s">
        <v>425</v>
      </c>
      <c r="E10" s="106">
        <v>21</v>
      </c>
      <c r="F10" s="106" t="s">
        <v>431</v>
      </c>
      <c r="G10" s="106">
        <v>0</v>
      </c>
      <c r="H10" s="106" t="s">
        <v>421</v>
      </c>
      <c r="I10" s="106">
        <v>4271</v>
      </c>
      <c r="J10" s="106">
        <v>1</v>
      </c>
      <c r="K10" s="106">
        <v>174</v>
      </c>
      <c r="L10" s="106">
        <v>650</v>
      </c>
      <c r="M10" s="106">
        <v>0</v>
      </c>
      <c r="N10" s="106">
        <v>0</v>
      </c>
      <c r="O10" s="108"/>
    </row>
    <row r="11" spans="1:15">
      <c r="A11" s="106">
        <v>95000062</v>
      </c>
      <c r="B11" s="106">
        <v>1</v>
      </c>
      <c r="C11" s="106">
        <v>76601</v>
      </c>
      <c r="D11" s="106" t="s">
        <v>432</v>
      </c>
      <c r="E11" s="106">
        <v>26</v>
      </c>
      <c r="F11" s="106" t="s">
        <v>433</v>
      </c>
      <c r="G11" s="106">
        <v>0</v>
      </c>
      <c r="H11" s="106" t="s">
        <v>424</v>
      </c>
      <c r="I11" s="106">
        <v>0</v>
      </c>
      <c r="J11" s="106">
        <v>1</v>
      </c>
      <c r="K11" s="106">
        <v>188</v>
      </c>
      <c r="L11" s="106">
        <v>655</v>
      </c>
      <c r="M11" s="106">
        <v>0</v>
      </c>
      <c r="N11" s="106">
        <v>0</v>
      </c>
      <c r="O11" s="108"/>
    </row>
    <row r="12" spans="1:15">
      <c r="A12" s="106">
        <v>95000071</v>
      </c>
      <c r="B12" s="106">
        <v>1</v>
      </c>
      <c r="C12" s="106">
        <v>73600</v>
      </c>
      <c r="D12" s="106" t="s">
        <v>434</v>
      </c>
      <c r="E12" s="106">
        <v>31</v>
      </c>
      <c r="F12" s="106" t="s">
        <v>435</v>
      </c>
      <c r="G12" s="106">
        <v>0</v>
      </c>
      <c r="H12" s="106" t="s">
        <v>421</v>
      </c>
      <c r="I12" s="106">
        <v>5702</v>
      </c>
      <c r="J12" s="106">
        <v>1</v>
      </c>
      <c r="K12" s="106">
        <v>163</v>
      </c>
      <c r="L12" s="106">
        <v>642</v>
      </c>
      <c r="M12" s="106">
        <v>0</v>
      </c>
      <c r="N12" s="106">
        <v>0</v>
      </c>
      <c r="O12" s="108"/>
    </row>
    <row r="13" spans="1:15">
      <c r="A13" s="106">
        <v>95000089</v>
      </c>
      <c r="B13" s="106">
        <v>1</v>
      </c>
      <c r="C13" s="106">
        <v>13100</v>
      </c>
      <c r="D13" s="106" t="s">
        <v>436</v>
      </c>
      <c r="E13" s="106">
        <v>32</v>
      </c>
      <c r="F13" s="106" t="s">
        <v>437</v>
      </c>
      <c r="G13" s="106">
        <v>0</v>
      </c>
      <c r="H13" s="106" t="s">
        <v>421</v>
      </c>
      <c r="I13" s="106">
        <v>5703</v>
      </c>
      <c r="J13" s="106">
        <v>1</v>
      </c>
      <c r="K13" s="106">
        <v>198</v>
      </c>
      <c r="L13" s="106">
        <v>656</v>
      </c>
      <c r="M13" s="106">
        <v>0</v>
      </c>
      <c r="N13" s="106">
        <v>0</v>
      </c>
      <c r="O13" s="108" t="s">
        <v>438</v>
      </c>
    </row>
    <row r="14" spans="1:15">
      <c r="A14" s="106">
        <v>95000097</v>
      </c>
      <c r="B14" s="106">
        <v>1</v>
      </c>
      <c r="C14" s="106">
        <v>13100</v>
      </c>
      <c r="D14" s="106" t="s">
        <v>439</v>
      </c>
      <c r="E14" s="106">
        <v>33</v>
      </c>
      <c r="F14" s="106" t="s">
        <v>440</v>
      </c>
      <c r="G14" s="106">
        <v>0</v>
      </c>
      <c r="H14" s="106" t="s">
        <v>421</v>
      </c>
      <c r="I14" s="106">
        <v>1107</v>
      </c>
      <c r="J14" s="106">
        <v>1</v>
      </c>
      <c r="K14" s="106">
        <v>0</v>
      </c>
      <c r="L14" s="106"/>
      <c r="M14" s="106">
        <v>0</v>
      </c>
      <c r="N14" s="106">
        <v>0</v>
      </c>
      <c r="O14" s="108"/>
    </row>
    <row r="15" spans="1:15">
      <c r="A15" s="106">
        <v>95000101</v>
      </c>
      <c r="B15" s="106">
        <v>1</v>
      </c>
      <c r="C15" s="106">
        <v>43101</v>
      </c>
      <c r="D15" s="106" t="s">
        <v>441</v>
      </c>
      <c r="E15" s="106">
        <v>1</v>
      </c>
      <c r="F15" s="106" t="s">
        <v>442</v>
      </c>
      <c r="G15" s="106">
        <v>0</v>
      </c>
      <c r="H15" s="106" t="s">
        <v>421</v>
      </c>
      <c r="I15" s="106">
        <v>3312</v>
      </c>
      <c r="J15" s="106">
        <v>0</v>
      </c>
      <c r="K15" s="106">
        <v>43</v>
      </c>
      <c r="L15" s="106">
        <v>259</v>
      </c>
      <c r="M15" s="106">
        <v>0</v>
      </c>
      <c r="N15" s="106">
        <v>0</v>
      </c>
      <c r="O15" s="108"/>
    </row>
    <row r="16" spans="1:15">
      <c r="A16" s="106">
        <v>95000119</v>
      </c>
      <c r="B16" s="106">
        <v>1</v>
      </c>
      <c r="C16" s="106">
        <v>71206</v>
      </c>
      <c r="D16" s="106" t="s">
        <v>443</v>
      </c>
      <c r="E16" s="106">
        <v>34</v>
      </c>
      <c r="F16" s="106" t="s">
        <v>444</v>
      </c>
      <c r="G16" s="106">
        <v>0</v>
      </c>
      <c r="H16" s="106" t="s">
        <v>421</v>
      </c>
      <c r="I16" s="106">
        <v>0</v>
      </c>
      <c r="J16" s="106">
        <v>1</v>
      </c>
      <c r="K16" s="106">
        <v>0</v>
      </c>
      <c r="L16" s="106"/>
      <c r="M16" s="106">
        <v>0</v>
      </c>
      <c r="N16" s="106">
        <v>0</v>
      </c>
      <c r="O16" s="108"/>
    </row>
    <row r="17" spans="1:15">
      <c r="A17" s="106">
        <v>95000127</v>
      </c>
      <c r="B17" s="106">
        <v>1</v>
      </c>
      <c r="C17" s="106">
        <v>71206</v>
      </c>
      <c r="D17" s="106" t="s">
        <v>443</v>
      </c>
      <c r="E17" s="106">
        <v>35</v>
      </c>
      <c r="F17" s="106" t="s">
        <v>445</v>
      </c>
      <c r="G17" s="106">
        <v>0</v>
      </c>
      <c r="H17" s="106" t="s">
        <v>421</v>
      </c>
      <c r="I17" s="106">
        <v>0</v>
      </c>
      <c r="J17" s="106">
        <v>1</v>
      </c>
      <c r="K17" s="106">
        <v>158</v>
      </c>
      <c r="L17" s="106">
        <v>640</v>
      </c>
      <c r="M17" s="106">
        <v>0</v>
      </c>
      <c r="N17" s="106">
        <v>0</v>
      </c>
      <c r="O17" s="108"/>
    </row>
    <row r="18" spans="1:15">
      <c r="A18" s="106">
        <v>95000135</v>
      </c>
      <c r="B18" s="106">
        <v>1</v>
      </c>
      <c r="C18" s="106">
        <v>71206</v>
      </c>
      <c r="D18" s="106" t="s">
        <v>443</v>
      </c>
      <c r="E18" s="106">
        <v>36</v>
      </c>
      <c r="F18" s="106" t="s">
        <v>446</v>
      </c>
      <c r="G18" s="106">
        <v>0</v>
      </c>
      <c r="H18" s="106" t="s">
        <v>421</v>
      </c>
      <c r="I18" s="106">
        <v>0</v>
      </c>
      <c r="J18" s="106">
        <v>1</v>
      </c>
      <c r="K18" s="106">
        <v>186</v>
      </c>
      <c r="L18" s="106">
        <v>654</v>
      </c>
      <c r="M18" s="106">
        <v>0</v>
      </c>
      <c r="N18" s="106">
        <v>0</v>
      </c>
      <c r="O18" s="108"/>
    </row>
    <row r="19" spans="1:15">
      <c r="A19" s="106">
        <v>95000143</v>
      </c>
      <c r="B19" s="106">
        <v>1</v>
      </c>
      <c r="C19" s="106">
        <v>71206</v>
      </c>
      <c r="D19" s="106" t="s">
        <v>443</v>
      </c>
      <c r="E19" s="106">
        <v>37</v>
      </c>
      <c r="F19" s="106" t="s">
        <v>447</v>
      </c>
      <c r="G19" s="106">
        <v>0</v>
      </c>
      <c r="H19" s="106" t="s">
        <v>421</v>
      </c>
      <c r="I19" s="106">
        <v>0</v>
      </c>
      <c r="J19" s="106">
        <v>1</v>
      </c>
      <c r="K19" s="106">
        <v>0</v>
      </c>
      <c r="L19" s="106"/>
      <c r="M19" s="106">
        <v>0</v>
      </c>
      <c r="N19" s="106">
        <v>0</v>
      </c>
      <c r="O19" s="108"/>
    </row>
    <row r="20" spans="1:15">
      <c r="A20" s="106">
        <v>95000151</v>
      </c>
      <c r="B20" s="106">
        <v>1</v>
      </c>
      <c r="C20" s="106">
        <v>71206</v>
      </c>
      <c r="D20" s="106" t="s">
        <v>443</v>
      </c>
      <c r="E20" s="106">
        <v>38</v>
      </c>
      <c r="F20" s="106" t="s">
        <v>448</v>
      </c>
      <c r="G20" s="106">
        <v>0</v>
      </c>
      <c r="H20" s="106" t="s">
        <v>421</v>
      </c>
      <c r="I20" s="106">
        <v>0</v>
      </c>
      <c r="J20" s="106">
        <v>1</v>
      </c>
      <c r="K20" s="106">
        <v>0</v>
      </c>
      <c r="L20" s="106"/>
      <c r="M20" s="106">
        <v>0</v>
      </c>
      <c r="N20" s="106">
        <v>0</v>
      </c>
      <c r="O20" s="108"/>
    </row>
    <row r="21" spans="1:15">
      <c r="A21" s="106">
        <v>95000160</v>
      </c>
      <c r="B21" s="106">
        <v>1</v>
      </c>
      <c r="C21" s="106">
        <v>71206</v>
      </c>
      <c r="D21" s="106" t="s">
        <v>443</v>
      </c>
      <c r="E21" s="106">
        <v>39</v>
      </c>
      <c r="F21" s="106" t="s">
        <v>449</v>
      </c>
      <c r="G21" s="106">
        <v>0</v>
      </c>
      <c r="H21" s="106" t="s">
        <v>421</v>
      </c>
      <c r="I21" s="106">
        <v>0</v>
      </c>
      <c r="J21" s="106">
        <v>1</v>
      </c>
      <c r="K21" s="106">
        <v>0</v>
      </c>
      <c r="L21" s="106"/>
      <c r="M21" s="106">
        <v>0</v>
      </c>
      <c r="N21" s="106">
        <v>0</v>
      </c>
      <c r="O21" s="108"/>
    </row>
    <row r="22" spans="1:15">
      <c r="A22" s="106">
        <v>95000178</v>
      </c>
      <c r="B22" s="106">
        <v>1</v>
      </c>
      <c r="C22" s="106">
        <v>71206</v>
      </c>
      <c r="D22" s="106" t="s">
        <v>443</v>
      </c>
      <c r="E22" s="106">
        <v>40</v>
      </c>
      <c r="F22" s="106" t="s">
        <v>450</v>
      </c>
      <c r="G22" s="106">
        <v>0</v>
      </c>
      <c r="H22" s="106" t="s">
        <v>421</v>
      </c>
      <c r="I22" s="106">
        <v>0</v>
      </c>
      <c r="J22" s="106">
        <v>1</v>
      </c>
      <c r="K22" s="106">
        <v>168</v>
      </c>
      <c r="L22" s="106">
        <v>644</v>
      </c>
      <c r="M22" s="106">
        <v>0</v>
      </c>
      <c r="N22" s="106">
        <v>0</v>
      </c>
      <c r="O22" s="108"/>
    </row>
    <row r="23" spans="1:15">
      <c r="A23" s="106">
        <v>95000186</v>
      </c>
      <c r="B23" s="106">
        <v>1</v>
      </c>
      <c r="C23" s="106">
        <v>71206</v>
      </c>
      <c r="D23" s="106" t="s">
        <v>443</v>
      </c>
      <c r="E23" s="106">
        <v>41</v>
      </c>
      <c r="F23" s="106" t="s">
        <v>451</v>
      </c>
      <c r="G23" s="106">
        <v>0</v>
      </c>
      <c r="H23" s="106" t="s">
        <v>421</v>
      </c>
      <c r="I23" s="106">
        <v>0</v>
      </c>
      <c r="J23" s="106">
        <v>1</v>
      </c>
      <c r="K23" s="106">
        <v>177</v>
      </c>
      <c r="L23" s="106">
        <v>651</v>
      </c>
      <c r="M23" s="106">
        <v>0</v>
      </c>
      <c r="N23" s="106">
        <v>0</v>
      </c>
      <c r="O23" s="108"/>
    </row>
    <row r="24" spans="1:15">
      <c r="A24" s="106">
        <v>95000194</v>
      </c>
      <c r="B24" s="106">
        <v>1</v>
      </c>
      <c r="C24" s="106">
        <v>71206</v>
      </c>
      <c r="D24" s="106" t="s">
        <v>443</v>
      </c>
      <c r="E24" s="106">
        <v>42</v>
      </c>
      <c r="F24" s="106" t="s">
        <v>452</v>
      </c>
      <c r="G24" s="106">
        <v>0</v>
      </c>
      <c r="H24" s="106" t="s">
        <v>421</v>
      </c>
      <c r="I24" s="106">
        <v>0</v>
      </c>
      <c r="J24" s="106">
        <v>1</v>
      </c>
      <c r="K24" s="106">
        <v>178</v>
      </c>
      <c r="L24" s="106">
        <v>652</v>
      </c>
      <c r="M24" s="106">
        <v>0</v>
      </c>
      <c r="N24" s="106">
        <v>0</v>
      </c>
      <c r="O24" s="108"/>
    </row>
    <row r="25" spans="1:15">
      <c r="A25" s="106">
        <v>95000208</v>
      </c>
      <c r="B25" s="106">
        <v>1</v>
      </c>
      <c r="C25" s="106">
        <v>71206</v>
      </c>
      <c r="D25" s="106" t="s">
        <v>443</v>
      </c>
      <c r="E25" s="106">
        <v>43</v>
      </c>
      <c r="F25" s="106" t="s">
        <v>453</v>
      </c>
      <c r="G25" s="106">
        <v>0</v>
      </c>
      <c r="H25" s="106" t="s">
        <v>421</v>
      </c>
      <c r="I25" s="106">
        <v>0</v>
      </c>
      <c r="J25" s="106">
        <v>1</v>
      </c>
      <c r="K25" s="106">
        <v>0</v>
      </c>
      <c r="L25" s="106"/>
      <c r="M25" s="106">
        <v>0</v>
      </c>
      <c r="N25" s="106">
        <v>0</v>
      </c>
      <c r="O25" s="108"/>
    </row>
    <row r="26" spans="1:15">
      <c r="A26" s="106">
        <v>95000216</v>
      </c>
      <c r="B26" s="106">
        <v>1</v>
      </c>
      <c r="C26" s="106">
        <v>71206</v>
      </c>
      <c r="D26" s="106" t="s">
        <v>443</v>
      </c>
      <c r="E26" s="106">
        <v>44</v>
      </c>
      <c r="F26" s="106" t="s">
        <v>454</v>
      </c>
      <c r="G26" s="106">
        <v>0</v>
      </c>
      <c r="H26" s="106" t="s">
        <v>421</v>
      </c>
      <c r="I26" s="106">
        <v>0</v>
      </c>
      <c r="J26" s="106">
        <v>1</v>
      </c>
      <c r="K26" s="106">
        <v>224</v>
      </c>
      <c r="L26" s="106">
        <v>659</v>
      </c>
      <c r="M26" s="106">
        <v>0</v>
      </c>
      <c r="N26" s="106">
        <v>0</v>
      </c>
      <c r="O26" s="108" t="s">
        <v>455</v>
      </c>
    </row>
    <row r="27" spans="1:15">
      <c r="A27" s="106">
        <v>95000224</v>
      </c>
      <c r="B27" s="106">
        <v>1</v>
      </c>
      <c r="C27" s="106">
        <v>71206</v>
      </c>
      <c r="D27" s="106" t="s">
        <v>443</v>
      </c>
      <c r="E27" s="106">
        <v>45</v>
      </c>
      <c r="F27" s="106" t="s">
        <v>456</v>
      </c>
      <c r="G27" s="106">
        <v>0</v>
      </c>
      <c r="H27" s="106" t="s">
        <v>421</v>
      </c>
      <c r="I27" s="106">
        <v>0</v>
      </c>
      <c r="J27" s="106">
        <v>1</v>
      </c>
      <c r="K27" s="106">
        <v>169</v>
      </c>
      <c r="L27" s="106">
        <v>645</v>
      </c>
      <c r="M27" s="106">
        <v>0</v>
      </c>
      <c r="N27" s="106">
        <v>0</v>
      </c>
      <c r="O27" s="108"/>
    </row>
    <row r="28" spans="1:15">
      <c r="A28" s="106">
        <v>95000232</v>
      </c>
      <c r="B28" s="106">
        <v>1</v>
      </c>
      <c r="C28" s="106">
        <v>71206</v>
      </c>
      <c r="D28" s="106" t="s">
        <v>443</v>
      </c>
      <c r="E28" s="106">
        <v>46</v>
      </c>
      <c r="F28" s="106" t="s">
        <v>457</v>
      </c>
      <c r="G28" s="106">
        <v>0</v>
      </c>
      <c r="H28" s="106" t="s">
        <v>421</v>
      </c>
      <c r="I28" s="106">
        <v>0</v>
      </c>
      <c r="J28" s="106">
        <v>1</v>
      </c>
      <c r="K28" s="106">
        <v>0</v>
      </c>
      <c r="L28" s="106"/>
      <c r="M28" s="106">
        <v>0</v>
      </c>
      <c r="N28" s="106">
        <v>0</v>
      </c>
      <c r="O28" s="108"/>
    </row>
    <row r="29" spans="1:15">
      <c r="A29" s="106">
        <v>95000241</v>
      </c>
      <c r="B29" s="106">
        <v>1</v>
      </c>
      <c r="C29" s="106">
        <v>71206</v>
      </c>
      <c r="D29" s="106" t="s">
        <v>443</v>
      </c>
      <c r="E29" s="106">
        <v>47</v>
      </c>
      <c r="F29" s="106" t="s">
        <v>458</v>
      </c>
      <c r="G29" s="106">
        <v>0</v>
      </c>
      <c r="H29" s="106" t="s">
        <v>421</v>
      </c>
      <c r="I29" s="106">
        <v>0</v>
      </c>
      <c r="J29" s="106">
        <v>1</v>
      </c>
      <c r="K29" s="106">
        <v>0</v>
      </c>
      <c r="L29" s="106"/>
      <c r="M29" s="106">
        <v>0</v>
      </c>
      <c r="N29" s="106">
        <v>0</v>
      </c>
      <c r="O29" s="108"/>
    </row>
    <row r="30" spans="1:15">
      <c r="A30" s="106">
        <v>95000259</v>
      </c>
      <c r="B30" s="106">
        <v>1</v>
      </c>
      <c r="C30" s="106">
        <v>71206</v>
      </c>
      <c r="D30" s="106" t="s">
        <v>443</v>
      </c>
      <c r="E30" s="106">
        <v>48</v>
      </c>
      <c r="F30" s="106" t="s">
        <v>459</v>
      </c>
      <c r="G30" s="106">
        <v>0</v>
      </c>
      <c r="H30" s="106" t="s">
        <v>421</v>
      </c>
      <c r="I30" s="106">
        <v>0</v>
      </c>
      <c r="J30" s="106">
        <v>1</v>
      </c>
      <c r="K30" s="106">
        <v>170</v>
      </c>
      <c r="L30" s="106">
        <v>646</v>
      </c>
      <c r="M30" s="106">
        <v>0</v>
      </c>
      <c r="N30" s="106">
        <v>0</v>
      </c>
      <c r="O30" s="108"/>
    </row>
    <row r="31" spans="1:15">
      <c r="A31" s="106">
        <v>95000267</v>
      </c>
      <c r="B31" s="106">
        <v>1</v>
      </c>
      <c r="C31" s="106">
        <v>71206</v>
      </c>
      <c r="D31" s="106" t="s">
        <v>443</v>
      </c>
      <c r="E31" s="106">
        <v>49</v>
      </c>
      <c r="F31" s="106" t="s">
        <v>460</v>
      </c>
      <c r="G31" s="106">
        <v>0</v>
      </c>
      <c r="H31" s="106" t="s">
        <v>421</v>
      </c>
      <c r="I31" s="106">
        <v>0</v>
      </c>
      <c r="J31" s="106">
        <v>1</v>
      </c>
      <c r="K31" s="106">
        <v>0</v>
      </c>
      <c r="L31" s="106"/>
      <c r="M31" s="106">
        <v>0</v>
      </c>
      <c r="N31" s="106">
        <v>0</v>
      </c>
      <c r="O31" s="108"/>
    </row>
    <row r="32" spans="1:15">
      <c r="A32" s="106">
        <v>95000275</v>
      </c>
      <c r="B32" s="106">
        <v>1</v>
      </c>
      <c r="C32" s="106">
        <v>71206</v>
      </c>
      <c r="D32" s="106" t="s">
        <v>443</v>
      </c>
      <c r="E32" s="106">
        <v>50</v>
      </c>
      <c r="F32" s="106" t="s">
        <v>461</v>
      </c>
      <c r="G32" s="106">
        <v>0</v>
      </c>
      <c r="H32" s="106" t="s">
        <v>421</v>
      </c>
      <c r="I32" s="106">
        <v>0</v>
      </c>
      <c r="J32" s="106">
        <v>1</v>
      </c>
      <c r="K32" s="106">
        <v>0</v>
      </c>
      <c r="L32" s="106"/>
      <c r="M32" s="106">
        <v>0</v>
      </c>
      <c r="N32" s="106">
        <v>0</v>
      </c>
      <c r="O32" s="108"/>
    </row>
    <row r="33" spans="1:15">
      <c r="A33" s="106">
        <v>95000283</v>
      </c>
      <c r="B33" s="106">
        <v>1</v>
      </c>
      <c r="C33" s="106">
        <v>71206</v>
      </c>
      <c r="D33" s="106" t="s">
        <v>443</v>
      </c>
      <c r="E33" s="106">
        <v>51</v>
      </c>
      <c r="F33" s="106" t="s">
        <v>462</v>
      </c>
      <c r="G33" s="106">
        <v>0</v>
      </c>
      <c r="H33" s="106" t="s">
        <v>421</v>
      </c>
      <c r="I33" s="106">
        <v>0</v>
      </c>
      <c r="J33" s="106">
        <v>1</v>
      </c>
      <c r="K33" s="106">
        <v>0</v>
      </c>
      <c r="L33" s="106"/>
      <c r="M33" s="106">
        <v>0</v>
      </c>
      <c r="N33" s="106">
        <v>0</v>
      </c>
      <c r="O33" s="108"/>
    </row>
    <row r="34" spans="1:15">
      <c r="A34" s="106">
        <v>95000291</v>
      </c>
      <c r="B34" s="106">
        <v>1</v>
      </c>
      <c r="C34" s="106">
        <v>71206</v>
      </c>
      <c r="D34" s="106" t="s">
        <v>443</v>
      </c>
      <c r="E34" s="106">
        <v>52</v>
      </c>
      <c r="F34" s="106" t="s">
        <v>463</v>
      </c>
      <c r="G34" s="106">
        <v>0</v>
      </c>
      <c r="H34" s="106" t="s">
        <v>421</v>
      </c>
      <c r="I34" s="106">
        <v>0</v>
      </c>
      <c r="J34" s="106">
        <v>1</v>
      </c>
      <c r="K34" s="106">
        <v>0</v>
      </c>
      <c r="L34" s="106"/>
      <c r="M34" s="106">
        <v>0</v>
      </c>
      <c r="N34" s="106">
        <v>0</v>
      </c>
      <c r="O34" s="108"/>
    </row>
    <row r="35" spans="1:15">
      <c r="A35" s="106">
        <v>95000305</v>
      </c>
      <c r="B35" s="106">
        <v>1</v>
      </c>
      <c r="C35" s="106">
        <v>70104</v>
      </c>
      <c r="D35" s="106" t="s">
        <v>464</v>
      </c>
      <c r="E35" s="106">
        <v>2</v>
      </c>
      <c r="F35" s="106" t="s">
        <v>465</v>
      </c>
      <c r="G35" s="106">
        <v>0</v>
      </c>
      <c r="H35" s="106" t="s">
        <v>421</v>
      </c>
      <c r="I35" s="106">
        <v>4668</v>
      </c>
      <c r="J35" s="106">
        <v>0</v>
      </c>
      <c r="K35" s="106">
        <v>44</v>
      </c>
      <c r="L35" s="106">
        <v>260</v>
      </c>
      <c r="M35" s="106">
        <v>0</v>
      </c>
      <c r="N35" s="106">
        <v>0</v>
      </c>
      <c r="O35" s="108"/>
    </row>
    <row r="36" spans="1:15">
      <c r="A36" s="106">
        <v>95000313</v>
      </c>
      <c r="B36" s="106">
        <v>1</v>
      </c>
      <c r="C36" s="106">
        <v>77600</v>
      </c>
      <c r="D36" s="106" t="s">
        <v>466</v>
      </c>
      <c r="E36" s="106">
        <v>54</v>
      </c>
      <c r="F36" s="106" t="s">
        <v>467</v>
      </c>
      <c r="G36" s="106">
        <v>0</v>
      </c>
      <c r="H36" s="106" t="s">
        <v>424</v>
      </c>
      <c r="I36" s="106">
        <v>0</v>
      </c>
      <c r="J36" s="106">
        <v>1</v>
      </c>
      <c r="K36" s="106">
        <v>0</v>
      </c>
      <c r="L36" s="106"/>
      <c r="M36" s="106">
        <v>0</v>
      </c>
      <c r="N36" s="106">
        <v>0</v>
      </c>
      <c r="O36" s="108"/>
    </row>
    <row r="37" spans="1:15">
      <c r="A37" s="106">
        <v>95000321</v>
      </c>
      <c r="B37" s="106">
        <v>1</v>
      </c>
      <c r="C37" s="106">
        <v>77601</v>
      </c>
      <c r="D37" s="106" t="s">
        <v>468</v>
      </c>
      <c r="E37" s="106">
        <v>55</v>
      </c>
      <c r="F37" s="106" t="s">
        <v>469</v>
      </c>
      <c r="G37" s="106">
        <v>0</v>
      </c>
      <c r="H37" s="106" t="s">
        <v>424</v>
      </c>
      <c r="I37" s="106">
        <v>0</v>
      </c>
      <c r="J37" s="106">
        <v>1</v>
      </c>
      <c r="K37" s="106">
        <v>0</v>
      </c>
      <c r="L37" s="106"/>
      <c r="M37" s="106">
        <v>0</v>
      </c>
      <c r="N37" s="106">
        <v>0</v>
      </c>
      <c r="O37" s="108"/>
    </row>
    <row r="38" spans="1:15">
      <c r="A38" s="106">
        <v>95000330</v>
      </c>
      <c r="B38" s="106">
        <v>1</v>
      </c>
      <c r="C38" s="106">
        <v>75500</v>
      </c>
      <c r="D38" s="106" t="s">
        <v>470</v>
      </c>
      <c r="E38" s="106">
        <v>56</v>
      </c>
      <c r="F38" s="106" t="s">
        <v>471</v>
      </c>
      <c r="G38" s="106">
        <v>0</v>
      </c>
      <c r="H38" s="106" t="s">
        <v>424</v>
      </c>
      <c r="I38" s="106">
        <v>0</v>
      </c>
      <c r="J38" s="106">
        <v>1</v>
      </c>
      <c r="K38" s="106">
        <v>0</v>
      </c>
      <c r="L38" s="106"/>
      <c r="M38" s="106">
        <v>0</v>
      </c>
      <c r="N38" s="106">
        <v>0</v>
      </c>
      <c r="O38" s="108"/>
    </row>
    <row r="39" spans="1:15">
      <c r="A39" s="106">
        <v>95000348</v>
      </c>
      <c r="B39" s="106">
        <v>1</v>
      </c>
      <c r="C39" s="106">
        <v>76601</v>
      </c>
      <c r="D39" s="106" t="s">
        <v>472</v>
      </c>
      <c r="E39" s="106">
        <v>57</v>
      </c>
      <c r="F39" s="106" t="s">
        <v>473</v>
      </c>
      <c r="G39" s="106">
        <v>0</v>
      </c>
      <c r="H39" s="106" t="s">
        <v>424</v>
      </c>
      <c r="I39" s="106">
        <v>0</v>
      </c>
      <c r="J39" s="106">
        <v>1</v>
      </c>
      <c r="K39" s="106">
        <v>0</v>
      </c>
      <c r="L39" s="106"/>
      <c r="M39" s="106">
        <v>0</v>
      </c>
      <c r="N39" s="106">
        <v>0</v>
      </c>
      <c r="O39" s="108"/>
    </row>
    <row r="40" spans="1:15">
      <c r="A40" s="106">
        <v>95000356</v>
      </c>
      <c r="B40" s="106">
        <v>1</v>
      </c>
      <c r="C40" s="106">
        <v>76601</v>
      </c>
      <c r="D40" s="106" t="s">
        <v>472</v>
      </c>
      <c r="E40" s="106">
        <v>58</v>
      </c>
      <c r="F40" s="106" t="s">
        <v>474</v>
      </c>
      <c r="G40" s="106">
        <v>0</v>
      </c>
      <c r="H40" s="106" t="s">
        <v>424</v>
      </c>
      <c r="I40" s="106">
        <v>0</v>
      </c>
      <c r="J40" s="106">
        <v>1</v>
      </c>
      <c r="K40" s="106">
        <v>0</v>
      </c>
      <c r="L40" s="106"/>
      <c r="M40" s="106">
        <v>0</v>
      </c>
      <c r="N40" s="106">
        <v>0</v>
      </c>
      <c r="O40" s="108"/>
    </row>
    <row r="41" spans="1:15">
      <c r="A41" s="106">
        <v>95000364</v>
      </c>
      <c r="B41" s="106">
        <v>1</v>
      </c>
      <c r="C41" s="106">
        <v>76601</v>
      </c>
      <c r="D41" s="106" t="s">
        <v>472</v>
      </c>
      <c r="E41" s="106">
        <v>59</v>
      </c>
      <c r="F41" s="106" t="s">
        <v>475</v>
      </c>
      <c r="G41" s="106">
        <v>0</v>
      </c>
      <c r="H41" s="106" t="s">
        <v>424</v>
      </c>
      <c r="I41" s="106">
        <v>0</v>
      </c>
      <c r="J41" s="106">
        <v>1</v>
      </c>
      <c r="K41" s="106">
        <v>0</v>
      </c>
      <c r="L41" s="106"/>
      <c r="M41" s="106">
        <v>0</v>
      </c>
      <c r="N41" s="106">
        <v>0</v>
      </c>
      <c r="O41" s="108"/>
    </row>
    <row r="42" spans="1:15">
      <c r="A42" s="106">
        <v>95000372</v>
      </c>
      <c r="B42" s="106">
        <v>1</v>
      </c>
      <c r="C42" s="106">
        <v>76601</v>
      </c>
      <c r="D42" s="106" t="s">
        <v>472</v>
      </c>
      <c r="E42" s="106">
        <v>60</v>
      </c>
      <c r="F42" s="106" t="s">
        <v>476</v>
      </c>
      <c r="G42" s="106">
        <v>0</v>
      </c>
      <c r="H42" s="106" t="s">
        <v>424</v>
      </c>
      <c r="I42" s="106">
        <v>0</v>
      </c>
      <c r="J42" s="106">
        <v>1</v>
      </c>
      <c r="K42" s="106">
        <v>0</v>
      </c>
      <c r="L42" s="106"/>
      <c r="M42" s="106">
        <v>0</v>
      </c>
      <c r="N42" s="106">
        <v>0</v>
      </c>
      <c r="O42" s="108"/>
    </row>
    <row r="43" spans="1:15">
      <c r="A43" s="106">
        <v>95000381</v>
      </c>
      <c r="B43" s="106">
        <v>1</v>
      </c>
      <c r="C43" s="106">
        <v>75300</v>
      </c>
      <c r="D43" s="106" t="s">
        <v>477</v>
      </c>
      <c r="E43" s="106">
        <v>61</v>
      </c>
      <c r="F43" s="106" t="s">
        <v>478</v>
      </c>
      <c r="G43" s="106">
        <v>0</v>
      </c>
      <c r="H43" s="106" t="s">
        <v>424</v>
      </c>
      <c r="I43" s="106">
        <v>0</v>
      </c>
      <c r="J43" s="106">
        <v>1</v>
      </c>
      <c r="K43" s="106">
        <v>0</v>
      </c>
      <c r="L43" s="106"/>
      <c r="M43" s="106">
        <v>0</v>
      </c>
      <c r="N43" s="106">
        <v>0</v>
      </c>
      <c r="O43" s="108"/>
    </row>
    <row r="44" spans="1:15">
      <c r="A44" s="106">
        <v>95000399</v>
      </c>
      <c r="B44" s="106">
        <v>1</v>
      </c>
      <c r="C44" s="106">
        <v>76601</v>
      </c>
      <c r="D44" s="106" t="s">
        <v>472</v>
      </c>
      <c r="E44" s="106">
        <v>62</v>
      </c>
      <c r="F44" s="106" t="s">
        <v>479</v>
      </c>
      <c r="G44" s="106">
        <v>0</v>
      </c>
      <c r="H44" s="106" t="s">
        <v>424</v>
      </c>
      <c r="I44" s="106">
        <v>0</v>
      </c>
      <c r="J44" s="106">
        <v>1</v>
      </c>
      <c r="K44" s="106">
        <v>0</v>
      </c>
      <c r="L44" s="106"/>
      <c r="M44" s="106">
        <v>0</v>
      </c>
      <c r="N44" s="106">
        <v>0</v>
      </c>
      <c r="O44" s="108"/>
    </row>
    <row r="45" spans="1:15">
      <c r="A45" s="106">
        <v>95000402</v>
      </c>
      <c r="B45" s="106">
        <v>1</v>
      </c>
      <c r="C45" s="106">
        <v>71206</v>
      </c>
      <c r="D45" s="106" t="s">
        <v>443</v>
      </c>
      <c r="E45" s="106">
        <v>3</v>
      </c>
      <c r="F45" s="106" t="s">
        <v>480</v>
      </c>
      <c r="G45" s="106">
        <v>0</v>
      </c>
      <c r="H45" s="106" t="s">
        <v>424</v>
      </c>
      <c r="I45" s="106">
        <v>0</v>
      </c>
      <c r="J45" s="106">
        <v>1</v>
      </c>
      <c r="K45" s="106">
        <v>0</v>
      </c>
      <c r="L45" s="106"/>
      <c r="M45" s="106">
        <v>0</v>
      </c>
      <c r="N45" s="106">
        <v>0</v>
      </c>
      <c r="O45" s="108"/>
    </row>
    <row r="46" spans="1:15">
      <c r="A46" s="106">
        <v>95000411</v>
      </c>
      <c r="B46" s="106">
        <v>1</v>
      </c>
      <c r="C46" s="106">
        <v>75500</v>
      </c>
      <c r="D46" s="106" t="s">
        <v>470</v>
      </c>
      <c r="E46" s="106">
        <v>64</v>
      </c>
      <c r="F46" s="106" t="s">
        <v>481</v>
      </c>
      <c r="G46" s="106">
        <v>0</v>
      </c>
      <c r="H46" s="106" t="s">
        <v>424</v>
      </c>
      <c r="I46" s="106">
        <v>0</v>
      </c>
      <c r="J46" s="106">
        <v>1</v>
      </c>
      <c r="K46" s="106">
        <v>0</v>
      </c>
      <c r="L46" s="106"/>
      <c r="M46" s="106">
        <v>0</v>
      </c>
      <c r="N46" s="106">
        <v>0</v>
      </c>
      <c r="O46" s="108"/>
    </row>
    <row r="47" spans="1:15">
      <c r="A47" s="106">
        <v>95000429</v>
      </c>
      <c r="B47" s="106">
        <v>1</v>
      </c>
      <c r="C47" s="106">
        <v>15500</v>
      </c>
      <c r="D47" s="106" t="s">
        <v>419</v>
      </c>
      <c r="E47" s="106">
        <v>65</v>
      </c>
      <c r="F47" s="106" t="s">
        <v>482</v>
      </c>
      <c r="G47" s="106">
        <v>0</v>
      </c>
      <c r="H47" s="106" t="s">
        <v>424</v>
      </c>
      <c r="I47" s="106">
        <v>4406</v>
      </c>
      <c r="J47" s="106">
        <v>1</v>
      </c>
      <c r="K47" s="106">
        <v>0</v>
      </c>
      <c r="L47" s="106"/>
      <c r="M47" s="106">
        <v>0</v>
      </c>
      <c r="N47" s="106">
        <v>0</v>
      </c>
      <c r="O47" s="108"/>
    </row>
    <row r="48" spans="1:15">
      <c r="A48" s="106">
        <v>95000437</v>
      </c>
      <c r="B48" s="106">
        <v>1</v>
      </c>
      <c r="C48" s="106">
        <v>76601</v>
      </c>
      <c r="D48" s="106" t="s">
        <v>472</v>
      </c>
      <c r="E48" s="106">
        <v>66</v>
      </c>
      <c r="F48" s="106" t="s">
        <v>483</v>
      </c>
      <c r="G48" s="106">
        <v>0</v>
      </c>
      <c r="H48" s="106" t="s">
        <v>424</v>
      </c>
      <c r="I48" s="106">
        <v>0</v>
      </c>
      <c r="J48" s="106">
        <v>1</v>
      </c>
      <c r="K48" s="106">
        <v>0</v>
      </c>
      <c r="L48" s="106"/>
      <c r="M48" s="106">
        <v>0</v>
      </c>
      <c r="N48" s="106">
        <v>0</v>
      </c>
      <c r="O48" s="108"/>
    </row>
    <row r="49" spans="1:15">
      <c r="A49" s="106">
        <v>95000445</v>
      </c>
      <c r="B49" s="106">
        <v>1</v>
      </c>
      <c r="C49" s="106">
        <v>76601</v>
      </c>
      <c r="D49" s="106" t="s">
        <v>472</v>
      </c>
      <c r="E49" s="106">
        <v>67</v>
      </c>
      <c r="F49" s="106" t="s">
        <v>484</v>
      </c>
      <c r="G49" s="106">
        <v>0</v>
      </c>
      <c r="H49" s="106" t="s">
        <v>424</v>
      </c>
      <c r="I49" s="106">
        <v>0</v>
      </c>
      <c r="J49" s="106">
        <v>1</v>
      </c>
      <c r="K49" s="106">
        <v>0</v>
      </c>
      <c r="L49" s="106"/>
      <c r="M49" s="106">
        <v>0</v>
      </c>
      <c r="N49" s="106">
        <v>0</v>
      </c>
      <c r="O49" s="108"/>
    </row>
    <row r="50" spans="1:15">
      <c r="A50" s="106">
        <v>95000453</v>
      </c>
      <c r="B50" s="106">
        <v>1</v>
      </c>
      <c r="C50" s="106">
        <v>76601</v>
      </c>
      <c r="D50" s="106" t="s">
        <v>472</v>
      </c>
      <c r="E50" s="106">
        <v>68</v>
      </c>
      <c r="F50" s="106" t="s">
        <v>485</v>
      </c>
      <c r="G50" s="106">
        <v>0</v>
      </c>
      <c r="H50" s="106" t="s">
        <v>424</v>
      </c>
      <c r="I50" s="106">
        <v>0</v>
      </c>
      <c r="J50" s="106">
        <v>1</v>
      </c>
      <c r="K50" s="106">
        <v>159</v>
      </c>
      <c r="L50" s="106">
        <v>641</v>
      </c>
      <c r="M50" s="106">
        <v>0</v>
      </c>
      <c r="N50" s="106">
        <v>0</v>
      </c>
      <c r="O50" s="108"/>
    </row>
    <row r="51" spans="1:15">
      <c r="A51" s="106">
        <v>95000461</v>
      </c>
      <c r="B51" s="106">
        <v>1</v>
      </c>
      <c r="C51" s="106">
        <v>76601</v>
      </c>
      <c r="D51" s="106" t="s">
        <v>472</v>
      </c>
      <c r="E51" s="106">
        <v>69</v>
      </c>
      <c r="F51" s="106" t="s">
        <v>486</v>
      </c>
      <c r="G51" s="106">
        <v>0</v>
      </c>
      <c r="H51" s="106" t="s">
        <v>424</v>
      </c>
      <c r="I51" s="106">
        <v>0</v>
      </c>
      <c r="J51" s="106">
        <v>1</v>
      </c>
      <c r="K51" s="106">
        <v>0</v>
      </c>
      <c r="L51" s="106"/>
      <c r="M51" s="106">
        <v>0</v>
      </c>
      <c r="N51" s="106">
        <v>0</v>
      </c>
      <c r="O51" s="108"/>
    </row>
    <row r="52" spans="1:15">
      <c r="A52" s="106">
        <v>95000470</v>
      </c>
      <c r="B52" s="106">
        <v>1</v>
      </c>
      <c r="C52" s="106">
        <v>15600</v>
      </c>
      <c r="D52" s="106" t="s">
        <v>487</v>
      </c>
      <c r="E52" s="106">
        <v>70</v>
      </c>
      <c r="F52" s="106" t="s">
        <v>488</v>
      </c>
      <c r="G52" s="106">
        <v>0</v>
      </c>
      <c r="H52" s="106" t="s">
        <v>421</v>
      </c>
      <c r="I52" s="106">
        <v>4970</v>
      </c>
      <c r="J52" s="106">
        <v>1</v>
      </c>
      <c r="K52" s="106">
        <v>123</v>
      </c>
      <c r="L52" s="106">
        <v>613</v>
      </c>
      <c r="M52" s="106">
        <v>0</v>
      </c>
      <c r="N52" s="106">
        <v>0</v>
      </c>
      <c r="O52" s="108"/>
    </row>
    <row r="53" spans="1:15">
      <c r="A53" s="106">
        <v>95000488</v>
      </c>
      <c r="B53" s="106">
        <v>1</v>
      </c>
      <c r="C53" s="106">
        <v>15600</v>
      </c>
      <c r="D53" s="106" t="s">
        <v>487</v>
      </c>
      <c r="E53" s="106">
        <v>71</v>
      </c>
      <c r="F53" s="106" t="s">
        <v>489</v>
      </c>
      <c r="G53" s="106">
        <v>0</v>
      </c>
      <c r="H53" s="106" t="s">
        <v>421</v>
      </c>
      <c r="I53" s="106">
        <v>4970</v>
      </c>
      <c r="J53" s="106">
        <v>1</v>
      </c>
      <c r="K53" s="106">
        <v>124</v>
      </c>
      <c r="L53" s="106">
        <v>614</v>
      </c>
      <c r="M53" s="106">
        <v>0</v>
      </c>
      <c r="N53" s="106">
        <v>0</v>
      </c>
      <c r="O53" s="108"/>
    </row>
    <row r="54" spans="1:15">
      <c r="A54" s="106">
        <v>95000496</v>
      </c>
      <c r="B54" s="106">
        <v>1</v>
      </c>
      <c r="C54" s="106">
        <v>15600</v>
      </c>
      <c r="D54" s="106" t="s">
        <v>487</v>
      </c>
      <c r="E54" s="106">
        <v>72</v>
      </c>
      <c r="F54" s="106" t="s">
        <v>490</v>
      </c>
      <c r="G54" s="106">
        <v>0</v>
      </c>
      <c r="H54" s="106" t="s">
        <v>421</v>
      </c>
      <c r="I54" s="106">
        <v>4970</v>
      </c>
      <c r="J54" s="106">
        <v>1</v>
      </c>
      <c r="K54" s="106">
        <v>125</v>
      </c>
      <c r="L54" s="106">
        <v>615</v>
      </c>
      <c r="M54" s="106">
        <v>0</v>
      </c>
      <c r="N54" s="106">
        <v>0</v>
      </c>
      <c r="O54" s="108"/>
    </row>
    <row r="55" spans="1:15">
      <c r="A55" s="106">
        <v>95000500</v>
      </c>
      <c r="B55" s="106">
        <v>1</v>
      </c>
      <c r="C55" s="106">
        <v>70104</v>
      </c>
      <c r="D55" s="106" t="s">
        <v>464</v>
      </c>
      <c r="E55" s="106">
        <v>4</v>
      </c>
      <c r="F55" s="106" t="s">
        <v>491</v>
      </c>
      <c r="G55" s="106">
        <v>0</v>
      </c>
      <c r="H55" s="106" t="s">
        <v>421</v>
      </c>
      <c r="I55" s="106">
        <v>4669</v>
      </c>
      <c r="J55" s="106">
        <v>0</v>
      </c>
      <c r="K55" s="106">
        <v>45</v>
      </c>
      <c r="L55" s="106">
        <v>261</v>
      </c>
      <c r="M55" s="106">
        <v>0</v>
      </c>
      <c r="N55" s="106">
        <v>0</v>
      </c>
      <c r="O55" s="108"/>
    </row>
    <row r="56" spans="1:15">
      <c r="A56" s="106">
        <v>95000518</v>
      </c>
      <c r="B56" s="106">
        <v>1</v>
      </c>
      <c r="C56" s="106">
        <v>15200</v>
      </c>
      <c r="D56" s="106" t="s">
        <v>427</v>
      </c>
      <c r="E56" s="106">
        <v>74</v>
      </c>
      <c r="F56" s="106" t="s">
        <v>492</v>
      </c>
      <c r="G56" s="106">
        <v>0</v>
      </c>
      <c r="H56" s="106" t="s">
        <v>421</v>
      </c>
      <c r="I56" s="106">
        <v>6185</v>
      </c>
      <c r="J56" s="106">
        <v>0</v>
      </c>
      <c r="K56" s="106">
        <v>53</v>
      </c>
      <c r="L56" s="106">
        <v>269</v>
      </c>
      <c r="M56" s="106">
        <v>0</v>
      </c>
      <c r="N56" s="106">
        <v>0</v>
      </c>
      <c r="O56" s="108"/>
    </row>
    <row r="57" spans="1:15">
      <c r="A57" s="106">
        <v>95000526</v>
      </c>
      <c r="B57" s="106">
        <v>1</v>
      </c>
      <c r="C57" s="106">
        <v>15200</v>
      </c>
      <c r="D57" s="106" t="s">
        <v>427</v>
      </c>
      <c r="E57" s="106">
        <v>75</v>
      </c>
      <c r="F57" s="106" t="s">
        <v>493</v>
      </c>
      <c r="G57" s="106">
        <v>0</v>
      </c>
      <c r="H57" s="106" t="s">
        <v>421</v>
      </c>
      <c r="I57" s="106">
        <v>4681</v>
      </c>
      <c r="J57" s="106">
        <v>0</v>
      </c>
      <c r="K57" s="106">
        <v>54</v>
      </c>
      <c r="L57" s="106">
        <v>270</v>
      </c>
      <c r="M57" s="106">
        <v>0</v>
      </c>
      <c r="N57" s="106">
        <v>0</v>
      </c>
      <c r="O57" s="108"/>
    </row>
    <row r="58" spans="1:15">
      <c r="A58" s="106">
        <v>95000542</v>
      </c>
      <c r="B58" s="106">
        <v>1</v>
      </c>
      <c r="C58" s="106">
        <v>13103</v>
      </c>
      <c r="D58" s="106" t="s">
        <v>494</v>
      </c>
      <c r="E58" s="106">
        <v>76</v>
      </c>
      <c r="F58" s="106" t="s">
        <v>495</v>
      </c>
      <c r="G58" s="106">
        <v>0</v>
      </c>
      <c r="H58" s="106" t="s">
        <v>421</v>
      </c>
      <c r="I58" s="106">
        <v>4681</v>
      </c>
      <c r="J58" s="106">
        <v>1</v>
      </c>
      <c r="K58" s="106">
        <v>0</v>
      </c>
      <c r="L58" s="106"/>
      <c r="M58" s="106">
        <v>0</v>
      </c>
      <c r="N58" s="106">
        <v>0</v>
      </c>
      <c r="O58" s="108"/>
    </row>
    <row r="59" spans="1:15">
      <c r="A59" s="106">
        <v>95000551</v>
      </c>
      <c r="B59" s="106">
        <v>1</v>
      </c>
      <c r="C59" s="106">
        <v>73600</v>
      </c>
      <c r="D59" s="106" t="s">
        <v>496</v>
      </c>
      <c r="E59" s="106">
        <v>77</v>
      </c>
      <c r="F59" s="106" t="s">
        <v>497</v>
      </c>
      <c r="G59" s="106">
        <v>0</v>
      </c>
      <c r="H59" s="106" t="s">
        <v>421</v>
      </c>
      <c r="I59" s="106">
        <v>0</v>
      </c>
      <c r="J59" s="106">
        <v>1</v>
      </c>
      <c r="K59" s="106">
        <v>0</v>
      </c>
      <c r="L59" s="106"/>
      <c r="M59" s="106">
        <v>0</v>
      </c>
      <c r="N59" s="106">
        <v>0</v>
      </c>
      <c r="O59" s="108"/>
    </row>
    <row r="60" spans="1:15">
      <c r="A60" s="106">
        <v>95000569</v>
      </c>
      <c r="B60" s="106">
        <v>1</v>
      </c>
      <c r="C60" s="106">
        <v>73600</v>
      </c>
      <c r="D60" s="106" t="s">
        <v>496</v>
      </c>
      <c r="E60" s="106">
        <v>78</v>
      </c>
      <c r="F60" s="106" t="s">
        <v>498</v>
      </c>
      <c r="G60" s="106">
        <v>0</v>
      </c>
      <c r="H60" s="106" t="s">
        <v>421</v>
      </c>
      <c r="I60" s="106">
        <v>0</v>
      </c>
      <c r="J60" s="106">
        <v>1</v>
      </c>
      <c r="K60" s="106">
        <v>157</v>
      </c>
      <c r="L60" s="106">
        <v>681</v>
      </c>
      <c r="M60" s="106">
        <v>0</v>
      </c>
      <c r="N60" s="106">
        <v>0</v>
      </c>
      <c r="O60" s="108"/>
    </row>
    <row r="61" spans="1:15">
      <c r="A61" s="106">
        <v>95000577</v>
      </c>
      <c r="B61" s="106">
        <v>1</v>
      </c>
      <c r="C61" s="106">
        <v>73600</v>
      </c>
      <c r="D61" s="106" t="s">
        <v>496</v>
      </c>
      <c r="E61" s="106">
        <v>79</v>
      </c>
      <c r="F61" s="106" t="s">
        <v>499</v>
      </c>
      <c r="G61" s="106">
        <v>0</v>
      </c>
      <c r="H61" s="106" t="s">
        <v>421</v>
      </c>
      <c r="I61" s="106">
        <v>0</v>
      </c>
      <c r="J61" s="106">
        <v>1</v>
      </c>
      <c r="K61" s="106">
        <v>156</v>
      </c>
      <c r="L61" s="106">
        <v>624</v>
      </c>
      <c r="M61" s="106">
        <v>0</v>
      </c>
      <c r="N61" s="106">
        <v>0</v>
      </c>
      <c r="O61" s="108"/>
    </row>
    <row r="62" spans="1:15">
      <c r="A62" s="106">
        <v>95000607</v>
      </c>
      <c r="B62" s="106">
        <v>1</v>
      </c>
      <c r="C62" s="106">
        <v>15201</v>
      </c>
      <c r="D62" s="106" t="s">
        <v>500</v>
      </c>
      <c r="E62" s="106">
        <v>5</v>
      </c>
      <c r="F62" s="106" t="s">
        <v>501</v>
      </c>
      <c r="G62" s="106">
        <v>0</v>
      </c>
      <c r="H62" s="106" t="s">
        <v>421</v>
      </c>
      <c r="I62" s="106">
        <v>0</v>
      </c>
      <c r="J62" s="106">
        <v>0</v>
      </c>
      <c r="K62" s="106">
        <v>48</v>
      </c>
      <c r="L62" s="106">
        <v>264</v>
      </c>
      <c r="M62" s="106">
        <v>0</v>
      </c>
      <c r="N62" s="106">
        <v>0</v>
      </c>
      <c r="O62" s="108"/>
    </row>
    <row r="63" spans="1:15">
      <c r="A63" s="106">
        <v>95000615</v>
      </c>
      <c r="B63" s="106">
        <v>1</v>
      </c>
      <c r="C63" s="106">
        <v>77500</v>
      </c>
      <c r="D63" s="106" t="s">
        <v>502</v>
      </c>
      <c r="E63" s="106">
        <v>53</v>
      </c>
      <c r="F63" s="106" t="s">
        <v>502</v>
      </c>
      <c r="G63" s="106">
        <v>0</v>
      </c>
      <c r="H63" s="106" t="s">
        <v>424</v>
      </c>
      <c r="I63" s="106">
        <v>0</v>
      </c>
      <c r="J63" s="106">
        <v>1</v>
      </c>
      <c r="K63" s="106">
        <v>0</v>
      </c>
      <c r="L63" s="106"/>
      <c r="M63" s="106">
        <v>0</v>
      </c>
      <c r="N63" s="106">
        <v>0</v>
      </c>
      <c r="O63" s="108"/>
    </row>
    <row r="64" spans="1:15">
      <c r="A64" s="106">
        <v>95000623</v>
      </c>
      <c r="B64" s="106">
        <v>1</v>
      </c>
      <c r="C64" s="106">
        <v>76601</v>
      </c>
      <c r="D64" s="106" t="s">
        <v>472</v>
      </c>
      <c r="E64" s="106">
        <v>63</v>
      </c>
      <c r="F64" s="106" t="s">
        <v>503</v>
      </c>
      <c r="G64" s="106">
        <v>0</v>
      </c>
      <c r="H64" s="106" t="s">
        <v>424</v>
      </c>
      <c r="I64" s="106">
        <v>0</v>
      </c>
      <c r="J64" s="106">
        <v>1</v>
      </c>
      <c r="K64" s="106">
        <v>118</v>
      </c>
      <c r="L64" s="106">
        <v>608</v>
      </c>
      <c r="M64" s="106">
        <v>0</v>
      </c>
      <c r="N64" s="106">
        <v>0</v>
      </c>
      <c r="O64" s="108"/>
    </row>
    <row r="65" spans="1:17">
      <c r="A65" s="106">
        <v>95000631</v>
      </c>
      <c r="B65" s="106">
        <v>1</v>
      </c>
      <c r="C65" s="106">
        <v>15200</v>
      </c>
      <c r="D65" s="106" t="s">
        <v>427</v>
      </c>
      <c r="E65" s="106">
        <v>73</v>
      </c>
      <c r="F65" s="106" t="s">
        <v>504</v>
      </c>
      <c r="G65" s="106">
        <v>0</v>
      </c>
      <c r="H65" s="106" t="s">
        <v>421</v>
      </c>
      <c r="I65" s="106">
        <v>589</v>
      </c>
      <c r="J65" s="106">
        <v>1</v>
      </c>
      <c r="K65" s="106">
        <v>0</v>
      </c>
      <c r="L65" s="106"/>
      <c r="M65" s="106">
        <v>0</v>
      </c>
      <c r="N65" s="106">
        <v>0</v>
      </c>
      <c r="O65" s="108"/>
    </row>
    <row r="66" spans="1:17">
      <c r="A66" s="106">
        <v>95000640</v>
      </c>
      <c r="B66" s="106">
        <v>1</v>
      </c>
      <c r="C66" s="106">
        <v>15205</v>
      </c>
      <c r="D66" s="106" t="s">
        <v>505</v>
      </c>
      <c r="E66" s="106">
        <v>80</v>
      </c>
      <c r="F66" s="106" t="s">
        <v>506</v>
      </c>
      <c r="G66" s="106">
        <v>0</v>
      </c>
      <c r="H66" s="106" t="s">
        <v>421</v>
      </c>
      <c r="I66" s="106">
        <v>2437</v>
      </c>
      <c r="J66" s="106">
        <v>0</v>
      </c>
      <c r="K66" s="106">
        <v>55</v>
      </c>
      <c r="L66" s="106">
        <v>271</v>
      </c>
      <c r="M66" s="106">
        <v>0</v>
      </c>
      <c r="N66" s="106">
        <v>0</v>
      </c>
      <c r="O66" s="108"/>
    </row>
    <row r="67" spans="1:17">
      <c r="A67" s="106">
        <v>95000658</v>
      </c>
      <c r="B67" s="106">
        <v>1</v>
      </c>
      <c r="C67" s="106">
        <v>74500</v>
      </c>
      <c r="D67" s="106" t="s">
        <v>507</v>
      </c>
      <c r="E67" s="106">
        <v>81</v>
      </c>
      <c r="F67" s="106" t="s">
        <v>508</v>
      </c>
      <c r="G67" s="106">
        <v>0</v>
      </c>
      <c r="H67" s="106" t="s">
        <v>421</v>
      </c>
      <c r="I67" s="106">
        <v>4190</v>
      </c>
      <c r="J67" s="106">
        <v>1</v>
      </c>
      <c r="K67" s="106">
        <v>119</v>
      </c>
      <c r="L67" s="106">
        <v>609</v>
      </c>
      <c r="M67" s="106">
        <v>0</v>
      </c>
      <c r="N67" s="106">
        <v>0</v>
      </c>
      <c r="O67" s="108"/>
    </row>
    <row r="68" spans="1:17">
      <c r="A68" s="106">
        <v>95000666</v>
      </c>
      <c r="B68" s="106">
        <v>1</v>
      </c>
      <c r="C68" s="106">
        <v>15200</v>
      </c>
      <c r="D68" s="106" t="s">
        <v>427</v>
      </c>
      <c r="E68" s="106">
        <v>83</v>
      </c>
      <c r="F68" s="106" t="s">
        <v>509</v>
      </c>
      <c r="G68" s="106">
        <v>0</v>
      </c>
      <c r="H68" s="106" t="s">
        <v>421</v>
      </c>
      <c r="I68" s="106">
        <v>5414</v>
      </c>
      <c r="J68" s="106">
        <v>1</v>
      </c>
      <c r="K68" s="106">
        <v>0</v>
      </c>
      <c r="L68" s="106"/>
      <c r="M68" s="106">
        <v>0</v>
      </c>
      <c r="N68" s="106">
        <v>0</v>
      </c>
      <c r="O68" s="108"/>
    </row>
    <row r="69" spans="1:17">
      <c r="A69" s="106">
        <v>95000674</v>
      </c>
      <c r="B69" s="106">
        <v>1</v>
      </c>
      <c r="C69" s="106">
        <v>15200</v>
      </c>
      <c r="D69" s="106" t="s">
        <v>427</v>
      </c>
      <c r="E69" s="106">
        <v>84</v>
      </c>
      <c r="F69" s="106" t="s">
        <v>510</v>
      </c>
      <c r="G69" s="106">
        <v>0</v>
      </c>
      <c r="H69" s="106" t="s">
        <v>421</v>
      </c>
      <c r="I69" s="106">
        <v>6463</v>
      </c>
      <c r="J69" s="106">
        <v>1</v>
      </c>
      <c r="K69" s="106">
        <v>0</v>
      </c>
      <c r="L69" s="106"/>
      <c r="M69" s="106">
        <v>0</v>
      </c>
      <c r="N69" s="106">
        <v>0</v>
      </c>
      <c r="O69" s="108"/>
    </row>
    <row r="70" spans="1:17">
      <c r="A70" s="106">
        <v>95000682</v>
      </c>
      <c r="B70" s="106">
        <v>1</v>
      </c>
      <c r="C70" s="106">
        <v>15200</v>
      </c>
      <c r="D70" s="106" t="s">
        <v>427</v>
      </c>
      <c r="E70" s="106">
        <v>85</v>
      </c>
      <c r="F70" s="106" t="s">
        <v>511</v>
      </c>
      <c r="G70" s="106">
        <v>0</v>
      </c>
      <c r="H70" s="106" t="s">
        <v>421</v>
      </c>
      <c r="I70" s="106">
        <v>6111</v>
      </c>
      <c r="J70" s="106">
        <v>1</v>
      </c>
      <c r="K70" s="106">
        <v>0</v>
      </c>
      <c r="L70" s="106"/>
      <c r="M70" s="106">
        <v>0</v>
      </c>
      <c r="N70" s="106">
        <v>0</v>
      </c>
      <c r="O70" s="108"/>
    </row>
    <row r="71" spans="1:17">
      <c r="A71" s="106">
        <v>95000691</v>
      </c>
      <c r="B71" s="106">
        <v>1</v>
      </c>
      <c r="C71" s="106">
        <v>15600</v>
      </c>
      <c r="D71" s="106" t="s">
        <v>487</v>
      </c>
      <c r="E71" s="106">
        <v>86</v>
      </c>
      <c r="F71" s="106" t="s">
        <v>512</v>
      </c>
      <c r="G71" s="106">
        <v>0</v>
      </c>
      <c r="H71" s="106" t="s">
        <v>421</v>
      </c>
      <c r="I71" s="106">
        <v>3936</v>
      </c>
      <c r="J71" s="106">
        <v>1</v>
      </c>
      <c r="K71" s="106">
        <v>0</v>
      </c>
      <c r="L71" s="106"/>
      <c r="M71" s="106">
        <v>0</v>
      </c>
      <c r="N71" s="106">
        <v>0</v>
      </c>
      <c r="O71" s="108"/>
    </row>
    <row r="72" spans="1:17">
      <c r="A72" s="106">
        <v>95000704</v>
      </c>
      <c r="B72" s="106">
        <v>1</v>
      </c>
      <c r="C72" s="106">
        <v>71206</v>
      </c>
      <c r="D72" s="106" t="s">
        <v>443</v>
      </c>
      <c r="E72" s="106">
        <v>6</v>
      </c>
      <c r="F72" s="106" t="s">
        <v>513</v>
      </c>
      <c r="G72" s="106">
        <v>0</v>
      </c>
      <c r="H72" s="106" t="s">
        <v>424</v>
      </c>
      <c r="I72" s="106">
        <v>0</v>
      </c>
      <c r="J72" s="106">
        <v>1</v>
      </c>
      <c r="K72" s="106">
        <v>0</v>
      </c>
      <c r="L72" s="106"/>
      <c r="M72" s="106">
        <v>0</v>
      </c>
      <c r="N72" s="106">
        <v>0</v>
      </c>
      <c r="O72" s="108"/>
    </row>
    <row r="73" spans="1:17">
      <c r="A73" s="106">
        <v>95000712</v>
      </c>
      <c r="B73" s="106">
        <v>1</v>
      </c>
      <c r="C73" s="106">
        <v>76600</v>
      </c>
      <c r="D73" s="106" t="s">
        <v>514</v>
      </c>
      <c r="E73" s="106">
        <v>88</v>
      </c>
      <c r="F73" s="106" t="s">
        <v>515</v>
      </c>
      <c r="G73" s="106">
        <v>0</v>
      </c>
      <c r="H73" s="106" t="s">
        <v>421</v>
      </c>
      <c r="I73" s="106">
        <v>0</v>
      </c>
      <c r="J73" s="106">
        <v>1</v>
      </c>
      <c r="K73" s="106">
        <v>161</v>
      </c>
      <c r="L73" s="106">
        <v>626</v>
      </c>
      <c r="M73" s="106">
        <v>0</v>
      </c>
      <c r="N73" s="106">
        <v>0</v>
      </c>
      <c r="O73" s="108"/>
    </row>
    <row r="74" spans="1:17">
      <c r="A74" s="106">
        <v>95000721</v>
      </c>
      <c r="B74" s="106">
        <v>1</v>
      </c>
      <c r="C74" s="106">
        <v>71206</v>
      </c>
      <c r="D74" s="106" t="s">
        <v>516</v>
      </c>
      <c r="E74" s="106">
        <v>89</v>
      </c>
      <c r="F74" s="106" t="s">
        <v>517</v>
      </c>
      <c r="G74" s="106">
        <v>0</v>
      </c>
      <c r="H74" s="106" t="s">
        <v>421</v>
      </c>
      <c r="I74" s="106">
        <v>0</v>
      </c>
      <c r="J74" s="106">
        <v>1</v>
      </c>
      <c r="K74" s="106">
        <v>171</v>
      </c>
      <c r="L74" s="106">
        <v>647</v>
      </c>
      <c r="M74" s="106">
        <v>0</v>
      </c>
      <c r="N74" s="106">
        <v>0</v>
      </c>
      <c r="O74" s="108"/>
    </row>
    <row r="75" spans="1:17">
      <c r="A75" s="106">
        <v>95000739</v>
      </c>
      <c r="B75" s="106">
        <v>1</v>
      </c>
      <c r="C75" s="106">
        <v>14106</v>
      </c>
      <c r="D75" s="106" t="s">
        <v>518</v>
      </c>
      <c r="E75" s="106">
        <v>87</v>
      </c>
      <c r="F75" s="106" t="s">
        <v>519</v>
      </c>
      <c r="G75" s="106">
        <v>0</v>
      </c>
      <c r="H75" s="106" t="s">
        <v>421</v>
      </c>
      <c r="I75" s="106">
        <v>4165</v>
      </c>
      <c r="J75" s="106">
        <v>1</v>
      </c>
      <c r="K75" s="106">
        <v>0</v>
      </c>
      <c r="L75" s="106"/>
      <c r="M75" s="106">
        <v>0</v>
      </c>
      <c r="N75" s="106">
        <v>0</v>
      </c>
      <c r="O75" s="108"/>
    </row>
    <row r="76" spans="1:17">
      <c r="A76" s="106">
        <v>95000755</v>
      </c>
      <c r="B76" s="106">
        <v>1</v>
      </c>
      <c r="C76" s="106">
        <v>43005</v>
      </c>
      <c r="D76" s="106" t="s">
        <v>520</v>
      </c>
      <c r="E76" s="106">
        <v>94</v>
      </c>
      <c r="F76" s="106" t="s">
        <v>521</v>
      </c>
      <c r="G76" s="106">
        <v>0</v>
      </c>
      <c r="H76" s="106" t="s">
        <v>421</v>
      </c>
      <c r="I76" s="106">
        <v>4034</v>
      </c>
      <c r="J76" s="106">
        <v>1</v>
      </c>
      <c r="K76" s="106">
        <v>120</v>
      </c>
      <c r="L76" s="106">
        <v>610</v>
      </c>
      <c r="M76" s="106">
        <v>0</v>
      </c>
      <c r="N76" s="106">
        <v>0</v>
      </c>
      <c r="O76" s="108"/>
    </row>
    <row r="77" spans="1:17">
      <c r="A77" s="106">
        <v>95000763</v>
      </c>
      <c r="B77" s="106">
        <v>1</v>
      </c>
      <c r="C77" s="106">
        <v>73600</v>
      </c>
      <c r="D77" s="106" t="s">
        <v>496</v>
      </c>
      <c r="E77" s="106">
        <v>91</v>
      </c>
      <c r="F77" s="106" t="s">
        <v>522</v>
      </c>
      <c r="G77" s="106">
        <v>0</v>
      </c>
      <c r="H77" s="106" t="s">
        <v>421</v>
      </c>
      <c r="I77" s="106">
        <v>0</v>
      </c>
      <c r="J77" s="106">
        <v>1</v>
      </c>
      <c r="K77" s="106">
        <v>199</v>
      </c>
      <c r="L77" s="106">
        <v>658</v>
      </c>
      <c r="M77" s="106">
        <v>0</v>
      </c>
      <c r="N77" s="106">
        <v>0</v>
      </c>
      <c r="O77" s="108" t="s">
        <v>438</v>
      </c>
      <c r="P77" s="108"/>
      <c r="Q77" s="108"/>
    </row>
    <row r="78" spans="1:17">
      <c r="A78" s="106">
        <v>95000771</v>
      </c>
      <c r="B78" s="106">
        <v>1</v>
      </c>
      <c r="C78" s="106">
        <v>10103</v>
      </c>
      <c r="D78" s="106" t="s">
        <v>523</v>
      </c>
      <c r="E78" s="106">
        <v>92</v>
      </c>
      <c r="F78" s="106" t="s">
        <v>524</v>
      </c>
      <c r="G78" s="106">
        <v>0</v>
      </c>
      <c r="H78" s="106" t="s">
        <v>421</v>
      </c>
      <c r="I78" s="106">
        <v>0</v>
      </c>
      <c r="J78" s="106">
        <v>1</v>
      </c>
      <c r="K78" s="106">
        <v>0</v>
      </c>
      <c r="L78" s="106"/>
      <c r="M78" s="106">
        <v>0</v>
      </c>
      <c r="N78" s="106">
        <v>0</v>
      </c>
      <c r="O78" s="108"/>
    </row>
    <row r="79" spans="1:17">
      <c r="A79" s="106">
        <v>95000780</v>
      </c>
      <c r="B79" s="106">
        <v>1</v>
      </c>
      <c r="C79" s="106">
        <v>71206</v>
      </c>
      <c r="D79" s="106" t="s">
        <v>525</v>
      </c>
      <c r="E79" s="106">
        <v>93</v>
      </c>
      <c r="F79" s="106" t="s">
        <v>526</v>
      </c>
      <c r="G79" s="106">
        <v>0</v>
      </c>
      <c r="H79" s="106" t="s">
        <v>421</v>
      </c>
      <c r="I79" s="106">
        <v>0</v>
      </c>
      <c r="J79" s="106">
        <v>1</v>
      </c>
      <c r="K79" s="106">
        <v>172</v>
      </c>
      <c r="L79" s="106">
        <v>648</v>
      </c>
      <c r="M79" s="106">
        <v>0</v>
      </c>
      <c r="N79" s="106">
        <v>0</v>
      </c>
      <c r="O79" s="108"/>
    </row>
    <row r="80" spans="1:17">
      <c r="A80" s="106">
        <v>95000798</v>
      </c>
      <c r="B80" s="106">
        <v>1</v>
      </c>
      <c r="C80" s="106">
        <v>73300</v>
      </c>
      <c r="D80" s="106" t="s">
        <v>527</v>
      </c>
      <c r="E80" s="106">
        <v>95</v>
      </c>
      <c r="F80" s="106" t="s">
        <v>528</v>
      </c>
      <c r="G80" s="106">
        <v>0</v>
      </c>
      <c r="H80" s="106" t="s">
        <v>421</v>
      </c>
      <c r="I80" s="106">
        <v>4038</v>
      </c>
      <c r="J80" s="106">
        <v>1</v>
      </c>
      <c r="K80" s="106">
        <v>0</v>
      </c>
      <c r="L80" s="106"/>
      <c r="M80" s="106">
        <v>0</v>
      </c>
      <c r="N80" s="106">
        <v>0</v>
      </c>
      <c r="O80" s="108"/>
    </row>
    <row r="81" spans="1:15">
      <c r="A81" s="106">
        <v>95000801</v>
      </c>
      <c r="B81" s="106">
        <v>1</v>
      </c>
      <c r="C81" s="106">
        <v>76601</v>
      </c>
      <c r="D81" s="106" t="s">
        <v>472</v>
      </c>
      <c r="E81" s="106">
        <v>7</v>
      </c>
      <c r="F81" s="106" t="s">
        <v>529</v>
      </c>
      <c r="G81" s="106">
        <v>0</v>
      </c>
      <c r="H81" s="106" t="s">
        <v>421</v>
      </c>
      <c r="I81" s="106">
        <v>0</v>
      </c>
      <c r="J81" s="106">
        <v>1</v>
      </c>
      <c r="K81" s="106">
        <v>115</v>
      </c>
      <c r="L81" s="106">
        <v>605</v>
      </c>
      <c r="M81" s="106">
        <v>0</v>
      </c>
      <c r="N81" s="106">
        <v>0</v>
      </c>
      <c r="O81" s="108"/>
    </row>
    <row r="82" spans="1:15">
      <c r="A82" s="106">
        <v>95000810</v>
      </c>
      <c r="B82" s="106">
        <v>1</v>
      </c>
      <c r="C82" s="106">
        <v>72200</v>
      </c>
      <c r="D82" s="106" t="s">
        <v>530</v>
      </c>
      <c r="E82" s="106">
        <v>96</v>
      </c>
      <c r="F82" s="106" t="s">
        <v>531</v>
      </c>
      <c r="G82" s="106">
        <v>0</v>
      </c>
      <c r="H82" s="106" t="s">
        <v>421</v>
      </c>
      <c r="I82" s="106">
        <v>5735</v>
      </c>
      <c r="J82" s="106">
        <v>1</v>
      </c>
      <c r="K82" s="106">
        <v>182</v>
      </c>
      <c r="L82" s="106">
        <v>653</v>
      </c>
      <c r="M82" s="106">
        <v>0</v>
      </c>
      <c r="N82" s="106">
        <v>0</v>
      </c>
      <c r="O82" s="108"/>
    </row>
    <row r="83" spans="1:15">
      <c r="A83" s="106">
        <v>95000828</v>
      </c>
      <c r="B83" s="106">
        <v>1</v>
      </c>
      <c r="C83" s="106">
        <v>13100</v>
      </c>
      <c r="D83" s="106" t="s">
        <v>439</v>
      </c>
      <c r="E83" s="106">
        <v>97</v>
      </c>
      <c r="F83" s="106" t="s">
        <v>532</v>
      </c>
      <c r="G83" s="106">
        <v>0</v>
      </c>
      <c r="H83" s="106" t="s">
        <v>421</v>
      </c>
      <c r="I83" s="106">
        <v>7715</v>
      </c>
      <c r="J83" s="106">
        <v>1</v>
      </c>
      <c r="K83" s="106">
        <v>0</v>
      </c>
      <c r="L83" s="106"/>
      <c r="M83" s="106">
        <v>0</v>
      </c>
      <c r="N83" s="106">
        <v>0</v>
      </c>
      <c r="O83" s="108"/>
    </row>
    <row r="84" spans="1:15">
      <c r="A84" s="106">
        <v>95000836</v>
      </c>
      <c r="B84" s="106">
        <v>1</v>
      </c>
      <c r="C84" s="106">
        <v>13100</v>
      </c>
      <c r="D84" s="106" t="s">
        <v>439</v>
      </c>
      <c r="E84" s="106">
        <v>98</v>
      </c>
      <c r="F84" s="106" t="s">
        <v>533</v>
      </c>
      <c r="G84" s="106">
        <v>0</v>
      </c>
      <c r="H84" s="106" t="s">
        <v>421</v>
      </c>
      <c r="I84" s="106">
        <v>7716</v>
      </c>
      <c r="J84" s="106">
        <v>1</v>
      </c>
      <c r="K84" s="106">
        <v>0</v>
      </c>
      <c r="L84" s="106"/>
      <c r="M84" s="106">
        <v>0</v>
      </c>
      <c r="N84" s="106">
        <v>0</v>
      </c>
      <c r="O84" s="108"/>
    </row>
    <row r="85" spans="1:15">
      <c r="A85" s="106">
        <v>95000844</v>
      </c>
      <c r="B85" s="106">
        <v>1</v>
      </c>
      <c r="C85" s="106">
        <v>15600</v>
      </c>
      <c r="D85" s="106" t="s">
        <v>487</v>
      </c>
      <c r="E85" s="106">
        <v>100</v>
      </c>
      <c r="F85" s="106" t="s">
        <v>534</v>
      </c>
      <c r="G85" s="106">
        <v>0</v>
      </c>
      <c r="H85" s="106" t="s">
        <v>421</v>
      </c>
      <c r="I85" s="106">
        <v>4038</v>
      </c>
      <c r="J85" s="106">
        <v>1</v>
      </c>
      <c r="K85" s="106">
        <v>160</v>
      </c>
      <c r="L85" s="106">
        <v>625</v>
      </c>
      <c r="M85" s="106">
        <v>0</v>
      </c>
      <c r="N85" s="106">
        <v>0</v>
      </c>
      <c r="O85" s="108"/>
    </row>
    <row r="86" spans="1:15">
      <c r="A86" s="106">
        <v>95000852</v>
      </c>
      <c r="B86" s="106">
        <v>1</v>
      </c>
      <c r="C86" s="106">
        <v>15600</v>
      </c>
      <c r="D86" s="106" t="s">
        <v>487</v>
      </c>
      <c r="E86" s="106">
        <v>101</v>
      </c>
      <c r="F86" s="106" t="s">
        <v>535</v>
      </c>
      <c r="G86" s="106">
        <v>0</v>
      </c>
      <c r="H86" s="106" t="s">
        <v>421</v>
      </c>
      <c r="I86" s="106">
        <v>4970</v>
      </c>
      <c r="J86" s="106">
        <v>1</v>
      </c>
      <c r="K86" s="106">
        <v>0</v>
      </c>
      <c r="L86" s="106"/>
      <c r="M86" s="106">
        <v>0</v>
      </c>
      <c r="N86" s="106">
        <v>0</v>
      </c>
      <c r="O86" s="108"/>
    </row>
    <row r="87" spans="1:15">
      <c r="A87" s="106">
        <v>95000861</v>
      </c>
      <c r="B87" s="106">
        <v>1</v>
      </c>
      <c r="C87" s="106">
        <v>15600</v>
      </c>
      <c r="D87" s="106" t="s">
        <v>487</v>
      </c>
      <c r="E87" s="106">
        <v>102</v>
      </c>
      <c r="F87" s="106" t="s">
        <v>536</v>
      </c>
      <c r="G87" s="106">
        <v>0</v>
      </c>
      <c r="H87" s="106" t="s">
        <v>421</v>
      </c>
      <c r="I87" s="106">
        <v>4970</v>
      </c>
      <c r="J87" s="106">
        <v>1</v>
      </c>
      <c r="K87" s="106">
        <v>0</v>
      </c>
      <c r="L87" s="106"/>
      <c r="M87" s="106">
        <v>0</v>
      </c>
      <c r="N87" s="106">
        <v>0</v>
      </c>
      <c r="O87" s="108"/>
    </row>
    <row r="88" spans="1:15">
      <c r="A88" s="106">
        <v>95000879</v>
      </c>
      <c r="B88" s="106">
        <v>1</v>
      </c>
      <c r="C88" s="106">
        <v>15600</v>
      </c>
      <c r="D88" s="106" t="s">
        <v>487</v>
      </c>
      <c r="E88" s="106">
        <v>103</v>
      </c>
      <c r="F88" s="106" t="s">
        <v>537</v>
      </c>
      <c r="G88" s="106">
        <v>0</v>
      </c>
      <c r="H88" s="106" t="s">
        <v>421</v>
      </c>
      <c r="I88" s="106">
        <v>4970</v>
      </c>
      <c r="J88" s="106">
        <v>1</v>
      </c>
      <c r="K88" s="106">
        <v>0</v>
      </c>
      <c r="L88" s="109">
        <v>710</v>
      </c>
      <c r="M88" s="109">
        <v>0</v>
      </c>
      <c r="N88" s="109">
        <v>0</v>
      </c>
      <c r="O88" s="79" t="s">
        <v>538</v>
      </c>
    </row>
    <row r="89" spans="1:15">
      <c r="A89" s="106">
        <v>95000887</v>
      </c>
      <c r="B89" s="106">
        <v>1</v>
      </c>
      <c r="C89" s="106">
        <v>15600</v>
      </c>
      <c r="D89" s="106" t="s">
        <v>487</v>
      </c>
      <c r="E89" s="106">
        <v>104</v>
      </c>
      <c r="F89" s="106" t="s">
        <v>539</v>
      </c>
      <c r="G89" s="106">
        <v>0</v>
      </c>
      <c r="H89" s="106" t="s">
        <v>421</v>
      </c>
      <c r="I89" s="106">
        <v>8543</v>
      </c>
      <c r="J89" s="106">
        <v>1</v>
      </c>
      <c r="K89" s="106">
        <v>0</v>
      </c>
      <c r="L89" s="106"/>
      <c r="M89" s="106">
        <v>0</v>
      </c>
      <c r="N89" s="106">
        <v>0</v>
      </c>
      <c r="O89" s="108"/>
    </row>
    <row r="90" spans="1:15">
      <c r="A90" s="106">
        <v>95000895</v>
      </c>
      <c r="B90" s="106">
        <v>1</v>
      </c>
      <c r="C90" s="106">
        <v>73600</v>
      </c>
      <c r="D90" s="106" t="s">
        <v>540</v>
      </c>
      <c r="E90" s="106">
        <v>105</v>
      </c>
      <c r="F90" s="106" t="s">
        <v>541</v>
      </c>
      <c r="G90" s="106">
        <v>0</v>
      </c>
      <c r="H90" s="106" t="s">
        <v>421</v>
      </c>
      <c r="I90" s="106">
        <v>0</v>
      </c>
      <c r="J90" s="106">
        <v>1</v>
      </c>
      <c r="K90" s="106">
        <v>58</v>
      </c>
      <c r="L90" s="106">
        <v>628</v>
      </c>
      <c r="M90" s="106">
        <v>0</v>
      </c>
      <c r="N90" s="106">
        <v>0</v>
      </c>
      <c r="O90" s="108" t="s">
        <v>542</v>
      </c>
    </row>
    <row r="91" spans="1:15">
      <c r="A91" s="106">
        <v>95000909</v>
      </c>
      <c r="B91" s="106">
        <v>1</v>
      </c>
      <c r="C91" s="106">
        <v>15500</v>
      </c>
      <c r="D91" s="106" t="s">
        <v>419</v>
      </c>
      <c r="E91" s="106">
        <v>8</v>
      </c>
      <c r="F91" s="106" t="s">
        <v>543</v>
      </c>
      <c r="G91" s="106">
        <v>0</v>
      </c>
      <c r="H91" s="106" t="s">
        <v>421</v>
      </c>
      <c r="I91" s="106">
        <v>2831</v>
      </c>
      <c r="J91" s="106">
        <v>1</v>
      </c>
      <c r="K91" s="106">
        <v>114</v>
      </c>
      <c r="L91" s="106">
        <v>604</v>
      </c>
      <c r="M91" s="106">
        <v>0</v>
      </c>
      <c r="N91" s="106">
        <v>0</v>
      </c>
      <c r="O91" s="108"/>
    </row>
    <row r="92" spans="1:15">
      <c r="A92" s="106">
        <v>95000917</v>
      </c>
      <c r="B92" s="106">
        <v>1</v>
      </c>
      <c r="C92" s="106">
        <v>15600</v>
      </c>
      <c r="D92" s="106" t="s">
        <v>487</v>
      </c>
      <c r="E92" s="106">
        <v>106</v>
      </c>
      <c r="F92" s="106" t="s">
        <v>544</v>
      </c>
      <c r="G92" s="106">
        <v>0</v>
      </c>
      <c r="H92" s="106" t="s">
        <v>421</v>
      </c>
      <c r="I92" s="106">
        <v>9999</v>
      </c>
      <c r="J92" s="106">
        <v>1</v>
      </c>
      <c r="K92" s="106">
        <v>0</v>
      </c>
      <c r="L92" s="106"/>
      <c r="M92" s="106">
        <v>0</v>
      </c>
      <c r="N92" s="106">
        <v>0</v>
      </c>
      <c r="O92" s="108"/>
    </row>
    <row r="93" spans="1:15">
      <c r="A93" s="106">
        <v>95000925</v>
      </c>
      <c r="B93" s="106">
        <v>1</v>
      </c>
      <c r="C93" s="106">
        <v>15600</v>
      </c>
      <c r="D93" s="106" t="s">
        <v>487</v>
      </c>
      <c r="E93" s="106">
        <v>107</v>
      </c>
      <c r="F93" s="106" t="s">
        <v>545</v>
      </c>
      <c r="G93" s="106">
        <v>0</v>
      </c>
      <c r="H93" s="106" t="s">
        <v>421</v>
      </c>
      <c r="I93" s="106">
        <v>4970</v>
      </c>
      <c r="J93" s="106">
        <v>1</v>
      </c>
      <c r="K93" s="106">
        <v>0</v>
      </c>
      <c r="L93" s="106"/>
      <c r="M93" s="106">
        <v>0</v>
      </c>
      <c r="N93" s="106">
        <v>0</v>
      </c>
      <c r="O93" s="108"/>
    </row>
    <row r="94" spans="1:15">
      <c r="A94" s="106">
        <v>95000933</v>
      </c>
      <c r="B94" s="106">
        <v>1</v>
      </c>
      <c r="C94" s="106">
        <v>73400</v>
      </c>
      <c r="D94" s="106" t="s">
        <v>546</v>
      </c>
      <c r="E94" s="106">
        <v>108</v>
      </c>
      <c r="F94" s="106" t="s">
        <v>547</v>
      </c>
      <c r="G94" s="106">
        <v>0</v>
      </c>
      <c r="H94" s="106" t="s">
        <v>421</v>
      </c>
      <c r="I94" s="106">
        <v>0</v>
      </c>
      <c r="J94" s="106">
        <v>1</v>
      </c>
      <c r="K94" s="106">
        <v>154</v>
      </c>
      <c r="L94" s="106">
        <v>622</v>
      </c>
      <c r="M94" s="106">
        <v>0</v>
      </c>
      <c r="N94" s="106">
        <v>0</v>
      </c>
      <c r="O94" s="108"/>
    </row>
    <row r="95" spans="1:15">
      <c r="A95" s="106">
        <v>95000941</v>
      </c>
      <c r="B95" s="106">
        <v>1</v>
      </c>
      <c r="C95" s="106">
        <v>15600</v>
      </c>
      <c r="D95" s="106" t="s">
        <v>487</v>
      </c>
      <c r="E95" s="106">
        <v>109</v>
      </c>
      <c r="F95" s="106" t="s">
        <v>548</v>
      </c>
      <c r="G95" s="106">
        <v>0</v>
      </c>
      <c r="H95" s="106" t="s">
        <v>421</v>
      </c>
      <c r="I95" s="106">
        <v>4970</v>
      </c>
      <c r="J95" s="106">
        <v>1</v>
      </c>
      <c r="K95" s="106">
        <v>0</v>
      </c>
      <c r="L95" s="106"/>
      <c r="M95" s="106">
        <v>0</v>
      </c>
      <c r="N95" s="106">
        <v>0</v>
      </c>
      <c r="O95" s="108"/>
    </row>
    <row r="96" spans="1:15">
      <c r="A96" s="106">
        <v>95000950</v>
      </c>
      <c r="B96" s="106">
        <v>1</v>
      </c>
      <c r="C96" s="106">
        <v>15600</v>
      </c>
      <c r="D96" s="106" t="s">
        <v>487</v>
      </c>
      <c r="E96" s="106">
        <v>110</v>
      </c>
      <c r="F96" s="106" t="s">
        <v>549</v>
      </c>
      <c r="G96" s="106">
        <v>0</v>
      </c>
      <c r="H96" s="106" t="s">
        <v>421</v>
      </c>
      <c r="I96" s="106">
        <v>4970</v>
      </c>
      <c r="J96" s="106">
        <v>1</v>
      </c>
      <c r="K96" s="106">
        <v>0</v>
      </c>
      <c r="L96" s="106"/>
      <c r="M96" s="106">
        <v>0</v>
      </c>
      <c r="N96" s="106">
        <v>0</v>
      </c>
      <c r="O96" s="108"/>
    </row>
    <row r="97" spans="1:15">
      <c r="A97" s="106">
        <v>95000968</v>
      </c>
      <c r="B97" s="106">
        <v>1</v>
      </c>
      <c r="C97" s="106">
        <v>15600</v>
      </c>
      <c r="D97" s="106" t="s">
        <v>487</v>
      </c>
      <c r="E97" s="106">
        <v>111</v>
      </c>
      <c r="F97" s="106" t="s">
        <v>550</v>
      </c>
      <c r="G97" s="106">
        <v>0</v>
      </c>
      <c r="H97" s="106" t="s">
        <v>421</v>
      </c>
      <c r="I97" s="106">
        <v>4970</v>
      </c>
      <c r="J97" s="106">
        <v>1</v>
      </c>
      <c r="K97" s="106">
        <v>0</v>
      </c>
      <c r="L97" s="106"/>
      <c r="M97" s="106">
        <v>0</v>
      </c>
      <c r="N97" s="106">
        <v>0</v>
      </c>
      <c r="O97" s="108"/>
    </row>
    <row r="98" spans="1:15">
      <c r="A98" s="106">
        <v>95000976</v>
      </c>
      <c r="B98" s="106">
        <v>1</v>
      </c>
      <c r="C98" s="106">
        <v>15600</v>
      </c>
      <c r="D98" s="106" t="s">
        <v>487</v>
      </c>
      <c r="E98" s="106">
        <v>112</v>
      </c>
      <c r="F98" s="106" t="s">
        <v>551</v>
      </c>
      <c r="G98" s="106">
        <v>0</v>
      </c>
      <c r="H98" s="106" t="s">
        <v>421</v>
      </c>
      <c r="I98" s="106">
        <v>4970</v>
      </c>
      <c r="J98" s="106">
        <v>1</v>
      </c>
      <c r="K98" s="106">
        <v>0</v>
      </c>
      <c r="L98" s="106"/>
      <c r="M98" s="106">
        <v>0</v>
      </c>
      <c r="N98" s="106">
        <v>0</v>
      </c>
      <c r="O98" s="108"/>
    </row>
    <row r="99" spans="1:15">
      <c r="A99" s="106">
        <v>95000984</v>
      </c>
      <c r="B99" s="106">
        <v>1</v>
      </c>
      <c r="C99" s="106">
        <v>15600</v>
      </c>
      <c r="D99" s="106" t="s">
        <v>487</v>
      </c>
      <c r="E99" s="106">
        <v>113</v>
      </c>
      <c r="F99" s="106" t="s">
        <v>552</v>
      </c>
      <c r="G99" s="106">
        <v>0</v>
      </c>
      <c r="H99" s="106" t="s">
        <v>421</v>
      </c>
      <c r="I99" s="106">
        <v>4970</v>
      </c>
      <c r="J99" s="106">
        <v>1</v>
      </c>
      <c r="K99" s="106">
        <v>0</v>
      </c>
      <c r="L99" s="106"/>
      <c r="M99" s="106">
        <v>0</v>
      </c>
      <c r="N99" s="106">
        <v>0</v>
      </c>
      <c r="O99" s="108"/>
    </row>
    <row r="100" spans="1:15">
      <c r="A100" s="106">
        <v>95000992</v>
      </c>
      <c r="B100" s="106">
        <v>1</v>
      </c>
      <c r="C100" s="106">
        <v>15600</v>
      </c>
      <c r="D100" s="106" t="s">
        <v>487</v>
      </c>
      <c r="E100" s="106">
        <v>114</v>
      </c>
      <c r="F100" s="106" t="s">
        <v>553</v>
      </c>
      <c r="G100" s="106">
        <v>0</v>
      </c>
      <c r="H100" s="106" t="s">
        <v>421</v>
      </c>
      <c r="I100" s="106">
        <v>4970</v>
      </c>
      <c r="J100" s="106">
        <v>1</v>
      </c>
      <c r="K100" s="106">
        <v>0</v>
      </c>
      <c r="L100" s="106"/>
      <c r="M100" s="106">
        <v>0</v>
      </c>
      <c r="N100" s="106">
        <v>0</v>
      </c>
      <c r="O100" s="108"/>
    </row>
    <row r="101" spans="1:15">
      <c r="A101" s="106">
        <v>95001000</v>
      </c>
      <c r="B101" s="106">
        <v>1</v>
      </c>
      <c r="C101" s="106">
        <v>74501</v>
      </c>
      <c r="D101" s="106" t="s">
        <v>554</v>
      </c>
      <c r="E101" s="106">
        <v>9</v>
      </c>
      <c r="F101" s="106" t="s">
        <v>555</v>
      </c>
      <c r="G101" s="106">
        <v>0</v>
      </c>
      <c r="H101" s="106" t="s">
        <v>421</v>
      </c>
      <c r="I101" s="106">
        <v>4190</v>
      </c>
      <c r="J101" s="106">
        <v>1</v>
      </c>
      <c r="K101" s="106">
        <v>113</v>
      </c>
      <c r="L101" s="106">
        <v>603</v>
      </c>
      <c r="M101" s="106">
        <v>0</v>
      </c>
      <c r="N101" s="106">
        <v>0</v>
      </c>
      <c r="O101" s="108"/>
    </row>
    <row r="102" spans="1:15">
      <c r="A102" s="106">
        <v>95001018</v>
      </c>
      <c r="B102" s="106">
        <v>1</v>
      </c>
      <c r="C102" s="106">
        <v>13100</v>
      </c>
      <c r="D102" s="106" t="s">
        <v>439</v>
      </c>
      <c r="E102" s="106">
        <v>99</v>
      </c>
      <c r="F102" s="106" t="s">
        <v>556</v>
      </c>
      <c r="G102" s="106">
        <v>0</v>
      </c>
      <c r="H102" s="106" t="s">
        <v>421</v>
      </c>
      <c r="I102" s="106">
        <v>7717</v>
      </c>
      <c r="J102" s="106">
        <v>1</v>
      </c>
      <c r="K102" s="106">
        <v>0</v>
      </c>
      <c r="L102" s="106"/>
      <c r="M102" s="106">
        <v>0</v>
      </c>
      <c r="N102" s="106">
        <v>0</v>
      </c>
      <c r="O102" s="108"/>
    </row>
    <row r="103" spans="1:15">
      <c r="A103" s="106">
        <v>95001026</v>
      </c>
      <c r="B103" s="106">
        <v>1</v>
      </c>
      <c r="C103" s="106">
        <v>70104</v>
      </c>
      <c r="D103" s="106" t="s">
        <v>557</v>
      </c>
      <c r="E103" s="106">
        <v>215</v>
      </c>
      <c r="F103" s="106" t="s">
        <v>558</v>
      </c>
      <c r="G103" s="106">
        <v>0</v>
      </c>
      <c r="H103" s="106" t="s">
        <v>421</v>
      </c>
      <c r="I103" s="106">
        <v>0</v>
      </c>
      <c r="J103" s="106">
        <v>1</v>
      </c>
      <c r="K103" s="106">
        <v>0</v>
      </c>
      <c r="L103" s="106"/>
      <c r="M103" s="106">
        <v>0</v>
      </c>
      <c r="N103" s="106">
        <v>0</v>
      </c>
      <c r="O103" s="108"/>
    </row>
    <row r="104" spans="1:15">
      <c r="A104" s="106">
        <v>95001034</v>
      </c>
      <c r="B104" s="106">
        <v>1</v>
      </c>
      <c r="C104" s="106">
        <v>75201</v>
      </c>
      <c r="D104" s="106" t="s">
        <v>559</v>
      </c>
      <c r="E104" s="106">
        <v>115</v>
      </c>
      <c r="F104" s="106" t="s">
        <v>560</v>
      </c>
      <c r="G104" s="106">
        <v>0</v>
      </c>
      <c r="H104" s="106" t="s">
        <v>421</v>
      </c>
      <c r="I104" s="106">
        <v>0</v>
      </c>
      <c r="J104" s="106">
        <v>1</v>
      </c>
      <c r="K104" s="106">
        <v>0</v>
      </c>
      <c r="L104" s="106"/>
      <c r="M104" s="106">
        <v>0</v>
      </c>
      <c r="N104" s="106">
        <v>0</v>
      </c>
      <c r="O104" s="108"/>
    </row>
    <row r="105" spans="1:15">
      <c r="A105" s="106">
        <v>95001042</v>
      </c>
      <c r="B105" s="106">
        <v>1</v>
      </c>
      <c r="C105" s="106">
        <v>70100</v>
      </c>
      <c r="D105" s="106" t="s">
        <v>561</v>
      </c>
      <c r="E105" s="106">
        <v>116</v>
      </c>
      <c r="F105" s="106" t="s">
        <v>562</v>
      </c>
      <c r="G105" s="106">
        <v>0</v>
      </c>
      <c r="H105" s="106" t="s">
        <v>421</v>
      </c>
      <c r="I105" s="106">
        <v>0</v>
      </c>
      <c r="J105" s="106">
        <v>1</v>
      </c>
      <c r="K105" s="106">
        <v>0</v>
      </c>
      <c r="L105" s="106"/>
      <c r="M105" s="106">
        <v>0</v>
      </c>
      <c r="N105" s="106">
        <v>0</v>
      </c>
      <c r="O105" s="108"/>
    </row>
    <row r="106" spans="1:15">
      <c r="A106" s="106">
        <v>95001051</v>
      </c>
      <c r="B106" s="106">
        <v>1</v>
      </c>
      <c r="C106" s="106">
        <v>73101</v>
      </c>
      <c r="D106" s="106" t="s">
        <v>563</v>
      </c>
      <c r="E106" s="106">
        <v>117</v>
      </c>
      <c r="F106" s="106" t="s">
        <v>564</v>
      </c>
      <c r="G106" s="106">
        <v>0</v>
      </c>
      <c r="H106" s="106" t="s">
        <v>421</v>
      </c>
      <c r="I106" s="106">
        <v>0</v>
      </c>
      <c r="J106" s="106">
        <v>1</v>
      </c>
      <c r="K106" s="106">
        <v>0</v>
      </c>
      <c r="L106" s="106"/>
      <c r="M106" s="106">
        <v>0</v>
      </c>
      <c r="N106" s="106">
        <v>0</v>
      </c>
      <c r="O106" s="108"/>
    </row>
    <row r="107" spans="1:15">
      <c r="A107" s="106">
        <v>95001069</v>
      </c>
      <c r="B107" s="106">
        <v>1</v>
      </c>
      <c r="C107" s="106">
        <v>70103</v>
      </c>
      <c r="D107" s="106" t="s">
        <v>565</v>
      </c>
      <c r="E107" s="106">
        <v>118</v>
      </c>
      <c r="F107" s="106" t="s">
        <v>566</v>
      </c>
      <c r="G107" s="106">
        <v>0</v>
      </c>
      <c r="H107" s="106" t="s">
        <v>421</v>
      </c>
      <c r="I107" s="106">
        <v>0</v>
      </c>
      <c r="J107" s="106">
        <v>1</v>
      </c>
      <c r="K107" s="106">
        <v>0</v>
      </c>
      <c r="L107" s="106"/>
      <c r="M107" s="106">
        <v>0</v>
      </c>
      <c r="N107" s="106">
        <v>0</v>
      </c>
      <c r="O107" s="108"/>
    </row>
    <row r="108" spans="1:15">
      <c r="A108" s="106">
        <v>95001077</v>
      </c>
      <c r="B108" s="106">
        <v>1</v>
      </c>
      <c r="C108" s="106">
        <v>70100</v>
      </c>
      <c r="D108" s="106" t="s">
        <v>561</v>
      </c>
      <c r="E108" s="106">
        <v>119</v>
      </c>
      <c r="F108" s="106" t="s">
        <v>567</v>
      </c>
      <c r="G108" s="106">
        <v>0</v>
      </c>
      <c r="H108" s="106" t="s">
        <v>421</v>
      </c>
      <c r="I108" s="106">
        <v>0</v>
      </c>
      <c r="J108" s="106">
        <v>1</v>
      </c>
      <c r="K108" s="106">
        <v>0</v>
      </c>
      <c r="L108" s="106"/>
      <c r="M108" s="106">
        <v>0</v>
      </c>
      <c r="N108" s="106">
        <v>0</v>
      </c>
      <c r="O108" s="108"/>
    </row>
    <row r="109" spans="1:15">
      <c r="A109" s="106">
        <v>95001085</v>
      </c>
      <c r="B109" s="106">
        <v>1</v>
      </c>
      <c r="C109" s="106">
        <v>70100</v>
      </c>
      <c r="D109" s="106" t="s">
        <v>561</v>
      </c>
      <c r="E109" s="106">
        <v>120</v>
      </c>
      <c r="F109" s="106" t="s">
        <v>568</v>
      </c>
      <c r="G109" s="106">
        <v>0</v>
      </c>
      <c r="H109" s="106" t="s">
        <v>421</v>
      </c>
      <c r="I109" s="106">
        <v>0</v>
      </c>
      <c r="J109" s="106">
        <v>1</v>
      </c>
      <c r="K109" s="106">
        <v>0</v>
      </c>
      <c r="L109" s="106"/>
      <c r="M109" s="106">
        <v>0</v>
      </c>
      <c r="N109" s="106">
        <v>0</v>
      </c>
      <c r="O109" s="108"/>
    </row>
    <row r="110" spans="1:15">
      <c r="A110" s="106">
        <v>95001107</v>
      </c>
      <c r="B110" s="106">
        <v>1</v>
      </c>
      <c r="C110" s="106">
        <v>71207</v>
      </c>
      <c r="D110" s="106" t="s">
        <v>422</v>
      </c>
      <c r="E110" s="106">
        <v>10</v>
      </c>
      <c r="F110" s="106" t="s">
        <v>569</v>
      </c>
      <c r="G110" s="106">
        <v>0</v>
      </c>
      <c r="H110" s="106" t="s">
        <v>424</v>
      </c>
      <c r="I110" s="106">
        <v>0</v>
      </c>
      <c r="J110" s="106">
        <v>1</v>
      </c>
      <c r="K110" s="106">
        <v>0</v>
      </c>
      <c r="L110" s="106"/>
      <c r="M110" s="106">
        <v>0</v>
      </c>
      <c r="N110" s="106">
        <v>0</v>
      </c>
      <c r="O110" s="108"/>
    </row>
    <row r="111" spans="1:15">
      <c r="A111" s="106">
        <v>95001174</v>
      </c>
      <c r="B111" s="106">
        <v>1</v>
      </c>
      <c r="C111" s="106">
        <v>15200</v>
      </c>
      <c r="D111" s="106" t="s">
        <v>427</v>
      </c>
      <c r="E111" s="106">
        <v>200</v>
      </c>
      <c r="F111" s="106" t="s">
        <v>570</v>
      </c>
      <c r="G111" s="106">
        <v>0</v>
      </c>
      <c r="H111" s="106" t="s">
        <v>421</v>
      </c>
      <c r="I111" s="106">
        <v>0</v>
      </c>
      <c r="J111" s="106">
        <v>0</v>
      </c>
      <c r="K111" s="106">
        <v>60</v>
      </c>
      <c r="L111" s="106">
        <v>272</v>
      </c>
      <c r="M111" s="106">
        <v>0</v>
      </c>
      <c r="N111" s="106">
        <v>0</v>
      </c>
      <c r="O111" s="108"/>
    </row>
    <row r="112" spans="1:15">
      <c r="A112" s="106">
        <v>95001182</v>
      </c>
      <c r="B112" s="106">
        <v>1</v>
      </c>
      <c r="C112" s="106">
        <v>73300</v>
      </c>
      <c r="D112" s="106" t="s">
        <v>527</v>
      </c>
      <c r="E112" s="106">
        <v>142</v>
      </c>
      <c r="F112" s="106" t="s">
        <v>571</v>
      </c>
      <c r="G112" s="106">
        <v>0</v>
      </c>
      <c r="H112" s="106" t="s">
        <v>421</v>
      </c>
      <c r="I112" s="106">
        <v>0</v>
      </c>
      <c r="J112" s="106">
        <v>0</v>
      </c>
      <c r="K112" s="106">
        <v>61</v>
      </c>
      <c r="L112" s="106">
        <v>273</v>
      </c>
      <c r="M112" s="106">
        <v>0</v>
      </c>
      <c r="N112" s="106">
        <v>0</v>
      </c>
      <c r="O112" s="108"/>
    </row>
    <row r="113" spans="1:15">
      <c r="A113" s="106">
        <v>95001191</v>
      </c>
      <c r="B113" s="106">
        <v>1</v>
      </c>
      <c r="C113" s="106">
        <v>15500</v>
      </c>
      <c r="D113" s="106" t="s">
        <v>419</v>
      </c>
      <c r="E113" s="106">
        <v>202</v>
      </c>
      <c r="F113" s="106" t="s">
        <v>572</v>
      </c>
      <c r="G113" s="106">
        <v>0</v>
      </c>
      <c r="H113" s="106" t="s">
        <v>421</v>
      </c>
      <c r="I113" s="106">
        <v>0</v>
      </c>
      <c r="J113" s="106">
        <v>0</v>
      </c>
      <c r="K113" s="106">
        <v>62</v>
      </c>
      <c r="L113" s="106">
        <v>274</v>
      </c>
      <c r="M113" s="106">
        <v>0</v>
      </c>
      <c r="N113" s="106">
        <v>0</v>
      </c>
      <c r="O113" s="108"/>
    </row>
    <row r="114" spans="1:15">
      <c r="A114" s="106">
        <v>95001204</v>
      </c>
      <c r="B114" s="106">
        <v>1</v>
      </c>
      <c r="C114" s="106">
        <v>73400</v>
      </c>
      <c r="D114" s="106" t="s">
        <v>573</v>
      </c>
      <c r="E114" s="106">
        <v>11</v>
      </c>
      <c r="F114" s="106" t="s">
        <v>574</v>
      </c>
      <c r="G114" s="106">
        <v>0</v>
      </c>
      <c r="H114" s="106" t="s">
        <v>421</v>
      </c>
      <c r="I114" s="106">
        <v>4038</v>
      </c>
      <c r="J114" s="106">
        <v>0</v>
      </c>
      <c r="K114" s="106">
        <v>47</v>
      </c>
      <c r="L114" s="106">
        <v>263</v>
      </c>
      <c r="M114" s="106">
        <v>0</v>
      </c>
      <c r="N114" s="106">
        <v>0</v>
      </c>
      <c r="O114" s="108"/>
    </row>
    <row r="115" spans="1:15">
      <c r="A115" s="106">
        <v>95001212</v>
      </c>
      <c r="B115" s="106">
        <v>1</v>
      </c>
      <c r="C115" s="106">
        <v>70104</v>
      </c>
      <c r="D115" s="106" t="s">
        <v>557</v>
      </c>
      <c r="E115" s="106">
        <v>203</v>
      </c>
      <c r="F115" s="106" t="s">
        <v>575</v>
      </c>
      <c r="G115" s="106">
        <v>0</v>
      </c>
      <c r="H115" s="106" t="s">
        <v>421</v>
      </c>
      <c r="I115" s="106">
        <v>0</v>
      </c>
      <c r="J115" s="106">
        <v>0</v>
      </c>
      <c r="K115" s="106">
        <v>63</v>
      </c>
      <c r="L115" s="106">
        <v>275</v>
      </c>
      <c r="M115" s="106">
        <v>0</v>
      </c>
      <c r="N115" s="106">
        <v>0</v>
      </c>
      <c r="O115" s="108"/>
    </row>
    <row r="116" spans="1:15">
      <c r="A116" s="106">
        <v>95001221</v>
      </c>
      <c r="B116" s="106">
        <v>1</v>
      </c>
      <c r="C116" s="106">
        <v>15500</v>
      </c>
      <c r="D116" s="106" t="s">
        <v>419</v>
      </c>
      <c r="E116" s="106">
        <v>204</v>
      </c>
      <c r="F116" s="106" t="s">
        <v>576</v>
      </c>
      <c r="G116" s="106">
        <v>0</v>
      </c>
      <c r="H116" s="106" t="s">
        <v>421</v>
      </c>
      <c r="I116" s="106">
        <v>0</v>
      </c>
      <c r="J116" s="106">
        <v>0</v>
      </c>
      <c r="K116" s="106">
        <v>64</v>
      </c>
      <c r="L116" s="106">
        <v>276</v>
      </c>
      <c r="M116" s="106">
        <v>0</v>
      </c>
      <c r="N116" s="106">
        <v>0</v>
      </c>
      <c r="O116" s="108"/>
    </row>
    <row r="117" spans="1:15">
      <c r="A117" s="106">
        <v>95001239</v>
      </c>
      <c r="B117" s="106">
        <v>1</v>
      </c>
      <c r="C117" s="106">
        <v>15500</v>
      </c>
      <c r="D117" s="106" t="s">
        <v>419</v>
      </c>
      <c r="E117" s="106">
        <v>205</v>
      </c>
      <c r="F117" s="106" t="s">
        <v>577</v>
      </c>
      <c r="G117" s="106">
        <v>0</v>
      </c>
      <c r="H117" s="106" t="s">
        <v>421</v>
      </c>
      <c r="I117" s="106">
        <v>0</v>
      </c>
      <c r="J117" s="106">
        <v>0</v>
      </c>
      <c r="K117" s="106">
        <v>65</v>
      </c>
      <c r="L117" s="106">
        <v>277</v>
      </c>
      <c r="M117" s="106">
        <v>0</v>
      </c>
      <c r="N117" s="106">
        <v>0</v>
      </c>
      <c r="O117" s="108"/>
    </row>
    <row r="118" spans="1:15">
      <c r="A118" s="106">
        <v>95001247</v>
      </c>
      <c r="B118" s="106">
        <v>1</v>
      </c>
      <c r="C118" s="106">
        <v>43000</v>
      </c>
      <c r="D118" s="106" t="s">
        <v>425</v>
      </c>
      <c r="E118" s="106">
        <v>206</v>
      </c>
      <c r="F118" s="106" t="s">
        <v>425</v>
      </c>
      <c r="G118" s="106">
        <v>0</v>
      </c>
      <c r="H118" s="106" t="s">
        <v>421</v>
      </c>
      <c r="I118" s="106">
        <v>0</v>
      </c>
      <c r="J118" s="106">
        <v>0</v>
      </c>
      <c r="K118" s="106">
        <v>66</v>
      </c>
      <c r="L118" s="106">
        <v>278</v>
      </c>
      <c r="M118" s="106">
        <v>0</v>
      </c>
      <c r="N118" s="106">
        <v>0</v>
      </c>
      <c r="O118" s="108"/>
    </row>
    <row r="119" spans="1:15">
      <c r="A119" s="106">
        <v>95001255</v>
      </c>
      <c r="B119" s="106">
        <v>1</v>
      </c>
      <c r="C119" s="106">
        <v>73300</v>
      </c>
      <c r="D119" s="106" t="s">
        <v>527</v>
      </c>
      <c r="E119" s="106">
        <v>137</v>
      </c>
      <c r="F119" s="106" t="s">
        <v>578</v>
      </c>
      <c r="G119" s="106">
        <v>0</v>
      </c>
      <c r="H119" s="106" t="s">
        <v>421</v>
      </c>
      <c r="I119" s="106">
        <v>6163</v>
      </c>
      <c r="J119" s="106">
        <v>0</v>
      </c>
      <c r="K119" s="106">
        <v>67</v>
      </c>
      <c r="L119" s="106">
        <v>279</v>
      </c>
      <c r="M119" s="106">
        <v>0</v>
      </c>
      <c r="N119" s="106">
        <v>0</v>
      </c>
      <c r="O119" s="108"/>
    </row>
    <row r="120" spans="1:15">
      <c r="A120" s="106">
        <v>95001263</v>
      </c>
      <c r="B120" s="106">
        <v>1</v>
      </c>
      <c r="C120" s="106">
        <v>73300</v>
      </c>
      <c r="D120" s="106" t="s">
        <v>527</v>
      </c>
      <c r="E120" s="106">
        <v>138</v>
      </c>
      <c r="F120" s="106" t="s">
        <v>579</v>
      </c>
      <c r="G120" s="106">
        <v>0</v>
      </c>
      <c r="H120" s="106" t="s">
        <v>421</v>
      </c>
      <c r="I120" s="106">
        <v>0</v>
      </c>
      <c r="J120" s="106">
        <v>0</v>
      </c>
      <c r="K120" s="106">
        <v>68</v>
      </c>
      <c r="L120" s="106">
        <v>280</v>
      </c>
      <c r="M120" s="106">
        <v>0</v>
      </c>
      <c r="N120" s="106">
        <v>0</v>
      </c>
      <c r="O120" s="108"/>
    </row>
    <row r="121" spans="1:15">
      <c r="A121" s="106">
        <v>95001271</v>
      </c>
      <c r="B121" s="106">
        <v>1</v>
      </c>
      <c r="C121" s="106">
        <v>73300</v>
      </c>
      <c r="D121" s="106" t="s">
        <v>527</v>
      </c>
      <c r="E121" s="106">
        <v>139</v>
      </c>
      <c r="F121" s="106" t="s">
        <v>580</v>
      </c>
      <c r="G121" s="106">
        <v>0</v>
      </c>
      <c r="H121" s="106" t="s">
        <v>421</v>
      </c>
      <c r="I121" s="106">
        <v>6163</v>
      </c>
      <c r="J121" s="106">
        <v>0</v>
      </c>
      <c r="K121" s="106">
        <v>69</v>
      </c>
      <c r="L121" s="106">
        <v>281</v>
      </c>
      <c r="M121" s="106">
        <v>0</v>
      </c>
      <c r="N121" s="106">
        <v>0</v>
      </c>
      <c r="O121" s="108"/>
    </row>
    <row r="122" spans="1:15">
      <c r="A122" s="106">
        <v>95001280</v>
      </c>
      <c r="B122" s="106">
        <v>1</v>
      </c>
      <c r="C122" s="106">
        <v>15500</v>
      </c>
      <c r="D122" s="106" t="s">
        <v>581</v>
      </c>
      <c r="E122" s="106">
        <v>140</v>
      </c>
      <c r="F122" s="106" t="s">
        <v>582</v>
      </c>
      <c r="G122" s="106">
        <v>0</v>
      </c>
      <c r="H122" s="106" t="s">
        <v>421</v>
      </c>
      <c r="I122" s="106">
        <v>0</v>
      </c>
      <c r="J122" s="106">
        <v>0</v>
      </c>
      <c r="K122" s="106">
        <v>70</v>
      </c>
      <c r="L122" s="106">
        <v>282</v>
      </c>
      <c r="M122" s="106">
        <v>0</v>
      </c>
      <c r="N122" s="106">
        <v>0</v>
      </c>
      <c r="O122" s="108"/>
    </row>
    <row r="123" spans="1:15">
      <c r="A123" s="106">
        <v>95001298</v>
      </c>
      <c r="B123" s="106">
        <v>1</v>
      </c>
      <c r="C123" s="106">
        <v>70104</v>
      </c>
      <c r="D123" s="106" t="s">
        <v>557</v>
      </c>
      <c r="E123" s="106">
        <v>141</v>
      </c>
      <c r="F123" s="106" t="s">
        <v>583</v>
      </c>
      <c r="G123" s="106">
        <v>0</v>
      </c>
      <c r="H123" s="106" t="s">
        <v>421</v>
      </c>
      <c r="I123" s="106">
        <v>5131</v>
      </c>
      <c r="J123" s="106">
        <v>0</v>
      </c>
      <c r="K123" s="106">
        <v>71</v>
      </c>
      <c r="L123" s="106">
        <v>283</v>
      </c>
      <c r="M123" s="106">
        <v>0</v>
      </c>
      <c r="N123" s="106">
        <v>0</v>
      </c>
      <c r="O123" s="108"/>
    </row>
    <row r="124" spans="1:15">
      <c r="A124" s="106">
        <v>95001301</v>
      </c>
      <c r="B124" s="106">
        <v>1</v>
      </c>
      <c r="C124" s="106">
        <v>73600</v>
      </c>
      <c r="D124" s="106" t="s">
        <v>496</v>
      </c>
      <c r="E124" s="106">
        <v>12</v>
      </c>
      <c r="F124" s="106" t="s">
        <v>496</v>
      </c>
      <c r="G124" s="106">
        <v>0</v>
      </c>
      <c r="H124" s="106" t="s">
        <v>424</v>
      </c>
      <c r="I124" s="106">
        <v>0</v>
      </c>
      <c r="J124" s="106">
        <v>1</v>
      </c>
      <c r="K124" s="106">
        <v>116</v>
      </c>
      <c r="L124" s="106">
        <v>606</v>
      </c>
      <c r="M124" s="106">
        <v>0</v>
      </c>
      <c r="N124" s="106">
        <v>0</v>
      </c>
      <c r="O124" s="108"/>
    </row>
    <row r="125" spans="1:15">
      <c r="A125" s="106">
        <v>95001336</v>
      </c>
      <c r="B125" s="106">
        <v>1</v>
      </c>
      <c r="C125" s="106">
        <v>73400</v>
      </c>
      <c r="D125" s="106" t="s">
        <v>584</v>
      </c>
      <c r="E125" s="106">
        <v>143</v>
      </c>
      <c r="F125" s="106" t="s">
        <v>585</v>
      </c>
      <c r="G125" s="106">
        <v>0</v>
      </c>
      <c r="H125" s="106" t="s">
        <v>421</v>
      </c>
      <c r="I125" s="106">
        <v>0</v>
      </c>
      <c r="J125" s="106">
        <v>1</v>
      </c>
      <c r="K125" s="106">
        <v>112</v>
      </c>
      <c r="L125" s="106">
        <v>602</v>
      </c>
      <c r="M125" s="106">
        <v>0</v>
      </c>
      <c r="N125" s="106">
        <v>0</v>
      </c>
      <c r="O125" s="108"/>
    </row>
    <row r="126" spans="1:15">
      <c r="A126" s="106">
        <v>95001409</v>
      </c>
      <c r="B126" s="106">
        <v>1</v>
      </c>
      <c r="C126" s="106">
        <v>71206</v>
      </c>
      <c r="D126" s="106" t="s">
        <v>443</v>
      </c>
      <c r="E126" s="106">
        <v>13</v>
      </c>
      <c r="F126" s="106" t="s">
        <v>586</v>
      </c>
      <c r="G126" s="106">
        <v>0</v>
      </c>
      <c r="H126" s="106" t="s">
        <v>424</v>
      </c>
      <c r="I126" s="106">
        <v>0</v>
      </c>
      <c r="J126" s="106">
        <v>1</v>
      </c>
      <c r="K126" s="106">
        <v>0</v>
      </c>
      <c r="L126" s="106"/>
      <c r="M126" s="106">
        <v>0</v>
      </c>
      <c r="N126" s="106">
        <v>0</v>
      </c>
      <c r="O126" s="108"/>
    </row>
    <row r="127" spans="1:15">
      <c r="A127" s="106">
        <v>95001468</v>
      </c>
      <c r="B127" s="106">
        <v>1</v>
      </c>
      <c r="C127" s="106">
        <v>15600</v>
      </c>
      <c r="D127" s="106" t="s">
        <v>487</v>
      </c>
      <c r="E127" s="106">
        <v>144</v>
      </c>
      <c r="F127" s="106" t="s">
        <v>587</v>
      </c>
      <c r="G127" s="106">
        <v>0</v>
      </c>
      <c r="H127" s="106" t="s">
        <v>421</v>
      </c>
      <c r="I127" s="106">
        <v>4458</v>
      </c>
      <c r="J127" s="106">
        <v>1</v>
      </c>
      <c r="K127" s="106">
        <v>147</v>
      </c>
      <c r="L127" s="106">
        <v>601</v>
      </c>
      <c r="M127" s="106">
        <v>0</v>
      </c>
      <c r="N127" s="106">
        <v>0</v>
      </c>
      <c r="O127" s="108"/>
    </row>
    <row r="128" spans="1:15">
      <c r="A128" s="106">
        <v>95001476</v>
      </c>
      <c r="B128" s="106">
        <v>1</v>
      </c>
      <c r="C128" s="106">
        <v>70100</v>
      </c>
      <c r="D128" s="106" t="s">
        <v>561</v>
      </c>
      <c r="E128" s="106">
        <v>145</v>
      </c>
      <c r="F128" s="106" t="s">
        <v>588</v>
      </c>
      <c r="G128" s="106">
        <v>0</v>
      </c>
      <c r="H128" s="106" t="s">
        <v>421</v>
      </c>
      <c r="I128" s="106">
        <v>0</v>
      </c>
      <c r="J128" s="106">
        <v>1</v>
      </c>
      <c r="K128" s="106">
        <v>148</v>
      </c>
      <c r="L128" s="106">
        <v>616</v>
      </c>
      <c r="M128" s="106">
        <v>0</v>
      </c>
      <c r="N128" s="106">
        <v>0</v>
      </c>
      <c r="O128" s="108"/>
    </row>
    <row r="129" spans="1:15">
      <c r="A129" s="106">
        <v>95001484</v>
      </c>
      <c r="B129" s="106">
        <v>1</v>
      </c>
      <c r="C129" s="106">
        <v>70100</v>
      </c>
      <c r="D129" s="106" t="s">
        <v>561</v>
      </c>
      <c r="E129" s="106">
        <v>146</v>
      </c>
      <c r="F129" s="106" t="s">
        <v>589</v>
      </c>
      <c r="G129" s="106">
        <v>0</v>
      </c>
      <c r="H129" s="106" t="s">
        <v>421</v>
      </c>
      <c r="I129" s="106">
        <v>0</v>
      </c>
      <c r="J129" s="106">
        <v>1</v>
      </c>
      <c r="K129" s="106">
        <v>149</v>
      </c>
      <c r="L129" s="106">
        <v>617</v>
      </c>
      <c r="M129" s="106">
        <v>0</v>
      </c>
      <c r="N129" s="106">
        <v>0</v>
      </c>
      <c r="O129" s="108"/>
    </row>
    <row r="130" spans="1:15">
      <c r="A130" s="106">
        <v>95001492</v>
      </c>
      <c r="B130" s="106">
        <v>1</v>
      </c>
      <c r="C130" s="106">
        <v>70100</v>
      </c>
      <c r="D130" s="106" t="s">
        <v>561</v>
      </c>
      <c r="E130" s="106">
        <v>147</v>
      </c>
      <c r="F130" s="106" t="s">
        <v>590</v>
      </c>
      <c r="G130" s="106">
        <v>0</v>
      </c>
      <c r="H130" s="106" t="s">
        <v>421</v>
      </c>
      <c r="I130" s="106">
        <v>0</v>
      </c>
      <c r="J130" s="106">
        <v>1</v>
      </c>
      <c r="K130" s="106">
        <v>150</v>
      </c>
      <c r="L130" s="106">
        <v>618</v>
      </c>
      <c r="M130" s="106">
        <v>0</v>
      </c>
      <c r="N130" s="106">
        <v>0</v>
      </c>
      <c r="O130" s="108"/>
    </row>
    <row r="131" spans="1:15">
      <c r="A131" s="106">
        <v>95001506</v>
      </c>
      <c r="B131" s="106">
        <v>1</v>
      </c>
      <c r="C131" s="106">
        <v>70100</v>
      </c>
      <c r="D131" s="106" t="s">
        <v>561</v>
      </c>
      <c r="E131" s="106">
        <v>148</v>
      </c>
      <c r="F131" s="106" t="s">
        <v>591</v>
      </c>
      <c r="G131" s="106">
        <v>0</v>
      </c>
      <c r="H131" s="106" t="s">
        <v>421</v>
      </c>
      <c r="I131" s="106">
        <v>0</v>
      </c>
      <c r="J131" s="106">
        <v>1</v>
      </c>
      <c r="K131" s="106">
        <v>151</v>
      </c>
      <c r="L131" s="106">
        <v>619</v>
      </c>
      <c r="M131" s="106">
        <v>0</v>
      </c>
      <c r="N131" s="106">
        <v>0</v>
      </c>
      <c r="O131" s="108"/>
    </row>
    <row r="132" spans="1:15">
      <c r="A132" s="106">
        <v>95001514</v>
      </c>
      <c r="B132" s="106">
        <v>1</v>
      </c>
      <c r="C132" s="106">
        <v>70100</v>
      </c>
      <c r="D132" s="106" t="s">
        <v>561</v>
      </c>
      <c r="E132" s="106">
        <v>149</v>
      </c>
      <c r="F132" s="106" t="s">
        <v>592</v>
      </c>
      <c r="G132" s="106">
        <v>0</v>
      </c>
      <c r="H132" s="106" t="s">
        <v>421</v>
      </c>
      <c r="I132" s="106">
        <v>0</v>
      </c>
      <c r="J132" s="106">
        <v>1</v>
      </c>
      <c r="K132" s="106">
        <v>152</v>
      </c>
      <c r="L132" s="106">
        <v>620</v>
      </c>
      <c r="M132" s="106">
        <v>0</v>
      </c>
      <c r="N132" s="106">
        <v>0</v>
      </c>
      <c r="O132" s="108"/>
    </row>
    <row r="133" spans="1:15">
      <c r="A133" s="106">
        <v>95001522</v>
      </c>
      <c r="B133" s="106">
        <v>1</v>
      </c>
      <c r="C133" s="106">
        <v>73600</v>
      </c>
      <c r="D133" s="106" t="s">
        <v>496</v>
      </c>
      <c r="E133" s="106">
        <v>150</v>
      </c>
      <c r="F133" s="106" t="s">
        <v>593</v>
      </c>
      <c r="G133" s="106">
        <v>0</v>
      </c>
      <c r="H133" s="106" t="s">
        <v>421</v>
      </c>
      <c r="I133" s="106">
        <v>0</v>
      </c>
      <c r="J133" s="106">
        <v>1</v>
      </c>
      <c r="K133" s="106">
        <v>153</v>
      </c>
      <c r="L133" s="106">
        <v>621</v>
      </c>
      <c r="M133" s="106">
        <v>0</v>
      </c>
      <c r="N133" s="106">
        <v>0</v>
      </c>
      <c r="O133" s="108"/>
    </row>
    <row r="134" spans="1:15">
      <c r="A134" s="106">
        <v>95001531</v>
      </c>
      <c r="B134" s="106">
        <v>1</v>
      </c>
      <c r="C134" s="106">
        <v>13302</v>
      </c>
      <c r="D134" s="106" t="s">
        <v>439</v>
      </c>
      <c r="E134" s="106">
        <v>312</v>
      </c>
      <c r="F134" s="106" t="s">
        <v>594</v>
      </c>
      <c r="G134" s="106">
        <v>0</v>
      </c>
      <c r="H134" s="106" t="s">
        <v>421</v>
      </c>
      <c r="I134" s="106">
        <v>0</v>
      </c>
      <c r="J134" s="106">
        <v>1</v>
      </c>
      <c r="K134" s="106">
        <v>155</v>
      </c>
      <c r="L134" s="106">
        <v>623</v>
      </c>
      <c r="M134" s="106">
        <v>0</v>
      </c>
      <c r="N134" s="106">
        <v>0</v>
      </c>
      <c r="O134" s="108"/>
    </row>
    <row r="135" spans="1:15">
      <c r="A135" s="106">
        <v>95001701</v>
      </c>
      <c r="B135" s="106">
        <v>1</v>
      </c>
      <c r="C135" s="106">
        <v>13100</v>
      </c>
      <c r="D135" s="106" t="s">
        <v>439</v>
      </c>
      <c r="E135" s="106">
        <v>14</v>
      </c>
      <c r="F135" s="106" t="s">
        <v>595</v>
      </c>
      <c r="G135" s="106">
        <v>0</v>
      </c>
      <c r="H135" s="106" t="s">
        <v>421</v>
      </c>
      <c r="I135" s="106">
        <v>2992</v>
      </c>
      <c r="J135" s="106">
        <v>1</v>
      </c>
      <c r="K135" s="106">
        <v>0</v>
      </c>
      <c r="L135" s="106"/>
      <c r="M135" s="106">
        <v>0</v>
      </c>
      <c r="N135" s="106">
        <v>0</v>
      </c>
      <c r="O135" s="108"/>
    </row>
    <row r="136" spans="1:15">
      <c r="A136" s="106">
        <v>95001719</v>
      </c>
      <c r="B136" s="106">
        <v>1</v>
      </c>
      <c r="C136" s="106">
        <v>13100</v>
      </c>
      <c r="D136" s="106" t="s">
        <v>439</v>
      </c>
      <c r="E136" s="106">
        <v>15</v>
      </c>
      <c r="F136" s="106" t="s">
        <v>596</v>
      </c>
      <c r="G136" s="106">
        <v>0</v>
      </c>
      <c r="H136" s="106" t="s">
        <v>421</v>
      </c>
      <c r="I136" s="106">
        <v>1254</v>
      </c>
      <c r="J136" s="106">
        <v>1</v>
      </c>
      <c r="K136" s="106">
        <v>0</v>
      </c>
      <c r="L136" s="106"/>
      <c r="M136" s="106">
        <v>0</v>
      </c>
      <c r="N136" s="106">
        <v>0</v>
      </c>
      <c r="O136" s="108"/>
    </row>
    <row r="137" spans="1:15">
      <c r="A137" s="106">
        <v>95001735</v>
      </c>
      <c r="B137" s="106">
        <v>1</v>
      </c>
      <c r="C137" s="106">
        <v>13320</v>
      </c>
      <c r="D137" s="106" t="s">
        <v>439</v>
      </c>
      <c r="E137" s="106">
        <v>295</v>
      </c>
      <c r="F137" s="106" t="s">
        <v>597</v>
      </c>
      <c r="G137" s="106">
        <v>0</v>
      </c>
      <c r="H137" s="106" t="s">
        <v>421</v>
      </c>
      <c r="I137" s="106">
        <v>802</v>
      </c>
      <c r="J137" s="106">
        <v>0</v>
      </c>
      <c r="K137" s="106">
        <v>56</v>
      </c>
      <c r="L137" s="106">
        <v>304</v>
      </c>
      <c r="M137" s="106">
        <v>0</v>
      </c>
      <c r="N137" s="106">
        <v>0</v>
      </c>
      <c r="O137" s="108" t="s">
        <v>598</v>
      </c>
    </row>
    <row r="138" spans="1:15">
      <c r="A138" s="106">
        <v>95001743</v>
      </c>
      <c r="B138" s="106">
        <v>1</v>
      </c>
      <c r="C138" s="106">
        <v>70104</v>
      </c>
      <c r="D138" s="106" t="s">
        <v>599</v>
      </c>
      <c r="E138" s="106">
        <v>281</v>
      </c>
      <c r="F138" s="106" t="s">
        <v>600</v>
      </c>
      <c r="G138" s="106">
        <v>0</v>
      </c>
      <c r="H138" s="106"/>
      <c r="I138" s="106">
        <v>1027</v>
      </c>
      <c r="J138" s="106">
        <v>0</v>
      </c>
      <c r="K138" s="106">
        <v>197</v>
      </c>
      <c r="L138" s="106">
        <v>701</v>
      </c>
      <c r="M138" s="106"/>
      <c r="N138" s="106"/>
      <c r="O138" s="108" t="s">
        <v>601</v>
      </c>
    </row>
    <row r="139" spans="1:15">
      <c r="A139" s="106">
        <v>95001751</v>
      </c>
      <c r="B139" s="106">
        <v>1</v>
      </c>
      <c r="C139" s="106">
        <v>13100</v>
      </c>
      <c r="D139" s="106" t="s">
        <v>602</v>
      </c>
      <c r="E139" s="106">
        <v>282</v>
      </c>
      <c r="F139" s="106" t="s">
        <v>603</v>
      </c>
      <c r="G139" s="106">
        <v>0</v>
      </c>
      <c r="H139" s="106"/>
      <c r="I139" s="106">
        <v>1027</v>
      </c>
      <c r="J139" s="106">
        <v>0</v>
      </c>
      <c r="K139" s="106">
        <v>196</v>
      </c>
      <c r="L139" s="106">
        <v>700</v>
      </c>
      <c r="M139" s="106"/>
      <c r="N139" s="106"/>
      <c r="O139" s="108" t="s">
        <v>601</v>
      </c>
    </row>
    <row r="140" spans="1:15">
      <c r="A140" s="106">
        <v>95001760</v>
      </c>
      <c r="B140" s="106">
        <v>1</v>
      </c>
      <c r="C140" s="106">
        <v>70104</v>
      </c>
      <c r="D140" s="106" t="s">
        <v>599</v>
      </c>
      <c r="E140" s="106">
        <v>285</v>
      </c>
      <c r="F140" s="106" t="s">
        <v>604</v>
      </c>
      <c r="G140" s="106">
        <v>0</v>
      </c>
      <c r="H140" s="106"/>
      <c r="I140" s="106">
        <v>1028</v>
      </c>
      <c r="J140" s="106">
        <v>0</v>
      </c>
      <c r="K140" s="106">
        <v>195</v>
      </c>
      <c r="L140" s="106">
        <v>703</v>
      </c>
      <c r="M140" s="106"/>
      <c r="N140" s="106"/>
      <c r="O140" s="108" t="s">
        <v>601</v>
      </c>
    </row>
    <row r="141" spans="1:15">
      <c r="A141" s="106">
        <v>95001778</v>
      </c>
      <c r="B141" s="106">
        <v>1</v>
      </c>
      <c r="C141" s="106">
        <v>70104</v>
      </c>
      <c r="D141" s="106" t="s">
        <v>599</v>
      </c>
      <c r="E141" s="106">
        <v>286</v>
      </c>
      <c r="F141" s="106" t="s">
        <v>605</v>
      </c>
      <c r="G141" s="106">
        <v>0</v>
      </c>
      <c r="H141" s="106"/>
      <c r="I141" s="106">
        <v>1028</v>
      </c>
      <c r="J141" s="106">
        <v>0</v>
      </c>
      <c r="K141" s="106">
        <v>194</v>
      </c>
      <c r="L141" s="106">
        <v>702</v>
      </c>
      <c r="M141" s="106"/>
      <c r="N141" s="106"/>
      <c r="O141" s="108" t="s">
        <v>601</v>
      </c>
    </row>
    <row r="142" spans="1:15">
      <c r="A142" s="106">
        <v>95001794</v>
      </c>
      <c r="B142" s="106">
        <v>1</v>
      </c>
      <c r="C142" s="106">
        <v>13120</v>
      </c>
      <c r="D142" s="106" t="s">
        <v>602</v>
      </c>
      <c r="E142" s="106">
        <v>218</v>
      </c>
      <c r="F142" s="106" t="s">
        <v>606</v>
      </c>
      <c r="G142" s="106">
        <v>0</v>
      </c>
      <c r="H142" s="106"/>
      <c r="I142" s="106">
        <v>9012</v>
      </c>
      <c r="J142" s="106">
        <v>0</v>
      </c>
      <c r="K142" s="106">
        <v>198</v>
      </c>
      <c r="L142" s="106">
        <v>705</v>
      </c>
      <c r="M142" s="106"/>
      <c r="N142" s="106"/>
      <c r="O142" s="108" t="s">
        <v>601</v>
      </c>
    </row>
    <row r="143" spans="1:15">
      <c r="A143" s="106">
        <v>95001859</v>
      </c>
      <c r="B143" s="106">
        <v>1</v>
      </c>
      <c r="C143" s="106">
        <v>15600</v>
      </c>
      <c r="D143" s="106" t="s">
        <v>607</v>
      </c>
      <c r="E143" s="106">
        <v>220</v>
      </c>
      <c r="F143" s="106" t="s">
        <v>608</v>
      </c>
      <c r="G143" s="106">
        <v>0</v>
      </c>
      <c r="H143" s="106"/>
      <c r="I143" s="106">
        <v>0</v>
      </c>
      <c r="J143" s="106">
        <v>1</v>
      </c>
      <c r="K143" s="106">
        <v>202</v>
      </c>
      <c r="L143" s="106">
        <v>706</v>
      </c>
      <c r="M143" s="106"/>
      <c r="N143" s="106"/>
      <c r="O143" s="108" t="s">
        <v>609</v>
      </c>
    </row>
    <row r="144" spans="1:15">
      <c r="A144" s="106">
        <v>95001867</v>
      </c>
      <c r="B144" s="106">
        <v>1</v>
      </c>
      <c r="C144" s="106">
        <v>13300</v>
      </c>
      <c r="D144" s="106" t="s">
        <v>610</v>
      </c>
      <c r="E144" s="106">
        <v>219</v>
      </c>
      <c r="F144" s="106" t="s">
        <v>611</v>
      </c>
      <c r="G144" s="106">
        <v>0</v>
      </c>
      <c r="H144" s="106"/>
      <c r="I144" s="106">
        <v>0</v>
      </c>
      <c r="J144" s="106">
        <v>1</v>
      </c>
      <c r="K144" s="106">
        <v>201</v>
      </c>
      <c r="L144" s="106">
        <v>707</v>
      </c>
      <c r="M144" s="106"/>
      <c r="N144" s="106"/>
      <c r="O144" s="108" t="s">
        <v>609</v>
      </c>
    </row>
    <row r="145" spans="1:17">
      <c r="A145" s="106">
        <v>95001875</v>
      </c>
      <c r="B145" s="106">
        <v>1</v>
      </c>
      <c r="C145" s="106">
        <v>13120</v>
      </c>
      <c r="D145" s="106" t="s">
        <v>610</v>
      </c>
      <c r="E145" s="106">
        <v>222</v>
      </c>
      <c r="F145" s="106" t="s">
        <v>612</v>
      </c>
      <c r="G145" s="106">
        <v>0</v>
      </c>
      <c r="H145" s="106"/>
      <c r="I145" s="106">
        <v>0</v>
      </c>
      <c r="J145" s="106">
        <v>1</v>
      </c>
      <c r="K145" s="106">
        <v>203</v>
      </c>
      <c r="L145" s="106">
        <v>708</v>
      </c>
      <c r="M145" s="106"/>
      <c r="N145" s="106"/>
      <c r="O145" s="108" t="s">
        <v>609</v>
      </c>
    </row>
    <row r="146" spans="1:17">
      <c r="A146" s="106">
        <v>95001883</v>
      </c>
      <c r="B146" s="106">
        <v>1</v>
      </c>
      <c r="C146" s="106">
        <v>13120</v>
      </c>
      <c r="D146" s="106" t="s">
        <v>439</v>
      </c>
      <c r="E146" s="106">
        <v>221</v>
      </c>
      <c r="F146" s="106" t="s">
        <v>613</v>
      </c>
      <c r="G146" s="106">
        <v>0</v>
      </c>
      <c r="H146" s="106" t="s">
        <v>421</v>
      </c>
      <c r="I146" s="106">
        <v>1021</v>
      </c>
      <c r="J146" s="106">
        <v>1</v>
      </c>
      <c r="K146" s="106">
        <v>204</v>
      </c>
      <c r="L146" s="106">
        <v>719</v>
      </c>
      <c r="M146" s="106">
        <v>1</v>
      </c>
      <c r="N146" s="106">
        <v>0</v>
      </c>
      <c r="O146" s="108" t="s">
        <v>614</v>
      </c>
    </row>
    <row r="147" spans="1:17">
      <c r="A147" s="106">
        <v>95001891</v>
      </c>
      <c r="B147" s="106">
        <v>1</v>
      </c>
      <c r="C147" s="106">
        <v>73600</v>
      </c>
      <c r="D147" s="106" t="s">
        <v>540</v>
      </c>
      <c r="E147" s="106">
        <v>223</v>
      </c>
      <c r="F147" s="106" t="s">
        <v>615</v>
      </c>
      <c r="G147" s="106">
        <v>0</v>
      </c>
      <c r="H147" s="106"/>
      <c r="I147" s="106">
        <v>0</v>
      </c>
      <c r="J147" s="106">
        <v>1</v>
      </c>
      <c r="K147" s="106">
        <v>205</v>
      </c>
      <c r="L147" s="106">
        <v>627</v>
      </c>
      <c r="M147" s="106"/>
      <c r="N147" s="106"/>
      <c r="O147" s="108" t="s">
        <v>616</v>
      </c>
    </row>
    <row r="148" spans="1:17">
      <c r="A148" s="106">
        <v>95001905</v>
      </c>
      <c r="B148" s="106">
        <v>1</v>
      </c>
      <c r="C148" s="106">
        <v>15200</v>
      </c>
      <c r="D148" s="106" t="s">
        <v>617</v>
      </c>
      <c r="E148" s="106">
        <v>130</v>
      </c>
      <c r="F148" s="106" t="s">
        <v>618</v>
      </c>
      <c r="G148" s="106">
        <v>0</v>
      </c>
      <c r="H148" s="106"/>
      <c r="I148" s="106">
        <v>0</v>
      </c>
      <c r="J148" s="106">
        <v>1</v>
      </c>
      <c r="K148" s="106">
        <v>57</v>
      </c>
      <c r="L148" s="106">
        <v>711</v>
      </c>
      <c r="M148" s="106"/>
      <c r="N148" s="106"/>
      <c r="O148" s="108" t="s">
        <v>609</v>
      </c>
    </row>
    <row r="149" spans="1:17">
      <c r="A149" s="106">
        <v>95001921</v>
      </c>
      <c r="B149" s="106">
        <v>1</v>
      </c>
      <c r="C149" s="106">
        <v>13120</v>
      </c>
      <c r="D149" s="106" t="s">
        <v>439</v>
      </c>
      <c r="E149" s="106">
        <v>224</v>
      </c>
      <c r="F149" s="106" t="s">
        <v>619</v>
      </c>
      <c r="G149" s="106">
        <v>0</v>
      </c>
      <c r="H149" s="106" t="s">
        <v>421</v>
      </c>
      <c r="I149" s="106">
        <v>0</v>
      </c>
      <c r="J149" s="106">
        <v>1</v>
      </c>
      <c r="K149" s="106">
        <v>207</v>
      </c>
      <c r="L149" s="106">
        <v>721</v>
      </c>
      <c r="M149" s="106">
        <v>1</v>
      </c>
      <c r="N149" s="106">
        <v>0</v>
      </c>
      <c r="O149" s="108" t="s">
        <v>620</v>
      </c>
    </row>
    <row r="150" spans="1:17">
      <c r="A150" s="106">
        <v>95001930</v>
      </c>
      <c r="B150" s="106">
        <v>1</v>
      </c>
      <c r="C150" s="106">
        <v>13120</v>
      </c>
      <c r="D150" s="106" t="s">
        <v>439</v>
      </c>
      <c r="E150" s="106">
        <v>225</v>
      </c>
      <c r="F150" s="106" t="s">
        <v>621</v>
      </c>
      <c r="G150" s="106">
        <v>0</v>
      </c>
      <c r="H150" s="106" t="s">
        <v>421</v>
      </c>
      <c r="I150" s="106">
        <v>0</v>
      </c>
      <c r="J150" s="106">
        <v>1</v>
      </c>
      <c r="K150" s="106">
        <v>208</v>
      </c>
      <c r="L150" s="106">
        <v>722</v>
      </c>
      <c r="M150" s="106">
        <v>1</v>
      </c>
      <c r="N150" s="106">
        <v>0</v>
      </c>
      <c r="O150" s="108" t="s">
        <v>620</v>
      </c>
    </row>
    <row r="151" spans="1:17">
      <c r="A151" s="106">
        <v>95001948</v>
      </c>
      <c r="B151" s="106">
        <v>1</v>
      </c>
      <c r="C151" s="106">
        <v>13120</v>
      </c>
      <c r="D151" s="106" t="s">
        <v>439</v>
      </c>
      <c r="E151" s="106">
        <v>229</v>
      </c>
      <c r="F151" s="106" t="s">
        <v>622</v>
      </c>
      <c r="G151" s="106">
        <v>0</v>
      </c>
      <c r="H151" s="106" t="s">
        <v>421</v>
      </c>
      <c r="I151" s="106">
        <v>0</v>
      </c>
      <c r="J151" s="106">
        <v>1</v>
      </c>
      <c r="K151" s="106">
        <v>209</v>
      </c>
      <c r="L151" s="106">
        <v>726</v>
      </c>
      <c r="M151" s="106">
        <v>1</v>
      </c>
      <c r="N151" s="106">
        <v>0</v>
      </c>
      <c r="O151" s="108" t="s">
        <v>620</v>
      </c>
    </row>
    <row r="152" spans="1:17">
      <c r="A152" s="106">
        <v>95001956</v>
      </c>
      <c r="B152" s="106">
        <v>1</v>
      </c>
      <c r="C152" s="106">
        <v>13120</v>
      </c>
      <c r="D152" s="106" t="s">
        <v>439</v>
      </c>
      <c r="E152" s="106">
        <v>226</v>
      </c>
      <c r="F152" s="106" t="s">
        <v>623</v>
      </c>
      <c r="G152" s="106">
        <v>0</v>
      </c>
      <c r="H152" s="106" t="s">
        <v>421</v>
      </c>
      <c r="I152" s="106">
        <v>0</v>
      </c>
      <c r="J152" s="106">
        <v>1</v>
      </c>
      <c r="K152" s="106">
        <v>210</v>
      </c>
      <c r="L152" s="106">
        <v>723</v>
      </c>
      <c r="M152" s="106">
        <v>1</v>
      </c>
      <c r="N152" s="106">
        <v>0</v>
      </c>
      <c r="O152" s="108" t="s">
        <v>620</v>
      </c>
    </row>
    <row r="153" spans="1:17">
      <c r="A153" s="106">
        <v>95001964</v>
      </c>
      <c r="B153" s="106">
        <v>1</v>
      </c>
      <c r="C153" s="106">
        <v>13120</v>
      </c>
      <c r="D153" s="106" t="s">
        <v>439</v>
      </c>
      <c r="E153" s="106">
        <v>227</v>
      </c>
      <c r="F153" s="106" t="s">
        <v>624</v>
      </c>
      <c r="G153" s="106">
        <v>0</v>
      </c>
      <c r="H153" s="106" t="s">
        <v>421</v>
      </c>
      <c r="I153" s="106">
        <v>0</v>
      </c>
      <c r="J153" s="106">
        <v>1</v>
      </c>
      <c r="K153" s="106">
        <v>211</v>
      </c>
      <c r="L153" s="106">
        <v>724</v>
      </c>
      <c r="M153" s="106">
        <v>1</v>
      </c>
      <c r="N153" s="106">
        <v>0</v>
      </c>
      <c r="O153" s="108" t="s">
        <v>620</v>
      </c>
    </row>
    <row r="154" spans="1:17">
      <c r="A154" s="106">
        <v>95001972</v>
      </c>
      <c r="B154" s="106">
        <v>1</v>
      </c>
      <c r="C154" s="106">
        <v>13120</v>
      </c>
      <c r="D154" s="106" t="s">
        <v>439</v>
      </c>
      <c r="E154" s="106">
        <v>228</v>
      </c>
      <c r="F154" s="106" t="s">
        <v>625</v>
      </c>
      <c r="G154" s="106">
        <v>0</v>
      </c>
      <c r="H154" s="106" t="s">
        <v>421</v>
      </c>
      <c r="I154" s="106">
        <v>0</v>
      </c>
      <c r="J154" s="106">
        <v>1</v>
      </c>
      <c r="K154" s="106">
        <v>212</v>
      </c>
      <c r="L154" s="106">
        <v>725</v>
      </c>
      <c r="M154" s="106">
        <v>1</v>
      </c>
      <c r="N154" s="106">
        <v>0</v>
      </c>
      <c r="O154" s="108" t="s">
        <v>620</v>
      </c>
    </row>
    <row r="155" spans="1:17">
      <c r="A155" s="106">
        <v>95001981</v>
      </c>
      <c r="B155" s="106">
        <v>1</v>
      </c>
      <c r="C155" s="106">
        <v>13120</v>
      </c>
      <c r="D155" s="106" t="s">
        <v>439</v>
      </c>
      <c r="E155" s="106">
        <v>230</v>
      </c>
      <c r="F155" s="106" t="s">
        <v>626</v>
      </c>
      <c r="G155" s="106">
        <v>0</v>
      </c>
      <c r="H155" s="106" t="s">
        <v>421</v>
      </c>
      <c r="I155" s="106">
        <v>0</v>
      </c>
      <c r="J155" s="106">
        <v>1</v>
      </c>
      <c r="K155" s="106">
        <v>213</v>
      </c>
      <c r="L155" s="106">
        <v>709</v>
      </c>
      <c r="M155" s="106">
        <v>1</v>
      </c>
      <c r="N155" s="106">
        <v>0</v>
      </c>
      <c r="O155" s="108" t="s">
        <v>620</v>
      </c>
      <c r="P155" s="108"/>
      <c r="Q155" s="108"/>
    </row>
    <row r="156" spans="1:17">
      <c r="A156" s="106">
        <v>95001999</v>
      </c>
      <c r="B156" s="106">
        <v>1</v>
      </c>
      <c r="C156" s="106">
        <v>13120</v>
      </c>
      <c r="D156" s="106" t="s">
        <v>610</v>
      </c>
      <c r="E156" s="106">
        <v>231</v>
      </c>
      <c r="F156" s="106" t="s">
        <v>627</v>
      </c>
      <c r="G156" s="106">
        <v>0</v>
      </c>
      <c r="H156" s="106"/>
      <c r="I156" s="106">
        <v>0</v>
      </c>
      <c r="J156" s="106">
        <v>1</v>
      </c>
      <c r="K156" s="106">
        <v>214</v>
      </c>
      <c r="L156" s="106">
        <v>712</v>
      </c>
      <c r="M156" s="106"/>
      <c r="N156" s="106"/>
      <c r="O156" s="108" t="s">
        <v>628</v>
      </c>
      <c r="P156" s="108"/>
      <c r="Q156" s="108"/>
    </row>
    <row r="157" spans="1:17">
      <c r="A157" s="106">
        <v>95002006</v>
      </c>
      <c r="B157" s="106">
        <v>1</v>
      </c>
      <c r="C157" s="106">
        <v>13120</v>
      </c>
      <c r="D157" s="106" t="s">
        <v>610</v>
      </c>
      <c r="E157" s="106">
        <v>232</v>
      </c>
      <c r="F157" s="106" t="s">
        <v>629</v>
      </c>
      <c r="G157" s="106">
        <v>0</v>
      </c>
      <c r="H157" s="106"/>
      <c r="I157" s="106">
        <v>0</v>
      </c>
      <c r="J157" s="106">
        <v>1</v>
      </c>
      <c r="K157" s="106">
        <v>215</v>
      </c>
      <c r="L157" s="106">
        <v>713</v>
      </c>
      <c r="M157" s="106"/>
      <c r="N157" s="106"/>
      <c r="O157" s="108" t="s">
        <v>628</v>
      </c>
    </row>
    <row r="158" spans="1:17" s="108" customFormat="1">
      <c r="A158" s="106">
        <v>95002014</v>
      </c>
      <c r="B158" s="106">
        <v>1</v>
      </c>
      <c r="C158" s="106">
        <v>13120</v>
      </c>
      <c r="D158" s="106" t="s">
        <v>439</v>
      </c>
      <c r="E158" s="106">
        <v>233</v>
      </c>
      <c r="F158" s="106" t="s">
        <v>630</v>
      </c>
      <c r="G158" s="106">
        <v>0</v>
      </c>
      <c r="H158" s="106" t="s">
        <v>421</v>
      </c>
      <c r="I158" s="106">
        <v>0</v>
      </c>
      <c r="J158" s="106">
        <v>1</v>
      </c>
      <c r="K158" s="106">
        <v>216</v>
      </c>
      <c r="L158" s="106">
        <v>727</v>
      </c>
      <c r="M158" s="106">
        <v>1</v>
      </c>
      <c r="N158" s="106">
        <v>0</v>
      </c>
      <c r="O158" s="108" t="s">
        <v>620</v>
      </c>
    </row>
    <row r="159" spans="1:17" s="108" customFormat="1">
      <c r="A159" s="109">
        <v>95002022</v>
      </c>
      <c r="B159" s="109">
        <v>1</v>
      </c>
      <c r="C159" s="109">
        <v>13120</v>
      </c>
      <c r="D159" s="109" t="s">
        <v>439</v>
      </c>
      <c r="E159" s="109">
        <v>238</v>
      </c>
      <c r="F159" s="109" t="s">
        <v>631</v>
      </c>
      <c r="G159" s="109">
        <v>0</v>
      </c>
      <c r="H159" s="109" t="s">
        <v>421</v>
      </c>
      <c r="I159" s="109">
        <v>0</v>
      </c>
      <c r="J159" s="109">
        <v>1</v>
      </c>
      <c r="K159" s="109">
        <v>221</v>
      </c>
      <c r="L159" s="109">
        <v>717</v>
      </c>
      <c r="M159" s="109">
        <v>1</v>
      </c>
      <c r="N159" s="109">
        <v>0</v>
      </c>
      <c r="O159" s="79" t="s">
        <v>632</v>
      </c>
    </row>
    <row r="160" spans="1:17" s="108" customFormat="1">
      <c r="A160" s="109">
        <v>95002031</v>
      </c>
      <c r="B160" s="109">
        <v>1</v>
      </c>
      <c r="C160" s="109">
        <v>13120</v>
      </c>
      <c r="D160" s="109" t="s">
        <v>439</v>
      </c>
      <c r="E160" s="109">
        <v>239</v>
      </c>
      <c r="F160" s="109" t="s">
        <v>633</v>
      </c>
      <c r="G160" s="109">
        <v>0</v>
      </c>
      <c r="H160" s="109" t="s">
        <v>421</v>
      </c>
      <c r="I160" s="109">
        <v>0</v>
      </c>
      <c r="J160" s="109">
        <v>1</v>
      </c>
      <c r="K160" s="109">
        <v>222</v>
      </c>
      <c r="L160" s="109">
        <v>718</v>
      </c>
      <c r="M160" s="109">
        <v>1</v>
      </c>
      <c r="N160" s="109">
        <v>0</v>
      </c>
      <c r="O160" s="79" t="s">
        <v>632</v>
      </c>
    </row>
    <row r="161" spans="1:16" s="108" customFormat="1">
      <c r="A161" s="106">
        <v>95002049</v>
      </c>
      <c r="B161" s="106">
        <v>1</v>
      </c>
      <c r="C161" s="106">
        <v>13120</v>
      </c>
      <c r="D161" s="106" t="s">
        <v>439</v>
      </c>
      <c r="E161" s="106">
        <v>234</v>
      </c>
      <c r="F161" s="106" t="s">
        <v>634</v>
      </c>
      <c r="G161" s="106">
        <v>0</v>
      </c>
      <c r="H161" s="106" t="s">
        <v>421</v>
      </c>
      <c r="I161" s="106">
        <v>0</v>
      </c>
      <c r="J161" s="106">
        <v>1</v>
      </c>
      <c r="K161" s="106">
        <v>217</v>
      </c>
      <c r="L161" s="106">
        <v>714</v>
      </c>
      <c r="M161" s="106">
        <v>1</v>
      </c>
      <c r="N161" s="106">
        <v>0</v>
      </c>
      <c r="O161" s="108" t="s">
        <v>635</v>
      </c>
    </row>
    <row r="162" spans="1:16" s="108" customFormat="1">
      <c r="A162" s="109">
        <v>95002057</v>
      </c>
      <c r="B162" s="109">
        <v>1</v>
      </c>
      <c r="C162" s="109">
        <v>73600</v>
      </c>
      <c r="D162" s="109" t="s">
        <v>540</v>
      </c>
      <c r="E162" s="109">
        <v>236</v>
      </c>
      <c r="F162" s="109" t="s">
        <v>636</v>
      </c>
      <c r="G162" s="109">
        <v>0</v>
      </c>
      <c r="H162" s="109" t="s">
        <v>421</v>
      </c>
      <c r="I162" s="109">
        <v>0</v>
      </c>
      <c r="J162" s="109">
        <v>1</v>
      </c>
      <c r="K162" s="109">
        <v>219</v>
      </c>
      <c r="L162" s="109">
        <v>716</v>
      </c>
      <c r="M162" s="109">
        <v>1</v>
      </c>
      <c r="N162" s="109">
        <v>0</v>
      </c>
      <c r="O162" s="79" t="s">
        <v>637</v>
      </c>
    </row>
    <row r="163" spans="1:16" s="108" customFormat="1">
      <c r="A163" s="109">
        <v>95002065</v>
      </c>
      <c r="B163" s="109">
        <v>1</v>
      </c>
      <c r="C163" s="109">
        <v>13120</v>
      </c>
      <c r="D163" s="109" t="s">
        <v>439</v>
      </c>
      <c r="E163" s="109">
        <v>235</v>
      </c>
      <c r="F163" s="109" t="s">
        <v>638</v>
      </c>
      <c r="G163" s="109">
        <v>0</v>
      </c>
      <c r="H163" s="109" t="s">
        <v>421</v>
      </c>
      <c r="I163" s="109">
        <v>0</v>
      </c>
      <c r="J163" s="109">
        <v>0</v>
      </c>
      <c r="K163" s="109">
        <v>218</v>
      </c>
      <c r="L163" s="109">
        <v>715</v>
      </c>
      <c r="M163" s="109">
        <v>1</v>
      </c>
      <c r="N163" s="109">
        <v>0</v>
      </c>
      <c r="O163" s="79" t="s">
        <v>637</v>
      </c>
    </row>
    <row r="164" spans="1:16">
      <c r="A164" s="109">
        <v>95002073</v>
      </c>
      <c r="B164" s="109">
        <v>1</v>
      </c>
      <c r="C164" s="109">
        <v>13120</v>
      </c>
      <c r="D164" s="109" t="s">
        <v>439</v>
      </c>
      <c r="E164" s="109">
        <v>237</v>
      </c>
      <c r="F164" s="109" t="s">
        <v>639</v>
      </c>
      <c r="G164" s="109">
        <v>0</v>
      </c>
      <c r="H164" s="109" t="s">
        <v>421</v>
      </c>
      <c r="I164" s="109">
        <v>0</v>
      </c>
      <c r="J164" s="109">
        <v>1</v>
      </c>
      <c r="K164" s="109">
        <v>220</v>
      </c>
      <c r="L164" s="109">
        <v>728</v>
      </c>
      <c r="M164" s="109">
        <v>1</v>
      </c>
      <c r="N164" s="109">
        <v>0</v>
      </c>
      <c r="O164" s="79" t="s">
        <v>632</v>
      </c>
    </row>
    <row r="165" spans="1:16" s="108" customFormat="1">
      <c r="A165" s="106">
        <v>95002081</v>
      </c>
      <c r="B165" s="106">
        <v>1</v>
      </c>
      <c r="C165" s="106">
        <v>73600</v>
      </c>
      <c r="D165" s="106" t="s">
        <v>540</v>
      </c>
      <c r="E165" s="106">
        <v>240</v>
      </c>
      <c r="F165" s="106" t="s">
        <v>640</v>
      </c>
      <c r="G165" s="106">
        <v>0</v>
      </c>
      <c r="H165" s="106"/>
      <c r="I165" s="106">
        <v>0</v>
      </c>
      <c r="J165" s="106">
        <v>1</v>
      </c>
      <c r="K165" s="106">
        <v>223</v>
      </c>
      <c r="L165" s="106">
        <v>720</v>
      </c>
      <c r="M165" s="106">
        <v>1</v>
      </c>
      <c r="N165" s="106">
        <v>0</v>
      </c>
      <c r="O165" s="108" t="s">
        <v>641</v>
      </c>
    </row>
    <row r="166" spans="1:16" s="108" customFormat="1">
      <c r="A166" s="109">
        <v>95002090</v>
      </c>
      <c r="B166" s="109">
        <v>1</v>
      </c>
      <c r="C166" s="109">
        <v>70104</v>
      </c>
      <c r="D166" s="109" t="s">
        <v>642</v>
      </c>
      <c r="E166" s="109">
        <v>241</v>
      </c>
      <c r="F166" s="109" t="s">
        <v>643</v>
      </c>
      <c r="G166" s="109">
        <v>0</v>
      </c>
      <c r="H166" s="109"/>
      <c r="I166" s="109">
        <v>0</v>
      </c>
      <c r="J166" s="109">
        <v>1</v>
      </c>
      <c r="K166" s="110">
        <v>229</v>
      </c>
      <c r="L166" s="109">
        <v>729</v>
      </c>
      <c r="M166" s="109">
        <v>1</v>
      </c>
      <c r="N166" s="109">
        <v>0</v>
      </c>
      <c r="O166" s="111" t="s">
        <v>644</v>
      </c>
    </row>
    <row r="167" spans="1:16" s="108" customFormat="1">
      <c r="A167" s="109">
        <v>95002103</v>
      </c>
      <c r="B167" s="109">
        <v>1</v>
      </c>
      <c r="C167" s="109">
        <v>70104</v>
      </c>
      <c r="D167" s="109" t="s">
        <v>642</v>
      </c>
      <c r="E167" s="109">
        <v>242</v>
      </c>
      <c r="F167" s="109" t="s">
        <v>645</v>
      </c>
      <c r="G167" s="109">
        <v>0</v>
      </c>
      <c r="H167" s="109"/>
      <c r="I167" s="109">
        <v>0</v>
      </c>
      <c r="J167" s="109">
        <v>1</v>
      </c>
      <c r="K167" s="110">
        <v>230</v>
      </c>
      <c r="L167" s="109"/>
      <c r="M167" s="109">
        <v>1</v>
      </c>
      <c r="N167" s="109">
        <v>0</v>
      </c>
      <c r="O167" s="111" t="s">
        <v>644</v>
      </c>
    </row>
    <row r="168" spans="1:16" s="108" customFormat="1">
      <c r="A168" s="109">
        <v>95002111</v>
      </c>
      <c r="B168" s="109">
        <v>1</v>
      </c>
      <c r="C168" s="109">
        <v>43100</v>
      </c>
      <c r="D168" s="109" t="s">
        <v>646</v>
      </c>
      <c r="E168" s="109">
        <v>243</v>
      </c>
      <c r="F168" s="109" t="s">
        <v>647</v>
      </c>
      <c r="G168" s="109">
        <v>0</v>
      </c>
      <c r="H168" s="109"/>
      <c r="I168" s="109">
        <v>0</v>
      </c>
      <c r="J168" s="109">
        <v>1</v>
      </c>
      <c r="K168" s="110">
        <v>226</v>
      </c>
      <c r="L168" s="109">
        <v>730</v>
      </c>
      <c r="M168" s="109">
        <v>1</v>
      </c>
      <c r="N168" s="109">
        <v>0</v>
      </c>
      <c r="O168" s="111" t="s">
        <v>644</v>
      </c>
    </row>
    <row r="169" spans="1:16" s="108" customFormat="1">
      <c r="A169" s="109">
        <v>95002120</v>
      </c>
      <c r="B169" s="109">
        <v>1</v>
      </c>
      <c r="C169" s="109">
        <v>43100</v>
      </c>
      <c r="D169" s="109" t="s">
        <v>646</v>
      </c>
      <c r="E169" s="109">
        <v>244</v>
      </c>
      <c r="F169" s="109" t="s">
        <v>648</v>
      </c>
      <c r="G169" s="109">
        <v>0</v>
      </c>
      <c r="H169" s="109"/>
      <c r="I169" s="109">
        <v>0</v>
      </c>
      <c r="J169" s="109">
        <v>1</v>
      </c>
      <c r="K169" s="110">
        <v>227</v>
      </c>
      <c r="L169" s="109">
        <v>731</v>
      </c>
      <c r="M169" s="109">
        <v>1</v>
      </c>
      <c r="N169" s="109">
        <v>0</v>
      </c>
      <c r="O169" s="111" t="s">
        <v>644</v>
      </c>
    </row>
    <row r="170" spans="1:16" s="108" customFormat="1">
      <c r="A170" s="109">
        <v>95002138</v>
      </c>
      <c r="B170" s="109">
        <v>1</v>
      </c>
      <c r="C170" s="109">
        <v>43100</v>
      </c>
      <c r="D170" s="109" t="s">
        <v>646</v>
      </c>
      <c r="E170" s="109">
        <v>245</v>
      </c>
      <c r="F170" s="109" t="s">
        <v>649</v>
      </c>
      <c r="G170" s="109">
        <v>0</v>
      </c>
      <c r="H170" s="109"/>
      <c r="I170" s="109">
        <v>0</v>
      </c>
      <c r="J170" s="109">
        <v>1</v>
      </c>
      <c r="K170" s="110">
        <v>228</v>
      </c>
      <c r="L170" s="109"/>
      <c r="M170" s="109">
        <v>1</v>
      </c>
      <c r="N170" s="109">
        <v>0</v>
      </c>
      <c r="O170" s="111" t="s">
        <v>644</v>
      </c>
    </row>
    <row r="171" spans="1:16">
      <c r="A171" s="106">
        <v>95002804</v>
      </c>
      <c r="B171" s="106">
        <v>1</v>
      </c>
      <c r="C171" s="106">
        <v>13400</v>
      </c>
      <c r="D171" s="106" t="s">
        <v>650</v>
      </c>
      <c r="E171" s="106">
        <v>22</v>
      </c>
      <c r="F171" s="106" t="s">
        <v>651</v>
      </c>
      <c r="G171" s="106">
        <v>0</v>
      </c>
      <c r="H171" s="106" t="s">
        <v>421</v>
      </c>
      <c r="I171" s="106">
        <v>0</v>
      </c>
      <c r="J171" s="106">
        <v>1</v>
      </c>
      <c r="K171" s="106">
        <v>117</v>
      </c>
      <c r="L171" s="106">
        <v>607</v>
      </c>
      <c r="M171" s="106">
        <v>0</v>
      </c>
      <c r="N171" s="106">
        <v>0</v>
      </c>
      <c r="O171" s="108"/>
    </row>
    <row r="172" spans="1:16">
      <c r="A172" s="106">
        <v>95002901</v>
      </c>
      <c r="B172" s="106">
        <v>1</v>
      </c>
      <c r="C172" s="106">
        <v>15600</v>
      </c>
      <c r="D172" s="106" t="s">
        <v>487</v>
      </c>
      <c r="E172" s="106">
        <v>27</v>
      </c>
      <c r="F172" s="106" t="s">
        <v>652</v>
      </c>
      <c r="G172" s="106">
        <v>0</v>
      </c>
      <c r="H172" s="106" t="s">
        <v>421</v>
      </c>
      <c r="I172" s="106">
        <v>4970</v>
      </c>
      <c r="J172" s="106">
        <v>1</v>
      </c>
      <c r="K172" s="106">
        <v>121</v>
      </c>
      <c r="L172" s="106">
        <v>611</v>
      </c>
      <c r="M172" s="106">
        <v>0</v>
      </c>
      <c r="N172" s="106">
        <v>0</v>
      </c>
      <c r="O172" s="108"/>
      <c r="P172" s="108"/>
    </row>
    <row r="173" spans="1:16">
      <c r="A173" s="106">
        <v>95002910</v>
      </c>
      <c r="B173" s="106">
        <v>1</v>
      </c>
      <c r="C173" s="106">
        <v>15600</v>
      </c>
      <c r="D173" s="106" t="s">
        <v>487</v>
      </c>
      <c r="E173" s="106">
        <v>28</v>
      </c>
      <c r="F173" s="106" t="s">
        <v>653</v>
      </c>
      <c r="G173" s="106">
        <v>0</v>
      </c>
      <c r="H173" s="106" t="s">
        <v>421</v>
      </c>
      <c r="I173" s="106">
        <v>4970</v>
      </c>
      <c r="J173" s="106">
        <v>1</v>
      </c>
      <c r="K173" s="106">
        <v>122</v>
      </c>
      <c r="L173" s="106">
        <v>612</v>
      </c>
      <c r="M173" s="106">
        <v>0</v>
      </c>
      <c r="N173" s="106">
        <v>0</v>
      </c>
      <c r="O173" s="108"/>
    </row>
    <row r="174" spans="1:16">
      <c r="A174" s="106">
        <v>95003002</v>
      </c>
      <c r="B174" s="106">
        <v>1</v>
      </c>
      <c r="C174" s="106">
        <v>70104</v>
      </c>
      <c r="D174" s="106" t="s">
        <v>654</v>
      </c>
      <c r="E174" s="106">
        <v>23</v>
      </c>
      <c r="F174" s="106" t="s">
        <v>655</v>
      </c>
      <c r="G174" s="106">
        <v>0</v>
      </c>
      <c r="H174" s="106" t="s">
        <v>421</v>
      </c>
      <c r="I174" s="106">
        <v>8553</v>
      </c>
      <c r="J174" s="106">
        <v>0</v>
      </c>
      <c r="K174" s="106">
        <v>46</v>
      </c>
      <c r="L174" s="106">
        <v>262</v>
      </c>
      <c r="M174" s="106">
        <v>0</v>
      </c>
      <c r="N174" s="106">
        <v>0</v>
      </c>
      <c r="O174" s="108"/>
    </row>
    <row r="175" spans="1:16">
      <c r="A175" s="106">
        <v>95003207</v>
      </c>
      <c r="B175" s="106">
        <v>1</v>
      </c>
      <c r="C175" s="106">
        <v>13101</v>
      </c>
      <c r="D175" s="106" t="s">
        <v>656</v>
      </c>
      <c r="E175" s="106">
        <v>24</v>
      </c>
      <c r="F175" s="106" t="s">
        <v>657</v>
      </c>
      <c r="G175" s="106">
        <v>0</v>
      </c>
      <c r="H175" s="106" t="s">
        <v>421</v>
      </c>
      <c r="I175" s="106">
        <v>4670</v>
      </c>
      <c r="J175" s="106">
        <v>0</v>
      </c>
      <c r="K175" s="106">
        <v>49</v>
      </c>
      <c r="L175" s="106">
        <v>265</v>
      </c>
      <c r="M175" s="106">
        <v>0</v>
      </c>
      <c r="N175" s="106">
        <v>0</v>
      </c>
      <c r="O175" s="108"/>
    </row>
    <row r="176" spans="1:16">
      <c r="A176" s="106">
        <v>95003509</v>
      </c>
      <c r="B176" s="106">
        <v>1</v>
      </c>
      <c r="C176" s="106">
        <v>15205</v>
      </c>
      <c r="D176" s="106" t="s">
        <v>658</v>
      </c>
      <c r="E176" s="106">
        <v>29</v>
      </c>
      <c r="F176" s="106" t="s">
        <v>659</v>
      </c>
      <c r="G176" s="106">
        <v>0</v>
      </c>
      <c r="H176" s="106" t="s">
        <v>421</v>
      </c>
      <c r="I176" s="106">
        <v>2437</v>
      </c>
      <c r="J176" s="106">
        <v>1</v>
      </c>
      <c r="K176" s="106">
        <v>0</v>
      </c>
      <c r="L176" s="106"/>
      <c r="M176" s="106">
        <v>0</v>
      </c>
      <c r="N176" s="106">
        <v>0</v>
      </c>
      <c r="O176" s="108"/>
    </row>
    <row r="177" spans="1:15">
      <c r="A177" s="106">
        <v>95004301</v>
      </c>
      <c r="B177" s="106">
        <v>1</v>
      </c>
      <c r="C177" s="106">
        <v>15200</v>
      </c>
      <c r="D177" s="106" t="s">
        <v>427</v>
      </c>
      <c r="E177" s="106">
        <v>25</v>
      </c>
      <c r="F177" s="106" t="s">
        <v>660</v>
      </c>
      <c r="G177" s="106">
        <v>0</v>
      </c>
      <c r="H177" s="106" t="s">
        <v>421</v>
      </c>
      <c r="I177" s="106">
        <v>6463</v>
      </c>
      <c r="J177" s="106">
        <v>0</v>
      </c>
      <c r="K177" s="106">
        <v>52</v>
      </c>
      <c r="L177" s="106">
        <v>268</v>
      </c>
      <c r="M177" s="106">
        <v>0</v>
      </c>
      <c r="N177" s="106">
        <v>0</v>
      </c>
      <c r="O177" s="108"/>
    </row>
    <row r="178" spans="1:15">
      <c r="A178" s="106">
        <v>95005501</v>
      </c>
      <c r="B178" s="106">
        <v>1</v>
      </c>
      <c r="C178" s="106">
        <v>15500</v>
      </c>
      <c r="D178" s="106" t="s">
        <v>419</v>
      </c>
      <c r="E178" s="106">
        <v>82</v>
      </c>
      <c r="F178" s="106" t="s">
        <v>661</v>
      </c>
      <c r="G178" s="106">
        <v>0</v>
      </c>
      <c r="H178" s="106" t="s">
        <v>421</v>
      </c>
      <c r="I178" s="106">
        <v>9999</v>
      </c>
      <c r="J178" s="106">
        <v>0</v>
      </c>
      <c r="K178" s="106">
        <v>50</v>
      </c>
      <c r="L178" s="106">
        <v>266</v>
      </c>
      <c r="M178" s="106">
        <v>0</v>
      </c>
      <c r="N178" s="106">
        <v>0</v>
      </c>
      <c r="O178" s="108"/>
    </row>
    <row r="179" spans="1:15">
      <c r="A179" s="106">
        <v>95009604</v>
      </c>
      <c r="B179" s="106">
        <v>1</v>
      </c>
      <c r="C179" s="106">
        <v>13300</v>
      </c>
      <c r="D179" s="106" t="s">
        <v>561</v>
      </c>
      <c r="E179" s="106">
        <v>290</v>
      </c>
      <c r="F179" s="106" t="s">
        <v>662</v>
      </c>
      <c r="G179" s="106">
        <v>0</v>
      </c>
      <c r="H179" s="106" t="s">
        <v>421</v>
      </c>
      <c r="I179" s="106">
        <v>8244</v>
      </c>
      <c r="J179" s="106">
        <v>1</v>
      </c>
      <c r="K179" s="106">
        <v>81</v>
      </c>
      <c r="L179" s="106">
        <v>296</v>
      </c>
      <c r="M179" s="106">
        <v>1</v>
      </c>
      <c r="N179" s="106">
        <v>0</v>
      </c>
      <c r="O179" s="108"/>
    </row>
    <row r="180" spans="1:15">
      <c r="A180" s="106">
        <v>95009612</v>
      </c>
      <c r="B180" s="106">
        <v>1</v>
      </c>
      <c r="C180" s="106">
        <v>51200</v>
      </c>
      <c r="D180" s="106" t="s">
        <v>557</v>
      </c>
      <c r="E180" s="106">
        <v>291</v>
      </c>
      <c r="F180" s="106" t="s">
        <v>663</v>
      </c>
      <c r="G180" s="106">
        <v>0</v>
      </c>
      <c r="H180" s="106" t="s">
        <v>424</v>
      </c>
      <c r="I180" s="106">
        <v>8245</v>
      </c>
      <c r="J180" s="106">
        <v>1</v>
      </c>
      <c r="K180" s="106">
        <v>82</v>
      </c>
      <c r="L180" s="106"/>
      <c r="M180" s="106">
        <v>1</v>
      </c>
      <c r="N180" s="106">
        <v>0</v>
      </c>
      <c r="O180" s="108"/>
    </row>
    <row r="181" spans="1:15">
      <c r="A181" s="106">
        <v>95010009</v>
      </c>
      <c r="B181" s="106">
        <v>0</v>
      </c>
      <c r="C181" s="106">
        <v>13100</v>
      </c>
      <c r="D181" s="106" t="s">
        <v>439</v>
      </c>
      <c r="E181" s="106">
        <v>404</v>
      </c>
      <c r="F181" s="106" t="s">
        <v>664</v>
      </c>
      <c r="G181" s="106">
        <v>0</v>
      </c>
      <c r="H181" s="106" t="s">
        <v>421</v>
      </c>
      <c r="I181" s="106">
        <v>1254</v>
      </c>
      <c r="J181" s="106">
        <v>1</v>
      </c>
      <c r="K181" s="106">
        <v>0</v>
      </c>
      <c r="L181" s="106"/>
      <c r="M181" s="106">
        <v>0</v>
      </c>
      <c r="N181" s="106">
        <v>0</v>
      </c>
      <c r="O181" s="108"/>
    </row>
    <row r="182" spans="1:15">
      <c r="A182" s="106">
        <v>95010017</v>
      </c>
      <c r="B182" s="106">
        <v>0</v>
      </c>
      <c r="C182" s="106">
        <v>10103</v>
      </c>
      <c r="D182" s="106" t="s">
        <v>523</v>
      </c>
      <c r="E182" s="106">
        <v>405</v>
      </c>
      <c r="F182" s="106" t="s">
        <v>665</v>
      </c>
      <c r="G182" s="106">
        <v>0</v>
      </c>
      <c r="H182" s="106" t="s">
        <v>421</v>
      </c>
      <c r="I182" s="106">
        <v>0</v>
      </c>
      <c r="J182" s="106">
        <v>1</v>
      </c>
      <c r="K182" s="106">
        <v>0</v>
      </c>
      <c r="L182" s="106"/>
      <c r="M182" s="106">
        <v>0</v>
      </c>
      <c r="N182" s="106">
        <v>0</v>
      </c>
      <c r="O182" s="108"/>
    </row>
    <row r="183" spans="1:15">
      <c r="A183" s="106">
        <v>95010025</v>
      </c>
      <c r="B183" s="106">
        <v>0</v>
      </c>
      <c r="C183" s="106">
        <v>13101</v>
      </c>
      <c r="D183" s="106" t="s">
        <v>656</v>
      </c>
      <c r="E183" s="106">
        <v>409</v>
      </c>
      <c r="F183" s="106" t="s">
        <v>666</v>
      </c>
      <c r="G183" s="106">
        <v>0</v>
      </c>
      <c r="H183" s="106" t="s">
        <v>421</v>
      </c>
      <c r="I183" s="106">
        <v>2992</v>
      </c>
      <c r="J183" s="106">
        <v>1</v>
      </c>
      <c r="K183" s="106">
        <v>0</v>
      </c>
      <c r="L183" s="106"/>
      <c r="M183" s="106">
        <v>0</v>
      </c>
      <c r="N183" s="106">
        <v>0</v>
      </c>
      <c r="O183" s="108"/>
    </row>
    <row r="184" spans="1:15">
      <c r="A184" s="106">
        <v>95010033</v>
      </c>
      <c r="B184" s="106">
        <v>0</v>
      </c>
      <c r="C184" s="106">
        <v>13101</v>
      </c>
      <c r="D184" s="106" t="s">
        <v>656</v>
      </c>
      <c r="E184" s="106">
        <v>410</v>
      </c>
      <c r="F184" s="106" t="s">
        <v>667</v>
      </c>
      <c r="G184" s="106">
        <v>0</v>
      </c>
      <c r="H184" s="106" t="s">
        <v>421</v>
      </c>
      <c r="I184" s="106">
        <v>318</v>
      </c>
      <c r="J184" s="106">
        <v>1</v>
      </c>
      <c r="K184" s="106">
        <v>0</v>
      </c>
      <c r="L184" s="106"/>
      <c r="M184" s="106">
        <v>0</v>
      </c>
      <c r="N184" s="106">
        <v>0</v>
      </c>
      <c r="O184" s="108"/>
    </row>
    <row r="185" spans="1:15">
      <c r="A185" s="106">
        <v>95010041</v>
      </c>
      <c r="B185" s="106">
        <v>0</v>
      </c>
      <c r="C185" s="106">
        <v>13101</v>
      </c>
      <c r="D185" s="106" t="s">
        <v>656</v>
      </c>
      <c r="E185" s="106">
        <v>411</v>
      </c>
      <c r="F185" s="106" t="s">
        <v>668</v>
      </c>
      <c r="G185" s="106">
        <v>0</v>
      </c>
      <c r="H185" s="106" t="s">
        <v>421</v>
      </c>
      <c r="I185" s="106">
        <v>4245</v>
      </c>
      <c r="J185" s="106">
        <v>1</v>
      </c>
      <c r="K185" s="106">
        <v>175</v>
      </c>
      <c r="L185" s="106">
        <v>561</v>
      </c>
      <c r="M185" s="106">
        <v>0</v>
      </c>
      <c r="N185" s="106">
        <v>0</v>
      </c>
      <c r="O185" s="108"/>
    </row>
    <row r="186" spans="1:15">
      <c r="A186" s="106">
        <v>95010050</v>
      </c>
      <c r="B186" s="106">
        <v>0</v>
      </c>
      <c r="C186" s="106">
        <v>13101</v>
      </c>
      <c r="D186" s="106" t="s">
        <v>656</v>
      </c>
      <c r="E186" s="106">
        <v>412</v>
      </c>
      <c r="F186" s="106" t="s">
        <v>669</v>
      </c>
      <c r="G186" s="106">
        <v>0</v>
      </c>
      <c r="H186" s="106" t="s">
        <v>421</v>
      </c>
      <c r="I186" s="106">
        <v>5322</v>
      </c>
      <c r="J186" s="106">
        <v>1</v>
      </c>
      <c r="K186" s="106">
        <v>176</v>
      </c>
      <c r="L186" s="106">
        <v>560</v>
      </c>
      <c r="M186" s="106">
        <v>0</v>
      </c>
      <c r="N186" s="106">
        <v>0</v>
      </c>
      <c r="O186" s="108"/>
    </row>
    <row r="187" spans="1:15">
      <c r="A187" s="106">
        <v>95010068</v>
      </c>
      <c r="B187" s="106">
        <v>0</v>
      </c>
      <c r="C187" s="106">
        <v>13101</v>
      </c>
      <c r="D187" s="106" t="s">
        <v>656</v>
      </c>
      <c r="E187" s="106">
        <v>413</v>
      </c>
      <c r="F187" s="106" t="s">
        <v>667</v>
      </c>
      <c r="G187" s="106">
        <v>0</v>
      </c>
      <c r="H187" s="106" t="s">
        <v>421</v>
      </c>
      <c r="I187" s="106">
        <v>4049</v>
      </c>
      <c r="J187" s="106">
        <v>1</v>
      </c>
      <c r="K187" s="106">
        <v>0</v>
      </c>
      <c r="L187" s="106"/>
      <c r="M187" s="106">
        <v>0</v>
      </c>
      <c r="N187" s="106">
        <v>0</v>
      </c>
      <c r="O187" s="108"/>
    </row>
    <row r="188" spans="1:15">
      <c r="A188" s="106">
        <v>95010076</v>
      </c>
      <c r="B188" s="106">
        <v>0</v>
      </c>
      <c r="C188" s="106">
        <v>13101</v>
      </c>
      <c r="D188" s="106" t="s">
        <v>656</v>
      </c>
      <c r="E188" s="106">
        <v>414</v>
      </c>
      <c r="F188" s="106" t="s">
        <v>667</v>
      </c>
      <c r="G188" s="106">
        <v>0</v>
      </c>
      <c r="H188" s="106" t="s">
        <v>421</v>
      </c>
      <c r="I188" s="106">
        <v>4370</v>
      </c>
      <c r="J188" s="106">
        <v>1</v>
      </c>
      <c r="K188" s="106">
        <v>0</v>
      </c>
      <c r="L188" s="106"/>
      <c r="M188" s="106">
        <v>0</v>
      </c>
      <c r="N188" s="106">
        <v>0</v>
      </c>
      <c r="O188" s="108"/>
    </row>
    <row r="189" spans="1:15">
      <c r="A189" s="106">
        <v>95010084</v>
      </c>
      <c r="B189" s="106">
        <v>0</v>
      </c>
      <c r="C189" s="106">
        <v>13101</v>
      </c>
      <c r="D189" s="106" t="s">
        <v>656</v>
      </c>
      <c r="E189" s="106">
        <v>415</v>
      </c>
      <c r="F189" s="106" t="s">
        <v>667</v>
      </c>
      <c r="G189" s="106">
        <v>0</v>
      </c>
      <c r="H189" s="106" t="s">
        <v>421</v>
      </c>
      <c r="I189" s="106">
        <v>322</v>
      </c>
      <c r="J189" s="106">
        <v>1</v>
      </c>
      <c r="K189" s="106">
        <v>0</v>
      </c>
      <c r="L189" s="106"/>
      <c r="M189" s="106">
        <v>0</v>
      </c>
      <c r="N189" s="106">
        <v>0</v>
      </c>
      <c r="O189" s="108"/>
    </row>
    <row r="190" spans="1:15">
      <c r="A190" s="106">
        <v>95010092</v>
      </c>
      <c r="B190" s="106">
        <v>0</v>
      </c>
      <c r="C190" s="106">
        <v>13101</v>
      </c>
      <c r="D190" s="106" t="s">
        <v>656</v>
      </c>
      <c r="E190" s="106">
        <v>416</v>
      </c>
      <c r="F190" s="106" t="s">
        <v>667</v>
      </c>
      <c r="G190" s="106">
        <v>0</v>
      </c>
      <c r="H190" s="106" t="s">
        <v>421</v>
      </c>
      <c r="I190" s="106">
        <v>73</v>
      </c>
      <c r="J190" s="106">
        <v>1</v>
      </c>
      <c r="K190" s="106">
        <v>0</v>
      </c>
      <c r="L190" s="106"/>
      <c r="M190" s="106">
        <v>0</v>
      </c>
      <c r="N190" s="106">
        <v>0</v>
      </c>
      <c r="O190" s="108"/>
    </row>
    <row r="191" spans="1:15">
      <c r="A191" s="106">
        <v>95010106</v>
      </c>
      <c r="B191" s="106">
        <v>0</v>
      </c>
      <c r="C191" s="106">
        <v>13101</v>
      </c>
      <c r="D191" s="106" t="s">
        <v>656</v>
      </c>
      <c r="E191" s="106">
        <v>417</v>
      </c>
      <c r="F191" s="106" t="s">
        <v>667</v>
      </c>
      <c r="G191" s="106">
        <v>0</v>
      </c>
      <c r="H191" s="106" t="s">
        <v>421</v>
      </c>
      <c r="I191" s="106">
        <v>2376</v>
      </c>
      <c r="J191" s="106">
        <v>1</v>
      </c>
      <c r="K191" s="106">
        <v>0</v>
      </c>
      <c r="L191" s="106"/>
      <c r="M191" s="106">
        <v>0</v>
      </c>
      <c r="N191" s="106">
        <v>0</v>
      </c>
      <c r="O191" s="108"/>
    </row>
    <row r="192" spans="1:15">
      <c r="A192" s="106">
        <v>95010114</v>
      </c>
      <c r="B192" s="106">
        <v>0</v>
      </c>
      <c r="C192" s="106">
        <v>13101</v>
      </c>
      <c r="D192" s="106" t="s">
        <v>656</v>
      </c>
      <c r="E192" s="106">
        <v>418</v>
      </c>
      <c r="F192" s="106" t="s">
        <v>667</v>
      </c>
      <c r="G192" s="106">
        <v>0</v>
      </c>
      <c r="H192" s="106" t="s">
        <v>421</v>
      </c>
      <c r="I192" s="106">
        <v>1570</v>
      </c>
      <c r="J192" s="106">
        <v>1</v>
      </c>
      <c r="K192" s="106">
        <v>0</v>
      </c>
      <c r="L192" s="106"/>
      <c r="M192" s="106">
        <v>0</v>
      </c>
      <c r="N192" s="106">
        <v>0</v>
      </c>
      <c r="O192" s="108"/>
    </row>
    <row r="193" spans="1:15" s="108" customFormat="1">
      <c r="A193" s="106">
        <v>95010122</v>
      </c>
      <c r="B193" s="106">
        <v>0</v>
      </c>
      <c r="C193" s="106">
        <v>13101</v>
      </c>
      <c r="D193" s="106" t="s">
        <v>656</v>
      </c>
      <c r="E193" s="106">
        <v>419</v>
      </c>
      <c r="F193" s="106" t="s">
        <v>667</v>
      </c>
      <c r="G193" s="106">
        <v>0</v>
      </c>
      <c r="H193" s="106" t="s">
        <v>421</v>
      </c>
      <c r="I193" s="106">
        <v>283</v>
      </c>
      <c r="J193" s="106">
        <v>1</v>
      </c>
      <c r="K193" s="106">
        <v>185</v>
      </c>
      <c r="L193" s="106">
        <v>567</v>
      </c>
      <c r="M193" s="106">
        <v>0</v>
      </c>
      <c r="N193" s="106">
        <v>0</v>
      </c>
    </row>
    <row r="194" spans="1:15">
      <c r="A194" s="106">
        <v>95010131</v>
      </c>
      <c r="B194" s="106">
        <v>0</v>
      </c>
      <c r="C194" s="106">
        <v>13101</v>
      </c>
      <c r="D194" s="106" t="s">
        <v>656</v>
      </c>
      <c r="E194" s="106">
        <v>420</v>
      </c>
      <c r="F194" s="106" t="s">
        <v>670</v>
      </c>
      <c r="G194" s="106">
        <v>0</v>
      </c>
      <c r="H194" s="106" t="s">
        <v>421</v>
      </c>
      <c r="I194" s="106">
        <v>1520</v>
      </c>
      <c r="J194" s="106">
        <v>1</v>
      </c>
      <c r="K194" s="106">
        <v>0</v>
      </c>
      <c r="L194" s="106"/>
      <c r="M194" s="106">
        <v>0</v>
      </c>
      <c r="N194" s="106">
        <v>0</v>
      </c>
      <c r="O194" s="108"/>
    </row>
    <row r="195" spans="1:15" s="108" customFormat="1">
      <c r="A195" s="106">
        <v>95010149</v>
      </c>
      <c r="B195" s="106">
        <v>0</v>
      </c>
      <c r="C195" s="106">
        <v>13101</v>
      </c>
      <c r="D195" s="106" t="s">
        <v>656</v>
      </c>
      <c r="E195" s="106">
        <v>421</v>
      </c>
      <c r="F195" s="106" t="s">
        <v>667</v>
      </c>
      <c r="G195" s="106">
        <v>0</v>
      </c>
      <c r="H195" s="106" t="s">
        <v>421</v>
      </c>
      <c r="I195" s="106">
        <v>5201</v>
      </c>
      <c r="J195" s="106">
        <v>1</v>
      </c>
      <c r="K195" s="106">
        <v>189</v>
      </c>
      <c r="L195" s="106">
        <v>569</v>
      </c>
      <c r="M195" s="106">
        <v>0</v>
      </c>
      <c r="N195" s="106">
        <v>0</v>
      </c>
    </row>
    <row r="196" spans="1:15">
      <c r="A196" s="106">
        <v>95010157</v>
      </c>
      <c r="B196" s="106">
        <v>0</v>
      </c>
      <c r="C196" s="106">
        <v>13101</v>
      </c>
      <c r="D196" s="106" t="s">
        <v>656</v>
      </c>
      <c r="E196" s="106">
        <v>422</v>
      </c>
      <c r="F196" s="106" t="s">
        <v>667</v>
      </c>
      <c r="G196" s="106">
        <v>0</v>
      </c>
      <c r="H196" s="106" t="s">
        <v>421</v>
      </c>
      <c r="I196" s="106">
        <v>336</v>
      </c>
      <c r="J196" s="106">
        <v>1</v>
      </c>
      <c r="K196" s="106">
        <v>0</v>
      </c>
      <c r="L196" s="106"/>
      <c r="M196" s="106">
        <v>0</v>
      </c>
      <c r="N196" s="106">
        <v>0</v>
      </c>
      <c r="O196" s="108"/>
    </row>
    <row r="197" spans="1:15">
      <c r="A197" s="106">
        <v>95010165</v>
      </c>
      <c r="B197" s="106">
        <v>0</v>
      </c>
      <c r="C197" s="106">
        <v>13101</v>
      </c>
      <c r="D197" s="106" t="s">
        <v>656</v>
      </c>
      <c r="E197" s="106">
        <v>423</v>
      </c>
      <c r="F197" s="106" t="s">
        <v>667</v>
      </c>
      <c r="G197" s="106">
        <v>0</v>
      </c>
      <c r="H197" s="106" t="s">
        <v>421</v>
      </c>
      <c r="I197" s="106">
        <v>5144</v>
      </c>
      <c r="J197" s="106">
        <v>1</v>
      </c>
      <c r="K197" s="106">
        <v>0</v>
      </c>
      <c r="L197" s="106"/>
      <c r="M197" s="106">
        <v>0</v>
      </c>
      <c r="N197" s="106">
        <v>0</v>
      </c>
      <c r="O197" s="108"/>
    </row>
    <row r="198" spans="1:15" s="108" customFormat="1">
      <c r="A198" s="106">
        <v>95010173</v>
      </c>
      <c r="B198" s="106">
        <v>0</v>
      </c>
      <c r="C198" s="106">
        <v>13101</v>
      </c>
      <c r="D198" s="106" t="s">
        <v>656</v>
      </c>
      <c r="E198" s="106">
        <v>424</v>
      </c>
      <c r="F198" s="106" t="s">
        <v>667</v>
      </c>
      <c r="G198" s="106">
        <v>0</v>
      </c>
      <c r="H198" s="106" t="s">
        <v>421</v>
      </c>
      <c r="I198" s="106">
        <v>4352</v>
      </c>
      <c r="J198" s="106">
        <v>1</v>
      </c>
      <c r="K198" s="106">
        <v>187</v>
      </c>
      <c r="L198" s="106">
        <v>568</v>
      </c>
      <c r="M198" s="106">
        <v>0</v>
      </c>
      <c r="N198" s="106">
        <v>0</v>
      </c>
    </row>
    <row r="199" spans="1:15">
      <c r="A199" s="106">
        <v>95010181</v>
      </c>
      <c r="B199" s="106">
        <v>0</v>
      </c>
      <c r="C199" s="106">
        <v>13101</v>
      </c>
      <c r="D199" s="106" t="s">
        <v>656</v>
      </c>
      <c r="E199" s="106">
        <v>425</v>
      </c>
      <c r="F199" s="106" t="s">
        <v>667</v>
      </c>
      <c r="G199" s="106">
        <v>0</v>
      </c>
      <c r="H199" s="106" t="s">
        <v>421</v>
      </c>
      <c r="I199" s="106">
        <v>6061</v>
      </c>
      <c r="J199" s="106">
        <v>1</v>
      </c>
      <c r="K199" s="106">
        <v>0</v>
      </c>
      <c r="L199" s="106"/>
      <c r="M199" s="106">
        <v>0</v>
      </c>
      <c r="N199" s="106">
        <v>0</v>
      </c>
      <c r="O199" s="108"/>
    </row>
    <row r="200" spans="1:15">
      <c r="A200" s="106">
        <v>95010190</v>
      </c>
      <c r="B200" s="106">
        <v>0</v>
      </c>
      <c r="C200" s="106">
        <v>13101</v>
      </c>
      <c r="D200" s="106" t="s">
        <v>656</v>
      </c>
      <c r="E200" s="106">
        <v>426</v>
      </c>
      <c r="F200" s="106" t="s">
        <v>667</v>
      </c>
      <c r="G200" s="106">
        <v>0</v>
      </c>
      <c r="H200" s="106" t="s">
        <v>421</v>
      </c>
      <c r="I200" s="106">
        <v>3190</v>
      </c>
      <c r="J200" s="106">
        <v>1</v>
      </c>
      <c r="K200" s="106">
        <v>0</v>
      </c>
      <c r="L200" s="106"/>
      <c r="M200" s="106">
        <v>0</v>
      </c>
      <c r="N200" s="106">
        <v>0</v>
      </c>
      <c r="O200" s="108"/>
    </row>
    <row r="201" spans="1:15">
      <c r="A201" s="106">
        <v>95010203</v>
      </c>
      <c r="B201" s="106">
        <v>0</v>
      </c>
      <c r="C201" s="106">
        <v>13101</v>
      </c>
      <c r="D201" s="106" t="s">
        <v>656</v>
      </c>
      <c r="E201" s="106">
        <v>427</v>
      </c>
      <c r="F201" s="106" t="s">
        <v>667</v>
      </c>
      <c r="G201" s="106">
        <v>0</v>
      </c>
      <c r="H201" s="106" t="s">
        <v>421</v>
      </c>
      <c r="I201" s="106">
        <v>3097</v>
      </c>
      <c r="J201" s="106">
        <v>1</v>
      </c>
      <c r="K201" s="106">
        <v>0</v>
      </c>
      <c r="L201" s="106"/>
      <c r="M201" s="106">
        <v>0</v>
      </c>
      <c r="N201" s="106">
        <v>0</v>
      </c>
      <c r="O201" s="108"/>
    </row>
    <row r="202" spans="1:15">
      <c r="A202" s="106">
        <v>95010211</v>
      </c>
      <c r="B202" s="106">
        <v>0</v>
      </c>
      <c r="C202" s="106">
        <v>13101</v>
      </c>
      <c r="D202" s="106" t="s">
        <v>656</v>
      </c>
      <c r="E202" s="106">
        <v>428</v>
      </c>
      <c r="F202" s="106" t="s">
        <v>667</v>
      </c>
      <c r="G202" s="106">
        <v>0</v>
      </c>
      <c r="H202" s="106" t="s">
        <v>421</v>
      </c>
      <c r="I202" s="106">
        <v>2867</v>
      </c>
      <c r="J202" s="106">
        <v>1</v>
      </c>
      <c r="K202" s="106">
        <v>192</v>
      </c>
      <c r="L202" s="106">
        <v>572</v>
      </c>
      <c r="M202" s="106">
        <v>0</v>
      </c>
      <c r="N202" s="106">
        <v>0</v>
      </c>
      <c r="O202" s="108"/>
    </row>
    <row r="203" spans="1:15">
      <c r="A203" s="106">
        <v>95010220</v>
      </c>
      <c r="B203" s="106">
        <v>0</v>
      </c>
      <c r="C203" s="106">
        <v>13101</v>
      </c>
      <c r="D203" s="106" t="s">
        <v>656</v>
      </c>
      <c r="E203" s="106">
        <v>429</v>
      </c>
      <c r="F203" s="106" t="s">
        <v>670</v>
      </c>
      <c r="G203" s="106">
        <v>0</v>
      </c>
      <c r="H203" s="106" t="s">
        <v>421</v>
      </c>
      <c r="I203" s="106">
        <v>1847</v>
      </c>
      <c r="J203" s="106">
        <v>1</v>
      </c>
      <c r="K203" s="106">
        <v>164</v>
      </c>
      <c r="L203" s="106">
        <v>557</v>
      </c>
      <c r="M203" s="106">
        <v>0</v>
      </c>
      <c r="N203" s="106">
        <v>0</v>
      </c>
      <c r="O203" s="108"/>
    </row>
    <row r="204" spans="1:15">
      <c r="A204" s="106">
        <v>95010238</v>
      </c>
      <c r="B204" s="106">
        <v>0</v>
      </c>
      <c r="C204" s="106">
        <v>13101</v>
      </c>
      <c r="D204" s="106" t="s">
        <v>656</v>
      </c>
      <c r="E204" s="106">
        <v>430</v>
      </c>
      <c r="F204" s="106" t="s">
        <v>667</v>
      </c>
      <c r="G204" s="106">
        <v>0</v>
      </c>
      <c r="H204" s="106" t="s">
        <v>421</v>
      </c>
      <c r="I204" s="106">
        <v>354</v>
      </c>
      <c r="J204" s="106">
        <v>1</v>
      </c>
      <c r="K204" s="106">
        <v>0</v>
      </c>
      <c r="L204" s="106"/>
      <c r="M204" s="106">
        <v>0</v>
      </c>
      <c r="N204" s="106">
        <v>0</v>
      </c>
      <c r="O204" s="108"/>
    </row>
    <row r="205" spans="1:15">
      <c r="A205" s="106">
        <v>95010246</v>
      </c>
      <c r="B205" s="106">
        <v>0</v>
      </c>
      <c r="C205" s="106">
        <v>13101</v>
      </c>
      <c r="D205" s="106" t="s">
        <v>656</v>
      </c>
      <c r="E205" s="106">
        <v>431</v>
      </c>
      <c r="F205" s="106" t="s">
        <v>667</v>
      </c>
      <c r="G205" s="106">
        <v>0</v>
      </c>
      <c r="H205" s="106" t="s">
        <v>421</v>
      </c>
      <c r="I205" s="106">
        <v>2077</v>
      </c>
      <c r="J205" s="106">
        <v>1</v>
      </c>
      <c r="K205" s="106">
        <v>191</v>
      </c>
      <c r="L205" s="106">
        <v>571</v>
      </c>
      <c r="M205" s="106">
        <v>0</v>
      </c>
      <c r="N205" s="106">
        <v>0</v>
      </c>
      <c r="O205" s="108"/>
    </row>
    <row r="206" spans="1:15">
      <c r="A206" s="106">
        <v>95010254</v>
      </c>
      <c r="B206" s="106">
        <v>0</v>
      </c>
      <c r="C206" s="106">
        <v>13101</v>
      </c>
      <c r="D206" s="106" t="s">
        <v>656</v>
      </c>
      <c r="E206" s="106">
        <v>432</v>
      </c>
      <c r="F206" s="106" t="s">
        <v>667</v>
      </c>
      <c r="G206" s="106">
        <v>0</v>
      </c>
      <c r="H206" s="106" t="s">
        <v>421</v>
      </c>
      <c r="I206" s="106">
        <v>340</v>
      </c>
      <c r="J206" s="106">
        <v>1</v>
      </c>
      <c r="K206" s="106">
        <v>0</v>
      </c>
      <c r="L206" s="106"/>
      <c r="M206" s="106">
        <v>0</v>
      </c>
      <c r="N206" s="106">
        <v>0</v>
      </c>
      <c r="O206" s="108"/>
    </row>
    <row r="207" spans="1:15">
      <c r="A207" s="106">
        <v>95010262</v>
      </c>
      <c r="B207" s="106">
        <v>0</v>
      </c>
      <c r="C207" s="106">
        <v>13101</v>
      </c>
      <c r="D207" s="106" t="s">
        <v>656</v>
      </c>
      <c r="E207" s="106">
        <v>433</v>
      </c>
      <c r="F207" s="106" t="s">
        <v>670</v>
      </c>
      <c r="G207" s="106">
        <v>0</v>
      </c>
      <c r="H207" s="106" t="s">
        <v>421</v>
      </c>
      <c r="I207" s="106">
        <v>724</v>
      </c>
      <c r="J207" s="106">
        <v>1</v>
      </c>
      <c r="K207" s="106">
        <v>0</v>
      </c>
      <c r="L207" s="106"/>
      <c r="M207" s="106">
        <v>0</v>
      </c>
      <c r="N207" s="106">
        <v>0</v>
      </c>
      <c r="O207" s="108"/>
    </row>
    <row r="208" spans="1:15">
      <c r="A208" s="106">
        <v>95010271</v>
      </c>
      <c r="B208" s="106">
        <v>0</v>
      </c>
      <c r="C208" s="106">
        <v>43100</v>
      </c>
      <c r="D208" s="106" t="s">
        <v>671</v>
      </c>
      <c r="E208" s="106">
        <v>434</v>
      </c>
      <c r="F208" s="106" t="s">
        <v>672</v>
      </c>
      <c r="G208" s="106">
        <v>0</v>
      </c>
      <c r="H208" s="106" t="s">
        <v>421</v>
      </c>
      <c r="I208" s="106">
        <v>4970</v>
      </c>
      <c r="J208" s="106">
        <v>1</v>
      </c>
      <c r="K208" s="106">
        <v>107</v>
      </c>
      <c r="L208" s="106">
        <v>512</v>
      </c>
      <c r="M208" s="106">
        <v>0</v>
      </c>
      <c r="N208" s="106">
        <v>0</v>
      </c>
      <c r="O208" s="108"/>
    </row>
    <row r="209" spans="1:18">
      <c r="A209" s="106">
        <v>95010289</v>
      </c>
      <c r="B209" s="106">
        <v>0</v>
      </c>
      <c r="C209" s="106">
        <v>43100</v>
      </c>
      <c r="D209" s="106" t="s">
        <v>671</v>
      </c>
      <c r="E209" s="106">
        <v>435</v>
      </c>
      <c r="F209" s="106" t="s">
        <v>673</v>
      </c>
      <c r="G209" s="106">
        <v>0</v>
      </c>
      <c r="H209" s="106" t="s">
        <v>421</v>
      </c>
      <c r="I209" s="106">
        <v>4970</v>
      </c>
      <c r="J209" s="106">
        <v>1</v>
      </c>
      <c r="K209" s="106">
        <v>108</v>
      </c>
      <c r="L209" s="106">
        <v>513</v>
      </c>
      <c r="M209" s="106">
        <v>0</v>
      </c>
      <c r="N209" s="106">
        <v>0</v>
      </c>
      <c r="O209" s="108"/>
    </row>
    <row r="210" spans="1:18">
      <c r="A210" s="106">
        <v>95010297</v>
      </c>
      <c r="B210" s="106">
        <v>0</v>
      </c>
      <c r="C210" s="106">
        <v>43100</v>
      </c>
      <c r="D210" s="106" t="s">
        <v>671</v>
      </c>
      <c r="E210" s="106">
        <v>436</v>
      </c>
      <c r="F210" s="106" t="s">
        <v>674</v>
      </c>
      <c r="G210" s="106">
        <v>0</v>
      </c>
      <c r="H210" s="106" t="s">
        <v>421</v>
      </c>
      <c r="I210" s="106">
        <v>4970</v>
      </c>
      <c r="J210" s="106">
        <v>1</v>
      </c>
      <c r="K210" s="106">
        <v>109</v>
      </c>
      <c r="L210" s="106">
        <v>514</v>
      </c>
      <c r="M210" s="106">
        <v>0</v>
      </c>
      <c r="N210" s="106">
        <v>0</v>
      </c>
      <c r="O210" s="108"/>
    </row>
    <row r="211" spans="1:18">
      <c r="A211" s="106">
        <v>95010301</v>
      </c>
      <c r="B211" s="106">
        <v>0</v>
      </c>
      <c r="C211" s="106">
        <v>43100</v>
      </c>
      <c r="D211" s="106" t="s">
        <v>671</v>
      </c>
      <c r="E211" s="106">
        <v>437</v>
      </c>
      <c r="F211" s="106" t="s">
        <v>675</v>
      </c>
      <c r="G211" s="106">
        <v>0</v>
      </c>
      <c r="H211" s="106" t="s">
        <v>421</v>
      </c>
      <c r="I211" s="106">
        <v>4970</v>
      </c>
      <c r="J211" s="106">
        <v>1</v>
      </c>
      <c r="K211" s="106">
        <v>110</v>
      </c>
      <c r="L211" s="106">
        <v>515</v>
      </c>
      <c r="M211" s="106">
        <v>0</v>
      </c>
      <c r="N211" s="106">
        <v>0</v>
      </c>
      <c r="O211" s="108"/>
    </row>
    <row r="212" spans="1:18">
      <c r="A212" s="106">
        <v>95010319</v>
      </c>
      <c r="B212" s="106">
        <v>0</v>
      </c>
      <c r="C212" s="106">
        <v>72200</v>
      </c>
      <c r="D212" s="106" t="s">
        <v>530</v>
      </c>
      <c r="E212" s="106">
        <v>438</v>
      </c>
      <c r="F212" s="106" t="s">
        <v>676</v>
      </c>
      <c r="G212" s="106">
        <v>0</v>
      </c>
      <c r="H212" s="106" t="s">
        <v>421</v>
      </c>
      <c r="I212" s="106">
        <v>4458</v>
      </c>
      <c r="J212" s="106">
        <v>1</v>
      </c>
      <c r="K212" s="106">
        <v>0</v>
      </c>
      <c r="L212" s="106"/>
      <c r="M212" s="106">
        <v>0</v>
      </c>
      <c r="N212" s="106">
        <v>0</v>
      </c>
      <c r="O212" s="108"/>
    </row>
    <row r="213" spans="1:18">
      <c r="A213" s="106">
        <v>95010327</v>
      </c>
      <c r="B213" s="106">
        <v>0</v>
      </c>
      <c r="C213" s="106">
        <v>75600</v>
      </c>
      <c r="D213" s="106" t="s">
        <v>677</v>
      </c>
      <c r="E213" s="106">
        <v>439</v>
      </c>
      <c r="F213" s="106" t="s">
        <v>678</v>
      </c>
      <c r="G213" s="106">
        <v>0</v>
      </c>
      <c r="H213" s="106" t="s">
        <v>421</v>
      </c>
      <c r="I213" s="106">
        <v>0</v>
      </c>
      <c r="J213" s="106">
        <v>1</v>
      </c>
      <c r="K213" s="106">
        <v>0</v>
      </c>
      <c r="L213" s="106"/>
      <c r="M213" s="106">
        <v>0</v>
      </c>
      <c r="N213" s="106">
        <v>0</v>
      </c>
      <c r="O213" s="108"/>
    </row>
    <row r="214" spans="1:18">
      <c r="A214" s="106">
        <v>95010335</v>
      </c>
      <c r="B214" s="106">
        <v>0</v>
      </c>
      <c r="C214" s="106">
        <v>75700</v>
      </c>
      <c r="D214" s="106" t="s">
        <v>679</v>
      </c>
      <c r="E214" s="106">
        <v>440</v>
      </c>
      <c r="F214" s="106" t="s">
        <v>680</v>
      </c>
      <c r="G214" s="106">
        <v>0</v>
      </c>
      <c r="H214" s="106" t="s">
        <v>421</v>
      </c>
      <c r="I214" s="106">
        <v>0</v>
      </c>
      <c r="J214" s="106">
        <v>1</v>
      </c>
      <c r="K214" s="106">
        <v>0</v>
      </c>
      <c r="L214" s="106"/>
      <c r="M214" s="106">
        <v>0</v>
      </c>
      <c r="N214" s="106">
        <v>0</v>
      </c>
      <c r="O214" s="108"/>
    </row>
    <row r="215" spans="1:18">
      <c r="A215" s="106">
        <v>95010343</v>
      </c>
      <c r="B215" s="106">
        <v>0</v>
      </c>
      <c r="C215" s="106">
        <v>72200</v>
      </c>
      <c r="D215" s="106" t="s">
        <v>530</v>
      </c>
      <c r="E215" s="106">
        <v>441</v>
      </c>
      <c r="F215" s="106" t="s">
        <v>681</v>
      </c>
      <c r="G215" s="106">
        <v>0</v>
      </c>
      <c r="H215" s="106" t="s">
        <v>421</v>
      </c>
      <c r="I215" s="106">
        <v>4458</v>
      </c>
      <c r="J215" s="106">
        <v>1</v>
      </c>
      <c r="K215" s="106">
        <v>165</v>
      </c>
      <c r="L215" s="106">
        <v>558</v>
      </c>
      <c r="M215" s="106">
        <v>0</v>
      </c>
      <c r="N215" s="106">
        <v>0</v>
      </c>
      <c r="O215" s="108"/>
    </row>
    <row r="216" spans="1:18">
      <c r="A216" s="106">
        <v>95010351</v>
      </c>
      <c r="B216" s="106">
        <v>0</v>
      </c>
      <c r="C216" s="106">
        <v>76601</v>
      </c>
      <c r="D216" s="106" t="s">
        <v>472</v>
      </c>
      <c r="E216" s="106">
        <v>442</v>
      </c>
      <c r="F216" s="106" t="s">
        <v>682</v>
      </c>
      <c r="G216" s="106">
        <v>0</v>
      </c>
      <c r="H216" s="106" t="s">
        <v>421</v>
      </c>
      <c r="I216" s="106">
        <v>0</v>
      </c>
      <c r="J216" s="106">
        <v>1</v>
      </c>
      <c r="K216" s="106">
        <v>100</v>
      </c>
      <c r="L216" s="106">
        <v>505</v>
      </c>
      <c r="M216" s="106">
        <v>0</v>
      </c>
      <c r="N216" s="106">
        <v>0</v>
      </c>
      <c r="O216" s="108"/>
    </row>
    <row r="217" spans="1:18">
      <c r="A217" s="106">
        <v>95010360</v>
      </c>
      <c r="B217" s="106">
        <v>0</v>
      </c>
      <c r="C217" s="106">
        <v>76601</v>
      </c>
      <c r="D217" s="106" t="s">
        <v>472</v>
      </c>
      <c r="E217" s="106">
        <v>443</v>
      </c>
      <c r="F217" s="106" t="s">
        <v>683</v>
      </c>
      <c r="G217" s="106">
        <v>0</v>
      </c>
      <c r="H217" s="106" t="s">
        <v>421</v>
      </c>
      <c r="I217" s="106">
        <v>0</v>
      </c>
      <c r="J217" s="106">
        <v>1</v>
      </c>
      <c r="K217" s="106">
        <v>162</v>
      </c>
      <c r="L217" s="106">
        <v>556</v>
      </c>
      <c r="M217" s="106">
        <v>0</v>
      </c>
      <c r="N217" s="106">
        <v>0</v>
      </c>
      <c r="O217" s="108"/>
    </row>
    <row r="218" spans="1:18">
      <c r="A218" s="106">
        <v>95010386</v>
      </c>
      <c r="B218" s="106">
        <v>0</v>
      </c>
      <c r="C218" s="106">
        <v>15200</v>
      </c>
      <c r="D218" s="106" t="s">
        <v>427</v>
      </c>
      <c r="E218" s="106">
        <v>445</v>
      </c>
      <c r="F218" s="106" t="s">
        <v>684</v>
      </c>
      <c r="G218" s="106">
        <v>0</v>
      </c>
      <c r="H218" s="106" t="s">
        <v>421</v>
      </c>
      <c r="I218" s="106">
        <v>2071</v>
      </c>
      <c r="J218" s="106">
        <v>1</v>
      </c>
      <c r="K218" s="106">
        <v>180</v>
      </c>
      <c r="L218" s="106">
        <v>563</v>
      </c>
      <c r="M218" s="106">
        <v>0</v>
      </c>
      <c r="N218" s="106">
        <v>0</v>
      </c>
      <c r="O218" s="108"/>
    </row>
    <row r="219" spans="1:18">
      <c r="A219" s="106">
        <v>95010408</v>
      </c>
      <c r="B219" s="106">
        <v>0</v>
      </c>
      <c r="C219" s="106">
        <v>75900</v>
      </c>
      <c r="D219" s="106" t="s">
        <v>685</v>
      </c>
      <c r="E219" s="106">
        <v>400</v>
      </c>
      <c r="F219" s="106" t="s">
        <v>686</v>
      </c>
      <c r="G219" s="106">
        <v>0</v>
      </c>
      <c r="H219" s="106" t="s">
        <v>424</v>
      </c>
      <c r="I219" s="106">
        <v>0</v>
      </c>
      <c r="J219" s="106">
        <v>1</v>
      </c>
      <c r="K219" s="106">
        <v>98</v>
      </c>
      <c r="L219" s="106">
        <v>503</v>
      </c>
      <c r="M219" s="106">
        <v>0</v>
      </c>
      <c r="N219" s="106">
        <v>0</v>
      </c>
      <c r="O219" s="108"/>
    </row>
    <row r="220" spans="1:18">
      <c r="A220" s="106">
        <v>95010424</v>
      </c>
      <c r="B220" s="106">
        <v>0</v>
      </c>
      <c r="C220" s="106">
        <v>76400</v>
      </c>
      <c r="D220" s="106" t="s">
        <v>687</v>
      </c>
      <c r="E220" s="106">
        <v>448</v>
      </c>
      <c r="F220" s="106" t="s">
        <v>688</v>
      </c>
      <c r="G220" s="106">
        <v>0</v>
      </c>
      <c r="H220" s="106" t="s">
        <v>421</v>
      </c>
      <c r="I220" s="106">
        <v>0</v>
      </c>
      <c r="J220" s="106">
        <v>1</v>
      </c>
      <c r="K220" s="106">
        <v>181</v>
      </c>
      <c r="L220" s="106">
        <v>564</v>
      </c>
      <c r="M220" s="106">
        <v>0</v>
      </c>
      <c r="N220" s="106">
        <v>0</v>
      </c>
      <c r="O220" s="108"/>
    </row>
    <row r="221" spans="1:18">
      <c r="A221" s="106">
        <v>95010432</v>
      </c>
      <c r="B221" s="106">
        <v>0</v>
      </c>
      <c r="C221" s="106">
        <v>73600</v>
      </c>
      <c r="D221" s="106" t="s">
        <v>496</v>
      </c>
      <c r="E221" s="106">
        <v>449</v>
      </c>
      <c r="F221" s="106" t="s">
        <v>689</v>
      </c>
      <c r="G221" s="106">
        <v>0</v>
      </c>
      <c r="H221" s="106" t="s">
        <v>421</v>
      </c>
      <c r="I221" s="106">
        <v>0</v>
      </c>
      <c r="J221" s="106">
        <v>1</v>
      </c>
      <c r="K221" s="112">
        <v>231</v>
      </c>
      <c r="L221" s="106">
        <v>573</v>
      </c>
      <c r="M221" s="106">
        <v>0</v>
      </c>
      <c r="N221" s="106">
        <v>0</v>
      </c>
      <c r="O221" s="108" t="s">
        <v>438</v>
      </c>
      <c r="R221" s="113" t="s">
        <v>690</v>
      </c>
    </row>
    <row r="222" spans="1:18">
      <c r="A222" s="106">
        <v>95010441</v>
      </c>
      <c r="B222" s="106">
        <v>0</v>
      </c>
      <c r="C222" s="106">
        <v>83000</v>
      </c>
      <c r="D222" s="106" t="s">
        <v>691</v>
      </c>
      <c r="E222" s="106">
        <v>450</v>
      </c>
      <c r="F222" s="106" t="s">
        <v>692</v>
      </c>
      <c r="G222" s="106">
        <v>0</v>
      </c>
      <c r="H222" s="106" t="s">
        <v>421</v>
      </c>
      <c r="I222" s="106">
        <v>4970</v>
      </c>
      <c r="J222" s="106">
        <v>1</v>
      </c>
      <c r="K222" s="106">
        <v>111</v>
      </c>
      <c r="L222" s="106">
        <v>516</v>
      </c>
      <c r="M222" s="106">
        <v>0</v>
      </c>
      <c r="N222" s="106">
        <v>0</v>
      </c>
      <c r="O222" s="108"/>
    </row>
    <row r="223" spans="1:18">
      <c r="A223" s="106">
        <v>95010467</v>
      </c>
      <c r="B223" s="106">
        <v>0</v>
      </c>
      <c r="C223" s="106">
        <v>43005</v>
      </c>
      <c r="D223" s="106" t="s">
        <v>520</v>
      </c>
      <c r="E223" s="106">
        <v>451</v>
      </c>
      <c r="F223" s="106" t="s">
        <v>693</v>
      </c>
      <c r="G223" s="106">
        <v>0</v>
      </c>
      <c r="H223" s="106" t="s">
        <v>421</v>
      </c>
      <c r="I223" s="106">
        <v>7718</v>
      </c>
      <c r="J223" s="106">
        <v>1</v>
      </c>
      <c r="K223" s="106">
        <v>102</v>
      </c>
      <c r="L223" s="106">
        <v>507</v>
      </c>
      <c r="M223" s="106">
        <v>0</v>
      </c>
      <c r="N223" s="106">
        <v>0</v>
      </c>
      <c r="O223" s="108"/>
    </row>
    <row r="224" spans="1:18">
      <c r="A224" s="106">
        <v>95010475</v>
      </c>
      <c r="B224" s="106">
        <v>0</v>
      </c>
      <c r="C224" s="106">
        <v>43005</v>
      </c>
      <c r="D224" s="106" t="s">
        <v>520</v>
      </c>
      <c r="E224" s="106">
        <v>452</v>
      </c>
      <c r="F224" s="106" t="s">
        <v>694</v>
      </c>
      <c r="G224" s="106">
        <v>0</v>
      </c>
      <c r="H224" s="106" t="s">
        <v>421</v>
      </c>
      <c r="I224" s="106">
        <v>7713</v>
      </c>
      <c r="J224" s="106">
        <v>1</v>
      </c>
      <c r="K224" s="106">
        <v>103</v>
      </c>
      <c r="L224" s="106">
        <v>508</v>
      </c>
      <c r="M224" s="106">
        <v>0</v>
      </c>
      <c r="N224" s="106">
        <v>0</v>
      </c>
      <c r="O224" s="108"/>
    </row>
    <row r="225" spans="1:15">
      <c r="A225" s="106">
        <v>95010483</v>
      </c>
      <c r="B225" s="106">
        <v>0</v>
      </c>
      <c r="C225" s="106">
        <v>73300</v>
      </c>
      <c r="D225" s="106" t="s">
        <v>527</v>
      </c>
      <c r="E225" s="106">
        <v>453</v>
      </c>
      <c r="F225" s="106" t="s">
        <v>695</v>
      </c>
      <c r="G225" s="106">
        <v>0</v>
      </c>
      <c r="H225" s="106" t="s">
        <v>421</v>
      </c>
      <c r="I225" s="106">
        <v>0</v>
      </c>
      <c r="J225" s="106">
        <v>1</v>
      </c>
      <c r="K225" s="106">
        <v>0</v>
      </c>
      <c r="L225" s="106"/>
      <c r="M225" s="106">
        <v>0</v>
      </c>
      <c r="N225" s="106">
        <v>0</v>
      </c>
      <c r="O225" s="108"/>
    </row>
    <row r="226" spans="1:15">
      <c r="A226" s="106">
        <v>95010491</v>
      </c>
      <c r="B226" s="106">
        <v>0</v>
      </c>
      <c r="C226" s="106">
        <v>13101</v>
      </c>
      <c r="D226" s="106" t="s">
        <v>656</v>
      </c>
      <c r="E226" s="106">
        <v>454</v>
      </c>
      <c r="F226" s="106" t="s">
        <v>696</v>
      </c>
      <c r="G226" s="106">
        <v>0</v>
      </c>
      <c r="H226" s="106" t="s">
        <v>421</v>
      </c>
      <c r="I226" s="106">
        <v>0</v>
      </c>
      <c r="J226" s="106">
        <v>1</v>
      </c>
      <c r="K226" s="106">
        <v>0</v>
      </c>
      <c r="L226" s="106"/>
      <c r="M226" s="106">
        <v>0</v>
      </c>
      <c r="N226" s="106">
        <v>0</v>
      </c>
      <c r="O226" s="108"/>
    </row>
    <row r="227" spans="1:15">
      <c r="A227" s="106">
        <v>95010505</v>
      </c>
      <c r="B227" s="106">
        <v>0</v>
      </c>
      <c r="C227" s="106">
        <v>43005</v>
      </c>
      <c r="D227" s="106" t="s">
        <v>520</v>
      </c>
      <c r="E227" s="106">
        <v>455</v>
      </c>
      <c r="F227" s="106" t="s">
        <v>697</v>
      </c>
      <c r="G227" s="106">
        <v>0</v>
      </c>
      <c r="H227" s="106" t="s">
        <v>421</v>
      </c>
      <c r="I227" s="106">
        <v>7714</v>
      </c>
      <c r="J227" s="106">
        <v>1</v>
      </c>
      <c r="K227" s="106">
        <v>104</v>
      </c>
      <c r="L227" s="106">
        <v>509</v>
      </c>
      <c r="M227" s="106">
        <v>0</v>
      </c>
      <c r="N227" s="106">
        <v>0</v>
      </c>
      <c r="O227" s="108"/>
    </row>
    <row r="228" spans="1:15">
      <c r="A228" s="106">
        <v>95010513</v>
      </c>
      <c r="B228" s="106">
        <v>0</v>
      </c>
      <c r="C228" s="106">
        <v>70104</v>
      </c>
      <c r="D228" s="106" t="s">
        <v>557</v>
      </c>
      <c r="E228" s="106">
        <v>456</v>
      </c>
      <c r="F228" s="106" t="s">
        <v>698</v>
      </c>
      <c r="G228" s="106">
        <v>0</v>
      </c>
      <c r="H228" s="106" t="s">
        <v>421</v>
      </c>
      <c r="I228" s="106">
        <v>4190</v>
      </c>
      <c r="J228" s="106">
        <v>1</v>
      </c>
      <c r="K228" s="106">
        <v>0</v>
      </c>
      <c r="L228" s="106"/>
      <c r="M228" s="106">
        <v>0</v>
      </c>
      <c r="N228" s="106">
        <v>0</v>
      </c>
      <c r="O228" s="108"/>
    </row>
    <row r="229" spans="1:15">
      <c r="A229" s="106">
        <v>95010521</v>
      </c>
      <c r="B229" s="106">
        <v>0</v>
      </c>
      <c r="C229" s="106">
        <v>76702</v>
      </c>
      <c r="D229" s="106" t="s">
        <v>699</v>
      </c>
      <c r="E229" s="106">
        <v>457</v>
      </c>
      <c r="F229" s="106" t="s">
        <v>700</v>
      </c>
      <c r="G229" s="106">
        <v>0</v>
      </c>
      <c r="H229" s="106" t="s">
        <v>421</v>
      </c>
      <c r="I229" s="106">
        <v>6971</v>
      </c>
      <c r="J229" s="106">
        <v>1</v>
      </c>
      <c r="K229" s="106">
        <v>0</v>
      </c>
      <c r="L229" s="106"/>
      <c r="M229" s="106">
        <v>0</v>
      </c>
      <c r="N229" s="106">
        <v>0</v>
      </c>
      <c r="O229" s="108"/>
    </row>
    <row r="230" spans="1:15">
      <c r="A230" s="106">
        <v>95010530</v>
      </c>
      <c r="B230" s="106">
        <v>0</v>
      </c>
      <c r="C230" s="106">
        <v>43100</v>
      </c>
      <c r="D230" s="106" t="s">
        <v>671</v>
      </c>
      <c r="E230" s="106">
        <v>458</v>
      </c>
      <c r="F230" s="106" t="s">
        <v>701</v>
      </c>
      <c r="G230" s="106">
        <v>0</v>
      </c>
      <c r="H230" s="106" t="s">
        <v>421</v>
      </c>
      <c r="I230" s="106">
        <v>4970</v>
      </c>
      <c r="J230" s="106">
        <v>1</v>
      </c>
      <c r="K230" s="106">
        <v>0</v>
      </c>
      <c r="L230" s="106"/>
      <c r="M230" s="106">
        <v>0</v>
      </c>
      <c r="N230" s="106">
        <v>0</v>
      </c>
      <c r="O230" s="108"/>
    </row>
    <row r="231" spans="1:15" s="108" customFormat="1">
      <c r="A231" s="106">
        <v>95010548</v>
      </c>
      <c r="B231" s="106">
        <v>0</v>
      </c>
      <c r="C231" s="106">
        <v>43100</v>
      </c>
      <c r="D231" s="106" t="s">
        <v>671</v>
      </c>
      <c r="E231" s="106">
        <v>459</v>
      </c>
      <c r="F231" s="106" t="s">
        <v>702</v>
      </c>
      <c r="G231" s="106">
        <v>0</v>
      </c>
      <c r="H231" s="106" t="s">
        <v>421</v>
      </c>
      <c r="I231" s="106">
        <v>4970</v>
      </c>
      <c r="J231" s="106">
        <v>1</v>
      </c>
      <c r="K231" s="106">
        <v>190</v>
      </c>
      <c r="L231" s="106">
        <v>570</v>
      </c>
      <c r="M231" s="106">
        <v>0</v>
      </c>
      <c r="N231" s="106">
        <v>0</v>
      </c>
    </row>
    <row r="232" spans="1:15">
      <c r="A232" s="106">
        <v>95010556</v>
      </c>
      <c r="B232" s="106">
        <v>0</v>
      </c>
      <c r="C232" s="106">
        <v>43100</v>
      </c>
      <c r="D232" s="106" t="s">
        <v>671</v>
      </c>
      <c r="E232" s="106">
        <v>460</v>
      </c>
      <c r="F232" s="106" t="s">
        <v>703</v>
      </c>
      <c r="G232" s="106">
        <v>0</v>
      </c>
      <c r="H232" s="106" t="s">
        <v>421</v>
      </c>
      <c r="I232" s="106">
        <v>4970</v>
      </c>
      <c r="J232" s="106">
        <v>1</v>
      </c>
      <c r="K232" s="106">
        <v>0</v>
      </c>
      <c r="L232" s="106"/>
      <c r="M232" s="106">
        <v>0</v>
      </c>
      <c r="N232" s="106">
        <v>0</v>
      </c>
      <c r="O232" s="108"/>
    </row>
    <row r="233" spans="1:15">
      <c r="A233" s="106">
        <v>95010564</v>
      </c>
      <c r="B233" s="106">
        <v>0</v>
      </c>
      <c r="C233" s="106">
        <v>43100</v>
      </c>
      <c r="D233" s="106" t="s">
        <v>671</v>
      </c>
      <c r="E233" s="106">
        <v>461</v>
      </c>
      <c r="F233" s="106" t="s">
        <v>704</v>
      </c>
      <c r="G233" s="106">
        <v>0</v>
      </c>
      <c r="H233" s="106" t="s">
        <v>421</v>
      </c>
      <c r="I233" s="106">
        <v>4970</v>
      </c>
      <c r="J233" s="106">
        <v>1</v>
      </c>
      <c r="K233" s="106">
        <v>0</v>
      </c>
      <c r="L233" s="106"/>
      <c r="M233" s="106">
        <v>0</v>
      </c>
      <c r="N233" s="106">
        <v>0</v>
      </c>
      <c r="O233" s="108"/>
    </row>
    <row r="234" spans="1:15">
      <c r="A234" s="106">
        <v>95010572</v>
      </c>
      <c r="B234" s="106">
        <v>0</v>
      </c>
      <c r="C234" s="106">
        <v>43100</v>
      </c>
      <c r="D234" s="106" t="s">
        <v>671</v>
      </c>
      <c r="E234" s="106">
        <v>462</v>
      </c>
      <c r="F234" s="106" t="s">
        <v>539</v>
      </c>
      <c r="G234" s="106">
        <v>0</v>
      </c>
      <c r="H234" s="106" t="s">
        <v>421</v>
      </c>
      <c r="I234" s="106">
        <v>1213</v>
      </c>
      <c r="J234" s="106">
        <v>1</v>
      </c>
      <c r="K234" s="106">
        <v>0</v>
      </c>
      <c r="L234" s="106"/>
      <c r="M234" s="106">
        <v>0</v>
      </c>
      <c r="N234" s="106">
        <v>0</v>
      </c>
      <c r="O234" s="108"/>
    </row>
    <row r="235" spans="1:15">
      <c r="A235" s="106">
        <v>95010581</v>
      </c>
      <c r="B235" s="106">
        <v>0</v>
      </c>
      <c r="C235" s="106">
        <v>43100</v>
      </c>
      <c r="D235" s="106" t="s">
        <v>671</v>
      </c>
      <c r="E235" s="106">
        <v>463</v>
      </c>
      <c r="F235" s="106" t="s">
        <v>705</v>
      </c>
      <c r="G235" s="106">
        <v>0</v>
      </c>
      <c r="H235" s="106" t="s">
        <v>421</v>
      </c>
      <c r="I235" s="106">
        <v>4970</v>
      </c>
      <c r="J235" s="106">
        <v>1</v>
      </c>
      <c r="K235" s="106">
        <v>0</v>
      </c>
      <c r="L235" s="106"/>
      <c r="M235" s="106">
        <v>0</v>
      </c>
      <c r="N235" s="106">
        <v>0</v>
      </c>
      <c r="O235" s="108"/>
    </row>
    <row r="236" spans="1:15">
      <c r="A236" s="106">
        <v>95010599</v>
      </c>
      <c r="B236" s="106">
        <v>0</v>
      </c>
      <c r="C236" s="106">
        <v>43100</v>
      </c>
      <c r="D236" s="106" t="s">
        <v>671</v>
      </c>
      <c r="E236" s="106">
        <v>464</v>
      </c>
      <c r="F236" s="106" t="s">
        <v>706</v>
      </c>
      <c r="G236" s="106">
        <v>0</v>
      </c>
      <c r="H236" s="106" t="s">
        <v>421</v>
      </c>
      <c r="I236" s="106">
        <v>968</v>
      </c>
      <c r="J236" s="106">
        <v>1</v>
      </c>
      <c r="K236" s="106">
        <v>183</v>
      </c>
      <c r="L236" s="106">
        <v>565</v>
      </c>
      <c r="M236" s="106">
        <v>0</v>
      </c>
      <c r="N236" s="106">
        <v>0</v>
      </c>
      <c r="O236" s="108"/>
    </row>
    <row r="237" spans="1:15">
      <c r="A237" s="106">
        <v>95010602</v>
      </c>
      <c r="B237" s="106">
        <v>0</v>
      </c>
      <c r="C237" s="106">
        <v>72200</v>
      </c>
      <c r="D237" s="106" t="s">
        <v>530</v>
      </c>
      <c r="E237" s="106">
        <v>402</v>
      </c>
      <c r="F237" s="106" t="s">
        <v>707</v>
      </c>
      <c r="G237" s="106">
        <v>0</v>
      </c>
      <c r="H237" s="106" t="s">
        <v>424</v>
      </c>
      <c r="I237" s="106">
        <v>5735</v>
      </c>
      <c r="J237" s="106">
        <v>1</v>
      </c>
      <c r="K237" s="106">
        <v>166</v>
      </c>
      <c r="L237" s="106">
        <v>559</v>
      </c>
      <c r="M237" s="106">
        <v>0</v>
      </c>
      <c r="N237" s="106">
        <v>0</v>
      </c>
      <c r="O237" s="108"/>
    </row>
    <row r="238" spans="1:15">
      <c r="A238" s="106">
        <v>95010611</v>
      </c>
      <c r="B238" s="106">
        <v>0</v>
      </c>
      <c r="C238" s="106">
        <v>43100</v>
      </c>
      <c r="D238" s="106" t="s">
        <v>671</v>
      </c>
      <c r="E238" s="106">
        <v>465</v>
      </c>
      <c r="F238" s="106" t="s">
        <v>708</v>
      </c>
      <c r="G238" s="106">
        <v>0</v>
      </c>
      <c r="H238" s="106" t="s">
        <v>421</v>
      </c>
      <c r="I238" s="106">
        <v>4970</v>
      </c>
      <c r="J238" s="106">
        <v>1</v>
      </c>
      <c r="K238" s="106">
        <v>0</v>
      </c>
      <c r="L238" s="106"/>
      <c r="M238" s="106">
        <v>0</v>
      </c>
      <c r="N238" s="106">
        <v>0</v>
      </c>
      <c r="O238" s="108"/>
    </row>
    <row r="239" spans="1:15">
      <c r="A239" s="106">
        <v>95010629</v>
      </c>
      <c r="B239" s="106">
        <v>0</v>
      </c>
      <c r="C239" s="106">
        <v>43100</v>
      </c>
      <c r="D239" s="106" t="s">
        <v>671</v>
      </c>
      <c r="E239" s="106">
        <v>466</v>
      </c>
      <c r="F239" s="106" t="s">
        <v>709</v>
      </c>
      <c r="G239" s="106">
        <v>0</v>
      </c>
      <c r="H239" s="106" t="s">
        <v>421</v>
      </c>
      <c r="I239" s="106">
        <v>4970</v>
      </c>
      <c r="J239" s="106">
        <v>1</v>
      </c>
      <c r="K239" s="106">
        <v>0</v>
      </c>
      <c r="L239" s="106"/>
      <c r="M239" s="106">
        <v>0</v>
      </c>
      <c r="N239" s="106">
        <v>0</v>
      </c>
      <c r="O239" s="108"/>
    </row>
    <row r="240" spans="1:15">
      <c r="A240" s="106">
        <v>95010637</v>
      </c>
      <c r="B240" s="106">
        <v>0</v>
      </c>
      <c r="C240" s="106">
        <v>43100</v>
      </c>
      <c r="D240" s="106" t="s">
        <v>671</v>
      </c>
      <c r="E240" s="106">
        <v>467</v>
      </c>
      <c r="F240" s="106" t="s">
        <v>710</v>
      </c>
      <c r="G240" s="106">
        <v>0</v>
      </c>
      <c r="H240" s="106" t="s">
        <v>421</v>
      </c>
      <c r="I240" s="106">
        <v>4970</v>
      </c>
      <c r="J240" s="106">
        <v>1</v>
      </c>
      <c r="K240" s="106">
        <v>0</v>
      </c>
      <c r="L240" s="106"/>
      <c r="M240" s="106">
        <v>0</v>
      </c>
      <c r="N240" s="106">
        <v>0</v>
      </c>
      <c r="O240" s="108"/>
    </row>
    <row r="241" spans="1:15">
      <c r="A241" s="106">
        <v>95010645</v>
      </c>
      <c r="B241" s="106">
        <v>0</v>
      </c>
      <c r="C241" s="106">
        <v>43100</v>
      </c>
      <c r="D241" s="106" t="s">
        <v>671</v>
      </c>
      <c r="E241" s="106">
        <v>468</v>
      </c>
      <c r="F241" s="106" t="s">
        <v>711</v>
      </c>
      <c r="G241" s="106">
        <v>0</v>
      </c>
      <c r="H241" s="106" t="s">
        <v>421</v>
      </c>
      <c r="I241" s="106">
        <v>4970</v>
      </c>
      <c r="J241" s="106">
        <v>1</v>
      </c>
      <c r="K241" s="106">
        <v>0</v>
      </c>
      <c r="L241" s="106"/>
      <c r="M241" s="106">
        <v>0</v>
      </c>
      <c r="N241" s="106">
        <v>0</v>
      </c>
      <c r="O241" s="108"/>
    </row>
    <row r="242" spans="1:15">
      <c r="A242" s="106">
        <v>95010653</v>
      </c>
      <c r="B242" s="106">
        <v>0</v>
      </c>
      <c r="C242" s="106">
        <v>43100</v>
      </c>
      <c r="D242" s="106" t="s">
        <v>671</v>
      </c>
      <c r="E242" s="106">
        <v>469</v>
      </c>
      <c r="F242" s="106" t="s">
        <v>712</v>
      </c>
      <c r="G242" s="106">
        <v>0</v>
      </c>
      <c r="H242" s="106" t="s">
        <v>421</v>
      </c>
      <c r="I242" s="106">
        <v>4970</v>
      </c>
      <c r="J242" s="106">
        <v>1</v>
      </c>
      <c r="K242" s="106">
        <v>0</v>
      </c>
      <c r="L242" s="106"/>
      <c r="M242" s="106">
        <v>0</v>
      </c>
      <c r="N242" s="106">
        <v>0</v>
      </c>
      <c r="O242" s="108"/>
    </row>
    <row r="243" spans="1:15">
      <c r="A243" s="106">
        <v>95010661</v>
      </c>
      <c r="B243" s="106">
        <v>0</v>
      </c>
      <c r="C243" s="106">
        <v>43100</v>
      </c>
      <c r="D243" s="106" t="s">
        <v>671</v>
      </c>
      <c r="E243" s="106">
        <v>470</v>
      </c>
      <c r="F243" s="106" t="s">
        <v>713</v>
      </c>
      <c r="G243" s="106">
        <v>0</v>
      </c>
      <c r="H243" s="106" t="s">
        <v>421</v>
      </c>
      <c r="I243" s="106">
        <v>4970</v>
      </c>
      <c r="J243" s="106">
        <v>1</v>
      </c>
      <c r="K243" s="106">
        <v>0</v>
      </c>
      <c r="L243" s="106"/>
      <c r="M243" s="106">
        <v>0</v>
      </c>
      <c r="N243" s="106">
        <v>0</v>
      </c>
      <c r="O243" s="108"/>
    </row>
    <row r="244" spans="1:15" s="108" customFormat="1">
      <c r="A244" s="106">
        <v>95010670</v>
      </c>
      <c r="B244" s="106">
        <v>0</v>
      </c>
      <c r="C244" s="106">
        <v>43100</v>
      </c>
      <c r="D244" s="106" t="s">
        <v>671</v>
      </c>
      <c r="E244" s="106">
        <v>471</v>
      </c>
      <c r="F244" s="106" t="s">
        <v>714</v>
      </c>
      <c r="G244" s="106">
        <v>0</v>
      </c>
      <c r="H244" s="106" t="s">
        <v>421</v>
      </c>
      <c r="I244" s="106">
        <v>8270</v>
      </c>
      <c r="J244" s="106">
        <v>1</v>
      </c>
      <c r="K244" s="106">
        <v>184</v>
      </c>
      <c r="L244" s="106">
        <v>566</v>
      </c>
      <c r="M244" s="106">
        <v>0</v>
      </c>
      <c r="N244" s="106">
        <v>0</v>
      </c>
    </row>
    <row r="245" spans="1:15">
      <c r="A245" s="106">
        <v>95010688</v>
      </c>
      <c r="B245" s="106">
        <v>0</v>
      </c>
      <c r="C245" s="106">
        <v>43100</v>
      </c>
      <c r="D245" s="106" t="s">
        <v>671</v>
      </c>
      <c r="E245" s="106">
        <v>472</v>
      </c>
      <c r="F245" s="106" t="s">
        <v>715</v>
      </c>
      <c r="G245" s="106">
        <v>0</v>
      </c>
      <c r="H245" s="106" t="s">
        <v>421</v>
      </c>
      <c r="I245" s="106">
        <v>4458</v>
      </c>
      <c r="J245" s="106">
        <v>1</v>
      </c>
      <c r="K245" s="106">
        <v>0</v>
      </c>
      <c r="L245" s="106"/>
      <c r="M245" s="106">
        <v>0</v>
      </c>
      <c r="N245" s="106">
        <v>0</v>
      </c>
      <c r="O245" s="108"/>
    </row>
    <row r="246" spans="1:15">
      <c r="A246" s="106">
        <v>95010696</v>
      </c>
      <c r="B246" s="106">
        <v>0</v>
      </c>
      <c r="C246" s="106">
        <v>75700</v>
      </c>
      <c r="D246" s="106" t="s">
        <v>679</v>
      </c>
      <c r="E246" s="106">
        <v>473</v>
      </c>
      <c r="F246" s="106" t="s">
        <v>716</v>
      </c>
      <c r="G246" s="106">
        <v>0</v>
      </c>
      <c r="H246" s="106" t="s">
        <v>421</v>
      </c>
      <c r="I246" s="106">
        <v>0</v>
      </c>
      <c r="J246" s="106">
        <v>1</v>
      </c>
      <c r="K246" s="106">
        <v>0</v>
      </c>
      <c r="L246" s="106"/>
      <c r="M246" s="106">
        <v>0</v>
      </c>
      <c r="N246" s="106">
        <v>0</v>
      </c>
      <c r="O246" s="108"/>
    </row>
    <row r="247" spans="1:15">
      <c r="A247" s="106">
        <v>95010700</v>
      </c>
      <c r="B247" s="106">
        <v>0</v>
      </c>
      <c r="C247" s="106">
        <v>43100</v>
      </c>
      <c r="D247" s="106" t="s">
        <v>671</v>
      </c>
      <c r="E247" s="106">
        <v>401</v>
      </c>
      <c r="F247" s="106" t="s">
        <v>717</v>
      </c>
      <c r="G247" s="106">
        <v>0</v>
      </c>
      <c r="H247" s="106" t="s">
        <v>421</v>
      </c>
      <c r="I247" s="106">
        <v>2339</v>
      </c>
      <c r="J247" s="106">
        <v>1</v>
      </c>
      <c r="K247" s="106">
        <v>99</v>
      </c>
      <c r="L247" s="106">
        <v>504</v>
      </c>
      <c r="M247" s="106">
        <v>0</v>
      </c>
      <c r="N247" s="106">
        <v>0</v>
      </c>
      <c r="O247" s="108"/>
    </row>
    <row r="248" spans="1:15" s="108" customFormat="1">
      <c r="A248" s="106">
        <v>95010718</v>
      </c>
      <c r="B248" s="106">
        <v>0</v>
      </c>
      <c r="C248" s="106">
        <v>15202</v>
      </c>
      <c r="D248" s="106" t="s">
        <v>718</v>
      </c>
      <c r="E248" s="106">
        <v>474</v>
      </c>
      <c r="F248" s="106" t="s">
        <v>719</v>
      </c>
      <c r="G248" s="106">
        <v>0</v>
      </c>
      <c r="H248" s="106" t="s">
        <v>421</v>
      </c>
      <c r="I248" s="106">
        <v>6618</v>
      </c>
      <c r="J248" s="106">
        <v>1</v>
      </c>
      <c r="K248" s="106">
        <v>179</v>
      </c>
      <c r="L248" s="106">
        <v>562</v>
      </c>
      <c r="M248" s="106">
        <v>0</v>
      </c>
      <c r="N248" s="106">
        <v>0</v>
      </c>
    </row>
    <row r="249" spans="1:15">
      <c r="A249" s="106">
        <v>95010742</v>
      </c>
      <c r="B249" s="106">
        <v>0</v>
      </c>
      <c r="C249" s="106">
        <v>75600</v>
      </c>
      <c r="D249" s="106" t="s">
        <v>677</v>
      </c>
      <c r="E249" s="106">
        <v>213</v>
      </c>
      <c r="F249" s="106" t="s">
        <v>720</v>
      </c>
      <c r="G249" s="106">
        <v>0</v>
      </c>
      <c r="H249" s="106" t="s">
        <v>421</v>
      </c>
      <c r="I249" s="106">
        <v>0</v>
      </c>
      <c r="J249" s="106">
        <v>1</v>
      </c>
      <c r="K249" s="106">
        <v>0</v>
      </c>
      <c r="L249" s="106"/>
      <c r="M249" s="106">
        <v>0</v>
      </c>
      <c r="N249" s="106">
        <v>0</v>
      </c>
      <c r="O249" s="108"/>
    </row>
    <row r="250" spans="1:15">
      <c r="A250" s="106">
        <v>95010751</v>
      </c>
      <c r="B250" s="106">
        <v>0</v>
      </c>
      <c r="C250" s="106">
        <v>75800</v>
      </c>
      <c r="D250" s="106" t="s">
        <v>721</v>
      </c>
      <c r="E250" s="106">
        <v>214</v>
      </c>
      <c r="F250" s="106" t="s">
        <v>722</v>
      </c>
      <c r="G250" s="106">
        <v>0</v>
      </c>
      <c r="H250" s="106" t="s">
        <v>421</v>
      </c>
      <c r="I250" s="106">
        <v>0</v>
      </c>
      <c r="J250" s="106">
        <v>1</v>
      </c>
      <c r="K250" s="106">
        <v>0</v>
      </c>
      <c r="L250" s="106"/>
      <c r="M250" s="106">
        <v>0</v>
      </c>
      <c r="N250" s="106">
        <v>0</v>
      </c>
      <c r="O250" s="108"/>
    </row>
    <row r="251" spans="1:15">
      <c r="A251" s="106">
        <v>95010769</v>
      </c>
      <c r="B251" s="106">
        <v>0</v>
      </c>
      <c r="C251" s="106">
        <v>73305</v>
      </c>
      <c r="D251" s="106" t="s">
        <v>723</v>
      </c>
      <c r="E251" s="106">
        <v>477</v>
      </c>
      <c r="F251" s="106" t="s">
        <v>724</v>
      </c>
      <c r="G251" s="106">
        <v>0</v>
      </c>
      <c r="H251" s="106" t="s">
        <v>421</v>
      </c>
      <c r="I251" s="106">
        <v>8553</v>
      </c>
      <c r="J251" s="106">
        <v>1</v>
      </c>
      <c r="K251" s="106">
        <v>97</v>
      </c>
      <c r="L251" s="106">
        <v>502</v>
      </c>
      <c r="M251" s="106">
        <v>0</v>
      </c>
      <c r="N251" s="106">
        <v>0</v>
      </c>
      <c r="O251" s="108"/>
    </row>
    <row r="252" spans="1:15">
      <c r="A252" s="106">
        <v>95010807</v>
      </c>
      <c r="B252" s="106">
        <v>0</v>
      </c>
      <c r="C252" s="106">
        <v>73600</v>
      </c>
      <c r="D252" s="106" t="s">
        <v>496</v>
      </c>
      <c r="E252" s="106">
        <v>403</v>
      </c>
      <c r="F252" s="106" t="s">
        <v>496</v>
      </c>
      <c r="G252" s="106">
        <v>0</v>
      </c>
      <c r="H252" s="106" t="s">
        <v>424</v>
      </c>
      <c r="I252" s="106">
        <v>0</v>
      </c>
      <c r="J252" s="106">
        <v>1</v>
      </c>
      <c r="K252" s="106">
        <v>105</v>
      </c>
      <c r="L252" s="106">
        <v>510</v>
      </c>
      <c r="M252" s="106">
        <v>0</v>
      </c>
      <c r="N252" s="106">
        <v>0</v>
      </c>
      <c r="O252" s="108"/>
    </row>
    <row r="253" spans="1:15">
      <c r="A253" s="106">
        <v>95010866</v>
      </c>
      <c r="B253" s="106">
        <v>0</v>
      </c>
      <c r="C253" s="106">
        <v>15600</v>
      </c>
      <c r="D253" s="106" t="s">
        <v>487</v>
      </c>
      <c r="E253" s="106">
        <v>481</v>
      </c>
      <c r="F253" s="106" t="s">
        <v>725</v>
      </c>
      <c r="G253" s="106">
        <v>0</v>
      </c>
      <c r="H253" s="106" t="s">
        <v>421</v>
      </c>
      <c r="I253" s="106">
        <v>4458</v>
      </c>
      <c r="J253" s="106">
        <v>1</v>
      </c>
      <c r="K253" s="106">
        <v>126</v>
      </c>
      <c r="L253" s="106">
        <v>501</v>
      </c>
      <c r="M253" s="106">
        <v>0</v>
      </c>
      <c r="N253" s="106">
        <v>0</v>
      </c>
      <c r="O253" s="108"/>
    </row>
    <row r="254" spans="1:15">
      <c r="A254" s="106">
        <v>95010874</v>
      </c>
      <c r="B254" s="106">
        <v>0</v>
      </c>
      <c r="C254" s="106">
        <v>73600</v>
      </c>
      <c r="D254" s="106" t="s">
        <v>496</v>
      </c>
      <c r="E254" s="106">
        <v>482</v>
      </c>
      <c r="F254" s="106" t="s">
        <v>726</v>
      </c>
      <c r="G254" s="106">
        <v>0</v>
      </c>
      <c r="H254" s="106" t="s">
        <v>421</v>
      </c>
      <c r="I254" s="106">
        <v>0</v>
      </c>
      <c r="J254" s="106">
        <v>1</v>
      </c>
      <c r="K254" s="106">
        <v>127</v>
      </c>
      <c r="L254" s="106">
        <v>517</v>
      </c>
      <c r="M254" s="106">
        <v>0</v>
      </c>
      <c r="N254" s="106">
        <v>0</v>
      </c>
      <c r="O254" s="108"/>
    </row>
    <row r="255" spans="1:15">
      <c r="A255" s="106">
        <v>95010882</v>
      </c>
      <c r="B255" s="106">
        <v>0</v>
      </c>
      <c r="C255" s="106">
        <v>73600</v>
      </c>
      <c r="D255" s="106" t="s">
        <v>496</v>
      </c>
      <c r="E255" s="106">
        <v>483</v>
      </c>
      <c r="F255" s="106" t="s">
        <v>727</v>
      </c>
      <c r="G255" s="106">
        <v>0</v>
      </c>
      <c r="H255" s="106" t="s">
        <v>421</v>
      </c>
      <c r="I255" s="106">
        <v>0</v>
      </c>
      <c r="J255" s="106">
        <v>1</v>
      </c>
      <c r="K255" s="106">
        <v>144</v>
      </c>
      <c r="L255" s="106">
        <v>581</v>
      </c>
      <c r="M255" s="106">
        <v>0</v>
      </c>
      <c r="N255" s="106">
        <v>0</v>
      </c>
      <c r="O255" s="108"/>
    </row>
    <row r="256" spans="1:15">
      <c r="A256" s="106">
        <v>95010891</v>
      </c>
      <c r="B256" s="106">
        <v>0</v>
      </c>
      <c r="C256" s="106">
        <v>73600</v>
      </c>
      <c r="D256" s="106" t="s">
        <v>496</v>
      </c>
      <c r="E256" s="106">
        <v>484</v>
      </c>
      <c r="F256" s="106" t="s">
        <v>728</v>
      </c>
      <c r="G256" s="106">
        <v>0</v>
      </c>
      <c r="H256" s="106" t="s">
        <v>421</v>
      </c>
      <c r="I256" s="106">
        <v>0</v>
      </c>
      <c r="J256" s="106">
        <v>1</v>
      </c>
      <c r="K256" s="109">
        <v>225</v>
      </c>
      <c r="L256" s="109">
        <v>575</v>
      </c>
      <c r="M256" s="109">
        <v>0</v>
      </c>
      <c r="N256" s="109">
        <v>0</v>
      </c>
      <c r="O256" s="79" t="s">
        <v>729</v>
      </c>
    </row>
    <row r="257" spans="1:15">
      <c r="A257" s="106">
        <v>95010904</v>
      </c>
      <c r="B257" s="106">
        <v>0</v>
      </c>
      <c r="C257" s="106">
        <v>73600</v>
      </c>
      <c r="D257" s="106" t="s">
        <v>523</v>
      </c>
      <c r="E257" s="106">
        <v>485</v>
      </c>
      <c r="F257" s="106" t="s">
        <v>730</v>
      </c>
      <c r="G257" s="106">
        <v>0</v>
      </c>
      <c r="H257" s="106" t="s">
        <v>421</v>
      </c>
      <c r="I257" s="106">
        <v>0</v>
      </c>
      <c r="J257" s="106">
        <v>1</v>
      </c>
      <c r="K257" s="106">
        <v>145</v>
      </c>
      <c r="L257" s="106">
        <v>580</v>
      </c>
      <c r="M257" s="106">
        <v>0</v>
      </c>
      <c r="N257" s="106">
        <v>0</v>
      </c>
      <c r="O257" s="108"/>
    </row>
    <row r="258" spans="1:15">
      <c r="A258" s="106">
        <v>95010912</v>
      </c>
      <c r="B258" s="106">
        <v>0</v>
      </c>
      <c r="C258" s="106">
        <v>73600</v>
      </c>
      <c r="D258" s="106" t="s">
        <v>523</v>
      </c>
      <c r="E258" s="106">
        <v>486</v>
      </c>
      <c r="F258" s="106" t="s">
        <v>731</v>
      </c>
      <c r="G258" s="106">
        <v>0</v>
      </c>
      <c r="H258" s="106" t="s">
        <v>421</v>
      </c>
      <c r="I258" s="106">
        <v>0</v>
      </c>
      <c r="J258" s="106">
        <v>1</v>
      </c>
      <c r="K258" s="106">
        <v>146</v>
      </c>
      <c r="L258" s="106">
        <v>582</v>
      </c>
      <c r="M258" s="106">
        <v>0</v>
      </c>
      <c r="N258" s="106">
        <v>0</v>
      </c>
      <c r="O258" s="108"/>
    </row>
    <row r="259" spans="1:15">
      <c r="A259" s="106">
        <v>95010955</v>
      </c>
      <c r="B259" s="106">
        <v>0</v>
      </c>
      <c r="C259" s="106">
        <v>43100</v>
      </c>
      <c r="D259" s="106" t="s">
        <v>732</v>
      </c>
      <c r="E259" s="106">
        <v>494</v>
      </c>
      <c r="F259" s="106" t="s">
        <v>733</v>
      </c>
      <c r="G259" s="106">
        <v>0</v>
      </c>
      <c r="H259" s="106"/>
      <c r="I259" s="106">
        <v>4970</v>
      </c>
      <c r="J259" s="106">
        <v>1</v>
      </c>
      <c r="K259" s="106">
        <v>200</v>
      </c>
      <c r="L259" s="106">
        <v>574</v>
      </c>
      <c r="M259" s="106">
        <v>0</v>
      </c>
      <c r="N259" s="106">
        <v>0</v>
      </c>
      <c r="O259" s="108" t="s">
        <v>734</v>
      </c>
    </row>
    <row r="260" spans="1:15" s="108" customFormat="1">
      <c r="A260" s="106">
        <v>95010998</v>
      </c>
      <c r="B260" s="106">
        <v>1</v>
      </c>
      <c r="C260" s="106">
        <v>73600</v>
      </c>
      <c r="D260" s="106" t="s">
        <v>540</v>
      </c>
      <c r="E260" s="106">
        <v>498</v>
      </c>
      <c r="F260" s="106" t="s">
        <v>735</v>
      </c>
      <c r="G260" s="106">
        <v>0</v>
      </c>
      <c r="H260" s="106"/>
      <c r="I260" s="106">
        <v>0</v>
      </c>
      <c r="J260" s="106">
        <v>1</v>
      </c>
      <c r="K260" s="106">
        <v>206</v>
      </c>
      <c r="L260" s="106">
        <v>583</v>
      </c>
      <c r="M260" s="106"/>
      <c r="N260" s="106"/>
      <c r="O260" s="108" t="s">
        <v>736</v>
      </c>
    </row>
    <row r="261" spans="1:15">
      <c r="A261" s="106">
        <v>95011609</v>
      </c>
      <c r="B261" s="106">
        <v>0</v>
      </c>
      <c r="C261" s="106">
        <v>43005</v>
      </c>
      <c r="D261" s="106" t="s">
        <v>737</v>
      </c>
      <c r="E261" s="106">
        <v>406</v>
      </c>
      <c r="F261" s="106" t="s">
        <v>738</v>
      </c>
      <c r="G261" s="106">
        <v>0</v>
      </c>
      <c r="H261" s="106" t="s">
        <v>421</v>
      </c>
      <c r="I261" s="106">
        <v>1213</v>
      </c>
      <c r="J261" s="106">
        <v>1</v>
      </c>
      <c r="K261" s="106">
        <v>0</v>
      </c>
      <c r="L261" s="106"/>
      <c r="M261" s="106">
        <v>0</v>
      </c>
      <c r="N261" s="106">
        <v>0</v>
      </c>
      <c r="O261" s="108"/>
    </row>
    <row r="262" spans="1:15">
      <c r="A262" s="106">
        <v>95011617</v>
      </c>
      <c r="B262" s="106">
        <v>0</v>
      </c>
      <c r="C262" s="106">
        <v>13402</v>
      </c>
      <c r="D262" s="106" t="s">
        <v>739</v>
      </c>
      <c r="E262" s="106">
        <v>516</v>
      </c>
      <c r="F262" s="106" t="s">
        <v>740</v>
      </c>
      <c r="G262" s="106">
        <v>0</v>
      </c>
      <c r="H262" s="106" t="s">
        <v>421</v>
      </c>
      <c r="I262" s="106">
        <v>6494</v>
      </c>
      <c r="J262" s="106">
        <v>1</v>
      </c>
      <c r="K262" s="106">
        <v>128</v>
      </c>
      <c r="L262" s="106">
        <v>540</v>
      </c>
      <c r="M262" s="106">
        <v>0</v>
      </c>
      <c r="N262" s="106">
        <v>0</v>
      </c>
      <c r="O262" s="108"/>
    </row>
    <row r="263" spans="1:15">
      <c r="A263" s="106">
        <v>95011706</v>
      </c>
      <c r="B263" s="106">
        <v>0</v>
      </c>
      <c r="C263" s="106">
        <v>43005</v>
      </c>
      <c r="D263" s="106" t="s">
        <v>737</v>
      </c>
      <c r="E263" s="106">
        <v>407</v>
      </c>
      <c r="F263" s="106" t="s">
        <v>741</v>
      </c>
      <c r="G263" s="106">
        <v>0</v>
      </c>
      <c r="H263" s="106" t="s">
        <v>421</v>
      </c>
      <c r="I263" s="106">
        <v>4318</v>
      </c>
      <c r="J263" s="106">
        <v>1</v>
      </c>
      <c r="K263" s="106">
        <v>101</v>
      </c>
      <c r="L263" s="106">
        <v>506</v>
      </c>
      <c r="M263" s="106">
        <v>0</v>
      </c>
      <c r="N263" s="106">
        <v>0</v>
      </c>
      <c r="O263" s="108"/>
    </row>
    <row r="264" spans="1:15">
      <c r="A264" s="106">
        <v>95011714</v>
      </c>
      <c r="B264" s="106">
        <v>0</v>
      </c>
      <c r="C264" s="106">
        <v>13402</v>
      </c>
      <c r="D264" s="106" t="s">
        <v>739</v>
      </c>
      <c r="E264" s="106">
        <v>517</v>
      </c>
      <c r="F264" s="106" t="s">
        <v>742</v>
      </c>
      <c r="G264" s="106">
        <v>0</v>
      </c>
      <c r="H264" s="106" t="s">
        <v>421</v>
      </c>
      <c r="I264" s="106">
        <v>0</v>
      </c>
      <c r="J264" s="106">
        <v>1</v>
      </c>
      <c r="K264" s="106">
        <v>129</v>
      </c>
      <c r="L264" s="106">
        <v>542</v>
      </c>
      <c r="M264" s="106">
        <v>0</v>
      </c>
      <c r="N264" s="106">
        <v>0</v>
      </c>
      <c r="O264" s="108"/>
    </row>
    <row r="265" spans="1:15">
      <c r="A265" s="106">
        <v>95011803</v>
      </c>
      <c r="B265" s="106">
        <v>0</v>
      </c>
      <c r="C265" s="106">
        <v>13402</v>
      </c>
      <c r="D265" s="106" t="s">
        <v>739</v>
      </c>
      <c r="E265" s="106">
        <v>518</v>
      </c>
      <c r="F265" s="106" t="s">
        <v>743</v>
      </c>
      <c r="G265" s="106">
        <v>0</v>
      </c>
      <c r="H265" s="106" t="s">
        <v>421</v>
      </c>
      <c r="I265" s="106">
        <v>0</v>
      </c>
      <c r="J265" s="106">
        <v>1</v>
      </c>
      <c r="K265" s="106">
        <v>130</v>
      </c>
      <c r="L265" s="106">
        <v>543</v>
      </c>
      <c r="M265" s="106">
        <v>0</v>
      </c>
      <c r="N265" s="106">
        <v>0</v>
      </c>
      <c r="O265" s="108"/>
    </row>
    <row r="266" spans="1:15">
      <c r="A266" s="106">
        <v>95011901</v>
      </c>
      <c r="B266" s="106">
        <v>0</v>
      </c>
      <c r="C266" s="106">
        <v>13402</v>
      </c>
      <c r="D266" s="106" t="s">
        <v>739</v>
      </c>
      <c r="E266" s="106">
        <v>519</v>
      </c>
      <c r="F266" s="106" t="s">
        <v>744</v>
      </c>
      <c r="G266" s="106">
        <v>0</v>
      </c>
      <c r="H266" s="106" t="s">
        <v>421</v>
      </c>
      <c r="I266" s="106">
        <v>7400</v>
      </c>
      <c r="J266" s="106">
        <v>1</v>
      </c>
      <c r="K266" s="106">
        <v>131</v>
      </c>
      <c r="L266" s="106">
        <v>541</v>
      </c>
      <c r="M266" s="106">
        <v>0</v>
      </c>
      <c r="N266" s="106">
        <v>0</v>
      </c>
      <c r="O266" s="108"/>
    </row>
    <row r="267" spans="1:15">
      <c r="A267" s="106">
        <v>95012109</v>
      </c>
      <c r="B267" s="106">
        <v>0</v>
      </c>
      <c r="C267" s="106">
        <v>13402</v>
      </c>
      <c r="D267" s="106" t="s">
        <v>739</v>
      </c>
      <c r="E267" s="106">
        <v>521</v>
      </c>
      <c r="F267" s="106" t="s">
        <v>745</v>
      </c>
      <c r="G267" s="106">
        <v>0</v>
      </c>
      <c r="H267" s="106" t="s">
        <v>421</v>
      </c>
      <c r="I267" s="106">
        <v>0</v>
      </c>
      <c r="J267" s="106">
        <v>1</v>
      </c>
      <c r="K267" s="106">
        <v>132</v>
      </c>
      <c r="L267" s="106">
        <v>544</v>
      </c>
      <c r="M267" s="106">
        <v>0</v>
      </c>
      <c r="N267" s="106">
        <v>0</v>
      </c>
      <c r="O267" s="108"/>
    </row>
    <row r="268" spans="1:15">
      <c r="A268" s="106">
        <v>95012206</v>
      </c>
      <c r="B268" s="106">
        <v>0</v>
      </c>
      <c r="C268" s="106">
        <v>13402</v>
      </c>
      <c r="D268" s="106" t="s">
        <v>739</v>
      </c>
      <c r="E268" s="106">
        <v>522</v>
      </c>
      <c r="F268" s="106" t="s">
        <v>746</v>
      </c>
      <c r="G268" s="106">
        <v>0</v>
      </c>
      <c r="H268" s="106" t="s">
        <v>421</v>
      </c>
      <c r="I268" s="106">
        <v>0</v>
      </c>
      <c r="J268" s="106">
        <v>1</v>
      </c>
      <c r="K268" s="106">
        <v>133</v>
      </c>
      <c r="L268" s="106">
        <v>545</v>
      </c>
      <c r="M268" s="106">
        <v>0</v>
      </c>
      <c r="N268" s="106">
        <v>0</v>
      </c>
      <c r="O268" s="108"/>
    </row>
    <row r="269" spans="1:15">
      <c r="A269" s="106">
        <v>95012401</v>
      </c>
      <c r="B269" s="106">
        <v>0</v>
      </c>
      <c r="C269" s="106">
        <v>13402</v>
      </c>
      <c r="D269" s="106" t="s">
        <v>739</v>
      </c>
      <c r="E269" s="106">
        <v>524</v>
      </c>
      <c r="F269" s="106" t="s">
        <v>747</v>
      </c>
      <c r="G269" s="106">
        <v>0</v>
      </c>
      <c r="H269" s="106" t="s">
        <v>421</v>
      </c>
      <c r="I269" s="106">
        <v>0</v>
      </c>
      <c r="J269" s="106">
        <v>1</v>
      </c>
      <c r="K269" s="106">
        <v>134</v>
      </c>
      <c r="L269" s="106">
        <v>546</v>
      </c>
      <c r="M269" s="106">
        <v>0</v>
      </c>
      <c r="N269" s="106">
        <v>0</v>
      </c>
      <c r="O269" s="108"/>
    </row>
    <row r="270" spans="1:15">
      <c r="A270" s="106">
        <v>95012508</v>
      </c>
      <c r="B270" s="106">
        <v>0</v>
      </c>
      <c r="C270" s="106">
        <v>13402</v>
      </c>
      <c r="D270" s="106" t="s">
        <v>739</v>
      </c>
      <c r="E270" s="106">
        <v>525</v>
      </c>
      <c r="F270" s="106" t="s">
        <v>748</v>
      </c>
      <c r="G270" s="106">
        <v>0</v>
      </c>
      <c r="H270" s="106" t="s">
        <v>421</v>
      </c>
      <c r="I270" s="106">
        <v>0</v>
      </c>
      <c r="J270" s="106">
        <v>1</v>
      </c>
      <c r="K270" s="106">
        <v>135</v>
      </c>
      <c r="L270" s="106">
        <v>547</v>
      </c>
      <c r="M270" s="106">
        <v>0</v>
      </c>
      <c r="N270" s="106">
        <v>0</v>
      </c>
      <c r="O270" s="108"/>
    </row>
    <row r="271" spans="1:15">
      <c r="A271" s="106">
        <v>95012907</v>
      </c>
      <c r="B271" s="106">
        <v>0</v>
      </c>
      <c r="C271" s="106">
        <v>43100</v>
      </c>
      <c r="D271" s="106" t="s">
        <v>671</v>
      </c>
      <c r="E271" s="106">
        <v>408</v>
      </c>
      <c r="F271" s="106" t="s">
        <v>749</v>
      </c>
      <c r="G271" s="106">
        <v>0</v>
      </c>
      <c r="H271" s="106" t="s">
        <v>421</v>
      </c>
      <c r="I271" s="106">
        <v>4970</v>
      </c>
      <c r="J271" s="106">
        <v>1</v>
      </c>
      <c r="K271" s="106">
        <v>106</v>
      </c>
      <c r="L271" s="106">
        <v>511</v>
      </c>
      <c r="M271" s="106">
        <v>0</v>
      </c>
      <c r="N271" s="106">
        <v>0</v>
      </c>
      <c r="O271" s="108"/>
    </row>
    <row r="272" spans="1:15">
      <c r="A272" s="106">
        <v>95018000</v>
      </c>
      <c r="B272" s="106">
        <v>0</v>
      </c>
      <c r="C272" s="106">
        <v>13402</v>
      </c>
      <c r="D272" s="106" t="s">
        <v>739</v>
      </c>
      <c r="E272" s="106">
        <v>580</v>
      </c>
      <c r="F272" s="106" t="s">
        <v>750</v>
      </c>
      <c r="G272" s="106">
        <v>0</v>
      </c>
      <c r="H272" s="106" t="s">
        <v>421</v>
      </c>
      <c r="I272" s="106">
        <v>0</v>
      </c>
      <c r="J272" s="106">
        <v>1</v>
      </c>
      <c r="K272" s="106">
        <v>136</v>
      </c>
      <c r="L272" s="106">
        <v>548</v>
      </c>
      <c r="M272" s="106">
        <v>0</v>
      </c>
      <c r="N272" s="106">
        <v>0</v>
      </c>
      <c r="O272" s="108"/>
    </row>
    <row r="273" spans="1:15">
      <c r="A273" s="106">
        <v>95018107</v>
      </c>
      <c r="B273" s="106">
        <v>0</v>
      </c>
      <c r="C273" s="106">
        <v>13402</v>
      </c>
      <c r="D273" s="106" t="s">
        <v>739</v>
      </c>
      <c r="E273" s="106">
        <v>581</v>
      </c>
      <c r="F273" s="106" t="s">
        <v>751</v>
      </c>
      <c r="G273" s="106">
        <v>0</v>
      </c>
      <c r="H273" s="106" t="s">
        <v>421</v>
      </c>
      <c r="I273" s="106">
        <v>0</v>
      </c>
      <c r="J273" s="106">
        <v>1</v>
      </c>
      <c r="K273" s="106">
        <v>137</v>
      </c>
      <c r="L273" s="106">
        <v>549</v>
      </c>
      <c r="M273" s="106">
        <v>0</v>
      </c>
      <c r="N273" s="106">
        <v>0</v>
      </c>
      <c r="O273" s="108"/>
    </row>
    <row r="274" spans="1:15">
      <c r="A274" s="106">
        <v>95018204</v>
      </c>
      <c r="B274" s="106">
        <v>0</v>
      </c>
      <c r="C274" s="106">
        <v>13402</v>
      </c>
      <c r="D274" s="106" t="s">
        <v>739</v>
      </c>
      <c r="E274" s="106">
        <v>582</v>
      </c>
      <c r="F274" s="106" t="s">
        <v>752</v>
      </c>
      <c r="G274" s="106">
        <v>0</v>
      </c>
      <c r="H274" s="106" t="s">
        <v>421</v>
      </c>
      <c r="I274" s="106">
        <v>0</v>
      </c>
      <c r="J274" s="106">
        <v>1</v>
      </c>
      <c r="K274" s="106">
        <v>138</v>
      </c>
      <c r="L274" s="106">
        <v>550</v>
      </c>
      <c r="M274" s="106">
        <v>0</v>
      </c>
      <c r="N274" s="106">
        <v>0</v>
      </c>
      <c r="O274" s="108"/>
    </row>
    <row r="275" spans="1:15">
      <c r="A275" s="106">
        <v>95018301</v>
      </c>
      <c r="B275" s="106">
        <v>0</v>
      </c>
      <c r="C275" s="106">
        <v>13402</v>
      </c>
      <c r="D275" s="106" t="s">
        <v>739</v>
      </c>
      <c r="E275" s="106">
        <v>583</v>
      </c>
      <c r="F275" s="106" t="s">
        <v>753</v>
      </c>
      <c r="G275" s="106">
        <v>0</v>
      </c>
      <c r="H275" s="106" t="s">
        <v>421</v>
      </c>
      <c r="I275" s="106">
        <v>0</v>
      </c>
      <c r="J275" s="106">
        <v>1</v>
      </c>
      <c r="K275" s="106">
        <v>139</v>
      </c>
      <c r="L275" s="106">
        <v>551</v>
      </c>
      <c r="M275" s="106">
        <v>0</v>
      </c>
      <c r="N275" s="106">
        <v>0</v>
      </c>
      <c r="O275" s="108"/>
    </row>
    <row r="276" spans="1:15">
      <c r="A276" s="106">
        <v>95018409</v>
      </c>
      <c r="B276" s="106">
        <v>0</v>
      </c>
      <c r="C276" s="106">
        <v>13402</v>
      </c>
      <c r="D276" s="106" t="s">
        <v>739</v>
      </c>
      <c r="E276" s="106">
        <v>584</v>
      </c>
      <c r="F276" s="106" t="s">
        <v>754</v>
      </c>
      <c r="G276" s="106">
        <v>0</v>
      </c>
      <c r="H276" s="106" t="s">
        <v>421</v>
      </c>
      <c r="I276" s="106">
        <v>0</v>
      </c>
      <c r="J276" s="106">
        <v>1</v>
      </c>
      <c r="K276" s="106">
        <v>140</v>
      </c>
      <c r="L276" s="106">
        <v>552</v>
      </c>
      <c r="M276" s="106">
        <v>0</v>
      </c>
      <c r="N276" s="106">
        <v>0</v>
      </c>
      <c r="O276" s="108"/>
    </row>
    <row r="277" spans="1:15">
      <c r="A277" s="106">
        <v>95018506</v>
      </c>
      <c r="B277" s="106">
        <v>0</v>
      </c>
      <c r="C277" s="106">
        <v>13402</v>
      </c>
      <c r="D277" s="106" t="s">
        <v>739</v>
      </c>
      <c r="E277" s="106">
        <v>585</v>
      </c>
      <c r="F277" s="106" t="s">
        <v>755</v>
      </c>
      <c r="G277" s="106">
        <v>0</v>
      </c>
      <c r="H277" s="106" t="s">
        <v>421</v>
      </c>
      <c r="I277" s="106">
        <v>0</v>
      </c>
      <c r="J277" s="106">
        <v>1</v>
      </c>
      <c r="K277" s="106">
        <v>141</v>
      </c>
      <c r="L277" s="106">
        <v>553</v>
      </c>
      <c r="M277" s="106">
        <v>0</v>
      </c>
      <c r="N277" s="106">
        <v>0</v>
      </c>
      <c r="O277" s="108"/>
    </row>
    <row r="278" spans="1:15">
      <c r="A278" s="106">
        <v>95018603</v>
      </c>
      <c r="B278" s="106">
        <v>0</v>
      </c>
      <c r="C278" s="106">
        <v>13402</v>
      </c>
      <c r="D278" s="106" t="s">
        <v>739</v>
      </c>
      <c r="E278" s="106">
        <v>686</v>
      </c>
      <c r="F278" s="106" t="s">
        <v>756</v>
      </c>
      <c r="G278" s="106">
        <v>0</v>
      </c>
      <c r="H278" s="106" t="s">
        <v>421</v>
      </c>
      <c r="I278" s="106">
        <v>0</v>
      </c>
      <c r="J278" s="106">
        <v>1</v>
      </c>
      <c r="K278" s="106">
        <v>142</v>
      </c>
      <c r="L278" s="106">
        <v>554</v>
      </c>
      <c r="M278" s="106">
        <v>0</v>
      </c>
      <c r="N278" s="106">
        <v>0</v>
      </c>
      <c r="O278" s="108"/>
    </row>
    <row r="279" spans="1:15">
      <c r="A279" s="106">
        <v>95018701</v>
      </c>
      <c r="B279" s="106">
        <v>0</v>
      </c>
      <c r="C279" s="106">
        <v>13402</v>
      </c>
      <c r="D279" s="106" t="s">
        <v>739</v>
      </c>
      <c r="E279" s="106">
        <v>687</v>
      </c>
      <c r="F279" s="106" t="s">
        <v>757</v>
      </c>
      <c r="G279" s="106">
        <v>0</v>
      </c>
      <c r="H279" s="106" t="s">
        <v>421</v>
      </c>
      <c r="I279" s="106">
        <v>0</v>
      </c>
      <c r="J279" s="106">
        <v>1</v>
      </c>
      <c r="K279" s="106">
        <v>143</v>
      </c>
      <c r="L279" s="106">
        <v>555</v>
      </c>
      <c r="M279" s="106">
        <v>0</v>
      </c>
      <c r="N279" s="106">
        <v>0</v>
      </c>
      <c r="O279" s="108"/>
    </row>
    <row r="280" spans="1:15">
      <c r="A280" s="106">
        <v>95900012</v>
      </c>
      <c r="B280" s="106">
        <v>1</v>
      </c>
      <c r="C280" s="106">
        <v>13120</v>
      </c>
      <c r="D280" s="106" t="s">
        <v>439</v>
      </c>
      <c r="E280" s="106">
        <v>301</v>
      </c>
      <c r="F280" s="106" t="s">
        <v>758</v>
      </c>
      <c r="G280" s="106">
        <v>0</v>
      </c>
      <c r="H280" s="106" t="s">
        <v>421</v>
      </c>
      <c r="I280" s="106">
        <v>0</v>
      </c>
      <c r="J280" s="106">
        <v>1</v>
      </c>
      <c r="K280" s="106">
        <v>86</v>
      </c>
      <c r="L280" s="106">
        <v>285</v>
      </c>
      <c r="M280" s="106">
        <v>1</v>
      </c>
      <c r="N280" s="106">
        <v>1</v>
      </c>
      <c r="O280" s="108"/>
    </row>
    <row r="281" spans="1:15">
      <c r="A281" s="106">
        <v>95900021</v>
      </c>
      <c r="B281" s="106">
        <v>1</v>
      </c>
      <c r="C281" s="106">
        <v>13120</v>
      </c>
      <c r="D281" s="106" t="s">
        <v>439</v>
      </c>
      <c r="E281" s="106">
        <v>302</v>
      </c>
      <c r="F281" s="106" t="s">
        <v>759</v>
      </c>
      <c r="G281" s="106">
        <v>0</v>
      </c>
      <c r="H281" s="106" t="s">
        <v>421</v>
      </c>
      <c r="I281" s="106">
        <v>0</v>
      </c>
      <c r="J281" s="106">
        <v>1</v>
      </c>
      <c r="K281" s="106">
        <v>87</v>
      </c>
      <c r="L281" s="106">
        <v>286</v>
      </c>
      <c r="M281" s="106">
        <v>1</v>
      </c>
      <c r="N281" s="106">
        <v>1</v>
      </c>
      <c r="O281" s="108"/>
    </row>
    <row r="282" spans="1:15">
      <c r="A282" s="106">
        <v>95900039</v>
      </c>
      <c r="B282" s="106">
        <v>1</v>
      </c>
      <c r="C282" s="106">
        <v>13120</v>
      </c>
      <c r="D282" s="106" t="s">
        <v>439</v>
      </c>
      <c r="E282" s="106">
        <v>303</v>
      </c>
      <c r="F282" s="106" t="s">
        <v>760</v>
      </c>
      <c r="G282" s="106">
        <v>0</v>
      </c>
      <c r="H282" s="106" t="s">
        <v>421</v>
      </c>
      <c r="I282" s="106">
        <v>0</v>
      </c>
      <c r="J282" s="106">
        <v>1</v>
      </c>
      <c r="K282" s="106">
        <v>88</v>
      </c>
      <c r="L282" s="106">
        <v>294</v>
      </c>
      <c r="M282" s="106">
        <v>1</v>
      </c>
      <c r="N282" s="106">
        <v>1</v>
      </c>
      <c r="O282" s="108"/>
    </row>
    <row r="283" spans="1:15">
      <c r="A283" s="106">
        <v>95900047</v>
      </c>
      <c r="B283" s="106">
        <v>1</v>
      </c>
      <c r="C283" s="106">
        <v>13120</v>
      </c>
      <c r="D283" s="106" t="s">
        <v>439</v>
      </c>
      <c r="E283" s="106">
        <v>304</v>
      </c>
      <c r="F283" s="106" t="s">
        <v>761</v>
      </c>
      <c r="G283" s="106">
        <v>0</v>
      </c>
      <c r="H283" s="106" t="s">
        <v>421</v>
      </c>
      <c r="I283" s="106">
        <v>0</v>
      </c>
      <c r="J283" s="106">
        <v>1</v>
      </c>
      <c r="K283" s="106">
        <v>89</v>
      </c>
      <c r="L283" s="106">
        <v>287</v>
      </c>
      <c r="M283" s="106">
        <v>1</v>
      </c>
      <c r="N283" s="106">
        <v>1</v>
      </c>
      <c r="O283" s="108"/>
    </row>
    <row r="284" spans="1:15">
      <c r="A284" s="106">
        <v>95900055</v>
      </c>
      <c r="B284" s="106">
        <v>1</v>
      </c>
      <c r="C284" s="106">
        <v>13120</v>
      </c>
      <c r="D284" s="106" t="s">
        <v>439</v>
      </c>
      <c r="E284" s="106">
        <v>305</v>
      </c>
      <c r="F284" s="106" t="s">
        <v>762</v>
      </c>
      <c r="G284" s="106">
        <v>0</v>
      </c>
      <c r="H284" s="106" t="s">
        <v>421</v>
      </c>
      <c r="I284" s="106">
        <v>0</v>
      </c>
      <c r="J284" s="106">
        <v>1</v>
      </c>
      <c r="K284" s="106">
        <v>90</v>
      </c>
      <c r="L284" s="106">
        <v>288</v>
      </c>
      <c r="M284" s="106">
        <v>1</v>
      </c>
      <c r="N284" s="106">
        <v>1</v>
      </c>
      <c r="O284" s="108"/>
    </row>
    <row r="285" spans="1:15">
      <c r="A285" s="106">
        <v>95900063</v>
      </c>
      <c r="B285" s="106">
        <v>1</v>
      </c>
      <c r="C285" s="106">
        <v>13120</v>
      </c>
      <c r="D285" s="106" t="s">
        <v>439</v>
      </c>
      <c r="E285" s="106">
        <v>306</v>
      </c>
      <c r="F285" s="106" t="s">
        <v>763</v>
      </c>
      <c r="G285" s="106">
        <v>0</v>
      </c>
      <c r="H285" s="106" t="s">
        <v>421</v>
      </c>
      <c r="I285" s="106">
        <v>0</v>
      </c>
      <c r="J285" s="106">
        <v>1</v>
      </c>
      <c r="K285" s="106">
        <v>91</v>
      </c>
      <c r="L285" s="106">
        <v>289</v>
      </c>
      <c r="M285" s="106">
        <v>1</v>
      </c>
      <c r="N285" s="106">
        <v>0</v>
      </c>
      <c r="O285" s="108"/>
    </row>
    <row r="286" spans="1:15">
      <c r="A286" s="106">
        <v>95900071</v>
      </c>
      <c r="B286" s="106">
        <v>1</v>
      </c>
      <c r="C286" s="106">
        <v>13120</v>
      </c>
      <c r="D286" s="106" t="s">
        <v>439</v>
      </c>
      <c r="E286" s="106">
        <v>307</v>
      </c>
      <c r="F286" s="106" t="s">
        <v>764</v>
      </c>
      <c r="G286" s="106">
        <v>0</v>
      </c>
      <c r="H286" s="106" t="s">
        <v>421</v>
      </c>
      <c r="I286" s="106">
        <v>0</v>
      </c>
      <c r="J286" s="106">
        <v>1</v>
      </c>
      <c r="K286" s="106">
        <v>92</v>
      </c>
      <c r="L286" s="106">
        <v>300</v>
      </c>
      <c r="M286" s="106">
        <v>0</v>
      </c>
      <c r="N286" s="106">
        <v>1</v>
      </c>
      <c r="O286" s="108"/>
    </row>
    <row r="287" spans="1:15">
      <c r="A287" s="106">
        <v>95900080</v>
      </c>
      <c r="B287" s="106">
        <v>1</v>
      </c>
      <c r="C287" s="106">
        <v>13120</v>
      </c>
      <c r="D287" s="106" t="s">
        <v>439</v>
      </c>
      <c r="E287" s="106">
        <v>308</v>
      </c>
      <c r="F287" s="106" t="s">
        <v>765</v>
      </c>
      <c r="G287" s="106">
        <v>0</v>
      </c>
      <c r="H287" s="106" t="s">
        <v>421</v>
      </c>
      <c r="I287" s="106">
        <v>0</v>
      </c>
      <c r="J287" s="106">
        <v>1</v>
      </c>
      <c r="K287" s="106">
        <v>93</v>
      </c>
      <c r="L287" s="106">
        <v>303</v>
      </c>
      <c r="M287" s="106">
        <v>0</v>
      </c>
      <c r="N287" s="106">
        <v>1</v>
      </c>
      <c r="O287" s="108"/>
    </row>
    <row r="288" spans="1:15">
      <c r="A288" s="106">
        <v>95900098</v>
      </c>
      <c r="B288" s="106">
        <v>1</v>
      </c>
      <c r="C288" s="106">
        <v>13120</v>
      </c>
      <c r="D288" s="106" t="s">
        <v>439</v>
      </c>
      <c r="E288" s="106">
        <v>309</v>
      </c>
      <c r="F288" s="106" t="s">
        <v>766</v>
      </c>
      <c r="G288" s="106">
        <v>0</v>
      </c>
      <c r="H288" s="106" t="s">
        <v>421</v>
      </c>
      <c r="I288" s="106">
        <v>0</v>
      </c>
      <c r="J288" s="106">
        <v>1</v>
      </c>
      <c r="K288" s="106">
        <v>94</v>
      </c>
      <c r="L288" s="106">
        <v>301</v>
      </c>
      <c r="M288" s="106">
        <v>0</v>
      </c>
      <c r="N288" s="106">
        <v>1</v>
      </c>
      <c r="O288" s="108"/>
    </row>
    <row r="289" spans="1:15">
      <c r="A289" s="106">
        <v>95900101</v>
      </c>
      <c r="B289" s="106">
        <v>1</v>
      </c>
      <c r="C289" s="106">
        <v>13120</v>
      </c>
      <c r="D289" s="106" t="s">
        <v>439</v>
      </c>
      <c r="E289" s="106">
        <v>310</v>
      </c>
      <c r="F289" s="106" t="s">
        <v>767</v>
      </c>
      <c r="G289" s="106">
        <v>0</v>
      </c>
      <c r="H289" s="106" t="s">
        <v>421</v>
      </c>
      <c r="I289" s="106">
        <v>0</v>
      </c>
      <c r="J289" s="106">
        <v>1</v>
      </c>
      <c r="K289" s="106">
        <v>95</v>
      </c>
      <c r="L289" s="106">
        <v>292</v>
      </c>
      <c r="M289" s="106">
        <v>0</v>
      </c>
      <c r="N289" s="106">
        <v>1</v>
      </c>
      <c r="O289" s="108"/>
    </row>
    <row r="290" spans="1:15">
      <c r="A290" s="106">
        <v>95900110</v>
      </c>
      <c r="B290" s="106">
        <v>1</v>
      </c>
      <c r="C290" s="106">
        <v>13120</v>
      </c>
      <c r="D290" s="106" t="s">
        <v>439</v>
      </c>
      <c r="E290" s="106">
        <v>311</v>
      </c>
      <c r="F290" s="106" t="s">
        <v>768</v>
      </c>
      <c r="G290" s="106">
        <v>0</v>
      </c>
      <c r="H290" s="106" t="s">
        <v>421</v>
      </c>
      <c r="I290" s="106">
        <v>0</v>
      </c>
      <c r="J290" s="106">
        <v>1</v>
      </c>
      <c r="K290" s="106">
        <v>96</v>
      </c>
      <c r="L290" s="106">
        <v>302</v>
      </c>
      <c r="M290" s="106">
        <v>0</v>
      </c>
      <c r="N290" s="106">
        <v>0</v>
      </c>
      <c r="O290" s="108"/>
    </row>
  </sheetData>
  <autoFilter ref="A4:O290" xr:uid="{D2235742-E9BA-4CDA-ABD9-F85BFA796A4C}">
    <sortState xmlns:xlrd2="http://schemas.microsoft.com/office/spreadsheetml/2017/richdata2" ref="A5:O289">
      <sortCondition ref="L4"/>
    </sortState>
  </autoFilter>
  <phoneticPr fontId="12"/>
  <pageMargins left="0.51181102362204722" right="0.51181102362204722" top="0.39370078740157483" bottom="0.39370078740157483" header="0.31496062992125984" footer="0.19685039370078741"/>
  <pageSetup paperSize="9" scale="95" orientation="portrait" r:id="rId1"/>
  <headerFooter>
    <oddFooter>&amp;P / &amp;N ページ</oddFooter>
  </headerFooter>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0F816-AED2-44C2-8D6E-0770DC4E744B}">
  <sheetPr>
    <tabColor theme="0" tint="-0.249977111117893"/>
  </sheetPr>
  <dimension ref="B2:AG49"/>
  <sheetViews>
    <sheetView topLeftCell="B1" workbookViewId="0">
      <selection activeCell="B1" sqref="B1"/>
    </sheetView>
  </sheetViews>
  <sheetFormatPr defaultColWidth="9" defaultRowHeight="12.6"/>
  <cols>
    <col min="1" max="1" width="9" style="84"/>
    <col min="2" max="2" width="23.625" style="84" bestFit="1" customWidth="1"/>
    <col min="3" max="3" width="42.125" style="84" bestFit="1" customWidth="1"/>
    <col min="4" max="4" width="9" style="84"/>
    <col min="5" max="5" width="18.625" style="84" bestFit="1" customWidth="1"/>
    <col min="6" max="6" width="5.5" style="84" bestFit="1" customWidth="1"/>
    <col min="7" max="7" width="29.625" style="84" bestFit="1" customWidth="1"/>
    <col min="8" max="8" width="16.125" style="84" bestFit="1" customWidth="1"/>
    <col min="9" max="9" width="5.5" style="84" customWidth="1"/>
    <col min="10" max="10" width="11.375" style="84" bestFit="1" customWidth="1"/>
    <col min="11" max="11" width="29.625" style="84" bestFit="1" customWidth="1"/>
    <col min="12" max="12" width="23.125" style="84" bestFit="1" customWidth="1"/>
    <col min="13" max="13" width="9" style="84"/>
    <col min="14" max="14" width="13.375" style="84" bestFit="1" customWidth="1"/>
    <col min="15" max="15" width="10.375" style="84" bestFit="1" customWidth="1"/>
    <col min="16" max="16" width="12.125" style="84" bestFit="1" customWidth="1"/>
    <col min="17" max="17" width="5.5" style="84" bestFit="1" customWidth="1"/>
    <col min="18" max="18" width="9" style="84"/>
    <col min="19" max="19" width="11.125" style="84" bestFit="1" customWidth="1"/>
    <col min="20" max="20" width="9.125" style="84" bestFit="1" customWidth="1"/>
    <col min="21" max="21" width="16.625" style="84" bestFit="1" customWidth="1"/>
    <col min="22" max="22" width="5.5" style="84" bestFit="1" customWidth="1"/>
    <col min="23" max="23" width="9" style="84"/>
    <col min="24" max="25" width="17.5" style="84" bestFit="1" customWidth="1"/>
    <col min="26" max="26" width="15.625" style="84" bestFit="1" customWidth="1"/>
    <col min="27" max="27" width="7.375" style="84" bestFit="1" customWidth="1"/>
    <col min="28" max="28" width="9" style="84"/>
    <col min="29" max="29" width="18.625" style="84" bestFit="1" customWidth="1"/>
    <col min="30" max="30" width="19.625" style="84" bestFit="1" customWidth="1"/>
    <col min="31" max="31" width="5.5" style="84" bestFit="1" customWidth="1"/>
    <col min="32" max="32" width="29.625" style="84" bestFit="1" customWidth="1"/>
    <col min="33" max="33" width="26.625" style="84" bestFit="1" customWidth="1"/>
    <col min="34" max="16384" width="9" style="84"/>
  </cols>
  <sheetData>
    <row r="2" spans="2:33">
      <c r="B2" s="84" t="s">
        <v>769</v>
      </c>
    </row>
    <row r="4" spans="2:33">
      <c r="B4" s="84" t="s">
        <v>770</v>
      </c>
      <c r="E4" s="84" t="s">
        <v>771</v>
      </c>
      <c r="J4" s="84" t="s">
        <v>772</v>
      </c>
      <c r="N4" s="84" t="s">
        <v>773</v>
      </c>
      <c r="S4" s="84" t="s">
        <v>774</v>
      </c>
      <c r="X4" s="84" t="s">
        <v>775</v>
      </c>
      <c r="AC4" s="84" t="s">
        <v>776</v>
      </c>
    </row>
    <row r="6" spans="2:33" ht="13.2" thickBot="1">
      <c r="B6" s="85" t="s">
        <v>777</v>
      </c>
      <c r="C6" s="86" t="s">
        <v>778</v>
      </c>
      <c r="E6" s="85" t="s">
        <v>779</v>
      </c>
      <c r="F6" s="87" t="s">
        <v>780</v>
      </c>
      <c r="G6" s="87" t="s">
        <v>781</v>
      </c>
      <c r="H6" s="86" t="s">
        <v>17</v>
      </c>
      <c r="J6" s="85" t="s">
        <v>779</v>
      </c>
      <c r="K6" s="87" t="s">
        <v>781</v>
      </c>
      <c r="L6" s="86" t="s">
        <v>17</v>
      </c>
      <c r="N6" s="85" t="s">
        <v>779</v>
      </c>
      <c r="O6" s="87" t="s">
        <v>782</v>
      </c>
      <c r="P6" s="87" t="s">
        <v>781</v>
      </c>
      <c r="Q6" s="86" t="s">
        <v>17</v>
      </c>
      <c r="S6" s="85" t="s">
        <v>779</v>
      </c>
      <c r="T6" s="87" t="s">
        <v>782</v>
      </c>
      <c r="U6" s="87" t="s">
        <v>781</v>
      </c>
      <c r="V6" s="86" t="s">
        <v>17</v>
      </c>
      <c r="X6" s="85" t="s">
        <v>779</v>
      </c>
      <c r="Y6" s="87" t="s">
        <v>782</v>
      </c>
      <c r="Z6" s="87" t="s">
        <v>781</v>
      </c>
      <c r="AA6" s="86" t="s">
        <v>17</v>
      </c>
      <c r="AC6" s="85" t="s">
        <v>779</v>
      </c>
      <c r="AD6" s="87" t="s">
        <v>783</v>
      </c>
      <c r="AE6" s="87" t="s">
        <v>784</v>
      </c>
      <c r="AF6" s="87" t="s">
        <v>781</v>
      </c>
      <c r="AG6" s="86" t="s">
        <v>17</v>
      </c>
    </row>
    <row r="7" spans="2:33" ht="13.2" thickTop="1">
      <c r="B7" s="88" t="s">
        <v>785</v>
      </c>
      <c r="C7" s="89" t="s">
        <v>786</v>
      </c>
      <c r="E7" s="88" t="s">
        <v>787</v>
      </c>
      <c r="F7" s="84" t="s">
        <v>788</v>
      </c>
      <c r="G7" s="84" t="s">
        <v>342</v>
      </c>
      <c r="H7" s="89"/>
      <c r="J7" s="88" t="s">
        <v>789</v>
      </c>
      <c r="K7" s="84" t="s">
        <v>790</v>
      </c>
      <c r="L7" s="89"/>
      <c r="N7" s="88" t="s">
        <v>791</v>
      </c>
      <c r="P7" s="84" t="s">
        <v>790</v>
      </c>
      <c r="Q7" s="89"/>
      <c r="S7" s="88" t="s">
        <v>792</v>
      </c>
      <c r="T7" s="84" t="s">
        <v>793</v>
      </c>
      <c r="U7" s="84" t="s">
        <v>794</v>
      </c>
      <c r="V7" s="89"/>
      <c r="X7" s="88" t="s">
        <v>795</v>
      </c>
      <c r="Z7" s="84" t="s">
        <v>796</v>
      </c>
      <c r="AA7" s="89"/>
      <c r="AC7" s="88" t="s">
        <v>797</v>
      </c>
      <c r="AE7" s="84" t="s">
        <v>95</v>
      </c>
      <c r="AF7" s="84" t="s">
        <v>798</v>
      </c>
      <c r="AG7" s="89"/>
    </row>
    <row r="8" spans="2:33">
      <c r="B8" s="88" t="s">
        <v>799</v>
      </c>
      <c r="C8" s="89" t="s">
        <v>800</v>
      </c>
      <c r="E8" s="88" t="s">
        <v>801</v>
      </c>
      <c r="F8" s="84" t="s">
        <v>95</v>
      </c>
      <c r="G8" s="84" t="s">
        <v>798</v>
      </c>
      <c r="H8" s="89"/>
      <c r="J8" s="88"/>
      <c r="K8" s="84" t="s">
        <v>802</v>
      </c>
      <c r="L8" s="89"/>
      <c r="N8" s="90" t="s">
        <v>803</v>
      </c>
      <c r="O8" s="84" t="s">
        <v>804</v>
      </c>
      <c r="P8" s="84" t="s">
        <v>790</v>
      </c>
      <c r="Q8" s="89"/>
      <c r="S8" s="88"/>
      <c r="U8" s="84" t="s">
        <v>805</v>
      </c>
      <c r="V8" s="89"/>
      <c r="X8" s="88" t="s">
        <v>806</v>
      </c>
      <c r="Z8" s="84" t="s">
        <v>807</v>
      </c>
      <c r="AA8" s="89"/>
      <c r="AC8" s="88"/>
      <c r="AF8" s="84" t="s">
        <v>805</v>
      </c>
      <c r="AG8" s="89"/>
    </row>
    <row r="9" spans="2:33">
      <c r="B9" s="88" t="s">
        <v>808</v>
      </c>
      <c r="C9" s="89" t="s">
        <v>809</v>
      </c>
      <c r="E9" s="88"/>
      <c r="G9" s="84" t="s">
        <v>810</v>
      </c>
      <c r="H9" s="89"/>
      <c r="J9" s="88"/>
      <c r="K9" s="84" t="s">
        <v>811</v>
      </c>
      <c r="L9" s="89" t="s">
        <v>812</v>
      </c>
      <c r="N9" s="90" t="s">
        <v>803</v>
      </c>
      <c r="O9" s="84" t="s">
        <v>813</v>
      </c>
      <c r="P9" s="84" t="s">
        <v>790</v>
      </c>
      <c r="Q9" s="89"/>
      <c r="S9" s="88"/>
      <c r="U9" s="84" t="s">
        <v>807</v>
      </c>
      <c r="V9" s="89"/>
      <c r="X9" s="88" t="s">
        <v>814</v>
      </c>
      <c r="Y9" s="84" t="s">
        <v>815</v>
      </c>
      <c r="Z9" s="84" t="s">
        <v>807</v>
      </c>
      <c r="AA9" s="89" t="s">
        <v>816</v>
      </c>
      <c r="AC9" s="88"/>
      <c r="AF9" s="84" t="s">
        <v>817</v>
      </c>
      <c r="AG9" s="89"/>
    </row>
    <row r="10" spans="2:33">
      <c r="B10" s="88" t="s">
        <v>818</v>
      </c>
      <c r="C10" s="89" t="s">
        <v>819</v>
      </c>
      <c r="E10" s="88"/>
      <c r="G10" s="84" t="s">
        <v>820</v>
      </c>
      <c r="H10" s="89"/>
      <c r="J10" s="88" t="s">
        <v>821</v>
      </c>
      <c r="K10" s="84" t="s">
        <v>805</v>
      </c>
      <c r="L10" s="89"/>
      <c r="N10" s="88" t="s">
        <v>822</v>
      </c>
      <c r="P10" s="84" t="s">
        <v>790</v>
      </c>
      <c r="Q10" s="89"/>
      <c r="S10" s="88"/>
      <c r="U10" s="84" t="s">
        <v>823</v>
      </c>
      <c r="V10" s="89"/>
      <c r="X10" s="88" t="s">
        <v>814</v>
      </c>
      <c r="Y10" s="84" t="s">
        <v>824</v>
      </c>
      <c r="Z10" s="84" t="s">
        <v>807</v>
      </c>
      <c r="AA10" s="89" t="s">
        <v>816</v>
      </c>
      <c r="AC10" s="88" t="s">
        <v>825</v>
      </c>
      <c r="AD10" s="84" t="s">
        <v>826</v>
      </c>
      <c r="AE10" s="84" t="s">
        <v>95</v>
      </c>
      <c r="AF10" s="84" t="s">
        <v>798</v>
      </c>
      <c r="AG10" s="89"/>
    </row>
    <row r="11" spans="2:33">
      <c r="B11" s="88" t="s">
        <v>827</v>
      </c>
      <c r="C11" s="89" t="s">
        <v>828</v>
      </c>
      <c r="E11" s="88" t="s">
        <v>829</v>
      </c>
      <c r="F11" s="84" t="s">
        <v>95</v>
      </c>
      <c r="G11" s="84" t="s">
        <v>798</v>
      </c>
      <c r="H11" s="89"/>
      <c r="J11" s="88"/>
      <c r="K11" s="84" t="s">
        <v>802</v>
      </c>
      <c r="L11" s="89"/>
      <c r="N11" s="90" t="s">
        <v>830</v>
      </c>
      <c r="O11" s="84" t="s">
        <v>831</v>
      </c>
      <c r="P11" s="84" t="s">
        <v>790</v>
      </c>
      <c r="Q11" s="89"/>
      <c r="S11" s="88" t="s">
        <v>792</v>
      </c>
      <c r="T11" s="84" t="s">
        <v>832</v>
      </c>
      <c r="U11" s="84" t="s">
        <v>823</v>
      </c>
      <c r="V11" s="89"/>
      <c r="X11" s="88" t="s">
        <v>833</v>
      </c>
      <c r="Y11" s="84" t="s">
        <v>834</v>
      </c>
      <c r="Z11" s="84" t="s">
        <v>807</v>
      </c>
      <c r="AA11" s="89"/>
      <c r="AC11" s="88"/>
      <c r="AF11" s="84" t="s">
        <v>142</v>
      </c>
      <c r="AG11" s="89"/>
    </row>
    <row r="12" spans="2:33">
      <c r="B12" s="88" t="s">
        <v>835</v>
      </c>
      <c r="C12" s="89" t="s">
        <v>836</v>
      </c>
      <c r="E12" s="88"/>
      <c r="G12" s="84" t="s">
        <v>810</v>
      </c>
      <c r="H12" s="89"/>
      <c r="J12" s="88"/>
      <c r="K12" s="84" t="s">
        <v>811</v>
      </c>
      <c r="L12" s="89" t="s">
        <v>812</v>
      </c>
      <c r="N12" s="88" t="s">
        <v>837</v>
      </c>
      <c r="P12" s="84" t="s">
        <v>790</v>
      </c>
      <c r="Q12" s="89"/>
      <c r="S12" s="88"/>
      <c r="U12" s="84" t="s">
        <v>805</v>
      </c>
      <c r="V12" s="89"/>
      <c r="X12" s="88" t="s">
        <v>833</v>
      </c>
      <c r="Y12" s="84" t="s">
        <v>838</v>
      </c>
      <c r="Z12" s="84" t="s">
        <v>807</v>
      </c>
      <c r="AA12" s="89"/>
      <c r="AC12" s="88" t="s">
        <v>825</v>
      </c>
      <c r="AD12" s="84" t="s">
        <v>839</v>
      </c>
      <c r="AE12" s="84" t="s">
        <v>95</v>
      </c>
      <c r="AF12" s="84" t="s">
        <v>798</v>
      </c>
      <c r="AG12" s="89"/>
    </row>
    <row r="13" spans="2:33">
      <c r="B13" s="88" t="s">
        <v>840</v>
      </c>
      <c r="C13" s="89" t="s">
        <v>841</v>
      </c>
      <c r="E13" s="88"/>
      <c r="G13" s="84" t="s">
        <v>820</v>
      </c>
      <c r="H13" s="89"/>
      <c r="J13" s="88" t="s">
        <v>842</v>
      </c>
      <c r="K13" s="84" t="s">
        <v>805</v>
      </c>
      <c r="L13" s="89"/>
      <c r="N13" s="88" t="s">
        <v>843</v>
      </c>
      <c r="P13" s="84" t="s">
        <v>790</v>
      </c>
      <c r="Q13" s="89"/>
      <c r="S13" s="88"/>
      <c r="U13" s="84" t="s">
        <v>807</v>
      </c>
      <c r="V13" s="89"/>
      <c r="X13" s="88" t="s">
        <v>844</v>
      </c>
      <c r="Y13" s="84" t="s">
        <v>845</v>
      </c>
      <c r="Z13" s="84" t="s">
        <v>807</v>
      </c>
      <c r="AA13" s="89"/>
      <c r="AC13" s="88"/>
      <c r="AF13" s="84" t="s">
        <v>142</v>
      </c>
      <c r="AG13" s="89"/>
    </row>
    <row r="14" spans="2:33">
      <c r="B14" s="88" t="s">
        <v>846</v>
      </c>
      <c r="C14" s="89" t="s">
        <v>847</v>
      </c>
      <c r="E14" s="88" t="s">
        <v>848</v>
      </c>
      <c r="F14" s="84" t="s">
        <v>95</v>
      </c>
      <c r="G14" s="84" t="s">
        <v>798</v>
      </c>
      <c r="H14" s="89"/>
      <c r="J14" s="88"/>
      <c r="K14" s="84" t="s">
        <v>802</v>
      </c>
      <c r="L14" s="89"/>
      <c r="N14" s="88" t="s">
        <v>849</v>
      </c>
      <c r="O14" s="84" t="s">
        <v>850</v>
      </c>
      <c r="P14" s="84" t="s">
        <v>790</v>
      </c>
      <c r="Q14" s="89"/>
      <c r="S14" s="88"/>
      <c r="U14" s="84" t="s">
        <v>823</v>
      </c>
      <c r="V14" s="89"/>
      <c r="X14" s="88" t="s">
        <v>844</v>
      </c>
      <c r="Y14" s="84" t="s">
        <v>851</v>
      </c>
      <c r="Z14" s="84" t="s">
        <v>807</v>
      </c>
      <c r="AA14" s="89"/>
      <c r="AC14" s="88" t="s">
        <v>825</v>
      </c>
      <c r="AD14" s="84" t="s">
        <v>852</v>
      </c>
      <c r="AE14" s="84" t="s">
        <v>95</v>
      </c>
      <c r="AF14" s="84" t="s">
        <v>798</v>
      </c>
      <c r="AG14" s="89"/>
    </row>
    <row r="15" spans="2:33">
      <c r="B15" s="88" t="s">
        <v>853</v>
      </c>
      <c r="C15" s="89" t="s">
        <v>854</v>
      </c>
      <c r="E15" s="88"/>
      <c r="G15" s="84" t="s">
        <v>855</v>
      </c>
      <c r="H15" s="89"/>
      <c r="J15" s="88" t="s">
        <v>856</v>
      </c>
      <c r="K15" s="84" t="s">
        <v>790</v>
      </c>
      <c r="L15" s="89"/>
      <c r="N15" s="88" t="s">
        <v>849</v>
      </c>
      <c r="O15" s="84" t="s">
        <v>857</v>
      </c>
      <c r="P15" s="84" t="s">
        <v>790</v>
      </c>
      <c r="Q15" s="89"/>
      <c r="S15" s="88" t="s">
        <v>858</v>
      </c>
      <c r="U15" s="84" t="s">
        <v>823</v>
      </c>
      <c r="V15" s="89"/>
      <c r="X15" s="88" t="s">
        <v>844</v>
      </c>
      <c r="Y15" s="84" t="s">
        <v>859</v>
      </c>
      <c r="Z15" s="84" t="s">
        <v>860</v>
      </c>
      <c r="AA15" s="89"/>
      <c r="AC15" s="88"/>
      <c r="AF15" s="84" t="s">
        <v>142</v>
      </c>
      <c r="AG15" s="89"/>
    </row>
    <row r="16" spans="2:33">
      <c r="B16" s="88" t="s">
        <v>861</v>
      </c>
      <c r="C16" s="89" t="s">
        <v>862</v>
      </c>
      <c r="E16" s="88" t="s">
        <v>863</v>
      </c>
      <c r="F16" s="84" t="s">
        <v>95</v>
      </c>
      <c r="G16" s="84" t="s">
        <v>798</v>
      </c>
      <c r="H16" s="89"/>
      <c r="J16" s="91"/>
      <c r="K16" s="92" t="s">
        <v>864</v>
      </c>
      <c r="L16" s="93"/>
      <c r="N16" s="88" t="s">
        <v>865</v>
      </c>
      <c r="P16" s="84" t="s">
        <v>790</v>
      </c>
      <c r="Q16" s="89"/>
      <c r="S16" s="91" t="s">
        <v>866</v>
      </c>
      <c r="T16" s="92"/>
      <c r="U16" s="92" t="s">
        <v>867</v>
      </c>
      <c r="V16" s="93"/>
      <c r="X16" s="88" t="s">
        <v>868</v>
      </c>
      <c r="Y16" s="84" t="s">
        <v>869</v>
      </c>
      <c r="Z16" s="84" t="s">
        <v>807</v>
      </c>
      <c r="AA16" s="89"/>
      <c r="AC16" s="88" t="s">
        <v>870</v>
      </c>
      <c r="AD16" s="84" t="s">
        <v>619</v>
      </c>
      <c r="AE16" s="84" t="s">
        <v>95</v>
      </c>
      <c r="AF16" s="84" t="s">
        <v>798</v>
      </c>
      <c r="AG16" s="89"/>
    </row>
    <row r="17" spans="2:33">
      <c r="B17" s="88" t="s">
        <v>871</v>
      </c>
      <c r="C17" s="89" t="s">
        <v>872</v>
      </c>
      <c r="E17" s="88"/>
      <c r="G17" s="94" t="s">
        <v>873</v>
      </c>
      <c r="H17" s="89" t="s">
        <v>874</v>
      </c>
      <c r="N17" s="88" t="s">
        <v>875</v>
      </c>
      <c r="P17" s="84" t="s">
        <v>790</v>
      </c>
      <c r="Q17" s="89"/>
      <c r="X17" s="88" t="s">
        <v>876</v>
      </c>
      <c r="Y17" s="84" t="s">
        <v>877</v>
      </c>
      <c r="Z17" s="84" t="s">
        <v>807</v>
      </c>
      <c r="AA17" s="89"/>
      <c r="AC17" s="88"/>
      <c r="AF17" s="84" t="s">
        <v>142</v>
      </c>
      <c r="AG17" s="89"/>
    </row>
    <row r="18" spans="2:33">
      <c r="B18" s="95" t="s">
        <v>878</v>
      </c>
      <c r="C18" s="89"/>
      <c r="E18" s="88" t="s">
        <v>879</v>
      </c>
      <c r="F18" s="84" t="s">
        <v>95</v>
      </c>
      <c r="G18" s="84" t="s">
        <v>798</v>
      </c>
      <c r="H18" s="89"/>
      <c r="N18" s="88" t="s">
        <v>880</v>
      </c>
      <c r="P18" s="84" t="s">
        <v>790</v>
      </c>
      <c r="Q18" s="89"/>
      <c r="X18" s="88" t="s">
        <v>881</v>
      </c>
      <c r="Z18" s="84" t="s">
        <v>807</v>
      </c>
      <c r="AA18" s="89"/>
      <c r="AC18" s="88" t="s">
        <v>870</v>
      </c>
      <c r="AD18" s="84" t="s">
        <v>882</v>
      </c>
      <c r="AE18" s="84" t="s">
        <v>95</v>
      </c>
      <c r="AF18" s="84" t="s">
        <v>798</v>
      </c>
      <c r="AG18" s="89"/>
    </row>
    <row r="19" spans="2:33">
      <c r="B19" s="88" t="s">
        <v>883</v>
      </c>
      <c r="C19" s="89" t="s">
        <v>884</v>
      </c>
      <c r="E19" s="88"/>
      <c r="G19" s="84" t="s">
        <v>855</v>
      </c>
      <c r="H19" s="89"/>
      <c r="N19" s="91" t="s">
        <v>885</v>
      </c>
      <c r="O19" s="92"/>
      <c r="P19" s="92" t="s">
        <v>790</v>
      </c>
      <c r="Q19" s="93"/>
      <c r="X19" s="88" t="s">
        <v>886</v>
      </c>
      <c r="Z19" s="84" t="s">
        <v>807</v>
      </c>
      <c r="AA19" s="89"/>
      <c r="AC19" s="88"/>
      <c r="AF19" s="84" t="s">
        <v>142</v>
      </c>
      <c r="AG19" s="89"/>
    </row>
    <row r="20" spans="2:33">
      <c r="B20" s="88" t="s">
        <v>887</v>
      </c>
      <c r="C20" s="89" t="s">
        <v>847</v>
      </c>
      <c r="E20" s="88" t="s">
        <v>888</v>
      </c>
      <c r="F20" s="84" t="s">
        <v>95</v>
      </c>
      <c r="G20" s="84" t="s">
        <v>798</v>
      </c>
      <c r="H20" s="89"/>
      <c r="X20" s="91"/>
      <c r="Y20" s="92"/>
      <c r="Z20" s="92" t="s">
        <v>805</v>
      </c>
      <c r="AA20" s="93"/>
      <c r="AC20" s="88" t="s">
        <v>870</v>
      </c>
      <c r="AD20" s="84" t="s">
        <v>889</v>
      </c>
      <c r="AE20" s="84" t="s">
        <v>95</v>
      </c>
      <c r="AF20" s="84" t="s">
        <v>798</v>
      </c>
      <c r="AG20" s="89"/>
    </row>
    <row r="21" spans="2:33">
      <c r="B21" s="88" t="s">
        <v>890</v>
      </c>
      <c r="C21" s="89" t="s">
        <v>891</v>
      </c>
      <c r="E21" s="88" t="s">
        <v>892</v>
      </c>
      <c r="F21" s="84" t="s">
        <v>95</v>
      </c>
      <c r="G21" s="84" t="s">
        <v>798</v>
      </c>
      <c r="H21" s="89"/>
      <c r="AC21" s="88"/>
      <c r="AF21" s="84" t="s">
        <v>142</v>
      </c>
      <c r="AG21" s="89"/>
    </row>
    <row r="22" spans="2:33">
      <c r="B22" s="88" t="s">
        <v>893</v>
      </c>
      <c r="C22" s="89" t="s">
        <v>894</v>
      </c>
      <c r="E22" s="88"/>
      <c r="G22" s="84" t="s">
        <v>790</v>
      </c>
      <c r="H22" s="89"/>
      <c r="AC22" s="88" t="s">
        <v>870</v>
      </c>
      <c r="AD22" s="84" t="s">
        <v>625</v>
      </c>
      <c r="AE22" s="84" t="s">
        <v>95</v>
      </c>
      <c r="AF22" s="84" t="s">
        <v>798</v>
      </c>
      <c r="AG22" s="89"/>
    </row>
    <row r="23" spans="2:33">
      <c r="B23" s="88" t="s">
        <v>895</v>
      </c>
      <c r="C23" s="89" t="s">
        <v>896</v>
      </c>
      <c r="E23" s="88"/>
      <c r="G23" s="84" t="s">
        <v>811</v>
      </c>
      <c r="H23" s="89"/>
      <c r="AC23" s="88"/>
      <c r="AF23" s="84" t="s">
        <v>142</v>
      </c>
      <c r="AG23" s="89"/>
    </row>
    <row r="24" spans="2:33">
      <c r="B24" s="88" t="s">
        <v>897</v>
      </c>
      <c r="C24" s="89" t="s">
        <v>898</v>
      </c>
      <c r="E24" s="88" t="s">
        <v>899</v>
      </c>
      <c r="F24" s="84" t="s">
        <v>900</v>
      </c>
      <c r="G24" s="84" t="s">
        <v>342</v>
      </c>
      <c r="H24" s="89"/>
      <c r="AC24" s="88" t="s">
        <v>870</v>
      </c>
      <c r="AD24" s="84" t="s">
        <v>901</v>
      </c>
      <c r="AE24" s="84" t="s">
        <v>95</v>
      </c>
      <c r="AF24" s="84" t="s">
        <v>798</v>
      </c>
      <c r="AG24" s="89"/>
    </row>
    <row r="25" spans="2:33">
      <c r="B25" s="88" t="s">
        <v>902</v>
      </c>
      <c r="C25" s="89" t="s">
        <v>903</v>
      </c>
      <c r="E25" s="88" t="s">
        <v>904</v>
      </c>
      <c r="F25" s="84" t="s">
        <v>900</v>
      </c>
      <c r="G25" s="84" t="s">
        <v>342</v>
      </c>
      <c r="H25" s="89"/>
      <c r="AC25" s="88"/>
      <c r="AF25" s="84" t="s">
        <v>142</v>
      </c>
      <c r="AG25" s="89"/>
    </row>
    <row r="26" spans="2:33">
      <c r="B26" s="88" t="s">
        <v>905</v>
      </c>
      <c r="C26" s="89" t="s">
        <v>906</v>
      </c>
      <c r="E26" s="91" t="s">
        <v>907</v>
      </c>
      <c r="F26" s="92" t="s">
        <v>900</v>
      </c>
      <c r="G26" s="92" t="s">
        <v>342</v>
      </c>
      <c r="H26" s="93"/>
      <c r="AC26" s="88" t="s">
        <v>908</v>
      </c>
      <c r="AD26" s="84" t="s">
        <v>909</v>
      </c>
      <c r="AE26" s="84" t="s">
        <v>95</v>
      </c>
      <c r="AF26" s="84" t="s">
        <v>142</v>
      </c>
      <c r="AG26" s="89"/>
    </row>
    <row r="27" spans="2:33">
      <c r="B27" s="88" t="s">
        <v>910</v>
      </c>
      <c r="C27" s="89" t="s">
        <v>911</v>
      </c>
      <c r="AC27" s="88"/>
      <c r="AF27" s="84" t="s">
        <v>912</v>
      </c>
      <c r="AG27" s="89"/>
    </row>
    <row r="28" spans="2:33">
      <c r="B28" s="88" t="s">
        <v>913</v>
      </c>
      <c r="C28" s="89" t="s">
        <v>914</v>
      </c>
      <c r="AC28" s="88" t="s">
        <v>908</v>
      </c>
      <c r="AD28" s="84" t="s">
        <v>915</v>
      </c>
      <c r="AE28" s="84" t="s">
        <v>95</v>
      </c>
      <c r="AF28" s="84" t="s">
        <v>142</v>
      </c>
      <c r="AG28" s="89" t="s">
        <v>916</v>
      </c>
    </row>
    <row r="29" spans="2:33">
      <c r="B29" s="88" t="s">
        <v>917</v>
      </c>
      <c r="C29" s="89" t="s">
        <v>918</v>
      </c>
      <c r="AC29" s="88"/>
      <c r="AF29" s="84" t="s">
        <v>912</v>
      </c>
      <c r="AG29" s="89"/>
    </row>
    <row r="30" spans="2:33">
      <c r="B30" s="88" t="s">
        <v>919</v>
      </c>
      <c r="C30" s="89" t="s">
        <v>920</v>
      </c>
      <c r="AC30" s="88" t="s">
        <v>908</v>
      </c>
      <c r="AD30" s="84" t="s">
        <v>825</v>
      </c>
      <c r="AE30" s="84" t="s">
        <v>95</v>
      </c>
      <c r="AF30" s="84" t="s">
        <v>142</v>
      </c>
      <c r="AG30" s="89" t="s">
        <v>916</v>
      </c>
    </row>
    <row r="31" spans="2:33">
      <c r="B31" s="88" t="s">
        <v>921</v>
      </c>
      <c r="C31" s="89" t="s">
        <v>914</v>
      </c>
      <c r="AC31" s="88"/>
      <c r="AF31" s="84" t="s">
        <v>912</v>
      </c>
      <c r="AG31" s="89"/>
    </row>
    <row r="32" spans="2:33">
      <c r="B32" s="88" t="s">
        <v>922</v>
      </c>
      <c r="C32" s="89" t="s">
        <v>923</v>
      </c>
      <c r="AC32" s="88" t="s">
        <v>908</v>
      </c>
      <c r="AD32" s="84" t="s">
        <v>924</v>
      </c>
      <c r="AE32" s="84" t="s">
        <v>95</v>
      </c>
      <c r="AF32" s="84" t="s">
        <v>142</v>
      </c>
      <c r="AG32" s="89" t="s">
        <v>916</v>
      </c>
    </row>
    <row r="33" spans="2:33">
      <c r="B33" s="91" t="s">
        <v>925</v>
      </c>
      <c r="C33" s="93" t="s">
        <v>926</v>
      </c>
      <c r="AC33" s="88"/>
      <c r="AF33" s="84" t="s">
        <v>912</v>
      </c>
      <c r="AG33" s="89"/>
    </row>
    <row r="34" spans="2:33">
      <c r="AC34" s="88" t="s">
        <v>908</v>
      </c>
      <c r="AD34" s="84" t="s">
        <v>901</v>
      </c>
      <c r="AE34" s="84" t="s">
        <v>95</v>
      </c>
      <c r="AF34" s="84" t="s">
        <v>142</v>
      </c>
      <c r="AG34" s="89" t="s">
        <v>916</v>
      </c>
    </row>
    <row r="35" spans="2:33">
      <c r="AC35" s="88"/>
      <c r="AF35" s="84" t="s">
        <v>912</v>
      </c>
      <c r="AG35" s="89"/>
    </row>
    <row r="36" spans="2:33">
      <c r="AC36" s="88" t="s">
        <v>927</v>
      </c>
      <c r="AD36" s="84" t="s">
        <v>928</v>
      </c>
      <c r="AE36" s="84" t="s">
        <v>95</v>
      </c>
      <c r="AF36" s="84" t="s">
        <v>810</v>
      </c>
      <c r="AG36" s="89"/>
    </row>
    <row r="37" spans="2:33">
      <c r="AC37" s="88" t="s">
        <v>927</v>
      </c>
      <c r="AD37" s="84" t="s">
        <v>929</v>
      </c>
      <c r="AE37" s="84" t="s">
        <v>95</v>
      </c>
      <c r="AF37" s="84" t="s">
        <v>810</v>
      </c>
      <c r="AG37" s="89"/>
    </row>
    <row r="38" spans="2:33">
      <c r="AC38" s="88" t="s">
        <v>927</v>
      </c>
      <c r="AD38" s="84" t="s">
        <v>930</v>
      </c>
      <c r="AE38" s="84" t="s">
        <v>95</v>
      </c>
      <c r="AF38" s="84" t="s">
        <v>810</v>
      </c>
      <c r="AG38" s="89"/>
    </row>
    <row r="39" spans="2:33">
      <c r="AC39" s="88" t="s">
        <v>927</v>
      </c>
      <c r="AD39" s="84" t="s">
        <v>931</v>
      </c>
      <c r="AE39" s="84" t="s">
        <v>95</v>
      </c>
      <c r="AF39" s="84" t="s">
        <v>810</v>
      </c>
      <c r="AG39" s="89"/>
    </row>
    <row r="40" spans="2:33">
      <c r="AC40" s="88" t="s">
        <v>932</v>
      </c>
      <c r="AE40" s="84" t="s">
        <v>95</v>
      </c>
      <c r="AF40" s="84" t="s">
        <v>342</v>
      </c>
      <c r="AG40" s="89"/>
    </row>
    <row r="41" spans="2:33">
      <c r="AC41" s="88" t="s">
        <v>933</v>
      </c>
      <c r="AE41" s="84" t="s">
        <v>95</v>
      </c>
      <c r="AF41" s="84" t="s">
        <v>810</v>
      </c>
      <c r="AG41" s="89"/>
    </row>
    <row r="42" spans="2:33">
      <c r="AC42" s="88" t="s">
        <v>934</v>
      </c>
      <c r="AD42" s="84" t="s">
        <v>935</v>
      </c>
      <c r="AE42" s="84" t="s">
        <v>900</v>
      </c>
      <c r="AF42" s="84" t="s">
        <v>810</v>
      </c>
      <c r="AG42" s="89"/>
    </row>
    <row r="43" spans="2:33">
      <c r="AC43" s="88" t="s">
        <v>934</v>
      </c>
      <c r="AD43" s="84" t="s">
        <v>936</v>
      </c>
      <c r="AE43" s="84" t="s">
        <v>900</v>
      </c>
      <c r="AF43" s="84" t="s">
        <v>810</v>
      </c>
      <c r="AG43" s="89"/>
    </row>
    <row r="44" spans="2:33">
      <c r="AC44" s="88" t="s">
        <v>934</v>
      </c>
      <c r="AD44" s="84" t="s">
        <v>937</v>
      </c>
      <c r="AE44" s="84" t="s">
        <v>900</v>
      </c>
      <c r="AF44" s="84" t="s">
        <v>810</v>
      </c>
      <c r="AG44" s="89"/>
    </row>
    <row r="45" spans="2:33">
      <c r="AC45" s="88" t="s">
        <v>934</v>
      </c>
      <c r="AD45" s="84" t="s">
        <v>938</v>
      </c>
      <c r="AE45" s="84" t="s">
        <v>900</v>
      </c>
      <c r="AF45" s="84" t="s">
        <v>810</v>
      </c>
      <c r="AG45" s="89"/>
    </row>
    <row r="46" spans="2:33">
      <c r="AC46" s="88" t="s">
        <v>934</v>
      </c>
      <c r="AD46" s="84" t="s">
        <v>939</v>
      </c>
      <c r="AE46" s="84" t="s">
        <v>900</v>
      </c>
      <c r="AF46" s="84" t="s">
        <v>810</v>
      </c>
      <c r="AG46" s="89"/>
    </row>
    <row r="47" spans="2:33">
      <c r="AC47" s="88" t="s">
        <v>940</v>
      </c>
      <c r="AD47" s="84" t="s">
        <v>941</v>
      </c>
      <c r="AE47" s="84" t="s">
        <v>900</v>
      </c>
      <c r="AF47" s="84" t="s">
        <v>810</v>
      </c>
      <c r="AG47" s="89"/>
    </row>
    <row r="48" spans="2:33">
      <c r="AC48" s="88" t="s">
        <v>940</v>
      </c>
      <c r="AD48" s="84" t="s">
        <v>942</v>
      </c>
      <c r="AE48" s="84" t="s">
        <v>900</v>
      </c>
      <c r="AF48" s="84" t="s">
        <v>810</v>
      </c>
      <c r="AG48" s="89"/>
    </row>
    <row r="49" spans="29:33">
      <c r="AC49" s="91" t="s">
        <v>943</v>
      </c>
      <c r="AD49" s="92" t="s">
        <v>941</v>
      </c>
      <c r="AE49" s="92" t="s">
        <v>900</v>
      </c>
      <c r="AF49" s="92" t="s">
        <v>810</v>
      </c>
      <c r="AG49" s="93"/>
    </row>
  </sheetData>
  <phoneticPr fontId="12"/>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8A3652B-CDA1-4410-A265-BF2DCCF8C059}"/>
</file>

<file path=customXml/itemProps2.xml><?xml version="1.0" encoding="utf-8"?>
<ds:datastoreItem xmlns:ds="http://schemas.openxmlformats.org/officeDocument/2006/customXml" ds:itemID="{C3B1A985-4E3A-417E-9A69-802E3198C712}">
  <ds:schemaRefs>
    <ds:schemaRef ds:uri="http://purl.org/dc/elements/1.1/"/>
    <ds:schemaRef ds:uri="http://schemas.microsoft.com/office/infopath/2007/PartnerControls"/>
    <ds:schemaRef ds:uri="http://purl.org/dc/terms/"/>
    <ds:schemaRef ds:uri="http://schemas.microsoft.com/office/2006/metadata/properties"/>
    <ds:schemaRef ds:uri="http://schemas.microsoft.com/office/2006/documentManagement/types"/>
    <ds:schemaRef ds:uri="925fb8bf-6124-4564-9086-bab0bf327637"/>
    <ds:schemaRef ds:uri="http://schemas.openxmlformats.org/package/2006/metadata/core-properties"/>
    <ds:schemaRef ds:uri="cc94ae7b-2025-4ffb-bd04-1297cd213e7a"/>
    <ds:schemaRef ds:uri="http://www.w3.org/XML/1998/namespace"/>
    <ds:schemaRef ds:uri="http://purl.org/dc/dcmitype/"/>
  </ds:schemaRefs>
</ds:datastoreItem>
</file>

<file path=customXml/itemProps3.xml><?xml version="1.0" encoding="utf-8"?>
<ds:datastoreItem xmlns:ds="http://schemas.openxmlformats.org/officeDocument/2006/customXml" ds:itemID="{967336F9-942E-4263-90AB-19E036EC509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8</vt:i4>
      </vt:variant>
    </vt:vector>
  </HeadingPairs>
  <TitlesOfParts>
    <vt:vector size="18" baseType="lpstr">
      <vt:lpstr>ST仕様書表紙</vt:lpstr>
      <vt:lpstr>集配信インターフェースファイル</vt:lpstr>
      <vt:lpstr>カタリナクーポン</vt:lpstr>
      <vt:lpstr>全トラン抽出(d払い)</vt:lpstr>
      <vt:lpstr>クレジット明細データ</vt:lpstr>
      <vt:lpstr>精算確定報</vt:lpstr>
      <vt:lpstr>入金アラート</vt:lpstr>
      <vt:lpstr>【リンク】表B</vt:lpstr>
      <vt:lpstr>【参考】入出金マスタ</vt:lpstr>
      <vt:lpstr>【参考】パターン</vt:lpstr>
      <vt:lpstr>ST仕様書表紙!Print_Area</vt:lpstr>
      <vt:lpstr>カタリナクーポン!Print_Area</vt:lpstr>
      <vt:lpstr>クレジット明細データ!Print_Area</vt:lpstr>
      <vt:lpstr>集配信インターフェースファイル!Print_Area</vt:lpstr>
      <vt:lpstr>精算確定報!Print_Area</vt:lpstr>
      <vt:lpstr>'全トラン抽出(d払い)'!Print_Area</vt:lpstr>
      <vt:lpstr>入金アラート!Print_Area</vt:lpstr>
      <vt:lpstr>【参考】入出金マスタ!Print_Titles</vt:lpstr>
    </vt:vector>
  </TitlesOfParts>
  <Manager/>
  <Company>FJTS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Yoshino, Toya/吉野 柊也</cp:lastModifiedBy>
  <cp:revision/>
  <dcterms:created xsi:type="dcterms:W3CDTF">1997-07-11T07:53:19Z</dcterms:created>
  <dcterms:modified xsi:type="dcterms:W3CDTF">2025-01-27T08:20:09Z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SiteId">
    <vt:lpwstr>a19f121d-81e1-4858-a9d8-736e267fd4c7</vt:lpwstr>
  </property>
  <property fmtid="{D5CDD505-2E9C-101B-9397-08002B2CF9AE}" pid="3" name="MSIP_Label_1e92ef73-0ad1-40c5-ad55-46de3396802f_SetDate">
    <vt:lpwstr>2022-04-14T09:02:45Z</vt:lpwstr>
  </property>
  <property fmtid="{D5CDD505-2E9C-101B-9397-08002B2CF9AE}" pid="4" name="MSIP_Label_1e92ef73-0ad1-40c5-ad55-46de3396802f_Name">
    <vt:lpwstr/>
  </property>
  <property fmtid="{D5CDD505-2E9C-101B-9397-08002B2CF9AE}" pid="5" name="MSIP_Label_1e92ef73-0ad1-40c5-ad55-46de3396802f_Method">
    <vt:lpwstr>Privileged</vt:lpwstr>
  </property>
  <property fmtid="{D5CDD505-2E9C-101B-9397-08002B2CF9AE}" pid="6" name="MSIP_Label_1e92ef73-0ad1-40c5-ad55-46de3396802f_Enabled">
    <vt:lpwstr>true</vt:lpwstr>
  </property>
  <property fmtid="{D5CDD505-2E9C-101B-9397-08002B2CF9AE}" pid="7" name="MSIP_Label_1e92ef73-0ad1-40c5-ad55-46de3396802f_ContentBits">
    <vt:lpwstr>0</vt:lpwstr>
  </property>
  <property fmtid="{D5CDD505-2E9C-101B-9397-08002B2CF9AE}" pid="8" name="MSIP_Label_1e92ef73-0ad1-40c5-ad55-46de3396802f_ActionId">
    <vt:lpwstr>6fad91d2-ea3c-48d7-83e9-10beb0c66980</vt:lpwstr>
  </property>
  <property fmtid="{D5CDD505-2E9C-101B-9397-08002B2CF9AE}" pid="9" name="ContentTypeId">
    <vt:lpwstr>0x0101008AB003DB5A4D644C9FB3BD19B5C7E000</vt:lpwstr>
  </property>
  <property fmtid="{D5CDD505-2E9C-101B-9397-08002B2CF9AE}" pid="10" name="MediaServiceImageTags">
    <vt:lpwstr/>
  </property>
</Properties>
</file>