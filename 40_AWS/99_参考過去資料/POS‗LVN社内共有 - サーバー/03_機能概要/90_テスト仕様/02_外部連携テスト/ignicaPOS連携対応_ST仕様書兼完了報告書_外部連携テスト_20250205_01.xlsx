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2" documentId="8_{63DE28EA-B2E0-40C7-900C-E5A4014923D1}" xr6:coauthVersionLast="47" xr6:coauthVersionMax="47" xr10:uidLastSave="{F89F05C1-86EE-4B49-9B05-5E8A690A1ADF}"/>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<sst xmlns="http://schemas.openxmlformats.org/spreadsheetml/2006/main" count="3322" uniqueCount="945">
  <si>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</si>
  <si>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</si>
  <si>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</si>
  <si>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</si>
  <si>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</si>
  <si>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</si>
  <si>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</si>
  <si>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</si>
  <si>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</si>
  <si>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</si>
  <si>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</si>
  <si>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</si>
  <si>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</si>
  <si>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</si>
  <si>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</si>
  <si>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</si>
  <si>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</si>
  <si>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</si>
  <si>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</si>
  <si>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</si>
  <si>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</si>
  <si>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</si>
  <si>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</si>
  <si>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</si>
  <si>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</si>
  <si>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</si>
  <si>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</si>
  <si>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</si>
  <si>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</si>
  <si>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</si>
  <si>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</si>
  <si>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</si>
  <si>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</si>
  <si>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</si>
  <si>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</si>
  <si>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</si>
  <si>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</si>
  <si>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</si>
  <si>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</si>
  <si>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</si>
  <si>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</si>
  <si>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</si>
  <si>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</si>
  <si>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</si>
  <si>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</si>
  <si>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</si>
  <si>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</si>
  <si>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</si>
  <si>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</si>
  <si>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</si>
  <si>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</si>
  <si>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</si>
  <si>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</si>
  <si>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</si>
  <si>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</si>
  <si>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</si>
  <si>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</si>
  <si>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</si>
  <si>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</si>
  <si>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</si>
  <si>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</si>
  <si>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</si>
  <si>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</si>
  <si>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</si>
  <si>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</si>
  <si>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</si>
  <si>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</si>
  <si>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</si>
  <si>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</si>
  <si>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</si>
  <si>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</si>
  <si>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</si>
  <si>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</si>
  <si>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</si>
  <si>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</si>
  <si>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</si>
  <si>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</si>
  <si>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</si>
  <si>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</si>
  <si>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</si>
  <si>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</si>
  <si>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</si>
  <si>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</si>
  <si>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</si>
  <si>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</si>
  <si>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</si>
  <si>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</si>
  <si>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</si>
  <si>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</si>
  <si>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</si>
  <si>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</si>
  <si>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</si>
  <si>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</si>
  <si>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</si>
  <si>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</si>
  <si>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</si>
  <si>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</si>
  <si>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</si>
  <si>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</si>
  <si>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</si>
  <si>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</si>
  <si>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</si>
  <si>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</si>
  <si>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</si>
  <si>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</si>
  <si>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</si>
  <si>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</si>
  <si>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</si>
  <si>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</si>
  <si>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</si>
  <si>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</si>
  <si>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</si>
  <si>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</si>
  <si>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</si>
  <si>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</si>
  <si>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</si>
  <si>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</si>
  <si>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</si>
  <si>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</si>
  <si>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</si>
  <si>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</si>
  <si>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</si>
  <si>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</si>
  <si>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</si>
  <si>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</si>
  <si>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</si>
  <si>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</si>
  <si>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</si>
  <si>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</si>
  <si>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</si>
  <si>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</si>
  <si>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</si>
  <si>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</si>
  <si>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</si>
  <si>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</si>
  <si>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</si>
  <si>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</si>
  <si>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</si>
  <si>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</si>
  <si>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</si>
  <si>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</si>
  <si>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</si>
  <si>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</si>
  <si>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</si>
  <si>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</si>
  <si>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</si>
  <si>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</si>
  <si>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</si>
  <si>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</si>
  <si>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</si>
  <si>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</si>
  <si>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</si>
  <si>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</si>
  <si>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</si>
  <si>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</si>
  <si>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</si>
  <si>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</si>
  <si>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</si>
  <si>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</si>
  <si>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</si>
  <si>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</si>
  <si>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</si>
  <si>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</si>
  <si>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</si>
  <si>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</si>
  <si>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</si>
  <si>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</si>
  <si>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</si>
  <si>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</si>
  <si>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</si>
  <si>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</si>
  <si>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</si>
  <si>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</si>
  <si>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</si>
  <si>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</si>
  <si>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</si>
  <si>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</si>
  <si>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</si>
  <si>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</si>
  <si>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</si>
  <si>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</si>
  <si>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</si>
  <si>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</si>
  <si>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</si>
  <si>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</si>
  <si>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</si>
  <si>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</si>
  <si>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</si>
  <si>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</si>
  <si>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</si>
  <si>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</si>
  <si>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</si>
  <si>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</si>
  <si>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</si>
  <si>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</si>
  <si>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</si>
  <si>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</si>
  <si>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</si>
  <si>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</si>
  <si>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</si>
  <si>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</si>
  <si>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</si>
  <si>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</si>
  <si>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</si>
  <si>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</si>
  <si>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</si>
  <si>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</si>
  <si>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</si>
  <si>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</si>
  <si>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</si>
  <si>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</si>
  <si>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</si>
  <si>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</si>
  <si>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</si>
  <si>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</si>
  <si>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</si>
  <si>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</si>
  <si>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</si>
  <si>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</si>
  <si>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</si>
  <si>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</si>
  <si>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</si>
  <si>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</si>
  <si>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</si>
  <si>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</si>
  <si>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</si>
  <si>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</si>
  <si>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</si>
  <si>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</si>
  <si>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</si>
  <si>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</si>
  <si>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</si>
  <si>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</si>
  <si>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</si>
  <si>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</si>
  <si>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</si>
  <si>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</si>
  <si>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</si>
  <si>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</si>
  <si>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</si>
  <si>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</si>
  <si>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</si>
  <si>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</si>
  <si>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</si>
  <si>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</si>
  <si>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</si>
  <si>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</si>
  <si>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</si>
  <si>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</si>
  <si>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</si>
  <si>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</si>
  <si>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</si>
  <si>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</si>
  <si>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</si>
  <si>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</si>
  <si>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</si>
  <si>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</si>
  <si>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</si>
  <si>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</si>
  <si>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</si>
  <si>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</si>
  <si>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</si>
  <si>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</si>
  <si>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</si>
  <si>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</si>
  <si>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</si>
  <si>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</si>
  <si>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</si>
  <si>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</si>
  <si>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</si>
  <si>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</si>
  <si>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</si>
  <si>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</si>
  <si>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</si>
  <si>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</si>
  <si>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</si>
  <si>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</si>
  <si>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</si>
  <si>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</si>
  <si>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</si>
  <si>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</si>
  <si>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</si>
  <si>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</si>
  <si>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</si>
  <si>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</si>
  <si>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</si>
  <si>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</si>
  <si>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</si>
  <si>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</si>
  <si>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</si>
  <si>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</si>
  <si>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</si>
  <si>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</si>
  <si>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</si>
  <si>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</si>
  <si>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</si>
  <si>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</si>
  <si>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</si>
  <si>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</si>
  <si>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</si>
  <si>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</si>
  <si>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</si>
  <si>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</si>
  <si>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</si>
  <si>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</si>
  <si>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</si>
  <si>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</si>
  <si>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</si>
  <si>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</si>
  <si>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</si>
  <si>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</si>
  <si>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</si>
  <si>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</si>
  <si>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</si>
  <si>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</si>
  <si>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</si>
  <si>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</si>
  <si>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</si>
  <si>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</si>
  <si>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</si>
  <si>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</si>
  <si>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</si>
  <si>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</si>
  <si>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</si>
  <si>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</si>
  <si>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</si>
  <si>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</si>
  <si>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</si>
  <si>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</si>
  <si>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</si>
  <si>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</si>
  <si>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</si>
  <si>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</si>
  <si>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</si>
  <si>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</si>
  <si>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</si>
  <si>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</si>
  <si>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</si>
  <si>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</si>
  <si>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</si>
  <si>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</si>
  <si>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</si>
  <si>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</si>
  <si>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</si>
  <si>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</si>
  <si>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</si>
  <si>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</si>
  <si>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</si>
  <si>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</si>
  <si>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</si>
  <si>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</si>
  <si>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</si>
  <si>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</si>
  <si>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</si>
  <si>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</si>
  <si>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</si>
  <si>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</si>
  <si>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</si>
  <si>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</si>
  <si>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</si>
  <si>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</si>
  <si>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</si>
  <si>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</si>
  <si>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</si>
  <si>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</si>
  <si>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</si>
  <si>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</si>
  <si>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</si>
  <si>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</si>
  <si>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</si>
  <si>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</si>
  <si>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</si>
  <si>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</si>
  <si>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</si>
  <si>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</si>
  <si>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</si>
  <si>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</si>
  <si>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</si>
  <si>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</si>
  <si>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</si>
  <si>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</si>
  <si>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</si>
  <si>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</si>
  <si>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</si>
  <si>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</si>
  <si>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</si>
  <si>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</si>
  <si>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</si>
  <si>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</si>
  <si>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</si>
  <si>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</si>
  <si>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</si>
  <si>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</si>
  <si>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</si>
  <si>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</si>
  <si>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</si>
  <si>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</si>
  <si>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</si>
  <si>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</si>
  <si>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</si>
  <si>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</si>
  <si>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</si>
  <si>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</si>
  <si>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</si>
  <si>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</si>
  <si>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</si>
  <si>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</si>
  <si>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</si>
  <si>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</si>
  <si>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</si>
  <si>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</si>
  <si>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</si>
  <si>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</si>
  <si>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</si>
  <si>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</si>
  <si>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</si>
  <si>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</si>
  <si>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</si>
  <si>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</si>
  <si>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</si>
  <si>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</si>
  <si>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</si>
  <si>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</si>
  <si>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</si>
  <si>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</si>
  <si>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</si>
  <si>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</si>
  <si>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</si>
  <si>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</si>
  <si>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</si>
  <si>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</si>
  <si>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</si>
  <si>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</si>
  <si>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</si>
  <si>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</si>
  <si>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</si>
  <si>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</si>
  <si>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</si>
  <si>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</si>
  <si>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</si>
  <si>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</si>
  <si>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</si>
  <si>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</si>
  <si>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</si>
  <si>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</si>
  <si>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</si>
  <si>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</si>
  <si>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</si>
  <si>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</si>
  <si>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</si>
  <si>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</si>
  <si>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</si>
  <si>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</si>
  <si>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</si>
  <si>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</si>
  <si>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</si>
  <si>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</si>
  <si>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</si>
  <si>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</si>
  <si>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</si>
  <si>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</si>
  <si>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</si>
  <si>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</si>
  <si>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</si>
  <si>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</si>
  <si>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</si>
  <si>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</si>
  <si>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</si>
  <si>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</si>
  <si>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</si>
  <si>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</si>
  <si>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</si>
  <si>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</si>
  <si>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</si>
  <si>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</si>
  <si>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</si>
  <si>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</si>
  <si>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</si>
  <si>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</si>
  <si>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</si>
  <si>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</si>
  <si>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</si>
  <si>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</si>
  <si>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</si>
  <si>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</si>
  <si>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</si>
  <si>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</si>
  <si>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</si>
  <si>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</si>
  <si>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</si>
  <si>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</si>
  <si>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</si>
  <si>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</si>
  <si>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</si>
  <si>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</si>
  <si>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</si>
  <si>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</si>
  <si>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</si>
  <si>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</si>
  <si>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</si>
  <si>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</si>
  <si>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</si>
  <si>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</si>
  <si>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</si>
  <si>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</si>
  <si>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</si>
  <si>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</si>
  <si>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</si>
  <si>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</si>
  <si>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</si>
  <si>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</si>
  <si>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</si>
  <si>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</si>
  <si>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</si>
  <si>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</si>
  <si>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</si>
  <si>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</si>
  <si>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</si>
  <si>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</si>
  <si>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</si>
  <si>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</si>
  <si>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</si>
  <si>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</si>
  <si>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</si>
  <si>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</si>
  <si>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</si>
  <si>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</si>
  <si>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</si>
  <si>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</si>
  <si>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</si>
  <si>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</si>
  <si>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</si>
  <si>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</si>
  <si>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</si>
  <si>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</si>
  <si>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</si>
  <si>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</si>
  <si>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</si>
  <si>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</si>
  <si>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</si>
  <si>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</si>
  <si>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</si>
  <si>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</si>
  <si>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</si>
  <si>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</si>
  <si>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</si>
  <si>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</si>
  <si>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</si>
  <si>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</si>
  <si>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</si>
  <si>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</si>
  <si>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</si>
  <si>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</si>
  <si>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</si>
  <si>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</si>
  <si>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</si>
  <si>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</si>
  <si>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</si>
  <si>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</si>
  <si>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</si>
  <si>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</si>
  <si>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</si>
  <si>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</si>
  <si>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</si>
  <si>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</si>
  <si>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</si>
  <si>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</si>
  <si>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</si>
  <si>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</si>
  <si>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</si>
  <si>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</si>
  <si>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</si>
  <si>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</si>
  <si>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</si>
  <si>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</si>
  <si>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</si>
  <si>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</si>
  <si>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</si>
  <si>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</si>
  <si>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</si>
  <si>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</si>
  <si>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</si>
  <si>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</si>
  <si>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</si>
  <si>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</si>
  <si>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</si>
  <si>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</si>
  <si>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</si>
  <si>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</si>
  <si>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</si>
  <si>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</si>
  <si>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</si>
  <si>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</si>
  <si>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</si>
  <si>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</si>
  <si>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</si>
  <si>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</si>
  <si>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</si>
  <si>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</si>
  <si>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</si>
  <si>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</si>
  <si>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</si>
  <si>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</si>
  <si>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</si>
  <si>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</si>
  <si>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</si>
  <si>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</si>
  <si>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</si>
  <si>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</si>
  <si>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</si>
  <si>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</si>
  <si>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</si>
  <si>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</si>
  <si>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</si>
  <si>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</si>
  <si>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</si>
  <si>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</si>
  <si>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</si>
  <si>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</si>
  <si>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</si>
  <si>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</si>
  <si>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</si>
  <si>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</si>
  <si>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</si>
  <si>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</si>
  <si>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</si>
  <si>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</si>
  <si>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</si>
  <si>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</si>
  <si>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</si>
  <si>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</si>
  <si>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</si>
  <si>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</si>
  <si>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</si>
  <si>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</si>
  <si>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</si>
  <si>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</si>
  <si>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</si>
  <si>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</si>
  <si>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</si>
  <si>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</si>
  <si>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</si>
  <si>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</si>
  <si>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</si>
  <si>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</si>
  <si>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</si>
  <si>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</si>
  <si>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</si>
  <si>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</si>
  <si>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</si>
  <si>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</si>
  <si>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</si>
  <si>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</si>
  <si>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</si>
  <si>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</si>
  <si>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</si>
  <si>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</si>
  <si>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</si>
  <si>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</si>
  <si>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</si>
  <si>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</si>
  <si>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</si>
  <si>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</si>
  <si>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</si>
  <si>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</si>
  <si>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</si>
  <si>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</si>
  <si>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</si>
  <si>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</si>
  <si>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</si>
  <si>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</si>
  <si>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</si>
  <si>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</si>
  <si>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</si>
  <si>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</si>
  <si>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</si>
  <si>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</si>
  <si>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</si>
  <si>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</si>
  <si>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</si>
  <si>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</si>
  <si>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</si>
  <si>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</si>
  <si>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</si>
  <si>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</si>
  <si>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</si>
  <si>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</si>
  <si>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</si>
  <si>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</si>
  <si>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</si>
  <si>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</si>
  <si>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</si>
  <si>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</si>
  <si>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</si>
  <si>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</si>
  <si>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</si>
  <si>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</si>
  <si>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</si>
  <si>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</si>
  <si>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</si>
  <si>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</si>
  <si>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</si>
  <si>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</si>
  <si>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</si>
  <si>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</si>
  <si>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</si>
  <si>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</si>
  <si>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</si>
  <si>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</si>
  <si>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</si>
  <si>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</si>
  <si>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</si>
  <si>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</si>
  <si>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</si>
  <si>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</si>
  <si>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</si>
  <si>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</si>
  <si>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</si>
  <si>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</si>
  <si>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</si>
  <si>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</si>
  <si>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</si>
  <si>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</si>
  <si>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</si>
  <si>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</si>
  <si>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</si>
  <si>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</si>
  <si>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</si>
  <si>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</si>
  <si>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</si>
  <si>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</si>
  <si>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</si>
  <si>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</si>
  <si>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</si>
  <si>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</si>
  <si>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</si>
  <si>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</si>
  <si>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</si>
  <si>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</si>
  <si>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</si>
  <si>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</si>
  <si>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</si>
  <si>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</si>
  <si>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</si>
  <si>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</si>
  <si>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</si>
  <si>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</si>
  <si>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</si>
  <si>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</si>
  <si>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</si>
  <si>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</si>
  <si>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</si>
  <si>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</si>
  <si>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</si>
  <si>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</si>
  <si>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</si>
  <si>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</si>
  <si>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</si>
  <si>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</si>
  <si>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</si>
  <si>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</si>
  <si>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</si>
  <si>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</si>
  <si>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</si>
  <si>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</si>
  <si>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</si>
  <si>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</si>
  <si>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</si>
  <si>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</si>
  <si>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</si>
  <si>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</si>
  <si>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</si>
  <si>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</si>
  <si>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</si>
  <si>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</si>
  <si>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</si>
  <si>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</si>
  <si>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</si>
  <si>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</si>
  <si>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</si>
  <si>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</si>
  <si>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</si>
  <si>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</si>
  <si>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</si>
  <si>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</si>
  <si>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</si>
  <si>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</si>
  <si>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</si>
  <si>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</si>
  <si>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</si>
  <si>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</si>
  <si>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</si>
  <si>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</si>
  <si>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</si>
  <si>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</si>
  <si>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</si>
  <si>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</si>
  <si>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</si>
  <si>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</si>
  <si>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</si>
  <si>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</si>
  <si>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</si>
  <si>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</si>
  <si>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</si>
  <si>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</si>
  <si>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</si>
  <si>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</si>
  <si>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</si>
  <si>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</si>
  <si>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</si>
  <si>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</si>
  <si>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</si>
  <si>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</si>
  <si>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</si>
  <si>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</si>
  <si>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</si>
  <si>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</si>
  <si>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</si>
  <si>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</si>
  <si>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</si>
  <si>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</si>
  <si>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</si>
  <si>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</si>
  <si>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</si>
  <si>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</si>
  <si>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</si>
  <si>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</si>
  <si>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</si>
  <si>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</si>
  <si>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</si>
  <si>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</si>
  <si>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</si>
  <si>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</si>
  <si>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</si>
  <si>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</si>
  <si>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</si>
  <si>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</si>
  <si>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</si>
  <si>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</si>
  <si>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</si>
  <si>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</si>
  <si>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</si>
  <si>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</si>
  <si>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</si>
  <si>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</si>
  <si>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</si>
  <si>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</si>
  <si>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</si>
  <si>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</si>
  <si>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</si>
  <si>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</si>
  <si>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</si>
  <si>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</si>
  <si>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</si>
  <si>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</si>
  <si>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</si>
  <si>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</si>
  <si>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</si>
  <si>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</si>
  <si>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</si>
  <si>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</si>
  <si>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</si>
  <si>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</si>
  <si>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</si>
  <si>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</si>
  <si>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</si>
  <si>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</si>
  <si>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</si>
  <si>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</si>
  <si>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</si>
  <si>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</si>
  <si>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</si>
  <si>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</si>
  <si>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</si>
  <si>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</si>
  <si>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</si>
  <si>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</si>
  <si>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</si>
  <si>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</si>
  <si>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</si>
  <si>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</si>
  <si>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</si>
  <si>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</si>
  <si>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</si>
  <si>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</si>
  <si>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</si>
  <si>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</si>
  <si>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</si>
  <si>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</si>
  <si>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</si>
  <si>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</si>
  <si>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</si>
  <si>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</si>
  <si>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</si>
  <si>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</si>
  <si>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</si>
  <si>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</si>
  <si>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</si>
  <si>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</si>
  <si>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</si>
  <si>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</si>
  <si>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</si>
  <si>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</si>
  <si>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</si>
  <si>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</si>
  <si>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</si>
  <si>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</si>
  <si>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</si>
  <si>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</si>
  <si>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</si>
  <si>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</si>
  <si>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</si>
  <si>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</si>
  <si>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</si>
  <si>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</si>
  <si>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</si>
  <si>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</si>
  <si>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</si>
  <si>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</si>
  <si>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</si>
  <si>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</si>
  <si>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</si>
  <si>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</si>
  <si>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</si>
  <si>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</si>
  <si>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</si>
  <si>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</si>
  <si>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</si>
  <si>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</si>
  <si>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</si>
  <si>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</si>
  <si>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</si>
  <si>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</si>
  <si>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</si>
  <si>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</si>
  <si>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</si>
  <si>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</si>
  <si>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</si>
  <si>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</si>
  <si>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</si>
  <si>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</si>
  <si>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</si>
  <si>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</si>
  <si>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</si>
  <si>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 xml:space="preserve">例）10円玉50枚
1:0,5:0,10:50,50:0,100:0,500:0;1000:0,2000:0,5000:0,10000:0
</t>
    <rPh sb="0" eb="1">
      <t>レイ</t>
    </rPh>
    <rPh sb="4" eb="6">
      <t>エンダマ</t>
    </rPh>
    <rPh sb="8" eb="9">
      <t>マイ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</si>
</sst>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center"/>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74"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14</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93" t="s">
        <v>131</v>
      </c>
      <c r="U76" s="193"/>
      <c r="V76" s="194"/>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95"/>
      <c r="U77" s="195"/>
      <c r="V77" s="196"/>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187"/>
      <c r="T78" s="176">
        <f>COUNTA(T3:T75)</f>
        <v>69</v>
      </c>
      <c r="U78" s="178">
        <f>COUNTA(U3:U75)</f>
        <v>2</v>
      </c>
      <c r="V78" s="180">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8"/>
      <c r="T79" s="177"/>
      <c r="U79" s="179"/>
      <c r="V79" s="181"/>
      <c r="W79" s="65" t="s">
        <v>132</v>
      </c>
      <c r="X79" s="66">
        <f t="shared" si="5"/>
        <v>71</v>
      </c>
    </row>
  </sheetData>
  <mergeCells count="17">
    <mergeCell ref="W1:W2"/>
    <mergeCell ref="X1:X2"/>
    <mergeCell ref="T76:V77"/>
    <mergeCell ref="A1:A2"/>
    <mergeCell ref="B1:B2"/>
    <mergeCell ref="C1:C2"/>
    <mergeCell ref="D1:D2"/>
    <mergeCell ref="E1:E2"/>
    <mergeCell ref="F1:F2"/>
    <mergeCell ref="T78:T79"/>
    <mergeCell ref="U78:U79"/>
    <mergeCell ref="V78:V79"/>
    <mergeCell ref="G1:J1"/>
    <mergeCell ref="K1:R1"/>
    <mergeCell ref="T1:V1"/>
    <mergeCell ref="S78:S79"/>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93" t="s">
        <v>131</v>
      </c>
      <c r="U16" s="193"/>
      <c r="V16" s="194"/>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95"/>
      <c r="U17" s="195"/>
      <c r="V17" s="196"/>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7"/>
      <c r="T18" s="176">
        <f>COUNTA(T3:T15)</f>
        <v>12</v>
      </c>
      <c r="U18" s="178">
        <f>COUNTA(U3:U15)</f>
        <v>0</v>
      </c>
      <c r="V18" s="180">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8"/>
      <c r="T19" s="177"/>
      <c r="U19" s="179"/>
      <c r="V19" s="181"/>
      <c r="W19" s="65" t="s">
        <v>132</v>
      </c>
      <c r="X19" s="66">
        <f t="shared" si="4"/>
        <v>24</v>
      </c>
    </row>
  </sheetData>
  <mergeCells count="17">
    <mergeCell ref="W1:W2"/>
    <mergeCell ref="X1:X2"/>
    <mergeCell ref="T16:V17"/>
    <mergeCell ref="A1:A2"/>
    <mergeCell ref="B1:B2"/>
    <mergeCell ref="C1:C2"/>
    <mergeCell ref="D1:D2"/>
    <mergeCell ref="E1:E2"/>
    <mergeCell ref="F1:F2"/>
    <mergeCell ref="T18:T19"/>
    <mergeCell ref="U18:U19"/>
    <mergeCell ref="V18:V19"/>
    <mergeCell ref="G1:J1"/>
    <mergeCell ref="K1:R1"/>
    <mergeCell ref="T1:V1"/>
    <mergeCell ref="S18:S19"/>
    <mergeCell ref="S1:S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B1" zoomScale="110" zoomScaleNormal="110" zoomScaleSheetLayoutView="110" workbookViewId="0">
      <pane ySplit="2" topLeftCell="A8" activePane="bottomLeft" state="frozen"/>
      <selection activeCell="B8" sqref="B8"/>
      <selection pane="bottomLeft" activeCell="C10" sqref="C10"/>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177</v>
      </c>
      <c r="Q12" s="24"/>
      <c r="R12" s="23"/>
      <c r="S12" s="135">
        <v>45306</v>
      </c>
      <c r="T12" s="25"/>
      <c r="U12" s="25">
        <v>45684</v>
      </c>
      <c r="V12" s="164"/>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15</v>
      </c>
      <c r="Q22" s="39">
        <f t="shared" si="2"/>
        <v>0</v>
      </c>
      <c r="R22" s="38">
        <f t="shared" si="2"/>
        <v>1</v>
      </c>
      <c r="S22" s="136"/>
      <c r="T22" s="193" t="s">
        <v>131</v>
      </c>
      <c r="U22" s="193"/>
      <c r="V22" s="194"/>
      <c r="W22" s="40" t="s">
        <v>132</v>
      </c>
      <c r="X22" s="41">
        <f>SUM(G22:R22)</f>
        <v>16</v>
      </c>
    </row>
    <row r="23" spans="1:24" s="3" customFormat="1" ht="12" customHeight="1">
      <c r="A23" s="42"/>
      <c r="B23" s="43" t="s">
        <v>133</v>
      </c>
      <c r="C23" s="44">
        <f>X24</f>
        <v>16</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95"/>
      <c r="U23" s="195"/>
      <c r="V23" s="196"/>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15</v>
      </c>
      <c r="Q24" s="49">
        <f t="shared" si="5"/>
        <v>0</v>
      </c>
      <c r="R24" s="48">
        <f t="shared" si="5"/>
        <v>1</v>
      </c>
      <c r="S24" s="187"/>
      <c r="T24" s="176">
        <f>COUNTA(T3:T21)</f>
        <v>16</v>
      </c>
      <c r="U24" s="178">
        <f>COUNTA(U3:U21)</f>
        <v>1</v>
      </c>
      <c r="V24" s="180">
        <f>COUNTA(V3:V21)</f>
        <v>0</v>
      </c>
      <c r="W24" s="56" t="s">
        <v>132</v>
      </c>
      <c r="X24" s="51">
        <f t="shared" si="4"/>
        <v>16</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188"/>
      <c r="T25" s="177"/>
      <c r="U25" s="179"/>
      <c r="V25" s="181"/>
      <c r="W25" s="65" t="s">
        <v>132</v>
      </c>
      <c r="X25" s="66">
        <f t="shared" si="4"/>
        <v>17</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74"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93" t="s">
        <v>131</v>
      </c>
      <c r="U247" s="193"/>
      <c r="V247" s="194"/>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95"/>
      <c r="U248" s="195"/>
      <c r="V248" s="196"/>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7"/>
      <c r="T249" s="176">
        <f>COUNTA(T3:T246)</f>
        <v>213</v>
      </c>
      <c r="U249" s="178">
        <f>COUNTA(U3:U246)</f>
        <v>30</v>
      </c>
      <c r="V249" s="180">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8"/>
      <c r="T250" s="177"/>
      <c r="U250" s="179"/>
      <c r="V250" s="181"/>
      <c r="W250" s="65" t="s">
        <v>132</v>
      </c>
      <c r="X250" s="66">
        <f t="shared" si="7"/>
        <v>243</v>
      </c>
    </row>
  </sheetData>
  <mergeCells count="17">
    <mergeCell ref="W1:W2"/>
    <mergeCell ref="X1:X2"/>
    <mergeCell ref="T247:V248"/>
    <mergeCell ref="A1:A2"/>
    <mergeCell ref="B1:B2"/>
    <mergeCell ref="C1:C2"/>
    <mergeCell ref="D1:D2"/>
    <mergeCell ref="E1:E2"/>
    <mergeCell ref="F1:F2"/>
    <mergeCell ref="T249:T250"/>
    <mergeCell ref="U249:U250"/>
    <mergeCell ref="V249:V250"/>
    <mergeCell ref="G1:J1"/>
    <mergeCell ref="K1:R1"/>
    <mergeCell ref="T1:V1"/>
    <mergeCell ref="S249:S250"/>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93" t="s">
        <v>131</v>
      </c>
      <c r="U22" s="193"/>
      <c r="V22" s="194"/>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7"/>
      <c r="T24" s="176">
        <f>COUNTA(T3:T21)</f>
        <v>19</v>
      </c>
      <c r="U24" s="176">
        <f>COUNTA(U3:U21)</f>
        <v>0</v>
      </c>
      <c r="V24" s="176">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8"/>
      <c r="T25" s="177"/>
      <c r="U25" s="177"/>
      <c r="V25" s="177"/>
      <c r="W25" s="65" t="s">
        <v>132</v>
      </c>
      <c r="X25" s="66">
        <f t="shared" si="5"/>
        <v>24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Normal="110" zoomScaleSheetLayoutView="100" workbookViewId="0">
      <pane ySplit="2" topLeftCell="A3" activePane="bottomLeft" state="frozen"/>
      <selection activeCell="B8" sqref="B8"/>
      <selection pane="bottomLeft" activeCell="Z9" sqref="Z9"/>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202</v>
      </c>
      <c r="Q4" s="24" t="s">
        <v>202</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202</v>
      </c>
      <c r="Q6" s="24" t="s">
        <v>202</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943</v>
      </c>
      <c r="Q8" s="24" t="s">
        <v>202</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202</v>
      </c>
      <c r="Q9" s="24" t="s">
        <v>202</v>
      </c>
      <c r="R9" s="23"/>
      <c r="S9" s="135">
        <v>45307</v>
      </c>
      <c r="T9" s="25"/>
      <c r="U9" s="26">
        <v>45692</v>
      </c>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202</v>
      </c>
      <c r="Q10" s="24" t="s">
        <v>202</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360</v>
      </c>
      <c r="E12" s="30" t="s">
        <v>361</v>
      </c>
      <c r="F12" s="71" t="s">
        <v>358</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362</v>
      </c>
      <c r="G13" s="21"/>
      <c r="H13" s="22"/>
      <c r="I13" s="22"/>
      <c r="J13" s="23"/>
      <c r="K13" s="21"/>
      <c r="L13" s="22"/>
      <c r="M13" s="22"/>
      <c r="N13" s="24"/>
      <c r="O13" s="24"/>
      <c r="P13" s="24" t="s">
        <v>202</v>
      </c>
      <c r="Q13" s="24" t="s">
        <v>202</v>
      </c>
      <c r="R13" s="23"/>
      <c r="S13" s="135">
        <v>45307</v>
      </c>
      <c r="T13" s="138"/>
      <c r="U13" s="139"/>
      <c r="V13" s="140"/>
      <c r="W13" s="28"/>
      <c r="X13" s="29" t="s">
        <v>363</v>
      </c>
    </row>
    <row r="14" spans="1:24" ht="22.8">
      <c r="A14" s="19">
        <f t="shared" si="1"/>
        <v>12</v>
      </c>
      <c r="B14" s="20"/>
      <c r="C14" s="20"/>
      <c r="D14" s="30" t="s">
        <v>364</v>
      </c>
      <c r="E14" s="30" t="s">
        <v>364</v>
      </c>
      <c r="F14" s="71" t="s">
        <v>365</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366</v>
      </c>
      <c r="G15" s="21"/>
      <c r="H15" s="22"/>
      <c r="I15" s="22"/>
      <c r="J15" s="23"/>
      <c r="K15" s="21"/>
      <c r="L15" s="22"/>
      <c r="M15" s="22"/>
      <c r="N15" s="24"/>
      <c r="O15" s="24"/>
      <c r="P15" s="24" t="s">
        <v>202</v>
      </c>
      <c r="Q15" s="24" t="s">
        <v>202</v>
      </c>
      <c r="R15" s="23"/>
      <c r="S15" s="135">
        <v>45307</v>
      </c>
      <c r="T15" s="138"/>
      <c r="U15" s="139"/>
      <c r="V15" s="139"/>
      <c r="W15" s="28"/>
      <c r="X15" s="29" t="s">
        <v>367</v>
      </c>
    </row>
    <row r="16" spans="1:24" ht="22.8">
      <c r="A16" s="19">
        <f t="shared" si="1"/>
        <v>14</v>
      </c>
      <c r="B16" s="20"/>
      <c r="C16" s="20"/>
      <c r="D16" s="20" t="s">
        <v>368</v>
      </c>
      <c r="E16" s="30" t="s">
        <v>368</v>
      </c>
      <c r="F16" s="71" t="s">
        <v>369</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366</v>
      </c>
      <c r="G17" s="21"/>
      <c r="H17" s="22"/>
      <c r="I17" s="22"/>
      <c r="J17" s="23"/>
      <c r="K17" s="21"/>
      <c r="L17" s="22"/>
      <c r="M17" s="22"/>
      <c r="N17" s="24"/>
      <c r="O17" s="24"/>
      <c r="P17" s="24" t="s">
        <v>202</v>
      </c>
      <c r="Q17" s="24" t="s">
        <v>202</v>
      </c>
      <c r="R17" s="23"/>
      <c r="S17" s="135">
        <v>45307</v>
      </c>
      <c r="T17" s="138"/>
      <c r="U17" s="139"/>
      <c r="V17" s="139"/>
      <c r="W17" s="28"/>
      <c r="X17" s="29" t="s">
        <v>370</v>
      </c>
    </row>
    <row r="18" spans="1:24" ht="22.8">
      <c r="A18" s="19">
        <f t="shared" si="2"/>
        <v>16</v>
      </c>
      <c r="B18" s="20"/>
      <c r="C18" s="20"/>
      <c r="D18" s="30" t="s">
        <v>371</v>
      </c>
      <c r="E18" s="30" t="s">
        <v>371</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366</v>
      </c>
      <c r="G19" s="21"/>
      <c r="H19" s="22"/>
      <c r="I19" s="22"/>
      <c r="J19" s="23"/>
      <c r="K19" s="21"/>
      <c r="L19" s="22"/>
      <c r="M19" s="22"/>
      <c r="N19" s="24"/>
      <c r="O19" s="24"/>
      <c r="P19" s="24" t="s">
        <v>202</v>
      </c>
      <c r="Q19" s="24" t="s">
        <v>202</v>
      </c>
      <c r="R19" s="23"/>
      <c r="S19" s="135">
        <v>45307</v>
      </c>
      <c r="T19" s="138"/>
      <c r="U19" s="139"/>
      <c r="V19" s="139"/>
      <c r="W19" s="28"/>
      <c r="X19" s="29" t="s">
        <v>372</v>
      </c>
    </row>
    <row r="20" spans="1:24" ht="182.4">
      <c r="A20" s="19">
        <f t="shared" si="2"/>
        <v>18</v>
      </c>
      <c r="B20" s="20"/>
      <c r="C20" s="20"/>
      <c r="D20" s="20" t="s">
        <v>373</v>
      </c>
      <c r="E20" s="30" t="s">
        <v>374</v>
      </c>
      <c r="F20" s="71" t="s">
        <v>375</v>
      </c>
      <c r="G20" s="21"/>
      <c r="H20" s="22"/>
      <c r="I20" s="22"/>
      <c r="J20" s="23"/>
      <c r="K20" s="21" t="s">
        <v>39</v>
      </c>
      <c r="L20" s="22"/>
      <c r="M20" s="22"/>
      <c r="N20" s="24"/>
      <c r="O20" s="24"/>
      <c r="P20" s="24"/>
      <c r="Q20" s="24"/>
      <c r="R20" s="23"/>
      <c r="S20" s="135">
        <v>45307</v>
      </c>
      <c r="T20" s="165">
        <v>45691</v>
      </c>
      <c r="U20" s="166"/>
      <c r="V20" s="167"/>
      <c r="W20" s="28"/>
      <c r="X20" s="29" t="s">
        <v>376</v>
      </c>
    </row>
    <row r="21" spans="1:24" ht="68.400000000000006">
      <c r="A21" s="19">
        <f t="shared" si="2"/>
        <v>19</v>
      </c>
      <c r="B21" s="20"/>
      <c r="C21" s="20"/>
      <c r="D21" s="20"/>
      <c r="E21" s="30" t="s">
        <v>377</v>
      </c>
      <c r="F21" s="71" t="s">
        <v>378</v>
      </c>
      <c r="G21" s="21"/>
      <c r="H21" s="22" t="s">
        <v>202</v>
      </c>
      <c r="I21" s="22"/>
      <c r="J21" s="23"/>
      <c r="K21" s="21"/>
      <c r="L21" s="22"/>
      <c r="M21" s="22"/>
      <c r="N21" s="24"/>
      <c r="O21" s="24"/>
      <c r="P21" s="24"/>
      <c r="Q21" s="24"/>
      <c r="R21" s="23"/>
      <c r="S21" s="135">
        <v>45307</v>
      </c>
      <c r="T21" s="165"/>
      <c r="U21" s="166"/>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1</v>
      </c>
      <c r="Q22" s="39">
        <f t="shared" si="3"/>
        <v>0</v>
      </c>
      <c r="R22" s="38">
        <f t="shared" si="3"/>
        <v>0</v>
      </c>
      <c r="S22" s="136"/>
      <c r="T22" s="193" t="s">
        <v>131</v>
      </c>
      <c r="U22" s="193"/>
      <c r="V22" s="194"/>
      <c r="W22" s="40" t="s">
        <v>132</v>
      </c>
      <c r="X22" s="41">
        <f>SUM(G22:R22)</f>
        <v>2</v>
      </c>
    </row>
    <row r="23" spans="1:24" s="3" customFormat="1" ht="12" customHeight="1">
      <c r="A23" s="42"/>
      <c r="B23" s="43" t="s">
        <v>133</v>
      </c>
      <c r="C23" s="44">
        <f>X24</f>
        <v>2</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1</v>
      </c>
      <c r="Q24" s="49">
        <f t="shared" si="6"/>
        <v>0</v>
      </c>
      <c r="R24" s="48">
        <f t="shared" si="6"/>
        <v>0</v>
      </c>
      <c r="S24" s="187"/>
      <c r="T24" s="176">
        <f>COUNTA(T3:T21)</f>
        <v>2</v>
      </c>
      <c r="U24" s="178">
        <f>COUNTA(U3:U21)</f>
        <v>7</v>
      </c>
      <c r="V24" s="180">
        <f>COUNTA(V3:V21)</f>
        <v>1</v>
      </c>
      <c r="W24" s="56" t="s">
        <v>132</v>
      </c>
      <c r="X24" s="51">
        <f t="shared" si="5"/>
        <v>2</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8"/>
      <c r="T25" s="177"/>
      <c r="U25" s="179"/>
      <c r="V25" s="181"/>
      <c r="W25" s="65" t="s">
        <v>132</v>
      </c>
      <c r="X25" s="66">
        <f t="shared" si="5"/>
        <v>34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213" t="s">
        <v>382</v>
      </c>
      <c r="D6" s="214"/>
      <c r="E6" s="80" t="s">
        <v>383</v>
      </c>
      <c r="F6" s="80" t="s">
        <v>384</v>
      </c>
      <c r="G6" s="215" t="s">
        <v>385</v>
      </c>
      <c r="H6" s="216"/>
      <c r="I6" s="216"/>
      <c r="J6" s="216"/>
      <c r="K6" s="216"/>
      <c r="L6" s="216"/>
      <c r="M6" s="216"/>
      <c r="N6" s="216"/>
      <c r="O6" s="216"/>
      <c r="P6" s="213"/>
    </row>
    <row r="7" spans="2:16" ht="22.2" customHeight="1">
      <c r="B7" s="83">
        <v>1</v>
      </c>
      <c r="C7" s="207" t="s">
        <v>386</v>
      </c>
      <c r="D7" s="207"/>
      <c r="E7" s="81">
        <v>1</v>
      </c>
      <c r="F7" s="81" t="s">
        <v>387</v>
      </c>
      <c r="G7" s="208" t="s">
        <v>388</v>
      </c>
      <c r="H7" s="208"/>
      <c r="I7" s="208"/>
      <c r="J7" s="208"/>
      <c r="K7" s="208"/>
      <c r="L7" s="208"/>
      <c r="M7" s="208"/>
      <c r="N7" s="208"/>
      <c r="O7" s="208"/>
      <c r="P7" s="208"/>
    </row>
    <row r="8" spans="2:16">
      <c r="B8" s="212">
        <v>2</v>
      </c>
      <c r="C8" s="207" t="s">
        <v>389</v>
      </c>
      <c r="D8" s="207"/>
      <c r="E8" s="207">
        <v>16</v>
      </c>
      <c r="F8" s="207" t="s">
        <v>390</v>
      </c>
      <c r="G8" s="211" t="s">
        <v>391</v>
      </c>
      <c r="H8" s="211"/>
      <c r="I8" s="211"/>
      <c r="J8" s="211"/>
      <c r="K8" s="211"/>
      <c r="L8" s="211"/>
      <c r="M8" s="211"/>
      <c r="N8" s="211"/>
      <c r="O8" s="211"/>
      <c r="P8" s="211"/>
    </row>
    <row r="9" spans="2:16">
      <c r="B9" s="212"/>
      <c r="C9" s="207"/>
      <c r="D9" s="207"/>
      <c r="E9" s="207"/>
      <c r="F9" s="207"/>
      <c r="G9" s="211"/>
      <c r="H9" s="211"/>
      <c r="I9" s="211"/>
      <c r="J9" s="211"/>
      <c r="K9" s="211"/>
      <c r="L9" s="211"/>
      <c r="M9" s="211"/>
      <c r="N9" s="211"/>
      <c r="O9" s="211"/>
      <c r="P9" s="211"/>
    </row>
    <row r="10" spans="2:16">
      <c r="B10" s="212"/>
      <c r="C10" s="207"/>
      <c r="D10" s="207"/>
      <c r="E10" s="207"/>
      <c r="F10" s="207"/>
      <c r="G10" s="211"/>
      <c r="H10" s="211"/>
      <c r="I10" s="211"/>
      <c r="J10" s="211"/>
      <c r="K10" s="211"/>
      <c r="L10" s="211"/>
      <c r="M10" s="211"/>
      <c r="N10" s="211"/>
      <c r="O10" s="211"/>
      <c r="P10" s="211"/>
    </row>
    <row r="11" spans="2:16" ht="36.6" customHeight="1">
      <c r="B11" s="212"/>
      <c r="C11" s="207"/>
      <c r="D11" s="207"/>
      <c r="E11" s="207"/>
      <c r="F11" s="207"/>
      <c r="G11" s="211"/>
      <c r="H11" s="211"/>
      <c r="I11" s="211"/>
      <c r="J11" s="211"/>
      <c r="K11" s="211"/>
      <c r="L11" s="211"/>
      <c r="M11" s="211"/>
      <c r="N11" s="211"/>
      <c r="O11" s="211"/>
      <c r="P11" s="211"/>
    </row>
    <row r="12" spans="2:16" ht="13.2">
      <c r="B12" s="83">
        <v>3</v>
      </c>
      <c r="C12" s="207" t="s">
        <v>392</v>
      </c>
      <c r="D12" s="207"/>
      <c r="E12" s="81">
        <v>1</v>
      </c>
      <c r="F12" s="81" t="s">
        <v>387</v>
      </c>
      <c r="G12" s="208" t="s">
        <v>393</v>
      </c>
      <c r="H12" s="208"/>
      <c r="I12" s="208"/>
      <c r="J12" s="208"/>
      <c r="K12" s="208"/>
      <c r="L12" s="208"/>
      <c r="M12" s="208"/>
      <c r="N12" s="208"/>
      <c r="O12" s="208"/>
      <c r="P12" s="208"/>
    </row>
    <row r="13" spans="2:16" ht="13.2">
      <c r="B13" s="83">
        <v>4</v>
      </c>
      <c r="C13" s="207" t="s">
        <v>394</v>
      </c>
      <c r="D13" s="207"/>
      <c r="E13" s="81">
        <v>4</v>
      </c>
      <c r="F13" s="81" t="s">
        <v>390</v>
      </c>
      <c r="G13" s="208" t="s">
        <v>395</v>
      </c>
      <c r="H13" s="208"/>
      <c r="I13" s="208"/>
      <c r="J13" s="208"/>
      <c r="K13" s="208"/>
      <c r="L13" s="208"/>
      <c r="M13" s="208"/>
      <c r="N13" s="208"/>
      <c r="O13" s="208"/>
      <c r="P13" s="208"/>
    </row>
    <row r="14" spans="2:16" ht="26.4" customHeight="1">
      <c r="B14" s="212">
        <v>5</v>
      </c>
      <c r="C14" s="207" t="s">
        <v>396</v>
      </c>
      <c r="D14" s="207"/>
      <c r="E14" s="207">
        <v>16</v>
      </c>
      <c r="F14" s="207" t="s">
        <v>390</v>
      </c>
      <c r="G14" s="211" t="s">
        <v>397</v>
      </c>
      <c r="H14" s="211"/>
      <c r="I14" s="211"/>
      <c r="J14" s="211"/>
      <c r="K14" s="211"/>
      <c r="L14" s="211"/>
      <c r="M14" s="211"/>
      <c r="N14" s="211"/>
      <c r="O14" s="211"/>
      <c r="P14" s="211"/>
    </row>
    <row r="15" spans="2:16">
      <c r="B15" s="212"/>
      <c r="C15" s="207"/>
      <c r="D15" s="207"/>
      <c r="E15" s="207"/>
      <c r="F15" s="207"/>
      <c r="G15" s="211"/>
      <c r="H15" s="211"/>
      <c r="I15" s="211"/>
      <c r="J15" s="211"/>
      <c r="K15" s="211"/>
      <c r="L15" s="211"/>
      <c r="M15" s="211"/>
      <c r="N15" s="211"/>
      <c r="O15" s="211"/>
      <c r="P15" s="211"/>
    </row>
    <row r="16" spans="2:16">
      <c r="B16" s="212"/>
      <c r="C16" s="207"/>
      <c r="D16" s="207"/>
      <c r="E16" s="207"/>
      <c r="F16" s="207"/>
      <c r="G16" s="211"/>
      <c r="H16" s="211"/>
      <c r="I16" s="211"/>
      <c r="J16" s="211"/>
      <c r="K16" s="211"/>
      <c r="L16" s="211"/>
      <c r="M16" s="211"/>
      <c r="N16" s="211"/>
      <c r="O16" s="211"/>
      <c r="P16" s="211"/>
    </row>
    <row r="17" spans="2:16">
      <c r="B17" s="212"/>
      <c r="C17" s="207"/>
      <c r="D17" s="207"/>
      <c r="E17" s="207"/>
      <c r="F17" s="207"/>
      <c r="G17" s="211"/>
      <c r="H17" s="211"/>
      <c r="I17" s="211"/>
      <c r="J17" s="211"/>
      <c r="K17" s="211"/>
      <c r="L17" s="211"/>
      <c r="M17" s="211"/>
      <c r="N17" s="211"/>
      <c r="O17" s="211"/>
      <c r="P17" s="211"/>
    </row>
    <row r="18" spans="2:16" ht="13.2">
      <c r="B18" s="83">
        <v>6</v>
      </c>
      <c r="C18" s="207" t="s">
        <v>398</v>
      </c>
      <c r="D18" s="207"/>
      <c r="E18" s="81">
        <v>1</v>
      </c>
      <c r="F18" s="81" t="s">
        <v>387</v>
      </c>
      <c r="G18" s="208" t="s">
        <v>399</v>
      </c>
      <c r="H18" s="208"/>
      <c r="I18" s="208"/>
      <c r="J18" s="208"/>
      <c r="K18" s="208"/>
      <c r="L18" s="208"/>
      <c r="M18" s="208"/>
      <c r="N18" s="208"/>
      <c r="O18" s="208"/>
      <c r="P18" s="208"/>
    </row>
    <row r="19" spans="2:16">
      <c r="B19" s="209">
        <v>7</v>
      </c>
      <c r="C19" s="210" t="s">
        <v>400</v>
      </c>
      <c r="D19" s="210"/>
      <c r="E19" s="210">
        <v>41</v>
      </c>
      <c r="F19" s="210" t="s">
        <v>401</v>
      </c>
      <c r="G19" s="211" t="s">
        <v>402</v>
      </c>
      <c r="H19" s="211"/>
      <c r="I19" s="211"/>
      <c r="J19" s="211"/>
      <c r="K19" s="211"/>
      <c r="L19" s="211"/>
      <c r="M19" s="211"/>
      <c r="N19" s="211"/>
      <c r="O19" s="211"/>
      <c r="P19" s="211"/>
    </row>
    <row r="20" spans="2:16">
      <c r="B20" s="209"/>
      <c r="C20" s="210"/>
      <c r="D20" s="210"/>
      <c r="E20" s="210"/>
      <c r="F20" s="210"/>
      <c r="G20" s="211"/>
      <c r="H20" s="211"/>
      <c r="I20" s="211"/>
      <c r="J20" s="211"/>
      <c r="K20" s="211"/>
      <c r="L20" s="211"/>
      <c r="M20" s="211"/>
      <c r="N20" s="211"/>
      <c r="O20" s="211"/>
      <c r="P20" s="211"/>
    </row>
    <row r="21" spans="2:16" ht="28.2" customHeight="1">
      <c r="B21" s="209"/>
      <c r="C21" s="210"/>
      <c r="D21" s="210"/>
      <c r="E21" s="210"/>
      <c r="F21" s="210"/>
      <c r="G21" s="211"/>
      <c r="H21" s="211"/>
      <c r="I21" s="211"/>
      <c r="J21" s="211"/>
      <c r="K21" s="211"/>
      <c r="L21" s="211"/>
      <c r="M21" s="211"/>
      <c r="N21" s="211"/>
      <c r="O21" s="211"/>
      <c r="P21" s="211"/>
    </row>
  </sheetData>
  <mergeCells count="25">
    <mergeCell ref="C12:D12"/>
    <mergeCell ref="G12:P12"/>
    <mergeCell ref="C6:D6"/>
    <mergeCell ref="G6:P6"/>
    <mergeCell ref="C7:D7"/>
    <mergeCell ref="G7:P7"/>
    <mergeCell ref="B8:B11"/>
    <mergeCell ref="C8:D11"/>
    <mergeCell ref="E8:E11"/>
    <mergeCell ref="F8:F11"/>
    <mergeCell ref="G8:P11"/>
    <mergeCell ref="C13:D13"/>
    <mergeCell ref="G13:P13"/>
    <mergeCell ref="B14:B17"/>
    <mergeCell ref="C14:D17"/>
    <mergeCell ref="E14:E17"/>
    <mergeCell ref="F14:F17"/>
    <mergeCell ref="G14:P17"/>
    <mergeCell ref="C18:D18"/>
    <mergeCell ref="G18:P18"/>
    <mergeCell ref="B19:B21"/>
    <mergeCell ref="C19:D21"/>
    <mergeCell ref="E19:E21"/>
    <mergeCell ref="F19:F21"/>
    <mergeCell ref="G19:P21"/>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177</v>
      </c>
      <c r="G7" s="84" t="s">
        <v>342</v>
      </c>
      <c r="H7" s="89"/>
      <c r="J7" s="88" t="s">
        <v>788</v>
      </c>
      <c r="K7" s="84" t="s">
        <v>789</v>
      </c>
      <c r="L7" s="89"/>
      <c r="N7" s="88" t="s">
        <v>790</v>
      </c>
      <c r="P7" s="84" t="s">
        <v>789</v>
      </c>
      <c r="Q7" s="89"/>
      <c r="S7" s="88" t="s">
        <v>791</v>
      </c>
      <c r="T7" s="84" t="s">
        <v>792</v>
      </c>
      <c r="U7" s="84" t="s">
        <v>793</v>
      </c>
      <c r="V7" s="89"/>
      <c r="X7" s="88" t="s">
        <v>794</v>
      </c>
      <c r="Z7" s="84" t="s">
        <v>795</v>
      </c>
      <c r="AA7" s="89"/>
      <c r="AC7" s="88" t="s">
        <v>796</v>
      </c>
      <c r="AE7" s="84" t="s">
        <v>95</v>
      </c>
      <c r="AF7" s="84" t="s">
        <v>797</v>
      </c>
      <c r="AG7" s="89"/>
    </row>
    <row r="8" spans="2:33">
      <c r="B8" s="88" t="s">
        <v>798</v>
      </c>
      <c r="C8" s="89" t="s">
        <v>799</v>
      </c>
      <c r="E8" s="88" t="s">
        <v>800</v>
      </c>
      <c r="F8" s="84" t="s">
        <v>95</v>
      </c>
      <c r="G8" s="84" t="s">
        <v>797</v>
      </c>
      <c r="H8" s="89"/>
      <c r="J8" s="88"/>
      <c r="K8" s="84" t="s">
        <v>801</v>
      </c>
      <c r="L8" s="89"/>
      <c r="N8" s="90" t="s">
        <v>802</v>
      </c>
      <c r="O8" s="84" t="s">
        <v>803</v>
      </c>
      <c r="P8" s="84" t="s">
        <v>789</v>
      </c>
      <c r="Q8" s="89"/>
      <c r="S8" s="88"/>
      <c r="U8" s="84" t="s">
        <v>804</v>
      </c>
      <c r="V8" s="89"/>
      <c r="X8" s="88" t="s">
        <v>805</v>
      </c>
      <c r="Z8" s="84" t="s">
        <v>806</v>
      </c>
      <c r="AA8" s="89"/>
      <c r="AC8" s="88"/>
      <c r="AF8" s="84" t="s">
        <v>804</v>
      </c>
      <c r="AG8" s="89"/>
    </row>
    <row r="9" spans="2:33">
      <c r="B9" s="88" t="s">
        <v>807</v>
      </c>
      <c r="C9" s="89" t="s">
        <v>808</v>
      </c>
      <c r="E9" s="88"/>
      <c r="G9" s="84" t="s">
        <v>809</v>
      </c>
      <c r="H9" s="89"/>
      <c r="J9" s="88"/>
      <c r="K9" s="84" t="s">
        <v>810</v>
      </c>
      <c r="L9" s="89" t="s">
        <v>811</v>
      </c>
      <c r="N9" s="90" t="s">
        <v>802</v>
      </c>
      <c r="O9" s="84" t="s">
        <v>812</v>
      </c>
      <c r="P9" s="84" t="s">
        <v>789</v>
      </c>
      <c r="Q9" s="89"/>
      <c r="S9" s="88"/>
      <c r="U9" s="84" t="s">
        <v>806</v>
      </c>
      <c r="V9" s="89"/>
      <c r="X9" s="88" t="s">
        <v>813</v>
      </c>
      <c r="Y9" s="84" t="s">
        <v>814</v>
      </c>
      <c r="Z9" s="84" t="s">
        <v>806</v>
      </c>
      <c r="AA9" s="89" t="s">
        <v>815</v>
      </c>
      <c r="AC9" s="88"/>
      <c r="AF9" s="84" t="s">
        <v>816</v>
      </c>
      <c r="AG9" s="89"/>
    </row>
    <row r="10" spans="2:33">
      <c r="B10" s="88" t="s">
        <v>817</v>
      </c>
      <c r="C10" s="89" t="s">
        <v>818</v>
      </c>
      <c r="E10" s="88"/>
      <c r="G10" s="84" t="s">
        <v>819</v>
      </c>
      <c r="H10" s="89"/>
      <c r="J10" s="88" t="s">
        <v>820</v>
      </c>
      <c r="K10" s="84" t="s">
        <v>804</v>
      </c>
      <c r="L10" s="89"/>
      <c r="N10" s="88" t="s">
        <v>821</v>
      </c>
      <c r="P10" s="84" t="s">
        <v>789</v>
      </c>
      <c r="Q10" s="89"/>
      <c r="S10" s="88"/>
      <c r="U10" s="84" t="s">
        <v>822</v>
      </c>
      <c r="V10" s="89"/>
      <c r="X10" s="88" t="s">
        <v>813</v>
      </c>
      <c r="Y10" s="84" t="s">
        <v>823</v>
      </c>
      <c r="Z10" s="84" t="s">
        <v>806</v>
      </c>
      <c r="AA10" s="89" t="s">
        <v>815</v>
      </c>
      <c r="AC10" s="88" t="s">
        <v>824</v>
      </c>
      <c r="AD10" s="84" t="s">
        <v>825</v>
      </c>
      <c r="AE10" s="84" t="s">
        <v>95</v>
      </c>
      <c r="AF10" s="84" t="s">
        <v>797</v>
      </c>
      <c r="AG10" s="89"/>
    </row>
    <row r="11" spans="2:33">
      <c r="B11" s="88" t="s">
        <v>826</v>
      </c>
      <c r="C11" s="89" t="s">
        <v>827</v>
      </c>
      <c r="E11" s="88" t="s">
        <v>828</v>
      </c>
      <c r="F11" s="84" t="s">
        <v>95</v>
      </c>
      <c r="G11" s="84" t="s">
        <v>797</v>
      </c>
      <c r="H11" s="89"/>
      <c r="J11" s="88"/>
      <c r="K11" s="84" t="s">
        <v>801</v>
      </c>
      <c r="L11" s="89"/>
      <c r="N11" s="90" t="s">
        <v>829</v>
      </c>
      <c r="O11" s="84" t="s">
        <v>830</v>
      </c>
      <c r="P11" s="84" t="s">
        <v>789</v>
      </c>
      <c r="Q11" s="89"/>
      <c r="S11" s="88" t="s">
        <v>791</v>
      </c>
      <c r="T11" s="84" t="s">
        <v>831</v>
      </c>
      <c r="U11" s="84" t="s">
        <v>822</v>
      </c>
      <c r="V11" s="89"/>
      <c r="X11" s="88" t="s">
        <v>832</v>
      </c>
      <c r="Y11" s="84" t="s">
        <v>833</v>
      </c>
      <c r="Z11" s="84" t="s">
        <v>806</v>
      </c>
      <c r="AA11" s="89"/>
      <c r="AC11" s="88"/>
      <c r="AF11" s="84" t="s">
        <v>142</v>
      </c>
      <c r="AG11" s="89"/>
    </row>
    <row r="12" spans="2:33">
      <c r="B12" s="88" t="s">
        <v>834</v>
      </c>
      <c r="C12" s="89" t="s">
        <v>835</v>
      </c>
      <c r="E12" s="88"/>
      <c r="G12" s="84" t="s">
        <v>809</v>
      </c>
      <c r="H12" s="89"/>
      <c r="J12" s="88"/>
      <c r="K12" s="84" t="s">
        <v>810</v>
      </c>
      <c r="L12" s="89" t="s">
        <v>811</v>
      </c>
      <c r="N12" s="88" t="s">
        <v>836</v>
      </c>
      <c r="P12" s="84" t="s">
        <v>789</v>
      </c>
      <c r="Q12" s="89"/>
      <c r="S12" s="88"/>
      <c r="U12" s="84" t="s">
        <v>804</v>
      </c>
      <c r="V12" s="89"/>
      <c r="X12" s="88" t="s">
        <v>832</v>
      </c>
      <c r="Y12" s="84" t="s">
        <v>837</v>
      </c>
      <c r="Z12" s="84" t="s">
        <v>806</v>
      </c>
      <c r="AA12" s="89"/>
      <c r="AC12" s="88" t="s">
        <v>824</v>
      </c>
      <c r="AD12" s="84" t="s">
        <v>838</v>
      </c>
      <c r="AE12" s="84" t="s">
        <v>95</v>
      </c>
      <c r="AF12" s="84" t="s">
        <v>797</v>
      </c>
      <c r="AG12" s="89"/>
    </row>
    <row r="13" spans="2:33">
      <c r="B13" s="88" t="s">
        <v>839</v>
      </c>
      <c r="C13" s="89" t="s">
        <v>840</v>
      </c>
      <c r="E13" s="88"/>
      <c r="G13" s="84" t="s">
        <v>819</v>
      </c>
      <c r="H13" s="89"/>
      <c r="J13" s="88" t="s">
        <v>841</v>
      </c>
      <c r="K13" s="84" t="s">
        <v>804</v>
      </c>
      <c r="L13" s="89"/>
      <c r="N13" s="88" t="s">
        <v>842</v>
      </c>
      <c r="P13" s="84" t="s">
        <v>789</v>
      </c>
      <c r="Q13" s="89"/>
      <c r="S13" s="88"/>
      <c r="U13" s="84" t="s">
        <v>806</v>
      </c>
      <c r="V13" s="89"/>
      <c r="X13" s="88" t="s">
        <v>843</v>
      </c>
      <c r="Y13" s="84" t="s">
        <v>844</v>
      </c>
      <c r="Z13" s="84" t="s">
        <v>806</v>
      </c>
      <c r="AA13" s="89"/>
      <c r="AC13" s="88"/>
      <c r="AF13" s="84" t="s">
        <v>142</v>
      </c>
      <c r="AG13" s="89"/>
    </row>
    <row r="14" spans="2:33">
      <c r="B14" s="88" t="s">
        <v>845</v>
      </c>
      <c r="C14" s="89" t="s">
        <v>846</v>
      </c>
      <c r="E14" s="88" t="s">
        <v>847</v>
      </c>
      <c r="F14" s="84" t="s">
        <v>95</v>
      </c>
      <c r="G14" s="84" t="s">
        <v>797</v>
      </c>
      <c r="H14" s="89"/>
      <c r="J14" s="88"/>
      <c r="K14" s="84" t="s">
        <v>801</v>
      </c>
      <c r="L14" s="89"/>
      <c r="N14" s="88" t="s">
        <v>848</v>
      </c>
      <c r="O14" s="84" t="s">
        <v>849</v>
      </c>
      <c r="P14" s="84" t="s">
        <v>789</v>
      </c>
      <c r="Q14" s="89"/>
      <c r="S14" s="88"/>
      <c r="U14" s="84" t="s">
        <v>822</v>
      </c>
      <c r="V14" s="89"/>
      <c r="X14" s="88" t="s">
        <v>843</v>
      </c>
      <c r="Y14" s="84" t="s">
        <v>850</v>
      </c>
      <c r="Z14" s="84" t="s">
        <v>806</v>
      </c>
      <c r="AA14" s="89"/>
      <c r="AC14" s="88" t="s">
        <v>824</v>
      </c>
      <c r="AD14" s="84" t="s">
        <v>851</v>
      </c>
      <c r="AE14" s="84" t="s">
        <v>95</v>
      </c>
      <c r="AF14" s="84" t="s">
        <v>797</v>
      </c>
      <c r="AG14" s="89"/>
    </row>
    <row r="15" spans="2:33">
      <c r="B15" s="88" t="s">
        <v>852</v>
      </c>
      <c r="C15" s="89" t="s">
        <v>853</v>
      </c>
      <c r="E15" s="88"/>
      <c r="G15" s="84" t="s">
        <v>854</v>
      </c>
      <c r="H15" s="89"/>
      <c r="J15" s="88" t="s">
        <v>855</v>
      </c>
      <c r="K15" s="84" t="s">
        <v>789</v>
      </c>
      <c r="L15" s="89"/>
      <c r="N15" s="88" t="s">
        <v>848</v>
      </c>
      <c r="O15" s="84" t="s">
        <v>856</v>
      </c>
      <c r="P15" s="84" t="s">
        <v>789</v>
      </c>
      <c r="Q15" s="89"/>
      <c r="S15" s="88" t="s">
        <v>857</v>
      </c>
      <c r="U15" s="84" t="s">
        <v>822</v>
      </c>
      <c r="V15" s="89"/>
      <c r="X15" s="88" t="s">
        <v>843</v>
      </c>
      <c r="Y15" s="84" t="s">
        <v>858</v>
      </c>
      <c r="Z15" s="84" t="s">
        <v>859</v>
      </c>
      <c r="AA15" s="89"/>
      <c r="AC15" s="88"/>
      <c r="AF15" s="84" t="s">
        <v>142</v>
      </c>
      <c r="AG15" s="89"/>
    </row>
    <row r="16" spans="2:33">
      <c r="B16" s="88" t="s">
        <v>860</v>
      </c>
      <c r="C16" s="89" t="s">
        <v>861</v>
      </c>
      <c r="E16" s="88" t="s">
        <v>862</v>
      </c>
      <c r="F16" s="84" t="s">
        <v>95</v>
      </c>
      <c r="G16" s="84" t="s">
        <v>797</v>
      </c>
      <c r="H16" s="89"/>
      <c r="J16" s="91"/>
      <c r="K16" s="92" t="s">
        <v>863</v>
      </c>
      <c r="L16" s="93"/>
      <c r="N16" s="88" t="s">
        <v>864</v>
      </c>
      <c r="P16" s="84" t="s">
        <v>789</v>
      </c>
      <c r="Q16" s="89"/>
      <c r="S16" s="91" t="s">
        <v>865</v>
      </c>
      <c r="T16" s="92"/>
      <c r="U16" s="92" t="s">
        <v>866</v>
      </c>
      <c r="V16" s="93"/>
      <c r="X16" s="88" t="s">
        <v>867</v>
      </c>
      <c r="Y16" s="84" t="s">
        <v>868</v>
      </c>
      <c r="Z16" s="84" t="s">
        <v>806</v>
      </c>
      <c r="AA16" s="89"/>
      <c r="AC16" s="88" t="s">
        <v>869</v>
      </c>
      <c r="AD16" s="84" t="s">
        <v>619</v>
      </c>
      <c r="AE16" s="84" t="s">
        <v>95</v>
      </c>
      <c r="AF16" s="84" t="s">
        <v>797</v>
      </c>
      <c r="AG16" s="89"/>
    </row>
    <row r="17" spans="2:33">
      <c r="B17" s="88" t="s">
        <v>870</v>
      </c>
      <c r="C17" s="89" t="s">
        <v>871</v>
      </c>
      <c r="E17" s="88"/>
      <c r="G17" s="94" t="s">
        <v>872</v>
      </c>
      <c r="H17" s="89" t="s">
        <v>873</v>
      </c>
      <c r="N17" s="88" t="s">
        <v>874</v>
      </c>
      <c r="P17" s="84" t="s">
        <v>789</v>
      </c>
      <c r="Q17" s="89"/>
      <c r="X17" s="88" t="s">
        <v>875</v>
      </c>
      <c r="Y17" s="84" t="s">
        <v>876</v>
      </c>
      <c r="Z17" s="84" t="s">
        <v>806</v>
      </c>
      <c r="AA17" s="89"/>
      <c r="AC17" s="88"/>
      <c r="AF17" s="84" t="s">
        <v>142</v>
      </c>
      <c r="AG17" s="89"/>
    </row>
    <row r="18" spans="2:33">
      <c r="B18" s="95" t="s">
        <v>877</v>
      </c>
      <c r="C18" s="89"/>
      <c r="E18" s="88" t="s">
        <v>878</v>
      </c>
      <c r="F18" s="84" t="s">
        <v>95</v>
      </c>
      <c r="G18" s="84" t="s">
        <v>797</v>
      </c>
      <c r="H18" s="89"/>
      <c r="N18" s="88" t="s">
        <v>879</v>
      </c>
      <c r="P18" s="84" t="s">
        <v>789</v>
      </c>
      <c r="Q18" s="89"/>
      <c r="X18" s="88" t="s">
        <v>880</v>
      </c>
      <c r="Z18" s="84" t="s">
        <v>806</v>
      </c>
      <c r="AA18" s="89"/>
      <c r="AC18" s="88" t="s">
        <v>869</v>
      </c>
      <c r="AD18" s="84" t="s">
        <v>881</v>
      </c>
      <c r="AE18" s="84" t="s">
        <v>95</v>
      </c>
      <c r="AF18" s="84" t="s">
        <v>797</v>
      </c>
      <c r="AG18" s="89"/>
    </row>
    <row r="19" spans="2:33">
      <c r="B19" s="88" t="s">
        <v>882</v>
      </c>
      <c r="C19" s="89" t="s">
        <v>883</v>
      </c>
      <c r="E19" s="88"/>
      <c r="G19" s="84" t="s">
        <v>854</v>
      </c>
      <c r="H19" s="89"/>
      <c r="N19" s="91" t="s">
        <v>884</v>
      </c>
      <c r="O19" s="92"/>
      <c r="P19" s="92" t="s">
        <v>789</v>
      </c>
      <c r="Q19" s="93"/>
      <c r="X19" s="88" t="s">
        <v>885</v>
      </c>
      <c r="Z19" s="84" t="s">
        <v>806</v>
      </c>
      <c r="AA19" s="89"/>
      <c r="AC19" s="88"/>
      <c r="AF19" s="84" t="s">
        <v>142</v>
      </c>
      <c r="AG19" s="89"/>
    </row>
    <row r="20" spans="2:33">
      <c r="B20" s="88" t="s">
        <v>886</v>
      </c>
      <c r="C20" s="89" t="s">
        <v>846</v>
      </c>
      <c r="E20" s="88" t="s">
        <v>887</v>
      </c>
      <c r="F20" s="84" t="s">
        <v>95</v>
      </c>
      <c r="G20" s="84" t="s">
        <v>797</v>
      </c>
      <c r="H20" s="89"/>
      <c r="X20" s="91"/>
      <c r="Y20" s="92"/>
      <c r="Z20" s="92" t="s">
        <v>804</v>
      </c>
      <c r="AA20" s="93"/>
      <c r="AC20" s="88" t="s">
        <v>869</v>
      </c>
      <c r="AD20" s="84" t="s">
        <v>888</v>
      </c>
      <c r="AE20" s="84" t="s">
        <v>95</v>
      </c>
      <c r="AF20" s="84" t="s">
        <v>797</v>
      </c>
      <c r="AG20" s="89"/>
    </row>
    <row r="21" spans="2:33">
      <c r="B21" s="88" t="s">
        <v>889</v>
      </c>
      <c r="C21" s="89" t="s">
        <v>890</v>
      </c>
      <c r="E21" s="88" t="s">
        <v>891</v>
      </c>
      <c r="F21" s="84" t="s">
        <v>95</v>
      </c>
      <c r="G21" s="84" t="s">
        <v>797</v>
      </c>
      <c r="H21" s="89"/>
      <c r="AC21" s="88"/>
      <c r="AF21" s="84" t="s">
        <v>142</v>
      </c>
      <c r="AG21" s="89"/>
    </row>
    <row r="22" spans="2:33">
      <c r="B22" s="88" t="s">
        <v>892</v>
      </c>
      <c r="C22" s="89" t="s">
        <v>893</v>
      </c>
      <c r="E22" s="88"/>
      <c r="G22" s="84" t="s">
        <v>789</v>
      </c>
      <c r="H22" s="89"/>
      <c r="AC22" s="88" t="s">
        <v>869</v>
      </c>
      <c r="AD22" s="84" t="s">
        <v>625</v>
      </c>
      <c r="AE22" s="84" t="s">
        <v>95</v>
      </c>
      <c r="AF22" s="84" t="s">
        <v>797</v>
      </c>
      <c r="AG22" s="89"/>
    </row>
    <row r="23" spans="2:33">
      <c r="B23" s="88" t="s">
        <v>894</v>
      </c>
      <c r="C23" s="89" t="s">
        <v>895</v>
      </c>
      <c r="E23" s="88"/>
      <c r="G23" s="84" t="s">
        <v>810</v>
      </c>
      <c r="H23" s="89"/>
      <c r="AC23" s="88"/>
      <c r="AF23" s="84" t="s">
        <v>142</v>
      </c>
      <c r="AG23" s="89"/>
    </row>
    <row r="24" spans="2:33">
      <c r="B24" s="88" t="s">
        <v>896</v>
      </c>
      <c r="C24" s="89" t="s">
        <v>897</v>
      </c>
      <c r="E24" s="88" t="s">
        <v>898</v>
      </c>
      <c r="F24" s="84" t="s">
        <v>899</v>
      </c>
      <c r="G24" s="84" t="s">
        <v>342</v>
      </c>
      <c r="H24" s="89"/>
      <c r="AC24" s="88" t="s">
        <v>869</v>
      </c>
      <c r="AD24" s="84" t="s">
        <v>900</v>
      </c>
      <c r="AE24" s="84" t="s">
        <v>95</v>
      </c>
      <c r="AF24" s="84" t="s">
        <v>797</v>
      </c>
      <c r="AG24" s="89"/>
    </row>
    <row r="25" spans="2:33">
      <c r="B25" s="88" t="s">
        <v>901</v>
      </c>
      <c r="C25" s="89" t="s">
        <v>902</v>
      </c>
      <c r="E25" s="88" t="s">
        <v>903</v>
      </c>
      <c r="F25" s="84" t="s">
        <v>899</v>
      </c>
      <c r="G25" s="84" t="s">
        <v>342</v>
      </c>
      <c r="H25" s="89"/>
      <c r="AC25" s="88"/>
      <c r="AF25" s="84" t="s">
        <v>142</v>
      </c>
      <c r="AG25" s="89"/>
    </row>
    <row r="26" spans="2:33">
      <c r="B26" s="88" t="s">
        <v>904</v>
      </c>
      <c r="C26" s="89" t="s">
        <v>905</v>
      </c>
      <c r="E26" s="91" t="s">
        <v>906</v>
      </c>
      <c r="F26" s="92" t="s">
        <v>899</v>
      </c>
      <c r="G26" s="92" t="s">
        <v>342</v>
      </c>
      <c r="H26" s="93"/>
      <c r="AC26" s="88" t="s">
        <v>907</v>
      </c>
      <c r="AD26" s="84" t="s">
        <v>908</v>
      </c>
      <c r="AE26" s="84" t="s">
        <v>95</v>
      </c>
      <c r="AF26" s="84" t="s">
        <v>142</v>
      </c>
      <c r="AG26" s="89"/>
    </row>
    <row r="27" spans="2:33">
      <c r="B27" s="88" t="s">
        <v>909</v>
      </c>
      <c r="C27" s="89" t="s">
        <v>910</v>
      </c>
      <c r="AC27" s="88"/>
      <c r="AF27" s="84" t="s">
        <v>911</v>
      </c>
      <c r="AG27" s="89"/>
    </row>
    <row r="28" spans="2:33">
      <c r="B28" s="88" t="s">
        <v>912</v>
      </c>
      <c r="C28" s="89" t="s">
        <v>913</v>
      </c>
      <c r="AC28" s="88" t="s">
        <v>907</v>
      </c>
      <c r="AD28" s="84" t="s">
        <v>914</v>
      </c>
      <c r="AE28" s="84" t="s">
        <v>95</v>
      </c>
      <c r="AF28" s="84" t="s">
        <v>142</v>
      </c>
      <c r="AG28" s="89" t="s">
        <v>915</v>
      </c>
    </row>
    <row r="29" spans="2:33">
      <c r="B29" s="88" t="s">
        <v>916</v>
      </c>
      <c r="C29" s="89" t="s">
        <v>917</v>
      </c>
      <c r="AC29" s="88"/>
      <c r="AF29" s="84" t="s">
        <v>911</v>
      </c>
      <c r="AG29" s="89"/>
    </row>
    <row r="30" spans="2:33">
      <c r="B30" s="88" t="s">
        <v>918</v>
      </c>
      <c r="C30" s="89" t="s">
        <v>919</v>
      </c>
      <c r="AC30" s="88" t="s">
        <v>907</v>
      </c>
      <c r="AD30" s="84" t="s">
        <v>824</v>
      </c>
      <c r="AE30" s="84" t="s">
        <v>95</v>
      </c>
      <c r="AF30" s="84" t="s">
        <v>142</v>
      </c>
      <c r="AG30" s="89" t="s">
        <v>915</v>
      </c>
    </row>
    <row r="31" spans="2:33">
      <c r="B31" s="88" t="s">
        <v>920</v>
      </c>
      <c r="C31" s="89" t="s">
        <v>913</v>
      </c>
      <c r="AC31" s="88"/>
      <c r="AF31" s="84" t="s">
        <v>911</v>
      </c>
      <c r="AG31" s="89"/>
    </row>
    <row r="32" spans="2:33">
      <c r="B32" s="88" t="s">
        <v>921</v>
      </c>
      <c r="C32" s="89" t="s">
        <v>922</v>
      </c>
      <c r="AC32" s="88" t="s">
        <v>907</v>
      </c>
      <c r="AD32" s="84" t="s">
        <v>923</v>
      </c>
      <c r="AE32" s="84" t="s">
        <v>95</v>
      </c>
      <c r="AF32" s="84" t="s">
        <v>142</v>
      </c>
      <c r="AG32" s="89" t="s">
        <v>915</v>
      </c>
    </row>
    <row r="33" spans="2:33">
      <c r="B33" s="91" t="s">
        <v>924</v>
      </c>
      <c r="C33" s="93" t="s">
        <v>925</v>
      </c>
      <c r="AC33" s="88"/>
      <c r="AF33" s="84" t="s">
        <v>911</v>
      </c>
      <c r="AG33" s="89"/>
    </row>
    <row r="34" spans="2:33">
      <c r="AC34" s="88" t="s">
        <v>907</v>
      </c>
      <c r="AD34" s="84" t="s">
        <v>900</v>
      </c>
      <c r="AE34" s="84" t="s">
        <v>95</v>
      </c>
      <c r="AF34" s="84" t="s">
        <v>142</v>
      </c>
      <c r="AG34" s="89" t="s">
        <v>915</v>
      </c>
    </row>
    <row r="35" spans="2:33">
      <c r="AC35" s="88"/>
      <c r="AF35" s="84" t="s">
        <v>911</v>
      </c>
      <c r="AG35" s="89"/>
    </row>
    <row r="36" spans="2:33">
      <c r="AC36" s="88" t="s">
        <v>926</v>
      </c>
      <c r="AD36" s="84" t="s">
        <v>927</v>
      </c>
      <c r="AE36" s="84" t="s">
        <v>95</v>
      </c>
      <c r="AF36" s="84" t="s">
        <v>809</v>
      </c>
      <c r="AG36" s="89"/>
    </row>
    <row r="37" spans="2:33">
      <c r="AC37" s="88" t="s">
        <v>926</v>
      </c>
      <c r="AD37" s="84" t="s">
        <v>928</v>
      </c>
      <c r="AE37" s="84" t="s">
        <v>95</v>
      </c>
      <c r="AF37" s="84" t="s">
        <v>809</v>
      </c>
      <c r="AG37" s="89"/>
    </row>
    <row r="38" spans="2:33">
      <c r="AC38" s="88" t="s">
        <v>926</v>
      </c>
      <c r="AD38" s="84" t="s">
        <v>929</v>
      </c>
      <c r="AE38" s="84" t="s">
        <v>95</v>
      </c>
      <c r="AF38" s="84" t="s">
        <v>809</v>
      </c>
      <c r="AG38" s="89"/>
    </row>
    <row r="39" spans="2:33">
      <c r="AC39" s="88" t="s">
        <v>926</v>
      </c>
      <c r="AD39" s="84" t="s">
        <v>930</v>
      </c>
      <c r="AE39" s="84" t="s">
        <v>95</v>
      </c>
      <c r="AF39" s="84" t="s">
        <v>809</v>
      </c>
      <c r="AG39" s="89"/>
    </row>
    <row r="40" spans="2:33">
      <c r="AC40" s="88" t="s">
        <v>931</v>
      </c>
      <c r="AE40" s="84" t="s">
        <v>95</v>
      </c>
      <c r="AF40" s="84" t="s">
        <v>342</v>
      </c>
      <c r="AG40" s="89"/>
    </row>
    <row r="41" spans="2:33">
      <c r="AC41" s="88" t="s">
        <v>932</v>
      </c>
      <c r="AE41" s="84" t="s">
        <v>95</v>
      </c>
      <c r="AF41" s="84" t="s">
        <v>809</v>
      </c>
      <c r="AG41" s="89"/>
    </row>
    <row r="42" spans="2:33">
      <c r="AC42" s="88" t="s">
        <v>933</v>
      </c>
      <c r="AD42" s="84" t="s">
        <v>934</v>
      </c>
      <c r="AE42" s="84" t="s">
        <v>899</v>
      </c>
      <c r="AF42" s="84" t="s">
        <v>809</v>
      </c>
      <c r="AG42" s="89"/>
    </row>
    <row r="43" spans="2:33">
      <c r="AC43" s="88" t="s">
        <v>933</v>
      </c>
      <c r="AD43" s="84" t="s">
        <v>935</v>
      </c>
      <c r="AE43" s="84" t="s">
        <v>899</v>
      </c>
      <c r="AF43" s="84" t="s">
        <v>809</v>
      </c>
      <c r="AG43" s="89"/>
    </row>
    <row r="44" spans="2:33">
      <c r="AC44" s="88" t="s">
        <v>933</v>
      </c>
      <c r="AD44" s="84" t="s">
        <v>936</v>
      </c>
      <c r="AE44" s="84" t="s">
        <v>899</v>
      </c>
      <c r="AF44" s="84" t="s">
        <v>809</v>
      </c>
      <c r="AG44" s="89"/>
    </row>
    <row r="45" spans="2:33">
      <c r="AC45" s="88" t="s">
        <v>933</v>
      </c>
      <c r="AD45" s="84" t="s">
        <v>937</v>
      </c>
      <c r="AE45" s="84" t="s">
        <v>899</v>
      </c>
      <c r="AF45" s="84" t="s">
        <v>809</v>
      </c>
      <c r="AG45" s="89"/>
    </row>
    <row r="46" spans="2:33">
      <c r="AC46" s="88" t="s">
        <v>933</v>
      </c>
      <c r="AD46" s="84" t="s">
        <v>938</v>
      </c>
      <c r="AE46" s="84" t="s">
        <v>899</v>
      </c>
      <c r="AF46" s="84" t="s">
        <v>809</v>
      </c>
      <c r="AG46" s="89"/>
    </row>
    <row r="47" spans="2:33">
      <c r="AC47" s="88" t="s">
        <v>939</v>
      </c>
      <c r="AD47" s="84" t="s">
        <v>940</v>
      </c>
      <c r="AE47" s="84" t="s">
        <v>899</v>
      </c>
      <c r="AF47" s="84" t="s">
        <v>809</v>
      </c>
      <c r="AG47" s="89"/>
    </row>
    <row r="48" spans="2:33">
      <c r="AC48" s="88" t="s">
        <v>939</v>
      </c>
      <c r="AD48" s="84" t="s">
        <v>941</v>
      </c>
      <c r="AE48" s="84" t="s">
        <v>899</v>
      </c>
      <c r="AF48" s="84" t="s">
        <v>809</v>
      </c>
      <c r="AG48" s="89"/>
    </row>
    <row r="49" spans="29:33">
      <c r="AC49" s="91" t="s">
        <v>942</v>
      </c>
      <c r="AD49" s="92" t="s">
        <v>940</v>
      </c>
      <c r="AE49" s="92" t="s">
        <v>899</v>
      </c>
      <c r="AF49" s="92" t="s">
        <v>809</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http://schemas.microsoft.com/office/2006/documentManagement/types"/>
    <ds:schemaRef ds:uri="http://purl.org/dc/dcmitype/"/>
    <ds:schemaRef ds:uri="925fb8bf-6124-4564-9086-bab0bf327637"/>
    <ds:schemaRef ds:uri="cc94ae7b-2025-4ffb-bd04-1297cd213e7a"/>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BE51620-2C38-4F92-8D96-502ABAF8560B}"/>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2025-02-05T02:17:08Z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