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811" documentId="13_ncr:1_{283C6665-16C0-4A3E-AE36-B371DBE4F1BE}" xr6:coauthVersionLast="47" xr6:coauthVersionMax="47" xr10:uidLastSave="{039F37DD-C9D5-4BA5-9EE0-AE6694FFF238}"/>
  <bookViews>
    <workbookView xWindow="-108" yWindow="-108" windowWidth="23256" windowHeight="12576" tabRatio="789" activeTab="2" xr2:uid="{00000000-000D-0000-FFFF-FFFF00000000}"/>
  </bookViews>
  <sheets>
    <sheet name="ST仕様書表紙" sheetId="16" r:id="rId1"/>
    <sheet name="性能テスト(ignicaPOS連携プログラム適用前)" sheetId="68" r:id="rId2"/>
    <sheet name="性能テスト(ignicaPOS連携プログラム適用後)" sheetId="67" r:id="rId3"/>
    <sheet name="負荷テスト" sheetId="66" r:id="rId4"/>
    <sheet name="ストレステスト" sheetId="65" r:id="rId5"/>
    <sheet name="信頼性テスト" sheetId="64" r:id="rId6"/>
  </sheets>
  <definedNames>
    <definedName name="_xlnm._FilterDatabase" localSheetId="4" hidden="1">ストレステスト!$F$3:$F$144</definedName>
    <definedName name="_xlnm._FilterDatabase" localSheetId="5" hidden="1">信頼性テスト!$F$3:$F$99</definedName>
    <definedName name="_xlnm._FilterDatabase" localSheetId="2" hidden="1">'性能テスト(ignicaPOS連携プログラム適用後)'!$U$4:$W$149</definedName>
    <definedName name="_xlnm._FilterDatabase" localSheetId="1" hidden="1">'性能テスト(ignicaPOS連携プログラム適用前)'!$F$3:$F$66</definedName>
    <definedName name="_xlnm._FilterDatabase" localSheetId="3" hidden="1">負荷テスト!$F$3:$F$137</definedName>
    <definedName name="HTML_CodePage" hidden="1">932</definedName>
    <definedName name="HTML_Control" localSheetId="4" hidden="1">{"'表紙'!$A$1:$W$39"}</definedName>
    <definedName name="HTML_Control" localSheetId="5" hidden="1">{"'表紙'!$A$1:$W$39"}</definedName>
    <definedName name="HTML_Control" localSheetId="2" hidden="1">{"'表紙'!$A$1:$W$39"}</definedName>
    <definedName name="HTML_Control" localSheetId="1" hidden="1">{"'表紙'!$A$1:$W$39"}</definedName>
    <definedName name="HTML_Control" localSheetId="3"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0">ST仕様書表紙!$A$1:$M$24</definedName>
    <definedName name="_xlnm.Print_Area" localSheetId="4">ストレステスト!$A$1:$Y$144</definedName>
    <definedName name="_xlnm.Print_Area" localSheetId="5">信頼性テスト!$A$1:$Y$99</definedName>
    <definedName name="_xlnm.Print_Area" localSheetId="2">'性能テスト(ignicaPOS連携プログラム適用後)'!$A$1:$Y$149</definedName>
    <definedName name="_xlnm.Print_Area" localSheetId="1">'性能テスト(ignicaPOS連携プログラム適用前)'!$A$1:$Y$66</definedName>
    <definedName name="_xlnm.Print_Area" localSheetId="3">負荷テスト!$A$1:$Y$137</definedName>
    <definedName name="あ" localSheetId="4" hidden="1">{"'表紙'!$A$1:$W$39"}</definedName>
    <definedName name="あ" localSheetId="5" hidden="1">{"'表紙'!$A$1:$W$39"}</definedName>
    <definedName name="あ" localSheetId="2" hidden="1">{"'表紙'!$A$1:$W$39"}</definedName>
    <definedName name="あ" localSheetId="1" hidden="1">{"'表紙'!$A$1:$W$39"}</definedName>
    <definedName name="あ" localSheetId="3"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9" i="64" l="1"/>
  <c r="J99" i="64"/>
  <c r="K99" i="64"/>
  <c r="L99" i="64"/>
  <c r="M99" i="64"/>
  <c r="N99" i="64"/>
  <c r="O99" i="64"/>
  <c r="P99" i="64"/>
  <c r="Q99" i="64"/>
  <c r="R99" i="64"/>
  <c r="S99" i="64"/>
  <c r="H99" i="64"/>
  <c r="I98" i="64"/>
  <c r="J98" i="64"/>
  <c r="K98" i="64"/>
  <c r="L98" i="64"/>
  <c r="M98" i="64"/>
  <c r="N98" i="64"/>
  <c r="O98" i="64"/>
  <c r="P98" i="64"/>
  <c r="Q98" i="64"/>
  <c r="R98" i="64"/>
  <c r="S98" i="64"/>
  <c r="I97" i="64"/>
  <c r="J97" i="64"/>
  <c r="K97" i="64"/>
  <c r="L97" i="64"/>
  <c r="M97" i="64"/>
  <c r="N97" i="64"/>
  <c r="O97" i="64"/>
  <c r="P97" i="64"/>
  <c r="Q97" i="64"/>
  <c r="R97" i="64"/>
  <c r="S97" i="64"/>
  <c r="H97" i="64"/>
  <c r="I96" i="64"/>
  <c r="J96" i="64"/>
  <c r="K96" i="64"/>
  <c r="L96" i="64"/>
  <c r="M96" i="64"/>
  <c r="N96" i="64"/>
  <c r="O96" i="64"/>
  <c r="P96" i="64"/>
  <c r="Q96" i="64"/>
  <c r="R96" i="64"/>
  <c r="S96" i="64"/>
  <c r="H96" i="64"/>
  <c r="I144" i="65"/>
  <c r="J144" i="65"/>
  <c r="K144" i="65"/>
  <c r="L144" i="65"/>
  <c r="M144" i="65"/>
  <c r="N144" i="65"/>
  <c r="O144" i="65"/>
  <c r="P144" i="65"/>
  <c r="Q144" i="65"/>
  <c r="R144" i="65"/>
  <c r="S144" i="65"/>
  <c r="H144" i="65"/>
  <c r="I143" i="65"/>
  <c r="J143" i="65"/>
  <c r="K143" i="65"/>
  <c r="L143" i="65"/>
  <c r="M143" i="65"/>
  <c r="N143" i="65"/>
  <c r="O143" i="65"/>
  <c r="P143" i="65"/>
  <c r="Q143" i="65"/>
  <c r="R143" i="65"/>
  <c r="S143" i="65"/>
  <c r="I142" i="65"/>
  <c r="J142" i="65"/>
  <c r="K142" i="65"/>
  <c r="L142" i="65"/>
  <c r="M142" i="65"/>
  <c r="N142" i="65"/>
  <c r="O142" i="65"/>
  <c r="P142" i="65"/>
  <c r="Q142" i="65"/>
  <c r="R142" i="65"/>
  <c r="S142" i="65"/>
  <c r="H142" i="65"/>
  <c r="I141" i="65"/>
  <c r="J141" i="65"/>
  <c r="K141" i="65"/>
  <c r="L141" i="65"/>
  <c r="M141" i="65"/>
  <c r="N141" i="65"/>
  <c r="O141" i="65"/>
  <c r="P141" i="65"/>
  <c r="Q141" i="65"/>
  <c r="R141" i="65"/>
  <c r="S141" i="65"/>
  <c r="H141" i="65"/>
  <c r="I137" i="66"/>
  <c r="J137" i="66"/>
  <c r="K137" i="66"/>
  <c r="L137" i="66"/>
  <c r="M137" i="66"/>
  <c r="N137" i="66"/>
  <c r="O137" i="66"/>
  <c r="P137" i="66"/>
  <c r="Q137" i="66"/>
  <c r="R137" i="66"/>
  <c r="S137" i="66"/>
  <c r="H137" i="66"/>
  <c r="I136" i="66"/>
  <c r="J136" i="66"/>
  <c r="K136" i="66"/>
  <c r="N136" i="66"/>
  <c r="O136" i="66"/>
  <c r="P136" i="66"/>
  <c r="Q136" i="66"/>
  <c r="R136" i="66"/>
  <c r="S136" i="66"/>
  <c r="I135" i="66"/>
  <c r="J135" i="66"/>
  <c r="K135" i="66"/>
  <c r="L135" i="66"/>
  <c r="M135" i="66"/>
  <c r="N135" i="66"/>
  <c r="O135" i="66"/>
  <c r="P135" i="66"/>
  <c r="Q135" i="66"/>
  <c r="R135" i="66"/>
  <c r="S135" i="66"/>
  <c r="H135" i="66"/>
  <c r="I134" i="66"/>
  <c r="J134" i="66"/>
  <c r="K134" i="66"/>
  <c r="L134" i="66"/>
  <c r="M134" i="66"/>
  <c r="M136" i="66" s="1"/>
  <c r="N134" i="66"/>
  <c r="O134" i="66"/>
  <c r="P134" i="66"/>
  <c r="Q134" i="66"/>
  <c r="R134" i="66"/>
  <c r="S134" i="66"/>
  <c r="H134" i="66"/>
  <c r="I148" i="67"/>
  <c r="J148" i="67"/>
  <c r="K148" i="67"/>
  <c r="L148" i="67"/>
  <c r="M148" i="67"/>
  <c r="N148" i="67"/>
  <c r="O148" i="67"/>
  <c r="P148" i="67"/>
  <c r="Q148" i="67"/>
  <c r="R148" i="67"/>
  <c r="S148" i="67"/>
  <c r="I147" i="67"/>
  <c r="J147" i="67"/>
  <c r="K147" i="67"/>
  <c r="L147" i="67"/>
  <c r="M147" i="67"/>
  <c r="N147" i="67"/>
  <c r="O147" i="67"/>
  <c r="P147" i="67"/>
  <c r="Q147" i="67"/>
  <c r="R147" i="67"/>
  <c r="S147" i="67"/>
  <c r="I146" i="67"/>
  <c r="J146" i="67"/>
  <c r="K146" i="67"/>
  <c r="L146" i="67"/>
  <c r="M146" i="67"/>
  <c r="N146" i="67"/>
  <c r="O146" i="67"/>
  <c r="P146" i="67"/>
  <c r="Q146" i="67"/>
  <c r="R146" i="67"/>
  <c r="S146" i="67"/>
  <c r="H146" i="67"/>
  <c r="H147" i="67"/>
  <c r="I149" i="67"/>
  <c r="J149" i="67"/>
  <c r="K149" i="67"/>
  <c r="L149" i="67"/>
  <c r="M149" i="67"/>
  <c r="N149" i="67"/>
  <c r="O149" i="67"/>
  <c r="P149" i="67"/>
  <c r="Q149" i="67"/>
  <c r="R149" i="67"/>
  <c r="S149" i="67"/>
  <c r="H149" i="67"/>
  <c r="L136" i="66" l="1"/>
  <c r="A138" i="67"/>
  <c r="A139" i="67"/>
  <c r="A140" i="67"/>
  <c r="A141" i="67"/>
  <c r="A142" i="67"/>
  <c r="A143" i="67"/>
  <c r="A144" i="67"/>
  <c r="A145" i="67"/>
  <c r="I63" i="68" l="1"/>
  <c r="J63" i="68"/>
  <c r="K63" i="68"/>
  <c r="L63" i="68"/>
  <c r="M63" i="68"/>
  <c r="N63" i="68"/>
  <c r="O63" i="68"/>
  <c r="P63" i="68"/>
  <c r="Q63" i="68"/>
  <c r="R63" i="68"/>
  <c r="S63" i="68"/>
  <c r="H63" i="68"/>
  <c r="W98" i="64"/>
  <c r="V98" i="64"/>
  <c r="U98" i="64"/>
  <c r="W143" i="65"/>
  <c r="V143" i="65"/>
  <c r="U143" i="65"/>
  <c r="W136" i="66"/>
  <c r="V136" i="66"/>
  <c r="U136" i="66"/>
  <c r="W148" i="67"/>
  <c r="V148" i="67"/>
  <c r="U148" i="67"/>
  <c r="W65" i="68"/>
  <c r="V65" i="68"/>
  <c r="U65" i="68"/>
  <c r="A6" i="64"/>
  <c r="A7" i="64"/>
  <c r="A8" i="64"/>
  <c r="A9" i="64"/>
  <c r="A10" i="64"/>
  <c r="A11" i="64"/>
  <c r="A12" i="64"/>
  <c r="A13" i="64"/>
  <c r="A14" i="64"/>
  <c r="A15" i="64"/>
  <c r="A16" i="64"/>
  <c r="A17" i="64"/>
  <c r="A18" i="64"/>
  <c r="A19" i="64"/>
  <c r="A20" i="64"/>
  <c r="A21" i="64"/>
  <c r="A22" i="64"/>
  <c r="A23" i="64"/>
  <c r="A24" i="64"/>
  <c r="A25" i="64"/>
  <c r="A26" i="64"/>
  <c r="A27" i="64"/>
  <c r="A28" i="64"/>
  <c r="A29" i="64"/>
  <c r="A30" i="64"/>
  <c r="A31" i="64"/>
  <c r="A32" i="64"/>
  <c r="A33" i="64"/>
  <c r="A34" i="64"/>
  <c r="A35" i="64"/>
  <c r="A36" i="64"/>
  <c r="A37" i="64"/>
  <c r="A38" i="64"/>
  <c r="A39" i="64"/>
  <c r="A40" i="64"/>
  <c r="A41" i="64"/>
  <c r="A42" i="64"/>
  <c r="A43" i="64"/>
  <c r="A44" i="64"/>
  <c r="A45" i="64"/>
  <c r="A46" i="64"/>
  <c r="A47" i="64"/>
  <c r="A48" i="64"/>
  <c r="A49" i="64"/>
  <c r="A50" i="64"/>
  <c r="A51" i="64"/>
  <c r="A52" i="64"/>
  <c r="A53" i="64"/>
  <c r="A54" i="64"/>
  <c r="A55" i="64"/>
  <c r="A56" i="64"/>
  <c r="A57" i="64"/>
  <c r="A58" i="64"/>
  <c r="A59" i="64"/>
  <c r="A60" i="64"/>
  <c r="A61" i="64"/>
  <c r="A62" i="64"/>
  <c r="A63" i="64"/>
  <c r="A64" i="64"/>
  <c r="A65" i="64"/>
  <c r="A66" i="64"/>
  <c r="A67" i="64"/>
  <c r="A68" i="64"/>
  <c r="A69" i="64"/>
  <c r="A70" i="64"/>
  <c r="A71" i="64"/>
  <c r="A72" i="64"/>
  <c r="A73" i="64"/>
  <c r="A74" i="64"/>
  <c r="A75" i="64"/>
  <c r="A76" i="64"/>
  <c r="A77" i="64"/>
  <c r="A78" i="64"/>
  <c r="A79" i="64"/>
  <c r="A80" i="64"/>
  <c r="A81" i="64"/>
  <c r="A82" i="64"/>
  <c r="A83" i="64"/>
  <c r="A84" i="64"/>
  <c r="A85" i="64"/>
  <c r="A86" i="64"/>
  <c r="A87" i="64"/>
  <c r="A88" i="64"/>
  <c r="A89" i="64"/>
  <c r="A90" i="64"/>
  <c r="A91" i="64"/>
  <c r="A92" i="64"/>
  <c r="A93" i="64"/>
  <c r="A94" i="64"/>
  <c r="A95" i="64"/>
  <c r="A5" i="64"/>
  <c r="A6" i="65" l="1"/>
  <c r="A7" i="65"/>
  <c r="A8" i="65"/>
  <c r="A9" i="65"/>
  <c r="A10" i="65"/>
  <c r="A11" i="65"/>
  <c r="A12" i="65"/>
  <c r="A13" i="65"/>
  <c r="A14" i="65"/>
  <c r="A15" i="65"/>
  <c r="A16" i="65"/>
  <c r="A17" i="65"/>
  <c r="A18" i="65"/>
  <c r="A19" i="65"/>
  <c r="A20" i="65"/>
  <c r="A21" i="65"/>
  <c r="A22" i="65"/>
  <c r="A23" i="65"/>
  <c r="A24" i="65"/>
  <c r="A25" i="65"/>
  <c r="A26" i="65"/>
  <c r="A27" i="65"/>
  <c r="A28" i="65"/>
  <c r="A29" i="65"/>
  <c r="A30" i="65"/>
  <c r="A31" i="65"/>
  <c r="A32" i="65"/>
  <c r="A33" i="65"/>
  <c r="A34" i="65"/>
  <c r="A35" i="65"/>
  <c r="A36" i="65"/>
  <c r="A37" i="65"/>
  <c r="A38" i="65"/>
  <c r="A39" i="65"/>
  <c r="A40" i="65"/>
  <c r="A41" i="65"/>
  <c r="A42" i="65"/>
  <c r="A43" i="65"/>
  <c r="A44" i="65"/>
  <c r="A45" i="65"/>
  <c r="A46" i="65"/>
  <c r="A47" i="65"/>
  <c r="A48" i="65"/>
  <c r="A49" i="65"/>
  <c r="A50" i="65"/>
  <c r="A51" i="65"/>
  <c r="A52" i="65"/>
  <c r="A53" i="65"/>
  <c r="A54" i="65"/>
  <c r="A55" i="65"/>
  <c r="A56" i="65"/>
  <c r="A57" i="65"/>
  <c r="A58" i="65"/>
  <c r="A59" i="65"/>
  <c r="A60" i="65"/>
  <c r="A61" i="65"/>
  <c r="A62" i="65"/>
  <c r="A63" i="65"/>
  <c r="A64" i="65"/>
  <c r="A65" i="65"/>
  <c r="A66" i="65"/>
  <c r="A67" i="65"/>
  <c r="A68" i="65"/>
  <c r="A69" i="65"/>
  <c r="A70" i="65"/>
  <c r="A71" i="65"/>
  <c r="A72" i="65"/>
  <c r="A73" i="65"/>
  <c r="A74" i="65"/>
  <c r="A75" i="65"/>
  <c r="A76" i="65"/>
  <c r="A77" i="65"/>
  <c r="A78" i="65"/>
  <c r="A79" i="65"/>
  <c r="A80" i="65"/>
  <c r="A81" i="65"/>
  <c r="A82" i="65"/>
  <c r="A83" i="65"/>
  <c r="A84" i="65"/>
  <c r="A85" i="65"/>
  <c r="A86" i="65"/>
  <c r="A87" i="65"/>
  <c r="A88" i="65"/>
  <c r="A89" i="65"/>
  <c r="A90" i="65"/>
  <c r="A91" i="65"/>
  <c r="A92" i="65"/>
  <c r="A93" i="65"/>
  <c r="A94" i="65"/>
  <c r="A95" i="65"/>
  <c r="A96" i="65"/>
  <c r="A97" i="65"/>
  <c r="A98" i="65"/>
  <c r="A99" i="65"/>
  <c r="A100" i="65"/>
  <c r="A101" i="65"/>
  <c r="A102" i="65"/>
  <c r="A103" i="65"/>
  <c r="A104" i="65"/>
  <c r="A105" i="65"/>
  <c r="A106" i="65"/>
  <c r="A107" i="65"/>
  <c r="A108" i="65"/>
  <c r="A109" i="65"/>
  <c r="A110" i="65"/>
  <c r="A111" i="65"/>
  <c r="A112" i="65"/>
  <c r="A113" i="65"/>
  <c r="A114" i="65"/>
  <c r="A115" i="65"/>
  <c r="A116" i="65"/>
  <c r="A117" i="65"/>
  <c r="A118" i="65"/>
  <c r="A119" i="65"/>
  <c r="A120" i="65"/>
  <c r="A121" i="65"/>
  <c r="A122" i="65"/>
  <c r="A123" i="65"/>
  <c r="A124" i="65"/>
  <c r="A125" i="65"/>
  <c r="A126" i="65"/>
  <c r="A127" i="65"/>
  <c r="A128" i="65"/>
  <c r="A129" i="65"/>
  <c r="A130" i="65"/>
  <c r="A131" i="65"/>
  <c r="A132" i="65"/>
  <c r="A133" i="65"/>
  <c r="A134" i="65"/>
  <c r="A135" i="65"/>
  <c r="A136" i="65"/>
  <c r="A137" i="65"/>
  <c r="A138" i="65"/>
  <c r="A139" i="65"/>
  <c r="A140" i="65"/>
  <c r="A5" i="65"/>
  <c r="A6" i="66"/>
  <c r="A7" i="66"/>
  <c r="A8" i="66"/>
  <c r="A9" i="66"/>
  <c r="A10" i="66"/>
  <c r="A11" i="66"/>
  <c r="A12" i="66"/>
  <c r="A13" i="66"/>
  <c r="A14" i="66"/>
  <c r="A15" i="66"/>
  <c r="A16" i="66"/>
  <c r="A17" i="66"/>
  <c r="A18" i="66"/>
  <c r="A19" i="66"/>
  <c r="A20" i="66"/>
  <c r="A21" i="66"/>
  <c r="A22" i="66"/>
  <c r="A23" i="66"/>
  <c r="A24" i="66"/>
  <c r="A25" i="66"/>
  <c r="A26" i="66"/>
  <c r="A27" i="66"/>
  <c r="A28" i="66"/>
  <c r="A29" i="66"/>
  <c r="A30" i="66"/>
  <c r="A31" i="66"/>
  <c r="A32" i="66"/>
  <c r="A33" i="66"/>
  <c r="A34" i="66"/>
  <c r="A35" i="66"/>
  <c r="A36" i="66"/>
  <c r="A37" i="66"/>
  <c r="A38" i="66"/>
  <c r="A39" i="66"/>
  <c r="A40" i="66"/>
  <c r="A41" i="66"/>
  <c r="A42" i="66"/>
  <c r="A43" i="66"/>
  <c r="A44" i="66"/>
  <c r="A45" i="66"/>
  <c r="A46" i="66"/>
  <c r="A47" i="66"/>
  <c r="A48" i="66"/>
  <c r="A49" i="66"/>
  <c r="A50" i="66"/>
  <c r="A51" i="66"/>
  <c r="A52" i="66"/>
  <c r="A53" i="66"/>
  <c r="A54" i="66"/>
  <c r="A55" i="66"/>
  <c r="A56" i="66"/>
  <c r="A57" i="66"/>
  <c r="A58" i="66"/>
  <c r="A59" i="66"/>
  <c r="A60" i="66"/>
  <c r="A61" i="66"/>
  <c r="A62" i="66"/>
  <c r="A63" i="66"/>
  <c r="A64" i="66"/>
  <c r="A65" i="66"/>
  <c r="A66" i="66"/>
  <c r="A67" i="66"/>
  <c r="A68" i="66"/>
  <c r="A69" i="66"/>
  <c r="A70" i="66"/>
  <c r="A71" i="66"/>
  <c r="A72" i="66"/>
  <c r="A73" i="66"/>
  <c r="A74" i="66"/>
  <c r="A75" i="66"/>
  <c r="A76" i="66"/>
  <c r="A77" i="66"/>
  <c r="A78" i="66"/>
  <c r="A79" i="66"/>
  <c r="A80" i="66"/>
  <c r="A81" i="66"/>
  <c r="A82" i="66"/>
  <c r="A83" i="66"/>
  <c r="A84" i="66"/>
  <c r="A85" i="66"/>
  <c r="A86" i="66"/>
  <c r="A87" i="66"/>
  <c r="A88" i="66"/>
  <c r="A89" i="66"/>
  <c r="A90" i="66"/>
  <c r="A91" i="66"/>
  <c r="A92" i="66"/>
  <c r="A93" i="66"/>
  <c r="A94" i="66"/>
  <c r="A95" i="66"/>
  <c r="A96" i="66"/>
  <c r="A97" i="66"/>
  <c r="A98" i="66"/>
  <c r="A99" i="66"/>
  <c r="A100" i="66"/>
  <c r="A101" i="66"/>
  <c r="A102" i="66"/>
  <c r="A103" i="66"/>
  <c r="A104" i="66"/>
  <c r="A105" i="66"/>
  <c r="A106" i="66"/>
  <c r="A107" i="66"/>
  <c r="A108" i="66"/>
  <c r="A109" i="66"/>
  <c r="A110" i="66"/>
  <c r="A111" i="66"/>
  <c r="A112" i="66"/>
  <c r="A113" i="66"/>
  <c r="A114" i="66"/>
  <c r="A115" i="66"/>
  <c r="A116" i="66"/>
  <c r="A117" i="66"/>
  <c r="A118" i="66"/>
  <c r="A119" i="66"/>
  <c r="A120" i="66"/>
  <c r="A121" i="66"/>
  <c r="A122" i="66"/>
  <c r="A123" i="66"/>
  <c r="A124" i="66"/>
  <c r="A125" i="66"/>
  <c r="A126" i="66"/>
  <c r="A127" i="66"/>
  <c r="A128" i="66"/>
  <c r="A129" i="66"/>
  <c r="A130" i="66"/>
  <c r="A131" i="66"/>
  <c r="A132" i="66"/>
  <c r="A133" i="66"/>
  <c r="A5" i="66"/>
  <c r="A6" i="67" l="1"/>
  <c r="A7" i="67"/>
  <c r="A8" i="67"/>
  <c r="A9" i="67"/>
  <c r="A10" i="67"/>
  <c r="A11" i="67"/>
  <c r="A12" i="67"/>
  <c r="A13" i="67"/>
  <c r="A14" i="67"/>
  <c r="A15" i="67"/>
  <c r="A16" i="67"/>
  <c r="A17" i="67"/>
  <c r="A18" i="67"/>
  <c r="A19" i="67"/>
  <c r="A20" i="67"/>
  <c r="A21" i="67"/>
  <c r="A22" i="67"/>
  <c r="A23" i="67"/>
  <c r="A24" i="67"/>
  <c r="A25" i="67"/>
  <c r="A26" i="67"/>
  <c r="A27" i="67"/>
  <c r="A28" i="67"/>
  <c r="A29" i="67"/>
  <c r="A30" i="67"/>
  <c r="A31" i="67"/>
  <c r="A32" i="67"/>
  <c r="A33" i="67"/>
  <c r="A34" i="67"/>
  <c r="A35" i="67"/>
  <c r="A36" i="67"/>
  <c r="A37" i="67"/>
  <c r="A38" i="67"/>
  <c r="A39" i="67"/>
  <c r="A40" i="67"/>
  <c r="A41" i="67"/>
  <c r="A42" i="67"/>
  <c r="A43" i="67"/>
  <c r="A44" i="67"/>
  <c r="A45" i="67"/>
  <c r="A46" i="67"/>
  <c r="A47" i="67"/>
  <c r="A48" i="67"/>
  <c r="A49" i="67"/>
  <c r="A50" i="67"/>
  <c r="A51"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A87" i="67"/>
  <c r="A88" i="67"/>
  <c r="A89" i="67"/>
  <c r="A90" i="67"/>
  <c r="A91" i="67"/>
  <c r="A92" i="67"/>
  <c r="A93" i="67"/>
  <c r="A94" i="67"/>
  <c r="A95" i="67"/>
  <c r="A96" i="67"/>
  <c r="A97" i="67"/>
  <c r="A98" i="67"/>
  <c r="A99" i="67"/>
  <c r="A100" i="67"/>
  <c r="A101" i="67"/>
  <c r="A102" i="67"/>
  <c r="A103" i="67"/>
  <c r="A104" i="67"/>
  <c r="A105" i="67"/>
  <c r="A106" i="67"/>
  <c r="A107" i="67"/>
  <c r="A108" i="67"/>
  <c r="A109" i="67"/>
  <c r="A110" i="67"/>
  <c r="A111" i="67"/>
  <c r="A112" i="67"/>
  <c r="A113" i="67"/>
  <c r="A114" i="67"/>
  <c r="A115" i="67"/>
  <c r="A116" i="67"/>
  <c r="A117" i="67"/>
  <c r="A118" i="67"/>
  <c r="A119" i="67"/>
  <c r="A120" i="67"/>
  <c r="A121" i="67"/>
  <c r="A122" i="67"/>
  <c r="A123" i="67"/>
  <c r="A124" i="67"/>
  <c r="A125" i="67"/>
  <c r="A126" i="67"/>
  <c r="A127" i="67"/>
  <c r="A128" i="67"/>
  <c r="A129" i="67"/>
  <c r="A130" i="67"/>
  <c r="A131" i="67"/>
  <c r="A132" i="67"/>
  <c r="A133" i="67"/>
  <c r="A134" i="67"/>
  <c r="A135" i="67"/>
  <c r="A136" i="67"/>
  <c r="A137" i="67"/>
  <c r="A5" i="67"/>
  <c r="A6" i="68"/>
  <c r="A7" i="68"/>
  <c r="A8" i="68"/>
  <c r="A9" i="68"/>
  <c r="A10" i="68"/>
  <c r="A11" i="68"/>
  <c r="A12" i="68"/>
  <c r="A13" i="68"/>
  <c r="A14" i="68"/>
  <c r="A15" i="68"/>
  <c r="A16" i="68"/>
  <c r="A17" i="68"/>
  <c r="A18" i="68"/>
  <c r="A19" i="68"/>
  <c r="A20" i="68"/>
  <c r="A21" i="68"/>
  <c r="A22" i="68"/>
  <c r="A23" i="68"/>
  <c r="A24" i="68"/>
  <c r="A25" i="68"/>
  <c r="A26" i="68"/>
  <c r="A27" i="68"/>
  <c r="A28" i="68"/>
  <c r="A29" i="68"/>
  <c r="A30" i="68"/>
  <c r="A31" i="68"/>
  <c r="A32" i="68"/>
  <c r="A33" i="68"/>
  <c r="A34" i="68"/>
  <c r="A35" i="68"/>
  <c r="A36" i="68"/>
  <c r="A37" i="68"/>
  <c r="A38" i="68"/>
  <c r="A39" i="68"/>
  <c r="A40" i="68"/>
  <c r="A41" i="68"/>
  <c r="A42" i="68"/>
  <c r="A43" i="68"/>
  <c r="A44" i="68"/>
  <c r="A45" i="68"/>
  <c r="A46" i="68"/>
  <c r="A47" i="68"/>
  <c r="A48" i="68"/>
  <c r="A49" i="68"/>
  <c r="A50" i="68"/>
  <c r="A51" i="68"/>
  <c r="A52" i="68"/>
  <c r="A53" i="68"/>
  <c r="A54" i="68"/>
  <c r="A5" i="68"/>
  <c r="S66" i="68" l="1"/>
  <c r="R66" i="68"/>
  <c r="Q66" i="68"/>
  <c r="P66" i="68"/>
  <c r="O66" i="68"/>
  <c r="N66" i="68"/>
  <c r="M66" i="68"/>
  <c r="L66" i="68"/>
  <c r="K66" i="68"/>
  <c r="J66" i="68"/>
  <c r="I66" i="68"/>
  <c r="H66" i="68"/>
  <c r="S64" i="68"/>
  <c r="R64" i="68"/>
  <c r="Q64" i="68"/>
  <c r="P64" i="68"/>
  <c r="O64" i="68"/>
  <c r="N64" i="68"/>
  <c r="M64" i="68"/>
  <c r="L64" i="68"/>
  <c r="K64" i="68"/>
  <c r="J64" i="68"/>
  <c r="I64" i="68"/>
  <c r="H64" i="68"/>
  <c r="I65" i="68"/>
  <c r="A62" i="68"/>
  <c r="A61" i="68"/>
  <c r="A60" i="68"/>
  <c r="A59" i="68"/>
  <c r="A58" i="68"/>
  <c r="A57" i="68"/>
  <c r="A56" i="68"/>
  <c r="A55" i="68"/>
  <c r="Q65" i="68" l="1"/>
  <c r="R65" i="68"/>
  <c r="O65" i="68"/>
  <c r="P65" i="68"/>
  <c r="M65" i="68"/>
  <c r="N65" i="68"/>
  <c r="J65" i="68"/>
  <c r="Y63" i="68"/>
  <c r="K65" i="68"/>
  <c r="S65" i="68"/>
  <c r="Y66" i="68"/>
  <c r="C66" i="68" s="1"/>
  <c r="L65" i="68"/>
  <c r="Y64" i="68"/>
  <c r="H65" i="68"/>
  <c r="Y65" i="68" l="1"/>
  <c r="C64" i="68" s="1"/>
  <c r="E79" i="67" l="1"/>
  <c r="F13" i="64" l="1"/>
  <c r="F17" i="64"/>
  <c r="F19" i="64"/>
  <c r="F21" i="64"/>
  <c r="F40" i="64"/>
  <c r="F42" i="64"/>
  <c r="F15" i="64" l="1"/>
  <c r="E43" i="64"/>
  <c r="H143" i="65" l="1"/>
  <c r="Y141" i="65"/>
  <c r="Y144" i="65"/>
  <c r="C144" i="65" s="1"/>
  <c r="Y142" i="65"/>
  <c r="Y143" i="65" l="1"/>
  <c r="C142" i="65" s="1"/>
  <c r="Y137" i="66" l="1"/>
  <c r="C137" i="66" s="1"/>
  <c r="Y135" i="66"/>
  <c r="Y134" i="66"/>
  <c r="Y149" i="67"/>
  <c r="Y147" i="67"/>
  <c r="Y146" i="67"/>
  <c r="H148" i="67"/>
  <c r="H136" i="66"/>
  <c r="C149" i="67" l="1"/>
  <c r="Y136" i="66"/>
  <c r="C135" i="66" s="1"/>
  <c r="Y148" i="67"/>
  <c r="C147" i="67" s="1"/>
  <c r="Y97" i="64" l="1"/>
  <c r="Y99" i="64"/>
  <c r="Y96" i="64"/>
  <c r="C99" i="64" l="1"/>
  <c r="H98" i="64"/>
  <c r="Y98" i="64" s="1"/>
  <c r="C97" i="64" s="1"/>
</calcChain>
</file>

<file path=xl/sharedStrings.xml><?xml version="1.0" encoding="utf-8"?>
<sst xmlns="http://schemas.openxmlformats.org/spreadsheetml/2006/main" count="2337" uniqueCount="396">
  <si>
    <t>いなげや様</t>
    <rPh sb="4" eb="5">
      <t>サマ</t>
    </rPh>
    <phoneticPr fontId="5"/>
  </si>
  <si>
    <t>ignicaPOS連携対応</t>
    <rPh sb="11" eb="13">
      <t>タイオウ</t>
    </rPh>
    <phoneticPr fontId="5"/>
  </si>
  <si>
    <t>ST仕様書兼完了報告書</t>
    <phoneticPr fontId="5"/>
  </si>
  <si>
    <t>非機能テスト</t>
    <rPh sb="0" eb="1">
      <t>ヒ</t>
    </rPh>
    <rPh sb="1" eb="3">
      <t>キノウ</t>
    </rPh>
    <phoneticPr fontId="5"/>
  </si>
  <si>
    <t>第0.1版　2024年9月19日</t>
    <rPh sb="4" eb="5">
      <t>バン</t>
    </rPh>
    <rPh sb="12" eb="13">
      <t>ガツ</t>
    </rPh>
    <phoneticPr fontId="5"/>
  </si>
  <si>
    <t>富士通株式会社</t>
    <rPh sb="3" eb="5">
      <t>カブシキ</t>
    </rPh>
    <rPh sb="5" eb="7">
      <t>カイシャ</t>
    </rPh>
    <phoneticPr fontId="5"/>
  </si>
  <si>
    <t>No.</t>
    <phoneticPr fontId="2"/>
  </si>
  <si>
    <t>大分類</t>
    <rPh sb="0" eb="3">
      <t>ダイブンルイ</t>
    </rPh>
    <phoneticPr fontId="2"/>
  </si>
  <si>
    <t>中分類</t>
    <rPh sb="0" eb="3">
      <t>チュウブンルイ</t>
    </rPh>
    <phoneticPr fontId="2"/>
  </si>
  <si>
    <t>小分類</t>
    <rPh sb="0" eb="1">
      <t>ショウ</t>
    </rPh>
    <rPh sb="1" eb="3">
      <t>ブンルイ</t>
    </rPh>
    <phoneticPr fontId="2"/>
  </si>
  <si>
    <t>操作/設定</t>
    <rPh sb="0" eb="2">
      <t>ソウサ</t>
    </rPh>
    <rPh sb="3" eb="5">
      <t>セッテイ</t>
    </rPh>
    <phoneticPr fontId="2"/>
  </si>
  <si>
    <t>結果</t>
    <phoneticPr fontId="11"/>
  </si>
  <si>
    <t>POS</t>
    <phoneticPr fontId="2"/>
  </si>
  <si>
    <t>SSV</t>
    <phoneticPr fontId="2"/>
  </si>
  <si>
    <t>テスト結果</t>
    <rPh sb="3" eb="5">
      <t>ケッカ</t>
    </rPh>
    <phoneticPr fontId="2"/>
  </si>
  <si>
    <t>担当</t>
  </si>
  <si>
    <t>備考</t>
    <rPh sb="0" eb="2">
      <t>ビコウ</t>
    </rPh>
    <phoneticPr fontId="11"/>
  </si>
  <si>
    <t>操作</t>
    <rPh sb="0" eb="2">
      <t>ソウサ</t>
    </rPh>
    <phoneticPr fontId="11"/>
  </si>
  <si>
    <t>画面</t>
    <rPh sb="0" eb="2">
      <t>ガメン</t>
    </rPh>
    <phoneticPr fontId="2"/>
  </si>
  <si>
    <t>印字</t>
    <phoneticPr fontId="2"/>
  </si>
  <si>
    <t>演算</t>
    <phoneticPr fontId="2"/>
  </si>
  <si>
    <t>画面</t>
  </si>
  <si>
    <t>印字</t>
  </si>
  <si>
    <t>ﾌｧｲﾙ</t>
    <phoneticPr fontId="11"/>
  </si>
  <si>
    <t>名称</t>
    <rPh sb="0" eb="2">
      <t>メイショウ</t>
    </rPh>
    <phoneticPr fontId="11"/>
  </si>
  <si>
    <t>ﾚｲ
ｱｳﾄ</t>
    <phoneticPr fontId="11"/>
  </si>
  <si>
    <t>ﾛｸﾞ</t>
    <phoneticPr fontId="11"/>
  </si>
  <si>
    <t>集計</t>
    <rPh sb="0" eb="2">
      <t>シュウケイ</t>
    </rPh>
    <phoneticPr fontId="2"/>
  </si>
  <si>
    <t>OK</t>
  </si>
  <si>
    <t>NG</t>
  </si>
  <si>
    <t>再確認</t>
    <phoneticPr fontId="2"/>
  </si>
  <si>
    <t>マスタデータ</t>
    <phoneticPr fontId="11"/>
  </si>
  <si>
    <t>開店処理</t>
    <rPh sb="0" eb="4">
      <t>カイテンショリ</t>
    </rPh>
    <phoneticPr fontId="11"/>
  </si>
  <si>
    <t>POSサーバにLiveHelpで接続する</t>
    <rPh sb="16" eb="18">
      <t>セツゾク</t>
    </rPh>
    <phoneticPr fontId="11"/>
  </si>
  <si>
    <t xml:space="preserve">メインメニューが表示されること
</t>
    <rPh sb="8" eb="10">
      <t>ヒョウジ</t>
    </rPh>
    <phoneticPr fontId="11"/>
  </si>
  <si>
    <t>〇</t>
    <phoneticPr fontId="11"/>
  </si>
  <si>
    <t>メインメニューから「システム管理」押下</t>
    <rPh sb="14" eb="16">
      <t>カンリ</t>
    </rPh>
    <phoneticPr fontId="11"/>
  </si>
  <si>
    <t>画面遷移すること</t>
    <rPh sb="0" eb="4">
      <t>ガメンセンイ</t>
    </rPh>
    <phoneticPr fontId="11"/>
  </si>
  <si>
    <t>「システム設定」押下</t>
    <rPh sb="5" eb="7">
      <t>セッテイ</t>
    </rPh>
    <phoneticPr fontId="11"/>
  </si>
  <si>
    <t>「システム設定検索」押下</t>
    <rPh sb="5" eb="7">
      <t>セッテイ</t>
    </rPh>
    <rPh sb="7" eb="9">
      <t>ケンサク</t>
    </rPh>
    <phoneticPr fontId="11"/>
  </si>
  <si>
    <t>システム設定検索画面が表示されること</t>
    <rPh sb="4" eb="10">
      <t>セッテイケンサクガメン</t>
    </rPh>
    <rPh sb="11" eb="13">
      <t>ヒョウジ</t>
    </rPh>
    <phoneticPr fontId="11"/>
  </si>
  <si>
    <t>設定値が「1」であること</t>
    <rPh sb="0" eb="3">
      <t>セッテイチ</t>
    </rPh>
    <phoneticPr fontId="11"/>
  </si>
  <si>
    <t>-</t>
    <phoneticPr fontId="11"/>
  </si>
  <si>
    <t>「開閉店状況」押下</t>
    <rPh sb="1" eb="6">
      <t>カイヘイテンジョウキョウ</t>
    </rPh>
    <phoneticPr fontId="11"/>
  </si>
  <si>
    <t>「開閉店状況照会」押下</t>
    <rPh sb="1" eb="8">
      <t>カイヘイテンジョウキョウショウカイ</t>
    </rPh>
    <phoneticPr fontId="11"/>
  </si>
  <si>
    <t>開閉店処理結果照会画面が表示されること</t>
    <rPh sb="0" eb="9">
      <t>カイヘイテンショリケッカショウカイ</t>
    </rPh>
    <rPh sb="9" eb="11">
      <t>ガメン</t>
    </rPh>
    <rPh sb="12" eb="14">
      <t>ヒョウジ</t>
    </rPh>
    <phoneticPr fontId="11"/>
  </si>
  <si>
    <t>「状況」の列に「異常」がないこと</t>
    <phoneticPr fontId="11"/>
  </si>
  <si>
    <t>ログを「異常」「失敗」「failed」で検索し、該当しないこと</t>
    <rPh sb="4" eb="6">
      <t>イジョウ</t>
    </rPh>
    <rPh sb="8" eb="10">
      <t>シッパイ</t>
    </rPh>
    <rPh sb="20" eb="22">
      <t>ケンサク</t>
    </rPh>
    <rPh sb="24" eb="26">
      <t>ガイトウ</t>
    </rPh>
    <phoneticPr fontId="11"/>
  </si>
  <si>
    <t>開店処理のログファイルより、以下処理時間の計測を行う
　・ignica連携データファイル及び、ログファイルの退避処理</t>
    <rPh sb="0" eb="4">
      <t>カイテンショリ</t>
    </rPh>
    <rPh sb="14" eb="20">
      <t>イカショリジカン</t>
    </rPh>
    <rPh sb="21" eb="23">
      <t>ケイソク</t>
    </rPh>
    <rPh sb="24" eb="25">
      <t>オコナ</t>
    </rPh>
    <phoneticPr fontId="11"/>
  </si>
  <si>
    <t>開店処理のログファイルより、以下処理時間の計測を行う
　・ignica連携全件一括データファイル作成及び、送信処理</t>
    <rPh sb="0" eb="2">
      <t>カイテン</t>
    </rPh>
    <rPh sb="2" eb="4">
      <t>ショリ</t>
    </rPh>
    <rPh sb="14" eb="16">
      <t>イカ</t>
    </rPh>
    <rPh sb="16" eb="18">
      <t>ショリ</t>
    </rPh>
    <rPh sb="18" eb="20">
      <t>ジカン</t>
    </rPh>
    <rPh sb="21" eb="23">
      <t>ケイソク</t>
    </rPh>
    <rPh sb="24" eb="25">
      <t>オコナ</t>
    </rPh>
    <phoneticPr fontId="11"/>
  </si>
  <si>
    <t>開店処理のログファイルより、以下処理時間の計測を行う
　・ignica連携差分データのマスタ更新履歴の退避と履歴削除</t>
    <rPh sb="0" eb="2">
      <t>カイテン</t>
    </rPh>
    <rPh sb="2" eb="4">
      <t>ショリ</t>
    </rPh>
    <rPh sb="14" eb="16">
      <t>イカ</t>
    </rPh>
    <rPh sb="16" eb="18">
      <t>ショリ</t>
    </rPh>
    <rPh sb="18" eb="20">
      <t>ジカン</t>
    </rPh>
    <rPh sb="21" eb="23">
      <t>ケイソク</t>
    </rPh>
    <rPh sb="24" eb="25">
      <t>オコナ</t>
    </rPh>
    <rPh sb="56" eb="58">
      <t>サクジョ</t>
    </rPh>
    <phoneticPr fontId="11"/>
  </si>
  <si>
    <t>開店処理のログファイルより、以下処理時間の計測を行う
　・ignica連携差分データ連携用常駐プログラムの起動</t>
    <rPh sb="0" eb="2">
      <t>カイテン</t>
    </rPh>
    <rPh sb="2" eb="4">
      <t>ショリ</t>
    </rPh>
    <rPh sb="14" eb="16">
      <t>イカ</t>
    </rPh>
    <rPh sb="16" eb="18">
      <t>ショリ</t>
    </rPh>
    <rPh sb="18" eb="20">
      <t>ジカン</t>
    </rPh>
    <rPh sb="21" eb="23">
      <t>ケイソク</t>
    </rPh>
    <rPh sb="24" eb="25">
      <t>オコナ</t>
    </rPh>
    <phoneticPr fontId="11"/>
  </si>
  <si>
    <t>閉店処理</t>
    <rPh sb="0" eb="4">
      <t>ヘイテンショリ</t>
    </rPh>
    <phoneticPr fontId="11"/>
  </si>
  <si>
    <t>夜間バッチ開始時間までに閉店処理が完了していること</t>
    <rPh sb="0" eb="2">
      <t>ヤカン</t>
    </rPh>
    <rPh sb="5" eb="7">
      <t>カイシ</t>
    </rPh>
    <rPh sb="7" eb="9">
      <t>ジカン</t>
    </rPh>
    <rPh sb="12" eb="14">
      <t>ヘイテン</t>
    </rPh>
    <rPh sb="14" eb="16">
      <t>ショリ</t>
    </rPh>
    <rPh sb="17" eb="19">
      <t>カンリョウ</t>
    </rPh>
    <phoneticPr fontId="11"/>
  </si>
  <si>
    <t>閉店処理のログファイルより、以下処理時間の計測を行う
　・ignica連携差分データ連携用常駐プログラムの終了</t>
    <rPh sb="0" eb="2">
      <t>ヘイテン</t>
    </rPh>
    <phoneticPr fontId="11"/>
  </si>
  <si>
    <t>差分マスタ連携</t>
    <rPh sb="0" eb="2">
      <t>サブン</t>
    </rPh>
    <rPh sb="5" eb="7">
      <t>レンケイ</t>
    </rPh>
    <phoneticPr fontId="11"/>
  </si>
  <si>
    <t>メインメニューから「店舗」押下</t>
    <rPh sb="10" eb="12">
      <t>テンポ</t>
    </rPh>
    <phoneticPr fontId="11"/>
  </si>
  <si>
    <t>「売変」押下</t>
    <rPh sb="1" eb="3">
      <t>バイヘン</t>
    </rPh>
    <phoneticPr fontId="11"/>
  </si>
  <si>
    <t>「山積・企画設定」押下</t>
    <rPh sb="1" eb="3">
      <t>ヤマヅ</t>
    </rPh>
    <rPh sb="4" eb="6">
      <t>キカク</t>
    </rPh>
    <rPh sb="6" eb="8">
      <t>セッテイ</t>
    </rPh>
    <rPh sb="9" eb="11">
      <t>オウカ</t>
    </rPh>
    <phoneticPr fontId="11"/>
  </si>
  <si>
    <t>企画設定画面が表示されること</t>
    <rPh sb="0" eb="6">
      <t>キカクセッテイガメン</t>
    </rPh>
    <rPh sb="7" eb="9">
      <t>ヒョウジ</t>
    </rPh>
    <phoneticPr fontId="11"/>
  </si>
  <si>
    <t>「追加」押下
企画名称：システムテスト01
開始日：当日業務日付を入力
終了日：当日業務日付を入力</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</si>
  <si>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企画情報設定画面が表示され、入力値を入力できること</t>
    <rPh sb="0" eb="8">
      <t>キカクジョウホウセッテイガメン</t>
    </rPh>
    <rPh sb="9" eb="11">
      <t>ヒョウジ</t>
    </rPh>
    <rPh sb="14" eb="17">
      <t>ニュウリョクチ</t>
    </rPh>
    <rPh sb="18" eb="20">
      <t>ニュウリョク</t>
    </rPh>
    <phoneticPr fontId="11"/>
  </si>
  <si>
    <t>「更新」押下</t>
    <rPh sb="1" eb="3">
      <t>コウシン</t>
    </rPh>
    <rPh sb="4" eb="6">
      <t>オウカ</t>
    </rPh>
    <phoneticPr fontId="11"/>
  </si>
  <si>
    <t>「保存」押下</t>
    <rPh sb="1" eb="3">
      <t>ホゾン</t>
    </rPh>
    <rPh sb="4" eb="6">
      <t>オウカ</t>
    </rPh>
    <phoneticPr fontId="11"/>
  </si>
  <si>
    <t>設定した企画情報が保存されること</t>
    <rPh sb="0" eb="2">
      <t>セッテイ</t>
    </rPh>
    <rPh sb="4" eb="8">
      <t>キカクジョウホウ</t>
    </rPh>
    <rPh sb="9" eb="11">
      <t>ホゾン</t>
    </rPh>
    <phoneticPr fontId="11"/>
  </si>
  <si>
    <t>「特売単品」押下</t>
    <rPh sb="1" eb="5">
      <t>トクバイタンピン</t>
    </rPh>
    <rPh sb="6" eb="8">
      <t>オウカ</t>
    </rPh>
    <phoneticPr fontId="11"/>
  </si>
  <si>
    <t>特売設定画面が表示されること</t>
    <rPh sb="0" eb="4">
      <t>トクバイセッテイ</t>
    </rPh>
    <rPh sb="4" eb="6">
      <t>ガメン</t>
    </rPh>
    <rPh sb="7" eb="9">
      <t>ヒョウジ</t>
    </rPh>
    <phoneticPr fontId="11"/>
  </si>
  <si>
    <t>「追加」押下
スキャンコード：任意の商品のスキャンコードを入力
特売価格：任意の価格を入力
開始日：当日業務日付を入力
終了日：当日業務日付を入力</t>
    <rPh sb="1" eb="3">
      <t>ツイカ</t>
    </rPh>
    <rPh sb="4" eb="6">
      <t>オウカ</t>
    </rPh>
    <rPh sb="15" eb="17">
      <t>ニンイ</t>
    </rPh>
    <rPh sb="18" eb="20">
      <t>ショウヒン</t>
    </rPh>
    <rPh sb="29" eb="31">
      <t>ニュウリョク</t>
    </rPh>
    <rPh sb="32" eb="36">
      <t>トクバイカカク</t>
    </rPh>
    <rPh sb="37" eb="39">
      <t>ニンイ</t>
    </rPh>
    <rPh sb="40" eb="42">
      <t>カカク</t>
    </rPh>
    <rPh sb="43" eb="45">
      <t>ニュウリョク</t>
    </rPh>
    <rPh sb="46" eb="49">
      <t>カイシビ</t>
    </rPh>
    <rPh sb="50" eb="52">
      <t>トウジツ</t>
    </rPh>
    <rPh sb="52" eb="54">
      <t>ギョウム</t>
    </rPh>
    <rPh sb="54" eb="56">
      <t>ヒヅケ</t>
    </rPh>
    <rPh sb="57" eb="59">
      <t>ニュウリョク</t>
    </rPh>
    <rPh sb="60" eb="63">
      <t>シュウリョウビ</t>
    </rPh>
    <phoneticPr fontId="11"/>
  </si>
  <si>
    <t>特売情報設定画面が表示され、入力値を入力できること</t>
    <rPh sb="0" eb="4">
      <t>トクバイジョウホウ</t>
    </rPh>
    <rPh sb="4" eb="8">
      <t>セッテイガメン</t>
    </rPh>
    <rPh sb="9" eb="11">
      <t>ヒョウジ</t>
    </rPh>
    <rPh sb="14" eb="17">
      <t>ニュウリョクチ</t>
    </rPh>
    <rPh sb="18" eb="20">
      <t>ニュウリョク</t>
    </rPh>
    <phoneticPr fontId="11"/>
  </si>
  <si>
    <t>設定した特売情報が保存されること</t>
    <rPh sb="0" eb="2">
      <t>セッテイ</t>
    </rPh>
    <rPh sb="4" eb="6">
      <t>トクバイ</t>
    </rPh>
    <rPh sb="6" eb="8">
      <t>ジョウホウ</t>
    </rPh>
    <rPh sb="9" eb="11">
      <t>ホゾン</t>
    </rPh>
    <phoneticPr fontId="11"/>
  </si>
  <si>
    <t>「終了」押下</t>
    <rPh sb="1" eb="3">
      <t>シュウリョウ</t>
    </rPh>
    <rPh sb="4" eb="6">
      <t>オウカ</t>
    </rPh>
    <phoneticPr fontId="11"/>
  </si>
  <si>
    <t>メインメニューに遷移すること</t>
    <rPh sb="8" eb="10">
      <t>センイ</t>
    </rPh>
    <phoneticPr fontId="11"/>
  </si>
  <si>
    <t>「単品参照」押下</t>
    <rPh sb="1" eb="5">
      <t>タンピンサンショウ</t>
    </rPh>
    <rPh sb="6" eb="8">
      <t>オウカ</t>
    </rPh>
    <phoneticPr fontId="11"/>
  </si>
  <si>
    <t>単品参照画面に遷移すること</t>
    <rPh sb="0" eb="6">
      <t>タンピンサンショウガメン</t>
    </rPh>
    <rPh sb="7" eb="9">
      <t>センイ</t>
    </rPh>
    <phoneticPr fontId="11"/>
  </si>
  <si>
    <t>設定した特売が「実行中」であること</t>
    <rPh sb="0" eb="2">
      <t>セッテイ</t>
    </rPh>
    <rPh sb="4" eb="6">
      <t>トクバイ</t>
    </rPh>
    <rPh sb="8" eb="11">
      <t>ジッコウチュウ</t>
    </rPh>
    <phoneticPr fontId="11"/>
  </si>
  <si>
    <t>POSサーバの「C:\CTKY\LOG」にアクセスし、差分送信結果ログファイルをDLする</t>
    <rPh sb="27" eb="29">
      <t>サブン</t>
    </rPh>
    <phoneticPr fontId="11"/>
  </si>
  <si>
    <t>差分送信結果ログファイルより、以下処理時間の計測を行う
 ・マスタ更新履歴監視処理から、差分データをignica変換サーバへSFTP送信完了するまで</t>
    <rPh sb="0" eb="6">
      <t>サブンソウシンケッカ</t>
    </rPh>
    <rPh sb="44" eb="46">
      <t>サブン</t>
    </rPh>
    <phoneticPr fontId="11"/>
  </si>
  <si>
    <t>トランデータ</t>
    <phoneticPr fontId="11"/>
  </si>
  <si>
    <t>店舗業務開始時間(7:00)までに全ての開店処理が完了していること</t>
    <rPh sb="0" eb="8">
      <t>テンポギョウムカイシジカン</t>
    </rPh>
    <rPh sb="17" eb="18">
      <t>スベ</t>
    </rPh>
    <rPh sb="20" eb="24">
      <t>カイテンショリ</t>
    </rPh>
    <rPh sb="25" eb="27">
      <t>カンリョウ</t>
    </rPh>
    <phoneticPr fontId="11"/>
  </si>
  <si>
    <t xml:space="preserve">以下処理時間の計測を行う
　・BF連携システム開店処理
　　ートラン連携ログファイル退避
</t>
    <rPh sb="0" eb="6">
      <t>イカショリジカン</t>
    </rPh>
    <rPh sb="7" eb="9">
      <t>ケイソク</t>
    </rPh>
    <rPh sb="10" eb="11">
      <t>オコナ</t>
    </rPh>
    <phoneticPr fontId="11"/>
  </si>
  <si>
    <t xml:space="preserve">夜間バッチ開始時間までに閉店処理が完了すること
</t>
    <rPh sb="0" eb="2">
      <t>ヤカン</t>
    </rPh>
    <rPh sb="5" eb="7">
      <t>カイシ</t>
    </rPh>
    <rPh sb="7" eb="9">
      <t>ジカン</t>
    </rPh>
    <rPh sb="12" eb="14">
      <t>ヘイテン</t>
    </rPh>
    <rPh sb="14" eb="16">
      <t>ショリ</t>
    </rPh>
    <rPh sb="17" eb="19">
      <t>カンリョウ</t>
    </rPh>
    <phoneticPr fontId="11"/>
  </si>
  <si>
    <t>以下処理時間の計測を行う
　・BF連携精算処理
　　ートラン連携常駐プログラム終了</t>
    <rPh sb="0" eb="6">
      <t>イカショリジカン</t>
    </rPh>
    <rPh sb="7" eb="9">
      <t>ケイソク</t>
    </rPh>
    <rPh sb="10" eb="11">
      <t>オコナ</t>
    </rPh>
    <phoneticPr fontId="11"/>
  </si>
  <si>
    <t>以下処理時間の計測を行う
　・BF連携精算処理
　　ートラン連携取引の精算処理 (速報集計データの日次処理)</t>
    <rPh sb="0" eb="6">
      <t>イカショリジカン</t>
    </rPh>
    <rPh sb="7" eb="9">
      <t>ケイソク</t>
    </rPh>
    <rPh sb="10" eb="11">
      <t>オコナ</t>
    </rPh>
    <phoneticPr fontId="11"/>
  </si>
  <si>
    <t>以下処理時間の計測を行う
　・BF連携システム閉店処理
　　ー常駐プログラム生死監視プログラム終了</t>
    <rPh sb="0" eb="6">
      <t>イカショリジカン</t>
    </rPh>
    <rPh sb="7" eb="9">
      <t>ケイソク</t>
    </rPh>
    <rPh sb="10" eb="11">
      <t>オコナ</t>
    </rPh>
    <phoneticPr fontId="11"/>
  </si>
  <si>
    <t>トラン実績連携</t>
    <rPh sb="3" eb="7">
      <t>ジッセキレンケイ</t>
    </rPh>
    <phoneticPr fontId="11"/>
  </si>
  <si>
    <t>「データ活用」押下</t>
    <rPh sb="4" eb="6">
      <t>カツヨウ</t>
    </rPh>
    <phoneticPr fontId="11"/>
  </si>
  <si>
    <t>「商品階層別」押下</t>
    <rPh sb="1" eb="6">
      <t>ショウヒンカイソウベツ</t>
    </rPh>
    <phoneticPr fontId="11"/>
  </si>
  <si>
    <t>「商品階層別速報」押下</t>
    <rPh sb="1" eb="6">
      <t>ショウヒンカイソウベツ</t>
    </rPh>
    <rPh sb="6" eb="8">
      <t>ソクホウ</t>
    </rPh>
    <rPh sb="9" eb="11">
      <t>オウカ</t>
    </rPh>
    <phoneticPr fontId="11"/>
  </si>
  <si>
    <t>検索条件指定画面が表示されること</t>
    <rPh sb="0" eb="2">
      <t>ケンサク</t>
    </rPh>
    <rPh sb="2" eb="4">
      <t>ジョウケン</t>
    </rPh>
    <rPh sb="4" eb="6">
      <t>シテイ</t>
    </rPh>
    <rPh sb="6" eb="8">
      <t>ガメン</t>
    </rPh>
    <rPh sb="9" eb="11">
      <t>ヒョウジ</t>
    </rPh>
    <phoneticPr fontId="11"/>
  </si>
  <si>
    <t>「OK」押下</t>
    <rPh sb="4" eb="6">
      <t>オウカ</t>
    </rPh>
    <phoneticPr fontId="11"/>
  </si>
  <si>
    <t>「担当者別」押下</t>
    <rPh sb="1" eb="4">
      <t>タントウシャ</t>
    </rPh>
    <rPh sb="4" eb="5">
      <t>ベツ</t>
    </rPh>
    <phoneticPr fontId="11"/>
  </si>
  <si>
    <t>「担当者別速報」押下</t>
    <rPh sb="1" eb="4">
      <t>タントウシャ</t>
    </rPh>
    <rPh sb="4" eb="5">
      <t>ベツ</t>
    </rPh>
    <rPh sb="5" eb="7">
      <t>ソクホウ</t>
    </rPh>
    <rPh sb="8" eb="10">
      <t>オウカ</t>
    </rPh>
    <phoneticPr fontId="11"/>
  </si>
  <si>
    <t>「取引別」押下</t>
    <rPh sb="1" eb="3">
      <t>トリヒキ</t>
    </rPh>
    <rPh sb="3" eb="4">
      <t>ベツ</t>
    </rPh>
    <phoneticPr fontId="11"/>
  </si>
  <si>
    <t>「取引別速報」押下</t>
    <rPh sb="1" eb="3">
      <t>トリヒキ</t>
    </rPh>
    <rPh sb="3" eb="4">
      <t>ベツ</t>
    </rPh>
    <rPh sb="4" eb="6">
      <t>ソクホウ</t>
    </rPh>
    <rPh sb="7" eb="9">
      <t>オウカ</t>
    </rPh>
    <phoneticPr fontId="11"/>
  </si>
  <si>
    <t>取引別速報が表示されること</t>
    <rPh sb="0" eb="2">
      <t>トリヒキ</t>
    </rPh>
    <rPh sb="2" eb="3">
      <t>ベツ</t>
    </rPh>
    <rPh sb="3" eb="5">
      <t>ソクホウ</t>
    </rPh>
    <rPh sb="6" eb="8">
      <t>ヒョウジ</t>
    </rPh>
    <phoneticPr fontId="11"/>
  </si>
  <si>
    <t>「速報(当日分)」押下</t>
    <rPh sb="1" eb="3">
      <t>ソクホウ</t>
    </rPh>
    <rPh sb="4" eb="7">
      <t>トウジツブン</t>
    </rPh>
    <phoneticPr fontId="11"/>
  </si>
  <si>
    <t>「POS別速報」押下</t>
    <rPh sb="4" eb="7">
      <t>ベツソクホウ</t>
    </rPh>
    <phoneticPr fontId="11"/>
  </si>
  <si>
    <t>「単品別」押下</t>
    <rPh sb="1" eb="3">
      <t>タンピン</t>
    </rPh>
    <rPh sb="3" eb="4">
      <t>ベツ</t>
    </rPh>
    <phoneticPr fontId="11"/>
  </si>
  <si>
    <t>「単品別速報」押下</t>
    <rPh sb="1" eb="3">
      <t>タンピン</t>
    </rPh>
    <rPh sb="3" eb="4">
      <t>ベツ</t>
    </rPh>
    <rPh sb="4" eb="6">
      <t>ソクホウ</t>
    </rPh>
    <rPh sb="7" eb="9">
      <t>オウカ</t>
    </rPh>
    <phoneticPr fontId="11"/>
  </si>
  <si>
    <t>「商品階層別時間帯別速報」押下</t>
    <rPh sb="1" eb="6">
      <t>ショウヒンカイソウベツ</t>
    </rPh>
    <rPh sb="6" eb="10">
      <t>ジカンタイベツ</t>
    </rPh>
    <rPh sb="10" eb="12">
      <t>ソクホウ</t>
    </rPh>
    <rPh sb="13" eb="15">
      <t>オウカ</t>
    </rPh>
    <phoneticPr fontId="11"/>
  </si>
  <si>
    <t>「時間帯別速報(当日分)」押下</t>
    <rPh sb="1" eb="5">
      <t>ジカンタイベツ</t>
    </rPh>
    <rPh sb="5" eb="7">
      <t>ソクホウ</t>
    </rPh>
    <rPh sb="8" eb="11">
      <t>トウジツブン</t>
    </rPh>
    <phoneticPr fontId="11"/>
  </si>
  <si>
    <t>「担当者別時間帯別速報」押下</t>
    <rPh sb="1" eb="5">
      <t>タントウシャベツ</t>
    </rPh>
    <rPh sb="5" eb="8">
      <t>ジカンタイ</t>
    </rPh>
    <rPh sb="8" eb="11">
      <t>ベツソクホウ</t>
    </rPh>
    <phoneticPr fontId="11"/>
  </si>
  <si>
    <t>「時間帯速報(当日分)」押下</t>
    <rPh sb="1" eb="4">
      <t>ジカンタイ</t>
    </rPh>
    <rPh sb="4" eb="6">
      <t>ソクホウ</t>
    </rPh>
    <rPh sb="7" eb="10">
      <t>トウジツブン</t>
    </rPh>
    <phoneticPr fontId="11"/>
  </si>
  <si>
    <t>「POS別時間帯別速報」押下</t>
    <rPh sb="4" eb="5">
      <t>ベツ</t>
    </rPh>
    <rPh sb="5" eb="8">
      <t>ジカンタイ</t>
    </rPh>
    <rPh sb="8" eb="9">
      <t>ベツ</t>
    </rPh>
    <rPh sb="9" eb="11">
      <t>ソクホウ</t>
    </rPh>
    <phoneticPr fontId="11"/>
  </si>
  <si>
    <t>「単品別時間帯別速報」押下</t>
    <rPh sb="1" eb="3">
      <t>タンピン</t>
    </rPh>
    <rPh sb="3" eb="4">
      <t>ベツ</t>
    </rPh>
    <rPh sb="4" eb="7">
      <t>ジカンタイ</t>
    </rPh>
    <rPh sb="7" eb="8">
      <t>ベツ</t>
    </rPh>
    <rPh sb="8" eb="10">
      <t>ソクホウ</t>
    </rPh>
    <phoneticPr fontId="11"/>
  </si>
  <si>
    <t>ignicaPOSより取引トランザクションを発生させる</t>
    <rPh sb="11" eb="13">
      <t>トリヒキ</t>
    </rPh>
    <rPh sb="22" eb="24">
      <t>ハッセイ</t>
    </rPh>
    <phoneticPr fontId="11"/>
  </si>
  <si>
    <t>画面遷移すること</t>
    <rPh sb="0" eb="2">
      <t>トリヒキ</t>
    </rPh>
    <rPh sb="2" eb="3">
      <t>ベツ</t>
    </rPh>
    <rPh sb="3" eb="5">
      <t>ソクホウ</t>
    </rPh>
    <rPh sb="6" eb="8">
      <t>ヒョウジ</t>
    </rPh>
    <phoneticPr fontId="11"/>
  </si>
  <si>
    <t>POSサーバの「E:\CTKY\LOG」にアクセスし、トラン受信結果ログファイルをDLする</t>
    <rPh sb="30" eb="32">
      <t>ジュシン</t>
    </rPh>
    <rPh sb="32" eb="34">
      <t>ケッカ</t>
    </rPh>
    <phoneticPr fontId="11"/>
  </si>
  <si>
    <t>トラン受信結果ログファイルより、SFTP受信処理から実績更新処理までの処理時間の計測を行う</t>
    <rPh sb="3" eb="7">
      <t>ジュシンケッカ</t>
    </rPh>
    <rPh sb="26" eb="32">
      <t>ジッセキコウシンショリ</t>
    </rPh>
    <rPh sb="35" eb="39">
      <t>ショリジカン</t>
    </rPh>
    <rPh sb="40" eb="42">
      <t>ケイソク</t>
    </rPh>
    <rPh sb="43" eb="44">
      <t>オコナ</t>
    </rPh>
    <phoneticPr fontId="11"/>
  </si>
  <si>
    <t>OK数(●)：</t>
    <phoneticPr fontId="2"/>
  </si>
  <si>
    <t>合計</t>
    <rPh sb="0" eb="2">
      <t>ゴウケイ</t>
    </rPh>
    <phoneticPr fontId="11"/>
  </si>
  <si>
    <t>計：</t>
    <rPh sb="0" eb="1">
      <t>ケイ</t>
    </rPh>
    <phoneticPr fontId="11"/>
  </si>
  <si>
    <t>消化テスト項目数：</t>
    <phoneticPr fontId="11"/>
  </si>
  <si>
    <t>NG数(×)：</t>
    <phoneticPr fontId="11"/>
  </si>
  <si>
    <t xml:space="preserve"> </t>
  </si>
  <si>
    <t>消化項目数：</t>
  </si>
  <si>
    <t>全テスト項目数：</t>
    <phoneticPr fontId="11"/>
  </si>
  <si>
    <t>全項目数：</t>
  </si>
  <si>
    <t>POS</t>
  </si>
  <si>
    <t>ignicaPOSより取引トランザクションを発生させる</t>
    <rPh sb="11" eb="13">
      <t>トリヒキ</t>
    </rPh>
    <rPh sb="22" eb="24">
      <t>ハッセイ</t>
    </rPh>
    <phoneticPr fontId="4"/>
  </si>
  <si>
    <t>-</t>
    <phoneticPr fontId="4"/>
  </si>
  <si>
    <t>入力値を入力できること</t>
    <rPh sb="0" eb="3">
      <t>ニュウリョクチ</t>
    </rPh>
    <rPh sb="4" eb="6">
      <t>ニュウリョク</t>
    </rPh>
    <phoneticPr fontId="11"/>
  </si>
  <si>
    <t>「各種リスト出力」押下</t>
    <rPh sb="1" eb="3">
      <t>カクシュ</t>
    </rPh>
    <rPh sb="6" eb="8">
      <t>シュツリョク</t>
    </rPh>
    <phoneticPr fontId="11"/>
  </si>
  <si>
    <t>任意の単品を追加する</t>
    <rPh sb="0" eb="2">
      <t>ニンイ</t>
    </rPh>
    <rPh sb="3" eb="5">
      <t>タンピン</t>
    </rPh>
    <rPh sb="6" eb="8">
      <t>ツイカ</t>
    </rPh>
    <phoneticPr fontId="11"/>
  </si>
  <si>
    <t>「保存」押下</t>
    <rPh sb="1" eb="3">
      <t>ホゾン</t>
    </rPh>
    <phoneticPr fontId="11"/>
  </si>
  <si>
    <t>「新規」押下</t>
    <rPh sb="1" eb="3">
      <t>シンキ</t>
    </rPh>
    <phoneticPr fontId="11"/>
  </si>
  <si>
    <t>「更新」押下</t>
    <rPh sb="1" eb="3">
      <t>コウシン</t>
    </rPh>
    <phoneticPr fontId="11"/>
  </si>
  <si>
    <t>企画設定</t>
    <rPh sb="0" eb="4">
      <t>キカクセッテイ</t>
    </rPh>
    <phoneticPr fontId="11"/>
  </si>
  <si>
    <t>任意の企画を追加する</t>
    <rPh sb="0" eb="2">
      <t>ニンイ</t>
    </rPh>
    <rPh sb="3" eb="5">
      <t>キカク</t>
    </rPh>
    <rPh sb="6" eb="8">
      <t>ツイカ</t>
    </rPh>
    <phoneticPr fontId="11"/>
  </si>
  <si>
    <t>No.27の商品に特売を設定する</t>
    <rPh sb="6" eb="8">
      <t>ショウヒン</t>
    </rPh>
    <rPh sb="9" eb="16">
      <t>トクバ</t>
    </rPh>
    <phoneticPr fontId="11"/>
  </si>
  <si>
    <t>「組み合わせグループ」押下</t>
    <rPh sb="1" eb="2">
      <t>ク</t>
    </rPh>
    <rPh sb="3" eb="4">
      <t>ア</t>
    </rPh>
    <rPh sb="11" eb="13">
      <t>オウカ</t>
    </rPh>
    <phoneticPr fontId="11"/>
  </si>
  <si>
    <t>バンドルのグループ設定を追加する</t>
    <rPh sb="9" eb="11">
      <t>セッテイ</t>
    </rPh>
    <rPh sb="12" eb="14">
      <t>ツイカ</t>
    </rPh>
    <phoneticPr fontId="11"/>
  </si>
  <si>
    <t>設定した組み合わせグループ情報が保存されること</t>
    <rPh sb="0" eb="2">
      <t>セッテイ</t>
    </rPh>
    <rPh sb="4" eb="5">
      <t>ク</t>
    </rPh>
    <rPh sb="6" eb="7">
      <t>ア</t>
    </rPh>
    <rPh sb="13" eb="15">
      <t>ジョウホウ</t>
    </rPh>
    <rPh sb="16" eb="18">
      <t>ホゾン</t>
    </rPh>
    <phoneticPr fontId="11"/>
  </si>
  <si>
    <t>「組み合わせ単品」押下</t>
    <rPh sb="1" eb="2">
      <t>ク</t>
    </rPh>
    <rPh sb="3" eb="4">
      <t>ア</t>
    </rPh>
    <rPh sb="6" eb="8">
      <t>タンピン</t>
    </rPh>
    <rPh sb="9" eb="11">
      <t>オウカ</t>
    </rPh>
    <phoneticPr fontId="11"/>
  </si>
  <si>
    <t>組み合わせ単品一覧画面が表示されること</t>
    <rPh sb="0" eb="1">
      <t>ク</t>
    </rPh>
    <rPh sb="2" eb="3">
      <t>ア</t>
    </rPh>
    <rPh sb="5" eb="7">
      <t>タンピン</t>
    </rPh>
    <rPh sb="7" eb="9">
      <t>イチラン</t>
    </rPh>
    <rPh sb="9" eb="11">
      <t>ガメン</t>
    </rPh>
    <rPh sb="12" eb="14">
      <t>ヒョウジ</t>
    </rPh>
    <phoneticPr fontId="11"/>
  </si>
  <si>
    <t>No.27の商品を設定する</t>
    <rPh sb="6" eb="8">
      <t>ショウヒン</t>
    </rPh>
    <rPh sb="9" eb="11">
      <t>セッテイ</t>
    </rPh>
    <phoneticPr fontId="11"/>
  </si>
  <si>
    <t>自動値引設定</t>
    <rPh sb="0" eb="6">
      <t>ジドウネビキセッテイ</t>
    </rPh>
    <phoneticPr fontId="11"/>
  </si>
  <si>
    <t>「自動値引設定」押下</t>
    <rPh sb="1" eb="5">
      <t>ジドウネビキ</t>
    </rPh>
    <rPh sb="5" eb="7">
      <t>セッテイ</t>
    </rPh>
    <rPh sb="8" eb="10">
      <t>オウカ</t>
    </rPh>
    <phoneticPr fontId="11"/>
  </si>
  <si>
    <t>自動値引一覧画面が表示されること</t>
    <rPh sb="0" eb="2">
      <t>ジドウ</t>
    </rPh>
    <rPh sb="2" eb="4">
      <t>ネビキ</t>
    </rPh>
    <rPh sb="4" eb="6">
      <t>イチラン</t>
    </rPh>
    <rPh sb="6" eb="8">
      <t>ガメン</t>
    </rPh>
    <rPh sb="9" eb="11">
      <t>ヒョウジ</t>
    </rPh>
    <phoneticPr fontId="11"/>
  </si>
  <si>
    <t>自動値引設定画面が表示されること</t>
    <rPh sb="0" eb="2">
      <t>ジドウ</t>
    </rPh>
    <rPh sb="2" eb="4">
      <t>ネビキ</t>
    </rPh>
    <rPh sb="4" eb="6">
      <t>セッテイ</t>
    </rPh>
    <phoneticPr fontId="11"/>
  </si>
  <si>
    <t>自動値引設定を追加する</t>
    <rPh sb="0" eb="6">
      <t>ジドウネビキセッテイ</t>
    </rPh>
    <rPh sb="7" eb="9">
      <t>ツイカ</t>
    </rPh>
    <phoneticPr fontId="11"/>
  </si>
  <si>
    <t>タスクマネージャーが表示されること</t>
    <rPh sb="10" eb="12">
      <t>ヒョウジ</t>
    </rPh>
    <phoneticPr fontId="11"/>
  </si>
  <si>
    <t>ENDファイルの確認</t>
    <rPh sb="8" eb="10">
      <t>カクニン</t>
    </rPh>
    <phoneticPr fontId="11"/>
  </si>
  <si>
    <t>POSサーバの「E:\CTKY\BF\DATA_RCV」にアクセスし、
当日日付のトランデータ(ZipファイルおよびENDファイル)をDLする</t>
    <rPh sb="36" eb="40">
      <t>トウジツヒヅケ</t>
    </rPh>
    <phoneticPr fontId="11"/>
  </si>
  <si>
    <t>問題なくトランデータがDLできること</t>
    <rPh sb="0" eb="2">
      <t>モンダイ</t>
    </rPh>
    <phoneticPr fontId="11"/>
  </si>
  <si>
    <t>・[店番3桁]_[POS番号4桁]_TRN_[取引ログファイル通番9桁].zip
・[店番3桁]_[POS番号4桁]_TRN_[取引ログファイル通番9桁].zip.END</t>
    <phoneticPr fontId="11"/>
  </si>
  <si>
    <t>展開してENDファイルを開く</t>
    <rPh sb="0" eb="2">
      <t>テンカイ</t>
    </rPh>
    <rPh sb="12" eb="13">
      <t>ヒラ</t>
    </rPh>
    <phoneticPr fontId="11"/>
  </si>
  <si>
    <t>Zipファイルのファイルサイズが記載されていること</t>
    <rPh sb="16" eb="18">
      <t>キサイ</t>
    </rPh>
    <phoneticPr fontId="11"/>
  </si>
  <si>
    <t>Zipファイル→「プロパティ」→「サイズ」を確認</t>
    <rPh sb="22" eb="24">
      <t>カクニン</t>
    </rPh>
    <phoneticPr fontId="11"/>
  </si>
  <si>
    <t>ZipファィルサイズとENDファイルに記載されたファイルサイズが一致していること</t>
    <rPh sb="19" eb="21">
      <t>キサイ</t>
    </rPh>
    <rPh sb="32" eb="34">
      <t>イッチ</t>
    </rPh>
    <phoneticPr fontId="11"/>
  </si>
  <si>
    <t>レポート機能の確認</t>
    <rPh sb="4" eb="6">
      <t>キノウ</t>
    </rPh>
    <rPh sb="7" eb="9">
      <t>カクニン</t>
    </rPh>
    <phoneticPr fontId="11"/>
  </si>
  <si>
    <t>商品階層別速報が表示され、当日のignicaPOSの取引が反映されていること</t>
    <rPh sb="0" eb="7">
      <t>ショウヒンカイソウベツソクホウ</t>
    </rPh>
    <rPh sb="8" eb="10">
      <t>ヒョウジ</t>
    </rPh>
    <phoneticPr fontId="11"/>
  </si>
  <si>
    <t>担当者別速報が表示され、当日のignicaPOSの取引が反映されていること</t>
    <rPh sb="0" eb="3">
      <t>タントウシャ</t>
    </rPh>
    <rPh sb="3" eb="4">
      <t>ベツ</t>
    </rPh>
    <rPh sb="4" eb="6">
      <t>ソクホウ</t>
    </rPh>
    <rPh sb="7" eb="9">
      <t>ヒョウジ</t>
    </rPh>
    <phoneticPr fontId="11"/>
  </si>
  <si>
    <t>取引別速報が表示され、当日のignicaPOSの取引が反映されていること</t>
    <rPh sb="0" eb="2">
      <t>トリヒキ</t>
    </rPh>
    <rPh sb="2" eb="3">
      <t>ベツ</t>
    </rPh>
    <rPh sb="3" eb="5">
      <t>ソクホウ</t>
    </rPh>
    <rPh sb="6" eb="8">
      <t>ヒョウジ</t>
    </rPh>
    <phoneticPr fontId="11"/>
  </si>
  <si>
    <t>POS別速報が表示され、当日のignicaPOSの取引が反映されていること</t>
    <rPh sb="3" eb="4">
      <t>ベツ</t>
    </rPh>
    <rPh sb="4" eb="6">
      <t>ソクホウ</t>
    </rPh>
    <rPh sb="7" eb="9">
      <t>ヒョウジ</t>
    </rPh>
    <phoneticPr fontId="11"/>
  </si>
  <si>
    <t>単品別速報が表示され、当日のignicaPOSの取引が反映されていること</t>
    <rPh sb="0" eb="2">
      <t>タンピン</t>
    </rPh>
    <rPh sb="2" eb="3">
      <t>ベツ</t>
    </rPh>
    <rPh sb="3" eb="5">
      <t>ソクホウ</t>
    </rPh>
    <rPh sb="6" eb="8">
      <t>ヒョウジ</t>
    </rPh>
    <phoneticPr fontId="11"/>
  </si>
  <si>
    <t>商品階層別時間帯別速報が表示され、当日のignicaPOSの取引が反映されていること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</si>
  <si>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担当者別時間帯別速報が表示され、当日のignicaPOSの取引が反映されていること</t>
    <rPh sb="0" eb="7">
      <t>タントウシャベツジカンタイ</t>
    </rPh>
    <rPh sb="7" eb="8">
      <t>ベツ</t>
    </rPh>
    <rPh sb="8" eb="10">
      <t>ソクホウ</t>
    </rPh>
    <rPh sb="11" eb="13">
      <t>ヒョウジ</t>
    </rPh>
    <phoneticPr fontId="11"/>
  </si>
  <si>
    <t>POS別時間帯別速報が表示され、当日のignicaPOSの取引が反映されていること</t>
    <rPh sb="3" eb="4">
      <t>ベツ</t>
    </rPh>
    <rPh sb="4" eb="7">
      <t>ジカンタイ</t>
    </rPh>
    <rPh sb="7" eb="8">
      <t>ベツ</t>
    </rPh>
    <rPh sb="8" eb="10">
      <t>ソクホウ</t>
    </rPh>
    <rPh sb="11" eb="13">
      <t>ヒョウジ</t>
    </rPh>
    <phoneticPr fontId="11"/>
  </si>
  <si>
    <t>単品別時間帯別速報が表示され、当日のignicaPOSの取引が反映されていること</t>
    <rPh sb="0" eb="3">
      <t>タンピンベツ</t>
    </rPh>
    <rPh sb="3" eb="7">
      <t>ジカンタイベツ</t>
    </rPh>
    <rPh sb="7" eb="9">
      <t>ソクホウ</t>
    </rPh>
    <rPh sb="8" eb="9">
      <t>ジソク</t>
    </rPh>
    <rPh sb="10" eb="12">
      <t>ヒョウジ</t>
    </rPh>
    <phoneticPr fontId="11"/>
  </si>
  <si>
    <t>下記ファイルがDLできること
・[店番3桁]_IG_ALLMST_yyyymmddhhmmss.zip
・[店番3桁]_IG_ALLMST_yyyymmddhhmmss.zip.END</t>
    <rPh sb="0" eb="2">
      <t>カキ</t>
    </rPh>
    <phoneticPr fontId="11"/>
  </si>
  <si>
    <t>下記ファイルがDLできること
・IG_ALLMST_ZIP_SFTP.log
・IG_ALLMST_END_SFTP.log</t>
    <rPh sb="0" eb="2">
      <t>カキ</t>
    </rPh>
    <phoneticPr fontId="11"/>
  </si>
  <si>
    <t>実店舗と同等の差分マスタ連携データおよびENDファイルを作成する</t>
    <rPh sb="0" eb="1">
      <t>ジツ</t>
    </rPh>
    <rPh sb="1" eb="3">
      <t>テンポ</t>
    </rPh>
    <rPh sb="4" eb="6">
      <t>ドウトウ</t>
    </rPh>
    <rPh sb="7" eb="9">
      <t>サブン</t>
    </rPh>
    <rPh sb="12" eb="14">
      <t>レンケイ</t>
    </rPh>
    <rPh sb="28" eb="30">
      <t>サクセイ</t>
    </rPh>
    <phoneticPr fontId="11"/>
  </si>
  <si>
    <t>1日分の差分マスタ連携データおよびENDファイルが作成できること</t>
    <rPh sb="1" eb="3">
      <t>ニチブン</t>
    </rPh>
    <rPh sb="4" eb="6">
      <t>サブン</t>
    </rPh>
    <rPh sb="9" eb="11">
      <t>レンケイ</t>
    </rPh>
    <rPh sb="25" eb="27">
      <t>サクセイ</t>
    </rPh>
    <phoneticPr fontId="11"/>
  </si>
  <si>
    <t>実店舗と同等の差分マスタ連携データを連携した場合の、差分データのマスタ更新履歴を作成する</t>
    <rPh sb="0" eb="1">
      <t>ジツ</t>
    </rPh>
    <rPh sb="1" eb="3">
      <t>テンポ</t>
    </rPh>
    <rPh sb="4" eb="6">
      <t>ドウトウ</t>
    </rPh>
    <rPh sb="7" eb="9">
      <t>サブン</t>
    </rPh>
    <rPh sb="12" eb="14">
      <t>レンケイ</t>
    </rPh>
    <rPh sb="18" eb="20">
      <t>レンケイ</t>
    </rPh>
    <rPh sb="22" eb="24">
      <t>バアイ</t>
    </rPh>
    <rPh sb="26" eb="28">
      <t>サブン</t>
    </rPh>
    <rPh sb="35" eb="39">
      <t>コウシンリレキ</t>
    </rPh>
    <rPh sb="40" eb="42">
      <t>サクセイ</t>
    </rPh>
    <phoneticPr fontId="11"/>
  </si>
  <si>
    <t>差分データのマスタ更新履歴が作成できること</t>
    <rPh sb="0" eb="2">
      <t>サブン</t>
    </rPh>
    <rPh sb="9" eb="13">
      <t>コウシンリレキ</t>
    </rPh>
    <rPh sb="14" eb="16">
      <t>サクセイ</t>
    </rPh>
    <phoneticPr fontId="11"/>
  </si>
  <si>
    <t xml:space="preserve">1日分のトラン実績連携データおよびENDファイルが作成できること
</t>
    <rPh sb="1" eb="3">
      <t>ニチブン</t>
    </rPh>
    <rPh sb="7" eb="11">
      <t>ジッセキレンケイ</t>
    </rPh>
    <rPh sb="25" eb="27">
      <t>サクセイ</t>
    </rPh>
    <phoneticPr fontId="11"/>
  </si>
  <si>
    <t>オプションIDに「348001001」を入力し、検索</t>
    <phoneticPr fontId="11"/>
  </si>
  <si>
    <t>ログを「異常」「失敗」「failed」「error」で検索し、該当しないこと</t>
    <rPh sb="4" eb="6">
      <t>イジョウ</t>
    </rPh>
    <rPh sb="8" eb="10">
      <t>シッパイ</t>
    </rPh>
    <rPh sb="27" eb="29">
      <t>ケンサク</t>
    </rPh>
    <rPh sb="31" eb="33">
      <t>ガイトウ</t>
    </rPh>
    <phoneticPr fontId="11"/>
  </si>
  <si>
    <t>システム設定確認</t>
    <rPh sb="4" eb="8">
      <t>セッテイカクニン</t>
    </rPh>
    <phoneticPr fontId="11"/>
  </si>
  <si>
    <t>開店処理実行</t>
    <rPh sb="0" eb="6">
      <t>カイテンショリジッコウ</t>
    </rPh>
    <phoneticPr fontId="11"/>
  </si>
  <si>
    <t>閉店処理実行</t>
    <rPh sb="0" eb="6">
      <t>ヘイテンショリジッコウ</t>
    </rPh>
    <phoneticPr fontId="11"/>
  </si>
  <si>
    <t>ignicaPOSよりトラン実績連携実施前の集計レポートを確認する</t>
    <rPh sb="14" eb="16">
      <t>ジッセキ</t>
    </rPh>
    <rPh sb="16" eb="18">
      <t>レンケイ</t>
    </rPh>
    <rPh sb="18" eb="21">
      <t>ジッシマエ</t>
    </rPh>
    <rPh sb="22" eb="24">
      <t>シュウケイ</t>
    </rPh>
    <rPh sb="29" eb="31">
      <t>カクニン</t>
    </rPh>
    <phoneticPr fontId="11"/>
  </si>
  <si>
    <t>ignicaPOSよりトラン実績連携実施後の集計レポートを確認する</t>
    <rPh sb="14" eb="16">
      <t>ジッセキ</t>
    </rPh>
    <rPh sb="16" eb="18">
      <t>レンケイ</t>
    </rPh>
    <rPh sb="18" eb="20">
      <t>ジッシ</t>
    </rPh>
    <rPh sb="20" eb="21">
      <t>ゴ</t>
    </rPh>
    <rPh sb="22" eb="24">
      <t>シュウケイ</t>
    </rPh>
    <rPh sb="29" eb="31">
      <t>カクニン</t>
    </rPh>
    <phoneticPr fontId="11"/>
  </si>
  <si>
    <t>商品階層別速報</t>
    <rPh sb="0" eb="7">
      <t>ショウヒンカイソウベツソクホウ</t>
    </rPh>
    <phoneticPr fontId="11"/>
  </si>
  <si>
    <t>連携前レポート確認
（取引別速報）</t>
    <rPh sb="0" eb="3">
      <t>レンケイマエ</t>
    </rPh>
    <rPh sb="7" eb="9">
      <t>カクニン</t>
    </rPh>
    <rPh sb="11" eb="13">
      <t>トリヒキ</t>
    </rPh>
    <rPh sb="13" eb="14">
      <t>ベツ</t>
    </rPh>
    <rPh sb="14" eb="16">
      <t>ソクホウ</t>
    </rPh>
    <phoneticPr fontId="11"/>
  </si>
  <si>
    <t>連携後レポート確認
（取引別速報）</t>
    <rPh sb="0" eb="2">
      <t>レンケイ</t>
    </rPh>
    <rPh sb="2" eb="3">
      <t>ゴ</t>
    </rPh>
    <rPh sb="7" eb="9">
      <t>カクニン</t>
    </rPh>
    <rPh sb="11" eb="13">
      <t>トリヒキ</t>
    </rPh>
    <rPh sb="13" eb="14">
      <t>ベツ</t>
    </rPh>
    <rPh sb="14" eb="16">
      <t>ソクホウ</t>
    </rPh>
    <phoneticPr fontId="11"/>
  </si>
  <si>
    <t>「GSFD_BF_ZIPRCVFTP.log」、「GSFD_BF_ENDRCVFTP.log」を参照する</t>
    <rPh sb="48" eb="50">
      <t>サンショウ</t>
    </rPh>
    <phoneticPr fontId="11"/>
  </si>
  <si>
    <t>CPU使用率</t>
    <rPh sb="3" eb="6">
      <t>シヨウリツ</t>
    </rPh>
    <phoneticPr fontId="11"/>
  </si>
  <si>
    <t>メモリ使用率</t>
    <rPh sb="3" eb="6">
      <t>シヨウリツ</t>
    </rPh>
    <phoneticPr fontId="11"/>
  </si>
  <si>
    <t>ディスク使用率</t>
    <rPh sb="4" eb="7">
      <t>シヨウリツ</t>
    </rPh>
    <phoneticPr fontId="11"/>
  </si>
  <si>
    <t>ネットワーク帯域幅</t>
    <rPh sb="6" eb="9">
      <t>タイイキハバ</t>
    </rPh>
    <phoneticPr fontId="11"/>
  </si>
  <si>
    <t>担当者別速報</t>
    <rPh sb="0" eb="6">
      <t>タントウシャベツソクホウ</t>
    </rPh>
    <phoneticPr fontId="11"/>
  </si>
  <si>
    <t>取引別速報</t>
    <rPh sb="0" eb="5">
      <t>トリヒキベツソクホウ</t>
    </rPh>
    <phoneticPr fontId="11"/>
  </si>
  <si>
    <t>POS別速報</t>
    <rPh sb="3" eb="4">
      <t>ベツ</t>
    </rPh>
    <rPh sb="4" eb="6">
      <t>ソクホウ</t>
    </rPh>
    <phoneticPr fontId="11"/>
  </si>
  <si>
    <t>単品別速報</t>
    <rPh sb="0" eb="3">
      <t>タンピンベツ</t>
    </rPh>
    <rPh sb="3" eb="5">
      <t>ソクホウ</t>
    </rPh>
    <phoneticPr fontId="11"/>
  </si>
  <si>
    <t>商品階層別時間帯別速報</t>
    <rPh sb="0" eb="8">
      <t>ショウヒンカイソウベツジカンタイ</t>
    </rPh>
    <rPh sb="8" eb="11">
      <t>ベツソクホウ</t>
    </rPh>
    <phoneticPr fontId="11"/>
  </si>
  <si>
    <t>担当者別時間帯別速報</t>
    <rPh sb="0" eb="4">
      <t>タントウシャベツ</t>
    </rPh>
    <rPh sb="4" eb="10">
      <t>ジカンタイベツソクホウ</t>
    </rPh>
    <phoneticPr fontId="11"/>
  </si>
  <si>
    <t>POS別時間帯別速報</t>
    <rPh sb="3" eb="10">
      <t>ベツジカンタイベツソクホウ</t>
    </rPh>
    <phoneticPr fontId="11"/>
  </si>
  <si>
    <t>単品別時間帯別速報</t>
    <rPh sb="0" eb="9">
      <t>タンピンベツジカンタイベツソクホウ</t>
    </rPh>
    <phoneticPr fontId="11"/>
  </si>
  <si>
    <t xml:space="preserve">POSサーバの「E:\CTKY\DATA\BACK_UP\IG_ALL_SEND\Today」にアクセスし、全件マスタ連携データおよびENDファイルをDLする
</t>
    <rPh sb="54" eb="56">
      <t>ゼンケン</t>
    </rPh>
    <rPh sb="59" eb="61">
      <t>レンケイ</t>
    </rPh>
    <phoneticPr fontId="11"/>
  </si>
  <si>
    <t>実店舗と同等の差分マスタ連携データを連携した場合の、差分送信結果ログファイルを作成する</t>
    <rPh sb="0" eb="1">
      <t>ジツ</t>
    </rPh>
    <rPh sb="1" eb="3">
      <t>テンポ</t>
    </rPh>
    <rPh sb="4" eb="6">
      <t>ドウトウ</t>
    </rPh>
    <rPh sb="7" eb="9">
      <t>サブン</t>
    </rPh>
    <rPh sb="12" eb="14">
      <t>レンケイ</t>
    </rPh>
    <rPh sb="18" eb="20">
      <t>レンケイ</t>
    </rPh>
    <rPh sb="22" eb="24">
      <t>バアイ</t>
    </rPh>
    <rPh sb="26" eb="28">
      <t>サブン</t>
    </rPh>
    <rPh sb="28" eb="32">
      <t>ソウシンケッカ</t>
    </rPh>
    <rPh sb="39" eb="41">
      <t>サクセイ</t>
    </rPh>
    <phoneticPr fontId="11"/>
  </si>
  <si>
    <t>差分送信結果ログファイルが作成できること</t>
    <rPh sb="0" eb="2">
      <t>サブン</t>
    </rPh>
    <rPh sb="2" eb="6">
      <t>ソウシンケッカ</t>
    </rPh>
    <rPh sb="13" eb="15">
      <t>サクセイ</t>
    </rPh>
    <phoneticPr fontId="11"/>
  </si>
  <si>
    <t>トラン受信結果ログファイルが作成できること</t>
    <rPh sb="3" eb="5">
      <t>ジュシン</t>
    </rPh>
    <rPh sb="5" eb="7">
      <t>ケッカ</t>
    </rPh>
    <rPh sb="14" eb="16">
      <t>サクセイ</t>
    </rPh>
    <phoneticPr fontId="11"/>
  </si>
  <si>
    <t>1日に発生すると予測されるトラン実績連携データおよびENDファイルを作成する</t>
    <rPh sb="1" eb="2">
      <t>ニチ</t>
    </rPh>
    <rPh sb="18" eb="20">
      <t>レンケイ</t>
    </rPh>
    <rPh sb="34" eb="36">
      <t>サクセイ</t>
    </rPh>
    <phoneticPr fontId="11"/>
  </si>
  <si>
    <t xml:space="preserve">1日に発生すると予測されるトラン実績連携データを受信した場合の、トラン受信結果ログファイルを作成する
</t>
    <rPh sb="1" eb="2">
      <t>ニチ</t>
    </rPh>
    <rPh sb="3" eb="5">
      <t>ハッセイ</t>
    </rPh>
    <rPh sb="28" eb="30">
      <t>バアイ</t>
    </rPh>
    <rPh sb="46" eb="48">
      <t>サクセイ</t>
    </rPh>
    <phoneticPr fontId="11"/>
  </si>
  <si>
    <t>ファイル名：C:\CTKY\LOG\IG_ALLMST_ZIP_SFTP.log
ファイル名：C:\CTKY\LOG\IG_ALLMST_END_SFTP.log</t>
    <rPh sb="4" eb="5">
      <t>メイ</t>
    </rPh>
    <rPh sb="45" eb="46">
      <t>メイ</t>
    </rPh>
    <phoneticPr fontId="11"/>
  </si>
  <si>
    <t>ファイル名：C:\GSTR\RAFT\log\runlog.log</t>
    <rPh sb="4" eb="5">
      <t>メイ</t>
    </rPh>
    <phoneticPr fontId="11"/>
  </si>
  <si>
    <t>全件一括送信結果ログファイルをDLする</t>
    <rPh sb="0" eb="4">
      <t>ゼンケンイッカツ</t>
    </rPh>
    <rPh sb="4" eb="6">
      <t>ソウシン</t>
    </rPh>
    <phoneticPr fontId="11"/>
  </si>
  <si>
    <t>開店処理のログを確認する</t>
    <rPh sb="0" eb="4">
      <t>カイテンショリ</t>
    </rPh>
    <rPh sb="8" eb="10">
      <t>カクニン</t>
    </rPh>
    <phoneticPr fontId="11"/>
  </si>
  <si>
    <t>閉店処理のログを確認する</t>
    <rPh sb="0" eb="4">
      <t>ヘイテンショリ</t>
    </rPh>
    <rPh sb="8" eb="10">
      <t>カクニン</t>
    </rPh>
    <phoneticPr fontId="11"/>
  </si>
  <si>
    <t>ログを確認し、差分データファイル作成処理が開始していること</t>
    <rPh sb="3" eb="5">
      <t>カクニン</t>
    </rPh>
    <rPh sb="7" eb="9">
      <t>サブン</t>
    </rPh>
    <rPh sb="16" eb="20">
      <t>サクセイショリ</t>
    </rPh>
    <rPh sb="21" eb="23">
      <t>カイシ</t>
    </rPh>
    <phoneticPr fontId="11"/>
  </si>
  <si>
    <t>ファイル名：C:\CTKY\LOG\IG_MNTMST_ZIP_SFTP.log
ファイル名：C:\CTKY\LOG\IG_MNTMST_END_SFTP.log</t>
    <phoneticPr fontId="11"/>
  </si>
  <si>
    <t>差分マスタデータ連携
(大量データ連携時)</t>
    <rPh sb="0" eb="2">
      <t>サブン</t>
    </rPh>
    <rPh sb="8" eb="10">
      <t>レンケイ</t>
    </rPh>
    <rPh sb="12" eb="14">
      <t>タイリョウ</t>
    </rPh>
    <rPh sb="17" eb="20">
      <t>レンケイジ</t>
    </rPh>
    <phoneticPr fontId="11"/>
  </si>
  <si>
    <t>バッチ名：IG_RCVR_MST_STOP_SFTP_MNTDATA.bat  (起動パラメタ1[省略不可])
起動パラメタ1：実行種別　1＝停止(STOPファイル作成)、0＝再開(STOPファイル削除)</t>
    <rPh sb="3" eb="4">
      <t>メイ</t>
    </rPh>
    <phoneticPr fontId="11"/>
  </si>
  <si>
    <t>SFTP送信監視停止/再開バッチを、起動パラメタ1='1'で実行し、SFTP送信監視を停止する</t>
    <rPh sb="18" eb="20">
      <t>キドウ</t>
    </rPh>
    <rPh sb="30" eb="32">
      <t>ジッコウ</t>
    </rPh>
    <rPh sb="38" eb="42">
      <t>ソウシンカンシ</t>
    </rPh>
    <rPh sb="43" eb="45">
      <t>テイシ</t>
    </rPh>
    <phoneticPr fontId="11"/>
  </si>
  <si>
    <t>SFTP送信監視停止/再開バッチを、起動パラメタ1='0'で実行し、SFTP送信監視を再開する</t>
    <rPh sb="18" eb="20">
      <t>キドウ</t>
    </rPh>
    <rPh sb="30" eb="32">
      <t>ジッコウ</t>
    </rPh>
    <rPh sb="38" eb="42">
      <t>ソウシンカンシ</t>
    </rPh>
    <rPh sb="43" eb="45">
      <t>サイカイ</t>
    </rPh>
    <phoneticPr fontId="11"/>
  </si>
  <si>
    <t>青果売変</t>
    <rPh sb="0" eb="4">
      <t>セイカバイヘン</t>
    </rPh>
    <phoneticPr fontId="11"/>
  </si>
  <si>
    <t>「青果売変」押下</t>
    <rPh sb="1" eb="5">
      <t>セイカバイヘン</t>
    </rPh>
    <phoneticPr fontId="11"/>
  </si>
  <si>
    <t>青果売変設定画面が表示されること</t>
    <rPh sb="0" eb="2">
      <t>セイカ</t>
    </rPh>
    <rPh sb="2" eb="4">
      <t>バイヘン</t>
    </rPh>
    <rPh sb="4" eb="6">
      <t>セッテイ</t>
    </rPh>
    <rPh sb="6" eb="8">
      <t>ガメン</t>
    </rPh>
    <rPh sb="9" eb="11">
      <t>ヒョウジ</t>
    </rPh>
    <phoneticPr fontId="4"/>
  </si>
  <si>
    <t>翌日価格確認リスト出力</t>
    <rPh sb="0" eb="2">
      <t>ヨクジツ</t>
    </rPh>
    <rPh sb="2" eb="4">
      <t>カカク</t>
    </rPh>
    <rPh sb="4" eb="6">
      <t>カクニン</t>
    </rPh>
    <rPh sb="9" eb="11">
      <t>シュツリョク</t>
    </rPh>
    <phoneticPr fontId="11"/>
  </si>
  <si>
    <t>「翌日価格確認リスト」押下</t>
    <rPh sb="1" eb="7">
      <t>ヨクジツカカクカクニン</t>
    </rPh>
    <phoneticPr fontId="11"/>
  </si>
  <si>
    <t>翌日価格確認リスト画面に遷移すること</t>
    <rPh sb="0" eb="6">
      <t>ヨクジツカカクカクニン</t>
    </rPh>
    <rPh sb="9" eb="11">
      <t>ガメン</t>
    </rPh>
    <rPh sb="12" eb="14">
      <t>センイ</t>
    </rPh>
    <phoneticPr fontId="11"/>
  </si>
  <si>
    <t>全部門の翌日価格確認リストを出力する</t>
    <rPh sb="0" eb="3">
      <t>ゼンブモン</t>
    </rPh>
    <rPh sb="4" eb="10">
      <t>ヨクジツカカクカクニン</t>
    </rPh>
    <rPh sb="14" eb="16">
      <t>シュツリョク</t>
    </rPh>
    <phoneticPr fontId="11"/>
  </si>
  <si>
    <t>翌日価格確認リストが正常に出力されること</t>
    <rPh sb="0" eb="6">
      <t>ヨクジツカカクカクニン</t>
    </rPh>
    <rPh sb="10" eb="12">
      <t>セイジョウ</t>
    </rPh>
    <rPh sb="13" eb="15">
      <t>シュツリョク</t>
    </rPh>
    <phoneticPr fontId="11"/>
  </si>
  <si>
    <t>部門実績フラッシュ</t>
    <rPh sb="0" eb="4">
      <t>ブモンジッセキ</t>
    </rPh>
    <phoneticPr fontId="11"/>
  </si>
  <si>
    <t>「部門実績フラッシュ(速報)」押下</t>
    <rPh sb="1" eb="5">
      <t>ブモンジッセキ</t>
    </rPh>
    <rPh sb="11" eb="13">
      <t>ソクホウ</t>
    </rPh>
    <phoneticPr fontId="11"/>
  </si>
  <si>
    <t>「売上速報」押下</t>
    <rPh sb="1" eb="5">
      <t>ウリアゲソクホウ</t>
    </rPh>
    <phoneticPr fontId="11"/>
  </si>
  <si>
    <t>部門実績フラッシュが正常に表示されること</t>
    <rPh sb="0" eb="4">
      <t>ブモンジッセキ</t>
    </rPh>
    <rPh sb="10" eb="12">
      <t>セイジョウ</t>
    </rPh>
    <rPh sb="13" eb="15">
      <t>ヒョウジ</t>
    </rPh>
    <phoneticPr fontId="11"/>
  </si>
  <si>
    <t>POSサーバPKG機能の確認(通常時)</t>
    <rPh sb="9" eb="11">
      <t>キノウ</t>
    </rPh>
    <rPh sb="12" eb="14">
      <t>カクニン</t>
    </rPh>
    <rPh sb="15" eb="18">
      <t>ツウジョウジ</t>
    </rPh>
    <phoneticPr fontId="11"/>
  </si>
  <si>
    <t>POSサーバPKG機能の確認(負荷発生時)</t>
    <rPh sb="9" eb="11">
      <t>キノウ</t>
    </rPh>
    <rPh sb="12" eb="14">
      <t>カクニン</t>
    </rPh>
    <rPh sb="15" eb="20">
      <t>フカハッセイジ</t>
    </rPh>
    <phoneticPr fontId="11"/>
  </si>
  <si>
    <t>タスクマネージャーの
確認</t>
    <rPh sb="11" eb="13">
      <t>カクニン</t>
    </rPh>
    <phoneticPr fontId="11"/>
  </si>
  <si>
    <t>SFTP受信監視停止/再開バッチを、起動パラメタ1='1'で実行し、SFTP受信監視を停止する</t>
    <rPh sb="18" eb="20">
      <t>キドウ</t>
    </rPh>
    <rPh sb="30" eb="32">
      <t>ジッコウ</t>
    </rPh>
    <rPh sb="38" eb="40">
      <t>ジュシン</t>
    </rPh>
    <rPh sb="40" eb="42">
      <t>カンシ</t>
    </rPh>
    <rPh sb="43" eb="45">
      <t>テイシ</t>
    </rPh>
    <phoneticPr fontId="11"/>
  </si>
  <si>
    <t>バッチ名：IG_RCVR_TRN_STOP_SFTP_TRNDATA.bat  (起動パラメタ1[省略不可])
起動パラメタ1：実行種別　1＝停止(STOPファイル作成)、0＝再開(STOPファイル削除)</t>
    <rPh sb="3" eb="4">
      <t>メイ</t>
    </rPh>
    <phoneticPr fontId="11"/>
  </si>
  <si>
    <t>ignica変換サーバ上にトラン連携データを配置する</t>
    <rPh sb="6" eb="8">
      <t>ヘンカン</t>
    </rPh>
    <rPh sb="11" eb="12">
      <t>ジョウ</t>
    </rPh>
    <rPh sb="16" eb="18">
      <t>レンケイ</t>
    </rPh>
    <rPh sb="22" eb="24">
      <t>ハイチ</t>
    </rPh>
    <phoneticPr fontId="11"/>
  </si>
  <si>
    <t>SFTP受信監視停止/再開バッチを、起動パラメタ1='0'で実行し、SFTP受信監視を再開する</t>
    <rPh sb="18" eb="20">
      <t>キドウ</t>
    </rPh>
    <rPh sb="30" eb="32">
      <t>ジッコウ</t>
    </rPh>
    <rPh sb="38" eb="40">
      <t>ジュシン</t>
    </rPh>
    <rPh sb="40" eb="42">
      <t>カンシ</t>
    </rPh>
    <rPh sb="43" eb="45">
      <t>サイカイ</t>
    </rPh>
    <phoneticPr fontId="11"/>
  </si>
  <si>
    <t>999件はSSV画面上から設定できる最大件数</t>
    <rPh sb="3" eb="4">
      <t>ケン</t>
    </rPh>
    <rPh sb="8" eb="11">
      <t>ガメンジョウ</t>
    </rPh>
    <rPh sb="13" eb="15">
      <t>セッテイ</t>
    </rPh>
    <rPh sb="18" eb="22">
      <t>サイダイケンスウ</t>
    </rPh>
    <phoneticPr fontId="11"/>
  </si>
  <si>
    <t>999件分の特売単品情報が登録できること</t>
    <rPh sb="3" eb="5">
      <t>ケンブン</t>
    </rPh>
    <rPh sb="6" eb="12">
      <t>トクバイタンピンジョウホウ</t>
    </rPh>
    <rPh sb="13" eb="15">
      <t>トウロク</t>
    </rPh>
    <phoneticPr fontId="11"/>
  </si>
  <si>
    <t>999商品分の特売単品情報を特売一括設定で登録する</t>
    <rPh sb="3" eb="6">
      <t>ショウヒンブン</t>
    </rPh>
    <rPh sb="7" eb="9">
      <t>トクバイ</t>
    </rPh>
    <rPh sb="9" eb="11">
      <t>タンピン</t>
    </rPh>
    <rPh sb="11" eb="13">
      <t>ジョウホウ</t>
    </rPh>
    <rPh sb="14" eb="20">
      <t>トクバイイッカツセッテイ</t>
    </rPh>
    <rPh sb="21" eb="23">
      <t>トウロク</t>
    </rPh>
    <phoneticPr fontId="11"/>
  </si>
  <si>
    <t>富士通POSより取引トランザクションを発生させる</t>
    <rPh sb="0" eb="3">
      <t>フジツウ</t>
    </rPh>
    <rPh sb="8" eb="10">
      <t>トリヒキ</t>
    </rPh>
    <rPh sb="19" eb="21">
      <t>ハッセイ</t>
    </rPh>
    <phoneticPr fontId="11"/>
  </si>
  <si>
    <t>5取引。1分に1取引の想定。監視間隔の300秒を目安としている</t>
    <rPh sb="1" eb="3">
      <t>トリヒキ</t>
    </rPh>
    <rPh sb="5" eb="6">
      <t>フン</t>
    </rPh>
    <rPh sb="8" eb="10">
      <t>トリヒキ</t>
    </rPh>
    <rPh sb="11" eb="13">
      <t>ソウテイ</t>
    </rPh>
    <rPh sb="14" eb="18">
      <t>カンシカンカク</t>
    </rPh>
    <rPh sb="22" eb="23">
      <t>ビョウ</t>
    </rPh>
    <rPh sb="24" eb="26">
      <t>メヤス</t>
    </rPh>
    <phoneticPr fontId="11"/>
  </si>
  <si>
    <t>取引別速報が表示され、No.45で連携した富士通POSの取引が即時に反映されていること</t>
    <rPh sb="0" eb="2">
      <t>トリヒキ</t>
    </rPh>
    <rPh sb="2" eb="3">
      <t>ベツ</t>
    </rPh>
    <rPh sb="3" eb="5">
      <t>ソクホウ</t>
    </rPh>
    <rPh sb="6" eb="8">
      <t>ヒョウジ</t>
    </rPh>
    <rPh sb="17" eb="19">
      <t>レンケイ</t>
    </rPh>
    <rPh sb="21" eb="24">
      <t>フジツウ</t>
    </rPh>
    <phoneticPr fontId="11"/>
  </si>
  <si>
    <t>差分マスタデータ連携
(通常データ連携時)</t>
    <rPh sb="0" eb="2">
      <t>サブン</t>
    </rPh>
    <rPh sb="8" eb="10">
      <t>レンケイ</t>
    </rPh>
    <rPh sb="12" eb="14">
      <t>ツウジョウ</t>
    </rPh>
    <rPh sb="17" eb="20">
      <t>レンケイジ</t>
    </rPh>
    <phoneticPr fontId="11"/>
  </si>
  <si>
    <t>登録から保存までの処理時間を以下に記載する
[]分</t>
    <rPh sb="0" eb="2">
      <t>トウロク</t>
    </rPh>
    <rPh sb="4" eb="6">
      <t>ホゾン</t>
    </rPh>
    <rPh sb="9" eb="13">
      <t>ショリジカン</t>
    </rPh>
    <rPh sb="14" eb="16">
      <t>イカ</t>
    </rPh>
    <rPh sb="17" eb="19">
      <t>キサイ</t>
    </rPh>
    <rPh sb="24" eb="25">
      <t>フン</t>
    </rPh>
    <phoneticPr fontId="11"/>
  </si>
  <si>
    <t>処理時間+No.57の計測値が「性能テスト(ignicaPOS連携プログラム適用前)」シートのNo.21の実測値×1.2に収まること</t>
    <rPh sb="0" eb="4">
      <t>ショリジカン</t>
    </rPh>
    <rPh sb="11" eb="14">
      <t>ケイソクチ</t>
    </rPh>
    <rPh sb="53" eb="56">
      <t>ジッソクチ</t>
    </rPh>
    <rPh sb="61" eb="62">
      <t>オサ</t>
    </rPh>
    <phoneticPr fontId="11"/>
  </si>
  <si>
    <t>差分マスタデータ連携
(大量データ連携中
→差分マスタデータ連携時)</t>
    <rPh sb="0" eb="2">
      <t>サブン</t>
    </rPh>
    <rPh sb="8" eb="10">
      <t>レンケイ</t>
    </rPh>
    <rPh sb="12" eb="14">
      <t>タイリョウ</t>
    </rPh>
    <rPh sb="17" eb="19">
      <t>レンケイ</t>
    </rPh>
    <rPh sb="19" eb="20">
      <t>チュウ</t>
    </rPh>
    <rPh sb="22" eb="24">
      <t>サブン</t>
    </rPh>
    <rPh sb="30" eb="32">
      <t>レンケイ</t>
    </rPh>
    <rPh sb="32" eb="33">
      <t>ジ</t>
    </rPh>
    <phoneticPr fontId="11"/>
  </si>
  <si>
    <t>「売変」押下
（差分データファイル作成処理中に操作する）</t>
    <rPh sb="1" eb="3">
      <t>バイヘン</t>
    </rPh>
    <phoneticPr fontId="11"/>
  </si>
  <si>
    <t>「山積・企画設定」押下
（差分データファイル作成処理中に操作する）</t>
    <rPh sb="1" eb="3">
      <t>ヤマヅ</t>
    </rPh>
    <rPh sb="4" eb="6">
      <t>キカク</t>
    </rPh>
    <rPh sb="6" eb="8">
      <t>セッテイ</t>
    </rPh>
    <rPh sb="9" eb="11">
      <t>オウカ</t>
    </rPh>
    <phoneticPr fontId="11"/>
  </si>
  <si>
    <t>「追加」押下
企画名称：システムテスト02
開始日：当日業務日付を入力
終了日：当日業務日付を入力
（差分データファイル作成処理中に操作する）</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</si>
  <si>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「更新」押下
（差分データファイル作成処理中に操作する）</t>
    <rPh sb="1" eb="3">
      <t>コウシン</t>
    </rPh>
    <rPh sb="4" eb="6">
      <t>オウカ</t>
    </rPh>
    <phoneticPr fontId="11"/>
  </si>
  <si>
    <t>「保存」押下
（差分データファイル作成処理中に操作する）</t>
    <rPh sb="1" eb="3">
      <t>ホゾン</t>
    </rPh>
    <rPh sb="4" eb="6">
      <t>オウカ</t>
    </rPh>
    <phoneticPr fontId="11"/>
  </si>
  <si>
    <t>「特売単品」押下
（差分データファイル作成処理中に操作する）</t>
    <rPh sb="1" eb="5">
      <t>トクバイタンピン</t>
    </rPh>
    <rPh sb="6" eb="8">
      <t>オウカ</t>
    </rPh>
    <phoneticPr fontId="11"/>
  </si>
  <si>
    <t>「終了」押下
（差分データファイル作成処理中に操作する）</t>
    <rPh sb="1" eb="3">
      <t>シュウリョウ</t>
    </rPh>
    <rPh sb="4" eb="6">
      <t>オウカ</t>
    </rPh>
    <phoneticPr fontId="11"/>
  </si>
  <si>
    <t>メインメニューから「店舗」押下
（差分データファイル作成処理中に操作する）</t>
    <rPh sb="10" eb="12">
      <t>テンポ</t>
    </rPh>
    <phoneticPr fontId="11"/>
  </si>
  <si>
    <t>「単品参照」押下
（差分データファイル作成処理中に操作する）</t>
    <rPh sb="1" eb="5">
      <t>タンピンサンショウ</t>
    </rPh>
    <rPh sb="6" eb="8">
      <t>オウカ</t>
    </rPh>
    <phoneticPr fontId="11"/>
  </si>
  <si>
    <t xml:space="preserve">
ファイル名：C:\CTKY\LOG\IG_MNTMST_ZIP_SFTP.log
ファイル名：C:\CTKY\LOG\IG_MNTMST_END_SFTP.log</t>
    <phoneticPr fontId="11"/>
  </si>
  <si>
    <t>確認観点：
大量データ連携中に、通常データ量の差分マスタデータ連携を行い、
順番通りにマスタデータが反映されることを確認する
999件はSSV画面上から設定できる最大件数</t>
    <rPh sb="0" eb="4">
      <t>カクニンカンテン</t>
    </rPh>
    <rPh sb="67" eb="68">
      <t>ケン</t>
    </rPh>
    <rPh sb="72" eb="75">
      <t>ガメンジョウ</t>
    </rPh>
    <rPh sb="77" eb="79">
      <t>セッテイ</t>
    </rPh>
    <rPh sb="82" eb="86">
      <t>サイダイケンスウ</t>
    </rPh>
    <phoneticPr fontId="11"/>
  </si>
  <si>
    <t>5取引。1分に1取引の想定。監視間隔の300秒を目安としている</t>
    <rPh sb="1" eb="3">
      <t>トリヒキ</t>
    </rPh>
    <rPh sb="5" eb="6">
      <t>フン</t>
    </rPh>
    <rPh sb="8" eb="10">
      <t>トリヒキ</t>
    </rPh>
    <rPh sb="11" eb="13">
      <t>ソウテイ</t>
    </rPh>
    <rPh sb="14" eb="16">
      <t>カンシ</t>
    </rPh>
    <rPh sb="16" eb="18">
      <t>カンカク</t>
    </rPh>
    <rPh sb="22" eb="23">
      <t>ビョウ</t>
    </rPh>
    <rPh sb="24" eb="26">
      <t>メヤス</t>
    </rPh>
    <phoneticPr fontId="11"/>
  </si>
  <si>
    <t>トラン実績受信処理</t>
    <rPh sb="3" eb="5">
      <t>ジッセキ</t>
    </rPh>
    <rPh sb="5" eb="9">
      <t>ジュシンショリ</t>
    </rPh>
    <phoneticPr fontId="11"/>
  </si>
  <si>
    <t>通常時と比較し、画面レスポンス速度が低下していないこと</t>
    <rPh sb="0" eb="3">
      <t>ツウジョウジ</t>
    </rPh>
    <rPh sb="4" eb="6">
      <t>ヒカク</t>
    </rPh>
    <rPh sb="8" eb="10">
      <t>ガメン</t>
    </rPh>
    <rPh sb="15" eb="17">
      <t>ソクド</t>
    </rPh>
    <rPh sb="18" eb="20">
      <t>テイカ</t>
    </rPh>
    <phoneticPr fontId="11"/>
  </si>
  <si>
    <t>タスクマネージャーを表示する</t>
    <rPh sb="10" eb="12">
      <t>ヒョウジ</t>
    </rPh>
    <phoneticPr fontId="11"/>
  </si>
  <si>
    <t>平常時(20%)×2倍を想定</t>
    <rPh sb="0" eb="3">
      <t>ヘイジョウジ</t>
    </rPh>
    <rPh sb="10" eb="11">
      <t>バイ</t>
    </rPh>
    <rPh sb="12" eb="14">
      <t>ソウテイ</t>
    </rPh>
    <phoneticPr fontId="11"/>
  </si>
  <si>
    <t>平常時(45%)×2倍を想定</t>
    <rPh sb="0" eb="3">
      <t>ヘイジョウジ</t>
    </rPh>
    <rPh sb="10" eb="11">
      <t>バイ</t>
    </rPh>
    <rPh sb="12" eb="14">
      <t>ソウテイ</t>
    </rPh>
    <phoneticPr fontId="11"/>
  </si>
  <si>
    <t>「パフォーマンス→リソースモニター」押下</t>
    <rPh sb="18" eb="20">
      <t>オウカ</t>
    </rPh>
    <phoneticPr fontId="11"/>
  </si>
  <si>
    <t>平常時(15%)×2倍を想定</t>
    <rPh sb="0" eb="3">
      <t>ヘイジョウジ</t>
    </rPh>
    <rPh sb="10" eb="11">
      <t>バイ</t>
    </rPh>
    <rPh sb="12" eb="14">
      <t>ソウテイ</t>
    </rPh>
    <phoneticPr fontId="11"/>
  </si>
  <si>
    <t>オフライン状態</t>
    <rPh sb="5" eb="7">
      <t>ジョウタイ</t>
    </rPh>
    <phoneticPr fontId="11"/>
  </si>
  <si>
    <t>オンライン復旧</t>
    <rPh sb="5" eb="7">
      <t>フッキュウ</t>
    </rPh>
    <phoneticPr fontId="11"/>
  </si>
  <si>
    <t>精算トラン受信確認</t>
    <rPh sb="0" eb="2">
      <t>セイサン</t>
    </rPh>
    <rPh sb="5" eb="9">
      <t>ジュシンカクニン</t>
    </rPh>
    <phoneticPr fontId="11"/>
  </si>
  <si>
    <t>「運用」押下</t>
    <rPh sb="1" eb="3">
      <t>ウンヨウ</t>
    </rPh>
    <phoneticPr fontId="11"/>
  </si>
  <si>
    <t>「POS稼働状況確認」押下</t>
    <rPh sb="4" eb="10">
      <t>カドウジョウキョウカクニン</t>
    </rPh>
    <phoneticPr fontId="11"/>
  </si>
  <si>
    <t>装置稼働状況確認画面が表示されること</t>
    <rPh sb="0" eb="8">
      <t>ソウチカドウジョウキョウカクニン</t>
    </rPh>
    <rPh sb="8" eb="10">
      <t>ガメン</t>
    </rPh>
    <rPh sb="11" eb="13">
      <t>ヒョウジ</t>
    </rPh>
    <phoneticPr fontId="11"/>
  </si>
  <si>
    <t>ignicaPOSが「精算済み」ステータスであること</t>
    <rPh sb="11" eb="14">
      <t>セイサンズ</t>
    </rPh>
    <phoneticPr fontId="11"/>
  </si>
  <si>
    <t>No.39(オンライン復旧時)～No.90(ignicaPOS精算トラン受信)までの時間を測定し、下記に記載する
[]</t>
    <rPh sb="11" eb="14">
      <t>フッキュウジ</t>
    </rPh>
    <rPh sb="31" eb="33">
      <t>セイサン</t>
    </rPh>
    <rPh sb="36" eb="38">
      <t>ジュシン</t>
    </rPh>
    <rPh sb="42" eb="44">
      <t>ジカン</t>
    </rPh>
    <rPh sb="45" eb="47">
      <t>ソクテイ</t>
    </rPh>
    <rPh sb="49" eb="51">
      <t>カキ</t>
    </rPh>
    <rPh sb="52" eb="54">
      <t>キサイ</t>
    </rPh>
    <phoneticPr fontId="11"/>
  </si>
  <si>
    <t>POSサーバPKG機能の確認
(オンライン復旧時)</t>
    <rPh sb="9" eb="11">
      <t>キノウ</t>
    </rPh>
    <rPh sb="12" eb="14">
      <t>カクニン</t>
    </rPh>
    <rPh sb="21" eb="24">
      <t>フッキュウジ</t>
    </rPh>
    <rPh sb="24" eb="25">
      <t>セイジ</t>
    </rPh>
    <phoneticPr fontId="11"/>
  </si>
  <si>
    <t>全件マスタ連携(ストレージ容量確認)</t>
    <rPh sb="0" eb="2">
      <t>ゼンケン</t>
    </rPh>
    <rPh sb="5" eb="7">
      <t>レンケイ</t>
    </rPh>
    <rPh sb="13" eb="17">
      <t>ヨウリョウカクニン</t>
    </rPh>
    <phoneticPr fontId="11"/>
  </si>
  <si>
    <t>差分マスタ連携(ストレージ容量確認)</t>
    <rPh sb="0" eb="2">
      <t>サブン</t>
    </rPh>
    <rPh sb="5" eb="7">
      <t>レンケイ</t>
    </rPh>
    <rPh sb="13" eb="17">
      <t>ヨウリョウカクニン</t>
    </rPh>
    <phoneticPr fontId="11"/>
  </si>
  <si>
    <t>差分マスタデータ連携
(オンライン復旧動作確認)</t>
    <rPh sb="0" eb="2">
      <t>サブン</t>
    </rPh>
    <rPh sb="8" eb="10">
      <t>レンケイ</t>
    </rPh>
    <rPh sb="17" eb="23">
      <t>フッキュウドウサカクニン</t>
    </rPh>
    <phoneticPr fontId="11"/>
  </si>
  <si>
    <t>「追加」押下
企画名称：システムテスト03
開始日：当日業務日付を入力
終了日：当日業務日付を入力</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</si>
  <si>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特売価格を変更できること</t>
    <rPh sb="0" eb="4">
      <t>トクバイカカク</t>
    </rPh>
    <rPh sb="5" eb="7">
      <t>ヘンコウ</t>
    </rPh>
    <phoneticPr fontId="11"/>
  </si>
  <si>
    <t>変更した特売情報が保存されること</t>
    <rPh sb="0" eb="2">
      <t>ヘンコウ</t>
    </rPh>
    <rPh sb="4" eb="6">
      <t>トクバイ</t>
    </rPh>
    <rPh sb="6" eb="8">
      <t>ジョウホウ</t>
    </rPh>
    <rPh sb="9" eb="11">
      <t>ホゾン</t>
    </rPh>
    <phoneticPr fontId="11"/>
  </si>
  <si>
    <t>トラン実績連携(ストレージ容量確認)</t>
    <rPh sb="3" eb="5">
      <t>ジッセキ</t>
    </rPh>
    <rPh sb="5" eb="7">
      <t>レンケイ</t>
    </rPh>
    <rPh sb="13" eb="15">
      <t>ヨウリョウ</t>
    </rPh>
    <rPh sb="15" eb="17">
      <t>カクニン</t>
    </rPh>
    <phoneticPr fontId="11"/>
  </si>
  <si>
    <t>トラン実績連携(オンライン復旧動作確認)</t>
    <rPh sb="3" eb="5">
      <t>ジッセキ</t>
    </rPh>
    <rPh sb="5" eb="7">
      <t>レンケイ</t>
    </rPh>
    <rPh sb="13" eb="19">
      <t>フッキュウドウサカクニン</t>
    </rPh>
    <phoneticPr fontId="11"/>
  </si>
  <si>
    <t>Eドライブは、現在33.2GB/62.9GB(52.7%)使用済み。
使用率を80%以下に抑えるため、連携データのサイズは15GBを上限とする。</t>
    <rPh sb="7" eb="9">
      <t>ゲンザイ</t>
    </rPh>
    <rPh sb="29" eb="32">
      <t>シヨウズ</t>
    </rPh>
    <rPh sb="35" eb="38">
      <t>シヨウリツ</t>
    </rPh>
    <rPh sb="42" eb="44">
      <t>イカ</t>
    </rPh>
    <rPh sb="45" eb="46">
      <t>オサ</t>
    </rPh>
    <rPh sb="51" eb="53">
      <t>レンケイ</t>
    </rPh>
    <rPh sb="66" eb="68">
      <t>ジョウゲン</t>
    </rPh>
    <phoneticPr fontId="11"/>
  </si>
  <si>
    <t>ignicaPOS
操作</t>
    <rPh sb="10" eb="12">
      <t>ソウサ</t>
    </rPh>
    <phoneticPr fontId="11"/>
  </si>
  <si>
    <t>★</t>
    <phoneticPr fontId="11"/>
  </si>
  <si>
    <t>開店処理の実行</t>
    <rPh sb="0" eb="2">
      <t>カイテン</t>
    </rPh>
    <rPh sb="2" eb="4">
      <t>ショリ</t>
    </rPh>
    <rPh sb="5" eb="7">
      <t>ジッコウ</t>
    </rPh>
    <phoneticPr fontId="11"/>
  </si>
  <si>
    <t>閉店処理の実行</t>
    <rPh sb="0" eb="2">
      <t>ヘイテン</t>
    </rPh>
    <rPh sb="2" eb="4">
      <t>ショリ</t>
    </rPh>
    <rPh sb="5" eb="7">
      <t>ジッコウ</t>
    </rPh>
    <phoneticPr fontId="11"/>
  </si>
  <si>
    <t>確認観点</t>
    <rPh sb="0" eb="4">
      <t>カクニンカンテン</t>
    </rPh>
    <phoneticPr fontId="11"/>
  </si>
  <si>
    <t>ignicaPOS連携プログラムの通常業務における性能を、次の各処理で確認する。　-マスタ連携(全件一括)機能、マスタ連携(差分)機能、トラン連携機能</t>
    <rPh sb="29" eb="30">
      <t>ツギ</t>
    </rPh>
    <phoneticPr fontId="11"/>
  </si>
  <si>
    <t>前提条件</t>
    <rPh sb="0" eb="4">
      <t>ゼンテイジョウケン</t>
    </rPh>
    <phoneticPr fontId="11"/>
  </si>
  <si>
    <t>なし</t>
    <phoneticPr fontId="11"/>
  </si>
  <si>
    <t xml:space="preserve">開店処理が終了しており、メインメニューが表示されること
</t>
    <rPh sb="0" eb="4">
      <t>カイテンショリ</t>
    </rPh>
    <rPh sb="5" eb="7">
      <t>シュウリョウ</t>
    </rPh>
    <rPh sb="20" eb="22">
      <t>ヒョウジ</t>
    </rPh>
    <phoneticPr fontId="11"/>
  </si>
  <si>
    <t xml:space="preserve">閉店処理が終了しており、メインメニューが表示されること
</t>
    <rPh sb="0" eb="2">
      <t>ヘイテン</t>
    </rPh>
    <rPh sb="2" eb="4">
      <t>ショリ</t>
    </rPh>
    <rPh sb="5" eb="7">
      <t>シュウリョウ</t>
    </rPh>
    <rPh sb="20" eb="22">
      <t>ヒョウジ</t>
    </rPh>
    <phoneticPr fontId="11"/>
  </si>
  <si>
    <t>開店処理が終了しており、メインメニューが表示されること</t>
    <rPh sb="0" eb="4">
      <t>カイテンショリ</t>
    </rPh>
    <rPh sb="5" eb="7">
      <t>シュウリョウ</t>
    </rPh>
    <rPh sb="20" eb="22">
      <t>ヒョウジ</t>
    </rPh>
    <phoneticPr fontId="11"/>
  </si>
  <si>
    <t>閉店処理が終了しており、メインメニューが表示されること</t>
    <rPh sb="0" eb="2">
      <t>ヘイテン</t>
    </rPh>
    <rPh sb="2" eb="4">
      <t>ショリ</t>
    </rPh>
    <rPh sb="5" eb="7">
      <t>シュウリョウ</t>
    </rPh>
    <rPh sb="20" eb="22">
      <t>ヒョウジ</t>
    </rPh>
    <phoneticPr fontId="11"/>
  </si>
  <si>
    <t>開店処理の実行</t>
    <rPh sb="5" eb="7">
      <t>ジッコウ</t>
    </rPh>
    <phoneticPr fontId="11"/>
  </si>
  <si>
    <t xml:space="preserve">開店処理が終了しており、メインメニューが表示されること
</t>
    <rPh sb="5" eb="7">
      <t>シュウリョウ</t>
    </rPh>
    <rPh sb="20" eb="22">
      <t>ヒョウジ</t>
    </rPh>
    <phoneticPr fontId="11"/>
  </si>
  <si>
    <t>開店処理の実行</t>
    <rPh sb="2" eb="4">
      <t>ショリ</t>
    </rPh>
    <rPh sb="5" eb="7">
      <t>ジッコウ</t>
    </rPh>
    <phoneticPr fontId="11"/>
  </si>
  <si>
    <t xml:space="preserve">開店処理が終了しており、メインメニューが表示されること
</t>
    <rPh sb="2" eb="4">
      <t>ショリ</t>
    </rPh>
    <rPh sb="5" eb="7">
      <t>シュウリョウ</t>
    </rPh>
    <rPh sb="20" eb="22">
      <t>ヒョウジ</t>
    </rPh>
    <phoneticPr fontId="11"/>
  </si>
  <si>
    <t>夜間バッチ開始時間(1:00)までに閉店処理が完了していること</t>
    <rPh sb="0" eb="2">
      <t>ヤカン</t>
    </rPh>
    <rPh sb="5" eb="7">
      <t>カイシ</t>
    </rPh>
    <rPh sb="7" eb="9">
      <t>ジカン</t>
    </rPh>
    <rPh sb="18" eb="20">
      <t>ヘイテン</t>
    </rPh>
    <rPh sb="20" eb="22">
      <t>ショリ</t>
    </rPh>
    <rPh sb="23" eb="25">
      <t>カンリョウ</t>
    </rPh>
    <phoneticPr fontId="11"/>
  </si>
  <si>
    <t>メインメニューから「店舗」押下
（差分データファイル作成処理中に操作する）</t>
    <rPh sb="10" eb="12">
      <t>テンポ</t>
    </rPh>
    <rPh sb="17" eb="19">
      <t>サブン</t>
    </rPh>
    <rPh sb="26" eb="30">
      <t>サクセイショリ</t>
    </rPh>
    <rPh sb="30" eb="31">
      <t>チュウ</t>
    </rPh>
    <rPh sb="32" eb="34">
      <t>ソウサ</t>
    </rPh>
    <phoneticPr fontId="11"/>
  </si>
  <si>
    <t>No.47で特売設定した商品を検索する</t>
    <phoneticPr fontId="11"/>
  </si>
  <si>
    <t>No.69で特売設定した商品を検索する</t>
    <phoneticPr fontId="11"/>
  </si>
  <si>
    <t>特売価格がNo.69で適用した価格となっていること</t>
    <rPh sb="0" eb="4">
      <t>トクバイカカク</t>
    </rPh>
    <rPh sb="11" eb="13">
      <t>テキヨウ</t>
    </rPh>
    <rPh sb="15" eb="17">
      <t>カカク</t>
    </rPh>
    <phoneticPr fontId="11"/>
  </si>
  <si>
    <t>ignicaPOSからトランが連携されていない状態でテストを行う</t>
    <rPh sb="15" eb="17">
      <t>レンケイ</t>
    </rPh>
    <rPh sb="23" eb="25">
      <t>ジョウタイ</t>
    </rPh>
    <rPh sb="30" eb="31">
      <t>オコナ</t>
    </rPh>
    <phoneticPr fontId="11"/>
  </si>
  <si>
    <t>新規で単品の登録ができ、POSに反映すること
「保存」押下～各POSへの反映までの時間を計測し、以下に記載する
富士通POS：
ignicaPOS：</t>
    <rPh sb="0" eb="2">
      <t>シンキ</t>
    </rPh>
    <rPh sb="3" eb="5">
      <t>タンピン</t>
    </rPh>
    <rPh sb="6" eb="8">
      <t>トウロク</t>
    </rPh>
    <rPh sb="16" eb="18">
      <t>ハンエイ</t>
    </rPh>
    <rPh sb="24" eb="26">
      <t>ホゾン</t>
    </rPh>
    <rPh sb="27" eb="29">
      <t>オウカ</t>
    </rPh>
    <rPh sb="30" eb="31">
      <t>カク</t>
    </rPh>
    <rPh sb="36" eb="38">
      <t>ハンエイ</t>
    </rPh>
    <rPh sb="41" eb="43">
      <t>ジカン</t>
    </rPh>
    <rPh sb="44" eb="46">
      <t>ケイソク</t>
    </rPh>
    <rPh sb="48" eb="50">
      <t>イカ</t>
    </rPh>
    <rPh sb="51" eb="53">
      <t>キサイ</t>
    </rPh>
    <rPh sb="56" eb="59">
      <t>フジツウ</t>
    </rPh>
    <phoneticPr fontId="4"/>
  </si>
  <si>
    <t>特売の設定ができ、POSに反映すること
「保存」押下～各POSへの反映までの時間を計測し、以下に記載する
富士通POS：
ignicaPOS：</t>
    <rPh sb="0" eb="2">
      <t>トクバイ</t>
    </rPh>
    <rPh sb="3" eb="5">
      <t>セッテイ</t>
    </rPh>
    <rPh sb="13" eb="15">
      <t>ハンエイ</t>
    </rPh>
    <phoneticPr fontId="4"/>
  </si>
  <si>
    <t>バンドル設定ができ、POSに反映すること
「保存」押下～各POSへの反映までの時間を計測し、以下に記載する
富士通POS：
ignicaPOS：</t>
    <rPh sb="4" eb="6">
      <t>セッテイ</t>
    </rPh>
    <rPh sb="14" eb="16">
      <t>ハンエイ</t>
    </rPh>
    <phoneticPr fontId="4"/>
  </si>
  <si>
    <t>部門階層自動値引の設定ができ、POSに反映すること
「保存」押下～各POSへの反映までの時間を計測し、以下に記載する
富士通POS：
ignicaPOS：</t>
    <rPh sb="0" eb="2">
      <t>ブモン</t>
    </rPh>
    <rPh sb="2" eb="4">
      <t>カイソウ</t>
    </rPh>
    <rPh sb="4" eb="6">
      <t>ジドウ</t>
    </rPh>
    <rPh sb="6" eb="8">
      <t>ネビキ</t>
    </rPh>
    <rPh sb="9" eb="11">
      <t>セッテイ</t>
    </rPh>
    <rPh sb="19" eb="21">
      <t>ハンエイ</t>
    </rPh>
    <phoneticPr fontId="4"/>
  </si>
  <si>
    <t>1取引10商品程度、1分当たり8件のトランザクションを9:30～23:00で
継続的に取り込んでいる状態で、テストを行う</t>
    <rPh sb="39" eb="42">
      <t>ケイゾクテキ</t>
    </rPh>
    <rPh sb="43" eb="44">
      <t>ト</t>
    </rPh>
    <rPh sb="45" eb="46">
      <t>コ</t>
    </rPh>
    <rPh sb="50" eb="52">
      <t>ジョウタイ</t>
    </rPh>
    <rPh sb="58" eb="59">
      <t>オコナ</t>
    </rPh>
    <phoneticPr fontId="11"/>
  </si>
  <si>
    <t>「パフォーマンス」→「リソースモニター」押下</t>
    <rPh sb="20" eb="22">
      <t>オウカ</t>
    </rPh>
    <phoneticPr fontId="11"/>
  </si>
  <si>
    <t>ネットワーク使用率</t>
    <rPh sb="6" eb="9">
      <t>シヨウリツ</t>
    </rPh>
    <phoneticPr fontId="11"/>
  </si>
  <si>
    <t>平常時(10%)×2倍を想定</t>
    <rPh sb="0" eb="3">
      <t>ヘイジョウジ</t>
    </rPh>
    <rPh sb="10" eb="11">
      <t>バイ</t>
    </rPh>
    <rPh sb="12" eb="14">
      <t>ソウテイ</t>
    </rPh>
    <phoneticPr fontId="11"/>
  </si>
  <si>
    <t>POSサーバタスクマネージャーを確認し、CPU使用率が40%以下であること</t>
    <rPh sb="16" eb="18">
      <t>カクニン</t>
    </rPh>
    <rPh sb="23" eb="26">
      <t>シヨウリツ</t>
    </rPh>
    <rPh sb="30" eb="32">
      <t>イカ</t>
    </rPh>
    <phoneticPr fontId="11"/>
  </si>
  <si>
    <t>POSサーバタスクマネージャーを確認し、メモリ使用率が90%以下であること</t>
    <rPh sb="16" eb="18">
      <t>カクニン</t>
    </rPh>
    <rPh sb="23" eb="26">
      <t>シヨウリツ</t>
    </rPh>
    <rPh sb="30" eb="32">
      <t>イカ</t>
    </rPh>
    <phoneticPr fontId="11"/>
  </si>
  <si>
    <t>POSサーバタスクマネージャーを確認し、ディスク使用率が30%以下であること</t>
    <rPh sb="16" eb="18">
      <t>カクニン</t>
    </rPh>
    <rPh sb="24" eb="27">
      <t>シヨウリツ</t>
    </rPh>
    <rPh sb="31" eb="33">
      <t>イカ</t>
    </rPh>
    <phoneticPr fontId="11"/>
  </si>
  <si>
    <t>POSサーバタスクマネージャーを確認し、ネットワーク使用率が20％以下であること</t>
    <rPh sb="16" eb="18">
      <t>カクニン</t>
    </rPh>
    <rPh sb="26" eb="29">
      <t>シヨウリツ</t>
    </rPh>
    <rPh sb="33" eb="35">
      <t>イカ</t>
    </rPh>
    <phoneticPr fontId="11"/>
  </si>
  <si>
    <t>大量のトランザクションを営業時間内で継続的に取り込んだ場合の、PKG機能や集計機能の動作を確認する</t>
    <rPh sb="0" eb="2">
      <t>タイリョウ</t>
    </rPh>
    <rPh sb="12" eb="17">
      <t>エイギョウジカンナイ</t>
    </rPh>
    <rPh sb="18" eb="21">
      <t>ケイゾクテキ</t>
    </rPh>
    <rPh sb="22" eb="23">
      <t>ト</t>
    </rPh>
    <rPh sb="24" eb="25">
      <t>コ</t>
    </rPh>
    <rPh sb="27" eb="29">
      <t>バアイ</t>
    </rPh>
    <rPh sb="34" eb="36">
      <t>キノウ</t>
    </rPh>
    <rPh sb="37" eb="41">
      <t>シュウケイキノウ</t>
    </rPh>
    <rPh sb="42" eb="44">
      <t>ドウサ</t>
    </rPh>
    <rPh sb="45" eb="47">
      <t>カクニン</t>
    </rPh>
    <phoneticPr fontId="11"/>
  </si>
  <si>
    <t>館林DC⇔ignica変換サーバ間がオフラインとなった場合を想定し、オンライン復旧後にオフライン中のトランが連携された場合の、PKG機能や集計機能の動作を確認する</t>
    <rPh sb="0" eb="2">
      <t>タテバヤシ</t>
    </rPh>
    <rPh sb="11" eb="13">
      <t>ヘンカン</t>
    </rPh>
    <rPh sb="16" eb="17">
      <t>アイダ</t>
    </rPh>
    <rPh sb="27" eb="29">
      <t>バアイ</t>
    </rPh>
    <rPh sb="30" eb="32">
      <t>ソウテイ</t>
    </rPh>
    <rPh sb="39" eb="42">
      <t>フッキュウゴ</t>
    </rPh>
    <rPh sb="48" eb="49">
      <t>チュウ</t>
    </rPh>
    <rPh sb="54" eb="56">
      <t>レンケイ</t>
    </rPh>
    <rPh sb="59" eb="61">
      <t>バアイ</t>
    </rPh>
    <phoneticPr fontId="11"/>
  </si>
  <si>
    <t xml:space="preserve">ログファイル内を「処理名」で検索し、処理時間を下記に記載する
[　]秒
</t>
    <phoneticPr fontId="11"/>
  </si>
  <si>
    <t>ログファイル内を「処理名」で検索し、処理時間を下記に記載する
[　]秒</t>
    <rPh sb="18" eb="22">
      <t>ショリジカン</t>
    </rPh>
    <rPh sb="23" eb="25">
      <t>カキ</t>
    </rPh>
    <rPh sb="26" eb="28">
      <t>キサイ</t>
    </rPh>
    <rPh sb="34" eb="35">
      <t>ビョウ</t>
    </rPh>
    <phoneticPr fontId="11"/>
  </si>
  <si>
    <t xml:space="preserve">ログファイル内を「処理名」で検索し、処理時間を下記に記載する
[　]秒
</t>
    <rPh sb="18" eb="22">
      <t>ショリジカン</t>
    </rPh>
    <rPh sb="23" eb="25">
      <t>カキ</t>
    </rPh>
    <rPh sb="26" eb="28">
      <t>キサイ</t>
    </rPh>
    <rPh sb="34" eb="35">
      <t>ビョウ</t>
    </rPh>
    <phoneticPr fontId="11"/>
  </si>
  <si>
    <t>「追加」押下
スキャンコード：No.61で設定した商品のスキャンコード
特売価格：No.61で設定した特売価格と異なる任意の価格
開始日：当日業務日付を入力
終了日：当日業務日付を入力
（差分データファイル作成処理中に操作する）</t>
    <rPh sb="1" eb="3">
      <t>ツイカ</t>
    </rPh>
    <rPh sb="4" eb="6">
      <t>オウカ</t>
    </rPh>
    <rPh sb="21" eb="23">
      <t>セッテイ</t>
    </rPh>
    <rPh sb="25" eb="27">
      <t>ショウヒン</t>
    </rPh>
    <rPh sb="36" eb="40">
      <t>トクバイカカク</t>
    </rPh>
    <rPh sb="47" eb="49">
      <t>セッテイ</t>
    </rPh>
    <rPh sb="51" eb="55">
      <t>トクバイカカク</t>
    </rPh>
    <rPh sb="56" eb="57">
      <t>コト</t>
    </rPh>
    <rPh sb="59" eb="61">
      <t>ニンイ</t>
    </rPh>
    <rPh sb="62" eb="64">
      <t>カカク</t>
    </rPh>
    <rPh sb="65" eb="68">
      <t>カイシビ</t>
    </rPh>
    <rPh sb="69" eb="71">
      <t>トウジツ</t>
    </rPh>
    <rPh sb="71" eb="73">
      <t>ギョウム</t>
    </rPh>
    <rPh sb="73" eb="75">
      <t>ヒヅケ</t>
    </rPh>
    <rPh sb="76" eb="78">
      <t>ニュウリョク</t>
    </rPh>
    <rPh sb="79" eb="82">
      <t>シュウリョウビ</t>
    </rPh>
    <phoneticPr fontId="11"/>
  </si>
  <si>
    <t xml:space="preserve">開店処理のログファイルより、以下処理時間の計測を行う
　・BF連携システム開店処理
　　ートラン連携受信データバックアップ処理
</t>
    <rPh sb="0" eb="4">
      <t>カイテンショリ</t>
    </rPh>
    <rPh sb="14" eb="20">
      <t>イカショリジカン</t>
    </rPh>
    <rPh sb="21" eb="23">
      <t>ケイソク</t>
    </rPh>
    <rPh sb="24" eb="25">
      <t>オコナ</t>
    </rPh>
    <phoneticPr fontId="11"/>
  </si>
  <si>
    <t xml:space="preserve">以下処理時間の計測を行う
　・BF連携システム開店処理
　　ートラン連携常駐プログラム起動
</t>
    <rPh sb="0" eb="6">
      <t>イカショリジカン</t>
    </rPh>
    <rPh sb="7" eb="9">
      <t>ケイソク</t>
    </rPh>
    <rPh sb="10" eb="11">
      <t>オコナ</t>
    </rPh>
    <phoneticPr fontId="11"/>
  </si>
  <si>
    <t xml:space="preserve">以下処理時間の計測を行う
　・BF連携システム開店処理
　　ー常駐プログラム生死監視プログラム起動
</t>
    <rPh sb="0" eb="6">
      <t>イカショリジカン</t>
    </rPh>
    <rPh sb="7" eb="9">
      <t>ケイソク</t>
    </rPh>
    <rPh sb="10" eb="11">
      <t>オコナ</t>
    </rPh>
    <phoneticPr fontId="11"/>
  </si>
  <si>
    <t>処理時間を以下に記載し、業務影響が出ない範囲であること
[　]秒</t>
    <rPh sb="0" eb="2">
      <t>ショリ</t>
    </rPh>
    <rPh sb="2" eb="4">
      <t>ジカン</t>
    </rPh>
    <rPh sb="5" eb="7">
      <t>イカ</t>
    </rPh>
    <rPh sb="8" eb="10">
      <t>キサイ</t>
    </rPh>
    <rPh sb="12" eb="14">
      <t>ギョウム</t>
    </rPh>
    <rPh sb="14" eb="16">
      <t>エイキョウ</t>
    </rPh>
    <rPh sb="17" eb="18">
      <t>デ</t>
    </rPh>
    <rPh sb="20" eb="22">
      <t>ハンイ</t>
    </rPh>
    <rPh sb="31" eb="32">
      <t>ビョウ</t>
    </rPh>
    <phoneticPr fontId="11"/>
  </si>
  <si>
    <t xml:space="preserve">POSサーバタスクマネージャーを確認し、ネットワーク使用率が20％以下であること
</t>
    <rPh sb="16" eb="18">
      <t>カクニン</t>
    </rPh>
    <rPh sb="26" eb="29">
      <t>シヨウリツ</t>
    </rPh>
    <rPh sb="33" eb="35">
      <t>イカ</t>
    </rPh>
    <phoneticPr fontId="11"/>
  </si>
  <si>
    <t>商品階層別速報が表示され、No.37で取り込んだignicaPOSの取引が全件反映されていること</t>
    <rPh sb="0" eb="7">
      <t>ショウヒンカイソウベツソクホウ</t>
    </rPh>
    <rPh sb="8" eb="10">
      <t>ヒョウジ</t>
    </rPh>
    <rPh sb="19" eb="20">
      <t>ト</t>
    </rPh>
    <rPh sb="21" eb="22">
      <t>コ</t>
    </rPh>
    <rPh sb="37" eb="39">
      <t>ゼンケン</t>
    </rPh>
    <phoneticPr fontId="11"/>
  </si>
  <si>
    <t>担当者別速報が表示され、No.37で取り込んだignicaPOSの取引が全件反映されていること</t>
    <rPh sb="0" eb="3">
      <t>タントウシャ</t>
    </rPh>
    <rPh sb="3" eb="4">
      <t>ベツ</t>
    </rPh>
    <rPh sb="4" eb="6">
      <t>ソクホウ</t>
    </rPh>
    <rPh sb="7" eb="9">
      <t>ヒョウジ</t>
    </rPh>
    <phoneticPr fontId="11"/>
  </si>
  <si>
    <t>取引別速報が表示され、No.37で取り込んだignicaPOSの取引が全件反映されていること</t>
    <rPh sb="0" eb="2">
      <t>トリヒキ</t>
    </rPh>
    <rPh sb="2" eb="3">
      <t>ベツ</t>
    </rPh>
    <rPh sb="3" eb="5">
      <t>ソクホウ</t>
    </rPh>
    <rPh sb="6" eb="8">
      <t>ヒョウジ</t>
    </rPh>
    <phoneticPr fontId="11"/>
  </si>
  <si>
    <t>POS別速報が表示され、No.37で取り込んだignicaPOSの取引が全件反映されていること</t>
    <rPh sb="3" eb="4">
      <t>ベツ</t>
    </rPh>
    <rPh sb="4" eb="6">
      <t>ソクホウ</t>
    </rPh>
    <rPh sb="7" eb="9">
      <t>ヒョウジ</t>
    </rPh>
    <phoneticPr fontId="11"/>
  </si>
  <si>
    <t>単品別速報が表示され、No.37で取り込んだignicaPOSの取引が全件反映されていること</t>
    <rPh sb="0" eb="2">
      <t>タンピン</t>
    </rPh>
    <rPh sb="2" eb="3">
      <t>ベツ</t>
    </rPh>
    <rPh sb="3" eb="5">
      <t>ソクホウ</t>
    </rPh>
    <rPh sb="6" eb="8">
      <t>ヒョウジ</t>
    </rPh>
    <phoneticPr fontId="11"/>
  </si>
  <si>
    <t>商品階層別時間帯別速報が表示され、No.37で取り込んだignicaPOSの取引が全件反映されていること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</si>
  <si>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担当者別時間帯別速報が表示され、No.37で取り込んだignicaPOSの取引が全件反映されていること</t>
    <rPh sb="0" eb="7">
      <t>タントウシャベツジカンタイ</t>
    </rPh>
    <rPh sb="7" eb="8">
      <t>ベツ</t>
    </rPh>
    <rPh sb="8" eb="10">
      <t>ソクホウ</t>
    </rPh>
    <rPh sb="11" eb="13">
      <t>ヒョウジ</t>
    </rPh>
    <phoneticPr fontId="11"/>
  </si>
  <si>
    <t>POS別時間帯別速報が表示され、No.37で取り込んだignicaPOSの取引が全件反映されていること</t>
    <rPh sb="3" eb="4">
      <t>ベツ</t>
    </rPh>
    <rPh sb="4" eb="7">
      <t>ジカンタイ</t>
    </rPh>
    <rPh sb="7" eb="8">
      <t>ベツ</t>
    </rPh>
    <rPh sb="8" eb="10">
      <t>ソクホウ</t>
    </rPh>
    <rPh sb="11" eb="13">
      <t>ヒョウジ</t>
    </rPh>
    <phoneticPr fontId="11"/>
  </si>
  <si>
    <t>単品別時間帯別速報が表示され、No.37で取り込んだignicaPOSの取引が全件反映されていること</t>
    <rPh sb="0" eb="3">
      <t>タンピンベツ</t>
    </rPh>
    <rPh sb="3" eb="7">
      <t>ジカンタイベツ</t>
    </rPh>
    <rPh sb="7" eb="9">
      <t>ソクホウ</t>
    </rPh>
    <rPh sb="8" eb="9">
      <t>ジソク</t>
    </rPh>
    <rPh sb="10" eb="12">
      <t>ヒョウジ</t>
    </rPh>
    <phoneticPr fontId="11"/>
  </si>
  <si>
    <t>連携データに対してストレージ容量を十分に確保できていること、データ連携時にオフライン状態が発生し復旧を行った場合にオフライン中の連携データが保持されることを確認する</t>
    <rPh sb="0" eb="2">
      <t>レンケイ</t>
    </rPh>
    <rPh sb="6" eb="7">
      <t>タイ</t>
    </rPh>
    <rPh sb="14" eb="16">
      <t>ヨウリョウ</t>
    </rPh>
    <rPh sb="17" eb="19">
      <t>ジュウブン</t>
    </rPh>
    <rPh sb="20" eb="22">
      <t>カクホ</t>
    </rPh>
    <rPh sb="33" eb="36">
      <t>レンケイジ</t>
    </rPh>
    <rPh sb="42" eb="44">
      <t>ジョウタイ</t>
    </rPh>
    <rPh sb="45" eb="47">
      <t>ハッセイ</t>
    </rPh>
    <rPh sb="48" eb="50">
      <t>フッキュウ</t>
    </rPh>
    <rPh sb="51" eb="52">
      <t>オコナ</t>
    </rPh>
    <rPh sb="54" eb="56">
      <t>バアイ</t>
    </rPh>
    <rPh sb="62" eb="63">
      <t>チュウ</t>
    </rPh>
    <rPh sb="64" eb="66">
      <t>レンケイ</t>
    </rPh>
    <rPh sb="70" eb="72">
      <t>ホジ</t>
    </rPh>
    <rPh sb="78" eb="80">
      <t>カクニン</t>
    </rPh>
    <phoneticPr fontId="11"/>
  </si>
  <si>
    <t>No.26の商品を選択
特売価格：No.26で設定した特売価格と異なる任意の価格</t>
    <rPh sb="6" eb="8">
      <t>ショウヒン</t>
    </rPh>
    <rPh sb="9" eb="11">
      <t>センタク</t>
    </rPh>
    <rPh sb="12" eb="16">
      <t>トクバイカカク</t>
    </rPh>
    <rPh sb="23" eb="25">
      <t>セッテイ</t>
    </rPh>
    <rPh sb="27" eb="29">
      <t>トクバイ</t>
    </rPh>
    <rPh sb="29" eb="31">
      <t>カカク</t>
    </rPh>
    <rPh sb="32" eb="33">
      <t>コト</t>
    </rPh>
    <rPh sb="35" eb="37">
      <t>ニンイ</t>
    </rPh>
    <rPh sb="38" eb="40">
      <t>カカク</t>
    </rPh>
    <phoneticPr fontId="11"/>
  </si>
  <si>
    <t>特売価格がNo.28で適用した価格となっていること</t>
    <rPh sb="0" eb="4">
      <t>トクバイカカク</t>
    </rPh>
    <rPh sb="11" eb="13">
      <t>テキヨウ</t>
    </rPh>
    <rPh sb="15" eb="17">
      <t>カカク</t>
    </rPh>
    <phoneticPr fontId="11"/>
  </si>
  <si>
    <t>No.26で特売設定した商品を検索する</t>
    <phoneticPr fontId="11"/>
  </si>
  <si>
    <t xml:space="preserve">合計サイズが15GB以内に収まること
</t>
    <rPh sb="0" eb="2">
      <t>ゴウケイ</t>
    </rPh>
    <rPh sb="10" eb="12">
      <t>イナイ</t>
    </rPh>
    <rPh sb="13" eb="14">
      <t>オサ</t>
    </rPh>
    <phoneticPr fontId="11"/>
  </si>
  <si>
    <t>商品階層別速報が表示され、No.41で取り込んだignicaPOSの取引が全件反映されていること</t>
    <rPh sb="0" eb="7">
      <t>ショウヒンカイソウベツソクホウ</t>
    </rPh>
    <rPh sb="8" eb="10">
      <t>ヒョウジ</t>
    </rPh>
    <rPh sb="19" eb="20">
      <t>ト</t>
    </rPh>
    <rPh sb="21" eb="22">
      <t>コ</t>
    </rPh>
    <rPh sb="37" eb="39">
      <t>ゼンケン</t>
    </rPh>
    <phoneticPr fontId="11"/>
  </si>
  <si>
    <t>担当者別速報が表示され、No.41で取り込んだignicaPOSの取引が全件反映されていること</t>
    <rPh sb="0" eb="3">
      <t>タントウシャ</t>
    </rPh>
    <rPh sb="3" eb="4">
      <t>ベツ</t>
    </rPh>
    <rPh sb="4" eb="6">
      <t>ソクホウ</t>
    </rPh>
    <rPh sb="7" eb="9">
      <t>ヒョウジ</t>
    </rPh>
    <phoneticPr fontId="11"/>
  </si>
  <si>
    <t>取引別速報が表示され、No.41で取り込んだignicaPOSの取引が全件反映されていること</t>
    <rPh sb="0" eb="2">
      <t>トリヒキ</t>
    </rPh>
    <rPh sb="2" eb="3">
      <t>ベツ</t>
    </rPh>
    <rPh sb="3" eb="5">
      <t>ソクホウ</t>
    </rPh>
    <rPh sb="6" eb="8">
      <t>ヒョウジ</t>
    </rPh>
    <phoneticPr fontId="11"/>
  </si>
  <si>
    <t>POS別速報が表示され、No.41で取り込んだignicaPOSの取引が全件反映されていること</t>
    <rPh sb="3" eb="4">
      <t>ベツ</t>
    </rPh>
    <rPh sb="4" eb="6">
      <t>ソクホウ</t>
    </rPh>
    <rPh sb="7" eb="9">
      <t>ヒョウジ</t>
    </rPh>
    <phoneticPr fontId="11"/>
  </si>
  <si>
    <t>単品別速報が表示され、No.41で取り込んだignicaPOSの取引が全件反映されていること</t>
    <rPh sb="0" eb="2">
      <t>タンピン</t>
    </rPh>
    <rPh sb="2" eb="3">
      <t>ベツ</t>
    </rPh>
    <rPh sb="3" eb="5">
      <t>ソクホウ</t>
    </rPh>
    <rPh sb="6" eb="8">
      <t>ヒョウジ</t>
    </rPh>
    <phoneticPr fontId="11"/>
  </si>
  <si>
    <t>商品階層別時間帯別速報が表示され、No.41で取り込んだignicaPOSの取引が全件反映されていること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</si>
  <si>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担当者別時間帯別速報が表示され、No.41で取り込んだignicaPOSの取引が全件反映されていること</t>
    <rPh sb="0" eb="7">
      <t>タントウシャベツジカンタイ</t>
    </rPh>
    <rPh sb="7" eb="8">
      <t>ベツ</t>
    </rPh>
    <rPh sb="8" eb="10">
      <t>ソクホウ</t>
    </rPh>
    <rPh sb="11" eb="13">
      <t>ヒョウジ</t>
    </rPh>
    <phoneticPr fontId="11"/>
  </si>
  <si>
    <t>POS別時間帯別速報が表示され、No.41で取り込んだignicaPOSの取引が全件反映されていること</t>
    <rPh sb="3" eb="4">
      <t>ベツ</t>
    </rPh>
    <rPh sb="4" eb="7">
      <t>ジカンタイ</t>
    </rPh>
    <rPh sb="7" eb="8">
      <t>ベツ</t>
    </rPh>
    <rPh sb="8" eb="10">
      <t>ソクホウ</t>
    </rPh>
    <rPh sb="11" eb="13">
      <t>ヒョウジ</t>
    </rPh>
    <phoneticPr fontId="11"/>
  </si>
  <si>
    <t>単品別時間帯別速報が表示され、No.41で取り込んだignicaPOSの取引が全件反映されていること</t>
    <rPh sb="0" eb="3">
      <t>タンピンベツ</t>
    </rPh>
    <rPh sb="3" eb="7">
      <t>ジカンタイベツ</t>
    </rPh>
    <rPh sb="7" eb="9">
      <t>ソクホウ</t>
    </rPh>
    <rPh sb="8" eb="9">
      <t>ジソク</t>
    </rPh>
    <rPh sb="10" eb="12">
      <t>ヒョウジ</t>
    </rPh>
    <phoneticPr fontId="11"/>
  </si>
  <si>
    <t>オプションIDに「348100000」を入力し、検索</t>
  </si>
  <si>
    <t>マスタデータ&gt;開店処理と同様の確認事項</t>
    <rPh sb="7" eb="11">
      <t>カイテンショリ</t>
    </rPh>
    <rPh sb="12" eb="14">
      <t>ドウヨウ</t>
    </rPh>
    <rPh sb="15" eb="17">
      <t>カクニン</t>
    </rPh>
    <rPh sb="17" eb="19">
      <t>ジコウ</t>
    </rPh>
    <phoneticPr fontId="11"/>
  </si>
  <si>
    <t>マスタデータ&gt;閉店処理と同様の確認事項</t>
    <rPh sb="7" eb="9">
      <t>ヘイテン</t>
    </rPh>
    <rPh sb="9" eb="11">
      <t>ショリ</t>
    </rPh>
    <rPh sb="12" eb="14">
      <t>ドウヨウ</t>
    </rPh>
    <rPh sb="15" eb="17">
      <t>カクニン</t>
    </rPh>
    <rPh sb="17" eb="19">
      <t>ジコウ</t>
    </rPh>
    <phoneticPr fontId="11"/>
  </si>
  <si>
    <t>差分データ送信処理がすべて完了していることを確認する
ファイル名：C:￥CTKY￥LOG￥IG_MNTMST_ZIP_SFTP.log
ファイル名：C:\CTKY\LOG\IG_MNTMST_END_SFTP.log</t>
    <rPh sb="0" eb="2">
      <t>サブン</t>
    </rPh>
    <rPh sb="5" eb="9">
      <t>ソウシンショリ</t>
    </rPh>
    <rPh sb="13" eb="15">
      <t>カンリョウ</t>
    </rPh>
    <rPh sb="22" eb="24">
      <t>カクニン</t>
    </rPh>
    <rPh sb="31" eb="32">
      <t>メイ</t>
    </rPh>
    <phoneticPr fontId="11"/>
  </si>
  <si>
    <t>マスタデータ&gt;開店処理と同様の確認事項</t>
    <phoneticPr fontId="11"/>
  </si>
  <si>
    <t>取引別速報が表示され、No.126で連携したignicaPOSの取引が即時に反映されていること</t>
    <rPh sb="0" eb="2">
      <t>トリヒキ</t>
    </rPh>
    <rPh sb="2" eb="3">
      <t>ベツ</t>
    </rPh>
    <rPh sb="3" eb="5">
      <t>ソクホウ</t>
    </rPh>
    <rPh sb="6" eb="8">
      <t>ヒョウジ</t>
    </rPh>
    <rPh sb="18" eb="20">
      <t>レンケイ</t>
    </rPh>
    <phoneticPr fontId="11"/>
  </si>
  <si>
    <t>負荷テスト&gt;POSサーバPKG機能の確認(通常時)と同様の確認事項</t>
    <rPh sb="0" eb="2">
      <t>フカ</t>
    </rPh>
    <rPh sb="26" eb="28">
      <t>ドウヨウ</t>
    </rPh>
    <rPh sb="29" eb="33">
      <t>カクニンジコウ</t>
    </rPh>
    <phoneticPr fontId="11"/>
  </si>
  <si>
    <t>開店から20時までの通常営業で発生する分量のignicaPOSトラン実績を、ignica変換サーバに保有させる。連携データの最終トランは精算のトランとなっていること。</t>
    <rPh sb="0" eb="2">
      <t>カイテン</t>
    </rPh>
    <rPh sb="56" eb="58">
      <t>レンケイ</t>
    </rPh>
    <rPh sb="62" eb="64">
      <t>サイシュウ</t>
    </rPh>
    <rPh sb="68" eb="70">
      <t>セイサン</t>
    </rPh>
    <phoneticPr fontId="11"/>
  </si>
  <si>
    <t>SFTP受信監視STOPファイルが作成され、SFTP受信監視処理が停止すること</t>
    <rPh sb="26" eb="28">
      <t>ジュシン</t>
    </rPh>
    <rPh sb="30" eb="32">
      <t>ショリ</t>
    </rPh>
    <phoneticPr fontId="11"/>
  </si>
  <si>
    <t>SFTP受信監視STOPファイルが削除され、SFTP受信監視処理が再開すること</t>
    <rPh sb="17" eb="19">
      <t>サクジョ</t>
    </rPh>
    <rPh sb="26" eb="28">
      <t>ジュシン</t>
    </rPh>
    <rPh sb="30" eb="32">
      <t>ショリ</t>
    </rPh>
    <rPh sb="33" eb="35">
      <t>サイカイ</t>
    </rPh>
    <phoneticPr fontId="11"/>
  </si>
  <si>
    <t>SFTP送信監視STOPファイルが作成され、SFTP送信監視処理が停止すること</t>
    <rPh sb="17" eb="19">
      <t>サクセイ</t>
    </rPh>
    <rPh sb="30" eb="32">
      <t>ショリ</t>
    </rPh>
    <phoneticPr fontId="11"/>
  </si>
  <si>
    <t>SFTP送信監視STOPファイルが削除され、SFTP送信監視処理が再開すること</t>
    <rPh sb="17" eb="19">
      <t>サクジョ</t>
    </rPh>
    <rPh sb="30" eb="32">
      <t>ショリ</t>
    </rPh>
    <rPh sb="33" eb="35">
      <t>サイカイ</t>
    </rPh>
    <phoneticPr fontId="11"/>
  </si>
  <si>
    <r>
      <t>・[店番3桁]_[POS番号4桁]_TRN_[取引ログファイル通番9桁].zip
・[店番3桁]_[POS番号4桁]_TRN_[取引ログファイル通番9桁].zip.END
5取引分のトラン実績連携データをignicaPOSから連携し、1日分の連携データサイズを算出する
1ファイル分の取引数：5取引(1分に1取引想定)
レジ1台の1日の連携ファイル数：12件(1h)×12h(営業時間)=144件
1店舗の1日の連携ファイル数：144件×6台=</t>
    </r>
    <r>
      <rPr>
        <b/>
        <sz val="8"/>
        <color theme="1"/>
        <rFont val="Meiryo UI"/>
        <family val="3"/>
        <charset val="128"/>
      </rPr>
      <t>864件</t>
    </r>
    <r>
      <rPr>
        <sz val="8"/>
        <color theme="1"/>
        <rFont val="Meiryo UI"/>
        <family val="3"/>
        <charset val="128"/>
      </rPr>
      <t xml:space="preserve">
</t>
    </r>
    <rPh sb="88" eb="91">
      <t>トリヒキブン</t>
    </rPh>
    <rPh sb="95" eb="99">
      <t>ジッセキレンケイ</t>
    </rPh>
    <rPh sb="114" eb="116">
      <t>レンケイ</t>
    </rPh>
    <rPh sb="119" eb="121">
      <t>ニチブン</t>
    </rPh>
    <rPh sb="122" eb="124">
      <t>レンケイ</t>
    </rPh>
    <rPh sb="131" eb="133">
      <t>サンシュツ</t>
    </rPh>
    <rPh sb="142" eb="143">
      <t>フン</t>
    </rPh>
    <rPh sb="144" eb="147">
      <t>トリヒキスウ</t>
    </rPh>
    <rPh sb="153" eb="154">
      <t>フン</t>
    </rPh>
    <rPh sb="156" eb="160">
      <t>トリヒキソウテイ</t>
    </rPh>
    <rPh sb="165" eb="166">
      <t>ダイ</t>
    </rPh>
    <rPh sb="168" eb="169">
      <t>ニチ</t>
    </rPh>
    <rPh sb="170" eb="172">
      <t>レンケイ</t>
    </rPh>
    <rPh sb="176" eb="177">
      <t>スウ</t>
    </rPh>
    <rPh sb="180" eb="181">
      <t>ケン</t>
    </rPh>
    <rPh sb="190" eb="194">
      <t>エイギョウジカン</t>
    </rPh>
    <rPh sb="199" eb="200">
      <t>ケン</t>
    </rPh>
    <rPh sb="202" eb="204">
      <t>テンポ</t>
    </rPh>
    <rPh sb="206" eb="207">
      <t>ニチ</t>
    </rPh>
    <rPh sb="208" eb="210">
      <t>レンケイ</t>
    </rPh>
    <rPh sb="214" eb="215">
      <t>スウ</t>
    </rPh>
    <rPh sb="219" eb="220">
      <t>ケン</t>
    </rPh>
    <rPh sb="222" eb="223">
      <t>ダイ</t>
    </rPh>
    <rPh sb="227" eb="228">
      <t>ケン</t>
    </rPh>
    <phoneticPr fontId="11"/>
  </si>
  <si>
    <t>・GSFD_BF_ZIPRCVFTP.log
・GSFD_BF_ENDRCVFTP.log
トラン実績連携データと同数分の、トラン受信結果ログファイルのデータサイズを算出する</t>
    <rPh sb="50" eb="52">
      <t>ジッセキ</t>
    </rPh>
    <rPh sb="52" eb="54">
      <t>レンケイ</t>
    </rPh>
    <rPh sb="58" eb="61">
      <t>ドウスウブン</t>
    </rPh>
    <rPh sb="66" eb="70">
      <t>ジュシンケッカ</t>
    </rPh>
    <rPh sb="84" eb="86">
      <t>サンシュツ</t>
    </rPh>
    <phoneticPr fontId="11"/>
  </si>
  <si>
    <t>SFTP受信監視STOPファイルが作成され、SFTP受信監視処理が停止すること</t>
    <rPh sb="4" eb="6">
      <t>ジュシン</t>
    </rPh>
    <rPh sb="26" eb="28">
      <t>ジュシン</t>
    </rPh>
    <rPh sb="30" eb="32">
      <t>ショリ</t>
    </rPh>
    <phoneticPr fontId="11"/>
  </si>
  <si>
    <t>ストレステスト&gt;POSサーバPKG機能の確認(オンライン復旧時)と同様の確認事項</t>
    <rPh sb="33" eb="35">
      <t>ドウヨウ</t>
    </rPh>
    <rPh sb="36" eb="40">
      <t>カクニンジコウ</t>
    </rPh>
    <phoneticPr fontId="11"/>
  </si>
  <si>
    <t>テスト
予定日</t>
    <rPh sb="4" eb="7">
      <t>ヨテイビ</t>
    </rPh>
    <phoneticPr fontId="11"/>
  </si>
  <si>
    <t>テスト
予定日</t>
    <rPh sb="4" eb="7">
      <t>ヨテイニチ</t>
    </rPh>
    <phoneticPr fontId="11"/>
  </si>
  <si>
    <t>新規で単品の登録ができ、POSに反映すること
「保存」押下～各POSへの反映までの時間を計測し、以下に記載する
富士通POS：約40秒
ignicaPOS：約50秒</t>
    <rPh sb="0" eb="2">
      <t>シンキ</t>
    </rPh>
    <rPh sb="3" eb="5">
      <t>タンピン</t>
    </rPh>
    <rPh sb="6" eb="8">
      <t>トウロク</t>
    </rPh>
    <rPh sb="16" eb="18">
      <t>ハンエイ</t>
    </rPh>
    <rPh sb="24" eb="26">
      <t>ホゾン</t>
    </rPh>
    <rPh sb="27" eb="29">
      <t>オウカ</t>
    </rPh>
    <rPh sb="30" eb="31">
      <t>カク</t>
    </rPh>
    <rPh sb="36" eb="38">
      <t>ハンエイ</t>
    </rPh>
    <rPh sb="41" eb="43">
      <t>ジカン</t>
    </rPh>
    <rPh sb="44" eb="46">
      <t>ケイソク</t>
    </rPh>
    <rPh sb="48" eb="50">
      <t>イカ</t>
    </rPh>
    <rPh sb="51" eb="53">
      <t>キサイ</t>
    </rPh>
    <rPh sb="56" eb="59">
      <t>フジツウ</t>
    </rPh>
    <rPh sb="63" eb="64">
      <t>ヤク</t>
    </rPh>
    <rPh sb="66" eb="67">
      <t>ビョウ</t>
    </rPh>
    <rPh sb="78" eb="79">
      <t>ヤク</t>
    </rPh>
    <rPh sb="81" eb="82">
      <t>ビョウ</t>
    </rPh>
    <phoneticPr fontId="4"/>
  </si>
  <si>
    <t>特売の設定ができ、POSに反映すること
「保存」押下～各POSへの反映までの時間を計測し、以下に記載する
富士通POS：約40秒
ignicaPOS：約50秒</t>
    <rPh sb="0" eb="2">
      <t>トクバイ</t>
    </rPh>
    <rPh sb="3" eb="5">
      <t>セッテイ</t>
    </rPh>
    <rPh sb="13" eb="15">
      <t>ハンエイ</t>
    </rPh>
    <rPh sb="60" eb="61">
      <t>ヤク</t>
    </rPh>
    <rPh sb="63" eb="64">
      <t>ビョウ</t>
    </rPh>
    <rPh sb="75" eb="76">
      <t>ヤク</t>
    </rPh>
    <rPh sb="78" eb="79">
      <t>ビョウ</t>
    </rPh>
    <phoneticPr fontId="4"/>
  </si>
  <si>
    <t>バンドル設定ができ、POSに反映すること
「保存」押下～各POSへの反映までの時間を計測し、以下に記載する
富士通POS：約40秒
ignicaPOS：約50秒</t>
    <rPh sb="4" eb="6">
      <t>セッテイ</t>
    </rPh>
    <rPh sb="14" eb="16">
      <t>ハンエイ</t>
    </rPh>
    <rPh sb="60" eb="61">
      <t>ヤク</t>
    </rPh>
    <rPh sb="63" eb="64">
      <t>ビョウ</t>
    </rPh>
    <rPh sb="76" eb="77">
      <t>ヤク</t>
    </rPh>
    <rPh sb="79" eb="80">
      <t>ビョウ</t>
    </rPh>
    <phoneticPr fontId="4"/>
  </si>
  <si>
    <t>バンドル設定ができ、POSに反映すること
「保存」押下～各POSへの反映までの時間を計測し、以下に記載する
富士通POS：約40秒
ignicaPOS：約50秒</t>
    <rPh sb="4" eb="6">
      <t>セッテイ</t>
    </rPh>
    <rPh sb="14" eb="16">
      <t>ハンエイ</t>
    </rPh>
    <rPh sb="61" eb="62">
      <t>ヤク</t>
    </rPh>
    <rPh sb="64" eb="65">
      <t>ビョウ</t>
    </rPh>
    <rPh sb="76" eb="77">
      <t>ヤク</t>
    </rPh>
    <rPh sb="79" eb="80">
      <t>ビョウ</t>
    </rPh>
    <phoneticPr fontId="4"/>
  </si>
  <si>
    <t xml:space="preserve">POSサーバの「C:\CTKY\LOG」にアクセスし、全件一括送信結果ログファイルをDLする
</t>
    <rPh sb="27" eb="31">
      <t>ゼンケンイッカツ</t>
    </rPh>
    <rPh sb="31" eb="35">
      <t>ソウシンケッカ</t>
    </rPh>
    <phoneticPr fontId="11"/>
  </si>
  <si>
    <t>●</t>
  </si>
  <si>
    <t>●</t>
    <phoneticPr fontId="11"/>
  </si>
  <si>
    <t>閉店処理終了後はサーバメニューは表示されない
→翌日確認</t>
    <rPh sb="0" eb="4">
      <t>ヘイテンショリ</t>
    </rPh>
    <rPh sb="4" eb="7">
      <t>シュウリョウゴ</t>
    </rPh>
    <rPh sb="16" eb="18">
      <t>ヒョウジ</t>
    </rPh>
    <rPh sb="24" eb="26">
      <t>ヨクジツ</t>
    </rPh>
    <rPh sb="26" eb="28">
      <t>カクニン</t>
    </rPh>
    <phoneticPr fontId="11"/>
  </si>
  <si>
    <t>マスタデータ&gt;閉店処理と同様の確認事項
閉店処理終了後はサーバメニューは表示されない
→翌日確認</t>
    <rPh sb="7" eb="9">
      <t>ヘイテン</t>
    </rPh>
    <rPh sb="9" eb="11">
      <t>ショリ</t>
    </rPh>
    <rPh sb="12" eb="14">
      <t>ドウヨウ</t>
    </rPh>
    <rPh sb="15" eb="17">
      <t>カクニン</t>
    </rPh>
    <rPh sb="17" eb="19">
      <t>ジコウ</t>
    </rPh>
    <phoneticPr fontId="11"/>
  </si>
  <si>
    <t>開店処理の処理時間を以下に記載する
[24]分</t>
    <rPh sb="0" eb="4">
      <t>カイテンショリ</t>
    </rPh>
    <rPh sb="5" eb="9">
      <t>ショリジカン</t>
    </rPh>
    <rPh sb="10" eb="12">
      <t>イカ</t>
    </rPh>
    <rPh sb="13" eb="15">
      <t>キサイ</t>
    </rPh>
    <rPh sb="22" eb="23">
      <t>フン</t>
    </rPh>
    <phoneticPr fontId="11"/>
  </si>
  <si>
    <t>ファイル名：C:\GSTR\RAFT\log\runlog.log
180号店(実店舗)のログ確認
4:32～4:56</t>
    <rPh sb="4" eb="5">
      <t>メイ</t>
    </rPh>
    <rPh sb="37" eb="39">
      <t>ゴウテン</t>
    </rPh>
    <rPh sb="40" eb="43">
      <t>ジツテンポ</t>
    </rPh>
    <rPh sb="47" eb="49">
      <t>カクニン</t>
    </rPh>
    <phoneticPr fontId="11"/>
  </si>
  <si>
    <t>ファイル名：C:\GSTR\RAFT\log\runlog.log
180号店(実店舗)のログ確認
23:14～00:35</t>
    <rPh sb="4" eb="5">
      <t>メイ</t>
    </rPh>
    <rPh sb="37" eb="39">
      <t>ゴウテン</t>
    </rPh>
    <rPh sb="40" eb="43">
      <t>ジツテンポ</t>
    </rPh>
    <rPh sb="47" eb="49">
      <t>カクニン</t>
    </rPh>
    <phoneticPr fontId="11"/>
  </si>
  <si>
    <t>閉店処理の処理時間を以下に記載する
[1時間21]分</t>
    <rPh sb="0" eb="2">
      <t>ヘイテン</t>
    </rPh>
    <rPh sb="2" eb="4">
      <t>ショリ</t>
    </rPh>
    <rPh sb="5" eb="9">
      <t>ショリジカン</t>
    </rPh>
    <rPh sb="10" eb="12">
      <t>イカ</t>
    </rPh>
    <rPh sb="13" eb="15">
      <t>キサイ</t>
    </rPh>
    <rPh sb="20" eb="22">
      <t>ジカン</t>
    </rPh>
    <rPh sb="25" eb="26">
      <t>ブン</t>
    </rPh>
    <phoneticPr fontId="11"/>
  </si>
  <si>
    <t>下田</t>
    <rPh sb="0" eb="2">
      <t>シモダ</t>
    </rPh>
    <phoneticPr fontId="11"/>
  </si>
  <si>
    <t>当該処理の開始時間・終了時間のログ出力はなし</t>
    <rPh sb="0" eb="4">
      <t>トウガイショリ</t>
    </rPh>
    <rPh sb="5" eb="9">
      <t>カイシジカン</t>
    </rPh>
    <rPh sb="10" eb="14">
      <t>シュウリョウジカン</t>
    </rPh>
    <rPh sb="17" eb="19">
      <t>シュツリョク</t>
    </rPh>
    <phoneticPr fontId="11"/>
  </si>
  <si>
    <t>吉野</t>
    <rPh sb="0" eb="2">
      <t>ヨシノ</t>
    </rPh>
    <phoneticPr fontId="11"/>
  </si>
  <si>
    <t>小澤</t>
    <rPh sb="0" eb="2">
      <t>オザワ</t>
    </rPh>
    <phoneticPr fontId="11"/>
  </si>
  <si>
    <t>蒲田ではメンテファイルがないため異常</t>
    <rPh sb="0" eb="2">
      <t>カマタ</t>
    </rPh>
    <rPh sb="16" eb="18">
      <t>イジョウ</t>
    </rPh>
    <phoneticPr fontId="11"/>
  </si>
  <si>
    <t>実店舗でもエラーあり（業務影響なし）</t>
    <rPh sb="0" eb="3">
      <t>ジツテンポ</t>
    </rPh>
    <rPh sb="11" eb="15">
      <t>ギョウムエイキョウ</t>
    </rPh>
    <phoneticPr fontId="11"/>
  </si>
  <si>
    <r>
      <t xml:space="preserve">ログファイル内を「処理名」で検索し、処理時間を下記に記載する
</t>
    </r>
    <r>
      <rPr>
        <sz val="8"/>
        <color rgb="FFFF0000"/>
        <rFont val="Meiryo UI"/>
        <family val="3"/>
        <charset val="128"/>
      </rPr>
      <t>データファイル退避：[2]秒
ログファイル退避：[0.39]秒</t>
    </r>
    <r>
      <rPr>
        <sz val="8"/>
        <rFont val="Meiryo UI"/>
        <family val="3"/>
        <charset val="128"/>
      </rPr>
      <t xml:space="preserve">
</t>
    </r>
    <rPh sb="38" eb="40">
      <t>タイヒ</t>
    </rPh>
    <rPh sb="52" eb="54">
      <t>タイヒ</t>
    </rPh>
    <phoneticPr fontId="11"/>
  </si>
  <si>
    <r>
      <t xml:space="preserve">ログファイル内を「処理名」で検索し、処理時間を下記に記載する
</t>
    </r>
    <r>
      <rPr>
        <sz val="8"/>
        <color rgb="FFFF0000"/>
        <rFont val="Meiryo UI"/>
        <family val="3"/>
        <charset val="128"/>
      </rPr>
      <t>[23]秒</t>
    </r>
    <r>
      <rPr>
        <sz val="8"/>
        <rFont val="Meiryo UI"/>
        <family val="3"/>
        <charset val="128"/>
      </rPr>
      <t xml:space="preserve">
</t>
    </r>
    <phoneticPr fontId="11"/>
  </si>
  <si>
    <r>
      <t xml:space="preserve">開店処理の処理時間が「性能テスト(ignicaPOS連携プログラム適用前)」シートのNo.9の実測値×1.2に収まること
</t>
    </r>
    <r>
      <rPr>
        <sz val="8"/>
        <color rgb="FFFF0000"/>
        <rFont val="Meiryo UI"/>
        <family val="3"/>
        <charset val="128"/>
      </rPr>
      <t>⇒27分</t>
    </r>
    <rPh sb="0" eb="4">
      <t>カイテンショリ</t>
    </rPh>
    <rPh sb="5" eb="9">
      <t>ショリジカン</t>
    </rPh>
    <rPh sb="47" eb="50">
      <t>ジッソクチ</t>
    </rPh>
    <rPh sb="55" eb="56">
      <t>オサ</t>
    </rPh>
    <rPh sb="64" eb="65">
      <t>フン</t>
    </rPh>
    <phoneticPr fontId="11"/>
  </si>
  <si>
    <r>
      <t xml:space="preserve">ファイル名：C:\GSTR\RAFT\log\runlog.log
</t>
    </r>
    <r>
      <rPr>
        <sz val="8"/>
        <color rgb="FFFF0000"/>
        <rFont val="Meiryo UI"/>
        <family val="3"/>
        <charset val="128"/>
      </rPr>
      <t>19:02～19:44</t>
    </r>
    <rPh sb="4" eb="5">
      <t>メイ</t>
    </rPh>
    <phoneticPr fontId="11"/>
  </si>
  <si>
    <r>
      <t xml:space="preserve">ファイル名：C:\GSTR\RAFT\log\runlog.log
</t>
    </r>
    <r>
      <rPr>
        <sz val="8"/>
        <color rgb="FFFF0000"/>
        <rFont val="Meiryo UI"/>
        <family val="3"/>
        <charset val="128"/>
      </rPr>
      <t>04:43~05:10</t>
    </r>
    <rPh sb="4" eb="5">
      <t>メイ</t>
    </rPh>
    <phoneticPr fontId="11"/>
  </si>
  <si>
    <r>
      <t xml:space="preserve">ファイル名：C:\CTKY\LOG\IG_MNTMST_ZIP_SFTP.log
ファイル名：C:\CTKY\LOG\IG_MNTMST_END_SFTP.log
</t>
    </r>
    <r>
      <rPr>
        <sz val="8"/>
        <color rgb="FFFF0000"/>
        <rFont val="Meiryo UI"/>
        <family val="3"/>
        <charset val="128"/>
      </rPr>
      <t>保存してからバックアップフォルダに反映されるまでの時間で確認する</t>
    </r>
    <rPh sb="82" eb="84">
      <t>ホゾン</t>
    </rPh>
    <rPh sb="99" eb="101">
      <t>ハンエイ</t>
    </rPh>
    <rPh sb="107" eb="109">
      <t>ジカン</t>
    </rPh>
    <rPh sb="110" eb="112">
      <t>カクニン</t>
    </rPh>
    <phoneticPr fontId="11"/>
  </si>
  <si>
    <r>
      <t xml:space="preserve">処理時間を以下に記載し、業務影響が出ない範囲であること
</t>
    </r>
    <r>
      <rPr>
        <sz val="8"/>
        <color rgb="FFFF0000"/>
        <rFont val="Meiryo UI"/>
        <family val="3"/>
        <charset val="128"/>
      </rPr>
      <t>[79]秒</t>
    </r>
    <rPh sb="0" eb="4">
      <t>ショリジカン</t>
    </rPh>
    <rPh sb="5" eb="7">
      <t>イカ</t>
    </rPh>
    <rPh sb="8" eb="10">
      <t>キサイ</t>
    </rPh>
    <rPh sb="12" eb="16">
      <t>ギョウムエイキョウ</t>
    </rPh>
    <rPh sb="17" eb="18">
      <t>デ</t>
    </rPh>
    <rPh sb="20" eb="22">
      <t>ハンイ</t>
    </rPh>
    <rPh sb="32" eb="33">
      <t>ビョウ</t>
    </rPh>
    <phoneticPr fontId="11"/>
  </si>
  <si>
    <r>
      <t xml:space="preserve">開店処理の処理時間が「性能テスト(ignicaPOS連携プログラム適用前)」シートのNo.30の実測値×1.2に収まること
</t>
    </r>
    <r>
      <rPr>
        <sz val="8"/>
        <color rgb="FFFF0000"/>
        <rFont val="Meiryo UI"/>
        <family val="3"/>
        <charset val="128"/>
      </rPr>
      <t>⇒27分</t>
    </r>
    <rPh sb="0" eb="4">
      <t>カイテンショリ</t>
    </rPh>
    <rPh sb="5" eb="9">
      <t>ショリジカン</t>
    </rPh>
    <rPh sb="48" eb="51">
      <t>ジッソクチ</t>
    </rPh>
    <rPh sb="56" eb="57">
      <t>オサ</t>
    </rPh>
    <phoneticPr fontId="11"/>
  </si>
  <si>
    <r>
      <t xml:space="preserve">マスタデータ&gt;開店処理と同様の確認事項
</t>
    </r>
    <r>
      <rPr>
        <sz val="8"/>
        <color rgb="FFFF0000"/>
        <rFont val="Meiryo UI"/>
        <family val="3"/>
        <charset val="128"/>
      </rPr>
      <t>04:43~05:10</t>
    </r>
    <phoneticPr fontId="11"/>
  </si>
  <si>
    <t>ファイル名：C:\GSTR\RAFT\log\runlog.log</t>
    <rPh sb="7" eb="9">
      <t>ヘイテン</t>
    </rPh>
    <rPh sb="9" eb="11">
      <t>ショリ</t>
    </rPh>
    <rPh sb="12" eb="14">
      <t>ドウヨウ</t>
    </rPh>
    <rPh sb="15" eb="17">
      <t>カクニン</t>
    </rPh>
    <rPh sb="17" eb="19">
      <t>ジコウ</t>
    </rPh>
    <phoneticPr fontId="11"/>
  </si>
  <si>
    <t>マスタデータ&gt;閉店処理と同様の確認事項
ファイル名：C:\GSTR\RAFT\log\runlog.log</t>
    <rPh sb="24" eb="25">
      <t>メイ</t>
    </rPh>
    <phoneticPr fontId="11"/>
  </si>
  <si>
    <r>
      <t xml:space="preserve">閉店処理の処理時間が「性能テスト(ignicaPOS連携プログラム適用前)」シートのNo.18の実測値×1.2に収まること
</t>
    </r>
    <r>
      <rPr>
        <sz val="8"/>
        <color rgb="FFFF0000"/>
        <rFont val="Meiryo UI"/>
        <family val="3"/>
        <charset val="128"/>
      </rPr>
      <t>⇒42分</t>
    </r>
    <rPh sb="0" eb="2">
      <t>ヘイテン</t>
    </rPh>
    <rPh sb="2" eb="4">
      <t>ショリ</t>
    </rPh>
    <rPh sb="5" eb="9">
      <t>ショリジカン</t>
    </rPh>
    <rPh sb="48" eb="51">
      <t>ジッソクチ</t>
    </rPh>
    <rPh sb="56" eb="57">
      <t>オサ</t>
    </rPh>
    <rPh sb="65" eb="66">
      <t>フン</t>
    </rPh>
    <phoneticPr fontId="11"/>
  </si>
  <si>
    <r>
      <t xml:space="preserve">閉店処理の処理時間が「性能テスト(ignicaPOS連携プログラム適用前)」シートのNo.39の実測値×1.2に収まること
</t>
    </r>
    <r>
      <rPr>
        <sz val="8"/>
        <color rgb="FFFF0000"/>
        <rFont val="Meiryo UI"/>
        <family val="3"/>
        <charset val="128"/>
      </rPr>
      <t>⇒42分</t>
    </r>
    <rPh sb="0" eb="2">
      <t>ヘイテン</t>
    </rPh>
    <rPh sb="2" eb="4">
      <t>ショリ</t>
    </rPh>
    <rPh sb="5" eb="9">
      <t>ショリジカン</t>
    </rPh>
    <rPh sb="48" eb="51">
      <t>ジッソクチ</t>
    </rPh>
    <rPh sb="56" eb="57">
      <t>オサ</t>
    </rPh>
    <phoneticPr fontId="11"/>
  </si>
  <si>
    <r>
      <t xml:space="preserve">マスタデータ&gt;閉店処理と同様の確認事項
ファイル名：C:\GSTR\RAFT\log\runlog.log
</t>
    </r>
    <r>
      <rPr>
        <sz val="8"/>
        <color rgb="FFFF0000"/>
        <rFont val="Meiryo UI"/>
        <family val="3"/>
        <charset val="128"/>
      </rPr>
      <t>19:02～19:44</t>
    </r>
    <rPh sb="24" eb="25">
      <t>メイ</t>
    </rPh>
    <phoneticPr fontId="11"/>
  </si>
  <si>
    <t>ignicaPOSでNo.26の商品をスキャンする</t>
    <rPh sb="16" eb="18">
      <t>ショウヒン</t>
    </rPh>
    <phoneticPr fontId="11"/>
  </si>
  <si>
    <r>
      <t xml:space="preserve">・[店番3桁]_IG_MNTMST_yyyymmddhhmmss.zip
　商品マスタ
　企画マスタ
　特売マスタ
　組合せマスタ
　商品階層自動値引きマスタ
・[店番3桁]_IG_MNTMST_yyyymmddhhmmss.zip.END
</t>
    </r>
    <r>
      <rPr>
        <sz val="8"/>
        <rFont val="Meiryo UI"/>
        <family val="3"/>
        <charset val="128"/>
      </rPr>
      <t xml:space="preserve">差分マスタ連携データは、全件一括マスタ連携時と同レコード数で作成する
</t>
    </r>
    <r>
      <rPr>
        <sz val="8"/>
        <color rgb="FFFF0000"/>
        <rFont val="Meiryo UI"/>
        <family val="3"/>
        <charset val="128"/>
      </rPr>
      <t>1分に1件、9:00~22:00営業と仮定する
→3.9G</t>
    </r>
    <rPh sb="122" eb="124">
      <t>サブン</t>
    </rPh>
    <rPh sb="127" eb="129">
      <t>レンケイ</t>
    </rPh>
    <rPh sb="134" eb="138">
      <t>ゼンケンイッカツ</t>
    </rPh>
    <rPh sb="141" eb="144">
      <t>レンケイジ</t>
    </rPh>
    <rPh sb="158" eb="159">
      <t>フン</t>
    </rPh>
    <rPh sb="161" eb="162">
      <t>ケン</t>
    </rPh>
    <rPh sb="173" eb="175">
      <t>エイギョウ</t>
    </rPh>
    <rPh sb="176" eb="178">
      <t>カテイ</t>
    </rPh>
    <phoneticPr fontId="11"/>
  </si>
  <si>
    <r>
      <t xml:space="preserve">・IG_MNTMST_ZIP_SFTP.log
・IG_MNTMST_END_SFTP.log
</t>
    </r>
    <r>
      <rPr>
        <sz val="8"/>
        <color rgb="FFFF0000"/>
        <rFont val="Meiryo UI"/>
        <family val="3"/>
        <charset val="128"/>
      </rPr>
      <t>→→5号店の実績：107KB</t>
    </r>
    <phoneticPr fontId="11"/>
  </si>
  <si>
    <r>
      <t xml:space="preserve">・IG_MNTHIST_PLUM.DAT
・IG_MNTHIST_EVENTM.DAT
・IG_MNTHIST_DISCOUNTM.DAT
・IG_MNTHIST_BUNDLEM.DAT
・IG_MNTHIST_AUTODISC.DAT
</t>
    </r>
    <r>
      <rPr>
        <sz val="8"/>
        <color rgb="FFFF0000"/>
        <rFont val="Meiryo UI"/>
        <family val="3"/>
        <charset val="128"/>
      </rPr>
      <t>→5号店の実績：805KB</t>
    </r>
    <r>
      <rPr>
        <sz val="8"/>
        <color theme="1"/>
        <rFont val="Meiryo UI"/>
        <family val="3"/>
        <charset val="128"/>
      </rPr>
      <t xml:space="preserve">
</t>
    </r>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</si>
</sst>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
    <numFmt numFmtId="177" formatCode="#,##0;\-#,##0;&quot;-&quot;"/>
    <numFmt numFmtId="178" formatCode="_(* #,##0.00_);_(* \(#,##0.00\);_(* &quot;-&quot;_);_(@_)"/>
  </numFmts>
  <fonts count="30" x14ac:knownFonts="1">
    <font>
      <sz val="9"/>
      <name val="ＭＳ ゴシック"/>
      <family val="3"/>
      <charset val="128"/>
    </font>
    <font>
      <sz val="9"/>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sz val="6"/>
      <name val="ＭＳ ゴシック"/>
      <family val="3"/>
      <charset val="128"/>
    </font>
    <font>
      <sz val="11"/>
      <color theme="1"/>
      <name val="ＭＳ Ｐゴシック"/>
      <family val="3"/>
      <charset val="128"/>
      <scheme val="minor"/>
    </font>
    <font>
      <b/>
      <sz val="8"/>
      <name val="Meiryo UI"/>
      <family val="3"/>
      <charset val="128"/>
    </font>
    <font>
      <sz val="7"/>
      <name val="Meiryo UI"/>
      <family val="3"/>
      <charset val="128"/>
    </font>
    <font>
      <b/>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9"/>
      <name val="Meiryo UI"/>
      <family val="3"/>
      <charset val="128"/>
    </font>
    <font>
      <b/>
      <sz val="8"/>
      <color theme="1"/>
      <name val="Meiryo UI"/>
      <family val="3"/>
      <charset val="128"/>
    </font>
    <font>
      <sz val="7"/>
      <color rgb="FFFF0000"/>
      <name val="Meiryo UI"/>
      <family val="3"/>
      <charset val="128"/>
    </font>
    <font>
      <b/>
      <sz val="7"/>
      <color rgb="FFFF0000"/>
      <name val="Meiryo UI"/>
      <family val="3"/>
      <charset val="128"/>
    </font>
  </fonts>
  <fills count="9">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rgb="FFFFFF00"/>
        <bgColor indexed="64"/>
      </patternFill>
    </fill>
    <fill>
      <patternFill patternType="solid">
        <fgColor theme="0" tint="-0.249977111117893"/>
        <bgColor indexed="64"/>
      </patternFill>
    </fill>
    <fill>
      <patternFill patternType="solid">
        <fgColor rgb="FFBFBFBF"/>
        <bgColor indexed="64"/>
      </patternFill>
    </fill>
    <fill>
      <patternFill patternType="solid">
        <fgColor rgb="FFCCFFCC"/>
        <bgColor indexed="64"/>
      </patternFill>
    </fill>
  </fills>
  <borders count="7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hair">
        <color indexed="64"/>
      </left>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bottom/>
      <diagonal/>
    </border>
    <border>
      <left style="thin">
        <color indexed="64"/>
      </left>
      <right/>
      <top style="hair">
        <color indexed="64"/>
      </top>
      <bottom style="thin">
        <color indexed="64"/>
      </bottom>
      <diagonal/>
    </border>
    <border>
      <left/>
      <right style="hair">
        <color indexed="64"/>
      </right>
      <top style="thin">
        <color indexed="64"/>
      </top>
      <bottom style="hair">
        <color indexed="64"/>
      </bottom>
      <diagonal/>
    </border>
    <border>
      <left/>
      <right style="hair">
        <color indexed="64"/>
      </right>
      <top style="hair">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thin">
        <color indexed="64"/>
      </left>
      <right style="hair">
        <color indexed="64"/>
      </right>
      <top/>
      <bottom style="hair">
        <color indexed="64"/>
      </bottom>
      <diagonal/>
    </border>
    <border>
      <left/>
      <right style="hair">
        <color indexed="64"/>
      </right>
      <top/>
      <bottom style="hair">
        <color indexed="64"/>
      </bottom>
      <diagonal/>
    </border>
    <border>
      <left style="hair">
        <color indexed="64"/>
      </left>
      <right style="thin">
        <color indexed="64"/>
      </right>
      <top/>
      <bottom style="hair">
        <color indexed="64"/>
      </bottom>
      <diagonal/>
    </border>
    <border>
      <left/>
      <right style="thin">
        <color indexed="64"/>
      </right>
      <top/>
      <bottom style="thin">
        <color indexed="64"/>
      </bottom>
      <diagonal/>
    </border>
    <border>
      <left/>
      <right style="hair">
        <color indexed="64"/>
      </right>
      <top style="hair">
        <color indexed="64"/>
      </top>
      <bottom/>
      <diagonal/>
    </border>
    <border>
      <left/>
      <right style="hair">
        <color indexed="64"/>
      </right>
      <top/>
      <bottom style="thin">
        <color indexed="64"/>
      </bottom>
      <diagonal/>
    </border>
  </borders>
  <cellStyleXfs count="15">
    <xf numFmtId="0" fontId="0" fillId="0" borderId="0"/>
    <xf numFmtId="177" fontId="6" fillId="0" borderId="0" applyFill="0" applyBorder="0" applyAlignment="0"/>
    <xf numFmtId="38" fontId="7" fillId="2" borderId="0" applyNumberFormat="0" applyBorder="0" applyAlignment="0" applyProtection="0"/>
    <xf numFmtId="0" fontId="3" fillId="0" borderId="1" applyNumberFormat="0" applyAlignment="0" applyProtection="0">
      <alignment horizontal="left" vertical="center"/>
    </xf>
    <xf numFmtId="0" fontId="3" fillId="0" borderId="2">
      <alignment horizontal="left" vertical="center"/>
    </xf>
    <xf numFmtId="10" fontId="7" fillId="3" borderId="3" applyNumberFormat="0" applyBorder="0" applyAlignment="0" applyProtection="0"/>
    <xf numFmtId="178" fontId="8" fillId="0" borderId="0"/>
    <xf numFmtId="0" fontId="9" fillId="0" borderId="0"/>
    <xf numFmtId="10" fontId="9" fillId="0" borderId="0" applyFont="0" applyFill="0" applyBorder="0" applyAlignment="0" applyProtection="0"/>
    <xf numFmtId="0" fontId="10" fillId="0" borderId="0">
      <alignment vertical="center"/>
    </xf>
    <xf numFmtId="0" fontId="12" fillId="0" borderId="0">
      <alignment vertical="center"/>
    </xf>
    <xf numFmtId="0" fontId="4" fillId="0" borderId="0"/>
    <xf numFmtId="0" fontId="1" fillId="0" borderId="0"/>
    <xf numFmtId="0" fontId="4" fillId="0" borderId="0"/>
    <xf numFmtId="0" fontId="1" fillId="0" borderId="0"/>
  </cellStyleXfs>
  <cellXfs count="246">
    <xf numFmtId="0" fontId="0" fillId="0" borderId="0" xfId="0"/>
    <xf numFmtId="0" fontId="15" fillId="0" borderId="0" xfId="14" applyFont="1" applyAlignment="1">
      <alignment horizontal="center" vertical="top" wrapText="1"/>
    </xf>
    <xf numFmtId="0" fontId="14" fillId="0" borderId="0" xfId="14" applyFont="1" applyAlignment="1">
      <alignment vertical="top" wrapText="1"/>
    </xf>
    <xf numFmtId="0" fontId="14" fillId="0" borderId="0" xfId="12" applyFont="1" applyAlignment="1">
      <alignment vertical="top" wrapText="1"/>
    </xf>
    <xf numFmtId="0" fontId="14" fillId="0" borderId="0" xfId="14" applyFont="1" applyAlignment="1">
      <alignment horizontal="center" vertical="top" wrapText="1"/>
    </xf>
    <xf numFmtId="0" fontId="16" fillId="0" borderId="0" xfId="11" applyFont="1"/>
    <xf numFmtId="0" fontId="17" fillId="0" borderId="8" xfId="11" applyFont="1" applyBorder="1" applyAlignment="1">
      <alignment horizontal="left"/>
    </xf>
    <xf numFmtId="0" fontId="17" fillId="0" borderId="9" xfId="11" applyFont="1" applyBorder="1" applyAlignment="1">
      <alignment horizontal="left"/>
    </xf>
    <xf numFmtId="0" fontId="16" fillId="0" borderId="11" xfId="11" applyFont="1" applyBorder="1"/>
    <xf numFmtId="0" fontId="16" fillId="0" borderId="10" xfId="11" applyFont="1" applyBorder="1"/>
    <xf numFmtId="0" fontId="17" fillId="0" borderId="0" xfId="13" applyFont="1"/>
    <xf numFmtId="0" fontId="17" fillId="0" borderId="0" xfId="11" applyFont="1" applyAlignment="1">
      <alignment horizontal="center"/>
    </xf>
    <xf numFmtId="0" fontId="20" fillId="0" borderId="7" xfId="11" applyFont="1" applyBorder="1" applyAlignment="1">
      <alignment horizontal="left"/>
    </xf>
    <xf numFmtId="49" fontId="19" fillId="0" borderId="40" xfId="11" applyNumberFormat="1" applyFont="1" applyBorder="1"/>
    <xf numFmtId="0" fontId="19" fillId="0" borderId="41" xfId="11" applyFont="1" applyBorder="1"/>
    <xf numFmtId="0" fontId="19" fillId="0" borderId="42" xfId="11" applyFont="1" applyBorder="1"/>
    <xf numFmtId="0" fontId="18" fillId="0" borderId="11" xfId="11" applyFont="1" applyBorder="1" applyAlignment="1">
      <alignment horizontal="center" vertical="center"/>
    </xf>
    <xf numFmtId="0" fontId="18" fillId="0" borderId="0" xfId="11" applyFont="1" applyAlignment="1">
      <alignment horizontal="center" vertical="center"/>
    </xf>
    <xf numFmtId="0" fontId="18" fillId="0" borderId="10" xfId="11" applyFont="1" applyBorder="1" applyAlignment="1">
      <alignment horizontal="center" vertical="center"/>
    </xf>
    <xf numFmtId="0" fontId="21" fillId="0" borderId="15" xfId="14" applyFont="1" applyBorder="1" applyAlignment="1">
      <alignment vertical="top" wrapText="1"/>
    </xf>
    <xf numFmtId="0" fontId="21" fillId="0" borderId="31" xfId="0" applyFont="1" applyBorder="1" applyAlignment="1">
      <alignment vertical="center" wrapText="1"/>
    </xf>
    <xf numFmtId="0" fontId="21" fillId="0" borderId="38" xfId="14" applyFont="1" applyBorder="1" applyAlignment="1">
      <alignment horizontal="center" vertical="center" wrapText="1"/>
    </xf>
    <xf numFmtId="0" fontId="21" fillId="0" borderId="16" xfId="14" applyFont="1" applyBorder="1" applyAlignment="1">
      <alignment horizontal="center" vertical="center" wrapText="1"/>
    </xf>
    <xf numFmtId="0" fontId="21" fillId="0" borderId="17" xfId="14" applyFont="1" applyBorder="1" applyAlignment="1">
      <alignment horizontal="center" vertical="center" wrapText="1"/>
    </xf>
    <xf numFmtId="0" fontId="21" fillId="0" borderId="39" xfId="14" applyFont="1" applyBorder="1" applyAlignment="1">
      <alignment horizontal="center" vertical="center" wrapText="1"/>
    </xf>
    <xf numFmtId="176" fontId="21" fillId="0" borderId="38" xfId="14" applyNumberFormat="1" applyFont="1" applyBorder="1" applyAlignment="1">
      <alignment horizontal="center" vertical="center" wrapText="1"/>
    </xf>
    <xf numFmtId="176" fontId="21" fillId="0" borderId="16" xfId="14" applyNumberFormat="1" applyFont="1" applyBorder="1" applyAlignment="1">
      <alignment horizontal="center" vertical="center" wrapText="1"/>
    </xf>
    <xf numFmtId="176" fontId="21" fillId="0" borderId="39" xfId="14" applyNumberFormat="1" applyFont="1" applyBorder="1" applyAlignment="1">
      <alignment horizontal="center" vertical="center" wrapText="1"/>
    </xf>
    <xf numFmtId="0" fontId="21" fillId="0" borderId="46" xfId="14" applyFont="1" applyBorder="1" applyAlignment="1">
      <alignment horizontal="center" vertical="center" wrapText="1"/>
    </xf>
    <xf numFmtId="0" fontId="21" fillId="0" borderId="46" xfId="14" applyFont="1" applyBorder="1" applyAlignment="1">
      <alignment horizontal="left" vertical="center" wrapText="1"/>
    </xf>
    <xf numFmtId="0" fontId="21" fillId="0" borderId="32" xfId="0" applyFont="1" applyBorder="1" applyAlignment="1">
      <alignment vertical="center" wrapText="1"/>
    </xf>
    <xf numFmtId="0" fontId="21" fillId="0" borderId="16" xfId="0" applyFont="1" applyBorder="1" applyAlignment="1">
      <alignment vertical="center" wrapText="1"/>
    </xf>
    <xf numFmtId="0" fontId="13" fillId="4" borderId="28" xfId="12" applyFont="1" applyFill="1" applyBorder="1" applyAlignment="1">
      <alignment vertical="top"/>
    </xf>
    <xf numFmtId="0" fontId="13" fillId="4" borderId="12" xfId="12" applyFont="1" applyFill="1" applyBorder="1" applyAlignment="1">
      <alignment vertical="top"/>
    </xf>
    <xf numFmtId="0" fontId="13" fillId="4" borderId="12" xfId="12" applyFont="1" applyFill="1" applyBorder="1"/>
    <xf numFmtId="0" fontId="13" fillId="4" borderId="25" xfId="12" applyFont="1" applyFill="1" applyBorder="1" applyAlignment="1">
      <alignment horizontal="right" vertical="top" wrapText="1"/>
    </xf>
    <xf numFmtId="0" fontId="13" fillId="4" borderId="27" xfId="12" applyFont="1" applyFill="1" applyBorder="1" applyAlignment="1">
      <alignment horizontal="right" wrapText="1"/>
    </xf>
    <xf numFmtId="0" fontId="13" fillId="4" borderId="24" xfId="12" applyFont="1" applyFill="1" applyBorder="1" applyAlignment="1">
      <alignment horizontal="right" wrapText="1"/>
    </xf>
    <xf numFmtId="0" fontId="13" fillId="4" borderId="26" xfId="12" applyFont="1" applyFill="1" applyBorder="1" applyAlignment="1">
      <alignment horizontal="right" wrapText="1"/>
    </xf>
    <xf numFmtId="0" fontId="13" fillId="4" borderId="28" xfId="12" applyFont="1" applyFill="1" applyBorder="1" applyAlignment="1">
      <alignment horizontal="right" vertical="center"/>
    </xf>
    <xf numFmtId="0" fontId="13" fillId="4" borderId="12" xfId="12" applyFont="1" applyFill="1" applyBorder="1" applyAlignment="1">
      <alignment horizontal="left" wrapText="1"/>
    </xf>
    <xf numFmtId="0" fontId="13" fillId="4" borderId="29" xfId="12" applyFont="1" applyFill="1" applyBorder="1" applyAlignment="1">
      <alignment horizontal="left" vertical="center"/>
    </xf>
    <xf numFmtId="0" fontId="13" fillId="4" borderId="0" xfId="12" applyFont="1" applyFill="1" applyAlignment="1">
      <alignment vertical="top"/>
    </xf>
    <xf numFmtId="0" fontId="13" fillId="4" borderId="0" xfId="12" applyFont="1" applyFill="1" applyAlignment="1">
      <alignment horizontal="left"/>
    </xf>
    <xf numFmtId="0" fontId="13" fillId="4" borderId="14" xfId="12" applyFont="1" applyFill="1" applyBorder="1" applyAlignment="1">
      <alignment horizontal="right" vertical="top" wrapText="1"/>
    </xf>
    <xf numFmtId="0" fontId="13" fillId="4" borderId="15" xfId="12" applyFont="1" applyFill="1" applyBorder="1" applyAlignment="1">
      <alignment horizontal="right" wrapText="1"/>
    </xf>
    <xf numFmtId="0" fontId="13" fillId="4" borderId="16" xfId="12" applyFont="1" applyFill="1" applyBorder="1" applyAlignment="1">
      <alignment horizontal="right" wrapText="1"/>
    </xf>
    <xf numFmtId="0" fontId="13" fillId="4" borderId="17" xfId="12" applyFont="1" applyFill="1" applyBorder="1" applyAlignment="1">
      <alignment horizontal="right" wrapText="1"/>
    </xf>
    <xf numFmtId="0" fontId="13" fillId="4" borderId="39" xfId="12" applyFont="1" applyFill="1" applyBorder="1" applyAlignment="1">
      <alignment horizontal="right" wrapText="1"/>
    </xf>
    <xf numFmtId="0" fontId="13" fillId="4" borderId="14" xfId="12" applyFont="1" applyFill="1" applyBorder="1" applyAlignment="1">
      <alignment horizontal="right" vertical="center"/>
    </xf>
    <xf numFmtId="0" fontId="13" fillId="4" borderId="0" xfId="12" applyFont="1" applyFill="1" applyAlignment="1">
      <alignment horizontal="left" wrapText="1"/>
    </xf>
    <xf numFmtId="0" fontId="22" fillId="4" borderId="34" xfId="12" applyFont="1" applyFill="1" applyBorder="1" applyAlignment="1">
      <alignment vertical="top"/>
    </xf>
    <xf numFmtId="0" fontId="13" fillId="4" borderId="18" xfId="12" applyFont="1" applyFill="1" applyBorder="1" applyAlignment="1">
      <alignment vertical="top"/>
    </xf>
    <xf numFmtId="0" fontId="13" fillId="4" borderId="18" xfId="12" applyFont="1" applyFill="1" applyBorder="1" applyAlignment="1">
      <alignment horizontal="left"/>
    </xf>
    <xf numFmtId="0" fontId="13" fillId="4" borderId="19" xfId="12" applyFont="1" applyFill="1" applyBorder="1" applyAlignment="1">
      <alignment horizontal="right" vertical="top" wrapText="1"/>
    </xf>
    <xf numFmtId="0" fontId="13" fillId="4" borderId="14" xfId="12" applyFont="1" applyFill="1" applyBorder="1" applyAlignment="1">
      <alignment horizontal="right" vertical="top"/>
    </xf>
    <xf numFmtId="0" fontId="22" fillId="4" borderId="4" xfId="12" applyFont="1" applyFill="1" applyBorder="1" applyAlignment="1">
      <alignment horizontal="left" vertical="center"/>
    </xf>
    <xf numFmtId="0" fontId="13" fillId="4" borderId="35" xfId="12" applyFont="1" applyFill="1" applyBorder="1" applyAlignment="1">
      <alignment vertical="top"/>
    </xf>
    <xf numFmtId="0" fontId="13" fillId="4" borderId="35" xfId="12" applyFont="1" applyFill="1" applyBorder="1" applyAlignment="1">
      <alignment horizontal="left"/>
    </xf>
    <xf numFmtId="0" fontId="13" fillId="4" borderId="4" xfId="12" applyFont="1" applyFill="1" applyBorder="1" applyAlignment="1">
      <alignment horizontal="right" vertical="top" wrapText="1"/>
    </xf>
    <xf numFmtId="0" fontId="13" fillId="4" borderId="20" xfId="12" applyFont="1" applyFill="1" applyBorder="1" applyAlignment="1">
      <alignment horizontal="right" wrapText="1"/>
    </xf>
    <xf numFmtId="0" fontId="13" fillId="4" borderId="21" xfId="12" applyFont="1" applyFill="1" applyBorder="1" applyAlignment="1">
      <alignment horizontal="right" wrapText="1"/>
    </xf>
    <xf numFmtId="0" fontId="13" fillId="4" borderId="22" xfId="12" applyFont="1" applyFill="1" applyBorder="1" applyAlignment="1">
      <alignment horizontal="right" wrapText="1"/>
    </xf>
    <xf numFmtId="0" fontId="13" fillId="4" borderId="52" xfId="12" applyFont="1" applyFill="1" applyBorder="1" applyAlignment="1">
      <alignment horizontal="right" wrapText="1"/>
    </xf>
    <xf numFmtId="0" fontId="13" fillId="4" borderId="4" xfId="12" applyFont="1" applyFill="1" applyBorder="1" applyAlignment="1">
      <alignment horizontal="right" vertical="top"/>
    </xf>
    <xf numFmtId="0" fontId="13" fillId="4" borderId="35" xfId="12" applyFont="1" applyFill="1" applyBorder="1" applyAlignment="1">
      <alignment horizontal="left" wrapText="1"/>
    </xf>
    <xf numFmtId="0" fontId="24" fillId="4" borderId="35" xfId="14" applyFont="1" applyFill="1" applyBorder="1" applyAlignment="1">
      <alignment horizontal="center" vertical="center" wrapText="1"/>
    </xf>
    <xf numFmtId="0" fontId="24" fillId="4" borderId="6" xfId="14" applyFont="1" applyFill="1" applyBorder="1" applyAlignment="1">
      <alignment horizontal="center" vertical="center" wrapText="1"/>
    </xf>
    <xf numFmtId="0" fontId="24" fillId="4" borderId="5" xfId="14" applyFont="1" applyFill="1" applyBorder="1" applyAlignment="1">
      <alignment horizontal="center" vertical="center" wrapText="1"/>
    </xf>
    <xf numFmtId="0" fontId="24" fillId="4" borderId="4" xfId="14" applyFont="1" applyFill="1" applyBorder="1" applyAlignment="1">
      <alignment horizontal="center" vertical="center" wrapText="1"/>
    </xf>
    <xf numFmtId="0" fontId="21" fillId="5" borderId="56" xfId="0" applyFont="1" applyFill="1" applyBorder="1" applyAlignment="1">
      <alignment vertical="center" wrapText="1"/>
    </xf>
    <xf numFmtId="0" fontId="21" fillId="5" borderId="46" xfId="0" applyFont="1" applyFill="1" applyBorder="1" applyAlignment="1">
      <alignment vertical="center" wrapText="1"/>
    </xf>
    <xf numFmtId="0" fontId="21" fillId="5" borderId="53" xfId="0" applyFont="1" applyFill="1" applyBorder="1" applyAlignment="1">
      <alignment vertical="center" wrapText="1"/>
    </xf>
    <xf numFmtId="0" fontId="25" fillId="0" borderId="46" xfId="14" applyFont="1" applyBorder="1" applyAlignment="1">
      <alignment horizontal="left" vertical="center" wrapText="1"/>
    </xf>
    <xf numFmtId="0" fontId="25" fillId="0" borderId="32" xfId="0" applyFont="1" applyBorder="1" applyAlignment="1">
      <alignment vertical="center" wrapText="1"/>
    </xf>
    <xf numFmtId="0" fontId="21" fillId="0" borderId="57" xfId="14" applyFont="1" applyBorder="1" applyAlignment="1">
      <alignment horizontal="center" vertical="center" wrapText="1"/>
    </xf>
    <xf numFmtId="0" fontId="24" fillId="0" borderId="0" xfId="14" applyFont="1" applyAlignment="1">
      <alignment vertical="top" wrapText="1"/>
    </xf>
    <xf numFmtId="0" fontId="21" fillId="6" borderId="38" xfId="14" applyFont="1" applyFill="1" applyBorder="1" applyAlignment="1">
      <alignment horizontal="center" vertical="center" wrapText="1"/>
    </xf>
    <xf numFmtId="0" fontId="21" fillId="6" borderId="16" xfId="14" applyFont="1" applyFill="1" applyBorder="1" applyAlignment="1">
      <alignment horizontal="center" vertical="center" wrapText="1"/>
    </xf>
    <xf numFmtId="0" fontId="21" fillId="6" borderId="17" xfId="14" applyFont="1" applyFill="1" applyBorder="1" applyAlignment="1">
      <alignment horizontal="center" vertical="center" wrapText="1"/>
    </xf>
    <xf numFmtId="0" fontId="21" fillId="6" borderId="39" xfId="14" applyFont="1" applyFill="1" applyBorder="1" applyAlignment="1">
      <alignment horizontal="center" vertical="center" wrapText="1"/>
    </xf>
    <xf numFmtId="176" fontId="21" fillId="6" borderId="38" xfId="14" applyNumberFormat="1" applyFont="1" applyFill="1" applyBorder="1" applyAlignment="1">
      <alignment horizontal="center" vertical="center" wrapText="1"/>
    </xf>
    <xf numFmtId="176" fontId="21" fillId="6" borderId="16" xfId="14" applyNumberFormat="1" applyFont="1" applyFill="1" applyBorder="1" applyAlignment="1">
      <alignment horizontal="center" vertical="center" wrapText="1"/>
    </xf>
    <xf numFmtId="176" fontId="21" fillId="6" borderId="39" xfId="14" applyNumberFormat="1" applyFont="1" applyFill="1" applyBorder="1" applyAlignment="1">
      <alignment horizontal="center" vertical="center" wrapText="1"/>
    </xf>
    <xf numFmtId="0" fontId="21" fillId="6" borderId="46" xfId="14" applyFont="1" applyFill="1" applyBorder="1" applyAlignment="1">
      <alignment horizontal="center" vertical="center" wrapText="1"/>
    </xf>
    <xf numFmtId="0" fontId="21" fillId="7" borderId="38" xfId="14" applyFont="1" applyFill="1" applyBorder="1" applyAlignment="1">
      <alignment horizontal="center" vertical="center" wrapText="1"/>
    </xf>
    <xf numFmtId="0" fontId="21" fillId="7" borderId="16" xfId="14" applyFont="1" applyFill="1" applyBorder="1" applyAlignment="1">
      <alignment horizontal="center" vertical="center" wrapText="1"/>
    </xf>
    <xf numFmtId="0" fontId="21" fillId="7" borderId="17" xfId="14" applyFont="1" applyFill="1" applyBorder="1" applyAlignment="1">
      <alignment horizontal="center" vertical="center" wrapText="1"/>
    </xf>
    <xf numFmtId="0" fontId="21" fillId="7" borderId="57" xfId="14" applyFont="1" applyFill="1" applyBorder="1" applyAlignment="1">
      <alignment horizontal="center" vertical="center" wrapText="1"/>
    </xf>
    <xf numFmtId="0" fontId="21" fillId="7" borderId="39" xfId="14" applyFont="1" applyFill="1" applyBorder="1" applyAlignment="1">
      <alignment horizontal="center" vertical="center" wrapText="1"/>
    </xf>
    <xf numFmtId="176" fontId="21" fillId="7" borderId="38" xfId="14" applyNumberFormat="1" applyFont="1" applyFill="1" applyBorder="1" applyAlignment="1">
      <alignment horizontal="center" vertical="center" wrapText="1"/>
    </xf>
    <xf numFmtId="176" fontId="21" fillId="7" borderId="16" xfId="14" applyNumberFormat="1" applyFont="1" applyFill="1" applyBorder="1" applyAlignment="1">
      <alignment horizontal="center" vertical="center" wrapText="1"/>
    </xf>
    <xf numFmtId="176" fontId="21" fillId="7" borderId="39" xfId="14" applyNumberFormat="1" applyFont="1" applyFill="1" applyBorder="1" applyAlignment="1">
      <alignment horizontal="center" vertical="center" wrapText="1"/>
    </xf>
    <xf numFmtId="0" fontId="21" fillId="7" borderId="46" xfId="14" applyFont="1" applyFill="1" applyBorder="1" applyAlignment="1">
      <alignment horizontal="center" vertical="center" wrapText="1"/>
    </xf>
    <xf numFmtId="0" fontId="24" fillId="0" borderId="46" xfId="14" applyFont="1" applyBorder="1" applyAlignment="1">
      <alignment horizontal="left" vertical="center" wrapText="1"/>
    </xf>
    <xf numFmtId="0" fontId="24" fillId="0" borderId="32" xfId="0" applyFont="1" applyBorder="1" applyAlignment="1">
      <alignment vertical="center" wrapText="1"/>
    </xf>
    <xf numFmtId="0" fontId="24" fillId="5" borderId="56" xfId="0" applyFont="1" applyFill="1" applyBorder="1" applyAlignment="1">
      <alignment vertical="center" wrapText="1"/>
    </xf>
    <xf numFmtId="0" fontId="24" fillId="4" borderId="58" xfId="14" applyFont="1" applyFill="1" applyBorder="1" applyAlignment="1">
      <alignment horizontal="center" vertical="center" wrapText="1"/>
    </xf>
    <xf numFmtId="0" fontId="13" fillId="4" borderId="59" xfId="12" applyFont="1" applyFill="1" applyBorder="1" applyAlignment="1">
      <alignment horizontal="right" wrapText="1"/>
    </xf>
    <xf numFmtId="0" fontId="14" fillId="0" borderId="16" xfId="14" applyFont="1" applyBorder="1" applyAlignment="1">
      <alignment horizontal="center" vertical="top" wrapText="1"/>
    </xf>
    <xf numFmtId="0" fontId="14" fillId="6" borderId="16" xfId="14" applyFont="1" applyFill="1" applyBorder="1" applyAlignment="1">
      <alignment horizontal="center" vertical="top" wrapText="1"/>
    </xf>
    <xf numFmtId="0" fontId="25" fillId="0" borderId="31" xfId="0" applyFont="1" applyBorder="1" applyAlignment="1">
      <alignment vertical="center" wrapText="1"/>
    </xf>
    <xf numFmtId="0" fontId="21" fillId="0" borderId="31" xfId="0" applyFont="1" applyFill="1" applyBorder="1" applyAlignment="1">
      <alignment vertical="center" wrapText="1"/>
    </xf>
    <xf numFmtId="0" fontId="24" fillId="0" borderId="32" xfId="0" applyFont="1" applyFill="1" applyBorder="1" applyAlignment="1">
      <alignment vertical="center" wrapText="1"/>
    </xf>
    <xf numFmtId="0" fontId="21" fillId="0" borderId="60" xfId="14" applyFont="1" applyBorder="1" applyAlignment="1">
      <alignment horizontal="center" vertical="center" wrapText="1"/>
    </xf>
    <xf numFmtId="0" fontId="21" fillId="0" borderId="21" xfId="14" applyFont="1" applyBorder="1" applyAlignment="1">
      <alignment horizontal="center" vertical="center" wrapText="1"/>
    </xf>
    <xf numFmtId="0" fontId="13" fillId="4" borderId="47" xfId="12" applyFont="1" applyFill="1" applyBorder="1" applyAlignment="1">
      <alignment horizontal="right" vertical="top" wrapText="1"/>
    </xf>
    <xf numFmtId="0" fontId="21" fillId="5" borderId="29" xfId="0" applyFont="1" applyFill="1" applyBorder="1" applyAlignment="1">
      <alignment vertical="center" wrapText="1"/>
    </xf>
    <xf numFmtId="0" fontId="24" fillId="5" borderId="29" xfId="0" applyFont="1" applyFill="1" applyBorder="1" applyAlignment="1">
      <alignment vertical="center" wrapText="1"/>
    </xf>
    <xf numFmtId="0" fontId="21" fillId="5" borderId="19" xfId="0" applyFont="1" applyFill="1" applyBorder="1" applyAlignment="1">
      <alignment vertical="center" wrapText="1"/>
    </xf>
    <xf numFmtId="0" fontId="21" fillId="5" borderId="62" xfId="0" applyFont="1" applyFill="1" applyBorder="1" applyAlignment="1">
      <alignment vertical="center" wrapText="1"/>
    </xf>
    <xf numFmtId="0" fontId="13" fillId="4" borderId="63" xfId="12" applyFont="1" applyFill="1" applyBorder="1" applyAlignment="1">
      <alignment horizontal="right" wrapText="1"/>
    </xf>
    <xf numFmtId="0" fontId="13" fillId="4" borderId="38" xfId="12" applyFont="1" applyFill="1" applyBorder="1" applyAlignment="1">
      <alignment horizontal="right" wrapText="1"/>
    </xf>
    <xf numFmtId="0" fontId="13" fillId="4" borderId="64" xfId="12" applyFont="1" applyFill="1" applyBorder="1" applyAlignment="1">
      <alignment horizontal="right" wrapText="1"/>
    </xf>
    <xf numFmtId="0" fontId="21" fillId="5" borderId="55" xfId="0" applyFont="1" applyFill="1" applyBorder="1" applyAlignment="1">
      <alignment vertical="center" wrapText="1"/>
    </xf>
    <xf numFmtId="0" fontId="13" fillId="4" borderId="61" xfId="12" applyFont="1" applyFill="1" applyBorder="1" applyAlignment="1">
      <alignment horizontal="right" vertical="top" wrapText="1"/>
    </xf>
    <xf numFmtId="0" fontId="13" fillId="4" borderId="46" xfId="12" applyFont="1" applyFill="1" applyBorder="1" applyAlignment="1">
      <alignment horizontal="right" vertical="top" wrapText="1"/>
    </xf>
    <xf numFmtId="0" fontId="14" fillId="0" borderId="61" xfId="14" applyFont="1" applyBorder="1" applyAlignment="1">
      <alignment vertical="top" wrapText="1"/>
    </xf>
    <xf numFmtId="0" fontId="21" fillId="0" borderId="56" xfId="0" applyFont="1" applyFill="1" applyBorder="1" applyAlignment="1">
      <alignment vertical="center" wrapText="1"/>
    </xf>
    <xf numFmtId="0" fontId="24" fillId="0" borderId="56" xfId="0" applyFont="1" applyFill="1" applyBorder="1" applyAlignment="1">
      <alignment vertical="center" wrapText="1"/>
    </xf>
    <xf numFmtId="0" fontId="25" fillId="0" borderId="56" xfId="0" applyFont="1" applyFill="1" applyBorder="1" applyAlignment="1">
      <alignment vertical="center" wrapText="1"/>
    </xf>
    <xf numFmtId="0" fontId="21" fillId="0" borderId="46" xfId="0" applyFont="1" applyFill="1" applyBorder="1" applyAlignment="1">
      <alignment vertical="center" wrapText="1"/>
    </xf>
    <xf numFmtId="0" fontId="14" fillId="0" borderId="0" xfId="14" applyFont="1" applyBorder="1" applyAlignment="1">
      <alignment vertical="top" wrapText="1"/>
    </xf>
    <xf numFmtId="0" fontId="13" fillId="4" borderId="53" xfId="12" applyFont="1" applyFill="1" applyBorder="1" applyAlignment="1">
      <alignment horizontal="right" vertical="top" wrapText="1"/>
    </xf>
    <xf numFmtId="0" fontId="13" fillId="8" borderId="25" xfId="12" applyFont="1" applyFill="1" applyBorder="1" applyAlignment="1">
      <alignment horizontal="right" vertical="top" wrapText="1"/>
    </xf>
    <xf numFmtId="0" fontId="26" fillId="0" borderId="56" xfId="0" applyFont="1" applyFill="1" applyBorder="1" applyAlignment="1">
      <alignment horizontal="center" vertical="center" wrapText="1"/>
    </xf>
    <xf numFmtId="0" fontId="24" fillId="8" borderId="56" xfId="0" applyFont="1" applyFill="1" applyBorder="1" applyAlignment="1">
      <alignment vertical="center" wrapText="1"/>
    </xf>
    <xf numFmtId="0" fontId="14" fillId="8" borderId="0" xfId="14" applyFont="1" applyFill="1" applyBorder="1" applyAlignment="1">
      <alignment vertical="top" wrapText="1"/>
    </xf>
    <xf numFmtId="0" fontId="24" fillId="8" borderId="53" xfId="0" applyFont="1" applyFill="1" applyBorder="1" applyAlignment="1">
      <alignment vertical="center" wrapText="1"/>
    </xf>
    <xf numFmtId="0" fontId="24" fillId="0" borderId="53" xfId="0" applyFont="1" applyFill="1" applyBorder="1" applyAlignment="1">
      <alignment vertical="center" wrapText="1"/>
    </xf>
    <xf numFmtId="0" fontId="25" fillId="8" borderId="56" xfId="0" applyFont="1" applyFill="1" applyBorder="1" applyAlignment="1">
      <alignment vertical="center" wrapText="1"/>
    </xf>
    <xf numFmtId="0" fontId="24" fillId="0" borderId="0" xfId="0" applyFont="1" applyFill="1" applyBorder="1" applyAlignment="1">
      <alignment vertical="center" wrapText="1"/>
    </xf>
    <xf numFmtId="0" fontId="26" fillId="0" borderId="0" xfId="0" applyFont="1" applyFill="1" applyBorder="1" applyAlignment="1">
      <alignment horizontal="center" vertical="center" wrapText="1"/>
    </xf>
    <xf numFmtId="0" fontId="25" fillId="8" borderId="0" xfId="0" applyFont="1" applyFill="1" applyBorder="1" applyAlignment="1">
      <alignment vertical="center" wrapText="1"/>
    </xf>
    <xf numFmtId="0" fontId="14" fillId="0" borderId="53" xfId="14" applyFont="1" applyBorder="1" applyAlignment="1">
      <alignment vertical="top" wrapText="1"/>
    </xf>
    <xf numFmtId="0" fontId="14" fillId="0" borderId="21" xfId="14" applyFont="1" applyBorder="1" applyAlignment="1">
      <alignment horizontal="center" vertical="top" wrapText="1"/>
    </xf>
    <xf numFmtId="0" fontId="24" fillId="4" borderId="0" xfId="14" applyFont="1" applyFill="1" applyBorder="1" applyAlignment="1">
      <alignment horizontal="center" vertical="center" wrapText="1"/>
    </xf>
    <xf numFmtId="0" fontId="24" fillId="4" borderId="66" xfId="14" applyFont="1" applyFill="1" applyBorder="1" applyAlignment="1">
      <alignment horizontal="center" vertical="center" wrapText="1"/>
    </xf>
    <xf numFmtId="0" fontId="15" fillId="0" borderId="0" xfId="14" applyFont="1" applyFill="1" applyAlignment="1">
      <alignment horizontal="center" vertical="top" wrapText="1"/>
    </xf>
    <xf numFmtId="0" fontId="24" fillId="4" borderId="14" xfId="14" applyFont="1" applyFill="1" applyBorder="1" applyAlignment="1">
      <alignment horizontal="center" vertical="center" wrapText="1"/>
    </xf>
    <xf numFmtId="0" fontId="21" fillId="0" borderId="67" xfId="14" applyFont="1" applyBorder="1" applyAlignment="1">
      <alignment vertical="top" wrapText="1"/>
    </xf>
    <xf numFmtId="0" fontId="21" fillId="0" borderId="66" xfId="0" applyFont="1" applyBorder="1" applyAlignment="1">
      <alignment vertical="center" wrapText="1"/>
    </xf>
    <xf numFmtId="0" fontId="24" fillId="0" borderId="58" xfId="0" applyFont="1" applyBorder="1" applyAlignment="1">
      <alignment vertical="center" wrapText="1"/>
    </xf>
    <xf numFmtId="0" fontId="21" fillId="6" borderId="68" xfId="14" applyFont="1" applyFill="1" applyBorder="1" applyAlignment="1">
      <alignment horizontal="center" vertical="center" wrapText="1"/>
    </xf>
    <xf numFmtId="0" fontId="21" fillId="6" borderId="60" xfId="14" applyFont="1" applyFill="1" applyBorder="1" applyAlignment="1">
      <alignment horizontal="center" vertical="center" wrapText="1"/>
    </xf>
    <xf numFmtId="0" fontId="21" fillId="6" borderId="69" xfId="14" applyFont="1" applyFill="1" applyBorder="1" applyAlignment="1">
      <alignment horizontal="center" vertical="center" wrapText="1"/>
    </xf>
    <xf numFmtId="0" fontId="21" fillId="6" borderId="59" xfId="14" applyFont="1" applyFill="1" applyBorder="1" applyAlignment="1">
      <alignment horizontal="center" vertical="center" wrapText="1"/>
    </xf>
    <xf numFmtId="0" fontId="14" fillId="6" borderId="60" xfId="14" applyFont="1" applyFill="1" applyBorder="1" applyAlignment="1">
      <alignment horizontal="center" vertical="top" wrapText="1"/>
    </xf>
    <xf numFmtId="176" fontId="21" fillId="6" borderId="68" xfId="14" applyNumberFormat="1" applyFont="1" applyFill="1" applyBorder="1" applyAlignment="1">
      <alignment horizontal="center" vertical="center" wrapText="1"/>
    </xf>
    <xf numFmtId="176" fontId="21" fillId="6" borderId="60" xfId="14" applyNumberFormat="1" applyFont="1" applyFill="1" applyBorder="1" applyAlignment="1">
      <alignment horizontal="center" vertical="center" wrapText="1"/>
    </xf>
    <xf numFmtId="176" fontId="21" fillId="6" borderId="59" xfId="14" applyNumberFormat="1" applyFont="1" applyFill="1" applyBorder="1" applyAlignment="1">
      <alignment horizontal="center" vertical="center" wrapText="1"/>
    </xf>
    <xf numFmtId="0" fontId="21" fillId="6" borderId="56" xfId="14" applyFont="1" applyFill="1" applyBorder="1" applyAlignment="1">
      <alignment horizontal="center" vertical="center" wrapText="1"/>
    </xf>
    <xf numFmtId="0" fontId="25" fillId="0" borderId="56" xfId="14" applyFont="1" applyBorder="1" applyAlignment="1">
      <alignment horizontal="left" vertical="center" wrapText="1"/>
    </xf>
    <xf numFmtId="0" fontId="15" fillId="0" borderId="0" xfId="14" applyFont="1" applyFill="1" applyBorder="1" applyAlignment="1">
      <alignment horizontal="center" vertical="top" wrapText="1"/>
    </xf>
    <xf numFmtId="0" fontId="23" fillId="0" borderId="28" xfId="14" applyFont="1" applyFill="1" applyBorder="1" applyAlignment="1">
      <alignment horizontal="center" vertical="center" wrapText="1"/>
    </xf>
    <xf numFmtId="0" fontId="23" fillId="0" borderId="12" xfId="14" applyFont="1" applyFill="1" applyBorder="1" applyAlignment="1">
      <alignment horizontal="left" vertical="center" wrapText="1"/>
    </xf>
    <xf numFmtId="0" fontId="23" fillId="0" borderId="12" xfId="14" applyFont="1" applyFill="1" applyBorder="1" applyAlignment="1">
      <alignment horizontal="left" vertical="center"/>
    </xf>
    <xf numFmtId="0" fontId="23" fillId="0" borderId="12" xfId="14" applyFont="1" applyFill="1" applyBorder="1" applyAlignment="1">
      <alignment horizontal="center" vertical="center"/>
    </xf>
    <xf numFmtId="0" fontId="24" fillId="0" borderId="12" xfId="14" applyFont="1" applyFill="1" applyBorder="1" applyAlignment="1">
      <alignment horizontal="center" vertical="center" wrapText="1"/>
    </xf>
    <xf numFmtId="0" fontId="23" fillId="0" borderId="12" xfId="14" applyFont="1" applyFill="1" applyBorder="1" applyAlignment="1">
      <alignment horizontal="center" vertical="center" wrapText="1"/>
    </xf>
    <xf numFmtId="0" fontId="23" fillId="0" borderId="33" xfId="14" applyFont="1" applyFill="1" applyBorder="1" applyAlignment="1">
      <alignment horizontal="center" vertical="center" wrapText="1"/>
    </xf>
    <xf numFmtId="0" fontId="23" fillId="0" borderId="4" xfId="14" applyFont="1" applyFill="1" applyBorder="1" applyAlignment="1">
      <alignment horizontal="center" vertical="center" wrapText="1"/>
    </xf>
    <xf numFmtId="0" fontId="23" fillId="0" borderId="35" xfId="14" applyFont="1" applyFill="1" applyBorder="1" applyAlignment="1">
      <alignment horizontal="left" vertical="center" wrapText="1"/>
    </xf>
    <xf numFmtId="0" fontId="23" fillId="0" borderId="35" xfId="14" applyFont="1" applyFill="1" applyBorder="1" applyAlignment="1">
      <alignment horizontal="left" vertical="center"/>
    </xf>
    <xf numFmtId="0" fontId="23" fillId="0" borderId="35" xfId="14" applyFont="1" applyFill="1" applyBorder="1" applyAlignment="1">
      <alignment horizontal="center" vertical="center"/>
    </xf>
    <xf numFmtId="0" fontId="24" fillId="0" borderId="35" xfId="14" applyFont="1" applyFill="1" applyBorder="1" applyAlignment="1">
      <alignment horizontal="center" vertical="center" wrapText="1"/>
    </xf>
    <xf numFmtId="0" fontId="23" fillId="0" borderId="35" xfId="14" applyFont="1" applyFill="1" applyBorder="1" applyAlignment="1">
      <alignment horizontal="center" vertical="center" wrapText="1"/>
    </xf>
    <xf numFmtId="0" fontId="23" fillId="0" borderId="70" xfId="14" applyFont="1" applyFill="1" applyBorder="1" applyAlignment="1">
      <alignment horizontal="center" vertical="center" wrapText="1"/>
    </xf>
    <xf numFmtId="0" fontId="24" fillId="0" borderId="31" xfId="0" applyFont="1" applyBorder="1" applyAlignment="1">
      <alignment vertical="center" wrapText="1"/>
    </xf>
    <xf numFmtId="176" fontId="21" fillId="6" borderId="56" xfId="14" applyNumberFormat="1" applyFont="1" applyFill="1" applyBorder="1" applyAlignment="1">
      <alignment horizontal="center" vertical="center" wrapText="1"/>
    </xf>
    <xf numFmtId="176" fontId="21" fillId="0" borderId="46" xfId="14" applyNumberFormat="1" applyFont="1" applyBorder="1" applyAlignment="1">
      <alignment horizontal="center" vertical="center" wrapText="1"/>
    </xf>
    <xf numFmtId="176" fontId="21" fillId="6" borderId="46" xfId="14" applyNumberFormat="1" applyFont="1" applyFill="1" applyBorder="1" applyAlignment="1">
      <alignment horizontal="center" vertical="center" wrapText="1"/>
    </xf>
    <xf numFmtId="0" fontId="13" fillId="4" borderId="43" xfId="12" applyFont="1" applyFill="1" applyBorder="1" applyAlignment="1">
      <alignment horizontal="right" wrapText="1"/>
    </xf>
    <xf numFmtId="0" fontId="13" fillId="4" borderId="56" xfId="12" applyFont="1" applyFill="1" applyBorder="1" applyAlignment="1">
      <alignment horizontal="right" wrapText="1"/>
    </xf>
    <xf numFmtId="176" fontId="21" fillId="7" borderId="46" xfId="14" applyNumberFormat="1" applyFont="1" applyFill="1" applyBorder="1" applyAlignment="1">
      <alignment horizontal="center" vertical="center" wrapText="1"/>
    </xf>
    <xf numFmtId="176" fontId="21" fillId="5" borderId="38" xfId="14" applyNumberFormat="1" applyFont="1" applyFill="1" applyBorder="1" applyAlignment="1">
      <alignment horizontal="center" vertical="center" wrapText="1"/>
    </xf>
    <xf numFmtId="176" fontId="21" fillId="5" borderId="16" xfId="14" applyNumberFormat="1" applyFont="1" applyFill="1" applyBorder="1" applyAlignment="1">
      <alignment horizontal="center" vertical="center" wrapText="1"/>
    </xf>
    <xf numFmtId="176" fontId="21" fillId="5" borderId="39" xfId="14" applyNumberFormat="1" applyFont="1" applyFill="1" applyBorder="1" applyAlignment="1">
      <alignment horizontal="center" vertical="center" wrapText="1"/>
    </xf>
    <xf numFmtId="176" fontId="21" fillId="0" borderId="38" xfId="14" applyNumberFormat="1" applyFont="1" applyFill="1" applyBorder="1" applyAlignment="1">
      <alignment horizontal="center" vertical="center" wrapText="1"/>
    </xf>
    <xf numFmtId="176" fontId="21" fillId="0" borderId="16" xfId="14" applyNumberFormat="1" applyFont="1" applyFill="1" applyBorder="1" applyAlignment="1">
      <alignment horizontal="center" vertical="center" wrapText="1"/>
    </xf>
    <xf numFmtId="176" fontId="21" fillId="0" borderId="39" xfId="14" applyNumberFormat="1" applyFont="1" applyFill="1" applyBorder="1" applyAlignment="1">
      <alignment horizontal="center" vertical="center" wrapText="1"/>
    </xf>
    <xf numFmtId="0" fontId="21" fillId="6" borderId="15" xfId="14" applyFont="1" applyFill="1" applyBorder="1" applyAlignment="1">
      <alignment vertical="top" wrapText="1"/>
    </xf>
    <xf numFmtId="0" fontId="21" fillId="6" borderId="31" xfId="0" applyFont="1" applyFill="1" applyBorder="1" applyAlignment="1">
      <alignment vertical="center" wrapText="1"/>
    </xf>
    <xf numFmtId="0" fontId="24" fillId="6" borderId="32" xfId="0" applyFont="1" applyFill="1" applyBorder="1" applyAlignment="1">
      <alignment vertical="center" wrapText="1"/>
    </xf>
    <xf numFmtId="0" fontId="24" fillId="6" borderId="56" xfId="0" applyFont="1" applyFill="1" applyBorder="1" applyAlignment="1">
      <alignment vertical="center" wrapText="1"/>
    </xf>
    <xf numFmtId="0" fontId="25" fillId="6" borderId="56" xfId="0" applyFont="1" applyFill="1" applyBorder="1" applyAlignment="1">
      <alignment vertical="center" wrapText="1"/>
    </xf>
    <xf numFmtId="0" fontId="24" fillId="6" borderId="46" xfId="14" applyFont="1" applyFill="1" applyBorder="1" applyAlignment="1">
      <alignment horizontal="left" vertical="center" wrapText="1"/>
    </xf>
    <xf numFmtId="0" fontId="21" fillId="6" borderId="56" xfId="0" applyFont="1" applyFill="1" applyBorder="1" applyAlignment="1">
      <alignment vertical="center" wrapText="1"/>
    </xf>
    <xf numFmtId="0" fontId="28" fillId="0" borderId="0" xfId="14" applyFont="1" applyAlignment="1">
      <alignment vertical="top"/>
    </xf>
    <xf numFmtId="0" fontId="21" fillId="6" borderId="67" xfId="14" applyFont="1" applyFill="1" applyBorder="1" applyAlignment="1">
      <alignment vertical="top" wrapText="1"/>
    </xf>
    <xf numFmtId="0" fontId="24" fillId="6" borderId="29" xfId="0" applyFont="1" applyFill="1" applyBorder="1" applyAlignment="1">
      <alignment vertical="center" wrapText="1"/>
    </xf>
    <xf numFmtId="0" fontId="29" fillId="0" borderId="0" xfId="14" applyFont="1" applyFill="1" applyBorder="1" applyAlignment="1">
      <alignment horizontal="center" vertical="top" wrapText="1"/>
    </xf>
    <xf numFmtId="0" fontId="29" fillId="0" borderId="0" xfId="14" applyFont="1" applyFill="1" applyAlignment="1">
      <alignment horizontal="center" vertical="top" wrapText="1"/>
    </xf>
    <xf numFmtId="0" fontId="29"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25" fillId="5" borderId="56" xfId="0" applyFont="1" applyFill="1" applyBorder="1" applyAlignment="1">
      <alignment vertical="center" wrapText="1"/>
    </xf>
    <xf numFmtId="0" fontId="25" fillId="6" borderId="46" xfId="14" applyFont="1" applyFill="1" applyBorder="1" applyAlignment="1">
      <alignment horizontal="left" vertical="center" wrapText="1"/>
    </xf>
    <xf numFmtId="0" fontId="26" fillId="6" borderId="56" xfId="0" applyFont="1" applyFill="1" applyBorder="1" applyAlignment="1">
      <alignment horizontal="center" vertical="center" wrapText="1"/>
    </xf>
    <xf numFmtId="0" fontId="18" fillId="0" borderId="11" xfId="11" applyFont="1" applyBorder="1" applyAlignment="1">
      <alignment horizontal="center"/>
    </xf>
    <xf numFmtId="0" fontId="18" fillId="0" borderId="0" xfId="11" applyFont="1" applyAlignment="1">
      <alignment horizontal="center"/>
    </xf>
    <xf numFmtId="0" fontId="18" fillId="0" borderId="10" xfId="11" applyFont="1" applyBorder="1" applyAlignment="1">
      <alignment horizontal="center"/>
    </xf>
    <xf numFmtId="0" fontId="18" fillId="0" borderId="11" xfId="11" applyFont="1" applyBorder="1" applyAlignment="1">
      <alignment horizontal="center" vertical="center"/>
    </xf>
    <xf numFmtId="0" fontId="18" fillId="0" borderId="0" xfId="11" applyFont="1" applyAlignment="1">
      <alignment horizontal="center" vertical="center"/>
    </xf>
    <xf numFmtId="0" fontId="18" fillId="0" borderId="10" xfId="11" applyFont="1" applyBorder="1" applyAlignment="1">
      <alignment horizontal="center" vertical="center"/>
    </xf>
    <xf numFmtId="0" fontId="17" fillId="0" borderId="0" xfId="11" applyFont="1" applyAlignment="1">
      <alignment horizontal="center"/>
    </xf>
    <xf numFmtId="0" fontId="17" fillId="0" borderId="0" xfId="13" applyFont="1" applyAlignment="1">
      <alignment horizontal="center"/>
    </xf>
    <xf numFmtId="0" fontId="23" fillId="4" borderId="43" xfId="14" applyFont="1" applyFill="1" applyBorder="1" applyAlignment="1">
      <alignment horizontal="center" vertical="center" wrapText="1"/>
    </xf>
    <xf numFmtId="0" fontId="23" fillId="4" borderId="61" xfId="14" applyFont="1" applyFill="1" applyBorder="1" applyAlignment="1">
      <alignment horizontal="center" vertical="center" wrapText="1"/>
    </xf>
    <xf numFmtId="0" fontId="13" fillId="4" borderId="12" xfId="12" applyFont="1" applyFill="1" applyBorder="1" applyAlignment="1">
      <alignment horizontal="center" vertical="center"/>
    </xf>
    <xf numFmtId="0" fontId="13" fillId="4" borderId="33" xfId="12" applyFont="1" applyFill="1" applyBorder="1" applyAlignment="1">
      <alignment horizontal="center" vertical="center"/>
    </xf>
    <xf numFmtId="0" fontId="13" fillId="4" borderId="37" xfId="12" applyFont="1" applyFill="1" applyBorder="1" applyAlignment="1">
      <alignment horizontal="center" vertical="center"/>
    </xf>
    <xf numFmtId="0" fontId="13" fillId="4" borderId="30" xfId="12" applyFont="1" applyFill="1" applyBorder="1" applyAlignment="1">
      <alignment horizontal="center" vertical="center"/>
    </xf>
    <xf numFmtId="0" fontId="23" fillId="4" borderId="45" xfId="14" applyFont="1" applyFill="1" applyBorder="1" applyAlignment="1">
      <alignment horizontal="center" vertical="center" wrapText="1"/>
    </xf>
    <xf numFmtId="0" fontId="23" fillId="4" borderId="65" xfId="14" applyFont="1" applyFill="1" applyBorder="1" applyAlignment="1">
      <alignment horizontal="center" vertical="center" wrapText="1"/>
    </xf>
    <xf numFmtId="0" fontId="23" fillId="4" borderId="13" xfId="14" applyFont="1" applyFill="1" applyBorder="1" applyAlignment="1">
      <alignment horizontal="center" vertical="center" wrapText="1"/>
    </xf>
    <xf numFmtId="0" fontId="23" fillId="4" borderId="66" xfId="14" applyFont="1" applyFill="1" applyBorder="1" applyAlignment="1">
      <alignment horizontal="center" vertical="center" wrapText="1"/>
    </xf>
    <xf numFmtId="0" fontId="23" fillId="4" borderId="13" xfId="14" applyFont="1" applyFill="1" applyBorder="1" applyAlignment="1">
      <alignment horizontal="center" vertical="center"/>
    </xf>
    <xf numFmtId="0" fontId="23" fillId="4" borderId="66" xfId="14" applyFont="1" applyFill="1" applyBorder="1" applyAlignment="1">
      <alignment horizontal="center" vertical="center"/>
    </xf>
    <xf numFmtId="0" fontId="23" fillId="4" borderId="54" xfId="14" applyFont="1" applyFill="1" applyBorder="1" applyAlignment="1">
      <alignment horizontal="center" vertical="center"/>
    </xf>
    <xf numFmtId="0" fontId="23" fillId="4" borderId="58" xfId="14" applyFont="1" applyFill="1" applyBorder="1" applyAlignment="1">
      <alignment horizontal="center" vertical="center"/>
    </xf>
    <xf numFmtId="0" fontId="23" fillId="4" borderId="34" xfId="14" applyFont="1" applyFill="1" applyBorder="1" applyAlignment="1">
      <alignment horizontal="center" vertical="center"/>
    </xf>
    <xf numFmtId="0" fontId="23" fillId="4" borderId="14" xfId="14" applyFont="1" applyFill="1" applyBorder="1" applyAlignment="1">
      <alignment horizontal="center" vertical="center"/>
    </xf>
    <xf numFmtId="0" fontId="13" fillId="4" borderId="71" xfId="12" applyFont="1" applyFill="1" applyBorder="1" applyAlignment="1">
      <alignment horizontal="right"/>
    </xf>
    <xf numFmtId="0" fontId="13" fillId="4" borderId="72" xfId="12" applyFont="1" applyFill="1" applyBorder="1" applyAlignment="1">
      <alignment horizontal="right"/>
    </xf>
    <xf numFmtId="0" fontId="13" fillId="4" borderId="31" xfId="12" applyFont="1" applyFill="1" applyBorder="1" applyAlignment="1">
      <alignment horizontal="right"/>
    </xf>
    <xf numFmtId="0" fontId="13" fillId="4" borderId="6" xfId="12" applyFont="1" applyFill="1" applyBorder="1" applyAlignment="1">
      <alignment horizontal="right"/>
    </xf>
    <xf numFmtId="0" fontId="13" fillId="4" borderId="51" xfId="12" applyFont="1" applyFill="1" applyBorder="1" applyAlignment="1">
      <alignment horizontal="right"/>
    </xf>
    <xf numFmtId="0" fontId="13" fillId="4" borderId="36" xfId="12" applyFont="1" applyFill="1" applyBorder="1" applyAlignment="1">
      <alignment horizontal="right"/>
    </xf>
    <xf numFmtId="0" fontId="23" fillId="4" borderId="61" xfId="14" applyFont="1" applyFill="1" applyBorder="1" applyAlignment="1">
      <alignment horizontal="center" vertical="center"/>
    </xf>
    <xf numFmtId="0" fontId="23" fillId="4" borderId="48" xfId="14" applyFont="1" applyFill="1" applyBorder="1" applyAlignment="1">
      <alignment horizontal="center" vertical="top" wrapText="1"/>
    </xf>
    <xf numFmtId="0" fontId="23" fillId="4" borderId="50" xfId="14" applyFont="1" applyFill="1" applyBorder="1" applyAlignment="1">
      <alignment horizontal="center" vertical="top" wrapText="1"/>
    </xf>
    <xf numFmtId="0" fontId="23" fillId="4" borderId="49" xfId="14" applyFont="1" applyFill="1" applyBorder="1" applyAlignment="1">
      <alignment horizontal="center" vertical="center"/>
    </xf>
    <xf numFmtId="0" fontId="23" fillId="4" borderId="46" xfId="14" applyFont="1" applyFill="1" applyBorder="1" applyAlignment="1">
      <alignment horizontal="center" vertical="center"/>
    </xf>
    <xf numFmtId="0" fontId="23" fillId="4" borderId="19" xfId="14" applyFont="1" applyFill="1" applyBorder="1" applyAlignment="1">
      <alignment horizontal="center" vertical="center"/>
    </xf>
    <xf numFmtId="0" fontId="13" fillId="4" borderId="55" xfId="12" applyFont="1" applyFill="1" applyBorder="1" applyAlignment="1">
      <alignment horizontal="right"/>
    </xf>
    <xf numFmtId="0" fontId="13" fillId="4" borderId="44" xfId="12" applyFont="1" applyFill="1" applyBorder="1" applyAlignment="1">
      <alignment horizontal="right"/>
    </xf>
    <xf numFmtId="0" fontId="0" fillId="0" borderId="61" xfId="0" applyBorder="1" applyAlignment="1">
      <alignment horizontal="center" vertical="center"/>
    </xf>
    <xf numFmtId="0" fontId="23" fillId="4" borderId="44" xfId="14" applyFont="1" applyFill="1" applyBorder="1" applyAlignment="1">
      <alignment horizontal="center" vertical="center" wrapText="1"/>
    </xf>
    <xf numFmtId="0" fontId="23" fillId="4" borderId="23" xfId="14" applyFont="1" applyFill="1" applyBorder="1" applyAlignment="1">
      <alignment horizontal="center" vertical="center" wrapText="1"/>
    </xf>
    <xf numFmtId="0" fontId="23" fillId="4" borderId="6" xfId="14" applyFont="1" applyFill="1" applyBorder="1" applyAlignment="1">
      <alignment horizontal="center" vertical="center" wrapText="1"/>
    </xf>
    <xf numFmtId="0" fontId="23" fillId="4" borderId="6" xfId="14" applyFont="1" applyFill="1" applyBorder="1" applyAlignment="1">
      <alignment horizontal="center" vertical="center"/>
    </xf>
    <xf numFmtId="0" fontId="23" fillId="4" borderId="5" xfId="14" applyFont="1" applyFill="1" applyBorder="1" applyAlignment="1">
      <alignment horizontal="center" vertical="center"/>
    </xf>
    <xf numFmtId="0" fontId="23" fillId="4" borderId="55" xfId="14" applyFont="1" applyFill="1" applyBorder="1" applyAlignment="1">
      <alignment horizontal="center" vertical="center"/>
    </xf>
    <xf numFmtId="0" fontId="23" fillId="4" borderId="56" xfId="14" applyFont="1" applyFill="1" applyBorder="1" applyAlignment="1">
      <alignment horizontal="center" vertical="center"/>
    </xf>
    <xf numFmtId="0" fontId="0" fillId="0" borderId="44" xfId="0" applyBorder="1" applyAlignment="1">
      <alignment horizontal="center" vertical="center"/>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CCFFCC"/>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7</xdr:col>
      <xdr:colOff>277905</xdr:colOff>
      <xdr:row>129</xdr:row>
      <xdr:rowOff>107576</xdr:rowOff>
    </xdr:from>
    <xdr:to>
      <xdr:col>14</xdr:col>
      <xdr:colOff>98612</xdr:colOff>
      <xdr:row>133</xdr:row>
      <xdr:rowOff>77881</xdr:rowOff>
    </xdr:to>
    <xdr:sp macro="" textlink="">
      <xdr:nvSpPr>
        <xdr:cNvPr id="2" name="吹き出し: 折線 1">
          <a:extLst>
            <a:ext uri="{FF2B5EF4-FFF2-40B4-BE49-F238E27FC236}">
              <a16:creationId xmlns:a16="http://schemas.microsoft.com/office/drawing/2014/main" id="{C4D18725-856B-4C79-B7ED-CD51C7FAB32D}"/>
            </a:ext>
          </a:extLst>
        </xdr:cNvPr>
        <xdr:cNvSpPr/>
      </xdr:nvSpPr>
      <xdr:spPr>
        <a:xfrm>
          <a:off x="10811434" y="33438352"/>
          <a:ext cx="1801907" cy="705411"/>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ignicaPOS</a:t>
          </a:r>
          <a:r>
            <a:rPr kumimoji="1" lang="ja-JP" altLang="en-US" sz="1100" b="1">
              <a:solidFill>
                <a:srgbClr val="FF0000"/>
              </a:solidFill>
            </a:rPr>
            <a:t>取引完了～速報反映までの時間を計測</a:t>
          </a:r>
          <a:endParaRPr kumimoji="1" lang="en-US" altLang="ja-JP" sz="1100" b="1">
            <a:solidFill>
              <a:srgbClr val="FF0000"/>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N24"/>
  <sheetViews>
    <sheetView view="pageBreakPreview" zoomScaleNormal="100" workbookViewId="0"/>
  </sheetViews>
  <sheetFormatPr defaultColWidth="12" defaultRowHeight="15" x14ac:dyDescent="0.3"/>
  <cols>
    <col min="1" max="16384" width="12" style="5"/>
  </cols>
  <sheetData>
    <row r="2" spans="3:14" x14ac:dyDescent="0.3">
      <c r="N2" s="1"/>
    </row>
    <row r="3" spans="3:14" ht="15.6" thickBot="1" x14ac:dyDescent="0.35"/>
    <row r="4" spans="3:14" ht="23.4" thickTop="1" x14ac:dyDescent="0.45">
      <c r="C4" s="12" t="s">
        <v>0</v>
      </c>
      <c r="D4" s="6"/>
      <c r="E4" s="6"/>
      <c r="F4" s="6"/>
      <c r="G4" s="6"/>
      <c r="H4" s="6"/>
      <c r="I4" s="6"/>
      <c r="J4" s="6"/>
      <c r="K4" s="7"/>
    </row>
    <row r="5" spans="3:14" x14ac:dyDescent="0.3">
      <c r="C5" s="8"/>
      <c r="K5" s="9"/>
    </row>
    <row r="6" spans="3:14" x14ac:dyDescent="0.3">
      <c r="C6" s="8"/>
      <c r="K6" s="9"/>
    </row>
    <row r="7" spans="3:14" ht="35.4" x14ac:dyDescent="0.3">
      <c r="C7" s="202" t="s">
        <v>1</v>
      </c>
      <c r="D7" s="203"/>
      <c r="E7" s="203"/>
      <c r="F7" s="203"/>
      <c r="G7" s="203"/>
      <c r="H7" s="203"/>
      <c r="I7" s="203"/>
      <c r="J7" s="203"/>
      <c r="K7" s="204"/>
    </row>
    <row r="8" spans="3:14" ht="15" customHeight="1" x14ac:dyDescent="0.3">
      <c r="C8" s="16"/>
      <c r="D8" s="17"/>
      <c r="E8" s="17"/>
      <c r="F8" s="17"/>
      <c r="G8" s="17"/>
      <c r="H8" s="17"/>
      <c r="I8" s="17"/>
      <c r="J8" s="17"/>
      <c r="K8" s="18"/>
    </row>
    <row r="9" spans="3:14" ht="35.4" x14ac:dyDescent="0.65">
      <c r="C9" s="199" t="s">
        <v>2</v>
      </c>
      <c r="D9" s="200"/>
      <c r="E9" s="200"/>
      <c r="F9" s="200"/>
      <c r="G9" s="200"/>
      <c r="H9" s="200"/>
      <c r="I9" s="200"/>
      <c r="J9" s="200"/>
      <c r="K9" s="201"/>
    </row>
    <row r="10" spans="3:14" ht="35.4" x14ac:dyDescent="0.65">
      <c r="C10" s="199" t="s">
        <v>3</v>
      </c>
      <c r="D10" s="200"/>
      <c r="E10" s="200"/>
      <c r="F10" s="200"/>
      <c r="G10" s="200"/>
      <c r="H10" s="200"/>
      <c r="I10" s="200"/>
      <c r="J10" s="200"/>
      <c r="K10" s="201"/>
    </row>
    <row r="11" spans="3:14" x14ac:dyDescent="0.3">
      <c r="C11" s="8"/>
      <c r="K11" s="9"/>
    </row>
    <row r="12" spans="3:14" ht="15" customHeight="1" thickBot="1" x14ac:dyDescent="0.55000000000000004">
      <c r="C12" s="13"/>
      <c r="D12" s="14"/>
      <c r="E12" s="14"/>
      <c r="F12" s="14"/>
      <c r="G12" s="14"/>
      <c r="H12" s="14"/>
      <c r="I12" s="14"/>
      <c r="J12" s="14"/>
      <c r="K12" s="15"/>
    </row>
    <row r="13" spans="3:14" ht="15" customHeight="1" thickTop="1" x14ac:dyDescent="0.3"/>
    <row r="14" spans="3:14" ht="15" customHeight="1" x14ac:dyDescent="0.3"/>
    <row r="15" spans="3:14" ht="15" customHeight="1" x14ac:dyDescent="0.3"/>
    <row r="16" spans="3:14" ht="15" customHeight="1" x14ac:dyDescent="0.3"/>
    <row r="17" spans="3:9" ht="15" customHeight="1" x14ac:dyDescent="0.3"/>
    <row r="18" spans="3:9" ht="18.600000000000001" x14ac:dyDescent="0.35">
      <c r="E18" s="205" t="s">
        <v>4</v>
      </c>
      <c r="F18" s="205"/>
      <c r="G18" s="205"/>
      <c r="H18" s="205"/>
      <c r="I18" s="205"/>
    </row>
    <row r="19" spans="3:9" ht="15" customHeight="1" x14ac:dyDescent="0.3"/>
    <row r="20" spans="3:9" ht="15" customHeight="1" x14ac:dyDescent="0.3"/>
    <row r="21" spans="3:9" ht="18.600000000000001" x14ac:dyDescent="0.35">
      <c r="C21" s="10"/>
      <c r="F21" s="206" t="s">
        <v>5</v>
      </c>
      <c r="G21" s="206"/>
      <c r="H21" s="206"/>
    </row>
    <row r="22" spans="3:9" ht="15" customHeight="1" x14ac:dyDescent="0.35">
      <c r="C22" s="10"/>
      <c r="F22" s="11"/>
      <c r="G22" s="11"/>
      <c r="H22" s="11"/>
    </row>
    <row r="23" spans="3:9" ht="15" customHeight="1" x14ac:dyDescent="0.35">
      <c r="C23" s="10"/>
      <c r="F23" s="11"/>
    </row>
    <row r="24" spans="3:9" ht="15" customHeight="1" x14ac:dyDescent="0.3"/>
  </sheetData>
  <mergeCells count="5">
    <mergeCell ref="C9:K9"/>
    <mergeCell ref="C10:K10"/>
    <mergeCell ref="C7:K7"/>
    <mergeCell ref="E18:I18"/>
    <mergeCell ref="F21:H21"/>
  </mergeCells>
  <phoneticPr fontId="5"/>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19AEA-6CCF-42E6-9950-0739C8AECDC4}">
  <sheetPr>
    <pageSetUpPr fitToPage="1"/>
  </sheetPr>
  <dimension ref="A1:Z66"/>
  <sheetViews>
    <sheetView view="pageBreakPreview" topLeftCell="B1" zoomScale="85" zoomScaleNormal="110" zoomScaleSheetLayoutView="85" workbookViewId="0">
      <pane ySplit="4" topLeftCell="A43" activePane="bottomLeft" state="frozen"/>
      <selection activeCell="B8" sqref="B8"/>
      <selection pane="bottomLeft" activeCell="F80" sqref="F80"/>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47.625" style="2" bestFit="1" customWidth="1"/>
    <col min="7" max="7" width="11.875" style="122" customWidth="1"/>
    <col min="8" max="12" width="4.5" style="4" bestFit="1" customWidth="1"/>
    <col min="13" max="13" width="5.125" style="4" bestFit="1" customWidth="1"/>
    <col min="14" max="14" width="4.5" style="4" bestFit="1" customWidth="1"/>
    <col min="15" max="17" width="4.5" style="4" customWidth="1"/>
    <col min="18" max="18" width="4" style="4" bestFit="1" customWidth="1"/>
    <col min="19" max="19" width="4.5" style="4" bestFit="1" customWidth="1"/>
    <col min="20" max="20" width="7.875" style="4" customWidth="1"/>
    <col min="21" max="23" width="5.875" style="4" customWidth="1"/>
    <col min="24" max="24" width="7.5" style="4" customWidth="1"/>
    <col min="25" max="25" width="69.125" style="2" bestFit="1" customWidth="1"/>
    <col min="26" max="26" width="13.125" style="194" bestFit="1" customWidth="1"/>
    <col min="27" max="16384" width="9.375" style="2"/>
  </cols>
  <sheetData>
    <row r="1" spans="1:26" s="153" customFormat="1" ht="12.6" x14ac:dyDescent="0.15">
      <c r="A1" s="154"/>
      <c r="B1" s="155" t="s">
        <v>277</v>
      </c>
      <c r="C1" s="156" t="s">
        <v>278</v>
      </c>
      <c r="D1" s="157"/>
      <c r="E1" s="157"/>
      <c r="F1" s="157"/>
      <c r="G1" s="157"/>
      <c r="H1" s="158"/>
      <c r="I1" s="158"/>
      <c r="J1" s="158"/>
      <c r="K1" s="158"/>
      <c r="L1" s="158"/>
      <c r="M1" s="158"/>
      <c r="N1" s="158"/>
      <c r="O1" s="158"/>
      <c r="P1" s="158"/>
      <c r="Q1" s="158"/>
      <c r="R1" s="158"/>
      <c r="S1" s="158"/>
      <c r="T1" s="158"/>
      <c r="U1" s="158"/>
      <c r="V1" s="158"/>
      <c r="W1" s="158"/>
      <c r="X1" s="159"/>
      <c r="Y1" s="160"/>
      <c r="Z1" s="191"/>
    </row>
    <row r="2" spans="1:26" s="138" customFormat="1" ht="12.6" x14ac:dyDescent="0.15">
      <c r="A2" s="161"/>
      <c r="B2" s="162" t="s">
        <v>279</v>
      </c>
      <c r="C2" s="163" t="s">
        <v>280</v>
      </c>
      <c r="D2" s="164"/>
      <c r="E2" s="164"/>
      <c r="F2" s="164"/>
      <c r="G2" s="164"/>
      <c r="H2" s="165"/>
      <c r="I2" s="165"/>
      <c r="J2" s="165"/>
      <c r="K2" s="165"/>
      <c r="L2" s="165"/>
      <c r="M2" s="165"/>
      <c r="N2" s="165"/>
      <c r="O2" s="165"/>
      <c r="P2" s="165"/>
      <c r="Q2" s="165"/>
      <c r="R2" s="165"/>
      <c r="S2" s="165"/>
      <c r="T2" s="165"/>
      <c r="U2" s="165"/>
      <c r="V2" s="165"/>
      <c r="W2" s="165"/>
      <c r="X2" s="166"/>
      <c r="Y2" s="167"/>
      <c r="Z2" s="192"/>
    </row>
    <row r="3" spans="1:26" s="1" customFormat="1" ht="13.5" customHeight="1" x14ac:dyDescent="0.15">
      <c r="A3" s="213" t="s">
        <v>6</v>
      </c>
      <c r="B3" s="215" t="s">
        <v>7</v>
      </c>
      <c r="C3" s="217" t="s">
        <v>8</v>
      </c>
      <c r="D3" s="217" t="s">
        <v>9</v>
      </c>
      <c r="E3" s="219" t="s">
        <v>10</v>
      </c>
      <c r="F3" s="221" t="s">
        <v>11</v>
      </c>
      <c r="G3" s="207" t="s">
        <v>273</v>
      </c>
      <c r="H3" s="230" t="s">
        <v>12</v>
      </c>
      <c r="I3" s="230"/>
      <c r="J3" s="230"/>
      <c r="K3" s="231"/>
      <c r="L3" s="232" t="s">
        <v>13</v>
      </c>
      <c r="M3" s="233"/>
      <c r="N3" s="233"/>
      <c r="O3" s="234"/>
      <c r="P3" s="234"/>
      <c r="Q3" s="234"/>
      <c r="R3" s="234"/>
      <c r="S3" s="234"/>
      <c r="T3" s="207" t="s">
        <v>357</v>
      </c>
      <c r="U3" s="230" t="s">
        <v>14</v>
      </c>
      <c r="V3" s="230"/>
      <c r="W3" s="230"/>
      <c r="X3" s="207" t="s">
        <v>15</v>
      </c>
      <c r="Y3" s="207" t="s">
        <v>16</v>
      </c>
      <c r="Z3" s="193"/>
    </row>
    <row r="4" spans="1:26" s="1" customFormat="1" ht="22.8" x14ac:dyDescent="0.15">
      <c r="A4" s="214"/>
      <c r="B4" s="216"/>
      <c r="C4" s="218"/>
      <c r="D4" s="218"/>
      <c r="E4" s="220"/>
      <c r="F4" s="222"/>
      <c r="G4" s="229"/>
      <c r="H4" s="136" t="s">
        <v>17</v>
      </c>
      <c r="I4" s="137" t="s">
        <v>18</v>
      </c>
      <c r="J4" s="97" t="s">
        <v>19</v>
      </c>
      <c r="K4" s="97" t="s">
        <v>20</v>
      </c>
      <c r="L4" s="139" t="s">
        <v>17</v>
      </c>
      <c r="M4" s="97" t="s">
        <v>21</v>
      </c>
      <c r="N4" s="97" t="s">
        <v>22</v>
      </c>
      <c r="O4" s="97" t="s">
        <v>23</v>
      </c>
      <c r="P4" s="97" t="s">
        <v>24</v>
      </c>
      <c r="Q4" s="97" t="s">
        <v>25</v>
      </c>
      <c r="R4" s="97" t="s">
        <v>26</v>
      </c>
      <c r="S4" s="97" t="s">
        <v>27</v>
      </c>
      <c r="T4" s="237"/>
      <c r="U4" s="136" t="s">
        <v>28</v>
      </c>
      <c r="V4" s="137" t="s">
        <v>29</v>
      </c>
      <c r="W4" s="97" t="s">
        <v>30</v>
      </c>
      <c r="X4" s="208"/>
      <c r="Y4" s="208"/>
      <c r="Z4" s="193"/>
    </row>
    <row r="5" spans="1:26" ht="11.4" x14ac:dyDescent="0.15">
      <c r="A5" s="140">
        <f>ROW()-4</f>
        <v>1</v>
      </c>
      <c r="B5" s="141" t="s">
        <v>31</v>
      </c>
      <c r="C5" s="141" t="s">
        <v>32</v>
      </c>
      <c r="D5" s="141" t="s">
        <v>170</v>
      </c>
      <c r="E5" s="142" t="s">
        <v>275</v>
      </c>
      <c r="F5" s="107" t="s">
        <v>42</v>
      </c>
      <c r="G5" s="118"/>
      <c r="H5" s="143"/>
      <c r="I5" s="144"/>
      <c r="J5" s="144"/>
      <c r="K5" s="145"/>
      <c r="L5" s="143"/>
      <c r="M5" s="146"/>
      <c r="N5" s="144"/>
      <c r="O5" s="146"/>
      <c r="P5" s="146"/>
      <c r="Q5" s="146"/>
      <c r="R5" s="147"/>
      <c r="S5" s="145"/>
      <c r="T5" s="169"/>
      <c r="U5" s="148"/>
      <c r="V5" s="149"/>
      <c r="W5" s="150"/>
      <c r="X5" s="151"/>
      <c r="Y5" s="152"/>
    </row>
    <row r="6" spans="1:26" ht="22.8" x14ac:dyDescent="0.15">
      <c r="A6" s="140">
        <f t="shared" ref="A6:A54" si="0">ROW()-4</f>
        <v>2</v>
      </c>
      <c r="B6" s="20"/>
      <c r="C6" s="20"/>
      <c r="D6" s="20"/>
      <c r="E6" s="30" t="s">
        <v>33</v>
      </c>
      <c r="F6" s="107" t="s">
        <v>281</v>
      </c>
      <c r="G6" s="118"/>
      <c r="H6" s="21"/>
      <c r="I6" s="22"/>
      <c r="J6" s="22"/>
      <c r="K6" s="23"/>
      <c r="L6" s="21"/>
      <c r="M6" s="24" t="s">
        <v>365</v>
      </c>
      <c r="N6" s="22"/>
      <c r="O6" s="24"/>
      <c r="P6" s="24"/>
      <c r="Q6" s="24"/>
      <c r="R6" s="99"/>
      <c r="S6" s="23"/>
      <c r="T6" s="170"/>
      <c r="U6" s="25">
        <v>45685</v>
      </c>
      <c r="V6" s="26"/>
      <c r="W6" s="27"/>
      <c r="X6" s="28" t="s">
        <v>372</v>
      </c>
      <c r="Y6" s="73"/>
    </row>
    <row r="7" spans="1:26" ht="11.4" x14ac:dyDescent="0.15">
      <c r="A7" s="140">
        <f t="shared" si="0"/>
        <v>3</v>
      </c>
      <c r="B7" s="20"/>
      <c r="C7" s="20"/>
      <c r="D7" s="20"/>
      <c r="E7" s="95" t="s">
        <v>36</v>
      </c>
      <c r="F7" s="108" t="s">
        <v>37</v>
      </c>
      <c r="G7" s="119"/>
      <c r="H7" s="21"/>
      <c r="I7" s="22"/>
      <c r="J7" s="22"/>
      <c r="K7" s="23"/>
      <c r="L7" s="21"/>
      <c r="M7" s="24" t="s">
        <v>365</v>
      </c>
      <c r="N7" s="22"/>
      <c r="O7" s="24"/>
      <c r="P7" s="24"/>
      <c r="Q7" s="24"/>
      <c r="R7" s="99"/>
      <c r="S7" s="23"/>
      <c r="T7" s="170"/>
      <c r="U7" s="25">
        <v>45685</v>
      </c>
      <c r="V7" s="26"/>
      <c r="W7" s="27"/>
      <c r="X7" s="28" t="s">
        <v>372</v>
      </c>
      <c r="Y7" s="73"/>
    </row>
    <row r="8" spans="1:26" ht="11.4" x14ac:dyDescent="0.15">
      <c r="A8" s="140">
        <f t="shared" si="0"/>
        <v>4</v>
      </c>
      <c r="B8" s="20"/>
      <c r="C8" s="20"/>
      <c r="D8" s="20"/>
      <c r="E8" s="95" t="s">
        <v>43</v>
      </c>
      <c r="F8" s="108" t="s">
        <v>37</v>
      </c>
      <c r="G8" s="119"/>
      <c r="H8" s="21"/>
      <c r="I8" s="22"/>
      <c r="J8" s="22"/>
      <c r="K8" s="23"/>
      <c r="L8" s="21"/>
      <c r="M8" s="24" t="s">
        <v>365</v>
      </c>
      <c r="N8" s="22"/>
      <c r="O8" s="24"/>
      <c r="P8" s="24"/>
      <c r="Q8" s="24"/>
      <c r="R8" s="99"/>
      <c r="S8" s="23"/>
      <c r="T8" s="170"/>
      <c r="U8" s="25">
        <v>45685</v>
      </c>
      <c r="V8" s="26"/>
      <c r="W8" s="27"/>
      <c r="X8" s="28" t="s">
        <v>372</v>
      </c>
      <c r="Y8" s="94"/>
    </row>
    <row r="9" spans="1:26" ht="11.4" x14ac:dyDescent="0.15">
      <c r="A9" s="140">
        <f t="shared" si="0"/>
        <v>5</v>
      </c>
      <c r="B9" s="20"/>
      <c r="C9" s="20"/>
      <c r="D9" s="20"/>
      <c r="E9" s="95" t="s">
        <v>44</v>
      </c>
      <c r="F9" s="108" t="s">
        <v>45</v>
      </c>
      <c r="G9" s="119"/>
      <c r="H9" s="21"/>
      <c r="I9" s="22"/>
      <c r="J9" s="22"/>
      <c r="K9" s="23"/>
      <c r="L9" s="21"/>
      <c r="M9" s="24" t="s">
        <v>365</v>
      </c>
      <c r="N9" s="22"/>
      <c r="O9" s="24"/>
      <c r="P9" s="24"/>
      <c r="Q9" s="24"/>
      <c r="R9" s="22"/>
      <c r="S9" s="23"/>
      <c r="T9" s="170"/>
      <c r="U9" s="25">
        <v>45685</v>
      </c>
      <c r="V9" s="26"/>
      <c r="W9" s="27"/>
      <c r="X9" s="28" t="s">
        <v>372</v>
      </c>
      <c r="Y9" s="94"/>
    </row>
    <row r="10" spans="1:26" ht="19.2" x14ac:dyDescent="0.15">
      <c r="A10" s="189">
        <f t="shared" si="0"/>
        <v>6</v>
      </c>
      <c r="B10" s="182"/>
      <c r="C10" s="182"/>
      <c r="D10" s="182"/>
      <c r="E10" s="183"/>
      <c r="F10" s="190" t="s">
        <v>46</v>
      </c>
      <c r="G10" s="184"/>
      <c r="H10" s="77"/>
      <c r="I10" s="78"/>
      <c r="J10" s="78"/>
      <c r="K10" s="79"/>
      <c r="L10" s="77"/>
      <c r="M10" s="80" t="s">
        <v>364</v>
      </c>
      <c r="N10" s="78"/>
      <c r="O10" s="80"/>
      <c r="P10" s="80"/>
      <c r="Q10" s="80"/>
      <c r="R10" s="78"/>
      <c r="S10" s="79"/>
      <c r="T10" s="171"/>
      <c r="U10" s="81"/>
      <c r="V10" s="82"/>
      <c r="W10" s="83"/>
      <c r="X10" s="84"/>
      <c r="Y10" s="186"/>
      <c r="Z10" s="194" t="s">
        <v>376</v>
      </c>
    </row>
    <row r="11" spans="1:26" ht="19.2" x14ac:dyDescent="0.15">
      <c r="A11" s="189">
        <f t="shared" si="0"/>
        <v>7</v>
      </c>
      <c r="B11" s="182"/>
      <c r="C11" s="182"/>
      <c r="D11" s="182"/>
      <c r="E11" s="183" t="s">
        <v>199</v>
      </c>
      <c r="F11" s="190" t="s">
        <v>168</v>
      </c>
      <c r="G11" s="184"/>
      <c r="H11" s="77"/>
      <c r="I11" s="78"/>
      <c r="J11" s="78"/>
      <c r="K11" s="79"/>
      <c r="L11" s="77"/>
      <c r="M11" s="78"/>
      <c r="N11" s="78"/>
      <c r="O11" s="80"/>
      <c r="P11" s="80"/>
      <c r="Q11" s="80"/>
      <c r="R11" s="78" t="s">
        <v>364</v>
      </c>
      <c r="S11" s="79"/>
      <c r="T11" s="171"/>
      <c r="U11" s="81"/>
      <c r="V11" s="82"/>
      <c r="W11" s="83"/>
      <c r="X11" s="84"/>
      <c r="Y11" s="186" t="s">
        <v>197</v>
      </c>
      <c r="Z11" s="194" t="s">
        <v>377</v>
      </c>
    </row>
    <row r="12" spans="1:26" ht="33.6" customHeight="1" x14ac:dyDescent="0.15">
      <c r="A12" s="140">
        <f t="shared" si="0"/>
        <v>8</v>
      </c>
      <c r="B12" s="20"/>
      <c r="C12" s="20"/>
      <c r="D12" s="20"/>
      <c r="E12" s="74"/>
      <c r="F12" s="107" t="s">
        <v>78</v>
      </c>
      <c r="G12" s="118"/>
      <c r="H12" s="21"/>
      <c r="I12" s="22"/>
      <c r="J12" s="22"/>
      <c r="K12" s="23"/>
      <c r="L12" s="21"/>
      <c r="M12" s="22"/>
      <c r="N12" s="22"/>
      <c r="O12" s="24"/>
      <c r="P12" s="24"/>
      <c r="Q12" s="24"/>
      <c r="R12" s="24" t="s">
        <v>365</v>
      </c>
      <c r="S12" s="23"/>
      <c r="T12" s="170"/>
      <c r="U12" s="25">
        <v>45685</v>
      </c>
      <c r="V12" s="26"/>
      <c r="W12" s="27"/>
      <c r="X12" s="28" t="s">
        <v>372</v>
      </c>
      <c r="Y12" s="94" t="s">
        <v>197</v>
      </c>
    </row>
    <row r="13" spans="1:26" ht="33.6" customHeight="1" x14ac:dyDescent="0.15">
      <c r="A13" s="140">
        <f t="shared" si="0"/>
        <v>9</v>
      </c>
      <c r="B13" s="20"/>
      <c r="C13" s="20"/>
      <c r="D13" s="20"/>
      <c r="E13" s="74"/>
      <c r="F13" s="108" t="s">
        <v>368</v>
      </c>
      <c r="G13" s="120"/>
      <c r="H13" s="21"/>
      <c r="I13" s="22"/>
      <c r="J13" s="22"/>
      <c r="K13" s="23"/>
      <c r="L13" s="21"/>
      <c r="M13" s="22"/>
      <c r="N13" s="22"/>
      <c r="O13" s="24"/>
      <c r="P13" s="24"/>
      <c r="Q13" s="24"/>
      <c r="R13" s="24" t="s">
        <v>365</v>
      </c>
      <c r="S13" s="23"/>
      <c r="T13" s="170"/>
      <c r="U13" s="25">
        <v>45685</v>
      </c>
      <c r="V13" s="26"/>
      <c r="W13" s="27"/>
      <c r="X13" s="28" t="s">
        <v>372</v>
      </c>
      <c r="Y13" s="94" t="s">
        <v>369</v>
      </c>
    </row>
    <row r="14" spans="1:26" ht="11.4" x14ac:dyDescent="0.15">
      <c r="A14" s="140">
        <f t="shared" si="0"/>
        <v>10</v>
      </c>
      <c r="B14" s="20"/>
      <c r="C14" s="20" t="s">
        <v>52</v>
      </c>
      <c r="D14" s="20" t="s">
        <v>171</v>
      </c>
      <c r="E14" s="95" t="s">
        <v>276</v>
      </c>
      <c r="F14" s="108" t="s">
        <v>42</v>
      </c>
      <c r="G14" s="118"/>
      <c r="H14" s="77"/>
      <c r="I14" s="78"/>
      <c r="J14" s="78"/>
      <c r="K14" s="79"/>
      <c r="L14" s="77"/>
      <c r="M14" s="80"/>
      <c r="N14" s="78"/>
      <c r="O14" s="80"/>
      <c r="P14" s="80"/>
      <c r="Q14" s="80"/>
      <c r="R14" s="100"/>
      <c r="S14" s="79"/>
      <c r="T14" s="171"/>
      <c r="U14" s="81"/>
      <c r="V14" s="82"/>
      <c r="W14" s="83"/>
      <c r="X14" s="84"/>
      <c r="Y14" s="94"/>
    </row>
    <row r="15" spans="1:26" ht="22.8" x14ac:dyDescent="0.15">
      <c r="A15" s="140">
        <f t="shared" si="0"/>
        <v>11</v>
      </c>
      <c r="B15" s="20"/>
      <c r="C15" s="20"/>
      <c r="D15" s="20"/>
      <c r="E15" s="30" t="s">
        <v>33</v>
      </c>
      <c r="F15" s="108" t="s">
        <v>282</v>
      </c>
      <c r="G15" s="118"/>
      <c r="H15" s="21"/>
      <c r="I15" s="22"/>
      <c r="J15" s="22"/>
      <c r="K15" s="23"/>
      <c r="L15" s="21"/>
      <c r="M15" s="24" t="s">
        <v>365</v>
      </c>
      <c r="N15" s="22"/>
      <c r="O15" s="24"/>
      <c r="P15" s="24"/>
      <c r="Q15" s="24"/>
      <c r="R15" s="99"/>
      <c r="S15" s="23"/>
      <c r="T15" s="170"/>
      <c r="U15" s="25">
        <v>45685</v>
      </c>
      <c r="V15" s="26"/>
      <c r="W15" s="27"/>
      <c r="X15" s="28" t="s">
        <v>372</v>
      </c>
      <c r="Y15" s="73" t="s">
        <v>366</v>
      </c>
    </row>
    <row r="16" spans="1:26" ht="11.4" x14ac:dyDescent="0.15">
      <c r="A16" s="140">
        <f t="shared" si="0"/>
        <v>12</v>
      </c>
      <c r="B16" s="20"/>
      <c r="C16" s="20"/>
      <c r="D16" s="20"/>
      <c r="E16" s="95" t="s">
        <v>36</v>
      </c>
      <c r="F16" s="108" t="s">
        <v>37</v>
      </c>
      <c r="G16" s="119"/>
      <c r="H16" s="21"/>
      <c r="I16" s="22"/>
      <c r="J16" s="22"/>
      <c r="K16" s="23"/>
      <c r="L16" s="21"/>
      <c r="M16" s="24" t="s">
        <v>365</v>
      </c>
      <c r="N16" s="22"/>
      <c r="O16" s="24"/>
      <c r="P16" s="24"/>
      <c r="Q16" s="24"/>
      <c r="R16" s="99"/>
      <c r="S16" s="23"/>
      <c r="T16" s="170"/>
      <c r="U16" s="25">
        <v>45685</v>
      </c>
      <c r="V16" s="26"/>
      <c r="W16" s="27"/>
      <c r="X16" s="28" t="s">
        <v>372</v>
      </c>
      <c r="Y16" s="94"/>
    </row>
    <row r="17" spans="1:26" ht="11.4" x14ac:dyDescent="0.15">
      <c r="A17" s="140">
        <f t="shared" si="0"/>
        <v>13</v>
      </c>
      <c r="B17" s="20"/>
      <c r="C17" s="20"/>
      <c r="D17" s="20"/>
      <c r="E17" s="95" t="s">
        <v>43</v>
      </c>
      <c r="F17" s="108" t="s">
        <v>37</v>
      </c>
      <c r="G17" s="119"/>
      <c r="H17" s="21"/>
      <c r="I17" s="22"/>
      <c r="J17" s="22"/>
      <c r="K17" s="23"/>
      <c r="L17" s="21"/>
      <c r="M17" s="24" t="s">
        <v>365</v>
      </c>
      <c r="N17" s="22"/>
      <c r="O17" s="24"/>
      <c r="P17" s="24"/>
      <c r="Q17" s="24"/>
      <c r="R17" s="99"/>
      <c r="S17" s="23"/>
      <c r="T17" s="170"/>
      <c r="U17" s="25">
        <v>45685</v>
      </c>
      <c r="V17" s="26"/>
      <c r="W17" s="27"/>
      <c r="X17" s="28" t="s">
        <v>372</v>
      </c>
      <c r="Y17" s="94"/>
    </row>
    <row r="18" spans="1:26" ht="11.4" x14ac:dyDescent="0.15">
      <c r="A18" s="140">
        <f t="shared" si="0"/>
        <v>14</v>
      </c>
      <c r="B18" s="20"/>
      <c r="C18" s="20"/>
      <c r="D18" s="20"/>
      <c r="E18" s="95" t="s">
        <v>44</v>
      </c>
      <c r="F18" s="108" t="s">
        <v>45</v>
      </c>
      <c r="G18" s="119"/>
      <c r="H18" s="21"/>
      <c r="I18" s="22"/>
      <c r="J18" s="22"/>
      <c r="K18" s="23"/>
      <c r="L18" s="21"/>
      <c r="M18" s="24" t="s">
        <v>365</v>
      </c>
      <c r="N18" s="22"/>
      <c r="O18" s="24"/>
      <c r="P18" s="24"/>
      <c r="Q18" s="24"/>
      <c r="R18" s="22"/>
      <c r="S18" s="23"/>
      <c r="T18" s="170"/>
      <c r="U18" s="25">
        <v>45685</v>
      </c>
      <c r="V18" s="26"/>
      <c r="W18" s="27"/>
      <c r="X18" s="28" t="s">
        <v>372</v>
      </c>
      <c r="Y18" s="94"/>
    </row>
    <row r="19" spans="1:26" ht="19.2" x14ac:dyDescent="0.15">
      <c r="A19" s="189">
        <f t="shared" si="0"/>
        <v>15</v>
      </c>
      <c r="B19" s="182"/>
      <c r="C19" s="182"/>
      <c r="D19" s="182"/>
      <c r="E19" s="183"/>
      <c r="F19" s="190" t="s">
        <v>46</v>
      </c>
      <c r="G19" s="184"/>
      <c r="H19" s="77"/>
      <c r="I19" s="78"/>
      <c r="J19" s="78"/>
      <c r="K19" s="79"/>
      <c r="L19" s="77"/>
      <c r="M19" s="80" t="s">
        <v>364</v>
      </c>
      <c r="N19" s="78"/>
      <c r="O19" s="80"/>
      <c r="P19" s="80"/>
      <c r="Q19" s="80"/>
      <c r="R19" s="78"/>
      <c r="S19" s="79"/>
      <c r="T19" s="171"/>
      <c r="U19" s="81"/>
      <c r="V19" s="82"/>
      <c r="W19" s="83"/>
      <c r="X19" s="84"/>
      <c r="Y19" s="186"/>
      <c r="Z19" s="194" t="s">
        <v>376</v>
      </c>
    </row>
    <row r="20" spans="1:26" ht="19.2" x14ac:dyDescent="0.15">
      <c r="A20" s="189">
        <f t="shared" si="0"/>
        <v>16</v>
      </c>
      <c r="B20" s="182"/>
      <c r="C20" s="182"/>
      <c r="D20" s="182"/>
      <c r="E20" s="183" t="s">
        <v>200</v>
      </c>
      <c r="F20" s="190" t="s">
        <v>47</v>
      </c>
      <c r="G20" s="184"/>
      <c r="H20" s="77"/>
      <c r="I20" s="78"/>
      <c r="J20" s="78"/>
      <c r="K20" s="79"/>
      <c r="L20" s="77"/>
      <c r="M20" s="78"/>
      <c r="N20" s="78"/>
      <c r="O20" s="80"/>
      <c r="P20" s="80"/>
      <c r="Q20" s="80"/>
      <c r="R20" s="78" t="s">
        <v>364</v>
      </c>
      <c r="S20" s="79"/>
      <c r="T20" s="171"/>
      <c r="U20" s="81"/>
      <c r="V20" s="82"/>
      <c r="W20" s="83"/>
      <c r="X20" s="84"/>
      <c r="Y20" s="186" t="s">
        <v>197</v>
      </c>
      <c r="Z20" s="194" t="s">
        <v>377</v>
      </c>
    </row>
    <row r="21" spans="1:26" ht="33.6" customHeight="1" x14ac:dyDescent="0.15">
      <c r="A21" s="140">
        <f t="shared" si="0"/>
        <v>17</v>
      </c>
      <c r="B21" s="20"/>
      <c r="C21" s="20"/>
      <c r="D21" s="20"/>
      <c r="E21" s="95"/>
      <c r="F21" s="108" t="s">
        <v>53</v>
      </c>
      <c r="G21" s="118"/>
      <c r="H21" s="21"/>
      <c r="I21" s="22"/>
      <c r="J21" s="22"/>
      <c r="K21" s="23"/>
      <c r="L21" s="21"/>
      <c r="M21" s="22"/>
      <c r="N21" s="22"/>
      <c r="O21" s="24"/>
      <c r="P21" s="24"/>
      <c r="Q21" s="24"/>
      <c r="R21" s="24" t="s">
        <v>365</v>
      </c>
      <c r="S21" s="23"/>
      <c r="T21" s="170"/>
      <c r="U21" s="25">
        <v>45685</v>
      </c>
      <c r="V21" s="26"/>
      <c r="W21" s="27"/>
      <c r="X21" s="28" t="s">
        <v>372</v>
      </c>
      <c r="Y21" s="94" t="s">
        <v>197</v>
      </c>
    </row>
    <row r="22" spans="1:26" ht="33.6" customHeight="1" x14ac:dyDescent="0.15">
      <c r="A22" s="140">
        <f t="shared" si="0"/>
        <v>18</v>
      </c>
      <c r="B22" s="20"/>
      <c r="C22" s="20"/>
      <c r="D22" s="20"/>
      <c r="E22" s="95"/>
      <c r="F22" s="108" t="s">
        <v>371</v>
      </c>
      <c r="G22" s="120"/>
      <c r="H22" s="21"/>
      <c r="I22" s="22"/>
      <c r="J22" s="22"/>
      <c r="K22" s="23"/>
      <c r="L22" s="21"/>
      <c r="M22" s="22"/>
      <c r="N22" s="22"/>
      <c r="O22" s="24"/>
      <c r="P22" s="24"/>
      <c r="Q22" s="24"/>
      <c r="R22" s="24" t="s">
        <v>365</v>
      </c>
      <c r="S22" s="23"/>
      <c r="T22" s="170"/>
      <c r="U22" s="25">
        <v>45685</v>
      </c>
      <c r="V22" s="26"/>
      <c r="W22" s="27"/>
      <c r="X22" s="28" t="s">
        <v>372</v>
      </c>
      <c r="Y22" s="94" t="s">
        <v>370</v>
      </c>
    </row>
    <row r="23" spans="1:26" ht="22.8" x14ac:dyDescent="0.15">
      <c r="A23" s="140">
        <f t="shared" si="0"/>
        <v>19</v>
      </c>
      <c r="B23" s="20"/>
      <c r="C23" s="20" t="s">
        <v>55</v>
      </c>
      <c r="D23" s="168" t="s">
        <v>203</v>
      </c>
      <c r="E23" s="95" t="s">
        <v>33</v>
      </c>
      <c r="F23" s="108" t="s">
        <v>34</v>
      </c>
      <c r="G23" s="118"/>
      <c r="H23" s="21"/>
      <c r="I23" s="22"/>
      <c r="J23" s="22"/>
      <c r="K23" s="23"/>
      <c r="L23" s="21"/>
      <c r="M23" s="24" t="s">
        <v>365</v>
      </c>
      <c r="N23" s="22"/>
      <c r="O23" s="24"/>
      <c r="P23" s="24"/>
      <c r="Q23" s="24"/>
      <c r="R23" s="22"/>
      <c r="S23" s="23"/>
      <c r="T23" s="170"/>
      <c r="U23" s="25">
        <v>45685</v>
      </c>
      <c r="V23" s="26"/>
      <c r="W23" s="27"/>
      <c r="X23" s="28" t="s">
        <v>372</v>
      </c>
      <c r="Y23" s="94"/>
    </row>
    <row r="24" spans="1:26" ht="11.4" x14ac:dyDescent="0.15">
      <c r="A24" s="140">
        <f t="shared" si="0"/>
        <v>20</v>
      </c>
      <c r="B24" s="20"/>
      <c r="C24" s="20"/>
      <c r="D24" s="101"/>
      <c r="E24" s="74" t="s">
        <v>228</v>
      </c>
      <c r="F24" s="108" t="s">
        <v>227</v>
      </c>
      <c r="G24" s="118"/>
      <c r="H24" s="21"/>
      <c r="I24" s="22"/>
      <c r="J24" s="22"/>
      <c r="K24" s="23"/>
      <c r="L24" s="21"/>
      <c r="M24" s="24"/>
      <c r="N24" s="22" t="s">
        <v>35</v>
      </c>
      <c r="O24" s="22"/>
      <c r="P24" s="24"/>
      <c r="Q24" s="24"/>
      <c r="R24" s="22"/>
      <c r="S24" s="23"/>
      <c r="T24" s="170"/>
      <c r="U24" s="25"/>
      <c r="V24" s="26"/>
      <c r="W24" s="27"/>
      <c r="X24" s="28"/>
      <c r="Y24" s="94" t="s">
        <v>226</v>
      </c>
    </row>
    <row r="25" spans="1:26" ht="22.8" x14ac:dyDescent="0.15">
      <c r="A25" s="140">
        <f t="shared" si="0"/>
        <v>21</v>
      </c>
      <c r="B25" s="20"/>
      <c r="C25" s="20"/>
      <c r="D25" s="20"/>
      <c r="E25" s="103"/>
      <c r="F25" s="108" t="s">
        <v>233</v>
      </c>
      <c r="G25" s="119"/>
      <c r="H25" s="21"/>
      <c r="I25" s="22"/>
      <c r="J25" s="22"/>
      <c r="K25" s="23"/>
      <c r="L25" s="21"/>
      <c r="M25" s="24" t="s">
        <v>35</v>
      </c>
      <c r="N25" s="22"/>
      <c r="O25" s="24"/>
      <c r="P25" s="24"/>
      <c r="Q25" s="24"/>
      <c r="R25" s="99"/>
      <c r="S25" s="23"/>
      <c r="T25" s="170"/>
      <c r="U25" s="25"/>
      <c r="V25" s="26"/>
      <c r="W25" s="27"/>
      <c r="X25" s="28"/>
      <c r="Y25" s="94"/>
    </row>
    <row r="26" spans="1:26" ht="11.4" x14ac:dyDescent="0.15">
      <c r="A26" s="140">
        <f t="shared" si="0"/>
        <v>22</v>
      </c>
      <c r="B26" s="20" t="s">
        <v>77</v>
      </c>
      <c r="C26" s="20" t="s">
        <v>32</v>
      </c>
      <c r="D26" s="20" t="s">
        <v>170</v>
      </c>
      <c r="E26" s="95" t="s">
        <v>275</v>
      </c>
      <c r="F26" s="107" t="s">
        <v>42</v>
      </c>
      <c r="G26" s="118"/>
      <c r="H26" s="77"/>
      <c r="I26" s="78"/>
      <c r="J26" s="78"/>
      <c r="K26" s="79"/>
      <c r="L26" s="77"/>
      <c r="M26" s="80"/>
      <c r="N26" s="78"/>
      <c r="O26" s="80"/>
      <c r="P26" s="80"/>
      <c r="Q26" s="80"/>
      <c r="R26" s="100"/>
      <c r="S26" s="79"/>
      <c r="T26" s="171"/>
      <c r="U26" s="81"/>
      <c r="V26" s="82"/>
      <c r="W26" s="83"/>
      <c r="X26" s="84"/>
      <c r="Y26" s="94" t="s">
        <v>342</v>
      </c>
    </row>
    <row r="27" spans="1:26" ht="11.4" x14ac:dyDescent="0.15">
      <c r="A27" s="140">
        <f t="shared" si="0"/>
        <v>23</v>
      </c>
      <c r="B27" s="20"/>
      <c r="C27" s="20"/>
      <c r="D27" s="20"/>
      <c r="E27" s="95" t="s">
        <v>33</v>
      </c>
      <c r="F27" s="107" t="s">
        <v>283</v>
      </c>
      <c r="G27" s="118"/>
      <c r="H27" s="21"/>
      <c r="I27" s="22"/>
      <c r="J27" s="22"/>
      <c r="K27" s="23"/>
      <c r="L27" s="21"/>
      <c r="M27" s="24" t="s">
        <v>365</v>
      </c>
      <c r="N27" s="22"/>
      <c r="O27" s="24"/>
      <c r="P27" s="24"/>
      <c r="Q27" s="24"/>
      <c r="R27" s="99"/>
      <c r="S27" s="23"/>
      <c r="T27" s="170"/>
      <c r="U27" s="25">
        <v>45685</v>
      </c>
      <c r="V27" s="26"/>
      <c r="W27" s="27"/>
      <c r="X27" s="28" t="s">
        <v>372</v>
      </c>
      <c r="Y27" s="94" t="s">
        <v>342</v>
      </c>
    </row>
    <row r="28" spans="1:26" ht="11.4" x14ac:dyDescent="0.15">
      <c r="A28" s="140">
        <f t="shared" si="0"/>
        <v>24</v>
      </c>
      <c r="B28" s="20"/>
      <c r="C28" s="20"/>
      <c r="D28" s="20"/>
      <c r="E28" s="95" t="s">
        <v>36</v>
      </c>
      <c r="F28" s="108" t="s">
        <v>37</v>
      </c>
      <c r="G28" s="119"/>
      <c r="H28" s="21"/>
      <c r="I28" s="22"/>
      <c r="J28" s="22"/>
      <c r="K28" s="23"/>
      <c r="L28" s="21"/>
      <c r="M28" s="24" t="s">
        <v>365</v>
      </c>
      <c r="N28" s="22"/>
      <c r="O28" s="24"/>
      <c r="P28" s="24"/>
      <c r="Q28" s="24"/>
      <c r="R28" s="99"/>
      <c r="S28" s="23"/>
      <c r="T28" s="170"/>
      <c r="U28" s="25">
        <v>45685</v>
      </c>
      <c r="V28" s="26"/>
      <c r="W28" s="27"/>
      <c r="X28" s="28" t="s">
        <v>372</v>
      </c>
      <c r="Y28" s="94" t="s">
        <v>342</v>
      </c>
    </row>
    <row r="29" spans="1:26" ht="11.4" x14ac:dyDescent="0.15">
      <c r="A29" s="140">
        <f t="shared" si="0"/>
        <v>25</v>
      </c>
      <c r="B29" s="20"/>
      <c r="C29" s="20"/>
      <c r="D29" s="20"/>
      <c r="E29" s="95" t="s">
        <v>43</v>
      </c>
      <c r="F29" s="108" t="s">
        <v>37</v>
      </c>
      <c r="G29" s="119"/>
      <c r="H29" s="21"/>
      <c r="I29" s="22"/>
      <c r="J29" s="22"/>
      <c r="K29" s="23"/>
      <c r="L29" s="21"/>
      <c r="M29" s="24" t="s">
        <v>365</v>
      </c>
      <c r="N29" s="22"/>
      <c r="O29" s="24"/>
      <c r="P29" s="24"/>
      <c r="Q29" s="24"/>
      <c r="R29" s="99"/>
      <c r="S29" s="23"/>
      <c r="T29" s="170"/>
      <c r="U29" s="25">
        <v>45685</v>
      </c>
      <c r="V29" s="26"/>
      <c r="W29" s="27"/>
      <c r="X29" s="28" t="s">
        <v>372</v>
      </c>
      <c r="Y29" s="94" t="s">
        <v>342</v>
      </c>
    </row>
    <row r="30" spans="1:26" ht="11.4" x14ac:dyDescent="0.15">
      <c r="A30" s="140">
        <f t="shared" si="0"/>
        <v>26</v>
      </c>
      <c r="B30" s="20"/>
      <c r="C30" s="20"/>
      <c r="D30" s="20"/>
      <c r="E30" s="95" t="s">
        <v>44</v>
      </c>
      <c r="F30" s="108" t="s">
        <v>45</v>
      </c>
      <c r="G30" s="119"/>
      <c r="H30" s="21"/>
      <c r="I30" s="22"/>
      <c r="J30" s="22"/>
      <c r="K30" s="23"/>
      <c r="L30" s="21"/>
      <c r="M30" s="24" t="s">
        <v>365</v>
      </c>
      <c r="N30" s="22"/>
      <c r="O30" s="24"/>
      <c r="P30" s="24"/>
      <c r="Q30" s="24"/>
      <c r="R30" s="22"/>
      <c r="S30" s="23"/>
      <c r="T30" s="170"/>
      <c r="U30" s="25">
        <v>45685</v>
      </c>
      <c r="V30" s="26"/>
      <c r="W30" s="27"/>
      <c r="X30" s="28" t="s">
        <v>372</v>
      </c>
      <c r="Y30" s="94" t="s">
        <v>342</v>
      </c>
    </row>
    <row r="31" spans="1:26" ht="19.2" x14ac:dyDescent="0.15">
      <c r="A31" s="189">
        <f t="shared" si="0"/>
        <v>27</v>
      </c>
      <c r="B31" s="182"/>
      <c r="C31" s="182"/>
      <c r="D31" s="182"/>
      <c r="E31" s="183"/>
      <c r="F31" s="190" t="s">
        <v>46</v>
      </c>
      <c r="G31" s="184"/>
      <c r="H31" s="77"/>
      <c r="I31" s="78"/>
      <c r="J31" s="78"/>
      <c r="K31" s="79"/>
      <c r="L31" s="77"/>
      <c r="M31" s="80" t="s">
        <v>364</v>
      </c>
      <c r="N31" s="78"/>
      <c r="O31" s="80"/>
      <c r="P31" s="80"/>
      <c r="Q31" s="80"/>
      <c r="R31" s="78"/>
      <c r="S31" s="79"/>
      <c r="T31" s="171"/>
      <c r="U31" s="81"/>
      <c r="V31" s="82"/>
      <c r="W31" s="83"/>
      <c r="X31" s="84"/>
      <c r="Y31" s="186" t="s">
        <v>342</v>
      </c>
      <c r="Z31" s="194" t="s">
        <v>376</v>
      </c>
    </row>
    <row r="32" spans="1:26" ht="19.2" x14ac:dyDescent="0.15">
      <c r="A32" s="189">
        <f t="shared" si="0"/>
        <v>28</v>
      </c>
      <c r="B32" s="182"/>
      <c r="C32" s="182"/>
      <c r="D32" s="182"/>
      <c r="E32" s="183" t="s">
        <v>199</v>
      </c>
      <c r="F32" s="190" t="s">
        <v>168</v>
      </c>
      <c r="G32" s="184"/>
      <c r="H32" s="77"/>
      <c r="I32" s="78"/>
      <c r="J32" s="78"/>
      <c r="K32" s="79"/>
      <c r="L32" s="77"/>
      <c r="M32" s="78"/>
      <c r="N32" s="78"/>
      <c r="O32" s="80"/>
      <c r="P32" s="80"/>
      <c r="Q32" s="80"/>
      <c r="R32" s="78" t="s">
        <v>364</v>
      </c>
      <c r="S32" s="79"/>
      <c r="T32" s="171"/>
      <c r="U32" s="81"/>
      <c r="V32" s="82"/>
      <c r="W32" s="83"/>
      <c r="X32" s="84"/>
      <c r="Y32" s="186" t="s">
        <v>342</v>
      </c>
      <c r="Z32" s="194" t="s">
        <v>377</v>
      </c>
    </row>
    <row r="33" spans="1:26" ht="23.4" customHeight="1" x14ac:dyDescent="0.15">
      <c r="A33" s="140">
        <f t="shared" si="0"/>
        <v>29</v>
      </c>
      <c r="B33" s="20"/>
      <c r="C33" s="20"/>
      <c r="D33" s="20"/>
      <c r="E33" s="30"/>
      <c r="F33" s="108" t="s">
        <v>78</v>
      </c>
      <c r="G33" s="118"/>
      <c r="H33" s="21"/>
      <c r="I33" s="22"/>
      <c r="J33" s="22"/>
      <c r="K33" s="23"/>
      <c r="L33" s="21"/>
      <c r="M33" s="22"/>
      <c r="N33" s="22"/>
      <c r="O33" s="24"/>
      <c r="P33" s="24"/>
      <c r="Q33" s="24"/>
      <c r="R33" s="24" t="s">
        <v>365</v>
      </c>
      <c r="S33" s="23"/>
      <c r="T33" s="170"/>
      <c r="U33" s="25">
        <v>45685</v>
      </c>
      <c r="V33" s="26"/>
      <c r="W33" s="27"/>
      <c r="X33" s="28" t="s">
        <v>372</v>
      </c>
      <c r="Y33" s="94" t="s">
        <v>342</v>
      </c>
    </row>
    <row r="34" spans="1:26" ht="33.6" customHeight="1" x14ac:dyDescent="0.15">
      <c r="A34" s="140">
        <f t="shared" si="0"/>
        <v>30</v>
      </c>
      <c r="B34" s="20"/>
      <c r="C34" s="20"/>
      <c r="D34" s="20"/>
      <c r="E34" s="74"/>
      <c r="F34" s="108" t="s">
        <v>368</v>
      </c>
      <c r="G34" s="120"/>
      <c r="H34" s="21"/>
      <c r="I34" s="22"/>
      <c r="J34" s="22"/>
      <c r="K34" s="23"/>
      <c r="L34" s="21"/>
      <c r="M34" s="22"/>
      <c r="N34" s="22"/>
      <c r="O34" s="24"/>
      <c r="P34" s="24"/>
      <c r="Q34" s="24"/>
      <c r="R34" s="24" t="s">
        <v>365</v>
      </c>
      <c r="S34" s="23"/>
      <c r="T34" s="170"/>
      <c r="U34" s="25">
        <v>45685</v>
      </c>
      <c r="V34" s="26"/>
      <c r="W34" s="27"/>
      <c r="X34" s="28" t="s">
        <v>372</v>
      </c>
      <c r="Y34" s="94" t="s">
        <v>342</v>
      </c>
    </row>
    <row r="35" spans="1:26" ht="11.4" x14ac:dyDescent="0.15">
      <c r="A35" s="140">
        <f t="shared" si="0"/>
        <v>31</v>
      </c>
      <c r="B35" s="20"/>
      <c r="C35" s="20" t="s">
        <v>52</v>
      </c>
      <c r="D35" s="20" t="s">
        <v>171</v>
      </c>
      <c r="E35" s="95" t="s">
        <v>276</v>
      </c>
      <c r="F35" s="108" t="s">
        <v>42</v>
      </c>
      <c r="G35" s="118"/>
      <c r="H35" s="77"/>
      <c r="I35" s="78"/>
      <c r="J35" s="78"/>
      <c r="K35" s="79"/>
      <c r="L35" s="77"/>
      <c r="M35" s="80"/>
      <c r="N35" s="78"/>
      <c r="O35" s="80"/>
      <c r="P35" s="80"/>
      <c r="Q35" s="80"/>
      <c r="R35" s="100"/>
      <c r="S35" s="79"/>
      <c r="T35" s="171"/>
      <c r="U35" s="81"/>
      <c r="V35" s="82"/>
      <c r="W35" s="83"/>
      <c r="X35" s="84"/>
      <c r="Y35" s="94" t="s">
        <v>343</v>
      </c>
    </row>
    <row r="36" spans="1:26" ht="11.4" x14ac:dyDescent="0.15">
      <c r="A36" s="140">
        <f t="shared" si="0"/>
        <v>32</v>
      </c>
      <c r="B36" s="20"/>
      <c r="C36" s="20"/>
      <c r="D36" s="20"/>
      <c r="E36" s="30" t="s">
        <v>33</v>
      </c>
      <c r="F36" s="108" t="s">
        <v>284</v>
      </c>
      <c r="G36" s="118"/>
      <c r="H36" s="21"/>
      <c r="I36" s="22"/>
      <c r="J36" s="22"/>
      <c r="K36" s="23"/>
      <c r="L36" s="21"/>
      <c r="M36" s="24" t="s">
        <v>365</v>
      </c>
      <c r="N36" s="22"/>
      <c r="O36" s="24"/>
      <c r="P36" s="24"/>
      <c r="Q36" s="24"/>
      <c r="R36" s="99"/>
      <c r="S36" s="23"/>
      <c r="T36" s="170"/>
      <c r="U36" s="25">
        <v>45685</v>
      </c>
      <c r="V36" s="26"/>
      <c r="W36" s="27"/>
      <c r="X36" s="28" t="s">
        <v>372</v>
      </c>
      <c r="Y36" s="94" t="s">
        <v>343</v>
      </c>
    </row>
    <row r="37" spans="1:26" ht="11.4" x14ac:dyDescent="0.15">
      <c r="A37" s="140">
        <f t="shared" si="0"/>
        <v>33</v>
      </c>
      <c r="B37" s="20"/>
      <c r="C37" s="20"/>
      <c r="D37" s="20"/>
      <c r="E37" s="95" t="s">
        <v>36</v>
      </c>
      <c r="F37" s="108" t="s">
        <v>37</v>
      </c>
      <c r="G37" s="119"/>
      <c r="H37" s="21"/>
      <c r="I37" s="22"/>
      <c r="J37" s="22"/>
      <c r="K37" s="23"/>
      <c r="L37" s="21"/>
      <c r="M37" s="24" t="s">
        <v>365</v>
      </c>
      <c r="N37" s="22"/>
      <c r="O37" s="24"/>
      <c r="P37" s="24"/>
      <c r="Q37" s="24"/>
      <c r="R37" s="99"/>
      <c r="S37" s="23"/>
      <c r="T37" s="170"/>
      <c r="U37" s="25">
        <v>45685</v>
      </c>
      <c r="V37" s="26"/>
      <c r="W37" s="27"/>
      <c r="X37" s="28" t="s">
        <v>372</v>
      </c>
      <c r="Y37" s="94" t="s">
        <v>343</v>
      </c>
    </row>
    <row r="38" spans="1:26" ht="11.4" x14ac:dyDescent="0.15">
      <c r="A38" s="140">
        <f t="shared" si="0"/>
        <v>34</v>
      </c>
      <c r="B38" s="20"/>
      <c r="C38" s="20"/>
      <c r="D38" s="20"/>
      <c r="E38" s="95" t="s">
        <v>43</v>
      </c>
      <c r="F38" s="108" t="s">
        <v>37</v>
      </c>
      <c r="G38" s="119"/>
      <c r="H38" s="21"/>
      <c r="I38" s="22"/>
      <c r="J38" s="22"/>
      <c r="K38" s="23"/>
      <c r="L38" s="21"/>
      <c r="M38" s="24" t="s">
        <v>365</v>
      </c>
      <c r="N38" s="22"/>
      <c r="O38" s="24"/>
      <c r="P38" s="24"/>
      <c r="Q38" s="24"/>
      <c r="R38" s="99"/>
      <c r="S38" s="23"/>
      <c r="T38" s="170"/>
      <c r="U38" s="25">
        <v>45685</v>
      </c>
      <c r="V38" s="26"/>
      <c r="W38" s="27"/>
      <c r="X38" s="28" t="s">
        <v>372</v>
      </c>
      <c r="Y38" s="94" t="s">
        <v>343</v>
      </c>
    </row>
    <row r="39" spans="1:26" ht="11.4" x14ac:dyDescent="0.15">
      <c r="A39" s="140">
        <f t="shared" si="0"/>
        <v>35</v>
      </c>
      <c r="B39" s="20"/>
      <c r="C39" s="20"/>
      <c r="D39" s="20"/>
      <c r="E39" s="95" t="s">
        <v>44</v>
      </c>
      <c r="F39" s="108" t="s">
        <v>45</v>
      </c>
      <c r="G39" s="119"/>
      <c r="H39" s="21"/>
      <c r="I39" s="22"/>
      <c r="J39" s="22"/>
      <c r="K39" s="23"/>
      <c r="L39" s="21"/>
      <c r="M39" s="24" t="s">
        <v>365</v>
      </c>
      <c r="N39" s="22"/>
      <c r="O39" s="24"/>
      <c r="P39" s="24"/>
      <c r="Q39" s="24"/>
      <c r="R39" s="22"/>
      <c r="S39" s="23"/>
      <c r="T39" s="170"/>
      <c r="U39" s="25">
        <v>45685</v>
      </c>
      <c r="V39" s="26"/>
      <c r="W39" s="27"/>
      <c r="X39" s="28" t="s">
        <v>372</v>
      </c>
      <c r="Y39" s="94" t="s">
        <v>343</v>
      </c>
    </row>
    <row r="40" spans="1:26" ht="34.200000000000003" x14ac:dyDescent="0.15">
      <c r="A40" s="189">
        <f t="shared" si="0"/>
        <v>36</v>
      </c>
      <c r="B40" s="182"/>
      <c r="C40" s="182"/>
      <c r="D40" s="182"/>
      <c r="E40" s="183"/>
      <c r="F40" s="190" t="s">
        <v>46</v>
      </c>
      <c r="G40" s="184"/>
      <c r="H40" s="77"/>
      <c r="I40" s="78"/>
      <c r="J40" s="78"/>
      <c r="K40" s="79"/>
      <c r="L40" s="77"/>
      <c r="M40" s="80" t="s">
        <v>364</v>
      </c>
      <c r="N40" s="78"/>
      <c r="O40" s="80"/>
      <c r="P40" s="80"/>
      <c r="Q40" s="80"/>
      <c r="R40" s="78"/>
      <c r="S40" s="79"/>
      <c r="T40" s="171"/>
      <c r="U40" s="81"/>
      <c r="V40" s="82"/>
      <c r="W40" s="83"/>
      <c r="X40" s="84"/>
      <c r="Y40" s="186" t="s">
        <v>367</v>
      </c>
      <c r="Z40" s="194" t="s">
        <v>376</v>
      </c>
    </row>
    <row r="41" spans="1:26" ht="15" customHeight="1" x14ac:dyDescent="0.15">
      <c r="A41" s="189">
        <f t="shared" si="0"/>
        <v>37</v>
      </c>
      <c r="B41" s="182"/>
      <c r="C41" s="182"/>
      <c r="D41" s="182"/>
      <c r="E41" s="183" t="s">
        <v>200</v>
      </c>
      <c r="F41" s="190" t="s">
        <v>168</v>
      </c>
      <c r="G41" s="184"/>
      <c r="H41" s="77"/>
      <c r="I41" s="78"/>
      <c r="J41" s="78"/>
      <c r="K41" s="79"/>
      <c r="L41" s="77"/>
      <c r="M41" s="78"/>
      <c r="N41" s="78"/>
      <c r="O41" s="80"/>
      <c r="P41" s="80"/>
      <c r="Q41" s="80"/>
      <c r="R41" s="78" t="s">
        <v>364</v>
      </c>
      <c r="S41" s="79"/>
      <c r="T41" s="171"/>
      <c r="U41" s="81"/>
      <c r="V41" s="82"/>
      <c r="W41" s="83"/>
      <c r="X41" s="84"/>
      <c r="Y41" s="186" t="s">
        <v>343</v>
      </c>
      <c r="Z41" s="194" t="s">
        <v>377</v>
      </c>
    </row>
    <row r="42" spans="1:26" ht="22.8" x14ac:dyDescent="0.15">
      <c r="A42" s="140">
        <f t="shared" si="0"/>
        <v>38</v>
      </c>
      <c r="B42" s="20"/>
      <c r="C42" s="20"/>
      <c r="D42" s="20"/>
      <c r="E42" s="95"/>
      <c r="F42" s="108" t="s">
        <v>80</v>
      </c>
      <c r="G42" s="118"/>
      <c r="H42" s="21"/>
      <c r="I42" s="22"/>
      <c r="J42" s="22"/>
      <c r="K42" s="23"/>
      <c r="L42" s="21"/>
      <c r="M42" s="22"/>
      <c r="N42" s="22"/>
      <c r="O42" s="24"/>
      <c r="P42" s="24"/>
      <c r="Q42" s="24"/>
      <c r="R42" s="24" t="s">
        <v>365</v>
      </c>
      <c r="S42" s="23"/>
      <c r="T42" s="170"/>
      <c r="U42" s="25">
        <v>45685</v>
      </c>
      <c r="V42" s="26"/>
      <c r="W42" s="27"/>
      <c r="X42" s="28" t="s">
        <v>372</v>
      </c>
      <c r="Y42" s="94" t="s">
        <v>343</v>
      </c>
    </row>
    <row r="43" spans="1:26" ht="33.6" customHeight="1" x14ac:dyDescent="0.15">
      <c r="A43" s="140">
        <f t="shared" si="0"/>
        <v>39</v>
      </c>
      <c r="B43" s="20"/>
      <c r="C43" s="20"/>
      <c r="D43" s="20"/>
      <c r="E43" s="74"/>
      <c r="F43" s="108" t="s">
        <v>371</v>
      </c>
      <c r="G43" s="120"/>
      <c r="H43" s="21"/>
      <c r="I43" s="22"/>
      <c r="J43" s="22"/>
      <c r="K43" s="23"/>
      <c r="L43" s="21"/>
      <c r="M43" s="22"/>
      <c r="N43" s="22"/>
      <c r="O43" s="24"/>
      <c r="P43" s="24"/>
      <c r="Q43" s="24"/>
      <c r="R43" s="24" t="s">
        <v>365</v>
      </c>
      <c r="S43" s="23"/>
      <c r="T43" s="170"/>
      <c r="U43" s="25">
        <v>45685</v>
      </c>
      <c r="V43" s="26"/>
      <c r="W43" s="27"/>
      <c r="X43" s="28" t="s">
        <v>372</v>
      </c>
      <c r="Y43" s="94" t="s">
        <v>343</v>
      </c>
    </row>
    <row r="44" spans="1:26" ht="22.8" x14ac:dyDescent="0.15">
      <c r="A44" s="140">
        <f t="shared" si="0"/>
        <v>40</v>
      </c>
      <c r="B44" s="20"/>
      <c r="C44" s="20" t="s">
        <v>84</v>
      </c>
      <c r="D44" s="168" t="s">
        <v>175</v>
      </c>
      <c r="E44" s="95" t="s">
        <v>56</v>
      </c>
      <c r="F44" s="108" t="s">
        <v>37</v>
      </c>
      <c r="G44" s="119"/>
      <c r="H44" s="21"/>
      <c r="I44" s="22"/>
      <c r="J44" s="22"/>
      <c r="K44" s="23"/>
      <c r="L44" s="21"/>
      <c r="M44" s="24" t="s">
        <v>365</v>
      </c>
      <c r="N44" s="22"/>
      <c r="O44" s="24"/>
      <c r="P44" s="24"/>
      <c r="Q44" s="24"/>
      <c r="R44" s="99"/>
      <c r="S44" s="23"/>
      <c r="T44" s="170"/>
      <c r="U44" s="25">
        <v>45685</v>
      </c>
      <c r="V44" s="26"/>
      <c r="W44" s="27"/>
      <c r="X44" s="28" t="s">
        <v>372</v>
      </c>
      <c r="Y44" s="94"/>
    </row>
    <row r="45" spans="1:26" ht="11.4" x14ac:dyDescent="0.15">
      <c r="A45" s="140">
        <f t="shared" si="0"/>
        <v>41</v>
      </c>
      <c r="B45" s="20"/>
      <c r="C45" s="20"/>
      <c r="D45" s="168"/>
      <c r="E45" s="95" t="s">
        <v>85</v>
      </c>
      <c r="F45" s="108" t="s">
        <v>37</v>
      </c>
      <c r="G45" s="119"/>
      <c r="H45" s="21"/>
      <c r="I45" s="22"/>
      <c r="J45" s="22"/>
      <c r="K45" s="23"/>
      <c r="L45" s="21"/>
      <c r="M45" s="24" t="s">
        <v>365</v>
      </c>
      <c r="N45" s="22"/>
      <c r="O45" s="24"/>
      <c r="P45" s="24"/>
      <c r="Q45" s="24"/>
      <c r="R45" s="99"/>
      <c r="S45" s="23"/>
      <c r="T45" s="170"/>
      <c r="U45" s="25">
        <v>45685</v>
      </c>
      <c r="V45" s="26"/>
      <c r="W45" s="27"/>
      <c r="X45" s="28" t="s">
        <v>372</v>
      </c>
      <c r="Y45" s="94"/>
    </row>
    <row r="46" spans="1:26" ht="11.4" x14ac:dyDescent="0.15">
      <c r="A46" s="140">
        <f t="shared" si="0"/>
        <v>42</v>
      </c>
      <c r="B46" s="20"/>
      <c r="C46" s="20"/>
      <c r="D46" s="168"/>
      <c r="E46" s="95" t="s">
        <v>92</v>
      </c>
      <c r="F46" s="108" t="s">
        <v>37</v>
      </c>
      <c r="G46" s="119"/>
      <c r="H46" s="21"/>
      <c r="I46" s="22"/>
      <c r="J46" s="22"/>
      <c r="K46" s="23"/>
      <c r="L46" s="21"/>
      <c r="M46" s="24" t="s">
        <v>365</v>
      </c>
      <c r="N46" s="22"/>
      <c r="O46" s="24"/>
      <c r="P46" s="24"/>
      <c r="Q46" s="24"/>
      <c r="R46" s="99"/>
      <c r="S46" s="23"/>
      <c r="T46" s="170"/>
      <c r="U46" s="25">
        <v>45685</v>
      </c>
      <c r="V46" s="26"/>
      <c r="W46" s="27"/>
      <c r="X46" s="28" t="s">
        <v>372</v>
      </c>
      <c r="Y46" s="94"/>
    </row>
    <row r="47" spans="1:26" ht="11.4" x14ac:dyDescent="0.15">
      <c r="A47" s="140">
        <f t="shared" si="0"/>
        <v>43</v>
      </c>
      <c r="B47" s="20"/>
      <c r="C47" s="20"/>
      <c r="D47" s="168"/>
      <c r="E47" s="95" t="s">
        <v>93</v>
      </c>
      <c r="F47" s="108" t="s">
        <v>88</v>
      </c>
      <c r="G47" s="119"/>
      <c r="H47" s="21"/>
      <c r="I47" s="22"/>
      <c r="J47" s="22"/>
      <c r="K47" s="23"/>
      <c r="L47" s="21"/>
      <c r="M47" s="24" t="s">
        <v>365</v>
      </c>
      <c r="N47" s="22"/>
      <c r="O47" s="24"/>
      <c r="P47" s="24"/>
      <c r="Q47" s="24"/>
      <c r="R47" s="99"/>
      <c r="S47" s="23"/>
      <c r="T47" s="170"/>
      <c r="U47" s="25">
        <v>45685</v>
      </c>
      <c r="V47" s="26"/>
      <c r="W47" s="27"/>
      <c r="X47" s="28" t="s">
        <v>372</v>
      </c>
      <c r="Y47" s="94"/>
    </row>
    <row r="48" spans="1:26" ht="11.4" x14ac:dyDescent="0.15">
      <c r="A48" s="140">
        <f t="shared" si="0"/>
        <v>44</v>
      </c>
      <c r="B48" s="20"/>
      <c r="C48" s="20"/>
      <c r="D48" s="168"/>
      <c r="E48" s="95" t="s">
        <v>89</v>
      </c>
      <c r="F48" s="108" t="s">
        <v>94</v>
      </c>
      <c r="G48" s="119"/>
      <c r="H48" s="21"/>
      <c r="I48" s="22"/>
      <c r="J48" s="22"/>
      <c r="K48" s="23"/>
      <c r="L48" s="21"/>
      <c r="M48" s="24" t="s">
        <v>365</v>
      </c>
      <c r="N48" s="22"/>
      <c r="O48" s="24"/>
      <c r="P48" s="24"/>
      <c r="Q48" s="24"/>
      <c r="R48" s="99"/>
      <c r="S48" s="23"/>
      <c r="T48" s="170"/>
      <c r="U48" s="25">
        <v>45685</v>
      </c>
      <c r="V48" s="26"/>
      <c r="W48" s="27"/>
      <c r="X48" s="28" t="s">
        <v>372</v>
      </c>
      <c r="Y48" s="94"/>
    </row>
    <row r="49" spans="1:26" ht="11.4" x14ac:dyDescent="0.15">
      <c r="A49" s="140">
        <f t="shared" si="0"/>
        <v>45</v>
      </c>
      <c r="B49" s="20"/>
      <c r="C49" s="20"/>
      <c r="D49" s="168"/>
      <c r="E49" s="95" t="s">
        <v>229</v>
      </c>
      <c r="F49" s="108" t="s">
        <v>42</v>
      </c>
      <c r="G49" s="119"/>
      <c r="H49" s="85"/>
      <c r="I49" s="78"/>
      <c r="J49" s="78"/>
      <c r="K49" s="79"/>
      <c r="L49" s="77"/>
      <c r="M49" s="80"/>
      <c r="N49" s="78"/>
      <c r="O49" s="80"/>
      <c r="P49" s="80"/>
      <c r="Q49" s="80"/>
      <c r="R49" s="100"/>
      <c r="S49" s="79"/>
      <c r="T49" s="171"/>
      <c r="U49" s="81"/>
      <c r="V49" s="82"/>
      <c r="W49" s="83"/>
      <c r="X49" s="84"/>
      <c r="Y49" s="94" t="s">
        <v>230</v>
      </c>
    </row>
    <row r="50" spans="1:26" ht="22.8" x14ac:dyDescent="0.15">
      <c r="A50" s="140">
        <f t="shared" si="0"/>
        <v>46</v>
      </c>
      <c r="B50" s="20"/>
      <c r="C50" s="20"/>
      <c r="D50" s="168" t="s">
        <v>176</v>
      </c>
      <c r="E50" s="95" t="s">
        <v>56</v>
      </c>
      <c r="F50" s="108" t="s">
        <v>37</v>
      </c>
      <c r="G50" s="119"/>
      <c r="H50" s="21"/>
      <c r="I50" s="22"/>
      <c r="J50" s="22"/>
      <c r="K50" s="23"/>
      <c r="L50" s="21"/>
      <c r="M50" s="24" t="s">
        <v>365</v>
      </c>
      <c r="N50" s="22"/>
      <c r="O50" s="24"/>
      <c r="P50" s="24"/>
      <c r="Q50" s="24"/>
      <c r="R50" s="99"/>
      <c r="S50" s="23"/>
      <c r="T50" s="170"/>
      <c r="U50" s="25">
        <v>45685</v>
      </c>
      <c r="V50" s="26"/>
      <c r="W50" s="27"/>
      <c r="X50" s="28" t="s">
        <v>372</v>
      </c>
      <c r="Y50" s="94"/>
    </row>
    <row r="51" spans="1:26" ht="11.4" x14ac:dyDescent="0.15">
      <c r="A51" s="140">
        <f t="shared" si="0"/>
        <v>47</v>
      </c>
      <c r="B51" s="20"/>
      <c r="C51" s="20"/>
      <c r="D51" s="20"/>
      <c r="E51" s="95" t="s">
        <v>85</v>
      </c>
      <c r="F51" s="108" t="s">
        <v>37</v>
      </c>
      <c r="G51" s="119"/>
      <c r="H51" s="21"/>
      <c r="I51" s="22"/>
      <c r="J51" s="22"/>
      <c r="K51" s="23"/>
      <c r="L51" s="21"/>
      <c r="M51" s="24" t="s">
        <v>365</v>
      </c>
      <c r="N51" s="22"/>
      <c r="O51" s="24"/>
      <c r="P51" s="24"/>
      <c r="Q51" s="24"/>
      <c r="R51" s="99"/>
      <c r="S51" s="23"/>
      <c r="T51" s="170"/>
      <c r="U51" s="25">
        <v>45685</v>
      </c>
      <c r="V51" s="26"/>
      <c r="W51" s="27"/>
      <c r="X51" s="28" t="s">
        <v>372</v>
      </c>
      <c r="Y51" s="94"/>
    </row>
    <row r="52" spans="1:26" ht="11.4" x14ac:dyDescent="0.15">
      <c r="A52" s="140">
        <f t="shared" si="0"/>
        <v>48</v>
      </c>
      <c r="B52" s="20"/>
      <c r="C52" s="20"/>
      <c r="D52" s="20"/>
      <c r="E52" s="95" t="s">
        <v>92</v>
      </c>
      <c r="F52" s="108" t="s">
        <v>37</v>
      </c>
      <c r="G52" s="119"/>
      <c r="H52" s="21"/>
      <c r="I52" s="22"/>
      <c r="J52" s="22"/>
      <c r="K52" s="23"/>
      <c r="L52" s="21"/>
      <c r="M52" s="24" t="s">
        <v>365</v>
      </c>
      <c r="N52" s="22"/>
      <c r="O52" s="24"/>
      <c r="P52" s="24"/>
      <c r="Q52" s="24"/>
      <c r="R52" s="99"/>
      <c r="S52" s="23"/>
      <c r="T52" s="170"/>
      <c r="U52" s="25">
        <v>45685</v>
      </c>
      <c r="V52" s="26"/>
      <c r="W52" s="27"/>
      <c r="X52" s="28" t="s">
        <v>372</v>
      </c>
      <c r="Y52" s="94"/>
    </row>
    <row r="53" spans="1:26" ht="11.4" x14ac:dyDescent="0.15">
      <c r="A53" s="140">
        <f t="shared" si="0"/>
        <v>49</v>
      </c>
      <c r="B53" s="20"/>
      <c r="C53" s="20"/>
      <c r="D53" s="20"/>
      <c r="E53" s="95" t="s">
        <v>93</v>
      </c>
      <c r="F53" s="108" t="s">
        <v>88</v>
      </c>
      <c r="G53" s="119"/>
      <c r="H53" s="21"/>
      <c r="I53" s="22"/>
      <c r="J53" s="22"/>
      <c r="K53" s="23"/>
      <c r="L53" s="21"/>
      <c r="M53" s="24" t="s">
        <v>365</v>
      </c>
      <c r="N53" s="22"/>
      <c r="O53" s="24"/>
      <c r="P53" s="24"/>
      <c r="Q53" s="24"/>
      <c r="R53" s="99"/>
      <c r="S53" s="23"/>
      <c r="T53" s="170"/>
      <c r="U53" s="25">
        <v>45685</v>
      </c>
      <c r="V53" s="26"/>
      <c r="W53" s="27"/>
      <c r="X53" s="28" t="s">
        <v>372</v>
      </c>
      <c r="Y53" s="94"/>
    </row>
    <row r="54" spans="1:26" ht="24" customHeight="1" x14ac:dyDescent="0.15">
      <c r="A54" s="140">
        <f t="shared" si="0"/>
        <v>50</v>
      </c>
      <c r="B54" s="20"/>
      <c r="C54" s="20"/>
      <c r="D54" s="20"/>
      <c r="E54" s="95" t="s">
        <v>89</v>
      </c>
      <c r="F54" s="108" t="s">
        <v>231</v>
      </c>
      <c r="G54" s="119"/>
      <c r="H54" s="21"/>
      <c r="I54" s="22"/>
      <c r="J54" s="22"/>
      <c r="K54" s="23"/>
      <c r="L54" s="21"/>
      <c r="M54" s="24" t="s">
        <v>365</v>
      </c>
      <c r="N54" s="22"/>
      <c r="O54" s="24"/>
      <c r="P54" s="24"/>
      <c r="Q54" s="24"/>
      <c r="R54" s="135"/>
      <c r="S54" s="23"/>
      <c r="T54" s="170"/>
      <c r="U54" s="25">
        <v>45685</v>
      </c>
      <c r="V54" s="26"/>
      <c r="W54" s="27"/>
      <c r="X54" s="28" t="s">
        <v>372</v>
      </c>
      <c r="Y54" s="94"/>
    </row>
    <row r="55" spans="1:26" ht="11.4" hidden="1" x14ac:dyDescent="0.15">
      <c r="A55" s="19">
        <f t="shared" ref="A55:A62" si="1">ROW()-2</f>
        <v>53</v>
      </c>
      <c r="B55" s="31"/>
      <c r="C55" s="31"/>
      <c r="D55" s="30"/>
      <c r="E55" s="30"/>
      <c r="F55" s="109"/>
      <c r="G55" s="71"/>
      <c r="H55" s="21"/>
      <c r="I55" s="22"/>
      <c r="J55" s="22"/>
      <c r="K55" s="23"/>
      <c r="L55" s="21"/>
      <c r="M55" s="22"/>
      <c r="N55" s="22"/>
      <c r="O55" s="24"/>
      <c r="P55" s="24"/>
      <c r="Q55" s="24"/>
      <c r="R55" s="104"/>
      <c r="S55" s="23"/>
      <c r="T55" s="170"/>
      <c r="U55" s="25"/>
      <c r="V55" s="26"/>
      <c r="W55" s="27"/>
      <c r="X55" s="28"/>
      <c r="Y55" s="29"/>
    </row>
    <row r="56" spans="1:26" ht="11.4" hidden="1" x14ac:dyDescent="0.15">
      <c r="A56" s="19">
        <f t="shared" si="1"/>
        <v>54</v>
      </c>
      <c r="B56" s="31"/>
      <c r="C56" s="31"/>
      <c r="D56" s="30"/>
      <c r="E56" s="30"/>
      <c r="F56" s="109"/>
      <c r="G56" s="71"/>
      <c r="H56" s="21"/>
      <c r="I56" s="22"/>
      <c r="J56" s="22"/>
      <c r="K56" s="23"/>
      <c r="L56" s="21"/>
      <c r="M56" s="22"/>
      <c r="N56" s="22"/>
      <c r="O56" s="24"/>
      <c r="P56" s="24"/>
      <c r="Q56" s="24"/>
      <c r="R56" s="22"/>
      <c r="S56" s="23"/>
      <c r="T56" s="170"/>
      <c r="U56" s="25"/>
      <c r="V56" s="26"/>
      <c r="W56" s="27"/>
      <c r="X56" s="28"/>
      <c r="Y56" s="29"/>
    </row>
    <row r="57" spans="1:26" ht="11.4" hidden="1" x14ac:dyDescent="0.15">
      <c r="A57" s="19">
        <f t="shared" si="1"/>
        <v>55</v>
      </c>
      <c r="B57" s="31"/>
      <c r="C57" s="20"/>
      <c r="D57" s="20"/>
      <c r="E57" s="30"/>
      <c r="F57" s="109"/>
      <c r="G57" s="71"/>
      <c r="H57" s="21"/>
      <c r="I57" s="22"/>
      <c r="J57" s="22"/>
      <c r="K57" s="23"/>
      <c r="L57" s="21"/>
      <c r="M57" s="22"/>
      <c r="N57" s="22"/>
      <c r="O57" s="24"/>
      <c r="P57" s="24"/>
      <c r="Q57" s="24"/>
      <c r="R57" s="22"/>
      <c r="S57" s="23"/>
      <c r="T57" s="170"/>
      <c r="U57" s="25"/>
      <c r="V57" s="26"/>
      <c r="W57" s="27"/>
      <c r="X57" s="28"/>
      <c r="Y57" s="29"/>
    </row>
    <row r="58" spans="1:26" ht="11.4" hidden="1" x14ac:dyDescent="0.15">
      <c r="A58" s="19">
        <f t="shared" si="1"/>
        <v>56</v>
      </c>
      <c r="B58" s="31"/>
      <c r="C58" s="20"/>
      <c r="D58" s="20"/>
      <c r="E58" s="30"/>
      <c r="F58" s="109"/>
      <c r="G58" s="71"/>
      <c r="H58" s="21"/>
      <c r="I58" s="22"/>
      <c r="J58" s="22"/>
      <c r="K58" s="23"/>
      <c r="L58" s="21"/>
      <c r="M58" s="22"/>
      <c r="N58" s="22"/>
      <c r="O58" s="24"/>
      <c r="P58" s="24"/>
      <c r="Q58" s="24"/>
      <c r="R58" s="22"/>
      <c r="S58" s="23"/>
      <c r="T58" s="170"/>
      <c r="U58" s="25"/>
      <c r="V58" s="26"/>
      <c r="W58" s="27"/>
      <c r="X58" s="28"/>
      <c r="Y58" s="29"/>
    </row>
    <row r="59" spans="1:26" ht="11.4" hidden="1" x14ac:dyDescent="0.15">
      <c r="A59" s="19">
        <f t="shared" si="1"/>
        <v>57</v>
      </c>
      <c r="B59" s="20"/>
      <c r="C59" s="20"/>
      <c r="D59" s="30"/>
      <c r="E59" s="30"/>
      <c r="F59" s="109"/>
      <c r="G59" s="71"/>
      <c r="H59" s="21"/>
      <c r="I59" s="22"/>
      <c r="J59" s="22"/>
      <c r="K59" s="23"/>
      <c r="L59" s="21"/>
      <c r="M59" s="22"/>
      <c r="N59" s="22"/>
      <c r="O59" s="24"/>
      <c r="P59" s="24"/>
      <c r="Q59" s="24"/>
      <c r="R59" s="22"/>
      <c r="S59" s="23"/>
      <c r="T59" s="170"/>
      <c r="U59" s="25"/>
      <c r="V59" s="26"/>
      <c r="W59" s="27"/>
      <c r="X59" s="28"/>
      <c r="Y59" s="29"/>
    </row>
    <row r="60" spans="1:26" ht="11.4" hidden="1" x14ac:dyDescent="0.15">
      <c r="A60" s="19">
        <f t="shared" si="1"/>
        <v>58</v>
      </c>
      <c r="B60" s="20"/>
      <c r="C60" s="20"/>
      <c r="D60" s="30"/>
      <c r="E60" s="30"/>
      <c r="F60" s="109"/>
      <c r="G60" s="71"/>
      <c r="H60" s="21"/>
      <c r="I60" s="22"/>
      <c r="J60" s="22"/>
      <c r="K60" s="23"/>
      <c r="L60" s="21"/>
      <c r="M60" s="22"/>
      <c r="N60" s="22"/>
      <c r="O60" s="24"/>
      <c r="P60" s="24"/>
      <c r="Q60" s="24"/>
      <c r="R60" s="22"/>
      <c r="S60" s="23"/>
      <c r="T60" s="170"/>
      <c r="U60" s="25"/>
      <c r="V60" s="26"/>
      <c r="W60" s="27"/>
      <c r="X60" s="28"/>
      <c r="Y60" s="29"/>
    </row>
    <row r="61" spans="1:26" ht="11.4" hidden="1" x14ac:dyDescent="0.15">
      <c r="A61" s="19">
        <f t="shared" si="1"/>
        <v>59</v>
      </c>
      <c r="B61" s="20"/>
      <c r="C61" s="31"/>
      <c r="D61" s="30"/>
      <c r="E61" s="30"/>
      <c r="F61" s="109"/>
      <c r="G61" s="71"/>
      <c r="H61" s="21"/>
      <c r="I61" s="22"/>
      <c r="J61" s="22"/>
      <c r="K61" s="23"/>
      <c r="L61" s="21"/>
      <c r="M61" s="22"/>
      <c r="N61" s="22"/>
      <c r="O61" s="24"/>
      <c r="P61" s="24"/>
      <c r="Q61" s="24"/>
      <c r="R61" s="22"/>
      <c r="S61" s="23"/>
      <c r="T61" s="170"/>
      <c r="U61" s="25"/>
      <c r="V61" s="26"/>
      <c r="W61" s="27"/>
      <c r="X61" s="28"/>
      <c r="Y61" s="29"/>
    </row>
    <row r="62" spans="1:26" ht="11.4" hidden="1" x14ac:dyDescent="0.15">
      <c r="A62" s="19">
        <f t="shared" si="1"/>
        <v>60</v>
      </c>
      <c r="B62" s="20"/>
      <c r="C62" s="31"/>
      <c r="D62" s="30"/>
      <c r="E62" s="30"/>
      <c r="F62" s="110"/>
      <c r="G62" s="114"/>
      <c r="H62" s="21"/>
      <c r="I62" s="22"/>
      <c r="J62" s="22"/>
      <c r="K62" s="23"/>
      <c r="L62" s="21"/>
      <c r="M62" s="22"/>
      <c r="N62" s="22"/>
      <c r="O62" s="24"/>
      <c r="P62" s="24"/>
      <c r="Q62" s="24"/>
      <c r="R62" s="22"/>
      <c r="S62" s="23"/>
      <c r="T62" s="170"/>
      <c r="U62" s="25"/>
      <c r="V62" s="26"/>
      <c r="W62" s="27"/>
      <c r="X62" s="28"/>
      <c r="Y62" s="29"/>
    </row>
    <row r="63" spans="1:26" s="3" customFormat="1" ht="12" customHeight="1" x14ac:dyDescent="0.25">
      <c r="A63" s="32"/>
      <c r="B63" s="33"/>
      <c r="C63" s="34"/>
      <c r="D63" s="34"/>
      <c r="E63" s="33"/>
      <c r="F63" s="106" t="s">
        <v>109</v>
      </c>
      <c r="G63" s="35"/>
      <c r="H63" s="111">
        <f>COUNTIF(H5:H62,"●")</f>
        <v>0</v>
      </c>
      <c r="I63" s="37">
        <f t="shared" ref="I63:S63" si="2">COUNTIF(I5:I62,"●")</f>
        <v>0</v>
      </c>
      <c r="J63" s="37">
        <f t="shared" si="2"/>
        <v>0</v>
      </c>
      <c r="K63" s="38">
        <f t="shared" si="2"/>
        <v>0</v>
      </c>
      <c r="L63" s="36">
        <f t="shared" si="2"/>
        <v>0</v>
      </c>
      <c r="M63" s="37">
        <f t="shared" si="2"/>
        <v>31</v>
      </c>
      <c r="N63" s="37">
        <f t="shared" si="2"/>
        <v>0</v>
      </c>
      <c r="O63" s="37">
        <f t="shared" si="2"/>
        <v>0</v>
      </c>
      <c r="P63" s="37">
        <f t="shared" si="2"/>
        <v>0</v>
      </c>
      <c r="Q63" s="37">
        <f t="shared" si="2"/>
        <v>0</v>
      </c>
      <c r="R63" s="98">
        <f t="shared" si="2"/>
        <v>12</v>
      </c>
      <c r="S63" s="38">
        <f t="shared" si="2"/>
        <v>0</v>
      </c>
      <c r="T63" s="172"/>
      <c r="U63" s="209" t="s">
        <v>110</v>
      </c>
      <c r="V63" s="209"/>
      <c r="W63" s="210"/>
      <c r="X63" s="39" t="s">
        <v>111</v>
      </c>
      <c r="Y63" s="40">
        <f>SUM(H63:S63)</f>
        <v>43</v>
      </c>
      <c r="Z63" s="195"/>
    </row>
    <row r="64" spans="1:26" s="3" customFormat="1" ht="12" customHeight="1" x14ac:dyDescent="0.25">
      <c r="A64" s="41"/>
      <c r="B64" s="42" t="s">
        <v>112</v>
      </c>
      <c r="C64" s="43">
        <f>Y65</f>
        <v>43</v>
      </c>
      <c r="D64" s="43"/>
      <c r="E64" s="42"/>
      <c r="F64" s="44" t="s">
        <v>113</v>
      </c>
      <c r="G64" s="115"/>
      <c r="H64" s="112">
        <f t="shared" ref="H64:S64" si="3">COUNTIF(H55:H62,"×")</f>
        <v>0</v>
      </c>
      <c r="I64" s="46">
        <f t="shared" si="3"/>
        <v>0</v>
      </c>
      <c r="J64" s="46">
        <f t="shared" si="3"/>
        <v>0</v>
      </c>
      <c r="K64" s="47">
        <f t="shared" si="3"/>
        <v>0</v>
      </c>
      <c r="L64" s="45">
        <f t="shared" si="3"/>
        <v>0</v>
      </c>
      <c r="M64" s="46">
        <f t="shared" si="3"/>
        <v>0</v>
      </c>
      <c r="N64" s="46">
        <f t="shared" si="3"/>
        <v>0</v>
      </c>
      <c r="O64" s="46">
        <f t="shared" si="3"/>
        <v>0</v>
      </c>
      <c r="P64" s="46">
        <f t="shared" si="3"/>
        <v>0</v>
      </c>
      <c r="Q64" s="46">
        <f t="shared" si="3"/>
        <v>0</v>
      </c>
      <c r="R64" s="48">
        <f t="shared" si="3"/>
        <v>0</v>
      </c>
      <c r="S64" s="47">
        <f t="shared" si="3"/>
        <v>0</v>
      </c>
      <c r="T64" s="173"/>
      <c r="U64" s="211"/>
      <c r="V64" s="211"/>
      <c r="W64" s="212"/>
      <c r="X64" s="49" t="s">
        <v>111</v>
      </c>
      <c r="Y64" s="50">
        <f t="shared" ref="Y64:Y66" si="4">SUM(H64:S64)</f>
        <v>0</v>
      </c>
      <c r="Z64" s="195"/>
    </row>
    <row r="65" spans="1:26" s="3" customFormat="1" ht="12" customHeight="1" x14ac:dyDescent="0.25">
      <c r="A65" s="51" t="s">
        <v>114</v>
      </c>
      <c r="B65" s="52"/>
      <c r="C65" s="53"/>
      <c r="D65" s="53"/>
      <c r="E65" s="52"/>
      <c r="F65" s="54" t="s">
        <v>115</v>
      </c>
      <c r="G65" s="116"/>
      <c r="H65" s="112">
        <f t="shared" ref="H65:S65" si="5">H63+H64</f>
        <v>0</v>
      </c>
      <c r="I65" s="46">
        <f t="shared" si="5"/>
        <v>0</v>
      </c>
      <c r="J65" s="46">
        <f t="shared" si="5"/>
        <v>0</v>
      </c>
      <c r="K65" s="47">
        <f t="shared" si="5"/>
        <v>0</v>
      </c>
      <c r="L65" s="45">
        <f t="shared" si="5"/>
        <v>0</v>
      </c>
      <c r="M65" s="46">
        <f t="shared" si="5"/>
        <v>31</v>
      </c>
      <c r="N65" s="46">
        <f t="shared" si="5"/>
        <v>0</v>
      </c>
      <c r="O65" s="46">
        <f t="shared" si="5"/>
        <v>0</v>
      </c>
      <c r="P65" s="46">
        <f t="shared" si="5"/>
        <v>0</v>
      </c>
      <c r="Q65" s="46">
        <f t="shared" si="5"/>
        <v>0</v>
      </c>
      <c r="R65" s="48">
        <f t="shared" si="5"/>
        <v>12</v>
      </c>
      <c r="S65" s="47">
        <f t="shared" si="5"/>
        <v>0</v>
      </c>
      <c r="T65" s="235"/>
      <c r="U65" s="223">
        <f>COUNTA(U5:U62)</f>
        <v>35</v>
      </c>
      <c r="V65" s="225">
        <f>COUNTA(V5:V62)</f>
        <v>0</v>
      </c>
      <c r="W65" s="227">
        <f>COUNTA(W5:W62)</f>
        <v>0</v>
      </c>
      <c r="X65" s="55" t="s">
        <v>111</v>
      </c>
      <c r="Y65" s="50">
        <f t="shared" si="4"/>
        <v>43</v>
      </c>
      <c r="Z65" s="195"/>
    </row>
    <row r="66" spans="1:26" s="3" customFormat="1" ht="12" customHeight="1" x14ac:dyDescent="0.25">
      <c r="A66" s="56"/>
      <c r="B66" s="57" t="s">
        <v>116</v>
      </c>
      <c r="C66" s="58">
        <f>Y66</f>
        <v>45</v>
      </c>
      <c r="D66" s="58"/>
      <c r="E66" s="57"/>
      <c r="F66" s="59" t="s">
        <v>117</v>
      </c>
      <c r="G66" s="123"/>
      <c r="H66" s="113">
        <f>COUNTA(H55:H62)</f>
        <v>0</v>
      </c>
      <c r="I66" s="61">
        <f>COUNTA(I55:I62)</f>
        <v>0</v>
      </c>
      <c r="J66" s="61">
        <f>COUNTA(J55:J62)</f>
        <v>0</v>
      </c>
      <c r="K66" s="62">
        <f>COUNTA(K55:K62)</f>
        <v>0</v>
      </c>
      <c r="L66" s="60">
        <f>COUNTA(L6:L57)</f>
        <v>0</v>
      </c>
      <c r="M66" s="61">
        <f>COUNTA(M5:M62)</f>
        <v>32</v>
      </c>
      <c r="N66" s="61">
        <f>COUNTA(N6:N57)</f>
        <v>1</v>
      </c>
      <c r="O66" s="61">
        <f>COUNTA(O6:O57)</f>
        <v>0</v>
      </c>
      <c r="P66" s="61">
        <f>COUNTA(P6:P57)</f>
        <v>0</v>
      </c>
      <c r="Q66" s="61">
        <f>COUNTA(Q55:Q62)</f>
        <v>0</v>
      </c>
      <c r="R66" s="63">
        <f>COUNTA(R5:R62)</f>
        <v>12</v>
      </c>
      <c r="S66" s="62">
        <f>COUNTA(S6:S57)</f>
        <v>0</v>
      </c>
      <c r="T66" s="236"/>
      <c r="U66" s="224"/>
      <c r="V66" s="226"/>
      <c r="W66" s="228"/>
      <c r="X66" s="64" t="s">
        <v>111</v>
      </c>
      <c r="Y66" s="65">
        <f t="shared" si="4"/>
        <v>45</v>
      </c>
      <c r="Z66" s="195"/>
    </row>
  </sheetData>
  <mergeCells count="18">
    <mergeCell ref="U65:U66"/>
    <mergeCell ref="V65:V66"/>
    <mergeCell ref="W65:W66"/>
    <mergeCell ref="G3:G4"/>
    <mergeCell ref="H3:K3"/>
    <mergeCell ref="L3:S3"/>
    <mergeCell ref="U3:W3"/>
    <mergeCell ref="T65:T66"/>
    <mergeCell ref="T3:T4"/>
    <mergeCell ref="X3:X4"/>
    <mergeCell ref="Y3:Y4"/>
    <mergeCell ref="U63:W64"/>
    <mergeCell ref="A3:A4"/>
    <mergeCell ref="B3:B4"/>
    <mergeCell ref="C3:C4"/>
    <mergeCell ref="D3:D4"/>
    <mergeCell ref="E3:E4"/>
    <mergeCell ref="F3:F4"/>
  </mergeCells>
  <phoneticPr fontId="11"/>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colBreaks count="1" manualBreakCount="1">
    <brk id="5"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A7C44-6F3E-4A6D-A739-A5E362564307}">
  <sheetPr>
    <pageSetUpPr fitToPage="1"/>
  </sheetPr>
  <dimension ref="A1:Z149"/>
  <sheetViews>
    <sheetView tabSelected="1" view="pageBreakPreview" zoomScale="85" zoomScaleNormal="110" zoomScaleSheetLayoutView="85" workbookViewId="0">
      <pane ySplit="4" topLeftCell="A38" activePane="bottomLeft" state="frozen"/>
      <selection activeCell="B8" sqref="B8"/>
      <selection pane="bottomLeft" activeCell="V160" sqref="V160"/>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47.625" style="2" bestFit="1" customWidth="1"/>
    <col min="7" max="7" width="11.875" style="122" customWidth="1"/>
    <col min="8" max="12" width="4.5" style="4" bestFit="1" customWidth="1"/>
    <col min="13" max="13" width="5.125" style="4" bestFit="1" customWidth="1"/>
    <col min="14" max="14" width="4.5" style="4" bestFit="1" customWidth="1"/>
    <col min="15" max="17" width="4.5" style="4" customWidth="1"/>
    <col min="18" max="18" width="4" style="4" bestFit="1" customWidth="1"/>
    <col min="19" max="19" width="4.5" style="4" bestFit="1" customWidth="1"/>
    <col min="20" max="20" width="7.12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3" customFormat="1" ht="12.6" x14ac:dyDescent="0.15">
      <c r="A1" s="154"/>
      <c r="B1" s="155" t="s">
        <v>277</v>
      </c>
      <c r="C1" s="156" t="s">
        <v>278</v>
      </c>
      <c r="D1" s="157"/>
      <c r="E1" s="157"/>
      <c r="F1" s="157"/>
      <c r="G1" s="157"/>
      <c r="H1" s="158"/>
      <c r="I1" s="158"/>
      <c r="J1" s="158"/>
      <c r="K1" s="158"/>
      <c r="L1" s="158"/>
      <c r="M1" s="158"/>
      <c r="N1" s="158"/>
      <c r="O1" s="158"/>
      <c r="P1" s="158"/>
      <c r="Q1" s="158"/>
      <c r="R1" s="158"/>
      <c r="S1" s="158"/>
      <c r="T1" s="158"/>
      <c r="U1" s="158"/>
      <c r="V1" s="158"/>
      <c r="W1" s="158"/>
      <c r="X1" s="159"/>
      <c r="Y1" s="160"/>
    </row>
    <row r="2" spans="1:25" s="138" customFormat="1" ht="12.6" x14ac:dyDescent="0.15">
      <c r="A2" s="161"/>
      <c r="B2" s="162" t="s">
        <v>279</v>
      </c>
      <c r="C2" s="163" t="s">
        <v>280</v>
      </c>
      <c r="D2" s="164"/>
      <c r="E2" s="164"/>
      <c r="F2" s="164"/>
      <c r="G2" s="164"/>
      <c r="H2" s="165"/>
      <c r="I2" s="165"/>
      <c r="J2" s="165"/>
      <c r="K2" s="165"/>
      <c r="L2" s="165"/>
      <c r="M2" s="165"/>
      <c r="N2" s="165"/>
      <c r="O2" s="165"/>
      <c r="P2" s="165"/>
      <c r="Q2" s="165"/>
      <c r="R2" s="165"/>
      <c r="S2" s="165"/>
      <c r="T2" s="165"/>
      <c r="U2" s="165"/>
      <c r="V2" s="165"/>
      <c r="W2" s="165"/>
      <c r="X2" s="166"/>
      <c r="Y2" s="167"/>
    </row>
    <row r="3" spans="1:25" s="1" customFormat="1" ht="13.5" customHeight="1" x14ac:dyDescent="0.15">
      <c r="A3" s="213" t="s">
        <v>6</v>
      </c>
      <c r="B3" s="215" t="s">
        <v>7</v>
      </c>
      <c r="C3" s="217" t="s">
        <v>8</v>
      </c>
      <c r="D3" s="217" t="s">
        <v>9</v>
      </c>
      <c r="E3" s="219" t="s">
        <v>10</v>
      </c>
      <c r="F3" s="243" t="s">
        <v>11</v>
      </c>
      <c r="G3" s="207" t="s">
        <v>273</v>
      </c>
      <c r="H3" s="230" t="s">
        <v>12</v>
      </c>
      <c r="I3" s="230"/>
      <c r="J3" s="230"/>
      <c r="K3" s="231"/>
      <c r="L3" s="232" t="s">
        <v>13</v>
      </c>
      <c r="M3" s="233"/>
      <c r="N3" s="233"/>
      <c r="O3" s="234"/>
      <c r="P3" s="234"/>
      <c r="Q3" s="234"/>
      <c r="R3" s="234"/>
      <c r="S3" s="234"/>
      <c r="T3" s="207" t="s">
        <v>358</v>
      </c>
      <c r="U3" s="230" t="s">
        <v>14</v>
      </c>
      <c r="V3" s="230"/>
      <c r="W3" s="230"/>
      <c r="X3" s="207" t="s">
        <v>15</v>
      </c>
      <c r="Y3" s="207" t="s">
        <v>16</v>
      </c>
    </row>
    <row r="4" spans="1:25" s="1" customFormat="1" ht="22.8" x14ac:dyDescent="0.15">
      <c r="A4" s="239"/>
      <c r="B4" s="240"/>
      <c r="C4" s="241"/>
      <c r="D4" s="241"/>
      <c r="E4" s="242"/>
      <c r="F4" s="244"/>
      <c r="G4" s="229"/>
      <c r="H4" s="66" t="s">
        <v>17</v>
      </c>
      <c r="I4" s="67" t="s">
        <v>18</v>
      </c>
      <c r="J4" s="68" t="s">
        <v>19</v>
      </c>
      <c r="K4" s="68" t="s">
        <v>20</v>
      </c>
      <c r="L4" s="69" t="s">
        <v>17</v>
      </c>
      <c r="M4" s="68" t="s">
        <v>21</v>
      </c>
      <c r="N4" s="68" t="s">
        <v>22</v>
      </c>
      <c r="O4" s="68" t="s">
        <v>23</v>
      </c>
      <c r="P4" s="68" t="s">
        <v>24</v>
      </c>
      <c r="Q4" s="68" t="s">
        <v>25</v>
      </c>
      <c r="R4" s="97" t="s">
        <v>26</v>
      </c>
      <c r="S4" s="68" t="s">
        <v>27</v>
      </c>
      <c r="T4" s="245"/>
      <c r="U4" s="66" t="s">
        <v>28</v>
      </c>
      <c r="V4" s="67" t="s">
        <v>29</v>
      </c>
      <c r="W4" s="68" t="s">
        <v>30</v>
      </c>
      <c r="X4" s="238"/>
      <c r="Y4" s="238"/>
    </row>
    <row r="5" spans="1:25" ht="22.8" x14ac:dyDescent="0.15">
      <c r="A5" s="19">
        <f>ROW()-4</f>
        <v>1</v>
      </c>
      <c r="B5" s="20" t="s">
        <v>31</v>
      </c>
      <c r="C5" s="20" t="s">
        <v>32</v>
      </c>
      <c r="D5" s="20" t="s">
        <v>169</v>
      </c>
      <c r="E5" s="95" t="s">
        <v>33</v>
      </c>
      <c r="F5" s="96" t="s">
        <v>34</v>
      </c>
      <c r="G5" s="118"/>
      <c r="H5" s="21"/>
      <c r="I5" s="22"/>
      <c r="J5" s="22"/>
      <c r="K5" s="23"/>
      <c r="L5" s="21"/>
      <c r="M5" s="24" t="s">
        <v>365</v>
      </c>
      <c r="N5" s="22"/>
      <c r="O5" s="24"/>
      <c r="P5" s="24"/>
      <c r="Q5" s="24"/>
      <c r="R5" s="99"/>
      <c r="S5" s="23"/>
      <c r="T5" s="170"/>
      <c r="U5" s="25">
        <v>45680</v>
      </c>
      <c r="V5" s="26"/>
      <c r="W5" s="27"/>
      <c r="X5" s="28" t="s">
        <v>374</v>
      </c>
      <c r="Y5" s="94"/>
    </row>
    <row r="6" spans="1:25" ht="11.4" x14ac:dyDescent="0.15">
      <c r="A6" s="19">
        <f t="shared" ref="A6:A69" si="0">ROW()-4</f>
        <v>2</v>
      </c>
      <c r="B6" s="20"/>
      <c r="C6" s="20"/>
      <c r="D6" s="20"/>
      <c r="E6" s="95" t="s">
        <v>36</v>
      </c>
      <c r="F6" s="96" t="s">
        <v>37</v>
      </c>
      <c r="G6" s="118"/>
      <c r="H6" s="21"/>
      <c r="I6" s="22"/>
      <c r="J6" s="22"/>
      <c r="K6" s="23"/>
      <c r="L6" s="21"/>
      <c r="M6" s="24" t="s">
        <v>365</v>
      </c>
      <c r="N6" s="22"/>
      <c r="O6" s="24"/>
      <c r="P6" s="24"/>
      <c r="Q6" s="24"/>
      <c r="R6" s="99"/>
      <c r="S6" s="23"/>
      <c r="T6" s="170"/>
      <c r="U6" s="25">
        <v>45680</v>
      </c>
      <c r="V6" s="26"/>
      <c r="W6" s="27"/>
      <c r="X6" s="28" t="s">
        <v>374</v>
      </c>
      <c r="Y6" s="94"/>
    </row>
    <row r="7" spans="1:25" ht="11.4" x14ac:dyDescent="0.15">
      <c r="A7" s="19">
        <f t="shared" si="0"/>
        <v>3</v>
      </c>
      <c r="B7" s="20"/>
      <c r="C7" s="20"/>
      <c r="D7" s="20"/>
      <c r="E7" s="95" t="s">
        <v>38</v>
      </c>
      <c r="F7" s="96" t="s">
        <v>37</v>
      </c>
      <c r="G7" s="119"/>
      <c r="H7" s="21"/>
      <c r="I7" s="22"/>
      <c r="J7" s="22"/>
      <c r="K7" s="23"/>
      <c r="L7" s="21"/>
      <c r="M7" s="24" t="s">
        <v>365</v>
      </c>
      <c r="N7" s="22"/>
      <c r="O7" s="24"/>
      <c r="P7" s="24"/>
      <c r="Q7" s="24"/>
      <c r="R7" s="99"/>
      <c r="S7" s="23"/>
      <c r="T7" s="170"/>
      <c r="U7" s="25">
        <v>45680</v>
      </c>
      <c r="V7" s="26"/>
      <c r="W7" s="27"/>
      <c r="X7" s="28" t="s">
        <v>374</v>
      </c>
      <c r="Y7" s="94"/>
    </row>
    <row r="8" spans="1:25" ht="11.4" x14ac:dyDescent="0.15">
      <c r="A8" s="19">
        <f t="shared" si="0"/>
        <v>4</v>
      </c>
      <c r="B8" s="20"/>
      <c r="C8" s="20"/>
      <c r="D8" s="20"/>
      <c r="E8" s="95" t="s">
        <v>39</v>
      </c>
      <c r="F8" s="96" t="s">
        <v>40</v>
      </c>
      <c r="G8" s="119"/>
      <c r="H8" s="21"/>
      <c r="I8" s="22"/>
      <c r="J8" s="22"/>
      <c r="K8" s="23"/>
      <c r="L8" s="21"/>
      <c r="M8" s="24" t="s">
        <v>365</v>
      </c>
      <c r="N8" s="22"/>
      <c r="O8" s="24"/>
      <c r="P8" s="24"/>
      <c r="Q8" s="24"/>
      <c r="R8" s="22"/>
      <c r="S8" s="23"/>
      <c r="T8" s="170"/>
      <c r="U8" s="25">
        <v>45680</v>
      </c>
      <c r="V8" s="26"/>
      <c r="W8" s="27"/>
      <c r="X8" s="28" t="s">
        <v>374</v>
      </c>
      <c r="Y8" s="94"/>
    </row>
    <row r="9" spans="1:25" ht="11.4" x14ac:dyDescent="0.15">
      <c r="A9" s="19">
        <f t="shared" si="0"/>
        <v>5</v>
      </c>
      <c r="B9" s="20"/>
      <c r="C9" s="20"/>
      <c r="D9" s="20"/>
      <c r="E9" s="95" t="s">
        <v>341</v>
      </c>
      <c r="F9" s="96" t="s">
        <v>41</v>
      </c>
      <c r="G9" s="119"/>
      <c r="H9" s="21"/>
      <c r="I9" s="22"/>
      <c r="J9" s="22"/>
      <c r="K9" s="23"/>
      <c r="L9" s="21"/>
      <c r="M9" s="24" t="s">
        <v>365</v>
      </c>
      <c r="N9" s="22"/>
      <c r="O9" s="24"/>
      <c r="P9" s="24"/>
      <c r="Q9" s="24"/>
      <c r="R9" s="22"/>
      <c r="S9" s="23"/>
      <c r="T9" s="170"/>
      <c r="U9" s="25">
        <v>45680</v>
      </c>
      <c r="V9" s="26"/>
      <c r="W9" s="27"/>
      <c r="X9" s="28" t="s">
        <v>374</v>
      </c>
      <c r="Y9" s="94"/>
    </row>
    <row r="10" spans="1:25" ht="11.4" x14ac:dyDescent="0.15">
      <c r="A10" s="19">
        <f t="shared" si="0"/>
        <v>6</v>
      </c>
      <c r="B10" s="20"/>
      <c r="C10" s="20"/>
      <c r="D10" s="20" t="s">
        <v>170</v>
      </c>
      <c r="E10" s="95" t="s">
        <v>285</v>
      </c>
      <c r="F10" s="96" t="s">
        <v>42</v>
      </c>
      <c r="G10" s="119"/>
      <c r="H10" s="77"/>
      <c r="I10" s="78"/>
      <c r="J10" s="78"/>
      <c r="K10" s="79"/>
      <c r="L10" s="77"/>
      <c r="M10" s="80"/>
      <c r="N10" s="78"/>
      <c r="O10" s="80"/>
      <c r="P10" s="80"/>
      <c r="Q10" s="80"/>
      <c r="R10" s="100"/>
      <c r="S10" s="79"/>
      <c r="T10" s="171"/>
      <c r="U10" s="81"/>
      <c r="V10" s="82"/>
      <c r="W10" s="83"/>
      <c r="X10" s="84"/>
      <c r="Y10" s="94"/>
    </row>
    <row r="11" spans="1:25" ht="22.8" x14ac:dyDescent="0.15">
      <c r="A11" s="19">
        <f t="shared" si="0"/>
        <v>7</v>
      </c>
      <c r="B11" s="20"/>
      <c r="C11" s="20"/>
      <c r="D11" s="20"/>
      <c r="E11" s="95" t="s">
        <v>33</v>
      </c>
      <c r="F11" s="96" t="s">
        <v>286</v>
      </c>
      <c r="G11" s="119"/>
      <c r="H11" s="21"/>
      <c r="I11" s="22"/>
      <c r="J11" s="22"/>
      <c r="K11" s="23"/>
      <c r="L11" s="21"/>
      <c r="M11" s="24" t="s">
        <v>365</v>
      </c>
      <c r="N11" s="22"/>
      <c r="O11" s="24"/>
      <c r="P11" s="24"/>
      <c r="Q11" s="24"/>
      <c r="R11" s="99"/>
      <c r="S11" s="23"/>
      <c r="T11" s="170"/>
      <c r="U11" s="25">
        <v>45680</v>
      </c>
      <c r="V11" s="26"/>
      <c r="W11" s="27"/>
      <c r="X11" s="28" t="s">
        <v>374</v>
      </c>
      <c r="Y11" s="94"/>
    </row>
    <row r="12" spans="1:25" ht="11.4" x14ac:dyDescent="0.15">
      <c r="A12" s="19">
        <f t="shared" si="0"/>
        <v>8</v>
      </c>
      <c r="B12" s="20"/>
      <c r="C12" s="20"/>
      <c r="D12" s="20"/>
      <c r="E12" s="95" t="s">
        <v>36</v>
      </c>
      <c r="F12" s="96" t="s">
        <v>37</v>
      </c>
      <c r="G12" s="118"/>
      <c r="H12" s="21"/>
      <c r="I12" s="22"/>
      <c r="J12" s="22"/>
      <c r="K12" s="23"/>
      <c r="L12" s="21"/>
      <c r="M12" s="24" t="s">
        <v>365</v>
      </c>
      <c r="N12" s="22"/>
      <c r="O12" s="24"/>
      <c r="P12" s="24"/>
      <c r="Q12" s="24"/>
      <c r="R12" s="99"/>
      <c r="S12" s="23"/>
      <c r="T12" s="170"/>
      <c r="U12" s="25">
        <v>45680</v>
      </c>
      <c r="V12" s="26"/>
      <c r="W12" s="27"/>
      <c r="X12" s="28" t="s">
        <v>374</v>
      </c>
      <c r="Y12" s="94"/>
    </row>
    <row r="13" spans="1:25" ht="11.4" x14ac:dyDescent="0.15">
      <c r="A13" s="19">
        <f t="shared" si="0"/>
        <v>9</v>
      </c>
      <c r="B13" s="20"/>
      <c r="C13" s="20"/>
      <c r="D13" s="20"/>
      <c r="E13" s="95" t="s">
        <v>43</v>
      </c>
      <c r="F13" s="96" t="s">
        <v>37</v>
      </c>
      <c r="G13" s="120"/>
      <c r="H13" s="21"/>
      <c r="I13" s="22"/>
      <c r="J13" s="22"/>
      <c r="K13" s="23"/>
      <c r="L13" s="21"/>
      <c r="M13" s="24" t="s">
        <v>365</v>
      </c>
      <c r="N13" s="22"/>
      <c r="O13" s="24"/>
      <c r="P13" s="24"/>
      <c r="Q13" s="24"/>
      <c r="R13" s="99"/>
      <c r="S13" s="23"/>
      <c r="T13" s="170"/>
      <c r="U13" s="25">
        <v>45680</v>
      </c>
      <c r="V13" s="26"/>
      <c r="W13" s="27"/>
      <c r="X13" s="28" t="s">
        <v>374</v>
      </c>
      <c r="Y13" s="94"/>
    </row>
    <row r="14" spans="1:25" ht="11.4" x14ac:dyDescent="0.15">
      <c r="A14" s="19">
        <f t="shared" si="0"/>
        <v>10</v>
      </c>
      <c r="B14" s="20"/>
      <c r="C14" s="20"/>
      <c r="D14" s="20"/>
      <c r="E14" s="95" t="s">
        <v>44</v>
      </c>
      <c r="F14" s="96" t="s">
        <v>45</v>
      </c>
      <c r="G14" s="118"/>
      <c r="H14" s="21"/>
      <c r="I14" s="22"/>
      <c r="J14" s="22"/>
      <c r="K14" s="23"/>
      <c r="L14" s="21"/>
      <c r="M14" s="24" t="s">
        <v>365</v>
      </c>
      <c r="N14" s="22"/>
      <c r="O14" s="24"/>
      <c r="P14" s="24"/>
      <c r="Q14" s="24"/>
      <c r="R14" s="22"/>
      <c r="S14" s="23"/>
      <c r="T14" s="170"/>
      <c r="U14" s="25">
        <v>45680</v>
      </c>
      <c r="V14" s="26"/>
      <c r="W14" s="27"/>
      <c r="X14" s="28" t="s">
        <v>374</v>
      </c>
      <c r="Y14" s="94"/>
    </row>
    <row r="15" spans="1:25" ht="11.4" x14ac:dyDescent="0.15">
      <c r="A15" s="19">
        <f t="shared" si="0"/>
        <v>11</v>
      </c>
      <c r="B15" s="20"/>
      <c r="C15" s="20"/>
      <c r="D15" s="20"/>
      <c r="E15" s="95"/>
      <c r="F15" s="96" t="s">
        <v>46</v>
      </c>
      <c r="G15" s="118"/>
      <c r="H15" s="21"/>
      <c r="I15" s="22"/>
      <c r="J15" s="22"/>
      <c r="K15" s="23"/>
      <c r="L15" s="21"/>
      <c r="M15" s="24" t="s">
        <v>365</v>
      </c>
      <c r="N15" s="22"/>
      <c r="O15" s="24"/>
      <c r="P15" s="24"/>
      <c r="Q15" s="24"/>
      <c r="R15" s="22"/>
      <c r="S15" s="23"/>
      <c r="T15" s="170"/>
      <c r="U15" s="25">
        <v>45680</v>
      </c>
      <c r="V15" s="26"/>
      <c r="W15" s="27"/>
      <c r="X15" s="28" t="s">
        <v>374</v>
      </c>
      <c r="Y15" s="94"/>
    </row>
    <row r="16" spans="1:25" ht="22.8" x14ac:dyDescent="0.15">
      <c r="A16" s="19">
        <f t="shared" si="0"/>
        <v>12</v>
      </c>
      <c r="B16" s="20"/>
      <c r="C16" s="20"/>
      <c r="D16" s="20"/>
      <c r="E16" s="95" t="s">
        <v>198</v>
      </c>
      <c r="F16" s="96" t="s">
        <v>168</v>
      </c>
      <c r="G16" s="119"/>
      <c r="H16" s="21"/>
      <c r="I16" s="22"/>
      <c r="J16" s="22"/>
      <c r="K16" s="23"/>
      <c r="L16" s="21"/>
      <c r="M16" s="24"/>
      <c r="N16" s="22"/>
      <c r="O16" s="24"/>
      <c r="P16" s="24"/>
      <c r="Q16" s="24"/>
      <c r="R16" s="24" t="s">
        <v>365</v>
      </c>
      <c r="S16" s="23"/>
      <c r="T16" s="170"/>
      <c r="U16" s="25">
        <v>45680</v>
      </c>
      <c r="V16" s="26"/>
      <c r="W16" s="27"/>
      <c r="X16" s="28" t="s">
        <v>374</v>
      </c>
      <c r="Y16" s="94" t="s">
        <v>196</v>
      </c>
    </row>
    <row r="17" spans="1:26" ht="15" customHeight="1" x14ac:dyDescent="0.15">
      <c r="A17" s="19">
        <f t="shared" si="0"/>
        <v>13</v>
      </c>
      <c r="B17" s="20"/>
      <c r="C17" s="20"/>
      <c r="D17" s="20"/>
      <c r="E17" s="95" t="s">
        <v>199</v>
      </c>
      <c r="F17" s="96" t="s">
        <v>168</v>
      </c>
      <c r="G17" s="119"/>
      <c r="H17" s="21"/>
      <c r="I17" s="22"/>
      <c r="J17" s="22"/>
      <c r="K17" s="23"/>
      <c r="L17" s="21"/>
      <c r="M17" s="22"/>
      <c r="N17" s="22"/>
      <c r="O17" s="24"/>
      <c r="P17" s="24"/>
      <c r="Q17" s="24"/>
      <c r="R17" s="24" t="s">
        <v>365</v>
      </c>
      <c r="S17" s="23"/>
      <c r="T17" s="170"/>
      <c r="U17" s="178">
        <v>45685</v>
      </c>
      <c r="V17" s="179"/>
      <c r="W17" s="180"/>
      <c r="X17" s="28" t="s">
        <v>375</v>
      </c>
      <c r="Y17" s="94" t="s">
        <v>197</v>
      </c>
    </row>
    <row r="18" spans="1:26" ht="33.6" customHeight="1" x14ac:dyDescent="0.15">
      <c r="A18" s="19">
        <f t="shared" si="0"/>
        <v>14</v>
      </c>
      <c r="B18" s="20"/>
      <c r="C18" s="20"/>
      <c r="D18" s="20"/>
      <c r="E18" s="95"/>
      <c r="F18" s="96" t="s">
        <v>78</v>
      </c>
      <c r="G18" s="119"/>
      <c r="H18" s="21"/>
      <c r="I18" s="22"/>
      <c r="J18" s="22"/>
      <c r="K18" s="23"/>
      <c r="L18" s="21"/>
      <c r="M18" s="22"/>
      <c r="N18" s="22"/>
      <c r="O18" s="24"/>
      <c r="P18" s="24"/>
      <c r="Q18" s="24"/>
      <c r="R18" s="24" t="s">
        <v>365</v>
      </c>
      <c r="S18" s="23"/>
      <c r="T18" s="170"/>
      <c r="U18" s="25">
        <v>45680</v>
      </c>
      <c r="V18" s="26"/>
      <c r="W18" s="27"/>
      <c r="X18" s="28" t="s">
        <v>374</v>
      </c>
      <c r="Y18" s="94" t="s">
        <v>197</v>
      </c>
    </row>
    <row r="19" spans="1:26" ht="33.6" customHeight="1" x14ac:dyDescent="0.15">
      <c r="A19" s="19">
        <f t="shared" si="0"/>
        <v>15</v>
      </c>
      <c r="B19" s="20"/>
      <c r="C19" s="20"/>
      <c r="D19" s="20"/>
      <c r="E19" s="95"/>
      <c r="F19" s="96" t="s">
        <v>380</v>
      </c>
      <c r="G19" s="119"/>
      <c r="H19" s="21"/>
      <c r="I19" s="22"/>
      <c r="J19" s="22"/>
      <c r="K19" s="23"/>
      <c r="L19" s="21"/>
      <c r="M19" s="22"/>
      <c r="N19" s="22"/>
      <c r="O19" s="24"/>
      <c r="P19" s="24"/>
      <c r="Q19" s="24"/>
      <c r="R19" s="24" t="s">
        <v>365</v>
      </c>
      <c r="S19" s="23"/>
      <c r="T19" s="170"/>
      <c r="U19" s="178">
        <v>45685</v>
      </c>
      <c r="V19" s="179"/>
      <c r="W19" s="180"/>
      <c r="X19" s="28" t="s">
        <v>375</v>
      </c>
      <c r="Y19" s="94" t="s">
        <v>382</v>
      </c>
    </row>
    <row r="20" spans="1:26" ht="45.6" x14ac:dyDescent="0.15">
      <c r="A20" s="19">
        <f t="shared" si="0"/>
        <v>16</v>
      </c>
      <c r="B20" s="20"/>
      <c r="C20" s="20"/>
      <c r="D20" s="20"/>
      <c r="E20" s="95" t="s">
        <v>48</v>
      </c>
      <c r="F20" s="96" t="s">
        <v>378</v>
      </c>
      <c r="G20" s="119"/>
      <c r="H20" s="21"/>
      <c r="I20" s="22"/>
      <c r="J20" s="22"/>
      <c r="K20" s="23"/>
      <c r="L20" s="21"/>
      <c r="M20" s="22"/>
      <c r="N20" s="22"/>
      <c r="O20" s="24"/>
      <c r="P20" s="24"/>
      <c r="Q20" s="24"/>
      <c r="R20" s="24" t="s">
        <v>365</v>
      </c>
      <c r="S20" s="23"/>
      <c r="T20" s="170"/>
      <c r="U20" s="178">
        <v>45685</v>
      </c>
      <c r="V20" s="179"/>
      <c r="W20" s="180"/>
      <c r="X20" s="28" t="s">
        <v>375</v>
      </c>
      <c r="Y20" s="94" t="s">
        <v>197</v>
      </c>
    </row>
    <row r="21" spans="1:26" ht="34.200000000000003" x14ac:dyDescent="0.15">
      <c r="A21" s="19">
        <f t="shared" si="0"/>
        <v>17</v>
      </c>
      <c r="B21" s="20"/>
      <c r="C21" s="20"/>
      <c r="D21" s="20"/>
      <c r="E21" s="95" t="s">
        <v>49</v>
      </c>
      <c r="F21" s="96" t="s">
        <v>379</v>
      </c>
      <c r="G21" s="118"/>
      <c r="H21" s="21"/>
      <c r="I21" s="22"/>
      <c r="J21" s="22"/>
      <c r="K21" s="23"/>
      <c r="L21" s="21"/>
      <c r="M21" s="22"/>
      <c r="N21" s="22"/>
      <c r="O21" s="24"/>
      <c r="P21" s="24"/>
      <c r="Q21" s="24"/>
      <c r="R21" s="24" t="s">
        <v>365</v>
      </c>
      <c r="S21" s="23"/>
      <c r="T21" s="170"/>
      <c r="U21" s="178">
        <v>45685</v>
      </c>
      <c r="V21" s="179"/>
      <c r="W21" s="180"/>
      <c r="X21" s="28" t="s">
        <v>375</v>
      </c>
      <c r="Y21" s="94" t="s">
        <v>197</v>
      </c>
    </row>
    <row r="22" spans="1:26" ht="34.200000000000003" x14ac:dyDescent="0.15">
      <c r="A22" s="181">
        <f t="shared" si="0"/>
        <v>18</v>
      </c>
      <c r="B22" s="182"/>
      <c r="C22" s="182"/>
      <c r="D22" s="182"/>
      <c r="E22" s="183" t="s">
        <v>50</v>
      </c>
      <c r="F22" s="184" t="s">
        <v>309</v>
      </c>
      <c r="G22" s="185"/>
      <c r="H22" s="77"/>
      <c r="I22" s="78"/>
      <c r="J22" s="78"/>
      <c r="K22" s="79"/>
      <c r="L22" s="77"/>
      <c r="M22" s="78"/>
      <c r="N22" s="78"/>
      <c r="O22" s="80"/>
      <c r="P22" s="80"/>
      <c r="Q22" s="80"/>
      <c r="R22" s="78" t="s">
        <v>365</v>
      </c>
      <c r="S22" s="79"/>
      <c r="T22" s="171"/>
      <c r="U22" s="81">
        <v>45685</v>
      </c>
      <c r="V22" s="82"/>
      <c r="W22" s="83"/>
      <c r="X22" s="84"/>
      <c r="Y22" s="186" t="s">
        <v>197</v>
      </c>
      <c r="Z22" s="188" t="s">
        <v>373</v>
      </c>
    </row>
    <row r="23" spans="1:26" ht="34.200000000000003" x14ac:dyDescent="0.15">
      <c r="A23" s="181">
        <f t="shared" si="0"/>
        <v>19</v>
      </c>
      <c r="B23" s="182"/>
      <c r="C23" s="182"/>
      <c r="D23" s="182"/>
      <c r="E23" s="183" t="s">
        <v>51</v>
      </c>
      <c r="F23" s="184" t="s">
        <v>309</v>
      </c>
      <c r="G23" s="187"/>
      <c r="H23" s="77"/>
      <c r="I23" s="78"/>
      <c r="J23" s="78"/>
      <c r="K23" s="79"/>
      <c r="L23" s="77"/>
      <c r="M23" s="78"/>
      <c r="N23" s="78"/>
      <c r="O23" s="80"/>
      <c r="P23" s="80"/>
      <c r="Q23" s="80"/>
      <c r="R23" s="78" t="s">
        <v>365</v>
      </c>
      <c r="S23" s="79"/>
      <c r="T23" s="171"/>
      <c r="U23" s="81">
        <v>45685</v>
      </c>
      <c r="V23" s="82"/>
      <c r="W23" s="83"/>
      <c r="X23" s="84"/>
      <c r="Y23" s="186" t="s">
        <v>197</v>
      </c>
      <c r="Z23" s="188" t="s">
        <v>373</v>
      </c>
    </row>
    <row r="24" spans="1:26" ht="22.8" x14ac:dyDescent="0.15">
      <c r="A24" s="19">
        <f t="shared" si="0"/>
        <v>20</v>
      </c>
      <c r="B24" s="20"/>
      <c r="C24" s="20" t="s">
        <v>52</v>
      </c>
      <c r="D24" s="20" t="s">
        <v>169</v>
      </c>
      <c r="E24" s="95" t="s">
        <v>33</v>
      </c>
      <c r="F24" s="96" t="s">
        <v>34</v>
      </c>
      <c r="G24" s="118"/>
      <c r="H24" s="21"/>
      <c r="I24" s="22"/>
      <c r="J24" s="22"/>
      <c r="K24" s="23"/>
      <c r="L24" s="21"/>
      <c r="M24" s="24" t="s">
        <v>365</v>
      </c>
      <c r="N24" s="22"/>
      <c r="O24" s="24"/>
      <c r="P24" s="24"/>
      <c r="Q24" s="24"/>
      <c r="R24" s="22"/>
      <c r="S24" s="23"/>
      <c r="T24" s="170"/>
      <c r="U24" s="25">
        <v>45680</v>
      </c>
      <c r="V24" s="26"/>
      <c r="W24" s="27"/>
      <c r="X24" s="28" t="s">
        <v>374</v>
      </c>
      <c r="Y24" s="94"/>
    </row>
    <row r="25" spans="1:26" ht="11.4" x14ac:dyDescent="0.15">
      <c r="A25" s="19">
        <f t="shared" si="0"/>
        <v>21</v>
      </c>
      <c r="B25" s="20"/>
      <c r="C25" s="20"/>
      <c r="D25" s="20"/>
      <c r="E25" s="95" t="s">
        <v>36</v>
      </c>
      <c r="F25" s="96" t="s">
        <v>37</v>
      </c>
      <c r="G25" s="119"/>
      <c r="H25" s="21"/>
      <c r="I25" s="22"/>
      <c r="J25" s="22"/>
      <c r="K25" s="23"/>
      <c r="L25" s="21"/>
      <c r="M25" s="24" t="s">
        <v>365</v>
      </c>
      <c r="N25" s="22"/>
      <c r="O25" s="24"/>
      <c r="P25" s="24"/>
      <c r="Q25" s="24"/>
      <c r="R25" s="99"/>
      <c r="S25" s="23"/>
      <c r="T25" s="170"/>
      <c r="U25" s="25">
        <v>45680</v>
      </c>
      <c r="V25" s="26"/>
      <c r="W25" s="27"/>
      <c r="X25" s="28" t="s">
        <v>374</v>
      </c>
      <c r="Y25" s="94"/>
    </row>
    <row r="26" spans="1:26" ht="11.4" x14ac:dyDescent="0.15">
      <c r="A26" s="19">
        <f t="shared" si="0"/>
        <v>22</v>
      </c>
      <c r="B26" s="20"/>
      <c r="C26" s="20"/>
      <c r="D26" s="20"/>
      <c r="E26" s="95" t="s">
        <v>38</v>
      </c>
      <c r="F26" s="96" t="s">
        <v>37</v>
      </c>
      <c r="G26" s="118"/>
      <c r="H26" s="21"/>
      <c r="I26" s="22"/>
      <c r="J26" s="22"/>
      <c r="K26" s="23"/>
      <c r="L26" s="21"/>
      <c r="M26" s="24" t="s">
        <v>365</v>
      </c>
      <c r="N26" s="22"/>
      <c r="O26" s="24"/>
      <c r="P26" s="24"/>
      <c r="Q26" s="24"/>
      <c r="R26" s="99"/>
      <c r="S26" s="23"/>
      <c r="T26" s="170"/>
      <c r="U26" s="25">
        <v>45680</v>
      </c>
      <c r="V26" s="26"/>
      <c r="W26" s="27"/>
      <c r="X26" s="28" t="s">
        <v>374</v>
      </c>
      <c r="Y26" s="94"/>
    </row>
    <row r="27" spans="1:26" ht="11.4" x14ac:dyDescent="0.15">
      <c r="A27" s="19">
        <f t="shared" si="0"/>
        <v>23</v>
      </c>
      <c r="B27" s="20"/>
      <c r="C27" s="20"/>
      <c r="D27" s="20"/>
      <c r="E27" s="95" t="s">
        <v>39</v>
      </c>
      <c r="F27" s="96" t="s">
        <v>40</v>
      </c>
      <c r="G27" s="118"/>
      <c r="H27" s="21"/>
      <c r="I27" s="22"/>
      <c r="J27" s="22"/>
      <c r="K27" s="23"/>
      <c r="L27" s="21"/>
      <c r="M27" s="24" t="s">
        <v>365</v>
      </c>
      <c r="N27" s="22"/>
      <c r="O27" s="24"/>
      <c r="P27" s="24"/>
      <c r="Q27" s="24"/>
      <c r="R27" s="22"/>
      <c r="S27" s="23"/>
      <c r="T27" s="170"/>
      <c r="U27" s="25">
        <v>45680</v>
      </c>
      <c r="V27" s="26"/>
      <c r="W27" s="27"/>
      <c r="X27" s="28" t="s">
        <v>374</v>
      </c>
      <c r="Y27" s="94"/>
    </row>
    <row r="28" spans="1:26" ht="11.4" x14ac:dyDescent="0.15">
      <c r="A28" s="19">
        <f t="shared" si="0"/>
        <v>24</v>
      </c>
      <c r="B28" s="20"/>
      <c r="C28" s="20"/>
      <c r="D28" s="20"/>
      <c r="E28" s="95" t="s">
        <v>341</v>
      </c>
      <c r="F28" s="96" t="s">
        <v>41</v>
      </c>
      <c r="G28" s="119"/>
      <c r="H28" s="21"/>
      <c r="I28" s="22"/>
      <c r="J28" s="22"/>
      <c r="K28" s="23"/>
      <c r="L28" s="21"/>
      <c r="M28" s="24" t="s">
        <v>365</v>
      </c>
      <c r="N28" s="22"/>
      <c r="O28" s="24"/>
      <c r="P28" s="24"/>
      <c r="Q28" s="24"/>
      <c r="R28" s="22"/>
      <c r="S28" s="23"/>
      <c r="T28" s="170"/>
      <c r="U28" s="25">
        <v>45680</v>
      </c>
      <c r="V28" s="26"/>
      <c r="W28" s="27"/>
      <c r="X28" s="28" t="s">
        <v>374</v>
      </c>
      <c r="Y28" s="94"/>
    </row>
    <row r="29" spans="1:26" ht="11.4" x14ac:dyDescent="0.15">
      <c r="A29" s="19">
        <f t="shared" si="0"/>
        <v>25</v>
      </c>
      <c r="B29" s="20"/>
      <c r="C29" s="20"/>
      <c r="D29" s="20" t="s">
        <v>171</v>
      </c>
      <c r="E29" s="95" t="s">
        <v>287</v>
      </c>
      <c r="F29" s="96" t="s">
        <v>42</v>
      </c>
      <c r="G29" s="119"/>
      <c r="H29" s="77"/>
      <c r="I29" s="78"/>
      <c r="J29" s="78"/>
      <c r="K29" s="79"/>
      <c r="L29" s="77"/>
      <c r="M29" s="80"/>
      <c r="N29" s="78"/>
      <c r="O29" s="80"/>
      <c r="P29" s="80"/>
      <c r="Q29" s="80"/>
      <c r="R29" s="100"/>
      <c r="S29" s="79"/>
      <c r="T29" s="171"/>
      <c r="U29" s="81"/>
      <c r="V29" s="82"/>
      <c r="W29" s="83"/>
      <c r="X29" s="84"/>
      <c r="Y29" s="94"/>
    </row>
    <row r="30" spans="1:26" ht="22.8" x14ac:dyDescent="0.15">
      <c r="A30" s="19">
        <f t="shared" si="0"/>
        <v>26</v>
      </c>
      <c r="B30" s="20"/>
      <c r="C30" s="20"/>
      <c r="D30" s="20"/>
      <c r="E30" s="95" t="s">
        <v>33</v>
      </c>
      <c r="F30" s="96" t="s">
        <v>288</v>
      </c>
      <c r="G30" s="119"/>
      <c r="H30" s="21"/>
      <c r="I30" s="22"/>
      <c r="J30" s="22"/>
      <c r="K30" s="23"/>
      <c r="L30" s="21"/>
      <c r="M30" s="24" t="s">
        <v>365</v>
      </c>
      <c r="N30" s="22"/>
      <c r="O30" s="24"/>
      <c r="P30" s="24"/>
      <c r="Q30" s="24"/>
      <c r="R30" s="99"/>
      <c r="S30" s="23"/>
      <c r="T30" s="170"/>
      <c r="U30" s="25">
        <v>45680</v>
      </c>
      <c r="V30" s="26"/>
      <c r="W30" s="27"/>
      <c r="X30" s="28" t="s">
        <v>374</v>
      </c>
      <c r="Y30" s="94"/>
    </row>
    <row r="31" spans="1:26" ht="11.4" x14ac:dyDescent="0.15">
      <c r="A31" s="19">
        <f t="shared" si="0"/>
        <v>27</v>
      </c>
      <c r="B31" s="20"/>
      <c r="C31" s="20"/>
      <c r="D31" s="20"/>
      <c r="E31" s="95" t="s">
        <v>36</v>
      </c>
      <c r="F31" s="96" t="s">
        <v>37</v>
      </c>
      <c r="G31" s="119"/>
      <c r="H31" s="21"/>
      <c r="I31" s="22"/>
      <c r="J31" s="22"/>
      <c r="K31" s="23"/>
      <c r="L31" s="21"/>
      <c r="M31" s="24" t="s">
        <v>365</v>
      </c>
      <c r="N31" s="22"/>
      <c r="O31" s="24"/>
      <c r="P31" s="24"/>
      <c r="Q31" s="24"/>
      <c r="R31" s="99"/>
      <c r="S31" s="23"/>
      <c r="T31" s="170"/>
      <c r="U31" s="25">
        <v>45680</v>
      </c>
      <c r="V31" s="26"/>
      <c r="W31" s="27"/>
      <c r="X31" s="28" t="s">
        <v>374</v>
      </c>
      <c r="Y31" s="94"/>
    </row>
    <row r="32" spans="1:26" ht="11.4" x14ac:dyDescent="0.15">
      <c r="A32" s="19">
        <f t="shared" si="0"/>
        <v>28</v>
      </c>
      <c r="B32" s="20"/>
      <c r="C32" s="20"/>
      <c r="D32" s="20"/>
      <c r="E32" s="95" t="s">
        <v>43</v>
      </c>
      <c r="F32" s="96" t="s">
        <v>37</v>
      </c>
      <c r="G32" s="119"/>
      <c r="H32" s="21"/>
      <c r="I32" s="22"/>
      <c r="J32" s="22"/>
      <c r="K32" s="23"/>
      <c r="L32" s="21"/>
      <c r="M32" s="24" t="s">
        <v>365</v>
      </c>
      <c r="N32" s="22"/>
      <c r="O32" s="24"/>
      <c r="P32" s="24"/>
      <c r="Q32" s="24"/>
      <c r="R32" s="99"/>
      <c r="S32" s="23"/>
      <c r="T32" s="170"/>
      <c r="U32" s="25">
        <v>45680</v>
      </c>
      <c r="V32" s="26"/>
      <c r="W32" s="27"/>
      <c r="X32" s="28" t="s">
        <v>374</v>
      </c>
      <c r="Y32" s="94"/>
    </row>
    <row r="33" spans="1:26" ht="11.4" x14ac:dyDescent="0.15">
      <c r="A33" s="19">
        <f t="shared" si="0"/>
        <v>29</v>
      </c>
      <c r="B33" s="20"/>
      <c r="C33" s="20"/>
      <c r="D33" s="20"/>
      <c r="E33" s="95" t="s">
        <v>44</v>
      </c>
      <c r="F33" s="96" t="s">
        <v>45</v>
      </c>
      <c r="G33" s="118"/>
      <c r="H33" s="21"/>
      <c r="I33" s="22"/>
      <c r="J33" s="22"/>
      <c r="K33" s="23"/>
      <c r="L33" s="21"/>
      <c r="M33" s="24" t="s">
        <v>365</v>
      </c>
      <c r="N33" s="22"/>
      <c r="O33" s="24"/>
      <c r="P33" s="24"/>
      <c r="Q33" s="24"/>
      <c r="R33" s="22"/>
      <c r="S33" s="23"/>
      <c r="T33" s="170"/>
      <c r="U33" s="25">
        <v>45680</v>
      </c>
      <c r="V33" s="26"/>
      <c r="W33" s="27"/>
      <c r="X33" s="28" t="s">
        <v>374</v>
      </c>
      <c r="Y33" s="94"/>
    </row>
    <row r="34" spans="1:26" ht="11.4" x14ac:dyDescent="0.15">
      <c r="A34" s="19">
        <f t="shared" si="0"/>
        <v>30</v>
      </c>
      <c r="B34" s="20"/>
      <c r="C34" s="20"/>
      <c r="D34" s="20"/>
      <c r="E34" s="95"/>
      <c r="F34" s="96" t="s">
        <v>46</v>
      </c>
      <c r="G34" s="120"/>
      <c r="H34" s="21"/>
      <c r="I34" s="22"/>
      <c r="J34" s="22"/>
      <c r="K34" s="23"/>
      <c r="L34" s="21"/>
      <c r="M34" s="24" t="s">
        <v>365</v>
      </c>
      <c r="N34" s="22"/>
      <c r="O34" s="24"/>
      <c r="P34" s="24"/>
      <c r="Q34" s="24"/>
      <c r="R34" s="22"/>
      <c r="S34" s="23"/>
      <c r="T34" s="170"/>
      <c r="U34" s="25">
        <v>45680</v>
      </c>
      <c r="V34" s="26"/>
      <c r="W34" s="27"/>
      <c r="X34" s="28" t="s">
        <v>374</v>
      </c>
      <c r="Y34" s="94"/>
    </row>
    <row r="35" spans="1:26" ht="15" customHeight="1" x14ac:dyDescent="0.15">
      <c r="A35" s="19">
        <f t="shared" si="0"/>
        <v>31</v>
      </c>
      <c r="B35" s="20"/>
      <c r="C35" s="20"/>
      <c r="D35" s="20"/>
      <c r="E35" s="95" t="s">
        <v>200</v>
      </c>
      <c r="F35" s="96" t="s">
        <v>47</v>
      </c>
      <c r="G35" s="118"/>
      <c r="H35" s="21"/>
      <c r="I35" s="22"/>
      <c r="J35" s="22"/>
      <c r="K35" s="23"/>
      <c r="L35" s="21"/>
      <c r="M35" s="22"/>
      <c r="N35" s="22"/>
      <c r="O35" s="24"/>
      <c r="P35" s="24"/>
      <c r="Q35" s="24"/>
      <c r="R35" s="24" t="s">
        <v>365</v>
      </c>
      <c r="S35" s="23"/>
      <c r="T35" s="170"/>
      <c r="U35" s="25">
        <v>45680</v>
      </c>
      <c r="V35" s="26"/>
      <c r="W35" s="27"/>
      <c r="X35" s="28" t="s">
        <v>374</v>
      </c>
      <c r="Y35" s="94" t="s">
        <v>197</v>
      </c>
    </row>
    <row r="36" spans="1:26" ht="33.6" customHeight="1" x14ac:dyDescent="0.15">
      <c r="A36" s="19">
        <f t="shared" si="0"/>
        <v>32</v>
      </c>
      <c r="B36" s="20"/>
      <c r="C36" s="20"/>
      <c r="D36" s="20"/>
      <c r="E36" s="95"/>
      <c r="F36" s="96" t="s">
        <v>289</v>
      </c>
      <c r="G36" s="118"/>
      <c r="H36" s="21"/>
      <c r="I36" s="22"/>
      <c r="J36" s="22"/>
      <c r="K36" s="23"/>
      <c r="L36" s="21"/>
      <c r="M36" s="22"/>
      <c r="N36" s="22"/>
      <c r="O36" s="24"/>
      <c r="P36" s="24"/>
      <c r="Q36" s="24"/>
      <c r="R36" s="24" t="s">
        <v>365</v>
      </c>
      <c r="S36" s="23"/>
      <c r="T36" s="170"/>
      <c r="U36" s="25">
        <v>45680</v>
      </c>
      <c r="V36" s="26"/>
      <c r="W36" s="27"/>
      <c r="X36" s="28" t="s">
        <v>374</v>
      </c>
      <c r="Y36" s="94" t="s">
        <v>197</v>
      </c>
    </row>
    <row r="37" spans="1:26" ht="33.6" customHeight="1" x14ac:dyDescent="0.15">
      <c r="A37" s="19">
        <f t="shared" si="0"/>
        <v>33</v>
      </c>
      <c r="B37" s="20"/>
      <c r="C37" s="20"/>
      <c r="D37" s="20"/>
      <c r="E37" s="95"/>
      <c r="F37" s="96" t="s">
        <v>389</v>
      </c>
      <c r="G37" s="119"/>
      <c r="H37" s="21"/>
      <c r="I37" s="22"/>
      <c r="J37" s="22"/>
      <c r="K37" s="23"/>
      <c r="L37" s="21"/>
      <c r="M37" s="22"/>
      <c r="N37" s="22"/>
      <c r="O37" s="24"/>
      <c r="P37" s="24"/>
      <c r="Q37" s="24"/>
      <c r="R37" s="24" t="s">
        <v>365</v>
      </c>
      <c r="S37" s="23"/>
      <c r="T37" s="170"/>
      <c r="U37" s="178">
        <v>45685</v>
      </c>
      <c r="V37" s="179"/>
      <c r="W37" s="180"/>
      <c r="X37" s="28" t="s">
        <v>375</v>
      </c>
      <c r="Y37" s="94" t="s">
        <v>381</v>
      </c>
    </row>
    <row r="38" spans="1:26" ht="34.200000000000003" x14ac:dyDescent="0.15">
      <c r="A38" s="181">
        <f t="shared" si="0"/>
        <v>34</v>
      </c>
      <c r="B38" s="182"/>
      <c r="C38" s="182"/>
      <c r="D38" s="182"/>
      <c r="E38" s="183" t="s">
        <v>54</v>
      </c>
      <c r="F38" s="184" t="s">
        <v>309</v>
      </c>
      <c r="G38" s="184"/>
      <c r="H38" s="77"/>
      <c r="I38" s="78"/>
      <c r="J38" s="78"/>
      <c r="K38" s="79"/>
      <c r="L38" s="77"/>
      <c r="M38" s="78"/>
      <c r="N38" s="78"/>
      <c r="O38" s="80"/>
      <c r="P38" s="80"/>
      <c r="Q38" s="80"/>
      <c r="R38" s="78" t="s">
        <v>365</v>
      </c>
      <c r="S38" s="79"/>
      <c r="T38" s="171"/>
      <c r="U38" s="81">
        <v>45685</v>
      </c>
      <c r="V38" s="82"/>
      <c r="W38" s="83"/>
      <c r="X38" s="84"/>
      <c r="Y38" s="186" t="s">
        <v>197</v>
      </c>
      <c r="Z38" s="188" t="s">
        <v>373</v>
      </c>
    </row>
    <row r="39" spans="1:26" ht="22.8" x14ac:dyDescent="0.15">
      <c r="A39" s="19">
        <f t="shared" si="0"/>
        <v>35</v>
      </c>
      <c r="B39" s="20"/>
      <c r="C39" s="20" t="s">
        <v>55</v>
      </c>
      <c r="D39" s="20" t="s">
        <v>169</v>
      </c>
      <c r="E39" s="95" t="s">
        <v>33</v>
      </c>
      <c r="F39" s="96" t="s">
        <v>34</v>
      </c>
      <c r="G39" s="119"/>
      <c r="H39" s="21"/>
      <c r="I39" s="22"/>
      <c r="J39" s="22"/>
      <c r="K39" s="23"/>
      <c r="L39" s="21"/>
      <c r="M39" s="24" t="s">
        <v>365</v>
      </c>
      <c r="N39" s="22"/>
      <c r="O39" s="24"/>
      <c r="P39" s="24"/>
      <c r="Q39" s="24"/>
      <c r="R39" s="22"/>
      <c r="S39" s="23"/>
      <c r="T39" s="170"/>
      <c r="U39" s="25">
        <v>45680</v>
      </c>
      <c r="V39" s="26"/>
      <c r="W39" s="27"/>
      <c r="X39" s="28" t="s">
        <v>374</v>
      </c>
      <c r="Y39" s="94"/>
    </row>
    <row r="40" spans="1:26" ht="11.4" x14ac:dyDescent="0.15">
      <c r="A40" s="19">
        <f t="shared" si="0"/>
        <v>36</v>
      </c>
      <c r="B40" s="20"/>
      <c r="C40" s="20"/>
      <c r="D40" s="20"/>
      <c r="E40" s="95" t="s">
        <v>36</v>
      </c>
      <c r="F40" s="96" t="s">
        <v>37</v>
      </c>
      <c r="G40" s="119"/>
      <c r="H40" s="21"/>
      <c r="I40" s="22"/>
      <c r="J40" s="22"/>
      <c r="K40" s="23"/>
      <c r="L40" s="21"/>
      <c r="M40" s="24" t="s">
        <v>365</v>
      </c>
      <c r="N40" s="22"/>
      <c r="O40" s="24"/>
      <c r="P40" s="24"/>
      <c r="Q40" s="24"/>
      <c r="R40" s="99"/>
      <c r="S40" s="23"/>
      <c r="T40" s="170"/>
      <c r="U40" s="25">
        <v>45680</v>
      </c>
      <c r="V40" s="26"/>
      <c r="W40" s="27"/>
      <c r="X40" s="28" t="s">
        <v>374</v>
      </c>
      <c r="Y40" s="94"/>
    </row>
    <row r="41" spans="1:26" ht="11.4" x14ac:dyDescent="0.15">
      <c r="A41" s="19">
        <f t="shared" si="0"/>
        <v>37</v>
      </c>
      <c r="B41" s="20"/>
      <c r="C41" s="20"/>
      <c r="D41" s="20"/>
      <c r="E41" s="95" t="s">
        <v>38</v>
      </c>
      <c r="F41" s="96" t="s">
        <v>37</v>
      </c>
      <c r="G41" s="119"/>
      <c r="H41" s="21"/>
      <c r="I41" s="22"/>
      <c r="J41" s="22"/>
      <c r="K41" s="23"/>
      <c r="L41" s="21"/>
      <c r="M41" s="24" t="s">
        <v>365</v>
      </c>
      <c r="N41" s="22"/>
      <c r="O41" s="24"/>
      <c r="P41" s="24"/>
      <c r="Q41" s="24"/>
      <c r="R41" s="99"/>
      <c r="S41" s="23"/>
      <c r="T41" s="170"/>
      <c r="U41" s="25">
        <v>45680</v>
      </c>
      <c r="V41" s="26"/>
      <c r="W41" s="27"/>
      <c r="X41" s="28" t="s">
        <v>374</v>
      </c>
      <c r="Y41" s="94"/>
    </row>
    <row r="42" spans="1:26" ht="11.4" x14ac:dyDescent="0.15">
      <c r="A42" s="19">
        <f t="shared" si="0"/>
        <v>38</v>
      </c>
      <c r="B42" s="20"/>
      <c r="C42" s="20"/>
      <c r="D42" s="20"/>
      <c r="E42" s="95" t="s">
        <v>39</v>
      </c>
      <c r="F42" s="96" t="s">
        <v>40</v>
      </c>
      <c r="G42" s="118"/>
      <c r="H42" s="21"/>
      <c r="I42" s="22"/>
      <c r="J42" s="22"/>
      <c r="K42" s="23"/>
      <c r="L42" s="21"/>
      <c r="M42" s="24" t="s">
        <v>365</v>
      </c>
      <c r="N42" s="22"/>
      <c r="O42" s="24"/>
      <c r="P42" s="24"/>
      <c r="Q42" s="24"/>
      <c r="R42" s="22"/>
      <c r="S42" s="23"/>
      <c r="T42" s="170"/>
      <c r="U42" s="25">
        <v>45680</v>
      </c>
      <c r="V42" s="26"/>
      <c r="W42" s="27"/>
      <c r="X42" s="28" t="s">
        <v>374</v>
      </c>
      <c r="Y42" s="94"/>
    </row>
    <row r="43" spans="1:26" ht="11.4" x14ac:dyDescent="0.15">
      <c r="A43" s="19">
        <f t="shared" si="0"/>
        <v>39</v>
      </c>
      <c r="B43" s="20"/>
      <c r="C43" s="20"/>
      <c r="D43" s="20"/>
      <c r="E43" s="95" t="s">
        <v>341</v>
      </c>
      <c r="F43" s="96" t="s">
        <v>41</v>
      </c>
      <c r="G43" s="120"/>
      <c r="H43" s="21"/>
      <c r="I43" s="22"/>
      <c r="J43" s="22"/>
      <c r="K43" s="23"/>
      <c r="L43" s="21"/>
      <c r="M43" s="24" t="s">
        <v>365</v>
      </c>
      <c r="N43" s="22"/>
      <c r="O43" s="24"/>
      <c r="P43" s="24"/>
      <c r="Q43" s="24"/>
      <c r="R43" s="22"/>
      <c r="S43" s="23"/>
      <c r="T43" s="170"/>
      <c r="U43" s="25">
        <v>45680</v>
      </c>
      <c r="V43" s="26"/>
      <c r="W43" s="27"/>
      <c r="X43" s="28" t="s">
        <v>374</v>
      </c>
      <c r="Y43" s="94"/>
    </row>
    <row r="44" spans="1:26" ht="22.8" x14ac:dyDescent="0.15">
      <c r="A44" s="19">
        <f t="shared" si="0"/>
        <v>40</v>
      </c>
      <c r="B44" s="20"/>
      <c r="C44" s="20"/>
      <c r="D44" s="168" t="s">
        <v>232</v>
      </c>
      <c r="E44" s="95" t="s">
        <v>56</v>
      </c>
      <c r="F44" s="96" t="s">
        <v>37</v>
      </c>
      <c r="G44" s="119"/>
      <c r="H44" s="21"/>
      <c r="I44" s="22"/>
      <c r="J44" s="22"/>
      <c r="K44" s="23"/>
      <c r="L44" s="21"/>
      <c r="M44" s="24" t="s">
        <v>365</v>
      </c>
      <c r="N44" s="22"/>
      <c r="O44" s="24"/>
      <c r="P44" s="24"/>
      <c r="Q44" s="24"/>
      <c r="R44" s="99"/>
      <c r="S44" s="23"/>
      <c r="T44" s="170"/>
      <c r="U44" s="25">
        <v>45680</v>
      </c>
      <c r="V44" s="26"/>
      <c r="W44" s="27"/>
      <c r="X44" s="28" t="s">
        <v>374</v>
      </c>
      <c r="Y44" s="94"/>
    </row>
    <row r="45" spans="1:26" ht="11.4" x14ac:dyDescent="0.15">
      <c r="A45" s="19">
        <f t="shared" si="0"/>
        <v>41</v>
      </c>
      <c r="B45" s="20"/>
      <c r="C45" s="20"/>
      <c r="D45" s="20"/>
      <c r="E45" s="95" t="s">
        <v>57</v>
      </c>
      <c r="F45" s="96" t="s">
        <v>37</v>
      </c>
      <c r="G45" s="119"/>
      <c r="H45" s="21"/>
      <c r="I45" s="22"/>
      <c r="J45" s="22"/>
      <c r="K45" s="23"/>
      <c r="L45" s="21"/>
      <c r="M45" s="24" t="s">
        <v>365</v>
      </c>
      <c r="N45" s="22"/>
      <c r="O45" s="24"/>
      <c r="P45" s="24"/>
      <c r="Q45" s="24"/>
      <c r="R45" s="99"/>
      <c r="S45" s="23"/>
      <c r="T45" s="170"/>
      <c r="U45" s="25">
        <v>45680</v>
      </c>
      <c r="V45" s="26"/>
      <c r="W45" s="27"/>
      <c r="X45" s="28" t="s">
        <v>374</v>
      </c>
      <c r="Y45" s="94"/>
    </row>
    <row r="46" spans="1:26" ht="11.4" x14ac:dyDescent="0.15">
      <c r="A46" s="19">
        <f t="shared" si="0"/>
        <v>42</v>
      </c>
      <c r="B46" s="20"/>
      <c r="C46" s="20"/>
      <c r="D46" s="20"/>
      <c r="E46" s="95" t="s">
        <v>58</v>
      </c>
      <c r="F46" s="96" t="s">
        <v>59</v>
      </c>
      <c r="G46" s="119"/>
      <c r="H46" s="21"/>
      <c r="I46" s="22"/>
      <c r="J46" s="22"/>
      <c r="K46" s="23"/>
      <c r="L46" s="21"/>
      <c r="M46" s="24" t="s">
        <v>365</v>
      </c>
      <c r="N46" s="22"/>
      <c r="O46" s="24"/>
      <c r="P46" s="24"/>
      <c r="Q46" s="24"/>
      <c r="R46" s="22"/>
      <c r="S46" s="23"/>
      <c r="T46" s="170"/>
      <c r="U46" s="25">
        <v>45680</v>
      </c>
      <c r="V46" s="26"/>
      <c r="W46" s="27"/>
      <c r="X46" s="28" t="s">
        <v>374</v>
      </c>
      <c r="Y46" s="94"/>
    </row>
    <row r="47" spans="1:26" ht="45.6" x14ac:dyDescent="0.15">
      <c r="A47" s="19">
        <f t="shared" si="0"/>
        <v>43</v>
      </c>
      <c r="B47" s="20"/>
      <c r="C47" s="20"/>
      <c r="D47" s="20"/>
      <c r="E47" s="95" t="s">
        <v>60</v>
      </c>
      <c r="F47" s="96" t="s">
        <v>61</v>
      </c>
      <c r="G47" s="119"/>
      <c r="H47" s="21"/>
      <c r="I47" s="22"/>
      <c r="J47" s="22"/>
      <c r="K47" s="23"/>
      <c r="L47" s="21"/>
      <c r="M47" s="24" t="s">
        <v>365</v>
      </c>
      <c r="N47" s="22"/>
      <c r="O47" s="24"/>
      <c r="P47" s="24"/>
      <c r="Q47" s="24"/>
      <c r="R47" s="22"/>
      <c r="S47" s="23"/>
      <c r="T47" s="170"/>
      <c r="U47" s="25">
        <v>45680</v>
      </c>
      <c r="V47" s="26"/>
      <c r="W47" s="27"/>
      <c r="X47" s="28" t="s">
        <v>374</v>
      </c>
      <c r="Y47" s="94"/>
    </row>
    <row r="48" spans="1:26" ht="11.4" x14ac:dyDescent="0.15">
      <c r="A48" s="19">
        <f t="shared" si="0"/>
        <v>44</v>
      </c>
      <c r="B48" s="20"/>
      <c r="C48" s="20"/>
      <c r="D48" s="20"/>
      <c r="E48" s="95" t="s">
        <v>62</v>
      </c>
      <c r="F48" s="96" t="s">
        <v>37</v>
      </c>
      <c r="G48" s="119"/>
      <c r="H48" s="21"/>
      <c r="I48" s="22"/>
      <c r="J48" s="22"/>
      <c r="K48" s="23"/>
      <c r="L48" s="21"/>
      <c r="M48" s="24" t="s">
        <v>365</v>
      </c>
      <c r="N48" s="22"/>
      <c r="O48" s="24"/>
      <c r="P48" s="24"/>
      <c r="Q48" s="24"/>
      <c r="R48" s="22"/>
      <c r="S48" s="23"/>
      <c r="T48" s="170"/>
      <c r="U48" s="25">
        <v>45680</v>
      </c>
      <c r="V48" s="26"/>
      <c r="W48" s="27"/>
      <c r="X48" s="28" t="s">
        <v>374</v>
      </c>
      <c r="Y48" s="94"/>
    </row>
    <row r="49" spans="1:25" ht="11.4" x14ac:dyDescent="0.15">
      <c r="A49" s="19">
        <f t="shared" si="0"/>
        <v>45</v>
      </c>
      <c r="B49" s="20"/>
      <c r="C49" s="20"/>
      <c r="D49" s="20"/>
      <c r="E49" s="95" t="s">
        <v>63</v>
      </c>
      <c r="F49" s="96" t="s">
        <v>64</v>
      </c>
      <c r="G49" s="119"/>
      <c r="H49" s="21"/>
      <c r="I49" s="22"/>
      <c r="J49" s="22"/>
      <c r="K49" s="23"/>
      <c r="L49" s="21"/>
      <c r="M49" s="24" t="s">
        <v>365</v>
      </c>
      <c r="N49" s="22"/>
      <c r="O49" s="24"/>
      <c r="P49" s="24"/>
      <c r="Q49" s="24"/>
      <c r="R49" s="22"/>
      <c r="S49" s="23"/>
      <c r="T49" s="170"/>
      <c r="U49" s="25">
        <v>45680</v>
      </c>
      <c r="V49" s="26"/>
      <c r="W49" s="27"/>
      <c r="X49" s="28" t="s">
        <v>374</v>
      </c>
      <c r="Y49" s="94"/>
    </row>
    <row r="50" spans="1:25" ht="11.4" x14ac:dyDescent="0.15">
      <c r="A50" s="19">
        <f t="shared" si="0"/>
        <v>46</v>
      </c>
      <c r="B50" s="20"/>
      <c r="C50" s="20"/>
      <c r="D50" s="20"/>
      <c r="E50" s="95" t="s">
        <v>65</v>
      </c>
      <c r="F50" s="96" t="s">
        <v>66</v>
      </c>
      <c r="G50" s="119"/>
      <c r="H50" s="21"/>
      <c r="I50" s="22"/>
      <c r="J50" s="22"/>
      <c r="K50" s="23"/>
      <c r="L50" s="21"/>
      <c r="M50" s="24" t="s">
        <v>365</v>
      </c>
      <c r="N50" s="22"/>
      <c r="O50" s="24"/>
      <c r="P50" s="24"/>
      <c r="Q50" s="24"/>
      <c r="R50" s="22"/>
      <c r="S50" s="23"/>
      <c r="T50" s="170"/>
      <c r="U50" s="25">
        <v>45680</v>
      </c>
      <c r="V50" s="26"/>
      <c r="W50" s="27"/>
      <c r="X50" s="28" t="s">
        <v>374</v>
      </c>
      <c r="Y50" s="94"/>
    </row>
    <row r="51" spans="1:25" ht="57" x14ac:dyDescent="0.15">
      <c r="A51" s="19">
        <f t="shared" si="0"/>
        <v>47</v>
      </c>
      <c r="B51" s="20"/>
      <c r="C51" s="20"/>
      <c r="D51" s="20"/>
      <c r="E51" s="95" t="s">
        <v>67</v>
      </c>
      <c r="F51" s="96" t="s">
        <v>68</v>
      </c>
      <c r="G51" s="119"/>
      <c r="H51" s="21"/>
      <c r="I51" s="22"/>
      <c r="J51" s="22"/>
      <c r="K51" s="23"/>
      <c r="L51" s="21"/>
      <c r="M51" s="24" t="s">
        <v>365</v>
      </c>
      <c r="N51" s="22"/>
      <c r="O51" s="24"/>
      <c r="P51" s="24"/>
      <c r="Q51" s="24"/>
      <c r="R51" s="22"/>
      <c r="S51" s="23"/>
      <c r="T51" s="170"/>
      <c r="U51" s="25">
        <v>45680</v>
      </c>
      <c r="V51" s="26"/>
      <c r="W51" s="27"/>
      <c r="X51" s="28" t="s">
        <v>374</v>
      </c>
      <c r="Y51" s="94"/>
    </row>
    <row r="52" spans="1:25" ht="11.4" x14ac:dyDescent="0.15">
      <c r="A52" s="19">
        <f t="shared" si="0"/>
        <v>48</v>
      </c>
      <c r="B52" s="20"/>
      <c r="C52" s="20"/>
      <c r="D52" s="20"/>
      <c r="E52" s="95" t="s">
        <v>63</v>
      </c>
      <c r="F52" s="96" t="s">
        <v>69</v>
      </c>
      <c r="G52" s="119"/>
      <c r="H52" s="21"/>
      <c r="I52" s="22"/>
      <c r="J52" s="22"/>
      <c r="K52" s="23"/>
      <c r="L52" s="21"/>
      <c r="M52" s="24" t="s">
        <v>365</v>
      </c>
      <c r="N52" s="22"/>
      <c r="O52" s="24"/>
      <c r="P52" s="24"/>
      <c r="Q52" s="24"/>
      <c r="R52" s="22"/>
      <c r="S52" s="23"/>
      <c r="T52" s="170"/>
      <c r="U52" s="25">
        <v>45680</v>
      </c>
      <c r="V52" s="26"/>
      <c r="W52" s="27"/>
      <c r="X52" s="28" t="s">
        <v>374</v>
      </c>
      <c r="Y52" s="94"/>
    </row>
    <row r="53" spans="1:25" ht="11.4" x14ac:dyDescent="0.15">
      <c r="A53" s="19">
        <f t="shared" si="0"/>
        <v>49</v>
      </c>
      <c r="B53" s="20"/>
      <c r="C53" s="20"/>
      <c r="D53" s="20"/>
      <c r="E53" s="95" t="s">
        <v>70</v>
      </c>
      <c r="F53" s="96" t="s">
        <v>71</v>
      </c>
      <c r="G53" s="119"/>
      <c r="H53" s="21"/>
      <c r="I53" s="22"/>
      <c r="J53" s="22"/>
      <c r="K53" s="23"/>
      <c r="L53" s="21"/>
      <c r="M53" s="24" t="s">
        <v>365</v>
      </c>
      <c r="N53" s="22"/>
      <c r="O53" s="24"/>
      <c r="P53" s="24"/>
      <c r="Q53" s="24"/>
      <c r="R53" s="22"/>
      <c r="S53" s="23"/>
      <c r="T53" s="170"/>
      <c r="U53" s="25">
        <v>45680</v>
      </c>
      <c r="V53" s="26"/>
      <c r="W53" s="27"/>
      <c r="X53" s="28" t="s">
        <v>374</v>
      </c>
      <c r="Y53" s="94"/>
    </row>
    <row r="54" spans="1:25" ht="11.4" x14ac:dyDescent="0.15">
      <c r="A54" s="19">
        <f t="shared" si="0"/>
        <v>50</v>
      </c>
      <c r="B54" s="20"/>
      <c r="C54" s="20"/>
      <c r="D54" s="20"/>
      <c r="E54" s="95" t="s">
        <v>56</v>
      </c>
      <c r="F54" s="96" t="s">
        <v>37</v>
      </c>
      <c r="G54" s="119"/>
      <c r="H54" s="21"/>
      <c r="I54" s="22"/>
      <c r="J54" s="22"/>
      <c r="K54" s="23"/>
      <c r="L54" s="21"/>
      <c r="M54" s="24" t="s">
        <v>365</v>
      </c>
      <c r="N54" s="22"/>
      <c r="O54" s="24"/>
      <c r="P54" s="24"/>
      <c r="Q54" s="24"/>
      <c r="R54" s="99"/>
      <c r="S54" s="23"/>
      <c r="T54" s="170"/>
      <c r="U54" s="25">
        <v>45680</v>
      </c>
      <c r="V54" s="26"/>
      <c r="W54" s="27"/>
      <c r="X54" s="28" t="s">
        <v>374</v>
      </c>
      <c r="Y54" s="94"/>
    </row>
    <row r="55" spans="1:25" ht="11.4" x14ac:dyDescent="0.15">
      <c r="A55" s="19">
        <f t="shared" si="0"/>
        <v>51</v>
      </c>
      <c r="B55" s="20"/>
      <c r="C55" s="20"/>
      <c r="D55" s="20"/>
      <c r="E55" s="95" t="s">
        <v>57</v>
      </c>
      <c r="F55" s="96" t="s">
        <v>37</v>
      </c>
      <c r="G55" s="121"/>
      <c r="H55" s="21"/>
      <c r="I55" s="22"/>
      <c r="J55" s="22"/>
      <c r="K55" s="23"/>
      <c r="L55" s="21"/>
      <c r="M55" s="24" t="s">
        <v>365</v>
      </c>
      <c r="N55" s="22"/>
      <c r="O55" s="24"/>
      <c r="P55" s="24"/>
      <c r="Q55" s="24"/>
      <c r="R55" s="99"/>
      <c r="S55" s="23"/>
      <c r="T55" s="170"/>
      <c r="U55" s="25">
        <v>45680</v>
      </c>
      <c r="V55" s="26"/>
      <c r="W55" s="27"/>
      <c r="X55" s="28" t="s">
        <v>374</v>
      </c>
      <c r="Y55" s="94"/>
    </row>
    <row r="56" spans="1:25" ht="11.4" x14ac:dyDescent="0.15">
      <c r="A56" s="19">
        <f t="shared" si="0"/>
        <v>52</v>
      </c>
      <c r="B56" s="20"/>
      <c r="C56" s="20"/>
      <c r="D56" s="20"/>
      <c r="E56" s="95" t="s">
        <v>72</v>
      </c>
      <c r="F56" s="96" t="s">
        <v>73</v>
      </c>
      <c r="G56" s="121"/>
      <c r="H56" s="21"/>
      <c r="I56" s="22"/>
      <c r="J56" s="22"/>
      <c r="K56" s="23"/>
      <c r="L56" s="21"/>
      <c r="M56" s="24" t="s">
        <v>365</v>
      </c>
      <c r="N56" s="22"/>
      <c r="O56" s="24"/>
      <c r="P56" s="24"/>
      <c r="Q56" s="24"/>
      <c r="R56" s="22"/>
      <c r="S56" s="23"/>
      <c r="T56" s="170"/>
      <c r="U56" s="25">
        <v>45680</v>
      </c>
      <c r="V56" s="26"/>
      <c r="W56" s="27"/>
      <c r="X56" s="28" t="s">
        <v>374</v>
      </c>
      <c r="Y56" s="94"/>
    </row>
    <row r="57" spans="1:25" ht="11.4" x14ac:dyDescent="0.15">
      <c r="A57" s="19">
        <f t="shared" si="0"/>
        <v>53</v>
      </c>
      <c r="B57" s="20"/>
      <c r="C57" s="20"/>
      <c r="D57" s="20"/>
      <c r="E57" s="95" t="s">
        <v>291</v>
      </c>
      <c r="F57" s="96" t="s">
        <v>74</v>
      </c>
      <c r="G57" s="121"/>
      <c r="H57" s="21"/>
      <c r="I57" s="22"/>
      <c r="J57" s="22"/>
      <c r="K57" s="23"/>
      <c r="L57" s="21"/>
      <c r="M57" s="24" t="s">
        <v>365</v>
      </c>
      <c r="N57" s="22"/>
      <c r="O57" s="24"/>
      <c r="P57" s="24"/>
      <c r="Q57" s="24"/>
      <c r="R57" s="22"/>
      <c r="S57" s="23"/>
      <c r="T57" s="170"/>
      <c r="U57" s="25">
        <v>45680</v>
      </c>
      <c r="V57" s="26"/>
      <c r="W57" s="27"/>
      <c r="X57" s="28" t="s">
        <v>374</v>
      </c>
      <c r="Y57" s="94"/>
    </row>
    <row r="58" spans="1:25" ht="22.8" x14ac:dyDescent="0.15">
      <c r="A58" s="19">
        <f t="shared" si="0"/>
        <v>54</v>
      </c>
      <c r="B58" s="20"/>
      <c r="C58" s="20"/>
      <c r="D58" s="20"/>
      <c r="E58" s="95" t="s">
        <v>75</v>
      </c>
      <c r="F58" s="96" t="s">
        <v>168</v>
      </c>
      <c r="G58" s="121"/>
      <c r="H58" s="21"/>
      <c r="I58" s="22"/>
      <c r="J58" s="22"/>
      <c r="K58" s="23"/>
      <c r="L58" s="21"/>
      <c r="M58" s="24"/>
      <c r="N58" s="22"/>
      <c r="O58" s="24"/>
      <c r="P58" s="24"/>
      <c r="Q58" s="24"/>
      <c r="R58" s="24" t="s">
        <v>365</v>
      </c>
      <c r="S58" s="23"/>
      <c r="T58" s="170"/>
      <c r="U58" s="25">
        <v>45681</v>
      </c>
      <c r="V58" s="26"/>
      <c r="W58" s="27"/>
      <c r="X58" s="28" t="s">
        <v>374</v>
      </c>
      <c r="Y58" s="94" t="s">
        <v>202</v>
      </c>
    </row>
    <row r="59" spans="1:25" ht="34.200000000000003" x14ac:dyDescent="0.15">
      <c r="A59" s="19">
        <f t="shared" si="0"/>
        <v>55</v>
      </c>
      <c r="B59" s="20"/>
      <c r="C59" s="20"/>
      <c r="D59" s="20"/>
      <c r="E59" s="95" t="s">
        <v>76</v>
      </c>
      <c r="F59" s="96" t="s">
        <v>384</v>
      </c>
      <c r="G59" s="121"/>
      <c r="H59" s="21"/>
      <c r="I59" s="22"/>
      <c r="J59" s="22"/>
      <c r="K59" s="23"/>
      <c r="L59" s="21"/>
      <c r="M59" s="22"/>
      <c r="N59" s="22"/>
      <c r="O59" s="24"/>
      <c r="P59" s="24"/>
      <c r="Q59" s="24"/>
      <c r="R59" s="24" t="s">
        <v>365</v>
      </c>
      <c r="S59" s="23"/>
      <c r="T59" s="170"/>
      <c r="U59" s="178">
        <v>45685</v>
      </c>
      <c r="V59" s="179"/>
      <c r="W59" s="180"/>
      <c r="X59" s="28" t="s">
        <v>375</v>
      </c>
      <c r="Y59" s="94" t="s">
        <v>383</v>
      </c>
    </row>
    <row r="60" spans="1:25" ht="22.8" x14ac:dyDescent="0.15">
      <c r="A60" s="19">
        <f t="shared" si="0"/>
        <v>56</v>
      </c>
      <c r="B60" s="20"/>
      <c r="C60" s="20"/>
      <c r="D60" s="168" t="s">
        <v>203</v>
      </c>
      <c r="E60" s="95" t="s">
        <v>228</v>
      </c>
      <c r="F60" s="96" t="s">
        <v>227</v>
      </c>
      <c r="G60" s="121"/>
      <c r="H60" s="21"/>
      <c r="I60" s="22"/>
      <c r="J60" s="22"/>
      <c r="K60" s="23"/>
      <c r="L60" s="21"/>
      <c r="M60" s="24"/>
      <c r="N60" s="22" t="s">
        <v>35</v>
      </c>
      <c r="O60" s="22"/>
      <c r="P60" s="24"/>
      <c r="Q60" s="24"/>
      <c r="R60" s="22"/>
      <c r="S60" s="23"/>
      <c r="T60" s="170"/>
      <c r="U60" s="175"/>
      <c r="V60" s="176"/>
      <c r="W60" s="177"/>
      <c r="X60" s="28"/>
      <c r="Y60" s="94" t="s">
        <v>226</v>
      </c>
    </row>
    <row r="61" spans="1:25" ht="22.8" x14ac:dyDescent="0.15">
      <c r="A61" s="19">
        <f t="shared" si="0"/>
        <v>57</v>
      </c>
      <c r="B61" s="20"/>
      <c r="C61" s="20"/>
      <c r="D61" s="20"/>
      <c r="E61" s="103"/>
      <c r="F61" s="96" t="s">
        <v>233</v>
      </c>
      <c r="G61" s="121"/>
      <c r="H61" s="21"/>
      <c r="I61" s="22"/>
      <c r="J61" s="22"/>
      <c r="K61" s="23"/>
      <c r="L61" s="21"/>
      <c r="M61" s="24" t="s">
        <v>35</v>
      </c>
      <c r="N61" s="22"/>
      <c r="O61" s="24"/>
      <c r="P61" s="24"/>
      <c r="Q61" s="24"/>
      <c r="R61" s="99"/>
      <c r="S61" s="23"/>
      <c r="T61" s="170"/>
      <c r="U61" s="175"/>
      <c r="V61" s="176"/>
      <c r="W61" s="177"/>
      <c r="X61" s="28"/>
      <c r="Y61" s="94"/>
    </row>
    <row r="62" spans="1:25" ht="22.8" x14ac:dyDescent="0.15">
      <c r="A62" s="19">
        <f t="shared" si="0"/>
        <v>58</v>
      </c>
      <c r="B62" s="20"/>
      <c r="C62" s="20"/>
      <c r="D62" s="20"/>
      <c r="E62" s="95" t="s">
        <v>75</v>
      </c>
      <c r="F62" s="96" t="s">
        <v>168</v>
      </c>
      <c r="G62" s="119"/>
      <c r="H62" s="21"/>
      <c r="I62" s="22"/>
      <c r="J62" s="22"/>
      <c r="K62" s="23"/>
      <c r="L62" s="21"/>
      <c r="M62" s="24"/>
      <c r="N62" s="22"/>
      <c r="O62" s="24"/>
      <c r="P62" s="24"/>
      <c r="Q62" s="24"/>
      <c r="R62" s="22" t="s">
        <v>35</v>
      </c>
      <c r="S62" s="23"/>
      <c r="T62" s="170"/>
      <c r="U62" s="175"/>
      <c r="V62" s="176"/>
      <c r="W62" s="177"/>
      <c r="X62" s="28"/>
      <c r="Y62" s="94" t="s">
        <v>202</v>
      </c>
    </row>
    <row r="63" spans="1:25" ht="34.200000000000003" x14ac:dyDescent="0.15">
      <c r="A63" s="19">
        <f t="shared" si="0"/>
        <v>59</v>
      </c>
      <c r="B63" s="20"/>
      <c r="C63" s="20"/>
      <c r="D63" s="20"/>
      <c r="E63" s="95" t="s">
        <v>76</v>
      </c>
      <c r="F63" s="96" t="s">
        <v>234</v>
      </c>
      <c r="G63" s="119"/>
      <c r="H63" s="21"/>
      <c r="I63" s="22"/>
      <c r="J63" s="22"/>
      <c r="K63" s="23"/>
      <c r="L63" s="21"/>
      <c r="M63" s="22"/>
      <c r="N63" s="22"/>
      <c r="O63" s="24"/>
      <c r="P63" s="24"/>
      <c r="Q63" s="24"/>
      <c r="R63" s="22" t="s">
        <v>35</v>
      </c>
      <c r="S63" s="23"/>
      <c r="T63" s="170"/>
      <c r="U63" s="175"/>
      <c r="V63" s="176"/>
      <c r="W63" s="177"/>
      <c r="X63" s="28"/>
      <c r="Y63" s="94" t="s">
        <v>202</v>
      </c>
    </row>
    <row r="64" spans="1:25" ht="57" x14ac:dyDescent="0.15">
      <c r="A64" s="19">
        <f t="shared" si="0"/>
        <v>60</v>
      </c>
      <c r="B64" s="20"/>
      <c r="C64" s="20"/>
      <c r="D64" s="168" t="s">
        <v>235</v>
      </c>
      <c r="E64" s="95" t="s">
        <v>228</v>
      </c>
      <c r="F64" s="96" t="s">
        <v>227</v>
      </c>
      <c r="G64" s="119"/>
      <c r="H64" s="21"/>
      <c r="I64" s="22"/>
      <c r="J64" s="22"/>
      <c r="K64" s="23"/>
      <c r="L64" s="21"/>
      <c r="M64" s="24"/>
      <c r="N64" s="22" t="s">
        <v>35</v>
      </c>
      <c r="O64" s="22"/>
      <c r="P64" s="24"/>
      <c r="Q64" s="24"/>
      <c r="R64" s="22"/>
      <c r="S64" s="23"/>
      <c r="T64" s="170"/>
      <c r="U64" s="175"/>
      <c r="V64" s="176"/>
      <c r="W64" s="177"/>
      <c r="X64" s="28"/>
      <c r="Y64" s="94" t="s">
        <v>246</v>
      </c>
    </row>
    <row r="65" spans="1:25" ht="34.200000000000003" x14ac:dyDescent="0.15">
      <c r="A65" s="19">
        <f t="shared" si="0"/>
        <v>61</v>
      </c>
      <c r="B65" s="20"/>
      <c r="C65" s="20"/>
      <c r="D65" s="20"/>
      <c r="E65" s="95" t="s">
        <v>75</v>
      </c>
      <c r="F65" s="96" t="s">
        <v>201</v>
      </c>
      <c r="G65" s="119"/>
      <c r="H65" s="21"/>
      <c r="I65" s="22"/>
      <c r="J65" s="22"/>
      <c r="K65" s="23"/>
      <c r="L65" s="21"/>
      <c r="M65" s="24"/>
      <c r="N65" s="22"/>
      <c r="O65" s="24"/>
      <c r="P65" s="24"/>
      <c r="Q65" s="24"/>
      <c r="R65" s="22" t="s">
        <v>35</v>
      </c>
      <c r="S65" s="23"/>
      <c r="T65" s="170"/>
      <c r="U65" s="175"/>
      <c r="V65" s="176"/>
      <c r="W65" s="177"/>
      <c r="X65" s="28"/>
      <c r="Y65" s="94" t="s">
        <v>245</v>
      </c>
    </row>
    <row r="66" spans="1:25" ht="22.8" x14ac:dyDescent="0.15">
      <c r="A66" s="19">
        <f t="shared" si="0"/>
        <v>62</v>
      </c>
      <c r="B66" s="20"/>
      <c r="C66" s="20"/>
      <c r="D66" s="20"/>
      <c r="E66" s="103" t="s">
        <v>290</v>
      </c>
      <c r="F66" s="96" t="s">
        <v>37</v>
      </c>
      <c r="G66" s="119"/>
      <c r="H66" s="21"/>
      <c r="I66" s="22"/>
      <c r="J66" s="22"/>
      <c r="K66" s="23"/>
      <c r="L66" s="21"/>
      <c r="M66" s="24" t="s">
        <v>35</v>
      </c>
      <c r="N66" s="22"/>
      <c r="O66" s="24"/>
      <c r="P66" s="24"/>
      <c r="Q66" s="24"/>
      <c r="R66" s="99"/>
      <c r="S66" s="23"/>
      <c r="T66" s="170"/>
      <c r="U66" s="175"/>
      <c r="V66" s="176"/>
      <c r="W66" s="177"/>
      <c r="X66" s="28"/>
      <c r="Y66" s="94"/>
    </row>
    <row r="67" spans="1:25" ht="22.8" x14ac:dyDescent="0.15">
      <c r="A67" s="19">
        <f t="shared" si="0"/>
        <v>63</v>
      </c>
      <c r="B67" s="20"/>
      <c r="C67" s="20"/>
      <c r="D67" s="20"/>
      <c r="E67" s="103" t="s">
        <v>236</v>
      </c>
      <c r="F67" s="96" t="s">
        <v>37</v>
      </c>
      <c r="G67" s="119"/>
      <c r="H67" s="21"/>
      <c r="I67" s="22"/>
      <c r="J67" s="22"/>
      <c r="K67" s="23"/>
      <c r="L67" s="21"/>
      <c r="M67" s="24" t="s">
        <v>35</v>
      </c>
      <c r="N67" s="22"/>
      <c r="O67" s="24"/>
      <c r="P67" s="24"/>
      <c r="Q67" s="24"/>
      <c r="R67" s="99"/>
      <c r="S67" s="23"/>
      <c r="T67" s="170"/>
      <c r="U67" s="175"/>
      <c r="V67" s="176"/>
      <c r="W67" s="177"/>
      <c r="X67" s="28"/>
      <c r="Y67" s="94"/>
    </row>
    <row r="68" spans="1:25" ht="22.8" x14ac:dyDescent="0.15">
      <c r="A68" s="19">
        <f t="shared" si="0"/>
        <v>64</v>
      </c>
      <c r="B68" s="20"/>
      <c r="C68" s="20"/>
      <c r="D68" s="20"/>
      <c r="E68" s="103" t="s">
        <v>237</v>
      </c>
      <c r="F68" s="96" t="s">
        <v>59</v>
      </c>
      <c r="G68" s="119"/>
      <c r="H68" s="21"/>
      <c r="I68" s="22"/>
      <c r="J68" s="22"/>
      <c r="K68" s="23"/>
      <c r="L68" s="21"/>
      <c r="M68" s="24" t="s">
        <v>35</v>
      </c>
      <c r="N68" s="22"/>
      <c r="O68" s="24"/>
      <c r="P68" s="24"/>
      <c r="Q68" s="24"/>
      <c r="R68" s="22"/>
      <c r="S68" s="23"/>
      <c r="T68" s="170"/>
      <c r="U68" s="175"/>
      <c r="V68" s="176"/>
      <c r="W68" s="177"/>
      <c r="X68" s="28"/>
      <c r="Y68" s="94"/>
    </row>
    <row r="69" spans="1:25" ht="57" x14ac:dyDescent="0.15">
      <c r="A69" s="19">
        <f t="shared" si="0"/>
        <v>65</v>
      </c>
      <c r="B69" s="20"/>
      <c r="C69" s="20"/>
      <c r="D69" s="20"/>
      <c r="E69" s="103" t="s">
        <v>238</v>
      </c>
      <c r="F69" s="96" t="s">
        <v>61</v>
      </c>
      <c r="G69" s="119"/>
      <c r="H69" s="21"/>
      <c r="I69" s="22"/>
      <c r="J69" s="22"/>
      <c r="K69" s="23"/>
      <c r="L69" s="21"/>
      <c r="M69" s="24" t="s">
        <v>35</v>
      </c>
      <c r="N69" s="22"/>
      <c r="O69" s="24"/>
      <c r="P69" s="24"/>
      <c r="Q69" s="24"/>
      <c r="R69" s="22"/>
      <c r="S69" s="23"/>
      <c r="T69" s="170"/>
      <c r="U69" s="175"/>
      <c r="V69" s="176"/>
      <c r="W69" s="177"/>
      <c r="X69" s="28"/>
      <c r="Y69" s="94"/>
    </row>
    <row r="70" spans="1:25" ht="22.8" x14ac:dyDescent="0.15">
      <c r="A70" s="19">
        <f t="shared" ref="A70:A133" si="1">ROW()-4</f>
        <v>66</v>
      </c>
      <c r="B70" s="20"/>
      <c r="C70" s="20"/>
      <c r="D70" s="20"/>
      <c r="E70" s="103" t="s">
        <v>239</v>
      </c>
      <c r="F70" s="96" t="s">
        <v>37</v>
      </c>
      <c r="G70" s="119"/>
      <c r="H70" s="21"/>
      <c r="I70" s="22"/>
      <c r="J70" s="22"/>
      <c r="K70" s="23"/>
      <c r="L70" s="21"/>
      <c r="M70" s="24" t="s">
        <v>35</v>
      </c>
      <c r="N70" s="22"/>
      <c r="O70" s="24"/>
      <c r="P70" s="24"/>
      <c r="Q70" s="24"/>
      <c r="R70" s="22"/>
      <c r="S70" s="23"/>
      <c r="T70" s="170"/>
      <c r="U70" s="175"/>
      <c r="V70" s="176"/>
      <c r="W70" s="177"/>
      <c r="X70" s="28"/>
      <c r="Y70" s="94"/>
    </row>
    <row r="71" spans="1:25" ht="22.8" x14ac:dyDescent="0.15">
      <c r="A71" s="19">
        <f t="shared" si="1"/>
        <v>67</v>
      </c>
      <c r="B71" s="20"/>
      <c r="C71" s="20"/>
      <c r="D71" s="20"/>
      <c r="E71" s="103" t="s">
        <v>240</v>
      </c>
      <c r="F71" s="96" t="s">
        <v>64</v>
      </c>
      <c r="G71" s="119"/>
      <c r="H71" s="21"/>
      <c r="I71" s="22"/>
      <c r="J71" s="22"/>
      <c r="K71" s="23"/>
      <c r="L71" s="21"/>
      <c r="M71" s="24" t="s">
        <v>35</v>
      </c>
      <c r="N71" s="22"/>
      <c r="O71" s="24"/>
      <c r="P71" s="24"/>
      <c r="Q71" s="24"/>
      <c r="R71" s="22"/>
      <c r="S71" s="23"/>
      <c r="T71" s="170"/>
      <c r="U71" s="175"/>
      <c r="V71" s="176"/>
      <c r="W71" s="177"/>
      <c r="X71" s="28"/>
      <c r="Y71" s="94"/>
    </row>
    <row r="72" spans="1:25" ht="22.8" x14ac:dyDescent="0.15">
      <c r="A72" s="19">
        <f t="shared" si="1"/>
        <v>68</v>
      </c>
      <c r="B72" s="20"/>
      <c r="C72" s="20"/>
      <c r="D72" s="20"/>
      <c r="E72" s="103" t="s">
        <v>241</v>
      </c>
      <c r="F72" s="96" t="s">
        <v>66</v>
      </c>
      <c r="G72" s="119"/>
      <c r="H72" s="21"/>
      <c r="I72" s="22"/>
      <c r="J72" s="22"/>
      <c r="K72" s="23"/>
      <c r="L72" s="21"/>
      <c r="M72" s="24" t="s">
        <v>35</v>
      </c>
      <c r="N72" s="22"/>
      <c r="O72" s="24"/>
      <c r="P72" s="24"/>
      <c r="Q72" s="24"/>
      <c r="R72" s="22"/>
      <c r="S72" s="23"/>
      <c r="T72" s="170"/>
      <c r="U72" s="175"/>
      <c r="V72" s="176"/>
      <c r="W72" s="177"/>
      <c r="X72" s="28"/>
      <c r="Y72" s="94"/>
    </row>
    <row r="73" spans="1:25" ht="68.400000000000006" x14ac:dyDescent="0.15">
      <c r="A73" s="19">
        <f t="shared" si="1"/>
        <v>69</v>
      </c>
      <c r="B73" s="20"/>
      <c r="C73" s="20"/>
      <c r="D73" s="20"/>
      <c r="E73" s="103" t="s">
        <v>312</v>
      </c>
      <c r="F73" s="96" t="s">
        <v>68</v>
      </c>
      <c r="G73" s="119"/>
      <c r="H73" s="21"/>
      <c r="I73" s="22"/>
      <c r="J73" s="22"/>
      <c r="K73" s="23"/>
      <c r="L73" s="21"/>
      <c r="M73" s="24" t="s">
        <v>35</v>
      </c>
      <c r="N73" s="22"/>
      <c r="O73" s="24"/>
      <c r="P73" s="24"/>
      <c r="Q73" s="24"/>
      <c r="R73" s="22"/>
      <c r="S73" s="23"/>
      <c r="T73" s="170"/>
      <c r="U73" s="175"/>
      <c r="V73" s="176"/>
      <c r="W73" s="177"/>
      <c r="X73" s="28"/>
      <c r="Y73" s="94"/>
    </row>
    <row r="74" spans="1:25" ht="22.8" x14ac:dyDescent="0.15">
      <c r="A74" s="19">
        <f t="shared" si="1"/>
        <v>70</v>
      </c>
      <c r="B74" s="20"/>
      <c r="C74" s="20"/>
      <c r="D74" s="20"/>
      <c r="E74" s="103" t="s">
        <v>240</v>
      </c>
      <c r="F74" s="96" t="s">
        <v>69</v>
      </c>
      <c r="G74" s="119"/>
      <c r="H74" s="21"/>
      <c r="I74" s="22"/>
      <c r="J74" s="22"/>
      <c r="K74" s="23"/>
      <c r="L74" s="21"/>
      <c r="M74" s="24" t="s">
        <v>35</v>
      </c>
      <c r="N74" s="22"/>
      <c r="O74" s="24"/>
      <c r="P74" s="24"/>
      <c r="Q74" s="24"/>
      <c r="R74" s="22"/>
      <c r="S74" s="23"/>
      <c r="T74" s="170"/>
      <c r="U74" s="175"/>
      <c r="V74" s="176"/>
      <c r="W74" s="177"/>
      <c r="X74" s="28"/>
      <c r="Y74" s="94"/>
    </row>
    <row r="75" spans="1:25" ht="22.8" x14ac:dyDescent="0.15">
      <c r="A75" s="19">
        <f t="shared" si="1"/>
        <v>71</v>
      </c>
      <c r="B75" s="20"/>
      <c r="C75" s="20"/>
      <c r="D75" s="20"/>
      <c r="E75" s="103" t="s">
        <v>242</v>
      </c>
      <c r="F75" s="96" t="s">
        <v>71</v>
      </c>
      <c r="G75" s="119"/>
      <c r="H75" s="21"/>
      <c r="I75" s="22"/>
      <c r="J75" s="22"/>
      <c r="K75" s="23"/>
      <c r="L75" s="21"/>
      <c r="M75" s="24" t="s">
        <v>35</v>
      </c>
      <c r="N75" s="22"/>
      <c r="O75" s="24"/>
      <c r="P75" s="24"/>
      <c r="Q75" s="24"/>
      <c r="R75" s="22"/>
      <c r="S75" s="23"/>
      <c r="T75" s="170"/>
      <c r="U75" s="175"/>
      <c r="V75" s="176"/>
      <c r="W75" s="177"/>
      <c r="X75" s="28"/>
      <c r="Y75" s="94"/>
    </row>
    <row r="76" spans="1:25" ht="22.8" x14ac:dyDescent="0.15">
      <c r="A76" s="19">
        <f t="shared" si="1"/>
        <v>72</v>
      </c>
      <c r="B76" s="20"/>
      <c r="C76" s="20"/>
      <c r="D76" s="20"/>
      <c r="E76" s="103" t="s">
        <v>243</v>
      </c>
      <c r="F76" s="96" t="s">
        <v>37</v>
      </c>
      <c r="G76" s="119"/>
      <c r="H76" s="21"/>
      <c r="I76" s="22"/>
      <c r="J76" s="22"/>
      <c r="K76" s="23"/>
      <c r="L76" s="21"/>
      <c r="M76" s="24" t="s">
        <v>35</v>
      </c>
      <c r="N76" s="22"/>
      <c r="O76" s="24"/>
      <c r="P76" s="24"/>
      <c r="Q76" s="24"/>
      <c r="R76" s="99"/>
      <c r="S76" s="23"/>
      <c r="T76" s="170"/>
      <c r="U76" s="175"/>
      <c r="V76" s="176"/>
      <c r="W76" s="177"/>
      <c r="X76" s="28"/>
      <c r="Y76" s="94"/>
    </row>
    <row r="77" spans="1:25" ht="22.8" x14ac:dyDescent="0.15">
      <c r="A77" s="19">
        <f t="shared" si="1"/>
        <v>73</v>
      </c>
      <c r="B77" s="20"/>
      <c r="C77" s="20"/>
      <c r="D77" s="20"/>
      <c r="E77" s="103" t="s">
        <v>236</v>
      </c>
      <c r="F77" s="96" t="s">
        <v>37</v>
      </c>
      <c r="G77" s="119"/>
      <c r="H77" s="21"/>
      <c r="I77" s="22"/>
      <c r="J77" s="22"/>
      <c r="K77" s="23"/>
      <c r="L77" s="21"/>
      <c r="M77" s="24" t="s">
        <v>35</v>
      </c>
      <c r="N77" s="22"/>
      <c r="O77" s="24"/>
      <c r="P77" s="24"/>
      <c r="Q77" s="24"/>
      <c r="R77" s="99"/>
      <c r="S77" s="23"/>
      <c r="T77" s="170"/>
      <c r="U77" s="175"/>
      <c r="V77" s="176"/>
      <c r="W77" s="177"/>
      <c r="X77" s="28"/>
      <c r="Y77" s="94"/>
    </row>
    <row r="78" spans="1:25" ht="22.8" x14ac:dyDescent="0.15">
      <c r="A78" s="19">
        <f t="shared" si="1"/>
        <v>74</v>
      </c>
      <c r="B78" s="20"/>
      <c r="C78" s="20"/>
      <c r="D78" s="20"/>
      <c r="E78" s="103" t="s">
        <v>244</v>
      </c>
      <c r="F78" s="96" t="s">
        <v>73</v>
      </c>
      <c r="G78" s="119"/>
      <c r="H78" s="21"/>
      <c r="I78" s="22"/>
      <c r="J78" s="22"/>
      <c r="K78" s="23"/>
      <c r="L78" s="21"/>
      <c r="M78" s="24" t="s">
        <v>35</v>
      </c>
      <c r="N78" s="22"/>
      <c r="O78" s="24"/>
      <c r="P78" s="24"/>
      <c r="Q78" s="24"/>
      <c r="R78" s="22"/>
      <c r="S78" s="23"/>
      <c r="T78" s="170"/>
      <c r="U78" s="175"/>
      <c r="V78" s="176"/>
      <c r="W78" s="177"/>
      <c r="X78" s="28"/>
      <c r="Y78" s="94"/>
    </row>
    <row r="79" spans="1:25" ht="22.8" x14ac:dyDescent="0.15">
      <c r="A79" s="19">
        <f t="shared" si="1"/>
        <v>75</v>
      </c>
      <c r="B79" s="20"/>
      <c r="C79" s="20"/>
      <c r="D79" s="20"/>
      <c r="E79" s="103" t="str">
        <f ca="1">"No."&amp;OFFSET(A79,-6,0)&amp;"で特売設定した商品を検索する
（差分データファイル作成処理中に操作する）"</f>
        <v>No.69で特売設定した商品を検索する
（差分データファイル作成処理中に操作する）</v>
      </c>
      <c r="F79" s="96" t="s">
        <v>74</v>
      </c>
      <c r="G79" s="119"/>
      <c r="H79" s="21"/>
      <c r="I79" s="22"/>
      <c r="J79" s="22"/>
      <c r="K79" s="23"/>
      <c r="L79" s="21"/>
      <c r="M79" s="24" t="s">
        <v>35</v>
      </c>
      <c r="N79" s="22"/>
      <c r="O79" s="24"/>
      <c r="P79" s="24"/>
      <c r="Q79" s="24"/>
      <c r="R79" s="22"/>
      <c r="S79" s="23"/>
      <c r="T79" s="170"/>
      <c r="U79" s="175"/>
      <c r="V79" s="176"/>
      <c r="W79" s="177"/>
      <c r="X79" s="28"/>
      <c r="Y79" s="94"/>
    </row>
    <row r="80" spans="1:25" ht="34.200000000000003" x14ac:dyDescent="0.15">
      <c r="A80" s="19">
        <f t="shared" si="1"/>
        <v>76</v>
      </c>
      <c r="B80" s="20"/>
      <c r="C80" s="20"/>
      <c r="D80" s="20"/>
      <c r="E80" s="95" t="s">
        <v>75</v>
      </c>
      <c r="F80" s="96" t="s">
        <v>168</v>
      </c>
      <c r="G80" s="119"/>
      <c r="H80" s="21"/>
      <c r="I80" s="22"/>
      <c r="J80" s="22"/>
      <c r="K80" s="23"/>
      <c r="L80" s="21"/>
      <c r="M80" s="24"/>
      <c r="N80" s="22"/>
      <c r="O80" s="24"/>
      <c r="P80" s="24"/>
      <c r="Q80" s="24"/>
      <c r="R80" s="22" t="s">
        <v>35</v>
      </c>
      <c r="S80" s="23"/>
      <c r="T80" s="170"/>
      <c r="U80" s="175"/>
      <c r="V80" s="176"/>
      <c r="W80" s="177"/>
      <c r="X80" s="28"/>
      <c r="Y80" s="94" t="s">
        <v>344</v>
      </c>
    </row>
    <row r="81" spans="1:25" ht="11.4" x14ac:dyDescent="0.15">
      <c r="A81" s="19">
        <f t="shared" si="1"/>
        <v>77</v>
      </c>
      <c r="B81" s="20"/>
      <c r="C81" s="20"/>
      <c r="D81" s="20"/>
      <c r="E81" s="95" t="s">
        <v>56</v>
      </c>
      <c r="F81" s="96" t="s">
        <v>37</v>
      </c>
      <c r="G81" s="119"/>
      <c r="H81" s="21"/>
      <c r="I81" s="22"/>
      <c r="J81" s="22"/>
      <c r="K81" s="23"/>
      <c r="L81" s="21"/>
      <c r="M81" s="24" t="s">
        <v>35</v>
      </c>
      <c r="N81" s="22"/>
      <c r="O81" s="24"/>
      <c r="P81" s="24"/>
      <c r="Q81" s="24"/>
      <c r="R81" s="99"/>
      <c r="S81" s="23"/>
      <c r="T81" s="170"/>
      <c r="U81" s="175"/>
      <c r="V81" s="176"/>
      <c r="W81" s="177"/>
      <c r="X81" s="28"/>
      <c r="Y81" s="94"/>
    </row>
    <row r="82" spans="1:25" ht="11.4" x14ac:dyDescent="0.15">
      <c r="A82" s="19">
        <f t="shared" si="1"/>
        <v>78</v>
      </c>
      <c r="B82" s="20"/>
      <c r="C82" s="20"/>
      <c r="D82" s="20"/>
      <c r="E82" s="95" t="s">
        <v>57</v>
      </c>
      <c r="F82" s="96" t="s">
        <v>37</v>
      </c>
      <c r="G82" s="119"/>
      <c r="H82" s="21"/>
      <c r="I82" s="22"/>
      <c r="J82" s="22"/>
      <c r="K82" s="23"/>
      <c r="L82" s="21"/>
      <c r="M82" s="24" t="s">
        <v>35</v>
      </c>
      <c r="N82" s="22"/>
      <c r="O82" s="24"/>
      <c r="P82" s="24"/>
      <c r="Q82" s="24"/>
      <c r="R82" s="99"/>
      <c r="S82" s="23"/>
      <c r="T82" s="170"/>
      <c r="U82" s="175"/>
      <c r="V82" s="176"/>
      <c r="W82" s="177"/>
      <c r="X82" s="28"/>
      <c r="Y82" s="94"/>
    </row>
    <row r="83" spans="1:25" ht="11.4" x14ac:dyDescent="0.15">
      <c r="A83" s="19">
        <f t="shared" si="1"/>
        <v>79</v>
      </c>
      <c r="B83" s="20"/>
      <c r="C83" s="20"/>
      <c r="D83" s="20"/>
      <c r="E83" s="95" t="s">
        <v>72</v>
      </c>
      <c r="F83" s="96" t="s">
        <v>73</v>
      </c>
      <c r="G83" s="119"/>
      <c r="H83" s="21"/>
      <c r="I83" s="22"/>
      <c r="J83" s="22"/>
      <c r="K83" s="23"/>
      <c r="L83" s="21"/>
      <c r="M83" s="24" t="s">
        <v>35</v>
      </c>
      <c r="N83" s="22"/>
      <c r="O83" s="24"/>
      <c r="P83" s="24"/>
      <c r="Q83" s="24"/>
      <c r="R83" s="22"/>
      <c r="S83" s="23"/>
      <c r="T83" s="170"/>
      <c r="U83" s="175"/>
      <c r="V83" s="176"/>
      <c r="W83" s="177"/>
      <c r="X83" s="28"/>
      <c r="Y83" s="94"/>
    </row>
    <row r="84" spans="1:25" ht="11.4" x14ac:dyDescent="0.15">
      <c r="A84" s="19">
        <f t="shared" si="1"/>
        <v>80</v>
      </c>
      <c r="B84" s="20"/>
      <c r="C84" s="20"/>
      <c r="D84" s="20"/>
      <c r="E84" s="95" t="s">
        <v>292</v>
      </c>
      <c r="F84" s="96" t="s">
        <v>293</v>
      </c>
      <c r="G84" s="119"/>
      <c r="H84" s="21"/>
      <c r="I84" s="22"/>
      <c r="J84" s="22"/>
      <c r="K84" s="23"/>
      <c r="L84" s="21"/>
      <c r="M84" s="24" t="s">
        <v>35</v>
      </c>
      <c r="N84" s="22"/>
      <c r="O84" s="24"/>
      <c r="P84" s="24"/>
      <c r="Q84" s="24"/>
      <c r="R84" s="22"/>
      <c r="S84" s="23"/>
      <c r="T84" s="170"/>
      <c r="U84" s="175"/>
      <c r="V84" s="176"/>
      <c r="W84" s="177"/>
      <c r="X84" s="28"/>
      <c r="Y84" s="94"/>
    </row>
    <row r="85" spans="1:25" ht="22.8" x14ac:dyDescent="0.15">
      <c r="A85" s="19">
        <f t="shared" si="1"/>
        <v>81</v>
      </c>
      <c r="B85" s="20" t="s">
        <v>77</v>
      </c>
      <c r="C85" s="20" t="s">
        <v>32</v>
      </c>
      <c r="D85" s="20" t="s">
        <v>169</v>
      </c>
      <c r="E85" s="95" t="s">
        <v>33</v>
      </c>
      <c r="F85" s="96" t="s">
        <v>34</v>
      </c>
      <c r="G85" s="119"/>
      <c r="H85" s="21"/>
      <c r="I85" s="22"/>
      <c r="J85" s="22"/>
      <c r="K85" s="23"/>
      <c r="L85" s="21"/>
      <c r="M85" s="24" t="s">
        <v>365</v>
      </c>
      <c r="N85" s="22"/>
      <c r="O85" s="24"/>
      <c r="P85" s="24"/>
      <c r="Q85" s="24"/>
      <c r="R85" s="22"/>
      <c r="S85" s="23"/>
      <c r="T85" s="170"/>
      <c r="U85" s="25">
        <v>45680</v>
      </c>
      <c r="V85" s="26"/>
      <c r="W85" s="27"/>
      <c r="X85" s="28" t="s">
        <v>374</v>
      </c>
      <c r="Y85" s="94"/>
    </row>
    <row r="86" spans="1:25" ht="11.4" x14ac:dyDescent="0.15">
      <c r="A86" s="19">
        <f t="shared" si="1"/>
        <v>82</v>
      </c>
      <c r="B86" s="20"/>
      <c r="C86" s="20"/>
      <c r="D86" s="20"/>
      <c r="E86" s="95" t="s">
        <v>36</v>
      </c>
      <c r="F86" s="96" t="s">
        <v>37</v>
      </c>
      <c r="G86" s="119"/>
      <c r="H86" s="21"/>
      <c r="I86" s="22"/>
      <c r="J86" s="22"/>
      <c r="K86" s="23"/>
      <c r="L86" s="21"/>
      <c r="M86" s="24" t="s">
        <v>365</v>
      </c>
      <c r="N86" s="22"/>
      <c r="O86" s="24"/>
      <c r="P86" s="24"/>
      <c r="Q86" s="24"/>
      <c r="R86" s="99"/>
      <c r="S86" s="23"/>
      <c r="T86" s="170"/>
      <c r="U86" s="25">
        <v>45680</v>
      </c>
      <c r="V86" s="26"/>
      <c r="W86" s="27"/>
      <c r="X86" s="28" t="s">
        <v>374</v>
      </c>
      <c r="Y86" s="94"/>
    </row>
    <row r="87" spans="1:25" ht="11.4" x14ac:dyDescent="0.15">
      <c r="A87" s="19">
        <f t="shared" si="1"/>
        <v>83</v>
      </c>
      <c r="B87" s="20"/>
      <c r="C87" s="20"/>
      <c r="D87" s="20"/>
      <c r="E87" s="95" t="s">
        <v>38</v>
      </c>
      <c r="F87" s="96" t="s">
        <v>37</v>
      </c>
      <c r="G87" s="119"/>
      <c r="H87" s="21"/>
      <c r="I87" s="22"/>
      <c r="J87" s="22"/>
      <c r="K87" s="23"/>
      <c r="L87" s="21"/>
      <c r="M87" s="24" t="s">
        <v>365</v>
      </c>
      <c r="N87" s="22"/>
      <c r="O87" s="24"/>
      <c r="P87" s="24"/>
      <c r="Q87" s="24"/>
      <c r="R87" s="99"/>
      <c r="S87" s="23"/>
      <c r="T87" s="170"/>
      <c r="U87" s="25">
        <v>45680</v>
      </c>
      <c r="V87" s="26"/>
      <c r="W87" s="27"/>
      <c r="X87" s="28" t="s">
        <v>374</v>
      </c>
      <c r="Y87" s="94"/>
    </row>
    <row r="88" spans="1:25" ht="11.4" x14ac:dyDescent="0.15">
      <c r="A88" s="19">
        <f t="shared" si="1"/>
        <v>84</v>
      </c>
      <c r="B88" s="20"/>
      <c r="C88" s="20"/>
      <c r="D88" s="20"/>
      <c r="E88" s="95" t="s">
        <v>39</v>
      </c>
      <c r="F88" s="96" t="s">
        <v>40</v>
      </c>
      <c r="G88" s="119"/>
      <c r="H88" s="21"/>
      <c r="I88" s="22"/>
      <c r="J88" s="22"/>
      <c r="K88" s="23"/>
      <c r="L88" s="21"/>
      <c r="M88" s="24" t="s">
        <v>365</v>
      </c>
      <c r="N88" s="22"/>
      <c r="O88" s="24"/>
      <c r="P88" s="24"/>
      <c r="Q88" s="24"/>
      <c r="R88" s="22"/>
      <c r="S88" s="23"/>
      <c r="T88" s="170"/>
      <c r="U88" s="25">
        <v>45680</v>
      </c>
      <c r="V88" s="26"/>
      <c r="W88" s="27"/>
      <c r="X88" s="28" t="s">
        <v>374</v>
      </c>
      <c r="Y88" s="94"/>
    </row>
    <row r="89" spans="1:25" ht="11.4" x14ac:dyDescent="0.15">
      <c r="A89" s="19">
        <f t="shared" si="1"/>
        <v>85</v>
      </c>
      <c r="B89" s="20"/>
      <c r="C89" s="20"/>
      <c r="D89" s="20"/>
      <c r="E89" s="95" t="s">
        <v>167</v>
      </c>
      <c r="F89" s="96" t="s">
        <v>41</v>
      </c>
      <c r="G89" s="119"/>
      <c r="H89" s="21"/>
      <c r="I89" s="22"/>
      <c r="J89" s="22"/>
      <c r="K89" s="23"/>
      <c r="L89" s="21"/>
      <c r="M89" s="24" t="s">
        <v>365</v>
      </c>
      <c r="N89" s="22"/>
      <c r="O89" s="24"/>
      <c r="P89" s="24"/>
      <c r="Q89" s="24"/>
      <c r="R89" s="22"/>
      <c r="S89" s="23"/>
      <c r="T89" s="170"/>
      <c r="U89" s="25">
        <v>45680</v>
      </c>
      <c r="V89" s="26"/>
      <c r="W89" s="27"/>
      <c r="X89" s="28" t="s">
        <v>374</v>
      </c>
      <c r="Y89" s="94"/>
    </row>
    <row r="90" spans="1:25" ht="11.4" x14ac:dyDescent="0.15">
      <c r="A90" s="19">
        <f t="shared" si="1"/>
        <v>86</v>
      </c>
      <c r="B90" s="20"/>
      <c r="C90" s="20"/>
      <c r="D90" s="20" t="s">
        <v>170</v>
      </c>
      <c r="E90" s="95" t="s">
        <v>285</v>
      </c>
      <c r="F90" s="96" t="s">
        <v>42</v>
      </c>
      <c r="G90" s="119"/>
      <c r="H90" s="77"/>
      <c r="I90" s="78"/>
      <c r="J90" s="78"/>
      <c r="K90" s="79"/>
      <c r="L90" s="77"/>
      <c r="M90" s="80"/>
      <c r="N90" s="78"/>
      <c r="O90" s="80"/>
      <c r="P90" s="80"/>
      <c r="Q90" s="80"/>
      <c r="R90" s="100"/>
      <c r="S90" s="79"/>
      <c r="T90" s="171"/>
      <c r="U90" s="81"/>
      <c r="V90" s="82"/>
      <c r="W90" s="83"/>
      <c r="X90" s="84"/>
      <c r="Y90" s="94" t="s">
        <v>345</v>
      </c>
    </row>
    <row r="91" spans="1:25" ht="22.8" x14ac:dyDescent="0.15">
      <c r="A91" s="19">
        <f t="shared" si="1"/>
        <v>87</v>
      </c>
      <c r="B91" s="20"/>
      <c r="C91" s="20"/>
      <c r="D91" s="20"/>
      <c r="E91" s="95" t="s">
        <v>33</v>
      </c>
      <c r="F91" s="96" t="s">
        <v>286</v>
      </c>
      <c r="G91" s="119"/>
      <c r="H91" s="21"/>
      <c r="I91" s="22"/>
      <c r="J91" s="22"/>
      <c r="K91" s="23"/>
      <c r="L91" s="21"/>
      <c r="M91" s="24" t="s">
        <v>365</v>
      </c>
      <c r="N91" s="22"/>
      <c r="O91" s="24"/>
      <c r="P91" s="24"/>
      <c r="Q91" s="24"/>
      <c r="R91" s="99"/>
      <c r="S91" s="23"/>
      <c r="T91" s="170"/>
      <c r="U91" s="25">
        <v>45680</v>
      </c>
      <c r="V91" s="26"/>
      <c r="W91" s="27"/>
      <c r="X91" s="28" t="s">
        <v>374</v>
      </c>
      <c r="Y91" s="94" t="s">
        <v>345</v>
      </c>
    </row>
    <row r="92" spans="1:25" ht="11.4" x14ac:dyDescent="0.15">
      <c r="A92" s="19">
        <f t="shared" si="1"/>
        <v>88</v>
      </c>
      <c r="B92" s="20"/>
      <c r="C92" s="20"/>
      <c r="D92" s="20"/>
      <c r="E92" s="95" t="s">
        <v>36</v>
      </c>
      <c r="F92" s="96" t="s">
        <v>37</v>
      </c>
      <c r="G92" s="119"/>
      <c r="H92" s="21"/>
      <c r="I92" s="22"/>
      <c r="J92" s="22"/>
      <c r="K92" s="23"/>
      <c r="L92" s="21"/>
      <c r="M92" s="24" t="s">
        <v>365</v>
      </c>
      <c r="N92" s="22"/>
      <c r="O92" s="24"/>
      <c r="P92" s="24"/>
      <c r="Q92" s="24"/>
      <c r="R92" s="99"/>
      <c r="S92" s="23"/>
      <c r="T92" s="170"/>
      <c r="U92" s="25">
        <v>45680</v>
      </c>
      <c r="V92" s="26"/>
      <c r="W92" s="27"/>
      <c r="X92" s="28" t="s">
        <v>374</v>
      </c>
      <c r="Y92" s="94" t="s">
        <v>345</v>
      </c>
    </row>
    <row r="93" spans="1:25" ht="11.4" x14ac:dyDescent="0.15">
      <c r="A93" s="19">
        <f t="shared" si="1"/>
        <v>89</v>
      </c>
      <c r="B93" s="20"/>
      <c r="C93" s="20"/>
      <c r="D93" s="20"/>
      <c r="E93" s="95" t="s">
        <v>43</v>
      </c>
      <c r="F93" s="96" t="s">
        <v>37</v>
      </c>
      <c r="G93" s="119"/>
      <c r="H93" s="21"/>
      <c r="I93" s="22"/>
      <c r="J93" s="22"/>
      <c r="K93" s="23"/>
      <c r="L93" s="21"/>
      <c r="M93" s="24" t="s">
        <v>365</v>
      </c>
      <c r="N93" s="22"/>
      <c r="O93" s="24"/>
      <c r="P93" s="24"/>
      <c r="Q93" s="24"/>
      <c r="R93" s="99"/>
      <c r="S93" s="23"/>
      <c r="T93" s="170"/>
      <c r="U93" s="25">
        <v>45680</v>
      </c>
      <c r="V93" s="26"/>
      <c r="W93" s="27"/>
      <c r="X93" s="28" t="s">
        <v>374</v>
      </c>
      <c r="Y93" s="94" t="s">
        <v>345</v>
      </c>
    </row>
    <row r="94" spans="1:25" ht="11.4" x14ac:dyDescent="0.15">
      <c r="A94" s="19">
        <f t="shared" si="1"/>
        <v>90</v>
      </c>
      <c r="B94" s="20"/>
      <c r="C94" s="20"/>
      <c r="D94" s="20"/>
      <c r="E94" s="95" t="s">
        <v>44</v>
      </c>
      <c r="F94" s="96" t="s">
        <v>45</v>
      </c>
      <c r="G94" s="119"/>
      <c r="H94" s="21"/>
      <c r="I94" s="22"/>
      <c r="J94" s="22"/>
      <c r="K94" s="23"/>
      <c r="L94" s="21"/>
      <c r="M94" s="24" t="s">
        <v>365</v>
      </c>
      <c r="N94" s="22"/>
      <c r="O94" s="24"/>
      <c r="P94" s="24"/>
      <c r="Q94" s="24"/>
      <c r="R94" s="22"/>
      <c r="S94" s="23"/>
      <c r="T94" s="170"/>
      <c r="U94" s="25">
        <v>45680</v>
      </c>
      <c r="V94" s="26"/>
      <c r="W94" s="27"/>
      <c r="X94" s="28" t="s">
        <v>374</v>
      </c>
      <c r="Y94" s="94" t="s">
        <v>345</v>
      </c>
    </row>
    <row r="95" spans="1:25" ht="11.4" x14ac:dyDescent="0.15">
      <c r="A95" s="19">
        <f t="shared" si="1"/>
        <v>91</v>
      </c>
      <c r="B95" s="20"/>
      <c r="C95" s="20"/>
      <c r="D95" s="20"/>
      <c r="E95" s="95"/>
      <c r="F95" s="96" t="s">
        <v>46</v>
      </c>
      <c r="G95" s="119"/>
      <c r="H95" s="21"/>
      <c r="I95" s="22"/>
      <c r="J95" s="22"/>
      <c r="K95" s="23"/>
      <c r="L95" s="21"/>
      <c r="M95" s="24" t="s">
        <v>365</v>
      </c>
      <c r="N95" s="22"/>
      <c r="O95" s="24"/>
      <c r="P95" s="24"/>
      <c r="Q95" s="24"/>
      <c r="R95" s="22"/>
      <c r="S95" s="23"/>
      <c r="T95" s="170"/>
      <c r="U95" s="25">
        <v>45681</v>
      </c>
      <c r="V95" s="26"/>
      <c r="W95" s="27"/>
      <c r="X95" s="28" t="s">
        <v>374</v>
      </c>
      <c r="Y95" s="94" t="s">
        <v>345</v>
      </c>
    </row>
    <row r="96" spans="1:25" ht="15" customHeight="1" x14ac:dyDescent="0.15">
      <c r="A96" s="19">
        <f t="shared" si="1"/>
        <v>92</v>
      </c>
      <c r="B96" s="20"/>
      <c r="C96" s="20"/>
      <c r="D96" s="20"/>
      <c r="E96" s="95" t="s">
        <v>199</v>
      </c>
      <c r="F96" s="96" t="s">
        <v>168</v>
      </c>
      <c r="G96" s="119"/>
      <c r="H96" s="21"/>
      <c r="I96" s="22"/>
      <c r="J96" s="22"/>
      <c r="K96" s="23"/>
      <c r="L96" s="21"/>
      <c r="M96" s="22"/>
      <c r="N96" s="22"/>
      <c r="O96" s="24"/>
      <c r="P96" s="24"/>
      <c r="Q96" s="24"/>
      <c r="R96" s="24" t="s">
        <v>365</v>
      </c>
      <c r="S96" s="23"/>
      <c r="T96" s="170"/>
      <c r="U96" s="25">
        <v>45681</v>
      </c>
      <c r="V96" s="26"/>
      <c r="W96" s="27"/>
      <c r="X96" s="28" t="s">
        <v>374</v>
      </c>
      <c r="Y96" s="94" t="s">
        <v>345</v>
      </c>
    </row>
    <row r="97" spans="1:26" ht="23.4" customHeight="1" x14ac:dyDescent="0.15">
      <c r="A97" s="19">
        <f t="shared" si="1"/>
        <v>93</v>
      </c>
      <c r="B97" s="20"/>
      <c r="C97" s="20"/>
      <c r="D97" s="20"/>
      <c r="E97" s="95"/>
      <c r="F97" s="96" t="s">
        <v>78</v>
      </c>
      <c r="G97" s="119"/>
      <c r="H97" s="21"/>
      <c r="I97" s="22"/>
      <c r="J97" s="22"/>
      <c r="K97" s="23"/>
      <c r="L97" s="21"/>
      <c r="M97" s="22"/>
      <c r="N97" s="22"/>
      <c r="O97" s="24"/>
      <c r="P97" s="24"/>
      <c r="Q97" s="24"/>
      <c r="R97" s="24" t="s">
        <v>365</v>
      </c>
      <c r="S97" s="23"/>
      <c r="T97" s="170"/>
      <c r="U97" s="25">
        <v>45681</v>
      </c>
      <c r="V97" s="26"/>
      <c r="W97" s="27"/>
      <c r="X97" s="28" t="s">
        <v>374</v>
      </c>
      <c r="Y97" s="94" t="s">
        <v>345</v>
      </c>
    </row>
    <row r="98" spans="1:26" ht="33.6" customHeight="1" x14ac:dyDescent="0.15">
      <c r="A98" s="19">
        <f t="shared" si="1"/>
        <v>94</v>
      </c>
      <c r="B98" s="20"/>
      <c r="C98" s="20"/>
      <c r="D98" s="20"/>
      <c r="E98" s="95"/>
      <c r="F98" s="96" t="s">
        <v>385</v>
      </c>
      <c r="G98" s="119"/>
      <c r="H98" s="21"/>
      <c r="I98" s="22"/>
      <c r="J98" s="22"/>
      <c r="K98" s="23"/>
      <c r="L98" s="21"/>
      <c r="M98" s="22"/>
      <c r="N98" s="22"/>
      <c r="O98" s="24"/>
      <c r="P98" s="24"/>
      <c r="Q98" s="24"/>
      <c r="R98" s="24" t="s">
        <v>365</v>
      </c>
      <c r="S98" s="23"/>
      <c r="T98" s="170"/>
      <c r="U98" s="178">
        <v>45685</v>
      </c>
      <c r="V98" s="179"/>
      <c r="W98" s="180"/>
      <c r="X98" s="28" t="s">
        <v>375</v>
      </c>
      <c r="Y98" s="94" t="s">
        <v>386</v>
      </c>
    </row>
    <row r="99" spans="1:26" ht="45.6" x14ac:dyDescent="0.15">
      <c r="A99" s="181">
        <f t="shared" si="1"/>
        <v>95</v>
      </c>
      <c r="B99" s="182"/>
      <c r="C99" s="182"/>
      <c r="D99" s="182"/>
      <c r="E99" s="183" t="s">
        <v>313</v>
      </c>
      <c r="F99" s="184" t="s">
        <v>310</v>
      </c>
      <c r="G99" s="184"/>
      <c r="H99" s="77"/>
      <c r="I99" s="78"/>
      <c r="J99" s="78"/>
      <c r="K99" s="79"/>
      <c r="L99" s="77"/>
      <c r="M99" s="78"/>
      <c r="N99" s="78"/>
      <c r="O99" s="80"/>
      <c r="P99" s="80"/>
      <c r="Q99" s="80"/>
      <c r="R99" s="78" t="s">
        <v>365</v>
      </c>
      <c r="S99" s="79"/>
      <c r="T99" s="171"/>
      <c r="U99" s="81">
        <v>45685</v>
      </c>
      <c r="V99" s="82"/>
      <c r="W99" s="83"/>
      <c r="X99" s="84" t="s">
        <v>375</v>
      </c>
      <c r="Y99" s="186" t="s">
        <v>197</v>
      </c>
      <c r="Z99" s="188" t="s">
        <v>373</v>
      </c>
    </row>
    <row r="100" spans="1:26" ht="45.6" x14ac:dyDescent="0.15">
      <c r="A100" s="181">
        <f t="shared" si="1"/>
        <v>96</v>
      </c>
      <c r="B100" s="182"/>
      <c r="C100" s="182"/>
      <c r="D100" s="182"/>
      <c r="E100" s="183" t="s">
        <v>79</v>
      </c>
      <c r="F100" s="184" t="s">
        <v>310</v>
      </c>
      <c r="G100" s="184"/>
      <c r="H100" s="77"/>
      <c r="I100" s="78"/>
      <c r="J100" s="78"/>
      <c r="K100" s="79"/>
      <c r="L100" s="77"/>
      <c r="M100" s="78"/>
      <c r="N100" s="78"/>
      <c r="O100" s="80"/>
      <c r="P100" s="80"/>
      <c r="Q100" s="80"/>
      <c r="R100" s="78" t="s">
        <v>365</v>
      </c>
      <c r="S100" s="79"/>
      <c r="T100" s="171"/>
      <c r="U100" s="81">
        <v>45685</v>
      </c>
      <c r="V100" s="82"/>
      <c r="W100" s="83"/>
      <c r="X100" s="84" t="s">
        <v>375</v>
      </c>
      <c r="Y100" s="186" t="s">
        <v>197</v>
      </c>
      <c r="Z100" s="188" t="s">
        <v>373</v>
      </c>
    </row>
    <row r="101" spans="1:26" ht="45.6" x14ac:dyDescent="0.15">
      <c r="A101" s="181">
        <f t="shared" si="1"/>
        <v>97</v>
      </c>
      <c r="B101" s="182"/>
      <c r="C101" s="182"/>
      <c r="D101" s="182"/>
      <c r="E101" s="183" t="s">
        <v>314</v>
      </c>
      <c r="F101" s="184" t="s">
        <v>310</v>
      </c>
      <c r="G101" s="184"/>
      <c r="H101" s="77"/>
      <c r="I101" s="78"/>
      <c r="J101" s="78"/>
      <c r="K101" s="79"/>
      <c r="L101" s="77"/>
      <c r="M101" s="78"/>
      <c r="N101" s="78"/>
      <c r="O101" s="80"/>
      <c r="P101" s="80"/>
      <c r="Q101" s="80"/>
      <c r="R101" s="78" t="s">
        <v>365</v>
      </c>
      <c r="S101" s="79"/>
      <c r="T101" s="171"/>
      <c r="U101" s="81">
        <v>45685</v>
      </c>
      <c r="V101" s="82"/>
      <c r="W101" s="83"/>
      <c r="X101" s="84" t="s">
        <v>375</v>
      </c>
      <c r="Y101" s="186" t="s">
        <v>197</v>
      </c>
      <c r="Z101" s="188" t="s">
        <v>373</v>
      </c>
    </row>
    <row r="102" spans="1:26" ht="45.6" x14ac:dyDescent="0.15">
      <c r="A102" s="181">
        <f t="shared" si="1"/>
        <v>98</v>
      </c>
      <c r="B102" s="182"/>
      <c r="C102" s="182"/>
      <c r="D102" s="182"/>
      <c r="E102" s="183" t="s">
        <v>315</v>
      </c>
      <c r="F102" s="184" t="s">
        <v>310</v>
      </c>
      <c r="G102" s="184"/>
      <c r="H102" s="77"/>
      <c r="I102" s="78"/>
      <c r="J102" s="78"/>
      <c r="K102" s="79"/>
      <c r="L102" s="77"/>
      <c r="M102" s="78"/>
      <c r="N102" s="78"/>
      <c r="O102" s="80"/>
      <c r="P102" s="80"/>
      <c r="Q102" s="80"/>
      <c r="R102" s="78" t="s">
        <v>365</v>
      </c>
      <c r="S102" s="79"/>
      <c r="T102" s="171"/>
      <c r="U102" s="81">
        <v>45685</v>
      </c>
      <c r="V102" s="82"/>
      <c r="W102" s="83"/>
      <c r="X102" s="84" t="s">
        <v>375</v>
      </c>
      <c r="Y102" s="186" t="s">
        <v>197</v>
      </c>
      <c r="Z102" s="188" t="s">
        <v>373</v>
      </c>
    </row>
    <row r="103" spans="1:26" ht="22.8" x14ac:dyDescent="0.15">
      <c r="A103" s="19">
        <f t="shared" si="1"/>
        <v>99</v>
      </c>
      <c r="B103" s="20"/>
      <c r="C103" s="20" t="s">
        <v>52</v>
      </c>
      <c r="D103" s="20" t="s">
        <v>169</v>
      </c>
      <c r="E103" s="95" t="s">
        <v>33</v>
      </c>
      <c r="F103" s="96" t="s">
        <v>34</v>
      </c>
      <c r="G103" s="119"/>
      <c r="H103" s="21"/>
      <c r="I103" s="22"/>
      <c r="J103" s="22"/>
      <c r="K103" s="23"/>
      <c r="L103" s="21"/>
      <c r="M103" s="24" t="s">
        <v>365</v>
      </c>
      <c r="N103" s="22"/>
      <c r="O103" s="24"/>
      <c r="P103" s="24"/>
      <c r="Q103" s="24"/>
      <c r="R103" s="22"/>
      <c r="S103" s="23"/>
      <c r="T103" s="170"/>
      <c r="U103" s="25">
        <v>45680</v>
      </c>
      <c r="V103" s="26"/>
      <c r="W103" s="27"/>
      <c r="X103" s="28" t="s">
        <v>374</v>
      </c>
      <c r="Y103" s="94"/>
    </row>
    <row r="104" spans="1:26" ht="11.4" x14ac:dyDescent="0.15">
      <c r="A104" s="19">
        <f t="shared" si="1"/>
        <v>100</v>
      </c>
      <c r="B104" s="20"/>
      <c r="C104" s="20"/>
      <c r="D104" s="20"/>
      <c r="E104" s="95" t="s">
        <v>36</v>
      </c>
      <c r="F104" s="96" t="s">
        <v>37</v>
      </c>
      <c r="G104" s="119"/>
      <c r="H104" s="21"/>
      <c r="I104" s="22"/>
      <c r="J104" s="22"/>
      <c r="K104" s="23"/>
      <c r="L104" s="21"/>
      <c r="M104" s="24" t="s">
        <v>365</v>
      </c>
      <c r="N104" s="22"/>
      <c r="O104" s="24"/>
      <c r="P104" s="24"/>
      <c r="Q104" s="24"/>
      <c r="R104" s="99"/>
      <c r="S104" s="23"/>
      <c r="T104" s="170"/>
      <c r="U104" s="25">
        <v>45680</v>
      </c>
      <c r="V104" s="26"/>
      <c r="W104" s="27"/>
      <c r="X104" s="28" t="s">
        <v>374</v>
      </c>
      <c r="Y104" s="94"/>
    </row>
    <row r="105" spans="1:26" ht="11.4" x14ac:dyDescent="0.15">
      <c r="A105" s="19">
        <f t="shared" si="1"/>
        <v>101</v>
      </c>
      <c r="B105" s="20"/>
      <c r="C105" s="20"/>
      <c r="D105" s="20"/>
      <c r="E105" s="95" t="s">
        <v>38</v>
      </c>
      <c r="F105" s="96" t="s">
        <v>37</v>
      </c>
      <c r="G105" s="119"/>
      <c r="H105" s="21"/>
      <c r="I105" s="22"/>
      <c r="J105" s="22"/>
      <c r="K105" s="23"/>
      <c r="L105" s="21"/>
      <c r="M105" s="24" t="s">
        <v>365</v>
      </c>
      <c r="N105" s="22"/>
      <c r="O105" s="24"/>
      <c r="P105" s="24"/>
      <c r="Q105" s="24"/>
      <c r="R105" s="99"/>
      <c r="S105" s="23"/>
      <c r="T105" s="170"/>
      <c r="U105" s="25">
        <v>45680</v>
      </c>
      <c r="V105" s="26"/>
      <c r="W105" s="27"/>
      <c r="X105" s="28" t="s">
        <v>374</v>
      </c>
      <c r="Y105" s="94"/>
    </row>
    <row r="106" spans="1:26" ht="11.4" x14ac:dyDescent="0.15">
      <c r="A106" s="19">
        <f t="shared" si="1"/>
        <v>102</v>
      </c>
      <c r="B106" s="20"/>
      <c r="C106" s="20"/>
      <c r="D106" s="20"/>
      <c r="E106" s="95" t="s">
        <v>39</v>
      </c>
      <c r="F106" s="96" t="s">
        <v>40</v>
      </c>
      <c r="G106" s="119"/>
      <c r="H106" s="21"/>
      <c r="I106" s="22"/>
      <c r="J106" s="22"/>
      <c r="K106" s="23"/>
      <c r="L106" s="21"/>
      <c r="M106" s="24" t="s">
        <v>365</v>
      </c>
      <c r="N106" s="22"/>
      <c r="O106" s="24"/>
      <c r="P106" s="24"/>
      <c r="Q106" s="24"/>
      <c r="R106" s="22"/>
      <c r="S106" s="23"/>
      <c r="T106" s="170"/>
      <c r="U106" s="25">
        <v>45680</v>
      </c>
      <c r="V106" s="26"/>
      <c r="W106" s="27"/>
      <c r="X106" s="28" t="s">
        <v>374</v>
      </c>
      <c r="Y106" s="94"/>
    </row>
    <row r="107" spans="1:26" ht="11.4" x14ac:dyDescent="0.15">
      <c r="A107" s="19">
        <f t="shared" si="1"/>
        <v>103</v>
      </c>
      <c r="B107" s="20"/>
      <c r="C107" s="20"/>
      <c r="D107" s="20"/>
      <c r="E107" s="95" t="s">
        <v>167</v>
      </c>
      <c r="F107" s="96" t="s">
        <v>41</v>
      </c>
      <c r="G107" s="119"/>
      <c r="H107" s="21"/>
      <c r="I107" s="22"/>
      <c r="J107" s="22"/>
      <c r="K107" s="23"/>
      <c r="L107" s="21"/>
      <c r="M107" s="24" t="s">
        <v>365</v>
      </c>
      <c r="N107" s="22"/>
      <c r="O107" s="24"/>
      <c r="P107" s="24"/>
      <c r="Q107" s="24"/>
      <c r="R107" s="22"/>
      <c r="S107" s="23"/>
      <c r="T107" s="170"/>
      <c r="U107" s="25">
        <v>45680</v>
      </c>
      <c r="V107" s="26"/>
      <c r="W107" s="27"/>
      <c r="X107" s="28" t="s">
        <v>374</v>
      </c>
      <c r="Y107" s="94"/>
    </row>
    <row r="108" spans="1:26" ht="11.4" x14ac:dyDescent="0.15">
      <c r="A108" s="19">
        <f t="shared" si="1"/>
        <v>104</v>
      </c>
      <c r="B108" s="20"/>
      <c r="C108" s="20"/>
      <c r="D108" s="20" t="s">
        <v>171</v>
      </c>
      <c r="E108" s="95" t="s">
        <v>287</v>
      </c>
      <c r="F108" s="96" t="s">
        <v>42</v>
      </c>
      <c r="G108" s="119"/>
      <c r="H108" s="77"/>
      <c r="I108" s="78"/>
      <c r="J108" s="78"/>
      <c r="K108" s="79"/>
      <c r="L108" s="77"/>
      <c r="M108" s="80"/>
      <c r="N108" s="78"/>
      <c r="O108" s="80"/>
      <c r="P108" s="80"/>
      <c r="Q108" s="80"/>
      <c r="R108" s="100"/>
      <c r="S108" s="79"/>
      <c r="T108" s="171"/>
      <c r="U108" s="81"/>
      <c r="V108" s="82"/>
      <c r="W108" s="83"/>
      <c r="X108" s="84"/>
      <c r="Y108" s="94" t="s">
        <v>343</v>
      </c>
    </row>
    <row r="109" spans="1:26" ht="22.8" x14ac:dyDescent="0.15">
      <c r="A109" s="19">
        <f t="shared" si="1"/>
        <v>105</v>
      </c>
      <c r="B109" s="20"/>
      <c r="C109" s="20"/>
      <c r="D109" s="20"/>
      <c r="E109" s="95" t="s">
        <v>33</v>
      </c>
      <c r="F109" s="96" t="s">
        <v>288</v>
      </c>
      <c r="G109" s="119"/>
      <c r="H109" s="21"/>
      <c r="I109" s="22"/>
      <c r="J109" s="22"/>
      <c r="K109" s="23"/>
      <c r="L109" s="21"/>
      <c r="M109" s="24" t="s">
        <v>365</v>
      </c>
      <c r="N109" s="22"/>
      <c r="O109" s="24"/>
      <c r="P109" s="24"/>
      <c r="Q109" s="24"/>
      <c r="R109" s="99"/>
      <c r="S109" s="23"/>
      <c r="T109" s="170"/>
      <c r="U109" s="25">
        <v>45680</v>
      </c>
      <c r="V109" s="26"/>
      <c r="W109" s="27"/>
      <c r="X109" s="28" t="s">
        <v>374</v>
      </c>
      <c r="Y109" s="94" t="s">
        <v>343</v>
      </c>
    </row>
    <row r="110" spans="1:26" ht="11.4" x14ac:dyDescent="0.15">
      <c r="A110" s="19">
        <f t="shared" si="1"/>
        <v>106</v>
      </c>
      <c r="B110" s="20"/>
      <c r="C110" s="20"/>
      <c r="D110" s="20"/>
      <c r="E110" s="95" t="s">
        <v>36</v>
      </c>
      <c r="F110" s="96" t="s">
        <v>37</v>
      </c>
      <c r="G110" s="119"/>
      <c r="H110" s="21"/>
      <c r="I110" s="22"/>
      <c r="J110" s="22"/>
      <c r="K110" s="23"/>
      <c r="L110" s="21"/>
      <c r="M110" s="24" t="s">
        <v>365</v>
      </c>
      <c r="N110" s="22"/>
      <c r="O110" s="24"/>
      <c r="P110" s="24"/>
      <c r="Q110" s="24"/>
      <c r="R110" s="99"/>
      <c r="S110" s="23"/>
      <c r="T110" s="170"/>
      <c r="U110" s="25">
        <v>45680</v>
      </c>
      <c r="V110" s="26"/>
      <c r="W110" s="27"/>
      <c r="X110" s="28" t="s">
        <v>374</v>
      </c>
      <c r="Y110" s="94" t="s">
        <v>343</v>
      </c>
    </row>
    <row r="111" spans="1:26" ht="11.4" x14ac:dyDescent="0.15">
      <c r="A111" s="19">
        <f t="shared" si="1"/>
        <v>107</v>
      </c>
      <c r="B111" s="20"/>
      <c r="C111" s="20"/>
      <c r="D111" s="20"/>
      <c r="E111" s="95" t="s">
        <v>43</v>
      </c>
      <c r="F111" s="96" t="s">
        <v>37</v>
      </c>
      <c r="G111" s="119"/>
      <c r="H111" s="21"/>
      <c r="I111" s="22"/>
      <c r="J111" s="22"/>
      <c r="K111" s="23"/>
      <c r="L111" s="21"/>
      <c r="M111" s="24" t="s">
        <v>365</v>
      </c>
      <c r="N111" s="22"/>
      <c r="O111" s="24"/>
      <c r="P111" s="24"/>
      <c r="Q111" s="24"/>
      <c r="R111" s="99"/>
      <c r="S111" s="23"/>
      <c r="T111" s="170"/>
      <c r="U111" s="25">
        <v>45680</v>
      </c>
      <c r="V111" s="26"/>
      <c r="W111" s="27"/>
      <c r="X111" s="28" t="s">
        <v>374</v>
      </c>
      <c r="Y111" s="94" t="s">
        <v>343</v>
      </c>
    </row>
    <row r="112" spans="1:26" ht="11.4" x14ac:dyDescent="0.15">
      <c r="A112" s="19">
        <f t="shared" si="1"/>
        <v>108</v>
      </c>
      <c r="B112" s="20"/>
      <c r="C112" s="20"/>
      <c r="D112" s="20"/>
      <c r="E112" s="95" t="s">
        <v>44</v>
      </c>
      <c r="F112" s="96" t="s">
        <v>45</v>
      </c>
      <c r="G112" s="119"/>
      <c r="H112" s="21"/>
      <c r="I112" s="22"/>
      <c r="J112" s="22"/>
      <c r="K112" s="23"/>
      <c r="L112" s="21"/>
      <c r="M112" s="24" t="s">
        <v>365</v>
      </c>
      <c r="N112" s="22"/>
      <c r="O112" s="24"/>
      <c r="P112" s="24"/>
      <c r="Q112" s="24"/>
      <c r="R112" s="22"/>
      <c r="S112" s="23"/>
      <c r="T112" s="170"/>
      <c r="U112" s="25">
        <v>45680</v>
      </c>
      <c r="V112" s="26"/>
      <c r="W112" s="27"/>
      <c r="X112" s="28" t="s">
        <v>374</v>
      </c>
      <c r="Y112" s="94" t="s">
        <v>343</v>
      </c>
    </row>
    <row r="113" spans="1:26" ht="11.4" x14ac:dyDescent="0.15">
      <c r="A113" s="19">
        <f t="shared" si="1"/>
        <v>109</v>
      </c>
      <c r="B113" s="20"/>
      <c r="C113" s="20"/>
      <c r="D113" s="20"/>
      <c r="E113" s="95"/>
      <c r="F113" s="96" t="s">
        <v>46</v>
      </c>
      <c r="G113" s="119"/>
      <c r="H113" s="21"/>
      <c r="I113" s="22"/>
      <c r="J113" s="22"/>
      <c r="K113" s="23"/>
      <c r="L113" s="21"/>
      <c r="M113" s="24" t="s">
        <v>365</v>
      </c>
      <c r="N113" s="22"/>
      <c r="O113" s="24"/>
      <c r="P113" s="24"/>
      <c r="Q113" s="24"/>
      <c r="R113" s="22"/>
      <c r="S113" s="23"/>
      <c r="T113" s="170"/>
      <c r="U113" s="25">
        <v>45680</v>
      </c>
      <c r="V113" s="26"/>
      <c r="W113" s="27"/>
      <c r="X113" s="28" t="s">
        <v>374</v>
      </c>
      <c r="Y113" s="94" t="s">
        <v>343</v>
      </c>
    </row>
    <row r="114" spans="1:26" ht="15" customHeight="1" x14ac:dyDescent="0.15">
      <c r="A114" s="19">
        <f t="shared" si="1"/>
        <v>110</v>
      </c>
      <c r="B114" s="20"/>
      <c r="C114" s="20"/>
      <c r="D114" s="20"/>
      <c r="E114" s="95" t="s">
        <v>200</v>
      </c>
      <c r="F114" s="96" t="s">
        <v>168</v>
      </c>
      <c r="G114" s="119"/>
      <c r="H114" s="21"/>
      <c r="I114" s="22"/>
      <c r="J114" s="22"/>
      <c r="K114" s="23"/>
      <c r="L114" s="21"/>
      <c r="M114" s="22"/>
      <c r="N114" s="22"/>
      <c r="O114" s="24"/>
      <c r="P114" s="24"/>
      <c r="Q114" s="24"/>
      <c r="R114" s="24" t="s">
        <v>365</v>
      </c>
      <c r="S114" s="23"/>
      <c r="T114" s="170"/>
      <c r="U114" s="25">
        <v>45681</v>
      </c>
      <c r="V114" s="26"/>
      <c r="W114" s="27"/>
      <c r="X114" s="28" t="s">
        <v>374</v>
      </c>
      <c r="Y114" s="94" t="s">
        <v>388</v>
      </c>
    </row>
    <row r="115" spans="1:26" ht="22.8" x14ac:dyDescent="0.15">
      <c r="A115" s="19">
        <f t="shared" si="1"/>
        <v>111</v>
      </c>
      <c r="B115" s="20"/>
      <c r="C115" s="20"/>
      <c r="D115" s="20"/>
      <c r="E115" s="95"/>
      <c r="F115" s="96" t="s">
        <v>80</v>
      </c>
      <c r="G115" s="119"/>
      <c r="H115" s="21"/>
      <c r="I115" s="22"/>
      <c r="J115" s="22"/>
      <c r="K115" s="23"/>
      <c r="L115" s="21"/>
      <c r="M115" s="22"/>
      <c r="N115" s="22"/>
      <c r="O115" s="24"/>
      <c r="P115" s="24"/>
      <c r="Q115" s="24"/>
      <c r="R115" s="24" t="s">
        <v>365</v>
      </c>
      <c r="S115" s="23"/>
      <c r="T115" s="170"/>
      <c r="U115" s="25">
        <v>45681</v>
      </c>
      <c r="V115" s="26"/>
      <c r="W115" s="27"/>
      <c r="X115" s="28" t="s">
        <v>374</v>
      </c>
      <c r="Y115" s="94" t="s">
        <v>388</v>
      </c>
    </row>
    <row r="116" spans="1:26" ht="33.6" customHeight="1" x14ac:dyDescent="0.15">
      <c r="A116" s="19">
        <f t="shared" si="1"/>
        <v>112</v>
      </c>
      <c r="B116" s="20"/>
      <c r="C116" s="20"/>
      <c r="D116" s="20"/>
      <c r="E116" s="95"/>
      <c r="F116" s="96" t="s">
        <v>390</v>
      </c>
      <c r="G116" s="119"/>
      <c r="H116" s="21"/>
      <c r="I116" s="22"/>
      <c r="J116" s="22"/>
      <c r="K116" s="23"/>
      <c r="L116" s="21"/>
      <c r="M116" s="22"/>
      <c r="N116" s="22"/>
      <c r="O116" s="24"/>
      <c r="P116" s="24"/>
      <c r="Q116" s="24"/>
      <c r="R116" s="24" t="s">
        <v>365</v>
      </c>
      <c r="S116" s="23"/>
      <c r="T116" s="170"/>
      <c r="U116" s="178">
        <v>45685</v>
      </c>
      <c r="V116" s="179"/>
      <c r="W116" s="180"/>
      <c r="X116" s="28" t="s">
        <v>375</v>
      </c>
      <c r="Y116" s="94" t="s">
        <v>391</v>
      </c>
    </row>
    <row r="117" spans="1:26" ht="34.200000000000003" x14ac:dyDescent="0.15">
      <c r="A117" s="181">
        <f t="shared" si="1"/>
        <v>113</v>
      </c>
      <c r="B117" s="182"/>
      <c r="C117" s="182"/>
      <c r="D117" s="182"/>
      <c r="E117" s="183" t="s">
        <v>81</v>
      </c>
      <c r="F117" s="184" t="s">
        <v>311</v>
      </c>
      <c r="G117" s="184"/>
      <c r="H117" s="77"/>
      <c r="I117" s="78"/>
      <c r="J117" s="78"/>
      <c r="K117" s="79"/>
      <c r="L117" s="77"/>
      <c r="M117" s="78"/>
      <c r="N117" s="78"/>
      <c r="O117" s="80"/>
      <c r="P117" s="80"/>
      <c r="Q117" s="80"/>
      <c r="R117" s="78" t="s">
        <v>365</v>
      </c>
      <c r="S117" s="79"/>
      <c r="T117" s="171"/>
      <c r="U117" s="81">
        <v>45685</v>
      </c>
      <c r="V117" s="82"/>
      <c r="W117" s="83"/>
      <c r="X117" s="84" t="s">
        <v>375</v>
      </c>
      <c r="Y117" s="186" t="s">
        <v>387</v>
      </c>
      <c r="Z117" s="188" t="s">
        <v>373</v>
      </c>
    </row>
    <row r="118" spans="1:26" ht="34.200000000000003" x14ac:dyDescent="0.15">
      <c r="A118" s="181">
        <f t="shared" si="1"/>
        <v>114</v>
      </c>
      <c r="B118" s="182"/>
      <c r="C118" s="182"/>
      <c r="D118" s="182"/>
      <c r="E118" s="183" t="s">
        <v>82</v>
      </c>
      <c r="F118" s="184" t="s">
        <v>311</v>
      </c>
      <c r="G118" s="184"/>
      <c r="H118" s="77"/>
      <c r="I118" s="78"/>
      <c r="J118" s="78"/>
      <c r="K118" s="79"/>
      <c r="L118" s="77"/>
      <c r="M118" s="78"/>
      <c r="N118" s="78"/>
      <c r="O118" s="80"/>
      <c r="P118" s="80"/>
      <c r="Q118" s="80"/>
      <c r="R118" s="78" t="s">
        <v>365</v>
      </c>
      <c r="S118" s="79"/>
      <c r="T118" s="171"/>
      <c r="U118" s="81">
        <v>45685</v>
      </c>
      <c r="V118" s="82"/>
      <c r="W118" s="83"/>
      <c r="X118" s="84" t="s">
        <v>375</v>
      </c>
      <c r="Y118" s="186" t="s">
        <v>197</v>
      </c>
      <c r="Z118" s="188" t="s">
        <v>373</v>
      </c>
    </row>
    <row r="119" spans="1:26" ht="34.200000000000003" x14ac:dyDescent="0.15">
      <c r="A119" s="181">
        <f t="shared" si="1"/>
        <v>115</v>
      </c>
      <c r="B119" s="182"/>
      <c r="C119" s="182"/>
      <c r="D119" s="182"/>
      <c r="E119" s="183" t="s">
        <v>83</v>
      </c>
      <c r="F119" s="184" t="s">
        <v>311</v>
      </c>
      <c r="G119" s="184"/>
      <c r="H119" s="77"/>
      <c r="I119" s="78"/>
      <c r="J119" s="78"/>
      <c r="K119" s="79"/>
      <c r="L119" s="77"/>
      <c r="M119" s="78"/>
      <c r="N119" s="78"/>
      <c r="O119" s="80"/>
      <c r="P119" s="80"/>
      <c r="Q119" s="80"/>
      <c r="R119" s="78" t="s">
        <v>365</v>
      </c>
      <c r="S119" s="79"/>
      <c r="T119" s="171"/>
      <c r="U119" s="81">
        <v>45685</v>
      </c>
      <c r="V119" s="82"/>
      <c r="W119" s="83"/>
      <c r="X119" s="84" t="s">
        <v>375</v>
      </c>
      <c r="Y119" s="186" t="s">
        <v>197</v>
      </c>
      <c r="Z119" s="188" t="s">
        <v>373</v>
      </c>
    </row>
    <row r="120" spans="1:26" ht="22.8" x14ac:dyDescent="0.15">
      <c r="A120" s="19">
        <f t="shared" si="1"/>
        <v>116</v>
      </c>
      <c r="B120" s="20"/>
      <c r="C120" s="20" t="s">
        <v>84</v>
      </c>
      <c r="D120" s="20" t="s">
        <v>169</v>
      </c>
      <c r="E120" s="95" t="s">
        <v>33</v>
      </c>
      <c r="F120" s="96" t="s">
        <v>34</v>
      </c>
      <c r="G120" s="119"/>
      <c r="H120" s="21"/>
      <c r="I120" s="22"/>
      <c r="J120" s="22"/>
      <c r="K120" s="23"/>
      <c r="L120" s="21"/>
      <c r="M120" s="24" t="s">
        <v>365</v>
      </c>
      <c r="N120" s="22"/>
      <c r="O120" s="24"/>
      <c r="P120" s="24"/>
      <c r="Q120" s="24"/>
      <c r="R120" s="22"/>
      <c r="S120" s="23"/>
      <c r="T120" s="170"/>
      <c r="U120" s="25">
        <v>45680</v>
      </c>
      <c r="V120" s="26"/>
      <c r="W120" s="27"/>
      <c r="X120" s="28" t="s">
        <v>374</v>
      </c>
      <c r="Y120" s="94"/>
    </row>
    <row r="121" spans="1:26" ht="11.4" x14ac:dyDescent="0.15">
      <c r="A121" s="19">
        <f t="shared" si="1"/>
        <v>117</v>
      </c>
      <c r="B121" s="20"/>
      <c r="C121" s="20"/>
      <c r="D121" s="20"/>
      <c r="E121" s="95" t="s">
        <v>36</v>
      </c>
      <c r="F121" s="96" t="s">
        <v>37</v>
      </c>
      <c r="G121" s="119"/>
      <c r="H121" s="21"/>
      <c r="I121" s="22"/>
      <c r="J121" s="22"/>
      <c r="K121" s="23"/>
      <c r="L121" s="21"/>
      <c r="M121" s="24" t="s">
        <v>365</v>
      </c>
      <c r="N121" s="22"/>
      <c r="O121" s="24"/>
      <c r="P121" s="24"/>
      <c r="Q121" s="24"/>
      <c r="R121" s="99"/>
      <c r="S121" s="23"/>
      <c r="T121" s="170"/>
      <c r="U121" s="25">
        <v>45680</v>
      </c>
      <c r="V121" s="26"/>
      <c r="W121" s="27"/>
      <c r="X121" s="28" t="s">
        <v>374</v>
      </c>
      <c r="Y121" s="94"/>
    </row>
    <row r="122" spans="1:26" ht="11.4" x14ac:dyDescent="0.15">
      <c r="A122" s="19">
        <f t="shared" si="1"/>
        <v>118</v>
      </c>
      <c r="B122" s="20"/>
      <c r="C122" s="20"/>
      <c r="D122" s="20"/>
      <c r="E122" s="95" t="s">
        <v>38</v>
      </c>
      <c r="F122" s="96" t="s">
        <v>37</v>
      </c>
      <c r="G122" s="119"/>
      <c r="H122" s="21"/>
      <c r="I122" s="22"/>
      <c r="J122" s="22"/>
      <c r="K122" s="23"/>
      <c r="L122" s="21"/>
      <c r="M122" s="24" t="s">
        <v>365</v>
      </c>
      <c r="N122" s="22"/>
      <c r="O122" s="24"/>
      <c r="P122" s="24"/>
      <c r="Q122" s="24"/>
      <c r="R122" s="99"/>
      <c r="S122" s="23"/>
      <c r="T122" s="170"/>
      <c r="U122" s="25">
        <v>45680</v>
      </c>
      <c r="V122" s="26"/>
      <c r="W122" s="27"/>
      <c r="X122" s="28" t="s">
        <v>374</v>
      </c>
      <c r="Y122" s="94"/>
    </row>
    <row r="123" spans="1:26" ht="11.4" x14ac:dyDescent="0.15">
      <c r="A123" s="19">
        <f t="shared" si="1"/>
        <v>119</v>
      </c>
      <c r="B123" s="20"/>
      <c r="C123" s="20"/>
      <c r="D123" s="20"/>
      <c r="E123" s="95" t="s">
        <v>39</v>
      </c>
      <c r="F123" s="96" t="s">
        <v>40</v>
      </c>
      <c r="G123" s="119"/>
      <c r="H123" s="21"/>
      <c r="I123" s="22"/>
      <c r="J123" s="22"/>
      <c r="K123" s="23"/>
      <c r="L123" s="21"/>
      <c r="M123" s="24" t="s">
        <v>365</v>
      </c>
      <c r="N123" s="22"/>
      <c r="O123" s="24"/>
      <c r="P123" s="24"/>
      <c r="Q123" s="24"/>
      <c r="R123" s="22"/>
      <c r="S123" s="23"/>
      <c r="T123" s="170"/>
      <c r="U123" s="25">
        <v>45680</v>
      </c>
      <c r="V123" s="26"/>
      <c r="W123" s="27"/>
      <c r="X123" s="28" t="s">
        <v>374</v>
      </c>
      <c r="Y123" s="94"/>
    </row>
    <row r="124" spans="1:26" ht="11.4" x14ac:dyDescent="0.15">
      <c r="A124" s="19">
        <f t="shared" si="1"/>
        <v>120</v>
      </c>
      <c r="B124" s="20"/>
      <c r="C124" s="20"/>
      <c r="D124" s="20"/>
      <c r="E124" s="95" t="s">
        <v>167</v>
      </c>
      <c r="F124" s="96" t="s">
        <v>41</v>
      </c>
      <c r="G124" s="119"/>
      <c r="H124" s="21"/>
      <c r="I124" s="22"/>
      <c r="J124" s="22"/>
      <c r="K124" s="23"/>
      <c r="L124" s="21"/>
      <c r="M124" s="24" t="s">
        <v>365</v>
      </c>
      <c r="N124" s="22"/>
      <c r="O124" s="24"/>
      <c r="P124" s="24"/>
      <c r="Q124" s="24"/>
      <c r="R124" s="22"/>
      <c r="S124" s="23"/>
      <c r="T124" s="170"/>
      <c r="U124" s="25">
        <v>45680</v>
      </c>
      <c r="V124" s="26"/>
      <c r="W124" s="27"/>
      <c r="X124" s="28" t="s">
        <v>374</v>
      </c>
      <c r="Y124" s="94"/>
    </row>
    <row r="125" spans="1:26" ht="22.8" x14ac:dyDescent="0.15">
      <c r="A125" s="19">
        <f t="shared" si="1"/>
        <v>121</v>
      </c>
      <c r="B125" s="20"/>
      <c r="C125" s="20"/>
      <c r="D125" s="168" t="s">
        <v>175</v>
      </c>
      <c r="E125" s="95" t="s">
        <v>56</v>
      </c>
      <c r="F125" s="96" t="s">
        <v>37</v>
      </c>
      <c r="G125" s="119"/>
      <c r="H125" s="21"/>
      <c r="I125" s="22"/>
      <c r="J125" s="22"/>
      <c r="K125" s="23"/>
      <c r="L125" s="21"/>
      <c r="M125" s="24" t="s">
        <v>365</v>
      </c>
      <c r="N125" s="22"/>
      <c r="O125" s="24"/>
      <c r="P125" s="24"/>
      <c r="Q125" s="24"/>
      <c r="R125" s="99"/>
      <c r="S125" s="23"/>
      <c r="T125" s="170"/>
      <c r="U125" s="25">
        <v>45680</v>
      </c>
      <c r="V125" s="26"/>
      <c r="W125" s="27"/>
      <c r="X125" s="28" t="s">
        <v>374</v>
      </c>
      <c r="Y125" s="94" t="s">
        <v>172</v>
      </c>
    </row>
    <row r="126" spans="1:26" ht="11.4" x14ac:dyDescent="0.15">
      <c r="A126" s="19">
        <f t="shared" si="1"/>
        <v>122</v>
      </c>
      <c r="B126" s="20"/>
      <c r="C126" s="20"/>
      <c r="D126" s="168"/>
      <c r="E126" s="95" t="s">
        <v>85</v>
      </c>
      <c r="F126" s="96" t="s">
        <v>37</v>
      </c>
      <c r="G126" s="119"/>
      <c r="H126" s="21"/>
      <c r="I126" s="22"/>
      <c r="J126" s="22"/>
      <c r="K126" s="23"/>
      <c r="L126" s="21"/>
      <c r="M126" s="24" t="s">
        <v>365</v>
      </c>
      <c r="N126" s="22"/>
      <c r="O126" s="24"/>
      <c r="P126" s="24"/>
      <c r="Q126" s="24"/>
      <c r="R126" s="99"/>
      <c r="S126" s="23"/>
      <c r="T126" s="170"/>
      <c r="U126" s="25">
        <v>45680</v>
      </c>
      <c r="V126" s="26"/>
      <c r="W126" s="27"/>
      <c r="X126" s="28" t="s">
        <v>374</v>
      </c>
      <c r="Y126" s="94" t="s">
        <v>172</v>
      </c>
    </row>
    <row r="127" spans="1:26" ht="11.4" x14ac:dyDescent="0.15">
      <c r="A127" s="19">
        <f t="shared" si="1"/>
        <v>123</v>
      </c>
      <c r="B127" s="20"/>
      <c r="C127" s="20"/>
      <c r="D127" s="168"/>
      <c r="E127" s="95" t="s">
        <v>92</v>
      </c>
      <c r="F127" s="96" t="s">
        <v>37</v>
      </c>
      <c r="G127" s="119"/>
      <c r="H127" s="21"/>
      <c r="I127" s="22"/>
      <c r="J127" s="22"/>
      <c r="K127" s="23"/>
      <c r="L127" s="21"/>
      <c r="M127" s="24" t="s">
        <v>365</v>
      </c>
      <c r="N127" s="22"/>
      <c r="O127" s="24"/>
      <c r="P127" s="24"/>
      <c r="Q127" s="24"/>
      <c r="R127" s="99"/>
      <c r="S127" s="23"/>
      <c r="T127" s="170"/>
      <c r="U127" s="25">
        <v>45680</v>
      </c>
      <c r="V127" s="26"/>
      <c r="W127" s="27"/>
      <c r="X127" s="28" t="s">
        <v>374</v>
      </c>
      <c r="Y127" s="94" t="s">
        <v>172</v>
      </c>
    </row>
    <row r="128" spans="1:26" ht="11.4" x14ac:dyDescent="0.15">
      <c r="A128" s="19">
        <f t="shared" si="1"/>
        <v>124</v>
      </c>
      <c r="B128" s="20"/>
      <c r="C128" s="20"/>
      <c r="D128" s="168"/>
      <c r="E128" s="95" t="s">
        <v>93</v>
      </c>
      <c r="F128" s="96" t="s">
        <v>88</v>
      </c>
      <c r="G128" s="119"/>
      <c r="H128" s="21"/>
      <c r="I128" s="22"/>
      <c r="J128" s="22"/>
      <c r="K128" s="23"/>
      <c r="L128" s="21"/>
      <c r="M128" s="24" t="s">
        <v>365</v>
      </c>
      <c r="N128" s="22"/>
      <c r="O128" s="24"/>
      <c r="P128" s="24"/>
      <c r="Q128" s="24"/>
      <c r="R128" s="99"/>
      <c r="S128" s="23"/>
      <c r="T128" s="170"/>
      <c r="U128" s="25">
        <v>45680</v>
      </c>
      <c r="V128" s="26"/>
      <c r="W128" s="27"/>
      <c r="X128" s="28" t="s">
        <v>374</v>
      </c>
      <c r="Y128" s="94" t="s">
        <v>172</v>
      </c>
    </row>
    <row r="129" spans="1:25" ht="11.4" x14ac:dyDescent="0.15">
      <c r="A129" s="19">
        <f t="shared" si="1"/>
        <v>125</v>
      </c>
      <c r="B129" s="20"/>
      <c r="C129" s="20"/>
      <c r="D129" s="168"/>
      <c r="E129" s="95" t="s">
        <v>89</v>
      </c>
      <c r="F129" s="96" t="s">
        <v>94</v>
      </c>
      <c r="G129" s="119"/>
      <c r="H129" s="21"/>
      <c r="I129" s="22"/>
      <c r="J129" s="22"/>
      <c r="K129" s="23"/>
      <c r="L129" s="21"/>
      <c r="M129" s="24" t="s">
        <v>365</v>
      </c>
      <c r="N129" s="22"/>
      <c r="O129" s="24"/>
      <c r="P129" s="24"/>
      <c r="Q129" s="24"/>
      <c r="R129" s="99"/>
      <c r="S129" s="23"/>
      <c r="T129" s="170"/>
      <c r="U129" s="25">
        <v>45680</v>
      </c>
      <c r="V129" s="26"/>
      <c r="W129" s="27"/>
      <c r="X129" s="28" t="s">
        <v>374</v>
      </c>
      <c r="Y129" s="94" t="s">
        <v>172</v>
      </c>
    </row>
    <row r="130" spans="1:25" ht="12.6" x14ac:dyDescent="0.15">
      <c r="A130" s="19">
        <f t="shared" si="1"/>
        <v>126</v>
      </c>
      <c r="B130" s="20"/>
      <c r="C130" s="20"/>
      <c r="D130" s="168"/>
      <c r="E130" s="95" t="s">
        <v>105</v>
      </c>
      <c r="F130" s="96" t="s">
        <v>42</v>
      </c>
      <c r="G130" s="125" t="s">
        <v>274</v>
      </c>
      <c r="H130" s="85"/>
      <c r="I130" s="78"/>
      <c r="J130" s="78"/>
      <c r="K130" s="79"/>
      <c r="L130" s="77"/>
      <c r="M130" s="80"/>
      <c r="N130" s="78"/>
      <c r="O130" s="80"/>
      <c r="P130" s="80"/>
      <c r="Q130" s="80"/>
      <c r="R130" s="100"/>
      <c r="S130" s="79"/>
      <c r="T130" s="171"/>
      <c r="U130" s="81"/>
      <c r="V130" s="82"/>
      <c r="W130" s="83"/>
      <c r="X130" s="84"/>
      <c r="Y130" s="94" t="s">
        <v>247</v>
      </c>
    </row>
    <row r="131" spans="1:25" ht="22.8" x14ac:dyDescent="0.15">
      <c r="A131" s="19">
        <f t="shared" si="1"/>
        <v>127</v>
      </c>
      <c r="B131" s="20"/>
      <c r="C131" s="20"/>
      <c r="D131" s="168" t="s">
        <v>176</v>
      </c>
      <c r="E131" s="95" t="s">
        <v>56</v>
      </c>
      <c r="F131" s="96" t="s">
        <v>37</v>
      </c>
      <c r="G131" s="119"/>
      <c r="H131" s="21"/>
      <c r="I131" s="22"/>
      <c r="J131" s="22"/>
      <c r="K131" s="23"/>
      <c r="L131" s="21"/>
      <c r="M131" s="24" t="s">
        <v>365</v>
      </c>
      <c r="N131" s="22"/>
      <c r="O131" s="24"/>
      <c r="P131" s="24"/>
      <c r="Q131" s="24"/>
      <c r="R131" s="99"/>
      <c r="S131" s="23"/>
      <c r="T131" s="170"/>
      <c r="U131" s="25">
        <v>45680</v>
      </c>
      <c r="V131" s="26"/>
      <c r="W131" s="27"/>
      <c r="X131" s="28" t="s">
        <v>374</v>
      </c>
      <c r="Y131" s="94" t="s">
        <v>173</v>
      </c>
    </row>
    <row r="132" spans="1:25" ht="11.4" x14ac:dyDescent="0.15">
      <c r="A132" s="19">
        <f t="shared" si="1"/>
        <v>128</v>
      </c>
      <c r="B132" s="20"/>
      <c r="C132" s="20"/>
      <c r="D132" s="168"/>
      <c r="E132" s="95" t="s">
        <v>85</v>
      </c>
      <c r="F132" s="96" t="s">
        <v>37</v>
      </c>
      <c r="G132" s="119"/>
      <c r="H132" s="21"/>
      <c r="I132" s="22"/>
      <c r="J132" s="22"/>
      <c r="K132" s="23"/>
      <c r="L132" s="21"/>
      <c r="M132" s="24" t="s">
        <v>365</v>
      </c>
      <c r="N132" s="22"/>
      <c r="O132" s="24"/>
      <c r="P132" s="24"/>
      <c r="Q132" s="24"/>
      <c r="R132" s="99"/>
      <c r="S132" s="23"/>
      <c r="T132" s="170"/>
      <c r="U132" s="25">
        <v>45680</v>
      </c>
      <c r="V132" s="26"/>
      <c r="W132" s="27"/>
      <c r="X132" s="28" t="s">
        <v>374</v>
      </c>
      <c r="Y132" s="94" t="s">
        <v>173</v>
      </c>
    </row>
    <row r="133" spans="1:25" ht="11.4" x14ac:dyDescent="0.15">
      <c r="A133" s="19">
        <f t="shared" si="1"/>
        <v>129</v>
      </c>
      <c r="B133" s="20"/>
      <c r="C133" s="20"/>
      <c r="D133" s="168"/>
      <c r="E133" s="95" t="s">
        <v>92</v>
      </c>
      <c r="F133" s="96" t="s">
        <v>37</v>
      </c>
      <c r="G133" s="119"/>
      <c r="H133" s="21"/>
      <c r="I133" s="22"/>
      <c r="J133" s="22"/>
      <c r="K133" s="23"/>
      <c r="L133" s="21"/>
      <c r="M133" s="24" t="s">
        <v>365</v>
      </c>
      <c r="N133" s="22"/>
      <c r="O133" s="24"/>
      <c r="P133" s="24"/>
      <c r="Q133" s="24"/>
      <c r="R133" s="99"/>
      <c r="S133" s="23"/>
      <c r="T133" s="170"/>
      <c r="U133" s="25">
        <v>45680</v>
      </c>
      <c r="V133" s="26"/>
      <c r="W133" s="27"/>
      <c r="X133" s="28" t="s">
        <v>374</v>
      </c>
      <c r="Y133" s="94" t="s">
        <v>173</v>
      </c>
    </row>
    <row r="134" spans="1:25" ht="11.4" x14ac:dyDescent="0.15">
      <c r="A134" s="19">
        <f t="shared" ref="A134:A137" si="2">ROW()-4</f>
        <v>130</v>
      </c>
      <c r="B134" s="20"/>
      <c r="C134" s="20"/>
      <c r="D134" s="168"/>
      <c r="E134" s="95" t="s">
        <v>93</v>
      </c>
      <c r="F134" s="96" t="s">
        <v>88</v>
      </c>
      <c r="G134" s="119"/>
      <c r="H134" s="21"/>
      <c r="I134" s="22"/>
      <c r="J134" s="22"/>
      <c r="K134" s="23"/>
      <c r="L134" s="21"/>
      <c r="M134" s="24" t="s">
        <v>365</v>
      </c>
      <c r="N134" s="22"/>
      <c r="O134" s="24"/>
      <c r="P134" s="24"/>
      <c r="Q134" s="24"/>
      <c r="R134" s="99"/>
      <c r="S134" s="23"/>
      <c r="T134" s="170"/>
      <c r="U134" s="25">
        <v>45680</v>
      </c>
      <c r="V134" s="26"/>
      <c r="W134" s="27"/>
      <c r="X134" s="28" t="s">
        <v>374</v>
      </c>
      <c r="Y134" s="94" t="s">
        <v>173</v>
      </c>
    </row>
    <row r="135" spans="1:25" ht="24" customHeight="1" x14ac:dyDescent="0.15">
      <c r="A135" s="19">
        <f t="shared" si="2"/>
        <v>131</v>
      </c>
      <c r="B135" s="20"/>
      <c r="C135" s="20"/>
      <c r="D135" s="168"/>
      <c r="E135" s="95" t="s">
        <v>89</v>
      </c>
      <c r="F135" s="96" t="s">
        <v>346</v>
      </c>
      <c r="G135" s="119"/>
      <c r="H135" s="21"/>
      <c r="I135" s="22"/>
      <c r="J135" s="22"/>
      <c r="K135" s="23"/>
      <c r="L135" s="21"/>
      <c r="M135" s="24" t="s">
        <v>365</v>
      </c>
      <c r="N135" s="22"/>
      <c r="O135" s="24"/>
      <c r="P135" s="24"/>
      <c r="Q135" s="24"/>
      <c r="R135" s="99"/>
      <c r="S135" s="23"/>
      <c r="T135" s="170"/>
      <c r="U135" s="25">
        <v>45680</v>
      </c>
      <c r="V135" s="26"/>
      <c r="W135" s="27"/>
      <c r="X135" s="28" t="s">
        <v>374</v>
      </c>
      <c r="Y135" s="94" t="s">
        <v>173</v>
      </c>
    </row>
    <row r="136" spans="1:25" ht="22.8" x14ac:dyDescent="0.15">
      <c r="A136" s="19">
        <f t="shared" si="2"/>
        <v>132</v>
      </c>
      <c r="B136" s="20"/>
      <c r="C136" s="20"/>
      <c r="D136" s="168" t="s">
        <v>248</v>
      </c>
      <c r="E136" s="95" t="s">
        <v>107</v>
      </c>
      <c r="F136" s="96" t="s">
        <v>168</v>
      </c>
      <c r="G136" s="119"/>
      <c r="H136" s="21"/>
      <c r="I136" s="22"/>
      <c r="J136" s="22"/>
      <c r="K136" s="23"/>
      <c r="L136" s="21"/>
      <c r="M136" s="22"/>
      <c r="N136" s="22"/>
      <c r="O136" s="24"/>
      <c r="P136" s="24"/>
      <c r="Q136" s="24"/>
      <c r="R136" s="24" t="s">
        <v>365</v>
      </c>
      <c r="S136" s="23"/>
      <c r="T136" s="170"/>
      <c r="U136" s="25">
        <v>45681</v>
      </c>
      <c r="V136" s="26"/>
      <c r="W136" s="27"/>
      <c r="X136" s="28" t="s">
        <v>374</v>
      </c>
      <c r="Y136" s="94" t="s">
        <v>177</v>
      </c>
    </row>
    <row r="137" spans="1:25" ht="22.8" x14ac:dyDescent="0.15">
      <c r="A137" s="19">
        <f t="shared" si="2"/>
        <v>133</v>
      </c>
      <c r="B137" s="20"/>
      <c r="C137" s="20"/>
      <c r="D137" s="20"/>
      <c r="E137" s="95" t="s">
        <v>108</v>
      </c>
      <c r="F137" s="196" t="s">
        <v>316</v>
      </c>
      <c r="G137" s="134"/>
      <c r="H137" s="21"/>
      <c r="I137" s="22"/>
      <c r="J137" s="22"/>
      <c r="K137" s="23"/>
      <c r="L137" s="21"/>
      <c r="M137" s="22"/>
      <c r="N137" s="22"/>
      <c r="O137" s="24"/>
      <c r="P137" s="24"/>
      <c r="Q137" s="24"/>
      <c r="R137" s="105" t="s">
        <v>365</v>
      </c>
      <c r="S137" s="23"/>
      <c r="T137" s="170"/>
      <c r="U137" s="25">
        <v>45681</v>
      </c>
      <c r="V137" s="26"/>
      <c r="W137" s="27"/>
      <c r="X137" s="28" t="s">
        <v>374</v>
      </c>
      <c r="Y137" s="94" t="s">
        <v>177</v>
      </c>
    </row>
    <row r="138" spans="1:25" ht="11.4" hidden="1" customHeight="1" x14ac:dyDescent="0.15">
      <c r="A138" s="19">
        <f t="shared" ref="A138:A145" si="3">ROW()-2</f>
        <v>136</v>
      </c>
      <c r="B138" s="31"/>
      <c r="C138" s="31"/>
      <c r="D138" s="30"/>
      <c r="E138" s="30"/>
      <c r="F138" s="71"/>
      <c r="G138" s="117"/>
      <c r="H138" s="21"/>
      <c r="I138" s="22"/>
      <c r="J138" s="22"/>
      <c r="K138" s="23"/>
      <c r="L138" s="21"/>
      <c r="M138" s="22"/>
      <c r="N138" s="22"/>
      <c r="O138" s="24"/>
      <c r="P138" s="24"/>
      <c r="Q138" s="24"/>
      <c r="R138" s="104"/>
      <c r="S138" s="23"/>
      <c r="T138" s="170"/>
      <c r="U138" s="25"/>
      <c r="V138" s="26"/>
      <c r="W138" s="27"/>
      <c r="X138" s="28"/>
      <c r="Y138" s="29"/>
    </row>
    <row r="139" spans="1:25" ht="11.4" hidden="1" customHeight="1" x14ac:dyDescent="0.15">
      <c r="A139" s="19">
        <f t="shared" si="3"/>
        <v>137</v>
      </c>
      <c r="B139" s="31"/>
      <c r="C139" s="31"/>
      <c r="D139" s="30"/>
      <c r="E139" s="30"/>
      <c r="F139" s="71"/>
      <c r="G139" s="117"/>
      <c r="H139" s="21"/>
      <c r="I139" s="22"/>
      <c r="J139" s="22"/>
      <c r="K139" s="23"/>
      <c r="L139" s="21"/>
      <c r="M139" s="22"/>
      <c r="N139" s="22"/>
      <c r="O139" s="24"/>
      <c r="P139" s="24"/>
      <c r="Q139" s="24"/>
      <c r="R139" s="22"/>
      <c r="S139" s="23"/>
      <c r="T139" s="170"/>
      <c r="U139" s="25"/>
      <c r="V139" s="26"/>
      <c r="W139" s="27"/>
      <c r="X139" s="28"/>
      <c r="Y139" s="29"/>
    </row>
    <row r="140" spans="1:25" ht="11.4" hidden="1" customHeight="1" x14ac:dyDescent="0.15">
      <c r="A140" s="19">
        <f t="shared" si="3"/>
        <v>138</v>
      </c>
      <c r="B140" s="31"/>
      <c r="C140" s="20"/>
      <c r="D140" s="20"/>
      <c r="E140" s="30"/>
      <c r="F140" s="71"/>
      <c r="G140" s="117"/>
      <c r="H140" s="21"/>
      <c r="I140" s="22"/>
      <c r="J140" s="22"/>
      <c r="K140" s="23"/>
      <c r="L140" s="21"/>
      <c r="M140" s="22"/>
      <c r="N140" s="22"/>
      <c r="O140" s="24"/>
      <c r="P140" s="24"/>
      <c r="Q140" s="24"/>
      <c r="R140" s="22"/>
      <c r="S140" s="23"/>
      <c r="T140" s="170"/>
      <c r="U140" s="25"/>
      <c r="V140" s="26"/>
      <c r="W140" s="27"/>
      <c r="X140" s="28"/>
      <c r="Y140" s="29"/>
    </row>
    <row r="141" spans="1:25" ht="11.4" hidden="1" customHeight="1" x14ac:dyDescent="0.15">
      <c r="A141" s="19">
        <f t="shared" si="3"/>
        <v>139</v>
      </c>
      <c r="B141" s="31"/>
      <c r="C141" s="20"/>
      <c r="D141" s="20"/>
      <c r="E141" s="30"/>
      <c r="F141" s="71"/>
      <c r="G141" s="117"/>
      <c r="H141" s="21"/>
      <c r="I141" s="22"/>
      <c r="J141" s="22"/>
      <c r="K141" s="23"/>
      <c r="L141" s="21"/>
      <c r="M141" s="22"/>
      <c r="N141" s="22"/>
      <c r="O141" s="24"/>
      <c r="P141" s="24"/>
      <c r="Q141" s="24"/>
      <c r="R141" s="22"/>
      <c r="S141" s="23"/>
      <c r="T141" s="170"/>
      <c r="U141" s="25"/>
      <c r="V141" s="26"/>
      <c r="W141" s="27"/>
      <c r="X141" s="28"/>
      <c r="Y141" s="29"/>
    </row>
    <row r="142" spans="1:25" ht="11.4" hidden="1" customHeight="1" x14ac:dyDescent="0.15">
      <c r="A142" s="19">
        <f t="shared" si="3"/>
        <v>140</v>
      </c>
      <c r="B142" s="20"/>
      <c r="C142" s="20"/>
      <c r="D142" s="30"/>
      <c r="E142" s="30"/>
      <c r="F142" s="71"/>
      <c r="G142" s="117"/>
      <c r="H142" s="21"/>
      <c r="I142" s="22"/>
      <c r="J142" s="22"/>
      <c r="K142" s="23"/>
      <c r="L142" s="21"/>
      <c r="M142" s="22"/>
      <c r="N142" s="22"/>
      <c r="O142" s="24"/>
      <c r="P142" s="24"/>
      <c r="Q142" s="24"/>
      <c r="R142" s="22"/>
      <c r="S142" s="23"/>
      <c r="T142" s="170"/>
      <c r="U142" s="25"/>
      <c r="V142" s="26"/>
      <c r="W142" s="27"/>
      <c r="X142" s="28"/>
      <c r="Y142" s="29"/>
    </row>
    <row r="143" spans="1:25" ht="11.4" hidden="1" customHeight="1" x14ac:dyDescent="0.15">
      <c r="A143" s="19">
        <f t="shared" si="3"/>
        <v>141</v>
      </c>
      <c r="B143" s="20"/>
      <c r="C143" s="20"/>
      <c r="D143" s="30"/>
      <c r="E143" s="30"/>
      <c r="F143" s="71"/>
      <c r="G143" s="117"/>
      <c r="H143" s="21"/>
      <c r="I143" s="22"/>
      <c r="J143" s="22"/>
      <c r="K143" s="23"/>
      <c r="L143" s="21"/>
      <c r="M143" s="22"/>
      <c r="N143" s="22"/>
      <c r="O143" s="24"/>
      <c r="P143" s="24"/>
      <c r="Q143" s="24"/>
      <c r="R143" s="22"/>
      <c r="S143" s="23"/>
      <c r="T143" s="170"/>
      <c r="U143" s="25"/>
      <c r="V143" s="26"/>
      <c r="W143" s="27"/>
      <c r="X143" s="28"/>
      <c r="Y143" s="29"/>
    </row>
    <row r="144" spans="1:25" ht="11.4" hidden="1" customHeight="1" x14ac:dyDescent="0.15">
      <c r="A144" s="19">
        <f t="shared" si="3"/>
        <v>142</v>
      </c>
      <c r="B144" s="20"/>
      <c r="C144" s="31"/>
      <c r="D144" s="30"/>
      <c r="E144" s="30"/>
      <c r="F144" s="71"/>
      <c r="G144" s="117"/>
      <c r="H144" s="21"/>
      <c r="I144" s="22"/>
      <c r="J144" s="22"/>
      <c r="K144" s="23"/>
      <c r="L144" s="21"/>
      <c r="M144" s="22"/>
      <c r="N144" s="22"/>
      <c r="O144" s="24"/>
      <c r="P144" s="24"/>
      <c r="Q144" s="24"/>
      <c r="R144" s="22"/>
      <c r="S144" s="23"/>
      <c r="T144" s="170"/>
      <c r="U144" s="25"/>
      <c r="V144" s="26"/>
      <c r="W144" s="27"/>
      <c r="X144" s="28"/>
      <c r="Y144" s="29"/>
    </row>
    <row r="145" spans="1:25" ht="11.4" hidden="1" customHeight="1" x14ac:dyDescent="0.15">
      <c r="A145" s="19">
        <f t="shared" si="3"/>
        <v>143</v>
      </c>
      <c r="B145" s="20"/>
      <c r="C145" s="31"/>
      <c r="D145" s="30"/>
      <c r="E145" s="30"/>
      <c r="F145" s="72"/>
      <c r="G145" s="117"/>
      <c r="H145" s="21"/>
      <c r="I145" s="22"/>
      <c r="J145" s="22"/>
      <c r="K145" s="23"/>
      <c r="L145" s="21"/>
      <c r="M145" s="22"/>
      <c r="N145" s="22"/>
      <c r="O145" s="24"/>
      <c r="P145" s="24"/>
      <c r="Q145" s="24"/>
      <c r="R145" s="22"/>
      <c r="S145" s="23"/>
      <c r="T145" s="170"/>
      <c r="U145" s="25"/>
      <c r="V145" s="26"/>
      <c r="W145" s="27"/>
      <c r="X145" s="28"/>
      <c r="Y145" s="29"/>
    </row>
    <row r="146" spans="1:25" s="3" customFormat="1" ht="12" customHeight="1" x14ac:dyDescent="0.25">
      <c r="A146" s="32"/>
      <c r="B146" s="33"/>
      <c r="C146" s="34"/>
      <c r="D146" s="34"/>
      <c r="E146" s="33"/>
      <c r="F146" s="124" t="s">
        <v>109</v>
      </c>
      <c r="G146" s="126"/>
      <c r="H146" s="36">
        <f>COUNTIF(H5:H138,"●")</f>
        <v>0</v>
      </c>
      <c r="I146" s="36">
        <f t="shared" ref="I146:S146" si="4">COUNTIF(I5:I138,"●")</f>
        <v>0</v>
      </c>
      <c r="J146" s="36">
        <f t="shared" si="4"/>
        <v>0</v>
      </c>
      <c r="K146" s="36">
        <f t="shared" si="4"/>
        <v>0</v>
      </c>
      <c r="L146" s="36">
        <f t="shared" si="4"/>
        <v>0</v>
      </c>
      <c r="M146" s="36">
        <f t="shared" si="4"/>
        <v>74</v>
      </c>
      <c r="N146" s="36">
        <f t="shared" si="4"/>
        <v>0</v>
      </c>
      <c r="O146" s="36">
        <f t="shared" si="4"/>
        <v>0</v>
      </c>
      <c r="P146" s="36">
        <f t="shared" si="4"/>
        <v>0</v>
      </c>
      <c r="Q146" s="36">
        <f t="shared" si="4"/>
        <v>0</v>
      </c>
      <c r="R146" s="36">
        <f t="shared" si="4"/>
        <v>29</v>
      </c>
      <c r="S146" s="36">
        <f t="shared" si="4"/>
        <v>0</v>
      </c>
      <c r="T146" s="172"/>
      <c r="U146" s="209" t="s">
        <v>110</v>
      </c>
      <c r="V146" s="209"/>
      <c r="W146" s="210"/>
      <c r="X146" s="39" t="s">
        <v>111</v>
      </c>
      <c r="Y146" s="40">
        <f>SUM(H146:S146)</f>
        <v>103</v>
      </c>
    </row>
    <row r="147" spans="1:25" s="3" customFormat="1" ht="12" customHeight="1" x14ac:dyDescent="0.25">
      <c r="A147" s="41"/>
      <c r="B147" s="42" t="s">
        <v>112</v>
      </c>
      <c r="C147" s="43">
        <f>Y148</f>
        <v>103</v>
      </c>
      <c r="D147" s="43"/>
      <c r="E147" s="42"/>
      <c r="F147" s="44" t="s">
        <v>113</v>
      </c>
      <c r="G147" s="126"/>
      <c r="H147" s="45">
        <f>COUNTIF(H5:H138,"×")</f>
        <v>0</v>
      </c>
      <c r="I147" s="45">
        <f t="shared" ref="I147:S147" si="5">COUNTIF(I5:I138,"×")</f>
        <v>0</v>
      </c>
      <c r="J147" s="45">
        <f t="shared" si="5"/>
        <v>0</v>
      </c>
      <c r="K147" s="45">
        <f t="shared" si="5"/>
        <v>0</v>
      </c>
      <c r="L147" s="45">
        <f t="shared" si="5"/>
        <v>0</v>
      </c>
      <c r="M147" s="45">
        <f t="shared" si="5"/>
        <v>0</v>
      </c>
      <c r="N147" s="45">
        <f t="shared" si="5"/>
        <v>0</v>
      </c>
      <c r="O147" s="45">
        <f t="shared" si="5"/>
        <v>0</v>
      </c>
      <c r="P147" s="45">
        <f t="shared" si="5"/>
        <v>0</v>
      </c>
      <c r="Q147" s="45">
        <f t="shared" si="5"/>
        <v>0</v>
      </c>
      <c r="R147" s="45">
        <f t="shared" si="5"/>
        <v>0</v>
      </c>
      <c r="S147" s="45">
        <f t="shared" si="5"/>
        <v>0</v>
      </c>
      <c r="T147" s="173"/>
      <c r="U147" s="211"/>
      <c r="V147" s="211"/>
      <c r="W147" s="212"/>
      <c r="X147" s="49" t="s">
        <v>111</v>
      </c>
      <c r="Y147" s="50">
        <f t="shared" ref="Y147:Y149" si="6">SUM(H147:S147)</f>
        <v>0</v>
      </c>
    </row>
    <row r="148" spans="1:25" s="3" customFormat="1" ht="12" customHeight="1" x14ac:dyDescent="0.25">
      <c r="A148" s="51" t="s">
        <v>114</v>
      </c>
      <c r="B148" s="52"/>
      <c r="C148" s="53"/>
      <c r="D148" s="53"/>
      <c r="E148" s="52"/>
      <c r="F148" s="54" t="s">
        <v>115</v>
      </c>
      <c r="G148" s="126"/>
      <c r="H148" s="45">
        <f t="shared" ref="H148:S148" si="7">H146+H147</f>
        <v>0</v>
      </c>
      <c r="I148" s="45">
        <f t="shared" si="7"/>
        <v>0</v>
      </c>
      <c r="J148" s="45">
        <f t="shared" si="7"/>
        <v>0</v>
      </c>
      <c r="K148" s="45">
        <f t="shared" si="7"/>
        <v>0</v>
      </c>
      <c r="L148" s="45">
        <f t="shared" si="7"/>
        <v>0</v>
      </c>
      <c r="M148" s="45">
        <f t="shared" si="7"/>
        <v>74</v>
      </c>
      <c r="N148" s="45">
        <f t="shared" si="7"/>
        <v>0</v>
      </c>
      <c r="O148" s="45">
        <f t="shared" si="7"/>
        <v>0</v>
      </c>
      <c r="P148" s="45">
        <f t="shared" si="7"/>
        <v>0</v>
      </c>
      <c r="Q148" s="45">
        <f t="shared" si="7"/>
        <v>0</v>
      </c>
      <c r="R148" s="45">
        <f t="shared" si="7"/>
        <v>29</v>
      </c>
      <c r="S148" s="45">
        <f t="shared" si="7"/>
        <v>0</v>
      </c>
      <c r="T148" s="235"/>
      <c r="U148" s="223">
        <f>COUNTA(U5:U145)</f>
        <v>103</v>
      </c>
      <c r="V148" s="225">
        <f>COUNTA(V5:V145)</f>
        <v>0</v>
      </c>
      <c r="W148" s="227">
        <f>COUNTA(W5:W145)</f>
        <v>0</v>
      </c>
      <c r="X148" s="55" t="s">
        <v>111</v>
      </c>
      <c r="Y148" s="50">
        <f t="shared" si="6"/>
        <v>103</v>
      </c>
    </row>
    <row r="149" spans="1:25" s="3" customFormat="1" ht="12" customHeight="1" x14ac:dyDescent="0.25">
      <c r="A149" s="56"/>
      <c r="B149" s="57" t="s">
        <v>116</v>
      </c>
      <c r="C149" s="58">
        <f>Y149</f>
        <v>128</v>
      </c>
      <c r="D149" s="58"/>
      <c r="E149" s="57"/>
      <c r="F149" s="59" t="s">
        <v>117</v>
      </c>
      <c r="G149" s="126"/>
      <c r="H149" s="60">
        <f>COUNTA(H5:H138)</f>
        <v>0</v>
      </c>
      <c r="I149" s="60">
        <f t="shared" ref="I149:S149" si="8">COUNTA(I5:I138)</f>
        <v>0</v>
      </c>
      <c r="J149" s="60">
        <f t="shared" si="8"/>
        <v>0</v>
      </c>
      <c r="K149" s="60">
        <f t="shared" si="8"/>
        <v>0</v>
      </c>
      <c r="L149" s="60">
        <f t="shared" si="8"/>
        <v>0</v>
      </c>
      <c r="M149" s="60">
        <f t="shared" si="8"/>
        <v>93</v>
      </c>
      <c r="N149" s="60">
        <f t="shared" si="8"/>
        <v>2</v>
      </c>
      <c r="O149" s="60">
        <f t="shared" si="8"/>
        <v>0</v>
      </c>
      <c r="P149" s="60">
        <f t="shared" si="8"/>
        <v>0</v>
      </c>
      <c r="Q149" s="60">
        <f t="shared" si="8"/>
        <v>0</v>
      </c>
      <c r="R149" s="60">
        <f t="shared" si="8"/>
        <v>33</v>
      </c>
      <c r="S149" s="60">
        <f t="shared" si="8"/>
        <v>0</v>
      </c>
      <c r="T149" s="236"/>
      <c r="U149" s="224"/>
      <c r="V149" s="226"/>
      <c r="W149" s="228"/>
      <c r="X149" s="64" t="s">
        <v>111</v>
      </c>
      <c r="Y149" s="65">
        <f t="shared" si="6"/>
        <v>128</v>
      </c>
    </row>
  </sheetData>
  <autoFilter ref="U4:W149" xr:uid="{902A7C44-6F3E-4A6D-A739-A5E362564307}"/>
  <mergeCells count="18">
    <mergeCell ref="X3:X4"/>
    <mergeCell ref="Y3:Y4"/>
    <mergeCell ref="U146:W147"/>
    <mergeCell ref="A3:A4"/>
    <mergeCell ref="B3:B4"/>
    <mergeCell ref="C3:C4"/>
    <mergeCell ref="D3:D4"/>
    <mergeCell ref="E3:E4"/>
    <mergeCell ref="F3:F4"/>
    <mergeCell ref="G3:G4"/>
    <mergeCell ref="T3:T4"/>
    <mergeCell ref="U148:U149"/>
    <mergeCell ref="V148:V149"/>
    <mergeCell ref="W148:W149"/>
    <mergeCell ref="H3:K3"/>
    <mergeCell ref="L3:S3"/>
    <mergeCell ref="U3:W3"/>
    <mergeCell ref="T148:T149"/>
  </mergeCells>
  <phoneticPr fontId="11"/>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rowBreaks count="1" manualBreakCount="1">
    <brk id="50" max="16383" man="1"/>
  </rowBreaks>
  <colBreaks count="1" manualBreakCount="1">
    <brk id="5"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4E217-F8BE-4CEF-8E59-B0E638A0FC2A}">
  <sheetPr>
    <pageSetUpPr fitToPage="1"/>
  </sheetPr>
  <dimension ref="A1:Y150"/>
  <sheetViews>
    <sheetView view="pageBreakPreview" zoomScale="85" zoomScaleNormal="110" zoomScaleSheetLayoutView="85" workbookViewId="0">
      <pane ySplit="4" topLeftCell="A18" activePane="bottomLeft" state="frozen"/>
      <selection activeCell="B8" sqref="B8"/>
      <selection pane="bottomLeft" activeCell="Q43" sqref="Q43"/>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0.625" style="2" bestFit="1" customWidth="1"/>
    <col min="7" max="7" width="11.875" style="122" customWidth="1"/>
    <col min="8" max="12" width="4.5" style="4" bestFit="1" customWidth="1"/>
    <col min="13" max="13" width="5.125" style="4" bestFit="1" customWidth="1"/>
    <col min="14" max="14" width="4.5" style="4" bestFit="1" customWidth="1"/>
    <col min="15" max="17" width="4.5" style="4" customWidth="1"/>
    <col min="18" max="18" width="3.625" style="4" bestFit="1" customWidth="1"/>
    <col min="19" max="19" width="4.5" style="4" bestFit="1" customWidth="1"/>
    <col min="20" max="20" width="7.87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3" customFormat="1" ht="12.6" x14ac:dyDescent="0.15">
      <c r="A1" s="154"/>
      <c r="B1" s="155" t="s">
        <v>277</v>
      </c>
      <c r="C1" s="156" t="s">
        <v>307</v>
      </c>
      <c r="D1" s="157"/>
      <c r="E1" s="157"/>
      <c r="F1" s="157"/>
      <c r="G1" s="157"/>
      <c r="H1" s="158"/>
      <c r="I1" s="158"/>
      <c r="J1" s="158"/>
      <c r="K1" s="158"/>
      <c r="L1" s="158"/>
      <c r="M1" s="158"/>
      <c r="N1" s="158"/>
      <c r="O1" s="158"/>
      <c r="P1" s="158"/>
      <c r="Q1" s="158"/>
      <c r="R1" s="158"/>
      <c r="S1" s="158"/>
      <c r="T1" s="158"/>
      <c r="U1" s="158"/>
      <c r="V1" s="158"/>
      <c r="W1" s="158"/>
      <c r="X1" s="159"/>
      <c r="Y1" s="160"/>
    </row>
    <row r="2" spans="1:25" s="138" customFormat="1" ht="12.6" x14ac:dyDescent="0.15">
      <c r="A2" s="161"/>
      <c r="B2" s="162" t="s">
        <v>279</v>
      </c>
      <c r="C2" s="163" t="s">
        <v>280</v>
      </c>
      <c r="D2" s="164"/>
      <c r="E2" s="164"/>
      <c r="F2" s="164"/>
      <c r="G2" s="164"/>
      <c r="H2" s="165"/>
      <c r="I2" s="165"/>
      <c r="J2" s="165"/>
      <c r="K2" s="165"/>
      <c r="L2" s="165"/>
      <c r="M2" s="165"/>
      <c r="N2" s="165"/>
      <c r="O2" s="165"/>
      <c r="P2" s="165"/>
      <c r="Q2" s="165"/>
      <c r="R2" s="165"/>
      <c r="S2" s="165"/>
      <c r="T2" s="165"/>
      <c r="U2" s="165"/>
      <c r="V2" s="165"/>
      <c r="W2" s="165"/>
      <c r="X2" s="166"/>
      <c r="Y2" s="167"/>
    </row>
    <row r="3" spans="1:25" s="1" customFormat="1" ht="13.5" customHeight="1" x14ac:dyDescent="0.15">
      <c r="A3" s="213" t="s">
        <v>6</v>
      </c>
      <c r="B3" s="215" t="s">
        <v>7</v>
      </c>
      <c r="C3" s="217" t="s">
        <v>8</v>
      </c>
      <c r="D3" s="217" t="s">
        <v>9</v>
      </c>
      <c r="E3" s="219" t="s">
        <v>10</v>
      </c>
      <c r="F3" s="243" t="s">
        <v>11</v>
      </c>
      <c r="G3" s="207" t="s">
        <v>273</v>
      </c>
      <c r="H3" s="230" t="s">
        <v>118</v>
      </c>
      <c r="I3" s="230"/>
      <c r="J3" s="230"/>
      <c r="K3" s="231"/>
      <c r="L3" s="232" t="s">
        <v>13</v>
      </c>
      <c r="M3" s="233"/>
      <c r="N3" s="233"/>
      <c r="O3" s="234"/>
      <c r="P3" s="234"/>
      <c r="Q3" s="234"/>
      <c r="R3" s="234"/>
      <c r="S3" s="234"/>
      <c r="T3" s="207" t="s">
        <v>358</v>
      </c>
      <c r="U3" s="230" t="s">
        <v>14</v>
      </c>
      <c r="V3" s="230"/>
      <c r="W3" s="230"/>
      <c r="X3" s="207" t="s">
        <v>15</v>
      </c>
      <c r="Y3" s="207" t="s">
        <v>16</v>
      </c>
    </row>
    <row r="4" spans="1:25" s="1" customFormat="1" ht="22.8" x14ac:dyDescent="0.15">
      <c r="A4" s="239"/>
      <c r="B4" s="240"/>
      <c r="C4" s="241"/>
      <c r="D4" s="241"/>
      <c r="E4" s="242"/>
      <c r="F4" s="244"/>
      <c r="G4" s="229"/>
      <c r="H4" s="66" t="s">
        <v>17</v>
      </c>
      <c r="I4" s="67" t="s">
        <v>18</v>
      </c>
      <c r="J4" s="68" t="s">
        <v>19</v>
      </c>
      <c r="K4" s="68" t="s">
        <v>20</v>
      </c>
      <c r="L4" s="69" t="s">
        <v>17</v>
      </c>
      <c r="M4" s="68" t="s">
        <v>21</v>
      </c>
      <c r="N4" s="68" t="s">
        <v>22</v>
      </c>
      <c r="O4" s="68" t="s">
        <v>23</v>
      </c>
      <c r="P4" s="68" t="s">
        <v>24</v>
      </c>
      <c r="Q4" s="68" t="s">
        <v>25</v>
      </c>
      <c r="R4" s="68" t="s">
        <v>26</v>
      </c>
      <c r="S4" s="68" t="s">
        <v>27</v>
      </c>
      <c r="T4" s="245"/>
      <c r="U4" s="66" t="s">
        <v>28</v>
      </c>
      <c r="V4" s="67" t="s">
        <v>29</v>
      </c>
      <c r="W4" s="68" t="s">
        <v>30</v>
      </c>
      <c r="X4" s="238"/>
      <c r="Y4" s="238"/>
    </row>
    <row r="5" spans="1:25" ht="22.8" x14ac:dyDescent="0.15">
      <c r="A5" s="19">
        <f>ROW()-4</f>
        <v>1</v>
      </c>
      <c r="B5" s="20" t="s">
        <v>219</v>
      </c>
      <c r="C5" s="20"/>
      <c r="D5" s="20"/>
      <c r="E5" s="95" t="s">
        <v>33</v>
      </c>
      <c r="F5" s="96" t="s">
        <v>34</v>
      </c>
      <c r="G5" s="118"/>
      <c r="H5" s="21"/>
      <c r="I5" s="22"/>
      <c r="J5" s="22"/>
      <c r="K5" s="23"/>
      <c r="L5" s="75"/>
      <c r="M5" s="24" t="s">
        <v>365</v>
      </c>
      <c r="N5" s="22"/>
      <c r="O5" s="24"/>
      <c r="P5" s="24"/>
      <c r="Q5" s="24"/>
      <c r="R5" s="22"/>
      <c r="S5" s="23"/>
      <c r="T5" s="170">
        <v>45314</v>
      </c>
      <c r="U5" s="25">
        <v>45680</v>
      </c>
      <c r="V5" s="26"/>
      <c r="W5" s="27"/>
      <c r="X5" s="28" t="s">
        <v>374</v>
      </c>
      <c r="Y5" s="29" t="s">
        <v>294</v>
      </c>
    </row>
    <row r="6" spans="1:25" ht="11.4" x14ac:dyDescent="0.15">
      <c r="A6" s="19">
        <f t="shared" ref="A6:A69" si="0">ROW()-4</f>
        <v>2</v>
      </c>
      <c r="B6" s="20"/>
      <c r="C6" s="20" t="s">
        <v>207</v>
      </c>
      <c r="D6" s="20"/>
      <c r="E6" s="95" t="s">
        <v>56</v>
      </c>
      <c r="F6" s="96" t="s">
        <v>37</v>
      </c>
      <c r="G6" s="118"/>
      <c r="H6" s="21"/>
      <c r="I6" s="22"/>
      <c r="J6" s="22"/>
      <c r="K6" s="23"/>
      <c r="L6" s="21"/>
      <c r="M6" s="24" t="s">
        <v>365</v>
      </c>
      <c r="N6" s="22"/>
      <c r="O6" s="24"/>
      <c r="P6" s="24"/>
      <c r="Q6" s="24"/>
      <c r="R6" s="99"/>
      <c r="S6" s="23"/>
      <c r="T6" s="170">
        <v>45314</v>
      </c>
      <c r="U6" s="25">
        <v>45680</v>
      </c>
      <c r="V6" s="26"/>
      <c r="W6" s="27"/>
      <c r="X6" s="28" t="s">
        <v>374</v>
      </c>
      <c r="Y6" s="73"/>
    </row>
    <row r="7" spans="1:25" ht="11.4" x14ac:dyDescent="0.15">
      <c r="A7" s="19">
        <f t="shared" si="0"/>
        <v>3</v>
      </c>
      <c r="B7" s="20"/>
      <c r="C7" s="20"/>
      <c r="D7" s="20"/>
      <c r="E7" s="95" t="s">
        <v>57</v>
      </c>
      <c r="F7" s="96" t="s">
        <v>37</v>
      </c>
      <c r="G7" s="119"/>
      <c r="H7" s="21"/>
      <c r="I7" s="22"/>
      <c r="J7" s="22"/>
      <c r="K7" s="23"/>
      <c r="L7" s="21"/>
      <c r="M7" s="24" t="s">
        <v>365</v>
      </c>
      <c r="N7" s="22"/>
      <c r="O7" s="24"/>
      <c r="P7" s="24"/>
      <c r="Q7" s="24"/>
      <c r="R7" s="99"/>
      <c r="S7" s="23"/>
      <c r="T7" s="170">
        <v>45314</v>
      </c>
      <c r="U7" s="25">
        <v>45680</v>
      </c>
      <c r="V7" s="26"/>
      <c r="W7" s="27"/>
      <c r="X7" s="28" t="s">
        <v>374</v>
      </c>
      <c r="Y7" s="73"/>
    </row>
    <row r="8" spans="1:25" ht="11.4" x14ac:dyDescent="0.15">
      <c r="A8" s="19">
        <f t="shared" si="0"/>
        <v>4</v>
      </c>
      <c r="B8" s="20"/>
      <c r="C8" s="20"/>
      <c r="D8" s="20"/>
      <c r="E8" s="95" t="s">
        <v>208</v>
      </c>
      <c r="F8" s="96" t="s">
        <v>209</v>
      </c>
      <c r="G8" s="119"/>
      <c r="H8" s="21"/>
      <c r="I8" s="22"/>
      <c r="J8" s="22"/>
      <c r="K8" s="23"/>
      <c r="L8" s="21"/>
      <c r="M8" s="24" t="s">
        <v>365</v>
      </c>
      <c r="N8" s="22"/>
      <c r="O8" s="24"/>
      <c r="P8" s="24"/>
      <c r="Q8" s="24"/>
      <c r="R8" s="22"/>
      <c r="S8" s="23"/>
      <c r="T8" s="170">
        <v>45314</v>
      </c>
      <c r="U8" s="25">
        <v>45680</v>
      </c>
      <c r="V8" s="26"/>
      <c r="W8" s="27"/>
      <c r="X8" s="28" t="s">
        <v>374</v>
      </c>
      <c r="Y8" s="73"/>
    </row>
    <row r="9" spans="1:25" ht="11.4" x14ac:dyDescent="0.15">
      <c r="A9" s="19">
        <f t="shared" si="0"/>
        <v>5</v>
      </c>
      <c r="B9" s="20"/>
      <c r="C9" s="20"/>
      <c r="D9" s="20"/>
      <c r="E9" s="95" t="s">
        <v>123</v>
      </c>
      <c r="F9" s="96" t="s">
        <v>121</v>
      </c>
      <c r="G9" s="119"/>
      <c r="H9" s="21"/>
      <c r="I9" s="22"/>
      <c r="J9" s="22"/>
      <c r="K9" s="23"/>
      <c r="L9" s="21"/>
      <c r="M9" s="24" t="s">
        <v>365</v>
      </c>
      <c r="N9" s="22"/>
      <c r="O9" s="24"/>
      <c r="P9" s="24"/>
      <c r="Q9" s="24"/>
      <c r="R9" s="99"/>
      <c r="S9" s="23"/>
      <c r="T9" s="170">
        <v>45314</v>
      </c>
      <c r="U9" s="25">
        <v>45680</v>
      </c>
      <c r="V9" s="26"/>
      <c r="W9" s="27"/>
      <c r="X9" s="28" t="s">
        <v>374</v>
      </c>
      <c r="Y9" s="73"/>
    </row>
    <row r="10" spans="1:25" ht="45.6" x14ac:dyDescent="0.15">
      <c r="A10" s="19">
        <f t="shared" si="0"/>
        <v>6</v>
      </c>
      <c r="B10" s="20"/>
      <c r="C10" s="20"/>
      <c r="D10" s="20"/>
      <c r="E10" s="95" t="s">
        <v>124</v>
      </c>
      <c r="F10" s="96" t="s">
        <v>359</v>
      </c>
      <c r="G10" s="125" t="s">
        <v>274</v>
      </c>
      <c r="H10" s="21"/>
      <c r="I10" s="22"/>
      <c r="J10" s="22"/>
      <c r="K10" s="23"/>
      <c r="L10" s="21"/>
      <c r="M10" s="24" t="s">
        <v>365</v>
      </c>
      <c r="N10" s="22"/>
      <c r="O10" s="24"/>
      <c r="P10" s="24"/>
      <c r="Q10" s="24"/>
      <c r="R10" s="99"/>
      <c r="S10" s="23"/>
      <c r="T10" s="170">
        <v>45314</v>
      </c>
      <c r="U10" s="25">
        <v>45680</v>
      </c>
      <c r="V10" s="26"/>
      <c r="W10" s="27"/>
      <c r="X10" s="28" t="s">
        <v>374</v>
      </c>
      <c r="Y10" s="73"/>
    </row>
    <row r="11" spans="1:25" ht="11.4" x14ac:dyDescent="0.15">
      <c r="A11" s="19">
        <f t="shared" si="0"/>
        <v>7</v>
      </c>
      <c r="B11" s="20"/>
      <c r="C11" s="102" t="s">
        <v>127</v>
      </c>
      <c r="D11" s="20"/>
      <c r="E11" s="95" t="s">
        <v>56</v>
      </c>
      <c r="F11" s="96" t="s">
        <v>37</v>
      </c>
      <c r="G11" s="119"/>
      <c r="H11" s="21"/>
      <c r="I11" s="22"/>
      <c r="J11" s="22"/>
      <c r="K11" s="23"/>
      <c r="L11" s="21"/>
      <c r="M11" s="24" t="s">
        <v>365</v>
      </c>
      <c r="N11" s="22"/>
      <c r="O11" s="24"/>
      <c r="P11" s="24"/>
      <c r="Q11" s="24"/>
      <c r="R11" s="99"/>
      <c r="S11" s="23"/>
      <c r="T11" s="170">
        <v>45314</v>
      </c>
      <c r="U11" s="25">
        <v>45680</v>
      </c>
      <c r="V11" s="26"/>
      <c r="W11" s="27"/>
      <c r="X11" s="28" t="s">
        <v>374</v>
      </c>
      <c r="Y11" s="73"/>
    </row>
    <row r="12" spans="1:25" ht="11.4" x14ac:dyDescent="0.15">
      <c r="A12" s="19">
        <f t="shared" si="0"/>
        <v>8</v>
      </c>
      <c r="B12" s="20"/>
      <c r="C12" s="102"/>
      <c r="D12" s="20"/>
      <c r="E12" s="95" t="s">
        <v>57</v>
      </c>
      <c r="F12" s="96" t="s">
        <v>37</v>
      </c>
      <c r="G12" s="118"/>
      <c r="H12" s="21"/>
      <c r="I12" s="22"/>
      <c r="J12" s="22"/>
      <c r="K12" s="23"/>
      <c r="L12" s="21"/>
      <c r="M12" s="24" t="s">
        <v>365</v>
      </c>
      <c r="N12" s="22"/>
      <c r="O12" s="24"/>
      <c r="P12" s="24"/>
      <c r="Q12" s="24"/>
      <c r="R12" s="22"/>
      <c r="S12" s="23"/>
      <c r="T12" s="170">
        <v>45314</v>
      </c>
      <c r="U12" s="25">
        <v>45680</v>
      </c>
      <c r="V12" s="26"/>
      <c r="W12" s="27"/>
      <c r="X12" s="28" t="s">
        <v>374</v>
      </c>
      <c r="Y12" s="73"/>
    </row>
    <row r="13" spans="1:25" ht="11.4" x14ac:dyDescent="0.15">
      <c r="A13" s="19">
        <f t="shared" si="0"/>
        <v>9</v>
      </c>
      <c r="B13" s="20"/>
      <c r="C13" s="102"/>
      <c r="D13" s="20"/>
      <c r="E13" s="95" t="s">
        <v>58</v>
      </c>
      <c r="F13" s="96" t="s">
        <v>59</v>
      </c>
      <c r="G13" s="120"/>
      <c r="H13" s="21"/>
      <c r="I13" s="22"/>
      <c r="J13" s="22"/>
      <c r="K13" s="23"/>
      <c r="L13" s="21"/>
      <c r="M13" s="24" t="s">
        <v>365</v>
      </c>
      <c r="N13" s="22"/>
      <c r="O13" s="24"/>
      <c r="P13" s="24"/>
      <c r="Q13" s="24"/>
      <c r="R13" s="22"/>
      <c r="S13" s="23"/>
      <c r="T13" s="170">
        <v>45314</v>
      </c>
      <c r="U13" s="25">
        <v>45680</v>
      </c>
      <c r="V13" s="26"/>
      <c r="W13" s="27"/>
      <c r="X13" s="28" t="s">
        <v>374</v>
      </c>
      <c r="Y13" s="73"/>
    </row>
    <row r="14" spans="1:25" ht="11.4" x14ac:dyDescent="0.15">
      <c r="A14" s="19">
        <f t="shared" si="0"/>
        <v>10</v>
      </c>
      <c r="B14" s="20"/>
      <c r="C14" s="102"/>
      <c r="D14" s="20"/>
      <c r="E14" s="95" t="s">
        <v>128</v>
      </c>
      <c r="F14" s="96" t="s">
        <v>121</v>
      </c>
      <c r="G14" s="118"/>
      <c r="H14" s="21"/>
      <c r="I14" s="22"/>
      <c r="J14" s="22"/>
      <c r="K14" s="23"/>
      <c r="L14" s="21"/>
      <c r="M14" s="24" t="s">
        <v>365</v>
      </c>
      <c r="N14" s="22"/>
      <c r="O14" s="24"/>
      <c r="P14" s="24"/>
      <c r="Q14" s="24"/>
      <c r="R14" s="22"/>
      <c r="S14" s="23"/>
      <c r="T14" s="170">
        <v>45314</v>
      </c>
      <c r="U14" s="25">
        <v>45680</v>
      </c>
      <c r="V14" s="26"/>
      <c r="W14" s="27"/>
      <c r="X14" s="28" t="s">
        <v>374</v>
      </c>
      <c r="Y14" s="73"/>
    </row>
    <row r="15" spans="1:25" ht="11.4" x14ac:dyDescent="0.15">
      <c r="A15" s="19">
        <f t="shared" si="0"/>
        <v>11</v>
      </c>
      <c r="B15" s="20"/>
      <c r="C15" s="102"/>
      <c r="D15" s="20"/>
      <c r="E15" s="95" t="s">
        <v>62</v>
      </c>
      <c r="F15" s="96" t="s">
        <v>37</v>
      </c>
      <c r="G15" s="118"/>
      <c r="H15" s="21"/>
      <c r="I15" s="22"/>
      <c r="J15" s="22"/>
      <c r="K15" s="23"/>
      <c r="L15" s="21"/>
      <c r="M15" s="24" t="s">
        <v>365</v>
      </c>
      <c r="N15" s="22"/>
      <c r="O15" s="24"/>
      <c r="P15" s="24"/>
      <c r="Q15" s="24"/>
      <c r="R15" s="22"/>
      <c r="S15" s="23"/>
      <c r="T15" s="170">
        <v>45314</v>
      </c>
      <c r="U15" s="25">
        <v>45680</v>
      </c>
      <c r="V15" s="26"/>
      <c r="W15" s="27"/>
      <c r="X15" s="28" t="s">
        <v>374</v>
      </c>
      <c r="Y15" s="73"/>
    </row>
    <row r="16" spans="1:25" ht="11.4" x14ac:dyDescent="0.15">
      <c r="A16" s="19">
        <f t="shared" si="0"/>
        <v>12</v>
      </c>
      <c r="B16" s="20"/>
      <c r="C16" s="102"/>
      <c r="D16" s="20"/>
      <c r="E16" s="95" t="s">
        <v>63</v>
      </c>
      <c r="F16" s="96" t="s">
        <v>64</v>
      </c>
      <c r="G16" s="119"/>
      <c r="H16" s="21"/>
      <c r="I16" s="22"/>
      <c r="J16" s="22"/>
      <c r="K16" s="23"/>
      <c r="L16" s="21"/>
      <c r="M16" s="24" t="s">
        <v>365</v>
      </c>
      <c r="N16" s="22"/>
      <c r="O16" s="24"/>
      <c r="P16" s="24"/>
      <c r="Q16" s="24"/>
      <c r="R16" s="22"/>
      <c r="S16" s="23"/>
      <c r="T16" s="170">
        <v>45314</v>
      </c>
      <c r="U16" s="25">
        <v>45680</v>
      </c>
      <c r="V16" s="26"/>
      <c r="W16" s="27"/>
      <c r="X16" s="28" t="s">
        <v>374</v>
      </c>
      <c r="Y16" s="73"/>
    </row>
    <row r="17" spans="1:25" ht="11.4" x14ac:dyDescent="0.15">
      <c r="A17" s="19">
        <f t="shared" si="0"/>
        <v>13</v>
      </c>
      <c r="B17" s="20"/>
      <c r="C17" s="102"/>
      <c r="D17" s="20"/>
      <c r="E17" s="95" t="s">
        <v>65</v>
      </c>
      <c r="F17" s="96" t="s">
        <v>66</v>
      </c>
      <c r="G17" s="119"/>
      <c r="H17" s="21"/>
      <c r="I17" s="22"/>
      <c r="J17" s="22"/>
      <c r="K17" s="23"/>
      <c r="L17" s="21"/>
      <c r="M17" s="24" t="s">
        <v>365</v>
      </c>
      <c r="N17" s="22"/>
      <c r="O17" s="24"/>
      <c r="P17" s="24"/>
      <c r="Q17" s="24"/>
      <c r="R17" s="22"/>
      <c r="S17" s="23"/>
      <c r="T17" s="170">
        <v>45314</v>
      </c>
      <c r="U17" s="25">
        <v>45680</v>
      </c>
      <c r="V17" s="26"/>
      <c r="W17" s="27"/>
      <c r="X17" s="28" t="s">
        <v>374</v>
      </c>
      <c r="Y17" s="73"/>
    </row>
    <row r="18" spans="1:25" ht="11.4" x14ac:dyDescent="0.15">
      <c r="A18" s="19">
        <f t="shared" si="0"/>
        <v>14</v>
      </c>
      <c r="B18" s="20"/>
      <c r="C18" s="102"/>
      <c r="D18" s="20"/>
      <c r="E18" s="95" t="s">
        <v>129</v>
      </c>
      <c r="F18" s="96" t="s">
        <v>121</v>
      </c>
      <c r="G18" s="119"/>
      <c r="H18" s="21"/>
      <c r="I18" s="22"/>
      <c r="J18" s="22"/>
      <c r="K18" s="23"/>
      <c r="L18" s="21"/>
      <c r="M18" s="24" t="s">
        <v>365</v>
      </c>
      <c r="N18" s="22"/>
      <c r="O18" s="24"/>
      <c r="P18" s="24"/>
      <c r="Q18" s="24"/>
      <c r="R18" s="22"/>
      <c r="S18" s="23"/>
      <c r="T18" s="170">
        <v>45314</v>
      </c>
      <c r="U18" s="25">
        <v>45680</v>
      </c>
      <c r="V18" s="26"/>
      <c r="W18" s="27"/>
      <c r="X18" s="28" t="s">
        <v>374</v>
      </c>
      <c r="Y18" s="73"/>
    </row>
    <row r="19" spans="1:25" ht="45.6" x14ac:dyDescent="0.15">
      <c r="A19" s="19">
        <f t="shared" si="0"/>
        <v>15</v>
      </c>
      <c r="B19" s="20"/>
      <c r="C19" s="102"/>
      <c r="D19" s="20"/>
      <c r="E19" s="95" t="s">
        <v>63</v>
      </c>
      <c r="F19" s="96" t="s">
        <v>360</v>
      </c>
      <c r="G19" s="125" t="s">
        <v>274</v>
      </c>
      <c r="H19" s="21"/>
      <c r="I19" s="22"/>
      <c r="J19" s="22"/>
      <c r="K19" s="23"/>
      <c r="L19" s="21"/>
      <c r="M19" s="24" t="s">
        <v>365</v>
      </c>
      <c r="N19" s="22"/>
      <c r="O19" s="24"/>
      <c r="P19" s="24"/>
      <c r="Q19" s="24"/>
      <c r="R19" s="22"/>
      <c r="S19" s="23"/>
      <c r="T19" s="170">
        <v>45314</v>
      </c>
      <c r="U19" s="25">
        <v>45680</v>
      </c>
      <c r="V19" s="26"/>
      <c r="W19" s="27"/>
      <c r="X19" s="28" t="s">
        <v>374</v>
      </c>
      <c r="Y19" s="73"/>
    </row>
    <row r="20" spans="1:25" ht="11.4" x14ac:dyDescent="0.15">
      <c r="A20" s="19">
        <f t="shared" si="0"/>
        <v>16</v>
      </c>
      <c r="B20" s="20"/>
      <c r="C20" s="102"/>
      <c r="D20" s="20"/>
      <c r="E20" s="95" t="s">
        <v>130</v>
      </c>
      <c r="F20" s="96" t="s">
        <v>37</v>
      </c>
      <c r="G20" s="119"/>
      <c r="H20" s="21"/>
      <c r="I20" s="22"/>
      <c r="J20" s="22"/>
      <c r="K20" s="23"/>
      <c r="L20" s="21"/>
      <c r="M20" s="24" t="s">
        <v>365</v>
      </c>
      <c r="N20" s="22"/>
      <c r="O20" s="24"/>
      <c r="P20" s="24"/>
      <c r="Q20" s="24"/>
      <c r="R20" s="22"/>
      <c r="S20" s="23"/>
      <c r="T20" s="170">
        <v>45314</v>
      </c>
      <c r="U20" s="25">
        <v>45680</v>
      </c>
      <c r="V20" s="26"/>
      <c r="W20" s="27"/>
      <c r="X20" s="28" t="s">
        <v>374</v>
      </c>
      <c r="Y20" s="73"/>
    </row>
    <row r="21" spans="1:25" ht="11.4" x14ac:dyDescent="0.15">
      <c r="A21" s="19">
        <f t="shared" si="0"/>
        <v>17</v>
      </c>
      <c r="B21" s="20"/>
      <c r="C21" s="102"/>
      <c r="D21" s="20"/>
      <c r="E21" s="95" t="s">
        <v>131</v>
      </c>
      <c r="F21" s="96" t="s">
        <v>121</v>
      </c>
      <c r="G21" s="118"/>
      <c r="H21" s="21"/>
      <c r="I21" s="22"/>
      <c r="J21" s="22"/>
      <c r="K21" s="23"/>
      <c r="L21" s="21"/>
      <c r="M21" s="24" t="s">
        <v>365</v>
      </c>
      <c r="N21" s="22"/>
      <c r="O21" s="24"/>
      <c r="P21" s="24"/>
      <c r="Q21" s="24"/>
      <c r="R21" s="22"/>
      <c r="S21" s="23"/>
      <c r="T21" s="170">
        <v>45314</v>
      </c>
      <c r="U21" s="25">
        <v>45680</v>
      </c>
      <c r="V21" s="26"/>
      <c r="W21" s="27"/>
      <c r="X21" s="28" t="s">
        <v>374</v>
      </c>
      <c r="Y21" s="73"/>
    </row>
    <row r="22" spans="1:25" ht="11.4" x14ac:dyDescent="0.15">
      <c r="A22" s="19">
        <f t="shared" si="0"/>
        <v>18</v>
      </c>
      <c r="B22" s="20"/>
      <c r="C22" s="102"/>
      <c r="D22" s="20"/>
      <c r="E22" s="95" t="s">
        <v>63</v>
      </c>
      <c r="F22" s="96" t="s">
        <v>132</v>
      </c>
      <c r="G22" s="120"/>
      <c r="H22" s="21"/>
      <c r="I22" s="22"/>
      <c r="J22" s="22"/>
      <c r="K22" s="23"/>
      <c r="L22" s="21"/>
      <c r="M22" s="24" t="s">
        <v>365</v>
      </c>
      <c r="N22" s="22"/>
      <c r="O22" s="24"/>
      <c r="P22" s="24"/>
      <c r="Q22" s="24"/>
      <c r="R22" s="22"/>
      <c r="S22" s="23"/>
      <c r="T22" s="170">
        <v>45314</v>
      </c>
      <c r="U22" s="25">
        <v>45680</v>
      </c>
      <c r="V22" s="26"/>
      <c r="W22" s="27"/>
      <c r="X22" s="28" t="s">
        <v>374</v>
      </c>
      <c r="Y22" s="73"/>
    </row>
    <row r="23" spans="1:25" ht="11.4" x14ac:dyDescent="0.15">
      <c r="A23" s="19">
        <f t="shared" si="0"/>
        <v>19</v>
      </c>
      <c r="B23" s="20"/>
      <c r="C23" s="102"/>
      <c r="D23" s="20"/>
      <c r="E23" s="95" t="s">
        <v>133</v>
      </c>
      <c r="F23" s="96" t="s">
        <v>134</v>
      </c>
      <c r="G23" s="118"/>
      <c r="H23" s="21"/>
      <c r="I23" s="22"/>
      <c r="J23" s="22"/>
      <c r="K23" s="23"/>
      <c r="L23" s="21"/>
      <c r="M23" s="24" t="s">
        <v>365</v>
      </c>
      <c r="N23" s="22"/>
      <c r="O23" s="24"/>
      <c r="P23" s="24"/>
      <c r="Q23" s="24"/>
      <c r="R23" s="22"/>
      <c r="S23" s="23"/>
      <c r="T23" s="170">
        <v>45314</v>
      </c>
      <c r="U23" s="25">
        <v>45680</v>
      </c>
      <c r="V23" s="26"/>
      <c r="W23" s="27"/>
      <c r="X23" s="28" t="s">
        <v>374</v>
      </c>
      <c r="Y23" s="73"/>
    </row>
    <row r="24" spans="1:25" ht="11.4" x14ac:dyDescent="0.15">
      <c r="A24" s="19">
        <f t="shared" si="0"/>
        <v>20</v>
      </c>
      <c r="B24" s="20"/>
      <c r="C24" s="102"/>
      <c r="D24" s="20"/>
      <c r="E24" s="95" t="s">
        <v>135</v>
      </c>
      <c r="F24" s="96" t="s">
        <v>121</v>
      </c>
      <c r="G24" s="118"/>
      <c r="H24" s="21"/>
      <c r="I24" s="22"/>
      <c r="J24" s="22"/>
      <c r="K24" s="23"/>
      <c r="L24" s="21"/>
      <c r="M24" s="24" t="s">
        <v>365</v>
      </c>
      <c r="N24" s="22"/>
      <c r="O24" s="24"/>
      <c r="P24" s="24"/>
      <c r="Q24" s="24"/>
      <c r="R24" s="22"/>
      <c r="S24" s="23"/>
      <c r="T24" s="170">
        <v>45314</v>
      </c>
      <c r="U24" s="25">
        <v>45680</v>
      </c>
      <c r="V24" s="26"/>
      <c r="W24" s="27"/>
      <c r="X24" s="28" t="s">
        <v>374</v>
      </c>
      <c r="Y24" s="73"/>
    </row>
    <row r="25" spans="1:25" ht="45.6" x14ac:dyDescent="0.15">
      <c r="A25" s="19">
        <f t="shared" si="0"/>
        <v>21</v>
      </c>
      <c r="B25" s="20"/>
      <c r="C25" s="102"/>
      <c r="D25" s="20"/>
      <c r="E25" s="95" t="s">
        <v>63</v>
      </c>
      <c r="F25" s="96" t="s">
        <v>361</v>
      </c>
      <c r="G25" s="125" t="s">
        <v>274</v>
      </c>
      <c r="H25" s="21"/>
      <c r="I25" s="22"/>
      <c r="J25" s="22"/>
      <c r="K25" s="23"/>
      <c r="L25" s="21"/>
      <c r="M25" s="24" t="s">
        <v>365</v>
      </c>
      <c r="N25" s="22"/>
      <c r="O25" s="24"/>
      <c r="P25" s="24"/>
      <c r="Q25" s="24"/>
      <c r="R25" s="22"/>
      <c r="S25" s="23"/>
      <c r="T25" s="170">
        <v>45314</v>
      </c>
      <c r="U25" s="25">
        <v>45680</v>
      </c>
      <c r="V25" s="26"/>
      <c r="W25" s="27"/>
      <c r="X25" s="28" t="s">
        <v>374</v>
      </c>
      <c r="Y25" s="73"/>
    </row>
    <row r="26" spans="1:25" ht="11.4" x14ac:dyDescent="0.15">
      <c r="A26" s="19">
        <f t="shared" si="0"/>
        <v>22</v>
      </c>
      <c r="B26" s="20"/>
      <c r="C26" s="102" t="s">
        <v>136</v>
      </c>
      <c r="D26" s="20"/>
      <c r="E26" s="95" t="s">
        <v>56</v>
      </c>
      <c r="F26" s="96" t="s">
        <v>37</v>
      </c>
      <c r="G26" s="118"/>
      <c r="H26" s="21"/>
      <c r="I26" s="22"/>
      <c r="J26" s="22"/>
      <c r="K26" s="23"/>
      <c r="L26" s="21"/>
      <c r="M26" s="24" t="s">
        <v>365</v>
      </c>
      <c r="N26" s="22"/>
      <c r="O26" s="24"/>
      <c r="P26" s="24"/>
      <c r="Q26" s="24"/>
      <c r="R26" s="99"/>
      <c r="S26" s="23"/>
      <c r="T26" s="170">
        <v>45314</v>
      </c>
      <c r="U26" s="25">
        <v>45680</v>
      </c>
      <c r="V26" s="26"/>
      <c r="W26" s="27"/>
      <c r="X26" s="28" t="s">
        <v>374</v>
      </c>
      <c r="Y26" s="73"/>
    </row>
    <row r="27" spans="1:25" ht="11.4" x14ac:dyDescent="0.15">
      <c r="A27" s="19">
        <f t="shared" si="0"/>
        <v>23</v>
      </c>
      <c r="B27" s="20"/>
      <c r="C27" s="102"/>
      <c r="D27" s="20"/>
      <c r="E27" s="95" t="s">
        <v>57</v>
      </c>
      <c r="F27" s="96" t="s">
        <v>37</v>
      </c>
      <c r="G27" s="118"/>
      <c r="H27" s="21"/>
      <c r="I27" s="22"/>
      <c r="J27" s="22"/>
      <c r="K27" s="23"/>
      <c r="L27" s="21"/>
      <c r="M27" s="24" t="s">
        <v>365</v>
      </c>
      <c r="N27" s="22"/>
      <c r="O27" s="24"/>
      <c r="P27" s="24"/>
      <c r="Q27" s="24"/>
      <c r="R27" s="22"/>
      <c r="S27" s="23"/>
      <c r="T27" s="170">
        <v>45314</v>
      </c>
      <c r="U27" s="25">
        <v>45680</v>
      </c>
      <c r="V27" s="26"/>
      <c r="W27" s="27"/>
      <c r="X27" s="28" t="s">
        <v>374</v>
      </c>
      <c r="Y27" s="73"/>
    </row>
    <row r="28" spans="1:25" ht="11.4" x14ac:dyDescent="0.15">
      <c r="A28" s="19">
        <f t="shared" si="0"/>
        <v>24</v>
      </c>
      <c r="B28" s="20"/>
      <c r="C28" s="20"/>
      <c r="D28" s="20"/>
      <c r="E28" s="95" t="s">
        <v>137</v>
      </c>
      <c r="F28" s="96" t="s">
        <v>138</v>
      </c>
      <c r="G28" s="119"/>
      <c r="H28" s="21"/>
      <c r="I28" s="22"/>
      <c r="J28" s="22"/>
      <c r="K28" s="23"/>
      <c r="L28" s="21"/>
      <c r="M28" s="24" t="s">
        <v>365</v>
      </c>
      <c r="N28" s="22"/>
      <c r="O28" s="24"/>
      <c r="P28" s="24"/>
      <c r="Q28" s="24"/>
      <c r="R28" s="22"/>
      <c r="S28" s="23"/>
      <c r="T28" s="170">
        <v>45314</v>
      </c>
      <c r="U28" s="25">
        <v>45680</v>
      </c>
      <c r="V28" s="26"/>
      <c r="W28" s="27"/>
      <c r="X28" s="28" t="s">
        <v>374</v>
      </c>
      <c r="Y28" s="73"/>
    </row>
    <row r="29" spans="1:25" ht="11.4" x14ac:dyDescent="0.15">
      <c r="A29" s="19">
        <f t="shared" si="0"/>
        <v>25</v>
      </c>
      <c r="B29" s="20"/>
      <c r="C29" s="20"/>
      <c r="D29" s="20"/>
      <c r="E29" s="95" t="s">
        <v>125</v>
      </c>
      <c r="F29" s="96" t="s">
        <v>139</v>
      </c>
      <c r="G29" s="119"/>
      <c r="H29" s="21"/>
      <c r="I29" s="22"/>
      <c r="J29" s="22"/>
      <c r="K29" s="23"/>
      <c r="L29" s="75"/>
      <c r="M29" s="24" t="s">
        <v>365</v>
      </c>
      <c r="N29" s="22"/>
      <c r="O29" s="24"/>
      <c r="P29" s="24"/>
      <c r="Q29" s="24"/>
      <c r="R29" s="22"/>
      <c r="S29" s="23"/>
      <c r="T29" s="170">
        <v>45314</v>
      </c>
      <c r="U29" s="25">
        <v>45680</v>
      </c>
      <c r="V29" s="26"/>
      <c r="W29" s="27"/>
      <c r="X29" s="28" t="s">
        <v>374</v>
      </c>
      <c r="Y29" s="29"/>
    </row>
    <row r="30" spans="1:25" ht="11.4" x14ac:dyDescent="0.15">
      <c r="A30" s="19">
        <f t="shared" si="0"/>
        <v>26</v>
      </c>
      <c r="B30" s="20"/>
      <c r="C30" s="20"/>
      <c r="D30" s="20"/>
      <c r="E30" s="95" t="s">
        <v>140</v>
      </c>
      <c r="F30" s="96" t="s">
        <v>121</v>
      </c>
      <c r="G30" s="119"/>
      <c r="H30" s="21"/>
      <c r="I30" s="22"/>
      <c r="J30" s="22"/>
      <c r="K30" s="23"/>
      <c r="L30" s="75"/>
      <c r="M30" s="24" t="s">
        <v>35</v>
      </c>
      <c r="N30" s="22"/>
      <c r="O30" s="24"/>
      <c r="P30" s="24"/>
      <c r="Q30" s="24"/>
      <c r="R30" s="22"/>
      <c r="S30" s="23"/>
      <c r="T30" s="170">
        <v>45314</v>
      </c>
      <c r="U30" s="175"/>
      <c r="V30" s="176"/>
      <c r="W30" s="177"/>
      <c r="X30" s="28"/>
      <c r="Y30" s="29"/>
    </row>
    <row r="31" spans="1:25" ht="11.4" x14ac:dyDescent="0.15">
      <c r="A31" s="19">
        <f t="shared" si="0"/>
        <v>27</v>
      </c>
      <c r="B31" s="20"/>
      <c r="C31" s="20"/>
      <c r="D31" s="20"/>
      <c r="E31" s="95" t="s">
        <v>126</v>
      </c>
      <c r="F31" s="96" t="s">
        <v>37</v>
      </c>
      <c r="G31" s="119"/>
      <c r="H31" s="21"/>
      <c r="I31" s="22"/>
      <c r="J31" s="22"/>
      <c r="K31" s="23"/>
      <c r="L31" s="75"/>
      <c r="M31" s="24" t="s">
        <v>35</v>
      </c>
      <c r="N31" s="22"/>
      <c r="O31" s="24"/>
      <c r="P31" s="24"/>
      <c r="Q31" s="24"/>
      <c r="R31" s="22"/>
      <c r="S31" s="23"/>
      <c r="T31" s="170">
        <v>45314</v>
      </c>
      <c r="U31" s="175"/>
      <c r="V31" s="176"/>
      <c r="W31" s="177"/>
      <c r="X31" s="28"/>
      <c r="Y31" s="29"/>
    </row>
    <row r="32" spans="1:25" ht="45.6" x14ac:dyDescent="0.15">
      <c r="A32" s="19">
        <f t="shared" si="0"/>
        <v>28</v>
      </c>
      <c r="B32" s="20"/>
      <c r="C32" s="20"/>
      <c r="D32" s="20"/>
      <c r="E32" s="95" t="s">
        <v>124</v>
      </c>
      <c r="F32" s="96" t="s">
        <v>298</v>
      </c>
      <c r="G32" s="125" t="s">
        <v>274</v>
      </c>
      <c r="H32" s="21"/>
      <c r="I32" s="22"/>
      <c r="J32" s="22"/>
      <c r="K32" s="23"/>
      <c r="L32" s="75"/>
      <c r="M32" s="24" t="s">
        <v>35</v>
      </c>
      <c r="N32" s="22"/>
      <c r="O32" s="24"/>
      <c r="P32" s="24"/>
      <c r="Q32" s="24"/>
      <c r="R32" s="22"/>
      <c r="S32" s="23"/>
      <c r="T32" s="170">
        <v>45314</v>
      </c>
      <c r="U32" s="175"/>
      <c r="V32" s="176"/>
      <c r="W32" s="177"/>
      <c r="X32" s="28"/>
      <c r="Y32" s="29"/>
    </row>
    <row r="33" spans="1:25" ht="11.4" x14ac:dyDescent="0.15">
      <c r="A33" s="19">
        <f t="shared" si="0"/>
        <v>29</v>
      </c>
      <c r="B33" s="20"/>
      <c r="C33" s="20" t="s">
        <v>210</v>
      </c>
      <c r="D33" s="20"/>
      <c r="E33" s="95" t="s">
        <v>56</v>
      </c>
      <c r="F33" s="96" t="s">
        <v>37</v>
      </c>
      <c r="G33" s="118"/>
      <c r="H33" s="21"/>
      <c r="I33" s="22"/>
      <c r="J33" s="22"/>
      <c r="K33" s="23"/>
      <c r="L33" s="75"/>
      <c r="M33" s="24" t="s">
        <v>365</v>
      </c>
      <c r="N33" s="22"/>
      <c r="O33" s="24"/>
      <c r="P33" s="24"/>
      <c r="Q33" s="24"/>
      <c r="R33" s="22"/>
      <c r="S33" s="23"/>
      <c r="T33" s="170">
        <v>45314</v>
      </c>
      <c r="U33" s="25">
        <v>45680</v>
      </c>
      <c r="V33" s="26"/>
      <c r="W33" s="27"/>
      <c r="X33" s="28" t="s">
        <v>374</v>
      </c>
      <c r="Y33" s="29"/>
    </row>
    <row r="34" spans="1:25" ht="11.4" x14ac:dyDescent="0.15">
      <c r="A34" s="19">
        <f t="shared" si="0"/>
        <v>30</v>
      </c>
      <c r="B34" s="20"/>
      <c r="C34" s="20"/>
      <c r="D34" s="20"/>
      <c r="E34" s="95" t="s">
        <v>122</v>
      </c>
      <c r="F34" s="96" t="s">
        <v>37</v>
      </c>
      <c r="G34" s="120"/>
      <c r="H34" s="21"/>
      <c r="I34" s="22"/>
      <c r="J34" s="22"/>
      <c r="K34" s="23"/>
      <c r="L34" s="75"/>
      <c r="M34" s="24" t="s">
        <v>365</v>
      </c>
      <c r="N34" s="22"/>
      <c r="O34" s="24"/>
      <c r="P34" s="24"/>
      <c r="Q34" s="24"/>
      <c r="R34" s="22"/>
      <c r="S34" s="23"/>
      <c r="T34" s="170">
        <v>45314</v>
      </c>
      <c r="U34" s="25">
        <v>45680</v>
      </c>
      <c r="V34" s="26"/>
      <c r="W34" s="27"/>
      <c r="X34" s="28" t="s">
        <v>374</v>
      </c>
      <c r="Y34" s="29"/>
    </row>
    <row r="35" spans="1:25" ht="11.4" x14ac:dyDescent="0.15">
      <c r="A35" s="19">
        <f t="shared" si="0"/>
        <v>31</v>
      </c>
      <c r="B35" s="20"/>
      <c r="C35" s="20"/>
      <c r="D35" s="20"/>
      <c r="E35" s="95" t="s">
        <v>211</v>
      </c>
      <c r="F35" s="96" t="s">
        <v>212</v>
      </c>
      <c r="G35" s="118"/>
      <c r="H35" s="21"/>
      <c r="I35" s="22"/>
      <c r="J35" s="22"/>
      <c r="K35" s="23"/>
      <c r="L35" s="75"/>
      <c r="M35" s="24" t="s">
        <v>365</v>
      </c>
      <c r="N35" s="22"/>
      <c r="O35" s="24"/>
      <c r="P35" s="24"/>
      <c r="Q35" s="24"/>
      <c r="R35" s="22"/>
      <c r="S35" s="23"/>
      <c r="T35" s="170">
        <v>45314</v>
      </c>
      <c r="U35" s="25">
        <v>45680</v>
      </c>
      <c r="V35" s="26"/>
      <c r="W35" s="27"/>
      <c r="X35" s="28" t="s">
        <v>374</v>
      </c>
      <c r="Y35" s="29"/>
    </row>
    <row r="36" spans="1:25" ht="11.4" x14ac:dyDescent="0.15">
      <c r="A36" s="19">
        <f t="shared" si="0"/>
        <v>32</v>
      </c>
      <c r="B36" s="20"/>
      <c r="C36" s="20"/>
      <c r="D36" s="20"/>
      <c r="E36" s="95" t="s">
        <v>213</v>
      </c>
      <c r="F36" s="96" t="s">
        <v>214</v>
      </c>
      <c r="G36" s="118"/>
      <c r="H36" s="21"/>
      <c r="I36" s="22"/>
      <c r="J36" s="22"/>
      <c r="K36" s="23"/>
      <c r="L36" s="75"/>
      <c r="M36" s="24" t="s">
        <v>365</v>
      </c>
      <c r="N36" s="22"/>
      <c r="O36" s="24"/>
      <c r="P36" s="24"/>
      <c r="Q36" s="24"/>
      <c r="R36" s="22"/>
      <c r="S36" s="23"/>
      <c r="T36" s="170">
        <v>45314</v>
      </c>
      <c r="U36" s="25">
        <v>45680</v>
      </c>
      <c r="V36" s="26"/>
      <c r="W36" s="27"/>
      <c r="X36" s="28" t="s">
        <v>374</v>
      </c>
      <c r="Y36" s="29"/>
    </row>
    <row r="37" spans="1:25" ht="11.4" x14ac:dyDescent="0.15">
      <c r="A37" s="19">
        <f t="shared" si="0"/>
        <v>33</v>
      </c>
      <c r="B37" s="20"/>
      <c r="C37" s="20" t="s">
        <v>215</v>
      </c>
      <c r="D37" s="20"/>
      <c r="E37" s="95" t="s">
        <v>56</v>
      </c>
      <c r="F37" s="96" t="s">
        <v>37</v>
      </c>
      <c r="G37" s="119"/>
      <c r="H37" s="21"/>
      <c r="I37" s="22"/>
      <c r="J37" s="22"/>
      <c r="K37" s="23"/>
      <c r="L37" s="75"/>
      <c r="M37" s="24" t="s">
        <v>365</v>
      </c>
      <c r="N37" s="22"/>
      <c r="O37" s="24"/>
      <c r="P37" s="24"/>
      <c r="Q37" s="24"/>
      <c r="R37" s="22"/>
      <c r="S37" s="23"/>
      <c r="T37" s="170">
        <v>45314</v>
      </c>
      <c r="U37" s="25">
        <v>45680</v>
      </c>
      <c r="V37" s="26"/>
      <c r="W37" s="27"/>
      <c r="X37" s="28" t="s">
        <v>374</v>
      </c>
      <c r="Y37" s="29"/>
    </row>
    <row r="38" spans="1:25" ht="11.4" x14ac:dyDescent="0.15">
      <c r="A38" s="19">
        <f t="shared" si="0"/>
        <v>34</v>
      </c>
      <c r="B38" s="20"/>
      <c r="C38" s="20"/>
      <c r="D38" s="20"/>
      <c r="E38" s="95" t="s">
        <v>217</v>
      </c>
      <c r="F38" s="96" t="s">
        <v>37</v>
      </c>
      <c r="G38" s="119"/>
      <c r="H38" s="21"/>
      <c r="I38" s="22"/>
      <c r="J38" s="22"/>
      <c r="K38" s="23"/>
      <c r="L38" s="75"/>
      <c r="M38" s="24" t="s">
        <v>365</v>
      </c>
      <c r="N38" s="22"/>
      <c r="O38" s="24"/>
      <c r="P38" s="24"/>
      <c r="Q38" s="24"/>
      <c r="R38" s="22"/>
      <c r="S38" s="23"/>
      <c r="T38" s="170">
        <v>45314</v>
      </c>
      <c r="U38" s="25">
        <v>45680</v>
      </c>
      <c r="V38" s="26"/>
      <c r="W38" s="27"/>
      <c r="X38" s="28" t="s">
        <v>374</v>
      </c>
      <c r="Y38" s="29"/>
    </row>
    <row r="39" spans="1:25" ht="11.4" x14ac:dyDescent="0.15">
      <c r="A39" s="19">
        <f t="shared" si="0"/>
        <v>35</v>
      </c>
      <c r="B39" s="20"/>
      <c r="C39" s="20"/>
      <c r="D39" s="20"/>
      <c r="E39" s="95" t="s">
        <v>216</v>
      </c>
      <c r="F39" s="96" t="s">
        <v>218</v>
      </c>
      <c r="G39" s="119"/>
      <c r="H39" s="21"/>
      <c r="I39" s="22"/>
      <c r="J39" s="22"/>
      <c r="K39" s="23"/>
      <c r="L39" s="75"/>
      <c r="M39" s="24" t="s">
        <v>365</v>
      </c>
      <c r="N39" s="22"/>
      <c r="O39" s="24"/>
      <c r="P39" s="24"/>
      <c r="Q39" s="24"/>
      <c r="R39" s="22"/>
      <c r="S39" s="23"/>
      <c r="T39" s="170">
        <v>45314</v>
      </c>
      <c r="U39" s="25">
        <v>45680</v>
      </c>
      <c r="V39" s="26"/>
      <c r="W39" s="27"/>
      <c r="X39" s="28" t="s">
        <v>374</v>
      </c>
      <c r="Y39" s="29"/>
    </row>
    <row r="40" spans="1:25" ht="22.8" x14ac:dyDescent="0.15">
      <c r="A40" s="19">
        <f t="shared" si="0"/>
        <v>36</v>
      </c>
      <c r="B40" s="20" t="s">
        <v>220</v>
      </c>
      <c r="C40" s="20"/>
      <c r="D40" s="20"/>
      <c r="E40" s="76" t="s">
        <v>119</v>
      </c>
      <c r="F40" s="70" t="s">
        <v>120</v>
      </c>
      <c r="G40" s="125" t="s">
        <v>274</v>
      </c>
      <c r="H40" s="85"/>
      <c r="I40" s="86"/>
      <c r="J40" s="86"/>
      <c r="K40" s="87"/>
      <c r="L40" s="88"/>
      <c r="M40" s="89"/>
      <c r="N40" s="86"/>
      <c r="O40" s="89"/>
      <c r="P40" s="89"/>
      <c r="Q40" s="89"/>
      <c r="R40" s="89"/>
      <c r="S40" s="87"/>
      <c r="T40" s="174"/>
      <c r="U40" s="90"/>
      <c r="V40" s="91"/>
      <c r="W40" s="92"/>
      <c r="X40" s="93"/>
      <c r="Y40" s="29" t="s">
        <v>299</v>
      </c>
    </row>
    <row r="41" spans="1:25" ht="22.8" x14ac:dyDescent="0.15">
      <c r="A41" s="19">
        <f t="shared" si="0"/>
        <v>37</v>
      </c>
      <c r="B41" s="20"/>
      <c r="C41" s="20"/>
      <c r="D41" s="20"/>
      <c r="E41" s="95" t="s">
        <v>33</v>
      </c>
      <c r="F41" s="96" t="s">
        <v>34</v>
      </c>
      <c r="G41" s="119"/>
      <c r="H41" s="21"/>
      <c r="I41" s="22"/>
      <c r="J41" s="22"/>
      <c r="K41" s="23"/>
      <c r="L41" s="75"/>
      <c r="M41" s="24" t="s">
        <v>35</v>
      </c>
      <c r="N41" s="22"/>
      <c r="O41" s="24"/>
      <c r="P41" s="24"/>
      <c r="Q41" s="24"/>
      <c r="R41" s="22"/>
      <c r="S41" s="23"/>
      <c r="T41" s="170">
        <v>45315</v>
      </c>
      <c r="U41" s="25"/>
      <c r="V41" s="26"/>
      <c r="W41" s="27"/>
      <c r="X41" s="28"/>
      <c r="Y41" s="29"/>
    </row>
    <row r="42" spans="1:25" ht="11.4" x14ac:dyDescent="0.15">
      <c r="A42" s="19">
        <f t="shared" si="0"/>
        <v>38</v>
      </c>
      <c r="B42" s="20"/>
      <c r="C42" s="20" t="s">
        <v>207</v>
      </c>
      <c r="D42" s="20"/>
      <c r="E42" s="95" t="s">
        <v>56</v>
      </c>
      <c r="F42" s="96" t="s">
        <v>37</v>
      </c>
      <c r="G42" s="118"/>
      <c r="H42" s="21"/>
      <c r="I42" s="22"/>
      <c r="J42" s="22"/>
      <c r="K42" s="23"/>
      <c r="L42" s="21"/>
      <c r="M42" s="24" t="s">
        <v>35</v>
      </c>
      <c r="N42" s="22"/>
      <c r="O42" s="24"/>
      <c r="P42" s="24"/>
      <c r="Q42" s="24"/>
      <c r="R42" s="99"/>
      <c r="S42" s="23"/>
      <c r="T42" s="170">
        <v>45315</v>
      </c>
      <c r="U42" s="25"/>
      <c r="V42" s="26"/>
      <c r="W42" s="27"/>
      <c r="X42" s="28"/>
      <c r="Y42" s="73"/>
    </row>
    <row r="43" spans="1:25" ht="11.4" x14ac:dyDescent="0.15">
      <c r="A43" s="19">
        <f t="shared" si="0"/>
        <v>39</v>
      </c>
      <c r="B43" s="20"/>
      <c r="C43" s="20"/>
      <c r="D43" s="20"/>
      <c r="E43" s="95" t="s">
        <v>57</v>
      </c>
      <c r="F43" s="96" t="s">
        <v>37</v>
      </c>
      <c r="G43" s="120"/>
      <c r="H43" s="21"/>
      <c r="I43" s="22"/>
      <c r="J43" s="22"/>
      <c r="K43" s="23"/>
      <c r="L43" s="21"/>
      <c r="M43" s="24" t="s">
        <v>35</v>
      </c>
      <c r="N43" s="22"/>
      <c r="O43" s="24"/>
      <c r="P43" s="24"/>
      <c r="Q43" s="24"/>
      <c r="R43" s="99"/>
      <c r="S43" s="23"/>
      <c r="T43" s="170">
        <v>45315</v>
      </c>
      <c r="U43" s="25"/>
      <c r="V43" s="26"/>
      <c r="W43" s="27"/>
      <c r="X43" s="28"/>
      <c r="Y43" s="73"/>
    </row>
    <row r="44" spans="1:25" ht="11.4" x14ac:dyDescent="0.15">
      <c r="A44" s="19">
        <f t="shared" si="0"/>
        <v>40</v>
      </c>
      <c r="B44" s="20"/>
      <c r="C44" s="20"/>
      <c r="D44" s="20"/>
      <c r="E44" s="95" t="s">
        <v>208</v>
      </c>
      <c r="F44" s="96" t="s">
        <v>209</v>
      </c>
      <c r="G44" s="119"/>
      <c r="H44" s="21"/>
      <c r="I44" s="22"/>
      <c r="J44" s="22"/>
      <c r="K44" s="23"/>
      <c r="L44" s="21"/>
      <c r="M44" s="24" t="s">
        <v>35</v>
      </c>
      <c r="N44" s="22"/>
      <c r="O44" s="24"/>
      <c r="P44" s="24"/>
      <c r="Q44" s="24"/>
      <c r="R44" s="22"/>
      <c r="S44" s="23"/>
      <c r="T44" s="170">
        <v>45315</v>
      </c>
      <c r="U44" s="25"/>
      <c r="V44" s="26"/>
      <c r="W44" s="27"/>
      <c r="X44" s="28"/>
      <c r="Y44" s="73"/>
    </row>
    <row r="45" spans="1:25" ht="11.4" x14ac:dyDescent="0.15">
      <c r="A45" s="19">
        <f t="shared" si="0"/>
        <v>41</v>
      </c>
      <c r="B45" s="20"/>
      <c r="C45" s="20"/>
      <c r="D45" s="20"/>
      <c r="E45" s="95" t="s">
        <v>123</v>
      </c>
      <c r="F45" s="96" t="s">
        <v>121</v>
      </c>
      <c r="G45" s="119"/>
      <c r="H45" s="21"/>
      <c r="I45" s="22"/>
      <c r="J45" s="22"/>
      <c r="K45" s="23"/>
      <c r="L45" s="21"/>
      <c r="M45" s="24" t="s">
        <v>35</v>
      </c>
      <c r="N45" s="22"/>
      <c r="O45" s="24"/>
      <c r="P45" s="24"/>
      <c r="Q45" s="24"/>
      <c r="R45" s="99"/>
      <c r="S45" s="23"/>
      <c r="T45" s="170">
        <v>45315</v>
      </c>
      <c r="U45" s="25"/>
      <c r="V45" s="26"/>
      <c r="W45" s="27"/>
      <c r="X45" s="28"/>
      <c r="Y45" s="73"/>
    </row>
    <row r="46" spans="1:25" ht="45.6" x14ac:dyDescent="0.15">
      <c r="A46" s="19">
        <f t="shared" si="0"/>
        <v>42</v>
      </c>
      <c r="B46" s="20"/>
      <c r="C46" s="20"/>
      <c r="D46" s="20"/>
      <c r="E46" s="95" t="s">
        <v>124</v>
      </c>
      <c r="F46" s="96" t="s">
        <v>295</v>
      </c>
      <c r="G46" s="125" t="s">
        <v>274</v>
      </c>
      <c r="H46" s="21"/>
      <c r="I46" s="22"/>
      <c r="J46" s="22"/>
      <c r="K46" s="23"/>
      <c r="L46" s="21"/>
      <c r="M46" s="24" t="s">
        <v>35</v>
      </c>
      <c r="N46" s="22"/>
      <c r="O46" s="24"/>
      <c r="P46" s="24"/>
      <c r="Q46" s="24"/>
      <c r="R46" s="99"/>
      <c r="S46" s="23"/>
      <c r="T46" s="170">
        <v>45315</v>
      </c>
      <c r="U46" s="25"/>
      <c r="V46" s="26"/>
      <c r="W46" s="27"/>
      <c r="X46" s="28"/>
      <c r="Y46" s="73"/>
    </row>
    <row r="47" spans="1:25" ht="11.4" x14ac:dyDescent="0.15">
      <c r="A47" s="19">
        <f t="shared" si="0"/>
        <v>43</v>
      </c>
      <c r="B47" s="20"/>
      <c r="C47" s="20"/>
      <c r="D47" s="20"/>
      <c r="E47" s="95"/>
      <c r="F47" s="96" t="s">
        <v>249</v>
      </c>
      <c r="G47" s="119"/>
      <c r="H47" s="21"/>
      <c r="I47" s="22"/>
      <c r="J47" s="22"/>
      <c r="K47" s="23"/>
      <c r="L47" s="24" t="s">
        <v>35</v>
      </c>
      <c r="M47" s="24"/>
      <c r="N47" s="22"/>
      <c r="O47" s="24"/>
      <c r="P47" s="24"/>
      <c r="Q47" s="24"/>
      <c r="R47" s="99"/>
      <c r="S47" s="23"/>
      <c r="T47" s="170">
        <v>45315</v>
      </c>
      <c r="U47" s="25"/>
      <c r="V47" s="26"/>
      <c r="W47" s="27"/>
      <c r="X47" s="28"/>
      <c r="Y47" s="73"/>
    </row>
    <row r="48" spans="1:25" ht="11.4" x14ac:dyDescent="0.15">
      <c r="A48" s="19">
        <f t="shared" si="0"/>
        <v>44</v>
      </c>
      <c r="B48" s="20"/>
      <c r="C48" s="102" t="s">
        <v>127</v>
      </c>
      <c r="D48" s="20"/>
      <c r="E48" s="95" t="s">
        <v>56</v>
      </c>
      <c r="F48" s="96" t="s">
        <v>37</v>
      </c>
      <c r="G48" s="119"/>
      <c r="H48" s="21"/>
      <c r="I48" s="22"/>
      <c r="J48" s="22"/>
      <c r="K48" s="23"/>
      <c r="L48" s="21"/>
      <c r="M48" s="24" t="s">
        <v>35</v>
      </c>
      <c r="N48" s="22"/>
      <c r="O48" s="24"/>
      <c r="P48" s="24"/>
      <c r="Q48" s="24"/>
      <c r="R48" s="99"/>
      <c r="S48" s="23"/>
      <c r="T48" s="170">
        <v>45315</v>
      </c>
      <c r="U48" s="25"/>
      <c r="V48" s="26"/>
      <c r="W48" s="27"/>
      <c r="X48" s="28"/>
      <c r="Y48" s="73"/>
    </row>
    <row r="49" spans="1:25" ht="11.4" x14ac:dyDescent="0.15">
      <c r="A49" s="19">
        <f t="shared" si="0"/>
        <v>45</v>
      </c>
      <c r="B49" s="20"/>
      <c r="C49" s="102"/>
      <c r="D49" s="20"/>
      <c r="E49" s="95" t="s">
        <v>57</v>
      </c>
      <c r="F49" s="96" t="s">
        <v>37</v>
      </c>
      <c r="G49" s="119"/>
      <c r="H49" s="21"/>
      <c r="I49" s="22"/>
      <c r="J49" s="22"/>
      <c r="K49" s="23"/>
      <c r="L49" s="21"/>
      <c r="M49" s="24" t="s">
        <v>35</v>
      </c>
      <c r="N49" s="22"/>
      <c r="O49" s="24"/>
      <c r="P49" s="24"/>
      <c r="Q49" s="24"/>
      <c r="R49" s="22"/>
      <c r="S49" s="23"/>
      <c r="T49" s="170">
        <v>45315</v>
      </c>
      <c r="U49" s="25"/>
      <c r="V49" s="26"/>
      <c r="W49" s="27"/>
      <c r="X49" s="28"/>
      <c r="Y49" s="73"/>
    </row>
    <row r="50" spans="1:25" ht="11.4" x14ac:dyDescent="0.15">
      <c r="A50" s="19">
        <f t="shared" si="0"/>
        <v>46</v>
      </c>
      <c r="B50" s="20"/>
      <c r="C50" s="102"/>
      <c r="D50" s="20"/>
      <c r="E50" s="95" t="s">
        <v>58</v>
      </c>
      <c r="F50" s="96" t="s">
        <v>59</v>
      </c>
      <c r="G50" s="119"/>
      <c r="H50" s="21"/>
      <c r="I50" s="22"/>
      <c r="J50" s="22"/>
      <c r="K50" s="23"/>
      <c r="L50" s="21"/>
      <c r="M50" s="24" t="s">
        <v>35</v>
      </c>
      <c r="N50" s="22"/>
      <c r="O50" s="24"/>
      <c r="P50" s="24"/>
      <c r="Q50" s="24"/>
      <c r="R50" s="22"/>
      <c r="S50" s="23"/>
      <c r="T50" s="170">
        <v>45315</v>
      </c>
      <c r="U50" s="25"/>
      <c r="V50" s="26"/>
      <c r="W50" s="27"/>
      <c r="X50" s="28"/>
      <c r="Y50" s="73"/>
    </row>
    <row r="51" spans="1:25" ht="11.4" x14ac:dyDescent="0.15">
      <c r="A51" s="19">
        <f t="shared" si="0"/>
        <v>47</v>
      </c>
      <c r="B51" s="20"/>
      <c r="C51" s="102"/>
      <c r="D51" s="20"/>
      <c r="E51" s="95" t="s">
        <v>128</v>
      </c>
      <c r="F51" s="96" t="s">
        <v>121</v>
      </c>
      <c r="G51" s="119"/>
      <c r="H51" s="21"/>
      <c r="I51" s="22"/>
      <c r="J51" s="22"/>
      <c r="K51" s="23"/>
      <c r="L51" s="21"/>
      <c r="M51" s="24" t="s">
        <v>35</v>
      </c>
      <c r="N51" s="22"/>
      <c r="O51" s="24"/>
      <c r="P51" s="24"/>
      <c r="Q51" s="24"/>
      <c r="R51" s="22"/>
      <c r="S51" s="23"/>
      <c r="T51" s="170">
        <v>45315</v>
      </c>
      <c r="U51" s="25"/>
      <c r="V51" s="26"/>
      <c r="W51" s="27"/>
      <c r="X51" s="28"/>
      <c r="Y51" s="73"/>
    </row>
    <row r="52" spans="1:25" ht="11.4" x14ac:dyDescent="0.15">
      <c r="A52" s="19">
        <f t="shared" si="0"/>
        <v>48</v>
      </c>
      <c r="B52" s="20"/>
      <c r="C52" s="102"/>
      <c r="D52" s="20"/>
      <c r="E52" s="95" t="s">
        <v>62</v>
      </c>
      <c r="F52" s="96" t="s">
        <v>37</v>
      </c>
      <c r="G52" s="119"/>
      <c r="H52" s="21"/>
      <c r="I52" s="22"/>
      <c r="J52" s="22"/>
      <c r="K52" s="23"/>
      <c r="L52" s="21"/>
      <c r="M52" s="24" t="s">
        <v>35</v>
      </c>
      <c r="N52" s="22"/>
      <c r="O52" s="24"/>
      <c r="P52" s="24"/>
      <c r="Q52" s="24"/>
      <c r="R52" s="22"/>
      <c r="S52" s="23"/>
      <c r="T52" s="170">
        <v>45315</v>
      </c>
      <c r="U52" s="25"/>
      <c r="V52" s="26"/>
      <c r="W52" s="27"/>
      <c r="X52" s="28"/>
      <c r="Y52" s="73"/>
    </row>
    <row r="53" spans="1:25" ht="11.4" x14ac:dyDescent="0.15">
      <c r="A53" s="19">
        <f t="shared" si="0"/>
        <v>49</v>
      </c>
      <c r="B53" s="20"/>
      <c r="C53" s="102"/>
      <c r="D53" s="20"/>
      <c r="E53" s="95" t="s">
        <v>63</v>
      </c>
      <c r="F53" s="96" t="s">
        <v>64</v>
      </c>
      <c r="G53" s="119"/>
      <c r="H53" s="21"/>
      <c r="I53" s="22"/>
      <c r="J53" s="22"/>
      <c r="K53" s="23"/>
      <c r="L53" s="21"/>
      <c r="M53" s="24" t="s">
        <v>35</v>
      </c>
      <c r="N53" s="22"/>
      <c r="O53" s="24"/>
      <c r="P53" s="24"/>
      <c r="Q53" s="24"/>
      <c r="R53" s="22"/>
      <c r="S53" s="23"/>
      <c r="T53" s="170">
        <v>45315</v>
      </c>
      <c r="U53" s="25"/>
      <c r="V53" s="26"/>
      <c r="W53" s="27"/>
      <c r="X53" s="28"/>
      <c r="Y53" s="73"/>
    </row>
    <row r="54" spans="1:25" ht="11.4" x14ac:dyDescent="0.15">
      <c r="A54" s="19">
        <f t="shared" si="0"/>
        <v>50</v>
      </c>
      <c r="B54" s="20"/>
      <c r="C54" s="102"/>
      <c r="D54" s="20"/>
      <c r="E54" s="95" t="s">
        <v>65</v>
      </c>
      <c r="F54" s="96" t="s">
        <v>66</v>
      </c>
      <c r="G54" s="119"/>
      <c r="H54" s="21"/>
      <c r="I54" s="22"/>
      <c r="J54" s="22"/>
      <c r="K54" s="23"/>
      <c r="L54" s="21"/>
      <c r="M54" s="24" t="s">
        <v>35</v>
      </c>
      <c r="N54" s="22"/>
      <c r="O54" s="24"/>
      <c r="P54" s="24"/>
      <c r="Q54" s="24"/>
      <c r="R54" s="22"/>
      <c r="S54" s="23"/>
      <c r="T54" s="170">
        <v>45315</v>
      </c>
      <c r="U54" s="25"/>
      <c r="V54" s="26"/>
      <c r="W54" s="27"/>
      <c r="X54" s="28"/>
      <c r="Y54" s="73"/>
    </row>
    <row r="55" spans="1:25" ht="11.4" x14ac:dyDescent="0.15">
      <c r="A55" s="19">
        <f t="shared" si="0"/>
        <v>51</v>
      </c>
      <c r="B55" s="20"/>
      <c r="C55" s="102"/>
      <c r="D55" s="20"/>
      <c r="E55" s="95" t="s">
        <v>129</v>
      </c>
      <c r="F55" s="96" t="s">
        <v>121</v>
      </c>
      <c r="G55" s="121"/>
      <c r="H55" s="21"/>
      <c r="I55" s="22"/>
      <c r="J55" s="22"/>
      <c r="K55" s="23"/>
      <c r="L55" s="21"/>
      <c r="M55" s="24" t="s">
        <v>35</v>
      </c>
      <c r="N55" s="22"/>
      <c r="O55" s="24"/>
      <c r="P55" s="24"/>
      <c r="Q55" s="24"/>
      <c r="R55" s="22"/>
      <c r="S55" s="23"/>
      <c r="T55" s="170">
        <v>45315</v>
      </c>
      <c r="U55" s="25"/>
      <c r="V55" s="26"/>
      <c r="W55" s="27"/>
      <c r="X55" s="28"/>
      <c r="Y55" s="73"/>
    </row>
    <row r="56" spans="1:25" ht="45.6" x14ac:dyDescent="0.15">
      <c r="A56" s="19">
        <f t="shared" si="0"/>
        <v>52</v>
      </c>
      <c r="B56" s="20"/>
      <c r="C56" s="102"/>
      <c r="D56" s="20"/>
      <c r="E56" s="95" t="s">
        <v>63</v>
      </c>
      <c r="F56" s="96" t="s">
        <v>296</v>
      </c>
      <c r="G56" s="125" t="s">
        <v>274</v>
      </c>
      <c r="H56" s="21"/>
      <c r="I56" s="22"/>
      <c r="J56" s="22"/>
      <c r="K56" s="23"/>
      <c r="L56" s="21"/>
      <c r="M56" s="24" t="s">
        <v>35</v>
      </c>
      <c r="N56" s="22"/>
      <c r="O56" s="24"/>
      <c r="P56" s="24"/>
      <c r="Q56" s="24"/>
      <c r="R56" s="22"/>
      <c r="S56" s="23"/>
      <c r="T56" s="170">
        <v>45315</v>
      </c>
      <c r="U56" s="25"/>
      <c r="V56" s="26"/>
      <c r="W56" s="27"/>
      <c r="X56" s="28"/>
      <c r="Y56" s="73"/>
    </row>
    <row r="57" spans="1:25" ht="11.4" x14ac:dyDescent="0.15">
      <c r="A57" s="19">
        <f t="shared" si="0"/>
        <v>53</v>
      </c>
      <c r="B57" s="20"/>
      <c r="C57" s="102"/>
      <c r="D57" s="20"/>
      <c r="E57" s="95" t="s">
        <v>130</v>
      </c>
      <c r="F57" s="96" t="s">
        <v>37</v>
      </c>
      <c r="G57" s="121"/>
      <c r="H57" s="21"/>
      <c r="I57" s="22"/>
      <c r="J57" s="22"/>
      <c r="K57" s="23"/>
      <c r="L57" s="21"/>
      <c r="M57" s="24" t="s">
        <v>35</v>
      </c>
      <c r="N57" s="22"/>
      <c r="O57" s="24"/>
      <c r="P57" s="24"/>
      <c r="Q57" s="24"/>
      <c r="R57" s="22"/>
      <c r="S57" s="23"/>
      <c r="T57" s="170">
        <v>45315</v>
      </c>
      <c r="U57" s="25"/>
      <c r="V57" s="26"/>
      <c r="W57" s="27"/>
      <c r="X57" s="28"/>
      <c r="Y57" s="73"/>
    </row>
    <row r="58" spans="1:25" ht="11.4" x14ac:dyDescent="0.15">
      <c r="A58" s="19">
        <f t="shared" si="0"/>
        <v>54</v>
      </c>
      <c r="B58" s="20"/>
      <c r="C58" s="102"/>
      <c r="D58" s="20"/>
      <c r="E58" s="95" t="s">
        <v>131</v>
      </c>
      <c r="F58" s="96" t="s">
        <v>121</v>
      </c>
      <c r="G58" s="121"/>
      <c r="H58" s="21"/>
      <c r="I58" s="22"/>
      <c r="J58" s="22"/>
      <c r="K58" s="23"/>
      <c r="L58" s="21"/>
      <c r="M58" s="24" t="s">
        <v>35</v>
      </c>
      <c r="N58" s="22"/>
      <c r="O58" s="24"/>
      <c r="P58" s="24"/>
      <c r="Q58" s="24"/>
      <c r="R58" s="22"/>
      <c r="S58" s="23"/>
      <c r="T58" s="170">
        <v>45315</v>
      </c>
      <c r="U58" s="25"/>
      <c r="V58" s="26"/>
      <c r="W58" s="27"/>
      <c r="X58" s="28"/>
      <c r="Y58" s="73"/>
    </row>
    <row r="59" spans="1:25" ht="11.4" x14ac:dyDescent="0.15">
      <c r="A59" s="19">
        <f t="shared" si="0"/>
        <v>55</v>
      </c>
      <c r="B59" s="20"/>
      <c r="C59" s="102"/>
      <c r="D59" s="20"/>
      <c r="E59" s="95" t="s">
        <v>63</v>
      </c>
      <c r="F59" s="96" t="s">
        <v>132</v>
      </c>
      <c r="G59" s="121"/>
      <c r="H59" s="21"/>
      <c r="I59" s="22"/>
      <c r="J59" s="22"/>
      <c r="K59" s="23"/>
      <c r="L59" s="21"/>
      <c r="M59" s="24" t="s">
        <v>35</v>
      </c>
      <c r="N59" s="22"/>
      <c r="O59" s="24"/>
      <c r="P59" s="24"/>
      <c r="Q59" s="24"/>
      <c r="R59" s="22"/>
      <c r="S59" s="23"/>
      <c r="T59" s="170">
        <v>45315</v>
      </c>
      <c r="U59" s="25"/>
      <c r="V59" s="26"/>
      <c r="W59" s="27"/>
      <c r="X59" s="28"/>
      <c r="Y59" s="73"/>
    </row>
    <row r="60" spans="1:25" ht="11.4" x14ac:dyDescent="0.15">
      <c r="A60" s="19">
        <f t="shared" si="0"/>
        <v>56</v>
      </c>
      <c r="B60" s="20"/>
      <c r="C60" s="102"/>
      <c r="D60" s="20"/>
      <c r="E60" s="95" t="s">
        <v>133</v>
      </c>
      <c r="F60" s="96" t="s">
        <v>134</v>
      </c>
      <c r="G60" s="121"/>
      <c r="H60" s="21"/>
      <c r="I60" s="22"/>
      <c r="J60" s="22"/>
      <c r="K60" s="23"/>
      <c r="L60" s="21"/>
      <c r="M60" s="24" t="s">
        <v>35</v>
      </c>
      <c r="N60" s="22"/>
      <c r="O60" s="24"/>
      <c r="P60" s="24"/>
      <c r="Q60" s="24"/>
      <c r="R60" s="22"/>
      <c r="S60" s="23"/>
      <c r="T60" s="170">
        <v>45315</v>
      </c>
      <c r="U60" s="25"/>
      <c r="V60" s="26"/>
      <c r="W60" s="27"/>
      <c r="X60" s="28"/>
      <c r="Y60" s="73"/>
    </row>
    <row r="61" spans="1:25" ht="11.4" x14ac:dyDescent="0.15">
      <c r="A61" s="19">
        <f t="shared" si="0"/>
        <v>57</v>
      </c>
      <c r="B61" s="20"/>
      <c r="C61" s="102"/>
      <c r="D61" s="20"/>
      <c r="E61" s="95" t="s">
        <v>135</v>
      </c>
      <c r="F61" s="96" t="s">
        <v>121</v>
      </c>
      <c r="G61" s="121"/>
      <c r="H61" s="21"/>
      <c r="I61" s="22"/>
      <c r="J61" s="22"/>
      <c r="K61" s="23"/>
      <c r="L61" s="21"/>
      <c r="M61" s="24" t="s">
        <v>35</v>
      </c>
      <c r="N61" s="22"/>
      <c r="O61" s="24"/>
      <c r="P61" s="24"/>
      <c r="Q61" s="24"/>
      <c r="R61" s="22"/>
      <c r="S61" s="23"/>
      <c r="T61" s="170">
        <v>45315</v>
      </c>
      <c r="U61" s="25"/>
      <c r="V61" s="26"/>
      <c r="W61" s="27"/>
      <c r="X61" s="28"/>
      <c r="Y61" s="73"/>
    </row>
    <row r="62" spans="1:25" ht="45.6" x14ac:dyDescent="0.15">
      <c r="A62" s="19">
        <f t="shared" si="0"/>
        <v>58</v>
      </c>
      <c r="B62" s="20"/>
      <c r="C62" s="102"/>
      <c r="D62" s="20"/>
      <c r="E62" s="95" t="s">
        <v>63</v>
      </c>
      <c r="F62" s="96" t="s">
        <v>297</v>
      </c>
      <c r="G62" s="125" t="s">
        <v>274</v>
      </c>
      <c r="H62" s="21"/>
      <c r="I62" s="22"/>
      <c r="J62" s="22"/>
      <c r="K62" s="23"/>
      <c r="L62" s="21"/>
      <c r="M62" s="24" t="s">
        <v>35</v>
      </c>
      <c r="N62" s="22"/>
      <c r="O62" s="24"/>
      <c r="P62" s="24"/>
      <c r="Q62" s="24"/>
      <c r="R62" s="22"/>
      <c r="S62" s="23"/>
      <c r="T62" s="170">
        <v>45315</v>
      </c>
      <c r="U62" s="25"/>
      <c r="V62" s="26"/>
      <c r="W62" s="27"/>
      <c r="X62" s="28"/>
      <c r="Y62" s="73"/>
    </row>
    <row r="63" spans="1:25" ht="11.4" x14ac:dyDescent="0.15">
      <c r="A63" s="19">
        <f t="shared" si="0"/>
        <v>59</v>
      </c>
      <c r="B63" s="20"/>
      <c r="C63" s="20"/>
      <c r="D63" s="20"/>
      <c r="E63" s="95"/>
      <c r="F63" s="96" t="s">
        <v>249</v>
      </c>
      <c r="G63" s="119"/>
      <c r="H63" s="21"/>
      <c r="I63" s="22"/>
      <c r="J63" s="22"/>
      <c r="K63" s="23"/>
      <c r="L63" s="24" t="s">
        <v>35</v>
      </c>
      <c r="M63" s="24"/>
      <c r="N63" s="22"/>
      <c r="O63" s="24"/>
      <c r="P63" s="24"/>
      <c r="Q63" s="24"/>
      <c r="R63" s="99"/>
      <c r="S63" s="23"/>
      <c r="T63" s="170">
        <v>45315</v>
      </c>
      <c r="U63" s="25"/>
      <c r="V63" s="26"/>
      <c r="W63" s="27"/>
      <c r="X63" s="28"/>
      <c r="Y63" s="73"/>
    </row>
    <row r="64" spans="1:25" ht="11.4" x14ac:dyDescent="0.15">
      <c r="A64" s="19">
        <f t="shared" si="0"/>
        <v>60</v>
      </c>
      <c r="B64" s="20"/>
      <c r="C64" s="102" t="s">
        <v>136</v>
      </c>
      <c r="D64" s="20"/>
      <c r="E64" s="95" t="s">
        <v>56</v>
      </c>
      <c r="F64" s="96" t="s">
        <v>37</v>
      </c>
      <c r="G64" s="119"/>
      <c r="H64" s="21"/>
      <c r="I64" s="22"/>
      <c r="J64" s="22"/>
      <c r="K64" s="23"/>
      <c r="L64" s="21"/>
      <c r="M64" s="24" t="s">
        <v>35</v>
      </c>
      <c r="N64" s="22"/>
      <c r="O64" s="24"/>
      <c r="P64" s="24"/>
      <c r="Q64" s="24"/>
      <c r="R64" s="99"/>
      <c r="S64" s="23"/>
      <c r="T64" s="170">
        <v>45315</v>
      </c>
      <c r="U64" s="25"/>
      <c r="V64" s="26"/>
      <c r="W64" s="27"/>
      <c r="X64" s="28"/>
      <c r="Y64" s="73"/>
    </row>
    <row r="65" spans="1:25" ht="11.4" x14ac:dyDescent="0.15">
      <c r="A65" s="19">
        <f t="shared" si="0"/>
        <v>61</v>
      </c>
      <c r="B65" s="20"/>
      <c r="C65" s="102"/>
      <c r="D65" s="20"/>
      <c r="E65" s="95" t="s">
        <v>57</v>
      </c>
      <c r="F65" s="96" t="s">
        <v>37</v>
      </c>
      <c r="G65" s="119"/>
      <c r="H65" s="21"/>
      <c r="I65" s="22"/>
      <c r="J65" s="22"/>
      <c r="K65" s="23"/>
      <c r="L65" s="21"/>
      <c r="M65" s="24" t="s">
        <v>35</v>
      </c>
      <c r="N65" s="22"/>
      <c r="O65" s="24"/>
      <c r="P65" s="24"/>
      <c r="Q65" s="24"/>
      <c r="R65" s="22"/>
      <c r="S65" s="23"/>
      <c r="T65" s="170">
        <v>45315</v>
      </c>
      <c r="U65" s="25"/>
      <c r="V65" s="26"/>
      <c r="W65" s="27"/>
      <c r="X65" s="28"/>
      <c r="Y65" s="73"/>
    </row>
    <row r="66" spans="1:25" ht="11.4" x14ac:dyDescent="0.15">
      <c r="A66" s="19">
        <f t="shared" si="0"/>
        <v>62</v>
      </c>
      <c r="B66" s="20"/>
      <c r="C66" s="20"/>
      <c r="D66" s="20"/>
      <c r="E66" s="95" t="s">
        <v>137</v>
      </c>
      <c r="F66" s="96" t="s">
        <v>138</v>
      </c>
      <c r="G66" s="119"/>
      <c r="H66" s="21"/>
      <c r="I66" s="22"/>
      <c r="J66" s="22"/>
      <c r="K66" s="23"/>
      <c r="L66" s="21"/>
      <c r="M66" s="24" t="s">
        <v>35</v>
      </c>
      <c r="N66" s="22"/>
      <c r="O66" s="24"/>
      <c r="P66" s="24"/>
      <c r="Q66" s="24"/>
      <c r="R66" s="22"/>
      <c r="S66" s="23"/>
      <c r="T66" s="170">
        <v>45315</v>
      </c>
      <c r="U66" s="25"/>
      <c r="V66" s="26"/>
      <c r="W66" s="27"/>
      <c r="X66" s="28"/>
      <c r="Y66" s="73"/>
    </row>
    <row r="67" spans="1:25" ht="11.4" x14ac:dyDescent="0.15">
      <c r="A67" s="19">
        <f t="shared" si="0"/>
        <v>63</v>
      </c>
      <c r="B67" s="20"/>
      <c r="C67" s="20"/>
      <c r="D67" s="20"/>
      <c r="E67" s="95" t="s">
        <v>125</v>
      </c>
      <c r="F67" s="96" t="s">
        <v>139</v>
      </c>
      <c r="G67" s="119"/>
      <c r="H67" s="21"/>
      <c r="I67" s="22"/>
      <c r="J67" s="22"/>
      <c r="K67" s="23"/>
      <c r="L67" s="75"/>
      <c r="M67" s="24" t="s">
        <v>35</v>
      </c>
      <c r="N67" s="22"/>
      <c r="O67" s="24"/>
      <c r="P67" s="24"/>
      <c r="Q67" s="24"/>
      <c r="R67" s="22"/>
      <c r="S67" s="23"/>
      <c r="T67" s="170">
        <v>45315</v>
      </c>
      <c r="U67" s="25"/>
      <c r="V67" s="26"/>
      <c r="W67" s="27"/>
      <c r="X67" s="28"/>
      <c r="Y67" s="29"/>
    </row>
    <row r="68" spans="1:25" ht="11.4" x14ac:dyDescent="0.15">
      <c r="A68" s="19">
        <f t="shared" si="0"/>
        <v>64</v>
      </c>
      <c r="B68" s="20"/>
      <c r="C68" s="20"/>
      <c r="D68" s="20"/>
      <c r="E68" s="95" t="s">
        <v>140</v>
      </c>
      <c r="F68" s="96" t="s">
        <v>121</v>
      </c>
      <c r="G68" s="119"/>
      <c r="H68" s="21"/>
      <c r="I68" s="22"/>
      <c r="J68" s="22"/>
      <c r="K68" s="23"/>
      <c r="L68" s="75"/>
      <c r="M68" s="24" t="s">
        <v>35</v>
      </c>
      <c r="N68" s="22"/>
      <c r="O68" s="24"/>
      <c r="P68" s="24"/>
      <c r="Q68" s="24"/>
      <c r="R68" s="22"/>
      <c r="S68" s="23"/>
      <c r="T68" s="170">
        <v>45315</v>
      </c>
      <c r="U68" s="25"/>
      <c r="V68" s="26"/>
      <c r="W68" s="27"/>
      <c r="X68" s="28"/>
      <c r="Y68" s="29"/>
    </row>
    <row r="69" spans="1:25" ht="11.4" x14ac:dyDescent="0.15">
      <c r="A69" s="19">
        <f t="shared" si="0"/>
        <v>65</v>
      </c>
      <c r="B69" s="20"/>
      <c r="C69" s="20"/>
      <c r="D69" s="20"/>
      <c r="E69" s="95" t="s">
        <v>126</v>
      </c>
      <c r="F69" s="96" t="s">
        <v>37</v>
      </c>
      <c r="G69" s="119"/>
      <c r="H69" s="21"/>
      <c r="I69" s="22"/>
      <c r="J69" s="22"/>
      <c r="K69" s="23"/>
      <c r="L69" s="75"/>
      <c r="M69" s="24" t="s">
        <v>35</v>
      </c>
      <c r="N69" s="22"/>
      <c r="O69" s="24"/>
      <c r="P69" s="24"/>
      <c r="Q69" s="24"/>
      <c r="R69" s="22"/>
      <c r="S69" s="23"/>
      <c r="T69" s="170">
        <v>45315</v>
      </c>
      <c r="U69" s="25"/>
      <c r="V69" s="26"/>
      <c r="W69" s="27"/>
      <c r="X69" s="28"/>
      <c r="Y69" s="29"/>
    </row>
    <row r="70" spans="1:25" ht="45.6" x14ac:dyDescent="0.15">
      <c r="A70" s="19">
        <f t="shared" ref="A70:A133" si="1">ROW()-4</f>
        <v>66</v>
      </c>
      <c r="B70" s="20"/>
      <c r="C70" s="20"/>
      <c r="D70" s="20"/>
      <c r="E70" s="95" t="s">
        <v>124</v>
      </c>
      <c r="F70" s="96" t="s">
        <v>298</v>
      </c>
      <c r="G70" s="125" t="s">
        <v>274</v>
      </c>
      <c r="H70" s="21"/>
      <c r="I70" s="22"/>
      <c r="J70" s="22"/>
      <c r="K70" s="23"/>
      <c r="L70" s="75"/>
      <c r="M70" s="24" t="s">
        <v>35</v>
      </c>
      <c r="N70" s="22"/>
      <c r="O70" s="24"/>
      <c r="P70" s="24"/>
      <c r="Q70" s="24"/>
      <c r="R70" s="22"/>
      <c r="S70" s="23"/>
      <c r="T70" s="170">
        <v>45315</v>
      </c>
      <c r="U70" s="25"/>
      <c r="V70" s="26"/>
      <c r="W70" s="27"/>
      <c r="X70" s="28"/>
      <c r="Y70" s="29"/>
    </row>
    <row r="71" spans="1:25" ht="11.4" x14ac:dyDescent="0.15">
      <c r="A71" s="19">
        <f t="shared" si="1"/>
        <v>67</v>
      </c>
      <c r="B71" s="20"/>
      <c r="C71" s="20"/>
      <c r="D71" s="20"/>
      <c r="E71" s="95"/>
      <c r="F71" s="96" t="s">
        <v>249</v>
      </c>
      <c r="G71" s="119"/>
      <c r="H71" s="21"/>
      <c r="I71" s="22"/>
      <c r="J71" s="22"/>
      <c r="K71" s="23"/>
      <c r="L71" s="24" t="s">
        <v>35</v>
      </c>
      <c r="M71" s="24"/>
      <c r="N71" s="22"/>
      <c r="O71" s="24"/>
      <c r="P71" s="24"/>
      <c r="Q71" s="24"/>
      <c r="R71" s="99"/>
      <c r="S71" s="23"/>
      <c r="T71" s="170">
        <v>45315</v>
      </c>
      <c r="U71" s="25"/>
      <c r="V71" s="26"/>
      <c r="W71" s="27"/>
      <c r="X71" s="28"/>
      <c r="Y71" s="73"/>
    </row>
    <row r="72" spans="1:25" ht="11.4" x14ac:dyDescent="0.15">
      <c r="A72" s="19">
        <f t="shared" si="1"/>
        <v>68</v>
      </c>
      <c r="B72" s="20"/>
      <c r="C72" s="20" t="s">
        <v>210</v>
      </c>
      <c r="D72" s="20"/>
      <c r="E72" s="95" t="s">
        <v>56</v>
      </c>
      <c r="F72" s="96" t="s">
        <v>37</v>
      </c>
      <c r="G72" s="119"/>
      <c r="H72" s="21"/>
      <c r="I72" s="22"/>
      <c r="J72" s="22"/>
      <c r="K72" s="23"/>
      <c r="L72" s="75"/>
      <c r="M72" s="24" t="s">
        <v>35</v>
      </c>
      <c r="N72" s="22"/>
      <c r="O72" s="24"/>
      <c r="P72" s="24"/>
      <c r="Q72" s="24"/>
      <c r="R72" s="22"/>
      <c r="S72" s="23"/>
      <c r="T72" s="170">
        <v>45315</v>
      </c>
      <c r="U72" s="25"/>
      <c r="V72" s="26"/>
      <c r="W72" s="27"/>
      <c r="X72" s="28"/>
      <c r="Y72" s="29"/>
    </row>
    <row r="73" spans="1:25" ht="11.4" x14ac:dyDescent="0.15">
      <c r="A73" s="19">
        <f t="shared" si="1"/>
        <v>69</v>
      </c>
      <c r="B73" s="20"/>
      <c r="C73" s="20"/>
      <c r="D73" s="20"/>
      <c r="E73" s="95" t="s">
        <v>122</v>
      </c>
      <c r="F73" s="96" t="s">
        <v>37</v>
      </c>
      <c r="G73" s="119"/>
      <c r="H73" s="21"/>
      <c r="I73" s="22"/>
      <c r="J73" s="22"/>
      <c r="K73" s="23"/>
      <c r="L73" s="75"/>
      <c r="M73" s="24" t="s">
        <v>35</v>
      </c>
      <c r="N73" s="22"/>
      <c r="O73" s="24"/>
      <c r="P73" s="24"/>
      <c r="Q73" s="24"/>
      <c r="R73" s="22"/>
      <c r="S73" s="23"/>
      <c r="T73" s="170">
        <v>45315</v>
      </c>
      <c r="U73" s="25"/>
      <c r="V73" s="26"/>
      <c r="W73" s="27"/>
      <c r="X73" s="28"/>
      <c r="Y73" s="29"/>
    </row>
    <row r="74" spans="1:25" ht="11.4" x14ac:dyDescent="0.15">
      <c r="A74" s="19">
        <f t="shared" si="1"/>
        <v>70</v>
      </c>
      <c r="B74" s="20"/>
      <c r="C74" s="20"/>
      <c r="D74" s="20"/>
      <c r="E74" s="95" t="s">
        <v>211</v>
      </c>
      <c r="F74" s="96" t="s">
        <v>212</v>
      </c>
      <c r="G74" s="119"/>
      <c r="H74" s="21"/>
      <c r="I74" s="22"/>
      <c r="J74" s="22"/>
      <c r="K74" s="23"/>
      <c r="L74" s="75"/>
      <c r="M74" s="24" t="s">
        <v>35</v>
      </c>
      <c r="N74" s="22"/>
      <c r="O74" s="24"/>
      <c r="P74" s="24"/>
      <c r="Q74" s="24"/>
      <c r="R74" s="22"/>
      <c r="S74" s="23"/>
      <c r="T74" s="170">
        <v>45315</v>
      </c>
      <c r="U74" s="25"/>
      <c r="V74" s="26"/>
      <c r="W74" s="27"/>
      <c r="X74" s="28"/>
      <c r="Y74" s="29"/>
    </row>
    <row r="75" spans="1:25" ht="11.4" x14ac:dyDescent="0.15">
      <c r="A75" s="19">
        <f t="shared" si="1"/>
        <v>71</v>
      </c>
      <c r="B75" s="20"/>
      <c r="C75" s="20"/>
      <c r="D75" s="20"/>
      <c r="E75" s="95" t="s">
        <v>213</v>
      </c>
      <c r="F75" s="96" t="s">
        <v>214</v>
      </c>
      <c r="G75" s="119"/>
      <c r="H75" s="21"/>
      <c r="I75" s="22"/>
      <c r="J75" s="22"/>
      <c r="K75" s="23"/>
      <c r="L75" s="75"/>
      <c r="M75" s="24" t="s">
        <v>35</v>
      </c>
      <c r="N75" s="22"/>
      <c r="O75" s="24"/>
      <c r="P75" s="24"/>
      <c r="Q75" s="24"/>
      <c r="R75" s="22"/>
      <c r="S75" s="23"/>
      <c r="T75" s="170">
        <v>45315</v>
      </c>
      <c r="U75" s="25"/>
      <c r="V75" s="26"/>
      <c r="W75" s="27"/>
      <c r="X75" s="28"/>
      <c r="Y75" s="29"/>
    </row>
    <row r="76" spans="1:25" ht="11.4" x14ac:dyDescent="0.15">
      <c r="A76" s="19">
        <f t="shared" si="1"/>
        <v>72</v>
      </c>
      <c r="B76" s="20"/>
      <c r="C76" s="20"/>
      <c r="D76" s="20"/>
      <c r="E76" s="95"/>
      <c r="F76" s="96" t="s">
        <v>249</v>
      </c>
      <c r="G76" s="119"/>
      <c r="H76" s="21"/>
      <c r="I76" s="22"/>
      <c r="J76" s="22"/>
      <c r="K76" s="23"/>
      <c r="L76" s="24" t="s">
        <v>35</v>
      </c>
      <c r="M76" s="24"/>
      <c r="N76" s="22"/>
      <c r="O76" s="24"/>
      <c r="P76" s="24"/>
      <c r="Q76" s="24"/>
      <c r="R76" s="99"/>
      <c r="S76" s="23"/>
      <c r="T76" s="170">
        <v>45315</v>
      </c>
      <c r="U76" s="25"/>
      <c r="V76" s="26"/>
      <c r="W76" s="27"/>
      <c r="X76" s="28"/>
      <c r="Y76" s="73"/>
    </row>
    <row r="77" spans="1:25" ht="11.4" x14ac:dyDescent="0.15">
      <c r="A77" s="19">
        <f t="shared" si="1"/>
        <v>73</v>
      </c>
      <c r="B77" s="20"/>
      <c r="C77" s="20" t="s">
        <v>215</v>
      </c>
      <c r="D77" s="20"/>
      <c r="E77" s="95" t="s">
        <v>56</v>
      </c>
      <c r="F77" s="96" t="s">
        <v>37</v>
      </c>
      <c r="G77" s="119"/>
      <c r="H77" s="21"/>
      <c r="I77" s="22"/>
      <c r="J77" s="22"/>
      <c r="K77" s="23"/>
      <c r="L77" s="75"/>
      <c r="M77" s="24" t="s">
        <v>35</v>
      </c>
      <c r="N77" s="22"/>
      <c r="O77" s="24"/>
      <c r="P77" s="24"/>
      <c r="Q77" s="24"/>
      <c r="R77" s="22"/>
      <c r="S77" s="23"/>
      <c r="T77" s="170">
        <v>45315</v>
      </c>
      <c r="U77" s="25"/>
      <c r="V77" s="26"/>
      <c r="W77" s="27"/>
      <c r="X77" s="28"/>
      <c r="Y77" s="29"/>
    </row>
    <row r="78" spans="1:25" ht="11.4" x14ac:dyDescent="0.15">
      <c r="A78" s="19">
        <f t="shared" si="1"/>
        <v>74</v>
      </c>
      <c r="B78" s="20"/>
      <c r="C78" s="20"/>
      <c r="D78" s="20"/>
      <c r="E78" s="95" t="s">
        <v>217</v>
      </c>
      <c r="F78" s="96" t="s">
        <v>37</v>
      </c>
      <c r="G78" s="119"/>
      <c r="H78" s="21"/>
      <c r="I78" s="22"/>
      <c r="J78" s="22"/>
      <c r="K78" s="23"/>
      <c r="L78" s="75"/>
      <c r="M78" s="24" t="s">
        <v>35</v>
      </c>
      <c r="N78" s="22"/>
      <c r="O78" s="24"/>
      <c r="P78" s="24"/>
      <c r="Q78" s="24"/>
      <c r="R78" s="22"/>
      <c r="S78" s="23"/>
      <c r="T78" s="170">
        <v>45315</v>
      </c>
      <c r="U78" s="25"/>
      <c r="V78" s="26"/>
      <c r="W78" s="27"/>
      <c r="X78" s="28"/>
      <c r="Y78" s="29"/>
    </row>
    <row r="79" spans="1:25" ht="11.4" x14ac:dyDescent="0.15">
      <c r="A79" s="19">
        <f t="shared" si="1"/>
        <v>75</v>
      </c>
      <c r="B79" s="20"/>
      <c r="C79" s="20"/>
      <c r="D79" s="20"/>
      <c r="E79" s="95" t="s">
        <v>216</v>
      </c>
      <c r="F79" s="96" t="s">
        <v>218</v>
      </c>
      <c r="G79" s="119"/>
      <c r="H79" s="21"/>
      <c r="I79" s="22"/>
      <c r="J79" s="22"/>
      <c r="K79" s="23"/>
      <c r="L79" s="75"/>
      <c r="M79" s="24" t="s">
        <v>35</v>
      </c>
      <c r="N79" s="22"/>
      <c r="O79" s="24"/>
      <c r="P79" s="24"/>
      <c r="Q79" s="24"/>
      <c r="R79" s="22"/>
      <c r="S79" s="23"/>
      <c r="T79" s="170">
        <v>45315</v>
      </c>
      <c r="U79" s="25"/>
      <c r="V79" s="26"/>
      <c r="W79" s="27"/>
      <c r="X79" s="28"/>
      <c r="Y79" s="29"/>
    </row>
    <row r="80" spans="1:25" ht="11.4" x14ac:dyDescent="0.15">
      <c r="A80" s="19">
        <f t="shared" si="1"/>
        <v>76</v>
      </c>
      <c r="B80" s="20"/>
      <c r="C80" s="20"/>
      <c r="D80" s="20"/>
      <c r="E80" s="95"/>
      <c r="F80" s="96" t="s">
        <v>249</v>
      </c>
      <c r="G80" s="119"/>
      <c r="H80" s="21"/>
      <c r="I80" s="22"/>
      <c r="J80" s="22"/>
      <c r="K80" s="23"/>
      <c r="L80" s="24" t="s">
        <v>35</v>
      </c>
      <c r="M80" s="24"/>
      <c r="N80" s="22"/>
      <c r="O80" s="24"/>
      <c r="P80" s="24"/>
      <c r="Q80" s="24"/>
      <c r="R80" s="99"/>
      <c r="S80" s="23"/>
      <c r="T80" s="170">
        <v>45315</v>
      </c>
      <c r="U80" s="25"/>
      <c r="V80" s="26"/>
      <c r="W80" s="27"/>
      <c r="X80" s="28"/>
      <c r="Y80" s="73"/>
    </row>
    <row r="81" spans="1:25" ht="22.8" x14ac:dyDescent="0.15">
      <c r="A81" s="19">
        <f t="shared" si="1"/>
        <v>77</v>
      </c>
      <c r="B81" s="20" t="s">
        <v>221</v>
      </c>
      <c r="C81" s="20"/>
      <c r="D81" s="20"/>
      <c r="E81" s="30" t="s">
        <v>250</v>
      </c>
      <c r="F81" s="96" t="s">
        <v>141</v>
      </c>
      <c r="G81" s="119"/>
      <c r="H81" s="21"/>
      <c r="I81" s="22"/>
      <c r="J81" s="22"/>
      <c r="K81" s="23"/>
      <c r="L81" s="75"/>
      <c r="M81" s="24" t="s">
        <v>35</v>
      </c>
      <c r="N81" s="22"/>
      <c r="O81" s="24"/>
      <c r="P81" s="24"/>
      <c r="Q81" s="24"/>
      <c r="R81" s="22"/>
      <c r="S81" s="23"/>
      <c r="T81" s="170">
        <v>45315</v>
      </c>
      <c r="U81" s="25"/>
      <c r="V81" s="26"/>
      <c r="W81" s="27"/>
      <c r="X81" s="28"/>
      <c r="Y81" s="29"/>
    </row>
    <row r="82" spans="1:25" ht="11.4" x14ac:dyDescent="0.15">
      <c r="A82" s="19">
        <f t="shared" si="1"/>
        <v>78</v>
      </c>
      <c r="B82" s="20"/>
      <c r="C82" s="20" t="s">
        <v>178</v>
      </c>
      <c r="D82" s="20"/>
      <c r="E82" s="30" t="s">
        <v>300</v>
      </c>
      <c r="F82" s="96" t="s">
        <v>303</v>
      </c>
      <c r="G82" s="119"/>
      <c r="H82" s="21"/>
      <c r="I82" s="22"/>
      <c r="J82" s="22"/>
      <c r="K82" s="23"/>
      <c r="L82" s="21"/>
      <c r="M82" s="24" t="s">
        <v>35</v>
      </c>
      <c r="N82" s="22"/>
      <c r="O82" s="24"/>
      <c r="P82" s="24"/>
      <c r="Q82" s="24"/>
      <c r="R82" s="22"/>
      <c r="S82" s="23"/>
      <c r="T82" s="170">
        <v>45315</v>
      </c>
      <c r="U82" s="25"/>
      <c r="V82" s="26"/>
      <c r="W82" s="27"/>
      <c r="X82" s="28"/>
      <c r="Y82" s="94" t="s">
        <v>251</v>
      </c>
    </row>
    <row r="83" spans="1:25" ht="11.4" x14ac:dyDescent="0.15">
      <c r="A83" s="19">
        <f t="shared" si="1"/>
        <v>79</v>
      </c>
      <c r="B83" s="20"/>
      <c r="C83" s="20" t="s">
        <v>179</v>
      </c>
      <c r="D83" s="20"/>
      <c r="E83" s="30"/>
      <c r="F83" s="96" t="s">
        <v>304</v>
      </c>
      <c r="G83" s="119"/>
      <c r="H83" s="21"/>
      <c r="I83" s="22"/>
      <c r="J83" s="22"/>
      <c r="K83" s="23"/>
      <c r="L83" s="21"/>
      <c r="M83" s="24" t="s">
        <v>35</v>
      </c>
      <c r="N83" s="22"/>
      <c r="O83" s="24"/>
      <c r="P83" s="24"/>
      <c r="Q83" s="24"/>
      <c r="R83" s="22"/>
      <c r="S83" s="23"/>
      <c r="T83" s="170">
        <v>45315</v>
      </c>
      <c r="U83" s="25"/>
      <c r="V83" s="26"/>
      <c r="W83" s="27"/>
      <c r="X83" s="28"/>
      <c r="Y83" s="94" t="s">
        <v>252</v>
      </c>
    </row>
    <row r="84" spans="1:25" ht="11.4" x14ac:dyDescent="0.15">
      <c r="A84" s="19">
        <f t="shared" si="1"/>
        <v>80</v>
      </c>
      <c r="B84" s="20"/>
      <c r="C84" s="20" t="s">
        <v>180</v>
      </c>
      <c r="D84" s="20"/>
      <c r="E84" s="30"/>
      <c r="F84" s="96" t="s">
        <v>305</v>
      </c>
      <c r="G84" s="119"/>
      <c r="H84" s="21"/>
      <c r="I84" s="22"/>
      <c r="J84" s="22"/>
      <c r="K84" s="23"/>
      <c r="L84" s="21"/>
      <c r="M84" s="24" t="s">
        <v>35</v>
      </c>
      <c r="N84" s="22"/>
      <c r="O84" s="24"/>
      <c r="P84" s="24"/>
      <c r="Q84" s="24"/>
      <c r="R84" s="22"/>
      <c r="S84" s="23"/>
      <c r="T84" s="170">
        <v>45315</v>
      </c>
      <c r="U84" s="25"/>
      <c r="V84" s="26"/>
      <c r="W84" s="27"/>
      <c r="X84" s="28"/>
      <c r="Y84" s="94" t="s">
        <v>254</v>
      </c>
    </row>
    <row r="85" spans="1:25" ht="22.8" x14ac:dyDescent="0.15">
      <c r="A85" s="19">
        <f t="shared" si="1"/>
        <v>81</v>
      </c>
      <c r="B85" s="20"/>
      <c r="C85" s="20" t="s">
        <v>301</v>
      </c>
      <c r="D85" s="20"/>
      <c r="E85" s="30"/>
      <c r="F85" s="96" t="s">
        <v>306</v>
      </c>
      <c r="G85" s="119"/>
      <c r="H85" s="21"/>
      <c r="I85" s="22"/>
      <c r="J85" s="22"/>
      <c r="K85" s="23"/>
      <c r="L85" s="21"/>
      <c r="M85" s="24" t="s">
        <v>35</v>
      </c>
      <c r="N85" s="22"/>
      <c r="O85" s="24"/>
      <c r="P85" s="24"/>
      <c r="Q85" s="24"/>
      <c r="R85" s="22"/>
      <c r="S85" s="23"/>
      <c r="T85" s="170">
        <v>45315</v>
      </c>
      <c r="U85" s="25"/>
      <c r="V85" s="26"/>
      <c r="W85" s="27"/>
      <c r="X85" s="28"/>
      <c r="Y85" s="94" t="s">
        <v>302</v>
      </c>
    </row>
    <row r="86" spans="1:25" ht="22.8" x14ac:dyDescent="0.15">
      <c r="A86" s="19">
        <f t="shared" si="1"/>
        <v>82</v>
      </c>
      <c r="B86" s="20" t="s">
        <v>142</v>
      </c>
      <c r="C86" s="20"/>
      <c r="D86" s="20"/>
      <c r="E86" s="30" t="s">
        <v>143</v>
      </c>
      <c r="F86" s="70" t="s">
        <v>144</v>
      </c>
      <c r="G86" s="119"/>
      <c r="H86" s="21"/>
      <c r="I86" s="22"/>
      <c r="J86" s="22"/>
      <c r="K86" s="23"/>
      <c r="L86" s="21"/>
      <c r="M86" s="24" t="s">
        <v>35</v>
      </c>
      <c r="N86" s="22"/>
      <c r="O86" s="24"/>
      <c r="P86" s="24"/>
      <c r="Q86" s="24"/>
      <c r="R86" s="22"/>
      <c r="S86" s="23"/>
      <c r="T86" s="170">
        <v>45315</v>
      </c>
      <c r="U86" s="25"/>
      <c r="V86" s="26"/>
      <c r="W86" s="27"/>
      <c r="X86" s="28"/>
      <c r="Y86" s="29" t="s">
        <v>145</v>
      </c>
    </row>
    <row r="87" spans="1:25" ht="11.4" x14ac:dyDescent="0.15">
      <c r="A87" s="19">
        <f t="shared" si="1"/>
        <v>83</v>
      </c>
      <c r="B87" s="20"/>
      <c r="C87" s="20"/>
      <c r="D87" s="30"/>
      <c r="E87" s="30" t="s">
        <v>146</v>
      </c>
      <c r="F87" s="70" t="s">
        <v>147</v>
      </c>
      <c r="G87" s="119"/>
      <c r="H87" s="21"/>
      <c r="I87" s="22"/>
      <c r="J87" s="22"/>
      <c r="K87" s="23"/>
      <c r="L87" s="21"/>
      <c r="M87" s="24" t="s">
        <v>35</v>
      </c>
      <c r="N87" s="22"/>
      <c r="O87" s="24"/>
      <c r="P87" s="24"/>
      <c r="Q87" s="24"/>
      <c r="R87" s="22"/>
      <c r="S87" s="23"/>
      <c r="T87" s="170">
        <v>45315</v>
      </c>
      <c r="U87" s="25"/>
      <c r="V87" s="26"/>
      <c r="W87" s="27"/>
      <c r="X87" s="28"/>
      <c r="Y87" s="29"/>
    </row>
    <row r="88" spans="1:25" ht="11.4" x14ac:dyDescent="0.15">
      <c r="A88" s="19">
        <f t="shared" si="1"/>
        <v>84</v>
      </c>
      <c r="B88" s="20"/>
      <c r="C88" s="20"/>
      <c r="D88" s="30"/>
      <c r="E88" s="30" t="s">
        <v>148</v>
      </c>
      <c r="F88" s="70" t="s">
        <v>149</v>
      </c>
      <c r="G88" s="119"/>
      <c r="H88" s="21"/>
      <c r="I88" s="22"/>
      <c r="J88" s="22"/>
      <c r="K88" s="23"/>
      <c r="L88" s="21"/>
      <c r="M88" s="24" t="s">
        <v>35</v>
      </c>
      <c r="N88" s="22"/>
      <c r="O88" s="24"/>
      <c r="P88" s="24"/>
      <c r="Q88" s="24"/>
      <c r="R88" s="22"/>
      <c r="S88" s="23"/>
      <c r="T88" s="170">
        <v>45315</v>
      </c>
      <c r="U88" s="25"/>
      <c r="V88" s="26"/>
      <c r="W88" s="27"/>
      <c r="X88" s="28"/>
      <c r="Y88" s="29"/>
    </row>
    <row r="89" spans="1:25" ht="11.4" x14ac:dyDescent="0.15">
      <c r="A89" s="19">
        <f t="shared" si="1"/>
        <v>85</v>
      </c>
      <c r="B89" s="20" t="s">
        <v>150</v>
      </c>
      <c r="C89" s="20" t="s">
        <v>174</v>
      </c>
      <c r="D89" s="20"/>
      <c r="E89" s="95" t="s">
        <v>56</v>
      </c>
      <c r="F89" s="96" t="s">
        <v>37</v>
      </c>
      <c r="G89" s="119"/>
      <c r="H89" s="21"/>
      <c r="I89" s="22"/>
      <c r="J89" s="22"/>
      <c r="K89" s="23"/>
      <c r="L89" s="21"/>
      <c r="M89" s="24" t="s">
        <v>35</v>
      </c>
      <c r="N89" s="22"/>
      <c r="O89" s="24"/>
      <c r="P89" s="24"/>
      <c r="Q89" s="24"/>
      <c r="R89" s="99"/>
      <c r="S89" s="23"/>
      <c r="T89" s="170">
        <v>45315</v>
      </c>
      <c r="U89" s="25"/>
      <c r="V89" s="26"/>
      <c r="W89" s="27"/>
      <c r="X89" s="28"/>
      <c r="Y89" s="94"/>
    </row>
    <row r="90" spans="1:25" ht="11.4" x14ac:dyDescent="0.15">
      <c r="A90" s="19">
        <f t="shared" si="1"/>
        <v>86</v>
      </c>
      <c r="B90" s="20"/>
      <c r="C90" s="20"/>
      <c r="D90" s="20"/>
      <c r="E90" s="95" t="s">
        <v>85</v>
      </c>
      <c r="F90" s="96" t="s">
        <v>37</v>
      </c>
      <c r="G90" s="119"/>
      <c r="H90" s="21"/>
      <c r="I90" s="22"/>
      <c r="J90" s="22"/>
      <c r="K90" s="23"/>
      <c r="L90" s="21"/>
      <c r="M90" s="24" t="s">
        <v>35</v>
      </c>
      <c r="N90" s="22"/>
      <c r="O90" s="24"/>
      <c r="P90" s="24"/>
      <c r="Q90" s="24"/>
      <c r="R90" s="99"/>
      <c r="S90" s="23"/>
      <c r="T90" s="170">
        <v>45315</v>
      </c>
      <c r="U90" s="25"/>
      <c r="V90" s="26"/>
      <c r="W90" s="27"/>
      <c r="X90" s="28"/>
      <c r="Y90" s="94"/>
    </row>
    <row r="91" spans="1:25" ht="11.4" x14ac:dyDescent="0.15">
      <c r="A91" s="19">
        <f t="shared" si="1"/>
        <v>87</v>
      </c>
      <c r="B91" s="20"/>
      <c r="C91" s="20"/>
      <c r="D91" s="20"/>
      <c r="E91" s="95" t="s">
        <v>86</v>
      </c>
      <c r="F91" s="96" t="s">
        <v>37</v>
      </c>
      <c r="G91" s="119"/>
      <c r="H91" s="21"/>
      <c r="I91" s="22"/>
      <c r="J91" s="22"/>
      <c r="K91" s="23"/>
      <c r="L91" s="21"/>
      <c r="M91" s="24" t="s">
        <v>35</v>
      </c>
      <c r="N91" s="22"/>
      <c r="O91" s="24"/>
      <c r="P91" s="24"/>
      <c r="Q91" s="24"/>
      <c r="R91" s="99"/>
      <c r="S91" s="23"/>
      <c r="T91" s="170">
        <v>45315</v>
      </c>
      <c r="U91" s="25"/>
      <c r="V91" s="26"/>
      <c r="W91" s="27"/>
      <c r="X91" s="28"/>
      <c r="Y91" s="94"/>
    </row>
    <row r="92" spans="1:25" ht="11.4" x14ac:dyDescent="0.15">
      <c r="A92" s="19">
        <f t="shared" si="1"/>
        <v>88</v>
      </c>
      <c r="B92" s="20"/>
      <c r="C92" s="20"/>
      <c r="D92" s="20"/>
      <c r="E92" s="95" t="s">
        <v>87</v>
      </c>
      <c r="F92" s="96" t="s">
        <v>88</v>
      </c>
      <c r="G92" s="119"/>
      <c r="H92" s="21"/>
      <c r="I92" s="22"/>
      <c r="J92" s="22"/>
      <c r="K92" s="23"/>
      <c r="L92" s="21"/>
      <c r="M92" s="24" t="s">
        <v>35</v>
      </c>
      <c r="N92" s="22"/>
      <c r="O92" s="24"/>
      <c r="P92" s="24"/>
      <c r="Q92" s="24"/>
      <c r="R92" s="99"/>
      <c r="S92" s="23"/>
      <c r="T92" s="170">
        <v>45315</v>
      </c>
      <c r="U92" s="25"/>
      <c r="V92" s="26"/>
      <c r="W92" s="27"/>
      <c r="X92" s="28"/>
      <c r="Y92" s="94"/>
    </row>
    <row r="93" spans="1:25" ht="22.8" x14ac:dyDescent="0.15">
      <c r="A93" s="19">
        <f t="shared" si="1"/>
        <v>89</v>
      </c>
      <c r="B93" s="20"/>
      <c r="C93" s="20"/>
      <c r="D93" s="20"/>
      <c r="E93" s="95" t="s">
        <v>89</v>
      </c>
      <c r="F93" s="96" t="s">
        <v>151</v>
      </c>
      <c r="G93" s="119"/>
      <c r="H93" s="21"/>
      <c r="I93" s="22"/>
      <c r="J93" s="22"/>
      <c r="K93" s="23"/>
      <c r="L93" s="21"/>
      <c r="M93" s="24" t="s">
        <v>35</v>
      </c>
      <c r="N93" s="22"/>
      <c r="O93" s="24"/>
      <c r="P93" s="24"/>
      <c r="Q93" s="24"/>
      <c r="R93" s="99"/>
      <c r="S93" s="23"/>
      <c r="T93" s="170">
        <v>45315</v>
      </c>
      <c r="U93" s="25"/>
      <c r="V93" s="26"/>
      <c r="W93" s="27"/>
      <c r="X93" s="28"/>
      <c r="Y93" s="94"/>
    </row>
    <row r="94" spans="1:25" ht="11.4" x14ac:dyDescent="0.15">
      <c r="A94" s="19">
        <f t="shared" si="1"/>
        <v>90</v>
      </c>
      <c r="B94" s="20"/>
      <c r="C94" s="20" t="s">
        <v>182</v>
      </c>
      <c r="D94" s="20"/>
      <c r="E94" s="95" t="s">
        <v>56</v>
      </c>
      <c r="F94" s="96" t="s">
        <v>37</v>
      </c>
      <c r="G94" s="119"/>
      <c r="H94" s="21"/>
      <c r="I94" s="22"/>
      <c r="J94" s="22"/>
      <c r="K94" s="23"/>
      <c r="L94" s="21"/>
      <c r="M94" s="24" t="s">
        <v>35</v>
      </c>
      <c r="N94" s="22"/>
      <c r="O94" s="24"/>
      <c r="P94" s="24"/>
      <c r="Q94" s="24"/>
      <c r="R94" s="99"/>
      <c r="S94" s="23"/>
      <c r="T94" s="170">
        <v>45315</v>
      </c>
      <c r="U94" s="25"/>
      <c r="V94" s="26"/>
      <c r="W94" s="27"/>
      <c r="X94" s="28"/>
      <c r="Y94" s="94"/>
    </row>
    <row r="95" spans="1:25" ht="11.4" x14ac:dyDescent="0.15">
      <c r="A95" s="19">
        <f t="shared" si="1"/>
        <v>91</v>
      </c>
      <c r="B95" s="20"/>
      <c r="C95" s="20"/>
      <c r="D95" s="20"/>
      <c r="E95" s="95" t="s">
        <v>85</v>
      </c>
      <c r="F95" s="96" t="s">
        <v>37</v>
      </c>
      <c r="G95" s="119"/>
      <c r="H95" s="21"/>
      <c r="I95" s="22"/>
      <c r="J95" s="22"/>
      <c r="K95" s="23"/>
      <c r="L95" s="21"/>
      <c r="M95" s="24" t="s">
        <v>35</v>
      </c>
      <c r="N95" s="22"/>
      <c r="O95" s="24"/>
      <c r="P95" s="24"/>
      <c r="Q95" s="24"/>
      <c r="R95" s="99"/>
      <c r="S95" s="23"/>
      <c r="T95" s="170">
        <v>45315</v>
      </c>
      <c r="U95" s="25"/>
      <c r="V95" s="26"/>
      <c r="W95" s="27"/>
      <c r="X95" s="28"/>
      <c r="Y95" s="94"/>
    </row>
    <row r="96" spans="1:25" ht="11.4" x14ac:dyDescent="0.15">
      <c r="A96" s="19">
        <f t="shared" si="1"/>
        <v>92</v>
      </c>
      <c r="B96" s="20"/>
      <c r="C96" s="20"/>
      <c r="D96" s="20"/>
      <c r="E96" s="95" t="s">
        <v>90</v>
      </c>
      <c r="F96" s="96" t="s">
        <v>37</v>
      </c>
      <c r="G96" s="119"/>
      <c r="H96" s="21"/>
      <c r="I96" s="22"/>
      <c r="J96" s="22"/>
      <c r="K96" s="23"/>
      <c r="L96" s="21"/>
      <c r="M96" s="24" t="s">
        <v>35</v>
      </c>
      <c r="N96" s="22"/>
      <c r="O96" s="24"/>
      <c r="P96" s="24"/>
      <c r="Q96" s="24"/>
      <c r="R96" s="99"/>
      <c r="S96" s="23"/>
      <c r="T96" s="170">
        <v>45315</v>
      </c>
      <c r="U96" s="25"/>
      <c r="V96" s="26"/>
      <c r="W96" s="27"/>
      <c r="X96" s="28"/>
      <c r="Y96" s="94"/>
    </row>
    <row r="97" spans="1:25" ht="11.4" x14ac:dyDescent="0.15">
      <c r="A97" s="19">
        <f t="shared" si="1"/>
        <v>93</v>
      </c>
      <c r="B97" s="20"/>
      <c r="C97" s="20"/>
      <c r="D97" s="20"/>
      <c r="E97" s="95" t="s">
        <v>91</v>
      </c>
      <c r="F97" s="96" t="s">
        <v>88</v>
      </c>
      <c r="G97" s="119"/>
      <c r="H97" s="21"/>
      <c r="I97" s="22"/>
      <c r="J97" s="22"/>
      <c r="K97" s="23"/>
      <c r="L97" s="21"/>
      <c r="M97" s="24" t="s">
        <v>35</v>
      </c>
      <c r="N97" s="22"/>
      <c r="O97" s="24"/>
      <c r="P97" s="24"/>
      <c r="Q97" s="24"/>
      <c r="R97" s="99"/>
      <c r="S97" s="23"/>
      <c r="T97" s="170">
        <v>45315</v>
      </c>
      <c r="U97" s="25"/>
      <c r="V97" s="26"/>
      <c r="W97" s="27"/>
      <c r="X97" s="28"/>
      <c r="Y97" s="94"/>
    </row>
    <row r="98" spans="1:25" ht="11.4" x14ac:dyDescent="0.15">
      <c r="A98" s="19">
        <f t="shared" si="1"/>
        <v>94</v>
      </c>
      <c r="B98" s="20"/>
      <c r="C98" s="20"/>
      <c r="D98" s="20"/>
      <c r="E98" s="95" t="s">
        <v>89</v>
      </c>
      <c r="F98" s="96" t="s">
        <v>152</v>
      </c>
      <c r="G98" s="119"/>
      <c r="H98" s="21"/>
      <c r="I98" s="22"/>
      <c r="J98" s="22"/>
      <c r="K98" s="23"/>
      <c r="L98" s="21"/>
      <c r="M98" s="24" t="s">
        <v>35</v>
      </c>
      <c r="N98" s="22"/>
      <c r="O98" s="24"/>
      <c r="P98" s="24"/>
      <c r="Q98" s="24"/>
      <c r="R98" s="99"/>
      <c r="S98" s="23"/>
      <c r="T98" s="170">
        <v>45315</v>
      </c>
      <c r="U98" s="25"/>
      <c r="V98" s="26"/>
      <c r="W98" s="27"/>
      <c r="X98" s="28"/>
      <c r="Y98" s="94"/>
    </row>
    <row r="99" spans="1:25" ht="11.4" x14ac:dyDescent="0.15">
      <c r="A99" s="19">
        <f t="shared" si="1"/>
        <v>95</v>
      </c>
      <c r="B99" s="20"/>
      <c r="C99" s="20" t="s">
        <v>183</v>
      </c>
      <c r="D99" s="20"/>
      <c r="E99" s="95" t="s">
        <v>56</v>
      </c>
      <c r="F99" s="96" t="s">
        <v>37</v>
      </c>
      <c r="G99" s="119"/>
      <c r="H99" s="21"/>
      <c r="I99" s="22"/>
      <c r="J99" s="22"/>
      <c r="K99" s="23"/>
      <c r="L99" s="21"/>
      <c r="M99" s="24" t="s">
        <v>35</v>
      </c>
      <c r="N99" s="22"/>
      <c r="O99" s="24"/>
      <c r="P99" s="24"/>
      <c r="Q99" s="24"/>
      <c r="R99" s="99"/>
      <c r="S99" s="23"/>
      <c r="T99" s="170">
        <v>45315</v>
      </c>
      <c r="U99" s="25"/>
      <c r="V99" s="26"/>
      <c r="W99" s="27"/>
      <c r="X99" s="28"/>
      <c r="Y99" s="94"/>
    </row>
    <row r="100" spans="1:25" ht="11.4" x14ac:dyDescent="0.15">
      <c r="A100" s="19">
        <f t="shared" si="1"/>
        <v>96</v>
      </c>
      <c r="B100" s="20"/>
      <c r="C100" s="20"/>
      <c r="D100" s="20"/>
      <c r="E100" s="95" t="s">
        <v>85</v>
      </c>
      <c r="F100" s="96" t="s">
        <v>37</v>
      </c>
      <c r="G100" s="119"/>
      <c r="H100" s="21"/>
      <c r="I100" s="22"/>
      <c r="J100" s="22"/>
      <c r="K100" s="23"/>
      <c r="L100" s="21"/>
      <c r="M100" s="24" t="s">
        <v>35</v>
      </c>
      <c r="N100" s="22"/>
      <c r="O100" s="24"/>
      <c r="P100" s="24"/>
      <c r="Q100" s="24"/>
      <c r="R100" s="99"/>
      <c r="S100" s="23"/>
      <c r="T100" s="170">
        <v>45315</v>
      </c>
      <c r="U100" s="25"/>
      <c r="V100" s="26"/>
      <c r="W100" s="27"/>
      <c r="X100" s="28"/>
      <c r="Y100" s="94"/>
    </row>
    <row r="101" spans="1:25" ht="11.4" x14ac:dyDescent="0.15">
      <c r="A101" s="19">
        <f t="shared" si="1"/>
        <v>97</v>
      </c>
      <c r="B101" s="20"/>
      <c r="C101" s="20"/>
      <c r="D101" s="20"/>
      <c r="E101" s="95" t="s">
        <v>92</v>
      </c>
      <c r="F101" s="96" t="s">
        <v>37</v>
      </c>
      <c r="G101" s="119"/>
      <c r="H101" s="21"/>
      <c r="I101" s="22"/>
      <c r="J101" s="22"/>
      <c r="K101" s="23"/>
      <c r="L101" s="21"/>
      <c r="M101" s="24" t="s">
        <v>35</v>
      </c>
      <c r="N101" s="22"/>
      <c r="O101" s="24"/>
      <c r="P101" s="24"/>
      <c r="Q101" s="24"/>
      <c r="R101" s="99"/>
      <c r="S101" s="23"/>
      <c r="T101" s="170">
        <v>45315</v>
      </c>
      <c r="U101" s="25"/>
      <c r="V101" s="26"/>
      <c r="W101" s="27"/>
      <c r="X101" s="28"/>
      <c r="Y101" s="94"/>
    </row>
    <row r="102" spans="1:25" ht="11.4" x14ac:dyDescent="0.15">
      <c r="A102" s="19">
        <f t="shared" si="1"/>
        <v>98</v>
      </c>
      <c r="B102" s="20"/>
      <c r="C102" s="20"/>
      <c r="D102" s="20"/>
      <c r="E102" s="95" t="s">
        <v>93</v>
      </c>
      <c r="F102" s="96" t="s">
        <v>88</v>
      </c>
      <c r="G102" s="119"/>
      <c r="H102" s="21"/>
      <c r="I102" s="22"/>
      <c r="J102" s="22"/>
      <c r="K102" s="23"/>
      <c r="L102" s="21"/>
      <c r="M102" s="24" t="s">
        <v>35</v>
      </c>
      <c r="N102" s="22"/>
      <c r="O102" s="24"/>
      <c r="P102" s="24"/>
      <c r="Q102" s="24"/>
      <c r="R102" s="99"/>
      <c r="S102" s="23"/>
      <c r="T102" s="170">
        <v>45315</v>
      </c>
      <c r="U102" s="25"/>
      <c r="V102" s="26"/>
      <c r="W102" s="27"/>
      <c r="X102" s="28"/>
      <c r="Y102" s="94"/>
    </row>
    <row r="103" spans="1:25" ht="11.4" x14ac:dyDescent="0.15">
      <c r="A103" s="19">
        <f t="shared" si="1"/>
        <v>99</v>
      </c>
      <c r="B103" s="20"/>
      <c r="C103" s="20"/>
      <c r="D103" s="20"/>
      <c r="E103" s="95" t="s">
        <v>89</v>
      </c>
      <c r="F103" s="96" t="s">
        <v>153</v>
      </c>
      <c r="G103" s="119"/>
      <c r="H103" s="21"/>
      <c r="I103" s="22"/>
      <c r="J103" s="22"/>
      <c r="K103" s="23"/>
      <c r="L103" s="21"/>
      <c r="M103" s="24" t="s">
        <v>35</v>
      </c>
      <c r="N103" s="22"/>
      <c r="O103" s="24"/>
      <c r="P103" s="24"/>
      <c r="Q103" s="24"/>
      <c r="R103" s="99"/>
      <c r="S103" s="23"/>
      <c r="T103" s="170">
        <v>45315</v>
      </c>
      <c r="U103" s="25"/>
      <c r="V103" s="26"/>
      <c r="W103" s="27"/>
      <c r="X103" s="28"/>
      <c r="Y103" s="94"/>
    </row>
    <row r="104" spans="1:25" ht="11.4" x14ac:dyDescent="0.15">
      <c r="A104" s="19">
        <f t="shared" si="1"/>
        <v>100</v>
      </c>
      <c r="B104" s="20"/>
      <c r="C104" s="20" t="s">
        <v>184</v>
      </c>
      <c r="D104" s="20"/>
      <c r="E104" s="95" t="s">
        <v>36</v>
      </c>
      <c r="F104" s="96" t="s">
        <v>37</v>
      </c>
      <c r="G104" s="119"/>
      <c r="H104" s="21"/>
      <c r="I104" s="22"/>
      <c r="J104" s="22"/>
      <c r="K104" s="23"/>
      <c r="L104" s="21"/>
      <c r="M104" s="24" t="s">
        <v>35</v>
      </c>
      <c r="N104" s="22"/>
      <c r="O104" s="24"/>
      <c r="P104" s="24"/>
      <c r="Q104" s="24"/>
      <c r="R104" s="99"/>
      <c r="S104" s="23"/>
      <c r="T104" s="170">
        <v>45315</v>
      </c>
      <c r="U104" s="25"/>
      <c r="V104" s="26"/>
      <c r="W104" s="27"/>
      <c r="X104" s="28"/>
      <c r="Y104" s="94"/>
    </row>
    <row r="105" spans="1:25" ht="11.4" x14ac:dyDescent="0.15">
      <c r="A105" s="19">
        <f t="shared" si="1"/>
        <v>101</v>
      </c>
      <c r="B105" s="20"/>
      <c r="C105" s="20"/>
      <c r="D105" s="20"/>
      <c r="E105" s="95" t="s">
        <v>85</v>
      </c>
      <c r="F105" s="96" t="s">
        <v>37</v>
      </c>
      <c r="G105" s="119"/>
      <c r="H105" s="21"/>
      <c r="I105" s="22"/>
      <c r="J105" s="22"/>
      <c r="K105" s="23"/>
      <c r="L105" s="21"/>
      <c r="M105" s="24" t="s">
        <v>35</v>
      </c>
      <c r="N105" s="22"/>
      <c r="O105" s="24"/>
      <c r="P105" s="24"/>
      <c r="Q105" s="24"/>
      <c r="R105" s="99"/>
      <c r="S105" s="23"/>
      <c r="T105" s="170">
        <v>45315</v>
      </c>
      <c r="U105" s="25"/>
      <c r="V105" s="26"/>
      <c r="W105" s="27"/>
      <c r="X105" s="28"/>
      <c r="Y105" s="94"/>
    </row>
    <row r="106" spans="1:25" ht="11.4" x14ac:dyDescent="0.15">
      <c r="A106" s="19">
        <f t="shared" si="1"/>
        <v>102</v>
      </c>
      <c r="B106" s="20"/>
      <c r="C106" s="20"/>
      <c r="D106" s="20"/>
      <c r="E106" s="95" t="s">
        <v>95</v>
      </c>
      <c r="F106" s="96" t="s">
        <v>37</v>
      </c>
      <c r="G106" s="119"/>
      <c r="H106" s="21"/>
      <c r="I106" s="22"/>
      <c r="J106" s="22"/>
      <c r="K106" s="23"/>
      <c r="L106" s="21"/>
      <c r="M106" s="24" t="s">
        <v>35</v>
      </c>
      <c r="N106" s="22"/>
      <c r="O106" s="24"/>
      <c r="P106" s="24"/>
      <c r="Q106" s="24"/>
      <c r="R106" s="99"/>
      <c r="S106" s="23"/>
      <c r="T106" s="170">
        <v>45315</v>
      </c>
      <c r="U106" s="25"/>
      <c r="V106" s="26"/>
      <c r="W106" s="27"/>
      <c r="X106" s="28"/>
      <c r="Y106" s="94"/>
    </row>
    <row r="107" spans="1:25" ht="11.4" x14ac:dyDescent="0.15">
      <c r="A107" s="19">
        <f t="shared" si="1"/>
        <v>103</v>
      </c>
      <c r="B107" s="20"/>
      <c r="C107" s="20"/>
      <c r="D107" s="20"/>
      <c r="E107" s="95" t="s">
        <v>96</v>
      </c>
      <c r="F107" s="96" t="s">
        <v>37</v>
      </c>
      <c r="G107" s="119"/>
      <c r="H107" s="21"/>
      <c r="I107" s="22"/>
      <c r="J107" s="22"/>
      <c r="K107" s="23"/>
      <c r="L107" s="21"/>
      <c r="M107" s="24" t="s">
        <v>35</v>
      </c>
      <c r="N107" s="22"/>
      <c r="O107" s="24"/>
      <c r="P107" s="24"/>
      <c r="Q107" s="24"/>
      <c r="R107" s="99"/>
      <c r="S107" s="23"/>
      <c r="T107" s="170">
        <v>45315</v>
      </c>
      <c r="U107" s="25"/>
      <c r="V107" s="26"/>
      <c r="W107" s="27"/>
      <c r="X107" s="28"/>
      <c r="Y107" s="94"/>
    </row>
    <row r="108" spans="1:25" ht="11.4" x14ac:dyDescent="0.15">
      <c r="A108" s="19">
        <f t="shared" si="1"/>
        <v>104</v>
      </c>
      <c r="B108" s="20"/>
      <c r="C108" s="20"/>
      <c r="D108" s="20"/>
      <c r="E108" s="95" t="s">
        <v>89</v>
      </c>
      <c r="F108" s="96" t="s">
        <v>154</v>
      </c>
      <c r="G108" s="119"/>
      <c r="H108" s="21"/>
      <c r="I108" s="22"/>
      <c r="J108" s="22"/>
      <c r="K108" s="23"/>
      <c r="L108" s="21"/>
      <c r="M108" s="24" t="s">
        <v>35</v>
      </c>
      <c r="N108" s="22"/>
      <c r="O108" s="24"/>
      <c r="P108" s="24"/>
      <c r="Q108" s="24"/>
      <c r="R108" s="99"/>
      <c r="S108" s="23"/>
      <c r="T108" s="170">
        <v>45315</v>
      </c>
      <c r="U108" s="25"/>
      <c r="V108" s="26"/>
      <c r="W108" s="27"/>
      <c r="X108" s="28"/>
      <c r="Y108" s="94"/>
    </row>
    <row r="109" spans="1:25" ht="11.4" x14ac:dyDescent="0.15">
      <c r="A109" s="19">
        <f t="shared" si="1"/>
        <v>105</v>
      </c>
      <c r="B109" s="20"/>
      <c r="C109" s="20" t="s">
        <v>185</v>
      </c>
      <c r="D109" s="20"/>
      <c r="E109" s="95" t="s">
        <v>56</v>
      </c>
      <c r="F109" s="96" t="s">
        <v>37</v>
      </c>
      <c r="G109" s="119"/>
      <c r="H109" s="21"/>
      <c r="I109" s="22"/>
      <c r="J109" s="22"/>
      <c r="K109" s="23"/>
      <c r="L109" s="21"/>
      <c r="M109" s="24" t="s">
        <v>35</v>
      </c>
      <c r="N109" s="22"/>
      <c r="O109" s="24"/>
      <c r="P109" s="24"/>
      <c r="Q109" s="24"/>
      <c r="R109" s="99"/>
      <c r="S109" s="23"/>
      <c r="T109" s="170">
        <v>45315</v>
      </c>
      <c r="U109" s="25"/>
      <c r="V109" s="26"/>
      <c r="W109" s="27"/>
      <c r="X109" s="28"/>
      <c r="Y109" s="94"/>
    </row>
    <row r="110" spans="1:25" ht="11.4" x14ac:dyDescent="0.15">
      <c r="A110" s="19">
        <f t="shared" si="1"/>
        <v>106</v>
      </c>
      <c r="B110" s="20"/>
      <c r="C110" s="20"/>
      <c r="D110" s="20"/>
      <c r="E110" s="95" t="s">
        <v>85</v>
      </c>
      <c r="F110" s="96" t="s">
        <v>106</v>
      </c>
      <c r="G110" s="119"/>
      <c r="H110" s="21"/>
      <c r="I110" s="22"/>
      <c r="J110" s="22"/>
      <c r="K110" s="23"/>
      <c r="L110" s="21"/>
      <c r="M110" s="24" t="s">
        <v>35</v>
      </c>
      <c r="N110" s="22"/>
      <c r="O110" s="24"/>
      <c r="P110" s="24"/>
      <c r="Q110" s="24"/>
      <c r="R110" s="99"/>
      <c r="S110" s="23"/>
      <c r="T110" s="170">
        <v>45315</v>
      </c>
      <c r="U110" s="25"/>
      <c r="V110" s="26"/>
      <c r="W110" s="27"/>
      <c r="X110" s="28"/>
      <c r="Y110" s="94"/>
    </row>
    <row r="111" spans="1:25" ht="11.4" x14ac:dyDescent="0.15">
      <c r="A111" s="19">
        <f t="shared" si="1"/>
        <v>107</v>
      </c>
      <c r="B111" s="20"/>
      <c r="C111" s="20"/>
      <c r="D111" s="20"/>
      <c r="E111" s="95" t="s">
        <v>97</v>
      </c>
      <c r="F111" s="96" t="s">
        <v>37</v>
      </c>
      <c r="G111" s="119"/>
      <c r="H111" s="21"/>
      <c r="I111" s="22"/>
      <c r="J111" s="22"/>
      <c r="K111" s="23"/>
      <c r="L111" s="21"/>
      <c r="M111" s="24" t="s">
        <v>35</v>
      </c>
      <c r="N111" s="22"/>
      <c r="O111" s="24"/>
      <c r="P111" s="24"/>
      <c r="Q111" s="24"/>
      <c r="R111" s="99"/>
      <c r="S111" s="23"/>
      <c r="T111" s="170">
        <v>45315</v>
      </c>
      <c r="U111" s="25"/>
      <c r="V111" s="26"/>
      <c r="W111" s="27"/>
      <c r="X111" s="28"/>
      <c r="Y111" s="94"/>
    </row>
    <row r="112" spans="1:25" ht="11.4" x14ac:dyDescent="0.15">
      <c r="A112" s="19">
        <f t="shared" si="1"/>
        <v>108</v>
      </c>
      <c r="B112" s="20"/>
      <c r="C112" s="20"/>
      <c r="D112" s="20"/>
      <c r="E112" s="95" t="s">
        <v>98</v>
      </c>
      <c r="F112" s="96" t="s">
        <v>88</v>
      </c>
      <c r="G112" s="119"/>
      <c r="H112" s="21"/>
      <c r="I112" s="22"/>
      <c r="J112" s="22"/>
      <c r="K112" s="23"/>
      <c r="L112" s="21"/>
      <c r="M112" s="24" t="s">
        <v>35</v>
      </c>
      <c r="N112" s="22"/>
      <c r="O112" s="24"/>
      <c r="P112" s="24"/>
      <c r="Q112" s="24"/>
      <c r="R112" s="99"/>
      <c r="S112" s="23"/>
      <c r="T112" s="170">
        <v>45315</v>
      </c>
      <c r="U112" s="25"/>
      <c r="V112" s="26"/>
      <c r="W112" s="27"/>
      <c r="X112" s="28"/>
      <c r="Y112" s="94"/>
    </row>
    <row r="113" spans="1:25" ht="11.4" x14ac:dyDescent="0.15">
      <c r="A113" s="19">
        <f t="shared" si="1"/>
        <v>109</v>
      </c>
      <c r="B113" s="20"/>
      <c r="C113" s="20"/>
      <c r="D113" s="20"/>
      <c r="E113" s="95" t="s">
        <v>89</v>
      </c>
      <c r="F113" s="96" t="s">
        <v>155</v>
      </c>
      <c r="G113" s="119"/>
      <c r="H113" s="21"/>
      <c r="I113" s="22"/>
      <c r="J113" s="22"/>
      <c r="K113" s="23"/>
      <c r="L113" s="21"/>
      <c r="M113" s="24" t="s">
        <v>35</v>
      </c>
      <c r="N113" s="22"/>
      <c r="O113" s="24"/>
      <c r="P113" s="24"/>
      <c r="Q113" s="24"/>
      <c r="R113" s="99"/>
      <c r="S113" s="23"/>
      <c r="T113" s="170">
        <v>45315</v>
      </c>
      <c r="U113" s="25"/>
      <c r="V113" s="26"/>
      <c r="W113" s="27"/>
      <c r="X113" s="28"/>
      <c r="Y113" s="94"/>
    </row>
    <row r="114" spans="1:25" ht="11.4" x14ac:dyDescent="0.15">
      <c r="A114" s="19">
        <f t="shared" si="1"/>
        <v>110</v>
      </c>
      <c r="B114" s="20"/>
      <c r="C114" s="20" t="s">
        <v>186</v>
      </c>
      <c r="D114" s="20"/>
      <c r="E114" s="95" t="s">
        <v>56</v>
      </c>
      <c r="F114" s="96" t="s">
        <v>37</v>
      </c>
      <c r="G114" s="119"/>
      <c r="H114" s="21"/>
      <c r="I114" s="22"/>
      <c r="J114" s="22"/>
      <c r="K114" s="23"/>
      <c r="L114" s="21"/>
      <c r="M114" s="24" t="s">
        <v>35</v>
      </c>
      <c r="N114" s="22"/>
      <c r="O114" s="24"/>
      <c r="P114" s="24"/>
      <c r="Q114" s="24"/>
      <c r="R114" s="99"/>
      <c r="S114" s="23"/>
      <c r="T114" s="170">
        <v>45315</v>
      </c>
      <c r="U114" s="25"/>
      <c r="V114" s="26"/>
      <c r="W114" s="27"/>
      <c r="X114" s="28"/>
      <c r="Y114" s="94"/>
    </row>
    <row r="115" spans="1:25" ht="11.4" x14ac:dyDescent="0.15">
      <c r="A115" s="19">
        <f t="shared" si="1"/>
        <v>111</v>
      </c>
      <c r="B115" s="20"/>
      <c r="C115" s="20"/>
      <c r="D115" s="20"/>
      <c r="E115" s="95" t="s">
        <v>85</v>
      </c>
      <c r="F115" s="96" t="s">
        <v>37</v>
      </c>
      <c r="G115" s="119"/>
      <c r="H115" s="21"/>
      <c r="I115" s="22"/>
      <c r="J115" s="22"/>
      <c r="K115" s="23"/>
      <c r="L115" s="21"/>
      <c r="M115" s="24" t="s">
        <v>35</v>
      </c>
      <c r="N115" s="22"/>
      <c r="O115" s="24"/>
      <c r="P115" s="24"/>
      <c r="Q115" s="24"/>
      <c r="R115" s="99"/>
      <c r="S115" s="23"/>
      <c r="T115" s="170">
        <v>45315</v>
      </c>
      <c r="U115" s="25"/>
      <c r="V115" s="26"/>
      <c r="W115" s="27"/>
      <c r="X115" s="28"/>
      <c r="Y115" s="94"/>
    </row>
    <row r="116" spans="1:25" ht="11.4" x14ac:dyDescent="0.15">
      <c r="A116" s="19">
        <f t="shared" si="1"/>
        <v>112</v>
      </c>
      <c r="B116" s="20"/>
      <c r="C116" s="20"/>
      <c r="D116" s="20"/>
      <c r="E116" s="95" t="s">
        <v>86</v>
      </c>
      <c r="F116" s="96" t="s">
        <v>37</v>
      </c>
      <c r="G116" s="119"/>
      <c r="H116" s="21"/>
      <c r="I116" s="22"/>
      <c r="J116" s="22"/>
      <c r="K116" s="23"/>
      <c r="L116" s="21"/>
      <c r="M116" s="24" t="s">
        <v>35</v>
      </c>
      <c r="N116" s="22"/>
      <c r="O116" s="24"/>
      <c r="P116" s="24"/>
      <c r="Q116" s="24"/>
      <c r="R116" s="99"/>
      <c r="S116" s="23"/>
      <c r="T116" s="170">
        <v>45315</v>
      </c>
      <c r="U116" s="25"/>
      <c r="V116" s="26"/>
      <c r="W116" s="27"/>
      <c r="X116" s="28"/>
      <c r="Y116" s="94"/>
    </row>
    <row r="117" spans="1:25" ht="11.4" x14ac:dyDescent="0.15">
      <c r="A117" s="19">
        <f t="shared" si="1"/>
        <v>113</v>
      </c>
      <c r="B117" s="20"/>
      <c r="C117" s="20"/>
      <c r="D117" s="20"/>
      <c r="E117" s="95" t="s">
        <v>99</v>
      </c>
      <c r="F117" s="96" t="s">
        <v>88</v>
      </c>
      <c r="G117" s="119"/>
      <c r="H117" s="21"/>
      <c r="I117" s="22"/>
      <c r="J117" s="22"/>
      <c r="K117" s="23"/>
      <c r="L117" s="21"/>
      <c r="M117" s="24" t="s">
        <v>35</v>
      </c>
      <c r="N117" s="22"/>
      <c r="O117" s="24"/>
      <c r="P117" s="24"/>
      <c r="Q117" s="24"/>
      <c r="R117" s="99"/>
      <c r="S117" s="23"/>
      <c r="T117" s="170">
        <v>45315</v>
      </c>
      <c r="U117" s="25"/>
      <c r="V117" s="26"/>
      <c r="W117" s="27"/>
      <c r="X117" s="28"/>
      <c r="Y117" s="94"/>
    </row>
    <row r="118" spans="1:25" ht="22.8" x14ac:dyDescent="0.15">
      <c r="A118" s="19">
        <f t="shared" si="1"/>
        <v>114</v>
      </c>
      <c r="B118" s="20"/>
      <c r="C118" s="20"/>
      <c r="D118" s="20"/>
      <c r="E118" s="95" t="s">
        <v>89</v>
      </c>
      <c r="F118" s="96" t="s">
        <v>156</v>
      </c>
      <c r="G118" s="119"/>
      <c r="H118" s="21"/>
      <c r="I118" s="22"/>
      <c r="J118" s="22"/>
      <c r="K118" s="23"/>
      <c r="L118" s="21"/>
      <c r="M118" s="24" t="s">
        <v>35</v>
      </c>
      <c r="N118" s="22"/>
      <c r="O118" s="24"/>
      <c r="P118" s="24"/>
      <c r="Q118" s="24"/>
      <c r="R118" s="99"/>
      <c r="S118" s="23"/>
      <c r="T118" s="170">
        <v>45315</v>
      </c>
      <c r="U118" s="25"/>
      <c r="V118" s="26"/>
      <c r="W118" s="27"/>
      <c r="X118" s="28"/>
      <c r="Y118" s="94"/>
    </row>
    <row r="119" spans="1:25" ht="11.4" x14ac:dyDescent="0.15">
      <c r="A119" s="19">
        <f t="shared" si="1"/>
        <v>115</v>
      </c>
      <c r="B119" s="20"/>
      <c r="C119" s="20" t="s">
        <v>187</v>
      </c>
      <c r="D119" s="20"/>
      <c r="E119" s="95" t="s">
        <v>36</v>
      </c>
      <c r="F119" s="96" t="s">
        <v>37</v>
      </c>
      <c r="G119" s="119"/>
      <c r="H119" s="21"/>
      <c r="I119" s="22"/>
      <c r="J119" s="22"/>
      <c r="K119" s="23"/>
      <c r="L119" s="21"/>
      <c r="M119" s="24" t="s">
        <v>35</v>
      </c>
      <c r="N119" s="22"/>
      <c r="O119" s="24"/>
      <c r="P119" s="24"/>
      <c r="Q119" s="24"/>
      <c r="R119" s="99"/>
      <c r="S119" s="23"/>
      <c r="T119" s="170">
        <v>45315</v>
      </c>
      <c r="U119" s="25"/>
      <c r="V119" s="26"/>
      <c r="W119" s="27"/>
      <c r="X119" s="28"/>
      <c r="Y119" s="94"/>
    </row>
    <row r="120" spans="1:25" ht="11.4" x14ac:dyDescent="0.15">
      <c r="A120" s="19">
        <f t="shared" si="1"/>
        <v>116</v>
      </c>
      <c r="B120" s="20"/>
      <c r="C120" s="20"/>
      <c r="D120" s="20"/>
      <c r="E120" s="95" t="s">
        <v>85</v>
      </c>
      <c r="F120" s="96" t="s">
        <v>37</v>
      </c>
      <c r="G120" s="119"/>
      <c r="H120" s="21"/>
      <c r="I120" s="22"/>
      <c r="J120" s="22"/>
      <c r="K120" s="23"/>
      <c r="L120" s="21"/>
      <c r="M120" s="24" t="s">
        <v>35</v>
      </c>
      <c r="N120" s="22"/>
      <c r="O120" s="24"/>
      <c r="P120" s="24"/>
      <c r="Q120" s="24"/>
      <c r="R120" s="99"/>
      <c r="S120" s="23"/>
      <c r="T120" s="170">
        <v>45315</v>
      </c>
      <c r="U120" s="25"/>
      <c r="V120" s="26"/>
      <c r="W120" s="27"/>
      <c r="X120" s="28"/>
      <c r="Y120" s="94"/>
    </row>
    <row r="121" spans="1:25" ht="11.4" x14ac:dyDescent="0.15">
      <c r="A121" s="19">
        <f t="shared" si="1"/>
        <v>117</v>
      </c>
      <c r="B121" s="20"/>
      <c r="C121" s="20"/>
      <c r="D121" s="20"/>
      <c r="E121" s="95" t="s">
        <v>100</v>
      </c>
      <c r="F121" s="96" t="s">
        <v>37</v>
      </c>
      <c r="G121" s="119"/>
      <c r="H121" s="21"/>
      <c r="I121" s="22"/>
      <c r="J121" s="22"/>
      <c r="K121" s="23"/>
      <c r="L121" s="21"/>
      <c r="M121" s="24" t="s">
        <v>35</v>
      </c>
      <c r="N121" s="22"/>
      <c r="O121" s="24"/>
      <c r="P121" s="24"/>
      <c r="Q121" s="24"/>
      <c r="R121" s="99"/>
      <c r="S121" s="23"/>
      <c r="T121" s="170">
        <v>45315</v>
      </c>
      <c r="U121" s="25"/>
      <c r="V121" s="26"/>
      <c r="W121" s="27"/>
      <c r="X121" s="28"/>
      <c r="Y121" s="94"/>
    </row>
    <row r="122" spans="1:25" ht="11.4" x14ac:dyDescent="0.15">
      <c r="A122" s="19">
        <f t="shared" si="1"/>
        <v>118</v>
      </c>
      <c r="B122" s="20"/>
      <c r="C122" s="20"/>
      <c r="D122" s="20"/>
      <c r="E122" s="95" t="s">
        <v>101</v>
      </c>
      <c r="F122" s="96" t="s">
        <v>88</v>
      </c>
      <c r="G122" s="119"/>
      <c r="H122" s="21"/>
      <c r="I122" s="22"/>
      <c r="J122" s="22"/>
      <c r="K122" s="23"/>
      <c r="L122" s="21"/>
      <c r="M122" s="24" t="s">
        <v>35</v>
      </c>
      <c r="N122" s="22"/>
      <c r="O122" s="24"/>
      <c r="P122" s="24"/>
      <c r="Q122" s="24"/>
      <c r="R122" s="99"/>
      <c r="S122" s="23"/>
      <c r="T122" s="170">
        <v>45315</v>
      </c>
      <c r="U122" s="25"/>
      <c r="V122" s="26"/>
      <c r="W122" s="27"/>
      <c r="X122" s="28"/>
      <c r="Y122" s="94"/>
    </row>
    <row r="123" spans="1:25" ht="22.8" x14ac:dyDescent="0.15">
      <c r="A123" s="19">
        <f t="shared" si="1"/>
        <v>119</v>
      </c>
      <c r="B123" s="20"/>
      <c r="C123" s="20"/>
      <c r="D123" s="20"/>
      <c r="E123" s="95" t="s">
        <v>89</v>
      </c>
      <c r="F123" s="96" t="s">
        <v>157</v>
      </c>
      <c r="G123" s="119"/>
      <c r="H123" s="21"/>
      <c r="I123" s="22"/>
      <c r="J123" s="22"/>
      <c r="K123" s="23"/>
      <c r="L123" s="21"/>
      <c r="M123" s="24" t="s">
        <v>35</v>
      </c>
      <c r="N123" s="22"/>
      <c r="O123" s="24"/>
      <c r="P123" s="24"/>
      <c r="Q123" s="24"/>
      <c r="R123" s="99"/>
      <c r="S123" s="23"/>
      <c r="T123" s="170">
        <v>45315</v>
      </c>
      <c r="U123" s="25"/>
      <c r="V123" s="26"/>
      <c r="W123" s="27"/>
      <c r="X123" s="28"/>
      <c r="Y123" s="94"/>
    </row>
    <row r="124" spans="1:25" ht="11.4" x14ac:dyDescent="0.15">
      <c r="A124" s="19">
        <f t="shared" si="1"/>
        <v>120</v>
      </c>
      <c r="B124" s="20"/>
      <c r="C124" s="20" t="s">
        <v>188</v>
      </c>
      <c r="D124" s="20"/>
      <c r="E124" s="95" t="s">
        <v>36</v>
      </c>
      <c r="F124" s="96" t="s">
        <v>37</v>
      </c>
      <c r="G124" s="119"/>
      <c r="H124" s="21"/>
      <c r="I124" s="22"/>
      <c r="J124" s="22"/>
      <c r="K124" s="23"/>
      <c r="L124" s="21"/>
      <c r="M124" s="24" t="s">
        <v>35</v>
      </c>
      <c r="N124" s="22"/>
      <c r="O124" s="24"/>
      <c r="P124" s="24"/>
      <c r="Q124" s="24"/>
      <c r="R124" s="99"/>
      <c r="S124" s="23"/>
      <c r="T124" s="170">
        <v>45315</v>
      </c>
      <c r="U124" s="25"/>
      <c r="V124" s="26"/>
      <c r="W124" s="27"/>
      <c r="X124" s="28"/>
      <c r="Y124" s="94"/>
    </row>
    <row r="125" spans="1:25" ht="11.4" x14ac:dyDescent="0.15">
      <c r="A125" s="19">
        <f t="shared" si="1"/>
        <v>121</v>
      </c>
      <c r="B125" s="20"/>
      <c r="C125" s="20"/>
      <c r="D125" s="20"/>
      <c r="E125" s="95" t="s">
        <v>85</v>
      </c>
      <c r="F125" s="96" t="s">
        <v>37</v>
      </c>
      <c r="G125" s="119"/>
      <c r="H125" s="21"/>
      <c r="I125" s="22"/>
      <c r="J125" s="22"/>
      <c r="K125" s="23"/>
      <c r="L125" s="21"/>
      <c r="M125" s="24" t="s">
        <v>35</v>
      </c>
      <c r="N125" s="22"/>
      <c r="O125" s="24"/>
      <c r="P125" s="24"/>
      <c r="Q125" s="24"/>
      <c r="R125" s="99"/>
      <c r="S125" s="23"/>
      <c r="T125" s="170">
        <v>45315</v>
      </c>
      <c r="U125" s="25"/>
      <c r="V125" s="26"/>
      <c r="W125" s="27"/>
      <c r="X125" s="28"/>
      <c r="Y125" s="94"/>
    </row>
    <row r="126" spans="1:25" ht="11.4" x14ac:dyDescent="0.15">
      <c r="A126" s="19">
        <f t="shared" si="1"/>
        <v>122</v>
      </c>
      <c r="B126" s="20"/>
      <c r="C126" s="20"/>
      <c r="D126" s="20"/>
      <c r="E126" s="95" t="s">
        <v>102</v>
      </c>
      <c r="F126" s="96" t="s">
        <v>37</v>
      </c>
      <c r="G126" s="119"/>
      <c r="H126" s="21"/>
      <c r="I126" s="22"/>
      <c r="J126" s="22"/>
      <c r="K126" s="23"/>
      <c r="L126" s="21"/>
      <c r="M126" s="24" t="s">
        <v>35</v>
      </c>
      <c r="N126" s="22"/>
      <c r="O126" s="24"/>
      <c r="P126" s="24"/>
      <c r="Q126" s="24"/>
      <c r="R126" s="99"/>
      <c r="S126" s="23"/>
      <c r="T126" s="170">
        <v>45315</v>
      </c>
      <c r="U126" s="25"/>
      <c r="V126" s="26"/>
      <c r="W126" s="27"/>
      <c r="X126" s="28"/>
      <c r="Y126" s="94"/>
    </row>
    <row r="127" spans="1:25" ht="11.4" x14ac:dyDescent="0.15">
      <c r="A127" s="19">
        <f t="shared" si="1"/>
        <v>123</v>
      </c>
      <c r="B127" s="20"/>
      <c r="C127" s="20"/>
      <c r="D127" s="20"/>
      <c r="E127" s="95" t="s">
        <v>103</v>
      </c>
      <c r="F127" s="96" t="s">
        <v>88</v>
      </c>
      <c r="G127" s="119"/>
      <c r="H127" s="21"/>
      <c r="I127" s="22"/>
      <c r="J127" s="22"/>
      <c r="K127" s="23"/>
      <c r="L127" s="21"/>
      <c r="M127" s="24" t="s">
        <v>35</v>
      </c>
      <c r="N127" s="22"/>
      <c r="O127" s="24"/>
      <c r="P127" s="24"/>
      <c r="Q127" s="24"/>
      <c r="R127" s="99"/>
      <c r="S127" s="23"/>
      <c r="T127" s="170">
        <v>45315</v>
      </c>
      <c r="U127" s="25"/>
      <c r="V127" s="26"/>
      <c r="W127" s="27"/>
      <c r="X127" s="28"/>
      <c r="Y127" s="94"/>
    </row>
    <row r="128" spans="1:25" ht="22.8" x14ac:dyDescent="0.15">
      <c r="A128" s="19">
        <f t="shared" si="1"/>
        <v>124</v>
      </c>
      <c r="B128" s="20"/>
      <c r="C128" s="20"/>
      <c r="D128" s="20"/>
      <c r="E128" s="95" t="s">
        <v>89</v>
      </c>
      <c r="F128" s="96" t="s">
        <v>158</v>
      </c>
      <c r="G128" s="119"/>
      <c r="H128" s="21"/>
      <c r="I128" s="22"/>
      <c r="J128" s="22"/>
      <c r="K128" s="23"/>
      <c r="L128" s="21"/>
      <c r="M128" s="24" t="s">
        <v>35</v>
      </c>
      <c r="N128" s="22"/>
      <c r="O128" s="24"/>
      <c r="P128" s="24"/>
      <c r="Q128" s="24"/>
      <c r="R128" s="99"/>
      <c r="S128" s="23"/>
      <c r="T128" s="170">
        <v>45315</v>
      </c>
      <c r="U128" s="25"/>
      <c r="V128" s="26"/>
      <c r="W128" s="27"/>
      <c r="X128" s="28"/>
      <c r="Y128" s="94"/>
    </row>
    <row r="129" spans="1:25" ht="11.4" x14ac:dyDescent="0.15">
      <c r="A129" s="19">
        <f t="shared" si="1"/>
        <v>125</v>
      </c>
      <c r="B129" s="20"/>
      <c r="C129" s="20" t="s">
        <v>189</v>
      </c>
      <c r="D129" s="20"/>
      <c r="E129" s="95" t="s">
        <v>36</v>
      </c>
      <c r="F129" s="96" t="s">
        <v>37</v>
      </c>
      <c r="G129" s="119"/>
      <c r="H129" s="21"/>
      <c r="I129" s="22"/>
      <c r="J129" s="22"/>
      <c r="K129" s="23"/>
      <c r="L129" s="21"/>
      <c r="M129" s="24" t="s">
        <v>35</v>
      </c>
      <c r="N129" s="22"/>
      <c r="O129" s="24"/>
      <c r="P129" s="24"/>
      <c r="Q129" s="24"/>
      <c r="R129" s="99"/>
      <c r="S129" s="23"/>
      <c r="T129" s="170">
        <v>45315</v>
      </c>
      <c r="U129" s="25"/>
      <c r="V129" s="26"/>
      <c r="W129" s="27"/>
      <c r="X129" s="28"/>
      <c r="Y129" s="94"/>
    </row>
    <row r="130" spans="1:25" ht="11.4" x14ac:dyDescent="0.15">
      <c r="A130" s="19">
        <f t="shared" si="1"/>
        <v>126</v>
      </c>
      <c r="B130" s="20"/>
      <c r="C130" s="20"/>
      <c r="D130" s="20"/>
      <c r="E130" s="95" t="s">
        <v>85</v>
      </c>
      <c r="F130" s="96" t="s">
        <v>37</v>
      </c>
      <c r="G130" s="119"/>
      <c r="H130" s="21"/>
      <c r="I130" s="22"/>
      <c r="J130" s="22"/>
      <c r="K130" s="23"/>
      <c r="L130" s="21"/>
      <c r="M130" s="24" t="s">
        <v>35</v>
      </c>
      <c r="N130" s="22"/>
      <c r="O130" s="24"/>
      <c r="P130" s="24"/>
      <c r="Q130" s="24"/>
      <c r="R130" s="99"/>
      <c r="S130" s="23"/>
      <c r="T130" s="170">
        <v>45315</v>
      </c>
      <c r="U130" s="25"/>
      <c r="V130" s="26"/>
      <c r="W130" s="27"/>
      <c r="X130" s="28"/>
      <c r="Y130" s="94"/>
    </row>
    <row r="131" spans="1:25" ht="12.6" x14ac:dyDescent="0.15">
      <c r="A131" s="19">
        <f t="shared" si="1"/>
        <v>127</v>
      </c>
      <c r="B131" s="20"/>
      <c r="C131" s="20"/>
      <c r="D131" s="20"/>
      <c r="E131" s="95" t="s">
        <v>102</v>
      </c>
      <c r="F131" s="96" t="s">
        <v>37</v>
      </c>
      <c r="G131" s="125"/>
      <c r="H131" s="21"/>
      <c r="I131" s="22"/>
      <c r="J131" s="22"/>
      <c r="K131" s="23"/>
      <c r="L131" s="21"/>
      <c r="M131" s="24" t="s">
        <v>35</v>
      </c>
      <c r="N131" s="22"/>
      <c r="O131" s="24"/>
      <c r="P131" s="24"/>
      <c r="Q131" s="24"/>
      <c r="R131" s="99"/>
      <c r="S131" s="23"/>
      <c r="T131" s="170">
        <v>45315</v>
      </c>
      <c r="U131" s="25"/>
      <c r="V131" s="26"/>
      <c r="W131" s="27"/>
      <c r="X131" s="28"/>
      <c r="Y131" s="94"/>
    </row>
    <row r="132" spans="1:25" ht="11.4" x14ac:dyDescent="0.15">
      <c r="A132" s="19">
        <f t="shared" si="1"/>
        <v>128</v>
      </c>
      <c r="B132" s="20"/>
      <c r="C132" s="20"/>
      <c r="D132" s="20"/>
      <c r="E132" s="95" t="s">
        <v>104</v>
      </c>
      <c r="F132" s="96" t="s">
        <v>88</v>
      </c>
      <c r="G132" s="119"/>
      <c r="H132" s="21"/>
      <c r="I132" s="22"/>
      <c r="J132" s="22"/>
      <c r="K132" s="23"/>
      <c r="L132" s="21"/>
      <c r="M132" s="24" t="s">
        <v>35</v>
      </c>
      <c r="N132" s="22"/>
      <c r="O132" s="24"/>
      <c r="P132" s="24"/>
      <c r="Q132" s="24"/>
      <c r="R132" s="99"/>
      <c r="S132" s="23"/>
      <c r="T132" s="170">
        <v>45315</v>
      </c>
      <c r="U132" s="25"/>
      <c r="V132" s="26"/>
      <c r="W132" s="27"/>
      <c r="X132" s="28"/>
      <c r="Y132" s="94"/>
    </row>
    <row r="133" spans="1:25" ht="22.8" x14ac:dyDescent="0.15">
      <c r="A133" s="19">
        <f t="shared" si="1"/>
        <v>129</v>
      </c>
      <c r="B133" s="20"/>
      <c r="C133" s="20"/>
      <c r="D133" s="20"/>
      <c r="E133" s="95" t="s">
        <v>89</v>
      </c>
      <c r="F133" s="96" t="s">
        <v>159</v>
      </c>
      <c r="G133" s="119"/>
      <c r="H133" s="21"/>
      <c r="I133" s="22"/>
      <c r="J133" s="22"/>
      <c r="K133" s="23"/>
      <c r="L133" s="21"/>
      <c r="M133" s="24" t="s">
        <v>35</v>
      </c>
      <c r="N133" s="22"/>
      <c r="O133" s="24"/>
      <c r="P133" s="24"/>
      <c r="Q133" s="24"/>
      <c r="R133" s="99"/>
      <c r="S133" s="23"/>
      <c r="T133" s="170">
        <v>45315</v>
      </c>
      <c r="U133" s="25"/>
      <c r="V133" s="26"/>
      <c r="W133" s="27"/>
      <c r="X133" s="28"/>
      <c r="Y133" s="94"/>
    </row>
    <row r="134" spans="1:25" s="3" customFormat="1" ht="12" customHeight="1" x14ac:dyDescent="0.25">
      <c r="A134" s="32"/>
      <c r="B134" s="33"/>
      <c r="C134" s="34"/>
      <c r="D134" s="34"/>
      <c r="E134" s="33"/>
      <c r="F134" s="35" t="s">
        <v>109</v>
      </c>
      <c r="G134" s="126"/>
      <c r="H134" s="36">
        <f>COUNTIF(H5:H133,"●")</f>
        <v>0</v>
      </c>
      <c r="I134" s="36">
        <f t="shared" ref="I134:S134" si="2">COUNTIF(I5:I133,"●")</f>
        <v>0</v>
      </c>
      <c r="J134" s="36">
        <f t="shared" si="2"/>
        <v>0</v>
      </c>
      <c r="K134" s="36">
        <f t="shared" si="2"/>
        <v>0</v>
      </c>
      <c r="L134" s="36">
        <f t="shared" si="2"/>
        <v>0</v>
      </c>
      <c r="M134" s="36">
        <f t="shared" si="2"/>
        <v>32</v>
      </c>
      <c r="N134" s="36">
        <f t="shared" si="2"/>
        <v>0</v>
      </c>
      <c r="O134" s="36">
        <f t="shared" si="2"/>
        <v>0</v>
      </c>
      <c r="P134" s="36">
        <f t="shared" si="2"/>
        <v>0</v>
      </c>
      <c r="Q134" s="36">
        <f t="shared" si="2"/>
        <v>0</v>
      </c>
      <c r="R134" s="36">
        <f t="shared" si="2"/>
        <v>0</v>
      </c>
      <c r="S134" s="36">
        <f t="shared" si="2"/>
        <v>0</v>
      </c>
      <c r="T134" s="172"/>
      <c r="U134" s="209" t="s">
        <v>110</v>
      </c>
      <c r="V134" s="209"/>
      <c r="W134" s="210"/>
      <c r="X134" s="39" t="s">
        <v>111</v>
      </c>
      <c r="Y134" s="40">
        <f>SUM(H134:S134)</f>
        <v>32</v>
      </c>
    </row>
    <row r="135" spans="1:25" s="3" customFormat="1" ht="12" customHeight="1" x14ac:dyDescent="0.25">
      <c r="A135" s="41"/>
      <c r="B135" s="42" t="s">
        <v>112</v>
      </c>
      <c r="C135" s="43">
        <f>Y136</f>
        <v>32</v>
      </c>
      <c r="D135" s="43"/>
      <c r="E135" s="42"/>
      <c r="F135" s="44" t="s">
        <v>113</v>
      </c>
      <c r="G135" s="126"/>
      <c r="H135" s="45">
        <f>COUNTIF(H5:H133,"×")</f>
        <v>0</v>
      </c>
      <c r="I135" s="45">
        <f t="shared" ref="I135:S135" si="3">COUNTIF(I5:I133,"×")</f>
        <v>0</v>
      </c>
      <c r="J135" s="45">
        <f t="shared" si="3"/>
        <v>0</v>
      </c>
      <c r="K135" s="45">
        <f t="shared" si="3"/>
        <v>0</v>
      </c>
      <c r="L135" s="45">
        <f t="shared" si="3"/>
        <v>0</v>
      </c>
      <c r="M135" s="45">
        <f t="shared" si="3"/>
        <v>0</v>
      </c>
      <c r="N135" s="45">
        <f t="shared" si="3"/>
        <v>0</v>
      </c>
      <c r="O135" s="45">
        <f t="shared" si="3"/>
        <v>0</v>
      </c>
      <c r="P135" s="45">
        <f t="shared" si="3"/>
        <v>0</v>
      </c>
      <c r="Q135" s="45">
        <f t="shared" si="3"/>
        <v>0</v>
      </c>
      <c r="R135" s="45">
        <f t="shared" si="3"/>
        <v>0</v>
      </c>
      <c r="S135" s="45">
        <f t="shared" si="3"/>
        <v>0</v>
      </c>
      <c r="T135" s="173"/>
      <c r="U135" s="211"/>
      <c r="V135" s="211"/>
      <c r="W135" s="212"/>
      <c r="X135" s="49" t="s">
        <v>111</v>
      </c>
      <c r="Y135" s="50">
        <f t="shared" ref="Y135:Y137" si="4">SUM(H135:S135)</f>
        <v>0</v>
      </c>
    </row>
    <row r="136" spans="1:25" s="3" customFormat="1" ht="12" customHeight="1" x14ac:dyDescent="0.25">
      <c r="A136" s="51" t="s">
        <v>114</v>
      </c>
      <c r="B136" s="52"/>
      <c r="C136" s="53"/>
      <c r="D136" s="53"/>
      <c r="E136" s="52"/>
      <c r="F136" s="54" t="s">
        <v>115</v>
      </c>
      <c r="G136" s="126"/>
      <c r="H136" s="45">
        <f t="shared" ref="H136:S136" si="5">H134+H135</f>
        <v>0</v>
      </c>
      <c r="I136" s="45">
        <f t="shared" si="5"/>
        <v>0</v>
      </c>
      <c r="J136" s="45">
        <f t="shared" si="5"/>
        <v>0</v>
      </c>
      <c r="K136" s="45">
        <f t="shared" si="5"/>
        <v>0</v>
      </c>
      <c r="L136" s="45">
        <f t="shared" si="5"/>
        <v>0</v>
      </c>
      <c r="M136" s="45">
        <f t="shared" si="5"/>
        <v>32</v>
      </c>
      <c r="N136" s="45">
        <f t="shared" si="5"/>
        <v>0</v>
      </c>
      <c r="O136" s="45">
        <f t="shared" si="5"/>
        <v>0</v>
      </c>
      <c r="P136" s="45">
        <f t="shared" si="5"/>
        <v>0</v>
      </c>
      <c r="Q136" s="45">
        <f t="shared" si="5"/>
        <v>0</v>
      </c>
      <c r="R136" s="45">
        <f t="shared" si="5"/>
        <v>0</v>
      </c>
      <c r="S136" s="45">
        <f t="shared" si="5"/>
        <v>0</v>
      </c>
      <c r="T136" s="235"/>
      <c r="U136" s="223">
        <f>COUNTA(U5:U133)</f>
        <v>32</v>
      </c>
      <c r="V136" s="225">
        <f>COUNTA(V5:V133)</f>
        <v>0</v>
      </c>
      <c r="W136" s="227">
        <f>COUNTA(W5:W133)</f>
        <v>0</v>
      </c>
      <c r="X136" s="55" t="s">
        <v>111</v>
      </c>
      <c r="Y136" s="50">
        <f t="shared" si="4"/>
        <v>32</v>
      </c>
    </row>
    <row r="137" spans="1:25" s="3" customFormat="1" ht="12" customHeight="1" x14ac:dyDescent="0.25">
      <c r="A137" s="56"/>
      <c r="B137" s="57" t="s">
        <v>116</v>
      </c>
      <c r="C137" s="58">
        <f>Y137</f>
        <v>128</v>
      </c>
      <c r="D137" s="58"/>
      <c r="E137" s="57"/>
      <c r="F137" s="59" t="s">
        <v>117</v>
      </c>
      <c r="G137" s="128"/>
      <c r="H137" s="60">
        <f>COUNTA(H5:H133)</f>
        <v>0</v>
      </c>
      <c r="I137" s="60">
        <f t="shared" ref="I137:S137" si="6">COUNTA(I5:I133)</f>
        <v>0</v>
      </c>
      <c r="J137" s="60">
        <f t="shared" si="6"/>
        <v>0</v>
      </c>
      <c r="K137" s="60">
        <f t="shared" si="6"/>
        <v>0</v>
      </c>
      <c r="L137" s="60">
        <f t="shared" si="6"/>
        <v>5</v>
      </c>
      <c r="M137" s="60">
        <f t="shared" si="6"/>
        <v>123</v>
      </c>
      <c r="N137" s="60">
        <f t="shared" si="6"/>
        <v>0</v>
      </c>
      <c r="O137" s="60">
        <f t="shared" si="6"/>
        <v>0</v>
      </c>
      <c r="P137" s="60">
        <f t="shared" si="6"/>
        <v>0</v>
      </c>
      <c r="Q137" s="60">
        <f t="shared" si="6"/>
        <v>0</v>
      </c>
      <c r="R137" s="60">
        <f t="shared" si="6"/>
        <v>0</v>
      </c>
      <c r="S137" s="60">
        <f t="shared" si="6"/>
        <v>0</v>
      </c>
      <c r="T137" s="236"/>
      <c r="U137" s="224"/>
      <c r="V137" s="226"/>
      <c r="W137" s="228"/>
      <c r="X137" s="64" t="s">
        <v>111</v>
      </c>
      <c r="Y137" s="65">
        <f t="shared" si="4"/>
        <v>128</v>
      </c>
    </row>
    <row r="147" spans="7:7" ht="9" customHeight="1" x14ac:dyDescent="0.15">
      <c r="G147" s="127"/>
    </row>
    <row r="148" spans="7:7" ht="9" customHeight="1" x14ac:dyDescent="0.15">
      <c r="G148" s="127"/>
    </row>
    <row r="149" spans="7:7" ht="9" customHeight="1" x14ac:dyDescent="0.15">
      <c r="G149" s="127"/>
    </row>
    <row r="150" spans="7:7" ht="9" customHeight="1" x14ac:dyDescent="0.15">
      <c r="G150" s="127"/>
    </row>
  </sheetData>
  <mergeCells count="18">
    <mergeCell ref="X3:X4"/>
    <mergeCell ref="Y3:Y4"/>
    <mergeCell ref="U134:W135"/>
    <mergeCell ref="A3:A4"/>
    <mergeCell ref="B3:B4"/>
    <mergeCell ref="C3:C4"/>
    <mergeCell ref="D3:D4"/>
    <mergeCell ref="E3:E4"/>
    <mergeCell ref="F3:F4"/>
    <mergeCell ref="G3:G4"/>
    <mergeCell ref="T3:T4"/>
    <mergeCell ref="U136:U137"/>
    <mergeCell ref="V136:V137"/>
    <mergeCell ref="W136:W137"/>
    <mergeCell ref="H3:K3"/>
    <mergeCell ref="L3:S3"/>
    <mergeCell ref="U3:W3"/>
    <mergeCell ref="T136:T137"/>
  </mergeCells>
  <phoneticPr fontId="11"/>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689F9-018E-4884-80D7-E8FD77959734}">
  <sheetPr>
    <pageSetUpPr fitToPage="1"/>
  </sheetPr>
  <dimension ref="A1:Y150"/>
  <sheetViews>
    <sheetView view="pageBreakPreview" topLeftCell="C1" zoomScale="85" zoomScaleNormal="110" zoomScaleSheetLayoutView="85" workbookViewId="0">
      <pane ySplit="4" topLeftCell="A19" activePane="bottomLeft" state="frozen"/>
      <selection activeCell="B8" sqref="B8"/>
      <selection pane="bottomLeft" activeCell="T151" sqref="T151"/>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8.875" style="2" bestFit="1" customWidth="1"/>
    <col min="7" max="7" width="11.875" style="122" customWidth="1"/>
    <col min="8" max="12" width="4.5" style="4" bestFit="1" customWidth="1"/>
    <col min="13" max="13" width="5.125" style="4" bestFit="1" customWidth="1"/>
    <col min="14" max="14" width="4.5" style="4" bestFit="1" customWidth="1"/>
    <col min="15" max="17" width="4.5" style="4" customWidth="1"/>
    <col min="18" max="18" width="3.625" style="4" bestFit="1" customWidth="1"/>
    <col min="19" max="19" width="4.5" style="4" bestFit="1" customWidth="1"/>
    <col min="20" max="20" width="8.37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3" customFormat="1" ht="12.6" x14ac:dyDescent="0.15">
      <c r="A1" s="154"/>
      <c r="B1" s="155" t="s">
        <v>277</v>
      </c>
      <c r="C1" s="156" t="s">
        <v>308</v>
      </c>
      <c r="D1" s="157"/>
      <c r="E1" s="157"/>
      <c r="F1" s="157"/>
      <c r="G1" s="157"/>
      <c r="H1" s="158"/>
      <c r="I1" s="158"/>
      <c r="J1" s="158"/>
      <c r="K1" s="158"/>
      <c r="L1" s="158"/>
      <c r="M1" s="158"/>
      <c r="N1" s="158"/>
      <c r="O1" s="158"/>
      <c r="P1" s="158"/>
      <c r="Q1" s="158"/>
      <c r="R1" s="158"/>
      <c r="S1" s="158"/>
      <c r="T1" s="158"/>
      <c r="U1" s="158"/>
      <c r="V1" s="158"/>
      <c r="W1" s="158"/>
      <c r="X1" s="159"/>
      <c r="Y1" s="160"/>
    </row>
    <row r="2" spans="1:25" s="138" customFormat="1" ht="12.6" x14ac:dyDescent="0.15">
      <c r="A2" s="161"/>
      <c r="B2" s="162" t="s">
        <v>279</v>
      </c>
      <c r="C2" s="163" t="s">
        <v>280</v>
      </c>
      <c r="D2" s="164"/>
      <c r="E2" s="164"/>
      <c r="F2" s="164"/>
      <c r="G2" s="164"/>
      <c r="H2" s="165"/>
      <c r="I2" s="165"/>
      <c r="J2" s="165"/>
      <c r="K2" s="165"/>
      <c r="L2" s="165"/>
      <c r="M2" s="165"/>
      <c r="N2" s="165"/>
      <c r="O2" s="165"/>
      <c r="P2" s="165"/>
      <c r="Q2" s="165"/>
      <c r="R2" s="165"/>
      <c r="S2" s="165"/>
      <c r="T2" s="165"/>
      <c r="U2" s="165"/>
      <c r="V2" s="165"/>
      <c r="W2" s="165"/>
      <c r="X2" s="166"/>
      <c r="Y2" s="167"/>
    </row>
    <row r="3" spans="1:25" s="1" customFormat="1" ht="13.5" customHeight="1" x14ac:dyDescent="0.15">
      <c r="A3" s="213" t="s">
        <v>6</v>
      </c>
      <c r="B3" s="215" t="s">
        <v>7</v>
      </c>
      <c r="C3" s="217" t="s">
        <v>8</v>
      </c>
      <c r="D3" s="217" t="s">
        <v>9</v>
      </c>
      <c r="E3" s="219" t="s">
        <v>10</v>
      </c>
      <c r="F3" s="243" t="s">
        <v>11</v>
      </c>
      <c r="G3" s="207" t="s">
        <v>273</v>
      </c>
      <c r="H3" s="230" t="s">
        <v>12</v>
      </c>
      <c r="I3" s="230"/>
      <c r="J3" s="230"/>
      <c r="K3" s="231"/>
      <c r="L3" s="232" t="s">
        <v>13</v>
      </c>
      <c r="M3" s="233"/>
      <c r="N3" s="233"/>
      <c r="O3" s="234"/>
      <c r="P3" s="234"/>
      <c r="Q3" s="234"/>
      <c r="R3" s="234"/>
      <c r="S3" s="234"/>
      <c r="T3" s="207" t="s">
        <v>358</v>
      </c>
      <c r="U3" s="230" t="s">
        <v>14</v>
      </c>
      <c r="V3" s="230"/>
      <c r="W3" s="230"/>
      <c r="X3" s="207" t="s">
        <v>15</v>
      </c>
      <c r="Y3" s="207" t="s">
        <v>16</v>
      </c>
    </row>
    <row r="4" spans="1:25" s="1" customFormat="1" ht="22.8" x14ac:dyDescent="0.15">
      <c r="A4" s="239"/>
      <c r="B4" s="240"/>
      <c r="C4" s="241"/>
      <c r="D4" s="241"/>
      <c r="E4" s="242"/>
      <c r="F4" s="244"/>
      <c r="G4" s="229"/>
      <c r="H4" s="66" t="s">
        <v>17</v>
      </c>
      <c r="I4" s="67" t="s">
        <v>18</v>
      </c>
      <c r="J4" s="68" t="s">
        <v>19</v>
      </c>
      <c r="K4" s="68" t="s">
        <v>20</v>
      </c>
      <c r="L4" s="69" t="s">
        <v>17</v>
      </c>
      <c r="M4" s="68" t="s">
        <v>21</v>
      </c>
      <c r="N4" s="68" t="s">
        <v>22</v>
      </c>
      <c r="O4" s="68" t="s">
        <v>23</v>
      </c>
      <c r="P4" s="68" t="s">
        <v>24</v>
      </c>
      <c r="Q4" s="68" t="s">
        <v>25</v>
      </c>
      <c r="R4" s="68" t="s">
        <v>26</v>
      </c>
      <c r="S4" s="68" t="s">
        <v>27</v>
      </c>
      <c r="T4" s="245"/>
      <c r="U4" s="66" t="s">
        <v>28</v>
      </c>
      <c r="V4" s="67" t="s">
        <v>29</v>
      </c>
      <c r="W4" s="68" t="s">
        <v>30</v>
      </c>
      <c r="X4" s="238"/>
      <c r="Y4" s="238"/>
    </row>
    <row r="5" spans="1:25" ht="22.8" x14ac:dyDescent="0.15">
      <c r="A5" s="19">
        <f>ROW()-4</f>
        <v>1</v>
      </c>
      <c r="B5" s="20" t="s">
        <v>219</v>
      </c>
      <c r="C5" s="20"/>
      <c r="D5" s="20"/>
      <c r="E5" s="95" t="s">
        <v>33</v>
      </c>
      <c r="F5" s="96" t="s">
        <v>34</v>
      </c>
      <c r="G5" s="118"/>
      <c r="H5" s="21"/>
      <c r="I5" s="22"/>
      <c r="J5" s="22"/>
      <c r="K5" s="23"/>
      <c r="L5" s="75"/>
      <c r="M5" s="24" t="s">
        <v>365</v>
      </c>
      <c r="N5" s="22"/>
      <c r="O5" s="24"/>
      <c r="P5" s="24"/>
      <c r="Q5" s="24"/>
      <c r="R5" s="22"/>
      <c r="S5" s="23"/>
      <c r="T5" s="170"/>
      <c r="U5" s="25">
        <v>45680</v>
      </c>
      <c r="V5" s="26"/>
      <c r="W5" s="27"/>
      <c r="X5" s="28" t="s">
        <v>374</v>
      </c>
      <c r="Y5" s="29" t="s">
        <v>347</v>
      </c>
    </row>
    <row r="6" spans="1:25" ht="11.4" x14ac:dyDescent="0.15">
      <c r="A6" s="19">
        <f t="shared" ref="A6:A69" si="0">ROW()-4</f>
        <v>2</v>
      </c>
      <c r="B6" s="20"/>
      <c r="C6" s="20" t="s">
        <v>207</v>
      </c>
      <c r="D6" s="20"/>
      <c r="E6" s="95" t="s">
        <v>56</v>
      </c>
      <c r="F6" s="96" t="s">
        <v>37</v>
      </c>
      <c r="G6" s="118"/>
      <c r="H6" s="21"/>
      <c r="I6" s="22"/>
      <c r="J6" s="22"/>
      <c r="K6" s="23"/>
      <c r="L6" s="21"/>
      <c r="M6" s="24" t="s">
        <v>365</v>
      </c>
      <c r="N6" s="22"/>
      <c r="O6" s="24"/>
      <c r="P6" s="24"/>
      <c r="Q6" s="24"/>
      <c r="R6" s="99"/>
      <c r="S6" s="23"/>
      <c r="T6" s="170"/>
      <c r="U6" s="25">
        <v>45680</v>
      </c>
      <c r="V6" s="26"/>
      <c r="W6" s="27"/>
      <c r="X6" s="28" t="s">
        <v>374</v>
      </c>
      <c r="Y6" s="29" t="s">
        <v>347</v>
      </c>
    </row>
    <row r="7" spans="1:25" ht="11.4" x14ac:dyDescent="0.15">
      <c r="A7" s="19">
        <f t="shared" si="0"/>
        <v>3</v>
      </c>
      <c r="B7" s="20"/>
      <c r="C7" s="20"/>
      <c r="D7" s="20"/>
      <c r="E7" s="95" t="s">
        <v>57</v>
      </c>
      <c r="F7" s="96" t="s">
        <v>37</v>
      </c>
      <c r="G7" s="119"/>
      <c r="H7" s="21"/>
      <c r="I7" s="22"/>
      <c r="J7" s="22"/>
      <c r="K7" s="23"/>
      <c r="L7" s="21"/>
      <c r="M7" s="24" t="s">
        <v>365</v>
      </c>
      <c r="N7" s="22"/>
      <c r="O7" s="24"/>
      <c r="P7" s="24"/>
      <c r="Q7" s="24"/>
      <c r="R7" s="99"/>
      <c r="S7" s="23"/>
      <c r="T7" s="170"/>
      <c r="U7" s="25">
        <v>45680</v>
      </c>
      <c r="V7" s="26"/>
      <c r="W7" s="27"/>
      <c r="X7" s="28" t="s">
        <v>374</v>
      </c>
      <c r="Y7" s="29" t="s">
        <v>347</v>
      </c>
    </row>
    <row r="8" spans="1:25" ht="11.4" x14ac:dyDescent="0.15">
      <c r="A8" s="19">
        <f t="shared" si="0"/>
        <v>4</v>
      </c>
      <c r="B8" s="20"/>
      <c r="C8" s="20"/>
      <c r="D8" s="20"/>
      <c r="E8" s="95" t="s">
        <v>208</v>
      </c>
      <c r="F8" s="96" t="s">
        <v>209</v>
      </c>
      <c r="G8" s="119"/>
      <c r="H8" s="21"/>
      <c r="I8" s="22"/>
      <c r="J8" s="22"/>
      <c r="K8" s="23"/>
      <c r="L8" s="21"/>
      <c r="M8" s="24" t="s">
        <v>365</v>
      </c>
      <c r="N8" s="22"/>
      <c r="O8" s="24"/>
      <c r="P8" s="24"/>
      <c r="Q8" s="24"/>
      <c r="R8" s="22"/>
      <c r="S8" s="23"/>
      <c r="T8" s="170"/>
      <c r="U8" s="25">
        <v>45680</v>
      </c>
      <c r="V8" s="26"/>
      <c r="W8" s="27"/>
      <c r="X8" s="28" t="s">
        <v>374</v>
      </c>
      <c r="Y8" s="29" t="s">
        <v>347</v>
      </c>
    </row>
    <row r="9" spans="1:25" ht="11.4" x14ac:dyDescent="0.15">
      <c r="A9" s="19">
        <f t="shared" si="0"/>
        <v>5</v>
      </c>
      <c r="B9" s="20"/>
      <c r="C9" s="20"/>
      <c r="D9" s="20"/>
      <c r="E9" s="95" t="s">
        <v>123</v>
      </c>
      <c r="F9" s="96" t="s">
        <v>121</v>
      </c>
      <c r="G9" s="119"/>
      <c r="H9" s="21"/>
      <c r="I9" s="22"/>
      <c r="J9" s="22"/>
      <c r="K9" s="23"/>
      <c r="L9" s="21"/>
      <c r="M9" s="24" t="s">
        <v>365</v>
      </c>
      <c r="N9" s="22"/>
      <c r="O9" s="24"/>
      <c r="P9" s="24"/>
      <c r="Q9" s="24"/>
      <c r="R9" s="99"/>
      <c r="S9" s="23"/>
      <c r="T9" s="170"/>
      <c r="U9" s="25">
        <v>45680</v>
      </c>
      <c r="V9" s="26"/>
      <c r="W9" s="27"/>
      <c r="X9" s="28" t="s">
        <v>374</v>
      </c>
      <c r="Y9" s="29" t="s">
        <v>347</v>
      </c>
    </row>
    <row r="10" spans="1:25" ht="45.6" x14ac:dyDescent="0.15">
      <c r="A10" s="19">
        <f t="shared" si="0"/>
        <v>6</v>
      </c>
      <c r="B10" s="20"/>
      <c r="C10" s="20"/>
      <c r="D10" s="20"/>
      <c r="E10" s="95" t="s">
        <v>124</v>
      </c>
      <c r="F10" s="96" t="s">
        <v>295</v>
      </c>
      <c r="G10" s="125" t="s">
        <v>274</v>
      </c>
      <c r="H10" s="21"/>
      <c r="I10" s="22"/>
      <c r="J10" s="22"/>
      <c r="K10" s="23"/>
      <c r="L10" s="21"/>
      <c r="M10" s="24" t="s">
        <v>365</v>
      </c>
      <c r="N10" s="22"/>
      <c r="O10" s="24"/>
      <c r="P10" s="24"/>
      <c r="Q10" s="24"/>
      <c r="R10" s="99"/>
      <c r="S10" s="23"/>
      <c r="T10" s="170"/>
      <c r="U10" s="25">
        <v>45680</v>
      </c>
      <c r="V10" s="26"/>
      <c r="W10" s="27"/>
      <c r="X10" s="28" t="s">
        <v>374</v>
      </c>
      <c r="Y10" s="29" t="s">
        <v>347</v>
      </c>
    </row>
    <row r="11" spans="1:25" ht="11.4" x14ac:dyDescent="0.15">
      <c r="A11" s="19">
        <f t="shared" si="0"/>
        <v>7</v>
      </c>
      <c r="B11" s="20"/>
      <c r="C11" s="102" t="s">
        <v>127</v>
      </c>
      <c r="D11" s="20"/>
      <c r="E11" s="95" t="s">
        <v>56</v>
      </c>
      <c r="F11" s="96" t="s">
        <v>37</v>
      </c>
      <c r="G11" s="119"/>
      <c r="H11" s="21"/>
      <c r="I11" s="22"/>
      <c r="J11" s="22"/>
      <c r="K11" s="23"/>
      <c r="L11" s="21"/>
      <c r="M11" s="24" t="s">
        <v>365</v>
      </c>
      <c r="N11" s="22"/>
      <c r="O11" s="24"/>
      <c r="P11" s="24"/>
      <c r="Q11" s="24"/>
      <c r="R11" s="99"/>
      <c r="S11" s="23"/>
      <c r="T11" s="170"/>
      <c r="U11" s="25">
        <v>45680</v>
      </c>
      <c r="V11" s="26"/>
      <c r="W11" s="27"/>
      <c r="X11" s="28" t="s">
        <v>374</v>
      </c>
      <c r="Y11" s="29" t="s">
        <v>347</v>
      </c>
    </row>
    <row r="12" spans="1:25" ht="11.4" x14ac:dyDescent="0.15">
      <c r="A12" s="19">
        <f t="shared" si="0"/>
        <v>8</v>
      </c>
      <c r="B12" s="20"/>
      <c r="C12" s="102"/>
      <c r="D12" s="20"/>
      <c r="E12" s="95" t="s">
        <v>57</v>
      </c>
      <c r="F12" s="96" t="s">
        <v>37</v>
      </c>
      <c r="G12" s="118"/>
      <c r="H12" s="21"/>
      <c r="I12" s="22"/>
      <c r="J12" s="22"/>
      <c r="K12" s="23"/>
      <c r="L12" s="21"/>
      <c r="M12" s="24" t="s">
        <v>365</v>
      </c>
      <c r="N12" s="22"/>
      <c r="O12" s="24"/>
      <c r="P12" s="24"/>
      <c r="Q12" s="24"/>
      <c r="R12" s="22"/>
      <c r="S12" s="23"/>
      <c r="T12" s="170"/>
      <c r="U12" s="25">
        <v>45680</v>
      </c>
      <c r="V12" s="26"/>
      <c r="W12" s="27"/>
      <c r="X12" s="28" t="s">
        <v>374</v>
      </c>
      <c r="Y12" s="29" t="s">
        <v>347</v>
      </c>
    </row>
    <row r="13" spans="1:25" ht="11.4" x14ac:dyDescent="0.15">
      <c r="A13" s="19">
        <f t="shared" si="0"/>
        <v>9</v>
      </c>
      <c r="B13" s="20"/>
      <c r="C13" s="102"/>
      <c r="D13" s="20"/>
      <c r="E13" s="95" t="s">
        <v>58</v>
      </c>
      <c r="F13" s="96" t="s">
        <v>59</v>
      </c>
      <c r="G13" s="120"/>
      <c r="H13" s="21"/>
      <c r="I13" s="22"/>
      <c r="J13" s="22"/>
      <c r="K13" s="23"/>
      <c r="L13" s="21"/>
      <c r="M13" s="24" t="s">
        <v>365</v>
      </c>
      <c r="N13" s="22"/>
      <c r="O13" s="24"/>
      <c r="P13" s="24"/>
      <c r="Q13" s="24"/>
      <c r="R13" s="22"/>
      <c r="S13" s="23"/>
      <c r="T13" s="170"/>
      <c r="U13" s="25">
        <v>45680</v>
      </c>
      <c r="V13" s="26"/>
      <c r="W13" s="27"/>
      <c r="X13" s="28" t="s">
        <v>374</v>
      </c>
      <c r="Y13" s="29" t="s">
        <v>347</v>
      </c>
    </row>
    <row r="14" spans="1:25" ht="11.4" x14ac:dyDescent="0.15">
      <c r="A14" s="19">
        <f t="shared" si="0"/>
        <v>10</v>
      </c>
      <c r="B14" s="20"/>
      <c r="C14" s="102"/>
      <c r="D14" s="20"/>
      <c r="E14" s="95" t="s">
        <v>128</v>
      </c>
      <c r="F14" s="96" t="s">
        <v>121</v>
      </c>
      <c r="G14" s="118"/>
      <c r="H14" s="21"/>
      <c r="I14" s="22"/>
      <c r="J14" s="22"/>
      <c r="K14" s="23"/>
      <c r="L14" s="21"/>
      <c r="M14" s="24" t="s">
        <v>365</v>
      </c>
      <c r="N14" s="22"/>
      <c r="O14" s="24"/>
      <c r="P14" s="24"/>
      <c r="Q14" s="24"/>
      <c r="R14" s="22"/>
      <c r="S14" s="23"/>
      <c r="T14" s="170"/>
      <c r="U14" s="25">
        <v>45680</v>
      </c>
      <c r="V14" s="26"/>
      <c r="W14" s="27"/>
      <c r="X14" s="28" t="s">
        <v>374</v>
      </c>
      <c r="Y14" s="29" t="s">
        <v>347</v>
      </c>
    </row>
    <row r="15" spans="1:25" ht="11.4" x14ac:dyDescent="0.15">
      <c r="A15" s="19">
        <f t="shared" si="0"/>
        <v>11</v>
      </c>
      <c r="B15" s="20"/>
      <c r="C15" s="102"/>
      <c r="D15" s="20"/>
      <c r="E15" s="95" t="s">
        <v>62</v>
      </c>
      <c r="F15" s="96" t="s">
        <v>37</v>
      </c>
      <c r="G15" s="118"/>
      <c r="H15" s="21"/>
      <c r="I15" s="22"/>
      <c r="J15" s="22"/>
      <c r="K15" s="23"/>
      <c r="L15" s="21"/>
      <c r="M15" s="24" t="s">
        <v>365</v>
      </c>
      <c r="N15" s="22"/>
      <c r="O15" s="24"/>
      <c r="P15" s="24"/>
      <c r="Q15" s="24"/>
      <c r="R15" s="22"/>
      <c r="S15" s="23"/>
      <c r="T15" s="170"/>
      <c r="U15" s="25">
        <v>45680</v>
      </c>
      <c r="V15" s="26"/>
      <c r="W15" s="27"/>
      <c r="X15" s="28" t="s">
        <v>374</v>
      </c>
      <c r="Y15" s="29" t="s">
        <v>347</v>
      </c>
    </row>
    <row r="16" spans="1:25" ht="11.4" x14ac:dyDescent="0.15">
      <c r="A16" s="19">
        <f t="shared" si="0"/>
        <v>12</v>
      </c>
      <c r="B16" s="20"/>
      <c r="C16" s="102"/>
      <c r="D16" s="20"/>
      <c r="E16" s="95" t="s">
        <v>63</v>
      </c>
      <c r="F16" s="96" t="s">
        <v>64</v>
      </c>
      <c r="G16" s="119"/>
      <c r="H16" s="21"/>
      <c r="I16" s="22"/>
      <c r="J16" s="22"/>
      <c r="K16" s="23"/>
      <c r="L16" s="21"/>
      <c r="M16" s="24" t="s">
        <v>365</v>
      </c>
      <c r="N16" s="22"/>
      <c r="O16" s="24"/>
      <c r="P16" s="24"/>
      <c r="Q16" s="24"/>
      <c r="R16" s="22"/>
      <c r="S16" s="23"/>
      <c r="T16" s="170"/>
      <c r="U16" s="25">
        <v>45680</v>
      </c>
      <c r="V16" s="26"/>
      <c r="W16" s="27"/>
      <c r="X16" s="28" t="s">
        <v>374</v>
      </c>
      <c r="Y16" s="29" t="s">
        <v>347</v>
      </c>
    </row>
    <row r="17" spans="1:25" ht="11.4" x14ac:dyDescent="0.15">
      <c r="A17" s="19">
        <f t="shared" si="0"/>
        <v>13</v>
      </c>
      <c r="B17" s="20"/>
      <c r="C17" s="102"/>
      <c r="D17" s="20"/>
      <c r="E17" s="95" t="s">
        <v>65</v>
      </c>
      <c r="F17" s="96" t="s">
        <v>66</v>
      </c>
      <c r="G17" s="119"/>
      <c r="H17" s="21"/>
      <c r="I17" s="22"/>
      <c r="J17" s="22"/>
      <c r="K17" s="23"/>
      <c r="L17" s="21"/>
      <c r="M17" s="24" t="s">
        <v>365</v>
      </c>
      <c r="N17" s="22"/>
      <c r="O17" s="24"/>
      <c r="P17" s="24"/>
      <c r="Q17" s="24"/>
      <c r="R17" s="22"/>
      <c r="S17" s="23"/>
      <c r="T17" s="170"/>
      <c r="U17" s="25">
        <v>45680</v>
      </c>
      <c r="V17" s="26"/>
      <c r="W17" s="27"/>
      <c r="X17" s="28" t="s">
        <v>374</v>
      </c>
      <c r="Y17" s="29" t="s">
        <v>347</v>
      </c>
    </row>
    <row r="18" spans="1:25" ht="11.4" x14ac:dyDescent="0.15">
      <c r="A18" s="19">
        <f t="shared" si="0"/>
        <v>14</v>
      </c>
      <c r="B18" s="20"/>
      <c r="C18" s="102"/>
      <c r="D18" s="20"/>
      <c r="E18" s="95" t="s">
        <v>129</v>
      </c>
      <c r="F18" s="96" t="s">
        <v>121</v>
      </c>
      <c r="G18" s="119"/>
      <c r="H18" s="21"/>
      <c r="I18" s="22"/>
      <c r="J18" s="22"/>
      <c r="K18" s="23"/>
      <c r="L18" s="21"/>
      <c r="M18" s="24" t="s">
        <v>365</v>
      </c>
      <c r="N18" s="22"/>
      <c r="O18" s="24"/>
      <c r="P18" s="24"/>
      <c r="Q18" s="24"/>
      <c r="R18" s="22"/>
      <c r="S18" s="23"/>
      <c r="T18" s="170"/>
      <c r="U18" s="25">
        <v>45680</v>
      </c>
      <c r="V18" s="26"/>
      <c r="W18" s="27"/>
      <c r="X18" s="28" t="s">
        <v>374</v>
      </c>
      <c r="Y18" s="29" t="s">
        <v>347</v>
      </c>
    </row>
    <row r="19" spans="1:25" ht="45.6" x14ac:dyDescent="0.15">
      <c r="A19" s="19">
        <f t="shared" si="0"/>
        <v>15</v>
      </c>
      <c r="B19" s="20"/>
      <c r="C19" s="102"/>
      <c r="D19" s="20"/>
      <c r="E19" s="95" t="s">
        <v>63</v>
      </c>
      <c r="F19" s="96" t="s">
        <v>360</v>
      </c>
      <c r="G19" s="125" t="s">
        <v>274</v>
      </c>
      <c r="H19" s="21"/>
      <c r="I19" s="22"/>
      <c r="J19" s="22"/>
      <c r="K19" s="23"/>
      <c r="L19" s="21"/>
      <c r="M19" s="24" t="s">
        <v>365</v>
      </c>
      <c r="N19" s="22"/>
      <c r="O19" s="24"/>
      <c r="P19" s="24"/>
      <c r="Q19" s="24"/>
      <c r="R19" s="22"/>
      <c r="S19" s="23"/>
      <c r="T19" s="170"/>
      <c r="U19" s="25">
        <v>45680</v>
      </c>
      <c r="V19" s="26"/>
      <c r="W19" s="27"/>
      <c r="X19" s="28" t="s">
        <v>374</v>
      </c>
      <c r="Y19" s="29" t="s">
        <v>347</v>
      </c>
    </row>
    <row r="20" spans="1:25" ht="11.4" x14ac:dyDescent="0.15">
      <c r="A20" s="19">
        <f t="shared" si="0"/>
        <v>16</v>
      </c>
      <c r="B20" s="20"/>
      <c r="C20" s="102"/>
      <c r="D20" s="20"/>
      <c r="E20" s="95" t="s">
        <v>130</v>
      </c>
      <c r="F20" s="96" t="s">
        <v>37</v>
      </c>
      <c r="G20" s="119"/>
      <c r="H20" s="21"/>
      <c r="I20" s="22"/>
      <c r="J20" s="22"/>
      <c r="K20" s="23"/>
      <c r="L20" s="21"/>
      <c r="M20" s="24" t="s">
        <v>365</v>
      </c>
      <c r="N20" s="22"/>
      <c r="O20" s="24"/>
      <c r="P20" s="24"/>
      <c r="Q20" s="24"/>
      <c r="R20" s="22"/>
      <c r="S20" s="23"/>
      <c r="T20" s="170"/>
      <c r="U20" s="25">
        <v>45680</v>
      </c>
      <c r="V20" s="26"/>
      <c r="W20" s="27"/>
      <c r="X20" s="28" t="s">
        <v>374</v>
      </c>
      <c r="Y20" s="29" t="s">
        <v>347</v>
      </c>
    </row>
    <row r="21" spans="1:25" ht="11.4" x14ac:dyDescent="0.15">
      <c r="A21" s="19">
        <f t="shared" si="0"/>
        <v>17</v>
      </c>
      <c r="B21" s="20"/>
      <c r="C21" s="102"/>
      <c r="D21" s="20"/>
      <c r="E21" s="95" t="s">
        <v>131</v>
      </c>
      <c r="F21" s="96" t="s">
        <v>121</v>
      </c>
      <c r="G21" s="118"/>
      <c r="H21" s="21"/>
      <c r="I21" s="22"/>
      <c r="J21" s="22"/>
      <c r="K21" s="23"/>
      <c r="L21" s="21"/>
      <c r="M21" s="24" t="s">
        <v>365</v>
      </c>
      <c r="N21" s="22"/>
      <c r="O21" s="24"/>
      <c r="P21" s="24"/>
      <c r="Q21" s="24"/>
      <c r="R21" s="22"/>
      <c r="S21" s="23"/>
      <c r="T21" s="170"/>
      <c r="U21" s="25">
        <v>45680</v>
      </c>
      <c r="V21" s="26"/>
      <c r="W21" s="27"/>
      <c r="X21" s="28" t="s">
        <v>374</v>
      </c>
      <c r="Y21" s="29" t="s">
        <v>347</v>
      </c>
    </row>
    <row r="22" spans="1:25" ht="11.4" x14ac:dyDescent="0.15">
      <c r="A22" s="19">
        <f t="shared" si="0"/>
        <v>18</v>
      </c>
      <c r="B22" s="20"/>
      <c r="C22" s="102"/>
      <c r="D22" s="20"/>
      <c r="E22" s="95" t="s">
        <v>63</v>
      </c>
      <c r="F22" s="96" t="s">
        <v>132</v>
      </c>
      <c r="G22" s="120"/>
      <c r="H22" s="21"/>
      <c r="I22" s="22"/>
      <c r="J22" s="22"/>
      <c r="K22" s="23"/>
      <c r="L22" s="21"/>
      <c r="M22" s="24" t="s">
        <v>365</v>
      </c>
      <c r="N22" s="22"/>
      <c r="O22" s="24"/>
      <c r="P22" s="24"/>
      <c r="Q22" s="24"/>
      <c r="R22" s="22"/>
      <c r="S22" s="23"/>
      <c r="T22" s="170"/>
      <c r="U22" s="25">
        <v>45680</v>
      </c>
      <c r="V22" s="26"/>
      <c r="W22" s="27"/>
      <c r="X22" s="28" t="s">
        <v>374</v>
      </c>
      <c r="Y22" s="29" t="s">
        <v>347</v>
      </c>
    </row>
    <row r="23" spans="1:25" ht="11.4" x14ac:dyDescent="0.15">
      <c r="A23" s="19">
        <f t="shared" si="0"/>
        <v>19</v>
      </c>
      <c r="B23" s="20"/>
      <c r="C23" s="102"/>
      <c r="D23" s="20"/>
      <c r="E23" s="95" t="s">
        <v>133</v>
      </c>
      <c r="F23" s="96" t="s">
        <v>134</v>
      </c>
      <c r="G23" s="118"/>
      <c r="H23" s="21"/>
      <c r="I23" s="22"/>
      <c r="J23" s="22"/>
      <c r="K23" s="23"/>
      <c r="L23" s="21"/>
      <c r="M23" s="24" t="s">
        <v>365</v>
      </c>
      <c r="N23" s="22"/>
      <c r="O23" s="24"/>
      <c r="P23" s="24"/>
      <c r="Q23" s="24"/>
      <c r="R23" s="22"/>
      <c r="S23" s="23"/>
      <c r="T23" s="170"/>
      <c r="U23" s="25">
        <v>45680</v>
      </c>
      <c r="V23" s="26"/>
      <c r="W23" s="27"/>
      <c r="X23" s="28" t="s">
        <v>374</v>
      </c>
      <c r="Y23" s="29" t="s">
        <v>347</v>
      </c>
    </row>
    <row r="24" spans="1:25" ht="11.4" x14ac:dyDescent="0.15">
      <c r="A24" s="19">
        <f t="shared" si="0"/>
        <v>20</v>
      </c>
      <c r="B24" s="20"/>
      <c r="C24" s="102"/>
      <c r="D24" s="20"/>
      <c r="E24" s="95" t="s">
        <v>135</v>
      </c>
      <c r="F24" s="96" t="s">
        <v>121</v>
      </c>
      <c r="G24" s="118"/>
      <c r="H24" s="21"/>
      <c r="I24" s="22"/>
      <c r="J24" s="22"/>
      <c r="K24" s="23"/>
      <c r="L24" s="21"/>
      <c r="M24" s="24" t="s">
        <v>365</v>
      </c>
      <c r="N24" s="22"/>
      <c r="O24" s="24"/>
      <c r="P24" s="24"/>
      <c r="Q24" s="24"/>
      <c r="R24" s="22"/>
      <c r="S24" s="23"/>
      <c r="T24" s="170"/>
      <c r="U24" s="25">
        <v>45680</v>
      </c>
      <c r="V24" s="26"/>
      <c r="W24" s="27"/>
      <c r="X24" s="28" t="s">
        <v>374</v>
      </c>
      <c r="Y24" s="29" t="s">
        <v>347</v>
      </c>
    </row>
    <row r="25" spans="1:25" ht="45.6" x14ac:dyDescent="0.15">
      <c r="A25" s="19">
        <f t="shared" si="0"/>
        <v>21</v>
      </c>
      <c r="B25" s="20"/>
      <c r="C25" s="102"/>
      <c r="D25" s="20"/>
      <c r="E25" s="95" t="s">
        <v>63</v>
      </c>
      <c r="F25" s="96" t="s">
        <v>362</v>
      </c>
      <c r="G25" s="125" t="s">
        <v>274</v>
      </c>
      <c r="H25" s="21"/>
      <c r="I25" s="22"/>
      <c r="J25" s="22"/>
      <c r="K25" s="23"/>
      <c r="L25" s="21"/>
      <c r="M25" s="24" t="s">
        <v>365</v>
      </c>
      <c r="N25" s="22"/>
      <c r="O25" s="24"/>
      <c r="P25" s="24"/>
      <c r="Q25" s="24"/>
      <c r="R25" s="22"/>
      <c r="S25" s="23"/>
      <c r="T25" s="170"/>
      <c r="U25" s="25">
        <v>45680</v>
      </c>
      <c r="V25" s="26"/>
      <c r="W25" s="27"/>
      <c r="X25" s="28" t="s">
        <v>374</v>
      </c>
      <c r="Y25" s="29" t="s">
        <v>347</v>
      </c>
    </row>
    <row r="26" spans="1:25" ht="11.4" x14ac:dyDescent="0.15">
      <c r="A26" s="19">
        <f t="shared" si="0"/>
        <v>22</v>
      </c>
      <c r="B26" s="20"/>
      <c r="C26" s="102" t="s">
        <v>136</v>
      </c>
      <c r="D26" s="20"/>
      <c r="E26" s="95" t="s">
        <v>56</v>
      </c>
      <c r="F26" s="96" t="s">
        <v>37</v>
      </c>
      <c r="G26" s="118"/>
      <c r="H26" s="21"/>
      <c r="I26" s="22"/>
      <c r="J26" s="22"/>
      <c r="K26" s="23"/>
      <c r="L26" s="21"/>
      <c r="M26" s="24" t="s">
        <v>365</v>
      </c>
      <c r="N26" s="22"/>
      <c r="O26" s="24"/>
      <c r="P26" s="24"/>
      <c r="Q26" s="24"/>
      <c r="R26" s="99"/>
      <c r="S26" s="23"/>
      <c r="T26" s="170"/>
      <c r="U26" s="25">
        <v>45680</v>
      </c>
      <c r="V26" s="26"/>
      <c r="W26" s="27"/>
      <c r="X26" s="28" t="s">
        <v>374</v>
      </c>
      <c r="Y26" s="29" t="s">
        <v>347</v>
      </c>
    </row>
    <row r="27" spans="1:25" ht="11.4" x14ac:dyDescent="0.15">
      <c r="A27" s="19">
        <f t="shared" si="0"/>
        <v>23</v>
      </c>
      <c r="B27" s="20"/>
      <c r="C27" s="102"/>
      <c r="D27" s="20"/>
      <c r="E27" s="95" t="s">
        <v>57</v>
      </c>
      <c r="F27" s="96" t="s">
        <v>37</v>
      </c>
      <c r="G27" s="118"/>
      <c r="H27" s="21"/>
      <c r="I27" s="22"/>
      <c r="J27" s="22"/>
      <c r="K27" s="23"/>
      <c r="L27" s="21"/>
      <c r="M27" s="24" t="s">
        <v>365</v>
      </c>
      <c r="N27" s="22"/>
      <c r="O27" s="24"/>
      <c r="P27" s="24"/>
      <c r="Q27" s="24"/>
      <c r="R27" s="22"/>
      <c r="S27" s="23"/>
      <c r="T27" s="170"/>
      <c r="U27" s="25">
        <v>45680</v>
      </c>
      <c r="V27" s="26"/>
      <c r="W27" s="27"/>
      <c r="X27" s="28" t="s">
        <v>374</v>
      </c>
      <c r="Y27" s="29" t="s">
        <v>347</v>
      </c>
    </row>
    <row r="28" spans="1:25" ht="11.4" x14ac:dyDescent="0.15">
      <c r="A28" s="19">
        <f t="shared" si="0"/>
        <v>24</v>
      </c>
      <c r="B28" s="20"/>
      <c r="C28" s="20"/>
      <c r="D28" s="20"/>
      <c r="E28" s="95" t="s">
        <v>137</v>
      </c>
      <c r="F28" s="96" t="s">
        <v>138</v>
      </c>
      <c r="G28" s="119"/>
      <c r="H28" s="21"/>
      <c r="I28" s="22"/>
      <c r="J28" s="22"/>
      <c r="K28" s="23"/>
      <c r="L28" s="21"/>
      <c r="M28" s="24" t="s">
        <v>365</v>
      </c>
      <c r="N28" s="22"/>
      <c r="O28" s="24"/>
      <c r="P28" s="24"/>
      <c r="Q28" s="24"/>
      <c r="R28" s="22"/>
      <c r="S28" s="23"/>
      <c r="T28" s="170"/>
      <c r="U28" s="25">
        <v>45680</v>
      </c>
      <c r="V28" s="26"/>
      <c r="W28" s="27"/>
      <c r="X28" s="28" t="s">
        <v>374</v>
      </c>
      <c r="Y28" s="29" t="s">
        <v>347</v>
      </c>
    </row>
    <row r="29" spans="1:25" ht="11.4" x14ac:dyDescent="0.15">
      <c r="A29" s="19">
        <f t="shared" si="0"/>
        <v>25</v>
      </c>
      <c r="B29" s="20"/>
      <c r="C29" s="20"/>
      <c r="D29" s="20"/>
      <c r="E29" s="95" t="s">
        <v>125</v>
      </c>
      <c r="F29" s="96" t="s">
        <v>139</v>
      </c>
      <c r="G29" s="119"/>
      <c r="H29" s="21"/>
      <c r="I29" s="22"/>
      <c r="J29" s="22"/>
      <c r="K29" s="23"/>
      <c r="L29" s="75"/>
      <c r="M29" s="24" t="s">
        <v>365</v>
      </c>
      <c r="N29" s="22"/>
      <c r="O29" s="24"/>
      <c r="P29" s="24"/>
      <c r="Q29" s="24"/>
      <c r="R29" s="22"/>
      <c r="S29" s="23"/>
      <c r="T29" s="170"/>
      <c r="U29" s="25">
        <v>45680</v>
      </c>
      <c r="V29" s="26"/>
      <c r="W29" s="27"/>
      <c r="X29" s="28" t="s">
        <v>374</v>
      </c>
      <c r="Y29" s="29" t="s">
        <v>347</v>
      </c>
    </row>
    <row r="30" spans="1:25" ht="11.4" x14ac:dyDescent="0.15">
      <c r="A30" s="19">
        <f t="shared" si="0"/>
        <v>26</v>
      </c>
      <c r="B30" s="20"/>
      <c r="C30" s="20"/>
      <c r="D30" s="20"/>
      <c r="E30" s="95" t="s">
        <v>140</v>
      </c>
      <c r="F30" s="96" t="s">
        <v>121</v>
      </c>
      <c r="G30" s="119"/>
      <c r="H30" s="21"/>
      <c r="I30" s="22"/>
      <c r="J30" s="22"/>
      <c r="K30" s="23"/>
      <c r="L30" s="75"/>
      <c r="M30" s="24" t="s">
        <v>35</v>
      </c>
      <c r="N30" s="22"/>
      <c r="O30" s="24"/>
      <c r="P30" s="24"/>
      <c r="Q30" s="24"/>
      <c r="R30" s="22"/>
      <c r="S30" s="23"/>
      <c r="T30" s="170"/>
      <c r="U30" s="175"/>
      <c r="V30" s="176"/>
      <c r="W30" s="177"/>
      <c r="X30" s="28"/>
      <c r="Y30" s="29" t="s">
        <v>347</v>
      </c>
    </row>
    <row r="31" spans="1:25" ht="11.4" x14ac:dyDescent="0.15">
      <c r="A31" s="19">
        <f t="shared" si="0"/>
        <v>27</v>
      </c>
      <c r="B31" s="20"/>
      <c r="C31" s="20"/>
      <c r="D31" s="20"/>
      <c r="E31" s="95" t="s">
        <v>126</v>
      </c>
      <c r="F31" s="96" t="s">
        <v>37</v>
      </c>
      <c r="G31" s="119"/>
      <c r="H31" s="21"/>
      <c r="I31" s="22"/>
      <c r="J31" s="22"/>
      <c r="K31" s="23"/>
      <c r="L31" s="75"/>
      <c r="M31" s="24" t="s">
        <v>35</v>
      </c>
      <c r="N31" s="22"/>
      <c r="O31" s="24"/>
      <c r="P31" s="24"/>
      <c r="Q31" s="24"/>
      <c r="R31" s="22"/>
      <c r="S31" s="23"/>
      <c r="T31" s="170"/>
      <c r="U31" s="175"/>
      <c r="V31" s="176"/>
      <c r="W31" s="177"/>
      <c r="X31" s="28"/>
      <c r="Y31" s="29" t="s">
        <v>347</v>
      </c>
    </row>
    <row r="32" spans="1:25" ht="45.6" x14ac:dyDescent="0.15">
      <c r="A32" s="19">
        <f t="shared" si="0"/>
        <v>28</v>
      </c>
      <c r="B32" s="20"/>
      <c r="C32" s="20"/>
      <c r="D32" s="20"/>
      <c r="E32" s="95" t="s">
        <v>124</v>
      </c>
      <c r="F32" s="96" t="s">
        <v>298</v>
      </c>
      <c r="G32" s="125" t="s">
        <v>274</v>
      </c>
      <c r="H32" s="21"/>
      <c r="I32" s="22"/>
      <c r="J32" s="22"/>
      <c r="K32" s="23"/>
      <c r="L32" s="75"/>
      <c r="M32" s="24" t="s">
        <v>35</v>
      </c>
      <c r="N32" s="22"/>
      <c r="O32" s="24"/>
      <c r="P32" s="24"/>
      <c r="Q32" s="24"/>
      <c r="R32" s="22"/>
      <c r="S32" s="23"/>
      <c r="T32" s="170"/>
      <c r="U32" s="175"/>
      <c r="V32" s="176"/>
      <c r="W32" s="177"/>
      <c r="X32" s="28"/>
      <c r="Y32" s="29" t="s">
        <v>347</v>
      </c>
    </row>
    <row r="33" spans="1:25" ht="11.4" x14ac:dyDescent="0.15">
      <c r="A33" s="19">
        <f t="shared" si="0"/>
        <v>29</v>
      </c>
      <c r="B33" s="20"/>
      <c r="C33" s="20" t="s">
        <v>210</v>
      </c>
      <c r="D33" s="20"/>
      <c r="E33" s="95" t="s">
        <v>56</v>
      </c>
      <c r="F33" s="96" t="s">
        <v>37</v>
      </c>
      <c r="G33" s="118"/>
      <c r="H33" s="21"/>
      <c r="I33" s="22"/>
      <c r="J33" s="22"/>
      <c r="K33" s="23"/>
      <c r="L33" s="75"/>
      <c r="M33" s="24" t="s">
        <v>365</v>
      </c>
      <c r="N33" s="22"/>
      <c r="O33" s="24"/>
      <c r="P33" s="24"/>
      <c r="Q33" s="24"/>
      <c r="R33" s="22"/>
      <c r="S33" s="23"/>
      <c r="T33" s="170"/>
      <c r="U33" s="25">
        <v>45680</v>
      </c>
      <c r="V33" s="26"/>
      <c r="W33" s="27"/>
      <c r="X33" s="28" t="s">
        <v>374</v>
      </c>
      <c r="Y33" s="29" t="s">
        <v>347</v>
      </c>
    </row>
    <row r="34" spans="1:25" ht="11.4" x14ac:dyDescent="0.15">
      <c r="A34" s="19">
        <f t="shared" si="0"/>
        <v>30</v>
      </c>
      <c r="B34" s="20"/>
      <c r="C34" s="20"/>
      <c r="D34" s="20"/>
      <c r="E34" s="95" t="s">
        <v>122</v>
      </c>
      <c r="F34" s="96" t="s">
        <v>37</v>
      </c>
      <c r="G34" s="120"/>
      <c r="H34" s="21"/>
      <c r="I34" s="22"/>
      <c r="J34" s="22"/>
      <c r="K34" s="23"/>
      <c r="L34" s="75"/>
      <c r="M34" s="24" t="s">
        <v>365</v>
      </c>
      <c r="N34" s="22"/>
      <c r="O34" s="24"/>
      <c r="P34" s="24"/>
      <c r="Q34" s="24"/>
      <c r="R34" s="22"/>
      <c r="S34" s="23"/>
      <c r="T34" s="170"/>
      <c r="U34" s="25">
        <v>45680</v>
      </c>
      <c r="V34" s="26"/>
      <c r="W34" s="27"/>
      <c r="X34" s="28" t="s">
        <v>374</v>
      </c>
      <c r="Y34" s="29" t="s">
        <v>347</v>
      </c>
    </row>
    <row r="35" spans="1:25" ht="11.4" x14ac:dyDescent="0.15">
      <c r="A35" s="19">
        <f t="shared" si="0"/>
        <v>31</v>
      </c>
      <c r="B35" s="20"/>
      <c r="C35" s="20"/>
      <c r="D35" s="20"/>
      <c r="E35" s="95" t="s">
        <v>211</v>
      </c>
      <c r="F35" s="96" t="s">
        <v>212</v>
      </c>
      <c r="G35" s="118"/>
      <c r="H35" s="21"/>
      <c r="I35" s="22"/>
      <c r="J35" s="22"/>
      <c r="K35" s="23"/>
      <c r="L35" s="75"/>
      <c r="M35" s="24" t="s">
        <v>365</v>
      </c>
      <c r="N35" s="22"/>
      <c r="O35" s="24"/>
      <c r="P35" s="24"/>
      <c r="Q35" s="24"/>
      <c r="R35" s="22"/>
      <c r="S35" s="23"/>
      <c r="T35" s="170"/>
      <c r="U35" s="25">
        <v>45680</v>
      </c>
      <c r="V35" s="26"/>
      <c r="W35" s="27"/>
      <c r="X35" s="28" t="s">
        <v>374</v>
      </c>
      <c r="Y35" s="29" t="s">
        <v>347</v>
      </c>
    </row>
    <row r="36" spans="1:25" ht="11.4" x14ac:dyDescent="0.15">
      <c r="A36" s="19">
        <f t="shared" si="0"/>
        <v>32</v>
      </c>
      <c r="B36" s="20"/>
      <c r="C36" s="20"/>
      <c r="D36" s="20"/>
      <c r="E36" s="95" t="s">
        <v>213</v>
      </c>
      <c r="F36" s="96" t="s">
        <v>214</v>
      </c>
      <c r="G36" s="118"/>
      <c r="H36" s="21"/>
      <c r="I36" s="22"/>
      <c r="J36" s="22"/>
      <c r="K36" s="23"/>
      <c r="L36" s="75"/>
      <c r="M36" s="24" t="s">
        <v>365</v>
      </c>
      <c r="N36" s="22"/>
      <c r="O36" s="24"/>
      <c r="P36" s="24"/>
      <c r="Q36" s="24"/>
      <c r="R36" s="22"/>
      <c r="S36" s="23"/>
      <c r="T36" s="170"/>
      <c r="U36" s="25">
        <v>45680</v>
      </c>
      <c r="V36" s="26"/>
      <c r="W36" s="27"/>
      <c r="X36" s="28" t="s">
        <v>374</v>
      </c>
      <c r="Y36" s="29" t="s">
        <v>347</v>
      </c>
    </row>
    <row r="37" spans="1:25" ht="11.4" x14ac:dyDescent="0.15">
      <c r="A37" s="19">
        <f t="shared" si="0"/>
        <v>33</v>
      </c>
      <c r="B37" s="20"/>
      <c r="C37" s="20" t="s">
        <v>215</v>
      </c>
      <c r="D37" s="20"/>
      <c r="E37" s="95" t="s">
        <v>56</v>
      </c>
      <c r="F37" s="96" t="s">
        <v>37</v>
      </c>
      <c r="G37" s="119"/>
      <c r="H37" s="21"/>
      <c r="I37" s="22"/>
      <c r="J37" s="22"/>
      <c r="K37" s="23"/>
      <c r="L37" s="75"/>
      <c r="M37" s="24" t="s">
        <v>365</v>
      </c>
      <c r="N37" s="22"/>
      <c r="O37" s="24"/>
      <c r="P37" s="24"/>
      <c r="Q37" s="24"/>
      <c r="R37" s="22"/>
      <c r="S37" s="23"/>
      <c r="T37" s="170"/>
      <c r="U37" s="25">
        <v>45680</v>
      </c>
      <c r="V37" s="26"/>
      <c r="W37" s="27"/>
      <c r="X37" s="28" t="s">
        <v>374</v>
      </c>
      <c r="Y37" s="29" t="s">
        <v>347</v>
      </c>
    </row>
    <row r="38" spans="1:25" ht="11.4" x14ac:dyDescent="0.15">
      <c r="A38" s="19">
        <f t="shared" si="0"/>
        <v>34</v>
      </c>
      <c r="B38" s="20"/>
      <c r="C38" s="20"/>
      <c r="D38" s="20"/>
      <c r="E38" s="95" t="s">
        <v>217</v>
      </c>
      <c r="F38" s="96" t="s">
        <v>37</v>
      </c>
      <c r="G38" s="119"/>
      <c r="H38" s="21"/>
      <c r="I38" s="22"/>
      <c r="J38" s="22"/>
      <c r="K38" s="23"/>
      <c r="L38" s="75"/>
      <c r="M38" s="24" t="s">
        <v>365</v>
      </c>
      <c r="N38" s="22"/>
      <c r="O38" s="24"/>
      <c r="P38" s="24"/>
      <c r="Q38" s="24"/>
      <c r="R38" s="22"/>
      <c r="S38" s="23"/>
      <c r="T38" s="170"/>
      <c r="U38" s="25">
        <v>45680</v>
      </c>
      <c r="V38" s="26"/>
      <c r="W38" s="27"/>
      <c r="X38" s="28" t="s">
        <v>374</v>
      </c>
      <c r="Y38" s="29" t="s">
        <v>347</v>
      </c>
    </row>
    <row r="39" spans="1:25" ht="11.4" x14ac:dyDescent="0.15">
      <c r="A39" s="19">
        <f t="shared" si="0"/>
        <v>35</v>
      </c>
      <c r="B39" s="20"/>
      <c r="C39" s="20"/>
      <c r="D39" s="20"/>
      <c r="E39" s="95" t="s">
        <v>216</v>
      </c>
      <c r="F39" s="96" t="s">
        <v>218</v>
      </c>
      <c r="G39" s="119"/>
      <c r="H39" s="21"/>
      <c r="I39" s="22"/>
      <c r="J39" s="22"/>
      <c r="K39" s="23"/>
      <c r="L39" s="75"/>
      <c r="M39" s="24" t="s">
        <v>365</v>
      </c>
      <c r="N39" s="22"/>
      <c r="O39" s="24"/>
      <c r="P39" s="24"/>
      <c r="Q39" s="24"/>
      <c r="R39" s="22"/>
      <c r="S39" s="23"/>
      <c r="T39" s="170"/>
      <c r="U39" s="25">
        <v>45680</v>
      </c>
      <c r="V39" s="26"/>
      <c r="W39" s="27"/>
      <c r="X39" s="28" t="s">
        <v>374</v>
      </c>
      <c r="Y39" s="29" t="s">
        <v>347</v>
      </c>
    </row>
    <row r="40" spans="1:25" ht="22.8" x14ac:dyDescent="0.15">
      <c r="A40" s="19">
        <f t="shared" si="0"/>
        <v>36</v>
      </c>
      <c r="B40" s="20" t="s">
        <v>255</v>
      </c>
      <c r="C40" s="20"/>
      <c r="D40" s="101"/>
      <c r="E40" s="30" t="s">
        <v>222</v>
      </c>
      <c r="F40" s="96" t="s">
        <v>349</v>
      </c>
      <c r="G40" s="125"/>
      <c r="H40" s="21"/>
      <c r="I40" s="22"/>
      <c r="J40" s="22"/>
      <c r="K40" s="23"/>
      <c r="L40" s="21"/>
      <c r="M40" s="24" t="s">
        <v>35</v>
      </c>
      <c r="N40" s="22"/>
      <c r="O40" s="24"/>
      <c r="P40" s="24"/>
      <c r="Q40" s="24"/>
      <c r="R40" s="22"/>
      <c r="S40" s="23"/>
      <c r="T40" s="170"/>
      <c r="U40" s="25"/>
      <c r="V40" s="26"/>
      <c r="W40" s="27"/>
      <c r="X40" s="28"/>
      <c r="Y40" s="94" t="s">
        <v>223</v>
      </c>
    </row>
    <row r="41" spans="1:25" ht="22.8" x14ac:dyDescent="0.15">
      <c r="A41" s="19">
        <f t="shared" si="0"/>
        <v>37</v>
      </c>
      <c r="B41" s="20"/>
      <c r="C41" s="20"/>
      <c r="D41" s="30"/>
      <c r="E41" s="30" t="s">
        <v>224</v>
      </c>
      <c r="F41" s="96" t="s">
        <v>42</v>
      </c>
      <c r="G41" s="125" t="s">
        <v>274</v>
      </c>
      <c r="H41" s="77"/>
      <c r="I41" s="78"/>
      <c r="J41" s="78"/>
      <c r="K41" s="79"/>
      <c r="L41" s="80"/>
      <c r="M41" s="78"/>
      <c r="N41" s="78"/>
      <c r="O41" s="80"/>
      <c r="P41" s="80"/>
      <c r="Q41" s="80"/>
      <c r="R41" s="80"/>
      <c r="S41" s="79"/>
      <c r="T41" s="171"/>
      <c r="U41" s="81"/>
      <c r="V41" s="82"/>
      <c r="W41" s="83"/>
      <c r="X41" s="84"/>
      <c r="Y41" s="94" t="s">
        <v>348</v>
      </c>
    </row>
    <row r="42" spans="1:25" ht="22.8" x14ac:dyDescent="0.15">
      <c r="A42" s="19">
        <f t="shared" si="0"/>
        <v>38</v>
      </c>
      <c r="B42" s="20" t="s">
        <v>256</v>
      </c>
      <c r="C42" s="20"/>
      <c r="D42" s="101"/>
      <c r="E42" s="30" t="s">
        <v>225</v>
      </c>
      <c r="F42" s="96" t="s">
        <v>350</v>
      </c>
      <c r="G42" s="118"/>
      <c r="H42" s="21"/>
      <c r="I42" s="22"/>
      <c r="J42" s="22"/>
      <c r="K42" s="23"/>
      <c r="L42" s="21"/>
      <c r="M42" s="24" t="s">
        <v>35</v>
      </c>
      <c r="N42" s="22"/>
      <c r="O42" s="24"/>
      <c r="P42" s="24"/>
      <c r="Q42" s="24"/>
      <c r="R42" s="22"/>
      <c r="S42" s="23"/>
      <c r="T42" s="170"/>
      <c r="U42" s="25"/>
      <c r="V42" s="26"/>
      <c r="W42" s="27"/>
      <c r="X42" s="28"/>
      <c r="Y42" s="94" t="s">
        <v>223</v>
      </c>
    </row>
    <row r="43" spans="1:25" ht="34.200000000000003" x14ac:dyDescent="0.15">
      <c r="A43" s="19">
        <f t="shared" si="0"/>
        <v>39</v>
      </c>
      <c r="B43" s="20" t="s">
        <v>263</v>
      </c>
      <c r="C43" s="20"/>
      <c r="D43" s="20"/>
      <c r="E43" s="95" t="s">
        <v>33</v>
      </c>
      <c r="F43" s="96" t="s">
        <v>34</v>
      </c>
      <c r="G43" s="120"/>
      <c r="H43" s="21"/>
      <c r="I43" s="22"/>
      <c r="J43" s="22"/>
      <c r="K43" s="23"/>
      <c r="L43" s="75"/>
      <c r="M43" s="24" t="s">
        <v>35</v>
      </c>
      <c r="N43" s="22"/>
      <c r="O43" s="24"/>
      <c r="P43" s="24"/>
      <c r="Q43" s="24"/>
      <c r="R43" s="22"/>
      <c r="S43" s="23"/>
      <c r="T43" s="170"/>
      <c r="U43" s="25"/>
      <c r="V43" s="26"/>
      <c r="W43" s="27"/>
      <c r="X43" s="28"/>
      <c r="Y43" s="29"/>
    </row>
    <row r="44" spans="1:25" ht="11.4" x14ac:dyDescent="0.15">
      <c r="A44" s="19">
        <f t="shared" si="0"/>
        <v>40</v>
      </c>
      <c r="B44" s="20"/>
      <c r="C44" s="20" t="s">
        <v>207</v>
      </c>
      <c r="D44" s="20"/>
      <c r="E44" s="95" t="s">
        <v>56</v>
      </c>
      <c r="F44" s="96" t="s">
        <v>37</v>
      </c>
      <c r="G44" s="119"/>
      <c r="H44" s="21"/>
      <c r="I44" s="22"/>
      <c r="J44" s="22"/>
      <c r="K44" s="23"/>
      <c r="L44" s="21"/>
      <c r="M44" s="24" t="s">
        <v>35</v>
      </c>
      <c r="N44" s="22"/>
      <c r="O44" s="24"/>
      <c r="P44" s="24"/>
      <c r="Q44" s="24"/>
      <c r="R44" s="99"/>
      <c r="S44" s="23"/>
      <c r="T44" s="170"/>
      <c r="U44" s="25"/>
      <c r="V44" s="26"/>
      <c r="W44" s="27"/>
      <c r="X44" s="28"/>
      <c r="Y44" s="73"/>
    </row>
    <row r="45" spans="1:25" ht="11.4" x14ac:dyDescent="0.15">
      <c r="A45" s="19">
        <f t="shared" si="0"/>
        <v>41</v>
      </c>
      <c r="B45" s="20"/>
      <c r="C45" s="20"/>
      <c r="D45" s="20"/>
      <c r="E45" s="95" t="s">
        <v>57</v>
      </c>
      <c r="F45" s="96" t="s">
        <v>37</v>
      </c>
      <c r="G45" s="119"/>
      <c r="H45" s="21"/>
      <c r="I45" s="22"/>
      <c r="J45" s="22"/>
      <c r="K45" s="23"/>
      <c r="L45" s="21"/>
      <c r="M45" s="24" t="s">
        <v>35</v>
      </c>
      <c r="N45" s="22"/>
      <c r="O45" s="24"/>
      <c r="P45" s="24"/>
      <c r="Q45" s="24"/>
      <c r="R45" s="99"/>
      <c r="S45" s="23"/>
      <c r="T45" s="170"/>
      <c r="U45" s="25"/>
      <c r="V45" s="26"/>
      <c r="W45" s="27"/>
      <c r="X45" s="28"/>
      <c r="Y45" s="73"/>
    </row>
    <row r="46" spans="1:25" ht="12.6" x14ac:dyDescent="0.15">
      <c r="A46" s="19">
        <f t="shared" si="0"/>
        <v>42</v>
      </c>
      <c r="B46" s="20"/>
      <c r="C46" s="20"/>
      <c r="D46" s="20"/>
      <c r="E46" s="95" t="s">
        <v>208</v>
      </c>
      <c r="F46" s="96" t="s">
        <v>209</v>
      </c>
      <c r="G46" s="125"/>
      <c r="H46" s="21"/>
      <c r="I46" s="22"/>
      <c r="J46" s="22"/>
      <c r="K46" s="23"/>
      <c r="L46" s="21"/>
      <c r="M46" s="24" t="s">
        <v>35</v>
      </c>
      <c r="N46" s="22"/>
      <c r="O46" s="24"/>
      <c r="P46" s="24"/>
      <c r="Q46" s="24"/>
      <c r="R46" s="22"/>
      <c r="S46" s="23"/>
      <c r="T46" s="170"/>
      <c r="U46" s="25"/>
      <c r="V46" s="26"/>
      <c r="W46" s="27"/>
      <c r="X46" s="28"/>
      <c r="Y46" s="73"/>
    </row>
    <row r="47" spans="1:25" ht="11.4" x14ac:dyDescent="0.15">
      <c r="A47" s="19">
        <f t="shared" si="0"/>
        <v>43</v>
      </c>
      <c r="B47" s="20"/>
      <c r="C47" s="20"/>
      <c r="D47" s="20"/>
      <c r="E47" s="95" t="s">
        <v>123</v>
      </c>
      <c r="F47" s="96" t="s">
        <v>121</v>
      </c>
      <c r="G47" s="119"/>
      <c r="H47" s="21"/>
      <c r="I47" s="22"/>
      <c r="J47" s="22"/>
      <c r="K47" s="23"/>
      <c r="L47" s="21"/>
      <c r="M47" s="24" t="s">
        <v>35</v>
      </c>
      <c r="N47" s="22"/>
      <c r="O47" s="24"/>
      <c r="P47" s="24"/>
      <c r="Q47" s="24"/>
      <c r="R47" s="99"/>
      <c r="S47" s="23"/>
      <c r="T47" s="170"/>
      <c r="U47" s="25"/>
      <c r="V47" s="26"/>
      <c r="W47" s="27"/>
      <c r="X47" s="28"/>
      <c r="Y47" s="73"/>
    </row>
    <row r="48" spans="1:25" ht="45.6" x14ac:dyDescent="0.15">
      <c r="A48" s="19">
        <f t="shared" si="0"/>
        <v>44</v>
      </c>
      <c r="B48" s="20"/>
      <c r="C48" s="20"/>
      <c r="D48" s="20"/>
      <c r="E48" s="95" t="s">
        <v>124</v>
      </c>
      <c r="F48" s="96" t="s">
        <v>295</v>
      </c>
      <c r="G48" s="125" t="s">
        <v>274</v>
      </c>
      <c r="H48" s="21"/>
      <c r="I48" s="22"/>
      <c r="J48" s="22"/>
      <c r="K48" s="23"/>
      <c r="L48" s="21"/>
      <c r="M48" s="24" t="s">
        <v>35</v>
      </c>
      <c r="N48" s="22"/>
      <c r="O48" s="24"/>
      <c r="P48" s="24"/>
      <c r="Q48" s="24"/>
      <c r="R48" s="99"/>
      <c r="S48" s="23"/>
      <c r="T48" s="170"/>
      <c r="U48" s="25"/>
      <c r="V48" s="26"/>
      <c r="W48" s="27"/>
      <c r="X48" s="28"/>
      <c r="Y48" s="73"/>
    </row>
    <row r="49" spans="1:25" ht="11.4" x14ac:dyDescent="0.15">
      <c r="A49" s="19">
        <f t="shared" si="0"/>
        <v>45</v>
      </c>
      <c r="B49" s="20"/>
      <c r="C49" s="20"/>
      <c r="D49" s="20"/>
      <c r="E49" s="95"/>
      <c r="F49" s="96" t="s">
        <v>249</v>
      </c>
      <c r="G49" s="119"/>
      <c r="H49" s="21"/>
      <c r="I49" s="22"/>
      <c r="J49" s="22"/>
      <c r="K49" s="23"/>
      <c r="L49" s="24" t="s">
        <v>35</v>
      </c>
      <c r="M49" s="24"/>
      <c r="N49" s="22"/>
      <c r="O49" s="24"/>
      <c r="P49" s="24"/>
      <c r="Q49" s="24"/>
      <c r="R49" s="99"/>
      <c r="S49" s="23"/>
      <c r="T49" s="170"/>
      <c r="U49" s="25"/>
      <c r="V49" s="26"/>
      <c r="W49" s="27"/>
      <c r="X49" s="28"/>
      <c r="Y49" s="73"/>
    </row>
    <row r="50" spans="1:25" ht="11.4" x14ac:dyDescent="0.15">
      <c r="A50" s="19">
        <f t="shared" si="0"/>
        <v>46</v>
      </c>
      <c r="B50" s="20"/>
      <c r="C50" s="102" t="s">
        <v>127</v>
      </c>
      <c r="D50" s="20"/>
      <c r="E50" s="95" t="s">
        <v>56</v>
      </c>
      <c r="F50" s="96" t="s">
        <v>37</v>
      </c>
      <c r="G50" s="119"/>
      <c r="H50" s="21"/>
      <c r="I50" s="22"/>
      <c r="J50" s="22"/>
      <c r="K50" s="23"/>
      <c r="L50" s="21"/>
      <c r="M50" s="24" t="s">
        <v>35</v>
      </c>
      <c r="N50" s="22"/>
      <c r="O50" s="24"/>
      <c r="P50" s="24"/>
      <c r="Q50" s="24"/>
      <c r="R50" s="99"/>
      <c r="S50" s="23"/>
      <c r="T50" s="170"/>
      <c r="U50" s="25"/>
      <c r="V50" s="26"/>
      <c r="W50" s="27"/>
      <c r="X50" s="28"/>
      <c r="Y50" s="73"/>
    </row>
    <row r="51" spans="1:25" ht="11.4" x14ac:dyDescent="0.15">
      <c r="A51" s="19">
        <f t="shared" si="0"/>
        <v>47</v>
      </c>
      <c r="B51" s="20"/>
      <c r="C51" s="102"/>
      <c r="D51" s="20"/>
      <c r="E51" s="95" t="s">
        <v>57</v>
      </c>
      <c r="F51" s="96" t="s">
        <v>37</v>
      </c>
      <c r="G51" s="119"/>
      <c r="H51" s="21"/>
      <c r="I51" s="22"/>
      <c r="J51" s="22"/>
      <c r="K51" s="23"/>
      <c r="L51" s="21"/>
      <c r="M51" s="24" t="s">
        <v>35</v>
      </c>
      <c r="N51" s="22"/>
      <c r="O51" s="24"/>
      <c r="P51" s="24"/>
      <c r="Q51" s="24"/>
      <c r="R51" s="22"/>
      <c r="S51" s="23"/>
      <c r="T51" s="170"/>
      <c r="U51" s="25"/>
      <c r="V51" s="26"/>
      <c r="W51" s="27"/>
      <c r="X51" s="28"/>
      <c r="Y51" s="73"/>
    </row>
    <row r="52" spans="1:25" ht="11.4" x14ac:dyDescent="0.15">
      <c r="A52" s="19">
        <f t="shared" si="0"/>
        <v>48</v>
      </c>
      <c r="B52" s="20"/>
      <c r="C52" s="102"/>
      <c r="D52" s="20"/>
      <c r="E52" s="95" t="s">
        <v>58</v>
      </c>
      <c r="F52" s="96" t="s">
        <v>59</v>
      </c>
      <c r="G52" s="119"/>
      <c r="H52" s="21"/>
      <c r="I52" s="22"/>
      <c r="J52" s="22"/>
      <c r="K52" s="23"/>
      <c r="L52" s="21"/>
      <c r="M52" s="24" t="s">
        <v>35</v>
      </c>
      <c r="N52" s="22"/>
      <c r="O52" s="24"/>
      <c r="P52" s="24"/>
      <c r="Q52" s="24"/>
      <c r="R52" s="22"/>
      <c r="S52" s="23"/>
      <c r="T52" s="170"/>
      <c r="U52" s="25"/>
      <c r="V52" s="26"/>
      <c r="W52" s="27"/>
      <c r="X52" s="28"/>
      <c r="Y52" s="73"/>
    </row>
    <row r="53" spans="1:25" ht="11.4" x14ac:dyDescent="0.15">
      <c r="A53" s="19">
        <f t="shared" si="0"/>
        <v>49</v>
      </c>
      <c r="B53" s="20"/>
      <c r="C53" s="102"/>
      <c r="D53" s="20"/>
      <c r="E53" s="95" t="s">
        <v>128</v>
      </c>
      <c r="F53" s="96" t="s">
        <v>121</v>
      </c>
      <c r="G53" s="119"/>
      <c r="H53" s="21"/>
      <c r="I53" s="22"/>
      <c r="J53" s="22"/>
      <c r="K53" s="23"/>
      <c r="L53" s="21"/>
      <c r="M53" s="24" t="s">
        <v>35</v>
      </c>
      <c r="N53" s="22"/>
      <c r="O53" s="24"/>
      <c r="P53" s="24"/>
      <c r="Q53" s="24"/>
      <c r="R53" s="22"/>
      <c r="S53" s="23"/>
      <c r="T53" s="170"/>
      <c r="U53" s="25"/>
      <c r="V53" s="26"/>
      <c r="W53" s="27"/>
      <c r="X53" s="28"/>
      <c r="Y53" s="73"/>
    </row>
    <row r="54" spans="1:25" ht="11.4" x14ac:dyDescent="0.15">
      <c r="A54" s="19">
        <f t="shared" si="0"/>
        <v>50</v>
      </c>
      <c r="B54" s="20"/>
      <c r="C54" s="102"/>
      <c r="D54" s="20"/>
      <c r="E54" s="95" t="s">
        <v>62</v>
      </c>
      <c r="F54" s="96" t="s">
        <v>37</v>
      </c>
      <c r="G54" s="119"/>
      <c r="H54" s="21"/>
      <c r="I54" s="22"/>
      <c r="J54" s="22"/>
      <c r="K54" s="23"/>
      <c r="L54" s="21"/>
      <c r="M54" s="24" t="s">
        <v>35</v>
      </c>
      <c r="N54" s="22"/>
      <c r="O54" s="24"/>
      <c r="P54" s="24"/>
      <c r="Q54" s="24"/>
      <c r="R54" s="22"/>
      <c r="S54" s="23"/>
      <c r="T54" s="170"/>
      <c r="U54" s="25"/>
      <c r="V54" s="26"/>
      <c r="W54" s="27"/>
      <c r="X54" s="28"/>
      <c r="Y54" s="73"/>
    </row>
    <row r="55" spans="1:25" ht="11.4" x14ac:dyDescent="0.15">
      <c r="A55" s="19">
        <f t="shared" si="0"/>
        <v>51</v>
      </c>
      <c r="B55" s="20"/>
      <c r="C55" s="102"/>
      <c r="D55" s="20"/>
      <c r="E55" s="95" t="s">
        <v>63</v>
      </c>
      <c r="F55" s="96" t="s">
        <v>64</v>
      </c>
      <c r="G55" s="121"/>
      <c r="H55" s="21"/>
      <c r="I55" s="22"/>
      <c r="J55" s="22"/>
      <c r="K55" s="23"/>
      <c r="L55" s="21"/>
      <c r="M55" s="24" t="s">
        <v>35</v>
      </c>
      <c r="N55" s="22"/>
      <c r="O55" s="24"/>
      <c r="P55" s="24"/>
      <c r="Q55" s="24"/>
      <c r="R55" s="22"/>
      <c r="S55" s="23"/>
      <c r="T55" s="170"/>
      <c r="U55" s="25"/>
      <c r="V55" s="26"/>
      <c r="W55" s="27"/>
      <c r="X55" s="28"/>
      <c r="Y55" s="73"/>
    </row>
    <row r="56" spans="1:25" ht="12.6" x14ac:dyDescent="0.15">
      <c r="A56" s="19">
        <f t="shared" si="0"/>
        <v>52</v>
      </c>
      <c r="B56" s="20"/>
      <c r="C56" s="102"/>
      <c r="D56" s="20"/>
      <c r="E56" s="95" t="s">
        <v>65</v>
      </c>
      <c r="F56" s="96" t="s">
        <v>66</v>
      </c>
      <c r="G56" s="125"/>
      <c r="H56" s="21"/>
      <c r="I56" s="22"/>
      <c r="J56" s="22"/>
      <c r="K56" s="23"/>
      <c r="L56" s="21"/>
      <c r="M56" s="24" t="s">
        <v>35</v>
      </c>
      <c r="N56" s="22"/>
      <c r="O56" s="24"/>
      <c r="P56" s="24"/>
      <c r="Q56" s="24"/>
      <c r="R56" s="22"/>
      <c r="S56" s="23"/>
      <c r="T56" s="170"/>
      <c r="U56" s="25"/>
      <c r="V56" s="26"/>
      <c r="W56" s="27"/>
      <c r="X56" s="28"/>
      <c r="Y56" s="73"/>
    </row>
    <row r="57" spans="1:25" ht="11.4" x14ac:dyDescent="0.15">
      <c r="A57" s="19">
        <f t="shared" si="0"/>
        <v>53</v>
      </c>
      <c r="B57" s="20"/>
      <c r="C57" s="102"/>
      <c r="D57" s="20"/>
      <c r="E57" s="95" t="s">
        <v>129</v>
      </c>
      <c r="F57" s="96" t="s">
        <v>121</v>
      </c>
      <c r="G57" s="121"/>
      <c r="H57" s="21"/>
      <c r="I57" s="22"/>
      <c r="J57" s="22"/>
      <c r="K57" s="23"/>
      <c r="L57" s="21"/>
      <c r="M57" s="24" t="s">
        <v>35</v>
      </c>
      <c r="N57" s="22"/>
      <c r="O57" s="24"/>
      <c r="P57" s="24"/>
      <c r="Q57" s="24"/>
      <c r="R57" s="22"/>
      <c r="S57" s="23"/>
      <c r="T57" s="170"/>
      <c r="U57" s="25"/>
      <c r="V57" s="26"/>
      <c r="W57" s="27"/>
      <c r="X57" s="28"/>
      <c r="Y57" s="73"/>
    </row>
    <row r="58" spans="1:25" ht="45.6" x14ac:dyDescent="0.15">
      <c r="A58" s="19">
        <f t="shared" si="0"/>
        <v>54</v>
      </c>
      <c r="B58" s="20"/>
      <c r="C58" s="102"/>
      <c r="D58" s="20"/>
      <c r="E58" s="95" t="s">
        <v>63</v>
      </c>
      <c r="F58" s="96" t="s">
        <v>296</v>
      </c>
      <c r="G58" s="125" t="s">
        <v>274</v>
      </c>
      <c r="H58" s="21"/>
      <c r="I58" s="22"/>
      <c r="J58" s="22"/>
      <c r="K58" s="23"/>
      <c r="L58" s="21"/>
      <c r="M58" s="24" t="s">
        <v>35</v>
      </c>
      <c r="N58" s="22"/>
      <c r="O58" s="24"/>
      <c r="P58" s="24"/>
      <c r="Q58" s="24"/>
      <c r="R58" s="22"/>
      <c r="S58" s="23"/>
      <c r="T58" s="170"/>
      <c r="U58" s="25"/>
      <c r="V58" s="26"/>
      <c r="W58" s="27"/>
      <c r="X58" s="28"/>
      <c r="Y58" s="73"/>
    </row>
    <row r="59" spans="1:25" ht="11.4" x14ac:dyDescent="0.15">
      <c r="A59" s="19">
        <f t="shared" si="0"/>
        <v>55</v>
      </c>
      <c r="B59" s="20"/>
      <c r="C59" s="102"/>
      <c r="D59" s="20"/>
      <c r="E59" s="95" t="s">
        <v>130</v>
      </c>
      <c r="F59" s="96" t="s">
        <v>37</v>
      </c>
      <c r="G59" s="121"/>
      <c r="H59" s="21"/>
      <c r="I59" s="22"/>
      <c r="J59" s="22"/>
      <c r="K59" s="23"/>
      <c r="L59" s="21"/>
      <c r="M59" s="24" t="s">
        <v>35</v>
      </c>
      <c r="N59" s="22"/>
      <c r="O59" s="24"/>
      <c r="P59" s="24"/>
      <c r="Q59" s="24"/>
      <c r="R59" s="22"/>
      <c r="S59" s="23"/>
      <c r="T59" s="170"/>
      <c r="U59" s="25"/>
      <c r="V59" s="26"/>
      <c r="W59" s="27"/>
      <c r="X59" s="28"/>
      <c r="Y59" s="73"/>
    </row>
    <row r="60" spans="1:25" ht="11.4" x14ac:dyDescent="0.15">
      <c r="A60" s="19">
        <f t="shared" si="0"/>
        <v>56</v>
      </c>
      <c r="B60" s="20"/>
      <c r="C60" s="102"/>
      <c r="D60" s="20"/>
      <c r="E60" s="95" t="s">
        <v>131</v>
      </c>
      <c r="F60" s="96" t="s">
        <v>121</v>
      </c>
      <c r="G60" s="121"/>
      <c r="H60" s="21"/>
      <c r="I60" s="22"/>
      <c r="J60" s="22"/>
      <c r="K60" s="23"/>
      <c r="L60" s="21"/>
      <c r="M60" s="24" t="s">
        <v>35</v>
      </c>
      <c r="N60" s="22"/>
      <c r="O60" s="24"/>
      <c r="P60" s="24"/>
      <c r="Q60" s="24"/>
      <c r="R60" s="22"/>
      <c r="S60" s="23"/>
      <c r="T60" s="170"/>
      <c r="U60" s="25"/>
      <c r="V60" s="26"/>
      <c r="W60" s="27"/>
      <c r="X60" s="28"/>
      <c r="Y60" s="73"/>
    </row>
    <row r="61" spans="1:25" ht="11.4" x14ac:dyDescent="0.15">
      <c r="A61" s="19">
        <f t="shared" si="0"/>
        <v>57</v>
      </c>
      <c r="B61" s="20"/>
      <c r="C61" s="102"/>
      <c r="D61" s="20"/>
      <c r="E61" s="95" t="s">
        <v>63</v>
      </c>
      <c r="F61" s="96" t="s">
        <v>132</v>
      </c>
      <c r="G61" s="121"/>
      <c r="H61" s="21"/>
      <c r="I61" s="22"/>
      <c r="J61" s="22"/>
      <c r="K61" s="23"/>
      <c r="L61" s="21"/>
      <c r="M61" s="24" t="s">
        <v>35</v>
      </c>
      <c r="N61" s="22"/>
      <c r="O61" s="24"/>
      <c r="P61" s="24"/>
      <c r="Q61" s="24"/>
      <c r="R61" s="22"/>
      <c r="S61" s="23"/>
      <c r="T61" s="170"/>
      <c r="U61" s="25"/>
      <c r="V61" s="26"/>
      <c r="W61" s="27"/>
      <c r="X61" s="28"/>
      <c r="Y61" s="73"/>
    </row>
    <row r="62" spans="1:25" ht="12.6" x14ac:dyDescent="0.15">
      <c r="A62" s="19">
        <f t="shared" si="0"/>
        <v>58</v>
      </c>
      <c r="B62" s="20"/>
      <c r="C62" s="102"/>
      <c r="D62" s="20"/>
      <c r="E62" s="95" t="s">
        <v>133</v>
      </c>
      <c r="F62" s="96" t="s">
        <v>134</v>
      </c>
      <c r="G62" s="125"/>
      <c r="H62" s="21"/>
      <c r="I62" s="22"/>
      <c r="J62" s="22"/>
      <c r="K62" s="23"/>
      <c r="L62" s="21"/>
      <c r="M62" s="24" t="s">
        <v>35</v>
      </c>
      <c r="N62" s="22"/>
      <c r="O62" s="24"/>
      <c r="P62" s="24"/>
      <c r="Q62" s="24"/>
      <c r="R62" s="22"/>
      <c r="S62" s="23"/>
      <c r="T62" s="170"/>
      <c r="U62" s="25"/>
      <c r="V62" s="26"/>
      <c r="W62" s="27"/>
      <c r="X62" s="28"/>
      <c r="Y62" s="73"/>
    </row>
    <row r="63" spans="1:25" ht="11.4" x14ac:dyDescent="0.15">
      <c r="A63" s="19">
        <f t="shared" si="0"/>
        <v>59</v>
      </c>
      <c r="B63" s="20"/>
      <c r="C63" s="102"/>
      <c r="D63" s="20"/>
      <c r="E63" s="95" t="s">
        <v>135</v>
      </c>
      <c r="F63" s="96" t="s">
        <v>121</v>
      </c>
      <c r="G63" s="119"/>
      <c r="H63" s="21"/>
      <c r="I63" s="22"/>
      <c r="J63" s="22"/>
      <c r="K63" s="23"/>
      <c r="L63" s="21"/>
      <c r="M63" s="24" t="s">
        <v>35</v>
      </c>
      <c r="N63" s="22"/>
      <c r="O63" s="24"/>
      <c r="P63" s="24"/>
      <c r="Q63" s="24"/>
      <c r="R63" s="22"/>
      <c r="S63" s="23"/>
      <c r="T63" s="170"/>
      <c r="U63" s="25"/>
      <c r="V63" s="26"/>
      <c r="W63" s="27"/>
      <c r="X63" s="28"/>
      <c r="Y63" s="73"/>
    </row>
    <row r="64" spans="1:25" ht="45.6" x14ac:dyDescent="0.15">
      <c r="A64" s="19">
        <f t="shared" si="0"/>
        <v>60</v>
      </c>
      <c r="B64" s="20"/>
      <c r="C64" s="102"/>
      <c r="D64" s="20"/>
      <c r="E64" s="95" t="s">
        <v>63</v>
      </c>
      <c r="F64" s="96" t="s">
        <v>297</v>
      </c>
      <c r="G64" s="125" t="s">
        <v>274</v>
      </c>
      <c r="H64" s="21"/>
      <c r="I64" s="22"/>
      <c r="J64" s="22"/>
      <c r="K64" s="23"/>
      <c r="L64" s="21"/>
      <c r="M64" s="24" t="s">
        <v>35</v>
      </c>
      <c r="N64" s="22"/>
      <c r="O64" s="24"/>
      <c r="P64" s="24"/>
      <c r="Q64" s="24"/>
      <c r="R64" s="22"/>
      <c r="S64" s="23"/>
      <c r="T64" s="170"/>
      <c r="U64" s="25"/>
      <c r="V64" s="26"/>
      <c r="W64" s="27"/>
      <c r="X64" s="28"/>
      <c r="Y64" s="73"/>
    </row>
    <row r="65" spans="1:25" ht="11.4" x14ac:dyDescent="0.15">
      <c r="A65" s="19">
        <f t="shared" si="0"/>
        <v>61</v>
      </c>
      <c r="B65" s="20"/>
      <c r="C65" s="20"/>
      <c r="D65" s="20"/>
      <c r="E65" s="95"/>
      <c r="F65" s="96" t="s">
        <v>249</v>
      </c>
      <c r="G65" s="119"/>
      <c r="H65" s="21"/>
      <c r="I65" s="22"/>
      <c r="J65" s="22"/>
      <c r="K65" s="23"/>
      <c r="L65" s="24" t="s">
        <v>35</v>
      </c>
      <c r="M65" s="24"/>
      <c r="N65" s="22"/>
      <c r="O65" s="24"/>
      <c r="P65" s="24"/>
      <c r="Q65" s="24"/>
      <c r="R65" s="99"/>
      <c r="S65" s="23"/>
      <c r="T65" s="170"/>
      <c r="U65" s="25"/>
      <c r="V65" s="26"/>
      <c r="W65" s="27"/>
      <c r="X65" s="28"/>
      <c r="Y65" s="73"/>
    </row>
    <row r="66" spans="1:25" ht="11.4" x14ac:dyDescent="0.15">
      <c r="A66" s="19">
        <f t="shared" si="0"/>
        <v>62</v>
      </c>
      <c r="B66" s="20"/>
      <c r="C66" s="102" t="s">
        <v>136</v>
      </c>
      <c r="D66" s="20"/>
      <c r="E66" s="95" t="s">
        <v>56</v>
      </c>
      <c r="F66" s="96" t="s">
        <v>37</v>
      </c>
      <c r="G66" s="119"/>
      <c r="H66" s="21"/>
      <c r="I66" s="22"/>
      <c r="J66" s="22"/>
      <c r="K66" s="23"/>
      <c r="L66" s="21"/>
      <c r="M66" s="24" t="s">
        <v>35</v>
      </c>
      <c r="N66" s="22"/>
      <c r="O66" s="24"/>
      <c r="P66" s="24"/>
      <c r="Q66" s="24"/>
      <c r="R66" s="99"/>
      <c r="S66" s="23"/>
      <c r="T66" s="170"/>
      <c r="U66" s="25"/>
      <c r="V66" s="26"/>
      <c r="W66" s="27"/>
      <c r="X66" s="28"/>
      <c r="Y66" s="73"/>
    </row>
    <row r="67" spans="1:25" ht="11.4" x14ac:dyDescent="0.15">
      <c r="A67" s="19">
        <f t="shared" si="0"/>
        <v>63</v>
      </c>
      <c r="B67" s="20"/>
      <c r="C67" s="102"/>
      <c r="D67" s="20"/>
      <c r="E67" s="95" t="s">
        <v>57</v>
      </c>
      <c r="F67" s="96" t="s">
        <v>37</v>
      </c>
      <c r="G67" s="119"/>
      <c r="H67" s="21"/>
      <c r="I67" s="22"/>
      <c r="J67" s="22"/>
      <c r="K67" s="23"/>
      <c r="L67" s="21"/>
      <c r="M67" s="24" t="s">
        <v>35</v>
      </c>
      <c r="N67" s="22"/>
      <c r="O67" s="24"/>
      <c r="P67" s="24"/>
      <c r="Q67" s="24"/>
      <c r="R67" s="22"/>
      <c r="S67" s="23"/>
      <c r="T67" s="170"/>
      <c r="U67" s="25"/>
      <c r="V67" s="26"/>
      <c r="W67" s="27"/>
      <c r="X67" s="28"/>
      <c r="Y67" s="73"/>
    </row>
    <row r="68" spans="1:25" ht="11.4" x14ac:dyDescent="0.15">
      <c r="A68" s="19">
        <f t="shared" si="0"/>
        <v>64</v>
      </c>
      <c r="B68" s="20"/>
      <c r="C68" s="20"/>
      <c r="D68" s="20"/>
      <c r="E68" s="95" t="s">
        <v>137</v>
      </c>
      <c r="F68" s="96" t="s">
        <v>138</v>
      </c>
      <c r="G68" s="119"/>
      <c r="H68" s="21"/>
      <c r="I68" s="22"/>
      <c r="J68" s="22"/>
      <c r="K68" s="23"/>
      <c r="L68" s="21"/>
      <c r="M68" s="24" t="s">
        <v>35</v>
      </c>
      <c r="N68" s="22"/>
      <c r="O68" s="24"/>
      <c r="P68" s="24"/>
      <c r="Q68" s="24"/>
      <c r="R68" s="22"/>
      <c r="S68" s="23"/>
      <c r="T68" s="170"/>
      <c r="U68" s="25"/>
      <c r="V68" s="26"/>
      <c r="W68" s="27"/>
      <c r="X68" s="28"/>
      <c r="Y68" s="73"/>
    </row>
    <row r="69" spans="1:25" ht="11.4" x14ac:dyDescent="0.15">
      <c r="A69" s="19">
        <f t="shared" si="0"/>
        <v>65</v>
      </c>
      <c r="B69" s="20"/>
      <c r="C69" s="20"/>
      <c r="D69" s="20"/>
      <c r="E69" s="95" t="s">
        <v>125</v>
      </c>
      <c r="F69" s="96" t="s">
        <v>139</v>
      </c>
      <c r="G69" s="119"/>
      <c r="H69" s="21"/>
      <c r="I69" s="22"/>
      <c r="J69" s="22"/>
      <c r="K69" s="23"/>
      <c r="L69" s="75"/>
      <c r="M69" s="24" t="s">
        <v>35</v>
      </c>
      <c r="N69" s="22"/>
      <c r="O69" s="24"/>
      <c r="P69" s="24"/>
      <c r="Q69" s="24"/>
      <c r="R69" s="22"/>
      <c r="S69" s="23"/>
      <c r="T69" s="170"/>
      <c r="U69" s="25"/>
      <c r="V69" s="26"/>
      <c r="W69" s="27"/>
      <c r="X69" s="28"/>
      <c r="Y69" s="29"/>
    </row>
    <row r="70" spans="1:25" ht="12.6" x14ac:dyDescent="0.15">
      <c r="A70" s="19">
        <f t="shared" ref="A70:A133" si="1">ROW()-4</f>
        <v>66</v>
      </c>
      <c r="B70" s="20"/>
      <c r="C70" s="20"/>
      <c r="D70" s="20"/>
      <c r="E70" s="95" t="s">
        <v>140</v>
      </c>
      <c r="F70" s="96" t="s">
        <v>121</v>
      </c>
      <c r="G70" s="125"/>
      <c r="H70" s="21"/>
      <c r="I70" s="22"/>
      <c r="J70" s="22"/>
      <c r="K70" s="23"/>
      <c r="L70" s="75"/>
      <c r="M70" s="24" t="s">
        <v>35</v>
      </c>
      <c r="N70" s="22"/>
      <c r="O70" s="24"/>
      <c r="P70" s="24"/>
      <c r="Q70" s="24"/>
      <c r="R70" s="22"/>
      <c r="S70" s="23"/>
      <c r="T70" s="170"/>
      <c r="U70" s="25"/>
      <c r="V70" s="26"/>
      <c r="W70" s="27"/>
      <c r="X70" s="28"/>
      <c r="Y70" s="29"/>
    </row>
    <row r="71" spans="1:25" ht="11.4" x14ac:dyDescent="0.15">
      <c r="A71" s="19">
        <f t="shared" si="1"/>
        <v>67</v>
      </c>
      <c r="B71" s="20"/>
      <c r="C71" s="20"/>
      <c r="D71" s="20"/>
      <c r="E71" s="95" t="s">
        <v>126</v>
      </c>
      <c r="F71" s="96" t="s">
        <v>37</v>
      </c>
      <c r="G71" s="119"/>
      <c r="H71" s="21"/>
      <c r="I71" s="22"/>
      <c r="J71" s="22"/>
      <c r="K71" s="23"/>
      <c r="L71" s="75"/>
      <c r="M71" s="24" t="s">
        <v>35</v>
      </c>
      <c r="N71" s="22"/>
      <c r="O71" s="24"/>
      <c r="P71" s="24"/>
      <c r="Q71" s="24"/>
      <c r="R71" s="22"/>
      <c r="S71" s="23"/>
      <c r="T71" s="170"/>
      <c r="U71" s="25"/>
      <c r="V71" s="26"/>
      <c r="W71" s="27"/>
      <c r="X71" s="28"/>
      <c r="Y71" s="29"/>
    </row>
    <row r="72" spans="1:25" ht="45.6" x14ac:dyDescent="0.15">
      <c r="A72" s="19">
        <f t="shared" si="1"/>
        <v>68</v>
      </c>
      <c r="B72" s="20"/>
      <c r="C72" s="20"/>
      <c r="D72" s="20"/>
      <c r="E72" s="95" t="s">
        <v>124</v>
      </c>
      <c r="F72" s="96" t="s">
        <v>298</v>
      </c>
      <c r="G72" s="125" t="s">
        <v>274</v>
      </c>
      <c r="H72" s="21"/>
      <c r="I72" s="22"/>
      <c r="J72" s="22"/>
      <c r="K72" s="23"/>
      <c r="L72" s="75"/>
      <c r="M72" s="24" t="s">
        <v>35</v>
      </c>
      <c r="N72" s="22"/>
      <c r="O72" s="24"/>
      <c r="P72" s="24"/>
      <c r="Q72" s="24"/>
      <c r="R72" s="22"/>
      <c r="S72" s="23"/>
      <c r="T72" s="170"/>
      <c r="U72" s="25"/>
      <c r="V72" s="26"/>
      <c r="W72" s="27"/>
      <c r="X72" s="28"/>
      <c r="Y72" s="29"/>
    </row>
    <row r="73" spans="1:25" ht="11.4" x14ac:dyDescent="0.15">
      <c r="A73" s="19">
        <f t="shared" si="1"/>
        <v>69</v>
      </c>
      <c r="B73" s="20"/>
      <c r="C73" s="20"/>
      <c r="D73" s="20"/>
      <c r="E73" s="95"/>
      <c r="F73" s="96" t="s">
        <v>249</v>
      </c>
      <c r="G73" s="119"/>
      <c r="H73" s="21"/>
      <c r="I73" s="22"/>
      <c r="J73" s="22"/>
      <c r="K73" s="23"/>
      <c r="L73" s="24" t="s">
        <v>35</v>
      </c>
      <c r="M73" s="24"/>
      <c r="N73" s="22"/>
      <c r="O73" s="24"/>
      <c r="P73" s="24"/>
      <c r="Q73" s="24"/>
      <c r="R73" s="99"/>
      <c r="S73" s="23"/>
      <c r="T73" s="170"/>
      <c r="U73" s="25"/>
      <c r="V73" s="26"/>
      <c r="W73" s="27"/>
      <c r="X73" s="28"/>
      <c r="Y73" s="73"/>
    </row>
    <row r="74" spans="1:25" ht="11.4" x14ac:dyDescent="0.15">
      <c r="A74" s="19">
        <f t="shared" si="1"/>
        <v>70</v>
      </c>
      <c r="B74" s="20"/>
      <c r="C74" s="20" t="s">
        <v>210</v>
      </c>
      <c r="D74" s="20"/>
      <c r="E74" s="95" t="s">
        <v>56</v>
      </c>
      <c r="F74" s="96" t="s">
        <v>37</v>
      </c>
      <c r="G74" s="119"/>
      <c r="H74" s="21"/>
      <c r="I74" s="22"/>
      <c r="J74" s="22"/>
      <c r="K74" s="23"/>
      <c r="L74" s="75"/>
      <c r="M74" s="24" t="s">
        <v>35</v>
      </c>
      <c r="N74" s="22"/>
      <c r="O74" s="24"/>
      <c r="P74" s="24"/>
      <c r="Q74" s="24"/>
      <c r="R74" s="22"/>
      <c r="S74" s="23"/>
      <c r="T74" s="170"/>
      <c r="U74" s="25"/>
      <c r="V74" s="26"/>
      <c r="W74" s="27"/>
      <c r="X74" s="28"/>
      <c r="Y74" s="29"/>
    </row>
    <row r="75" spans="1:25" ht="11.4" x14ac:dyDescent="0.15">
      <c r="A75" s="19">
        <f t="shared" si="1"/>
        <v>71</v>
      </c>
      <c r="B75" s="20"/>
      <c r="C75" s="20"/>
      <c r="D75" s="20"/>
      <c r="E75" s="95" t="s">
        <v>122</v>
      </c>
      <c r="F75" s="96" t="s">
        <v>37</v>
      </c>
      <c r="G75" s="119"/>
      <c r="H75" s="21"/>
      <c r="I75" s="22"/>
      <c r="J75" s="22"/>
      <c r="K75" s="23"/>
      <c r="L75" s="75"/>
      <c r="M75" s="24" t="s">
        <v>35</v>
      </c>
      <c r="N75" s="22"/>
      <c r="O75" s="24"/>
      <c r="P75" s="24"/>
      <c r="Q75" s="24"/>
      <c r="R75" s="22"/>
      <c r="S75" s="23"/>
      <c r="T75" s="170"/>
      <c r="U75" s="25"/>
      <c r="V75" s="26"/>
      <c r="W75" s="27"/>
      <c r="X75" s="28"/>
      <c r="Y75" s="29"/>
    </row>
    <row r="76" spans="1:25" ht="11.4" x14ac:dyDescent="0.15">
      <c r="A76" s="19">
        <f t="shared" si="1"/>
        <v>72</v>
      </c>
      <c r="B76" s="20"/>
      <c r="C76" s="20"/>
      <c r="D76" s="20"/>
      <c r="E76" s="95" t="s">
        <v>211</v>
      </c>
      <c r="F76" s="96" t="s">
        <v>212</v>
      </c>
      <c r="G76" s="119"/>
      <c r="H76" s="21"/>
      <c r="I76" s="22"/>
      <c r="J76" s="22"/>
      <c r="K76" s="23"/>
      <c r="L76" s="75"/>
      <c r="M76" s="24" t="s">
        <v>35</v>
      </c>
      <c r="N76" s="22"/>
      <c r="O76" s="24"/>
      <c r="P76" s="24"/>
      <c r="Q76" s="24"/>
      <c r="R76" s="22"/>
      <c r="S76" s="23"/>
      <c r="T76" s="170"/>
      <c r="U76" s="25"/>
      <c r="V76" s="26"/>
      <c r="W76" s="27"/>
      <c r="X76" s="28"/>
      <c r="Y76" s="29"/>
    </row>
    <row r="77" spans="1:25" ht="11.4" x14ac:dyDescent="0.15">
      <c r="A77" s="19">
        <f t="shared" si="1"/>
        <v>73</v>
      </c>
      <c r="B77" s="20"/>
      <c r="C77" s="20"/>
      <c r="D77" s="20"/>
      <c r="E77" s="95" t="s">
        <v>213</v>
      </c>
      <c r="F77" s="96" t="s">
        <v>214</v>
      </c>
      <c r="G77" s="119"/>
      <c r="H77" s="21"/>
      <c r="I77" s="22"/>
      <c r="J77" s="22"/>
      <c r="K77" s="23"/>
      <c r="L77" s="75"/>
      <c r="M77" s="24" t="s">
        <v>35</v>
      </c>
      <c r="N77" s="22"/>
      <c r="O77" s="24"/>
      <c r="P77" s="24"/>
      <c r="Q77" s="24"/>
      <c r="R77" s="22"/>
      <c r="S77" s="23"/>
      <c r="T77" s="170"/>
      <c r="U77" s="25"/>
      <c r="V77" s="26"/>
      <c r="W77" s="27"/>
      <c r="X77" s="28"/>
      <c r="Y77" s="29"/>
    </row>
    <row r="78" spans="1:25" ht="11.4" x14ac:dyDescent="0.15">
      <c r="A78" s="19">
        <f t="shared" si="1"/>
        <v>74</v>
      </c>
      <c r="B78" s="20"/>
      <c r="C78" s="20"/>
      <c r="D78" s="20"/>
      <c r="E78" s="95"/>
      <c r="F78" s="96" t="s">
        <v>249</v>
      </c>
      <c r="G78" s="119"/>
      <c r="H78" s="21"/>
      <c r="I78" s="22"/>
      <c r="J78" s="22"/>
      <c r="K78" s="23"/>
      <c r="L78" s="24" t="s">
        <v>35</v>
      </c>
      <c r="M78" s="24"/>
      <c r="N78" s="22"/>
      <c r="O78" s="24"/>
      <c r="P78" s="24"/>
      <c r="Q78" s="24"/>
      <c r="R78" s="99"/>
      <c r="S78" s="23"/>
      <c r="T78" s="170"/>
      <c r="U78" s="25"/>
      <c r="V78" s="26"/>
      <c r="W78" s="27"/>
      <c r="X78" s="28"/>
      <c r="Y78" s="73"/>
    </row>
    <row r="79" spans="1:25" ht="11.4" x14ac:dyDescent="0.15">
      <c r="A79" s="19">
        <f t="shared" si="1"/>
        <v>75</v>
      </c>
      <c r="B79" s="20"/>
      <c r="C79" s="20" t="s">
        <v>215</v>
      </c>
      <c r="D79" s="20"/>
      <c r="E79" s="95" t="s">
        <v>56</v>
      </c>
      <c r="F79" s="96" t="s">
        <v>37</v>
      </c>
      <c r="G79" s="119"/>
      <c r="H79" s="21"/>
      <c r="I79" s="22"/>
      <c r="J79" s="22"/>
      <c r="K79" s="23"/>
      <c r="L79" s="75"/>
      <c r="M79" s="24" t="s">
        <v>35</v>
      </c>
      <c r="N79" s="22"/>
      <c r="O79" s="24"/>
      <c r="P79" s="24"/>
      <c r="Q79" s="24"/>
      <c r="R79" s="22"/>
      <c r="S79" s="23"/>
      <c r="T79" s="170"/>
      <c r="U79" s="25"/>
      <c r="V79" s="26"/>
      <c r="W79" s="27"/>
      <c r="X79" s="28"/>
      <c r="Y79" s="29"/>
    </row>
    <row r="80" spans="1:25" ht="11.4" x14ac:dyDescent="0.15">
      <c r="A80" s="19">
        <f t="shared" si="1"/>
        <v>76</v>
      </c>
      <c r="B80" s="20"/>
      <c r="C80" s="20"/>
      <c r="D80" s="20"/>
      <c r="E80" s="95" t="s">
        <v>217</v>
      </c>
      <c r="F80" s="96" t="s">
        <v>37</v>
      </c>
      <c r="G80" s="119"/>
      <c r="H80" s="21"/>
      <c r="I80" s="22"/>
      <c r="J80" s="22"/>
      <c r="K80" s="23"/>
      <c r="L80" s="75"/>
      <c r="M80" s="24" t="s">
        <v>35</v>
      </c>
      <c r="N80" s="22"/>
      <c r="O80" s="24"/>
      <c r="P80" s="24"/>
      <c r="Q80" s="24"/>
      <c r="R80" s="22"/>
      <c r="S80" s="23"/>
      <c r="T80" s="170"/>
      <c r="U80" s="25"/>
      <c r="V80" s="26"/>
      <c r="W80" s="27"/>
      <c r="X80" s="28"/>
      <c r="Y80" s="29"/>
    </row>
    <row r="81" spans="1:25" ht="11.4" x14ac:dyDescent="0.15">
      <c r="A81" s="19">
        <f t="shared" si="1"/>
        <v>77</v>
      </c>
      <c r="B81" s="20"/>
      <c r="C81" s="20"/>
      <c r="D81" s="20"/>
      <c r="E81" s="95" t="s">
        <v>216</v>
      </c>
      <c r="F81" s="96" t="s">
        <v>218</v>
      </c>
      <c r="G81" s="119"/>
      <c r="H81" s="21"/>
      <c r="I81" s="22"/>
      <c r="J81" s="22"/>
      <c r="K81" s="23"/>
      <c r="L81" s="75"/>
      <c r="M81" s="24" t="s">
        <v>35</v>
      </c>
      <c r="N81" s="22"/>
      <c r="O81" s="24"/>
      <c r="P81" s="24"/>
      <c r="Q81" s="24"/>
      <c r="R81" s="22"/>
      <c r="S81" s="23"/>
      <c r="T81" s="170"/>
      <c r="U81" s="25"/>
      <c r="V81" s="26"/>
      <c r="W81" s="27"/>
      <c r="X81" s="28"/>
      <c r="Y81" s="29"/>
    </row>
    <row r="82" spans="1:25" ht="11.4" x14ac:dyDescent="0.15">
      <c r="A82" s="19">
        <f t="shared" si="1"/>
        <v>78</v>
      </c>
      <c r="B82" s="20"/>
      <c r="C82" s="20"/>
      <c r="D82" s="20"/>
      <c r="E82" s="95"/>
      <c r="F82" s="96" t="s">
        <v>249</v>
      </c>
      <c r="G82" s="119"/>
      <c r="H82" s="21"/>
      <c r="I82" s="22"/>
      <c r="J82" s="22"/>
      <c r="K82" s="23"/>
      <c r="L82" s="24" t="s">
        <v>35</v>
      </c>
      <c r="M82" s="24"/>
      <c r="N82" s="22"/>
      <c r="O82" s="24"/>
      <c r="P82" s="24"/>
      <c r="Q82" s="24"/>
      <c r="R82" s="99"/>
      <c r="S82" s="23"/>
      <c r="T82" s="170"/>
      <c r="U82" s="25"/>
      <c r="V82" s="26"/>
      <c r="W82" s="27"/>
      <c r="X82" s="28"/>
      <c r="Y82" s="73"/>
    </row>
    <row r="83" spans="1:25" ht="22.8" x14ac:dyDescent="0.15">
      <c r="A83" s="19">
        <f t="shared" si="1"/>
        <v>79</v>
      </c>
      <c r="B83" s="20" t="s">
        <v>221</v>
      </c>
      <c r="C83" s="20"/>
      <c r="D83" s="20"/>
      <c r="E83" s="30" t="s">
        <v>250</v>
      </c>
      <c r="F83" s="96" t="s">
        <v>141</v>
      </c>
      <c r="G83" s="119"/>
      <c r="H83" s="21"/>
      <c r="I83" s="22"/>
      <c r="J83" s="22"/>
      <c r="K83" s="23"/>
      <c r="L83" s="75"/>
      <c r="M83" s="24" t="s">
        <v>35</v>
      </c>
      <c r="N83" s="22"/>
      <c r="O83" s="24"/>
      <c r="P83" s="24"/>
      <c r="Q83" s="24"/>
      <c r="R83" s="22"/>
      <c r="S83" s="23"/>
      <c r="T83" s="170"/>
      <c r="U83" s="25"/>
      <c r="V83" s="26"/>
      <c r="W83" s="27"/>
      <c r="X83" s="28"/>
      <c r="Y83" s="29"/>
    </row>
    <row r="84" spans="1:25" ht="11.4" x14ac:dyDescent="0.15">
      <c r="A84" s="19">
        <f t="shared" si="1"/>
        <v>80</v>
      </c>
      <c r="B84" s="20"/>
      <c r="C84" s="20" t="s">
        <v>178</v>
      </c>
      <c r="D84" s="20"/>
      <c r="E84" s="30" t="s">
        <v>253</v>
      </c>
      <c r="F84" s="96" t="s">
        <v>303</v>
      </c>
      <c r="G84" s="119"/>
      <c r="H84" s="21"/>
      <c r="I84" s="22"/>
      <c r="J84" s="22"/>
      <c r="K84" s="23"/>
      <c r="L84" s="21"/>
      <c r="M84" s="24" t="s">
        <v>35</v>
      </c>
      <c r="N84" s="22"/>
      <c r="O84" s="24"/>
      <c r="P84" s="24"/>
      <c r="Q84" s="24"/>
      <c r="R84" s="22"/>
      <c r="S84" s="23"/>
      <c r="T84" s="170"/>
      <c r="U84" s="25"/>
      <c r="V84" s="26"/>
      <c r="W84" s="27"/>
      <c r="X84" s="28"/>
      <c r="Y84" s="94" t="s">
        <v>251</v>
      </c>
    </row>
    <row r="85" spans="1:25" ht="11.4" x14ac:dyDescent="0.15">
      <c r="A85" s="19">
        <f t="shared" si="1"/>
        <v>81</v>
      </c>
      <c r="B85" s="20"/>
      <c r="C85" s="20" t="s">
        <v>179</v>
      </c>
      <c r="D85" s="20"/>
      <c r="E85" s="30"/>
      <c r="F85" s="96" t="s">
        <v>304</v>
      </c>
      <c r="G85" s="119"/>
      <c r="H85" s="21"/>
      <c r="I85" s="22"/>
      <c r="J85" s="22"/>
      <c r="K85" s="23"/>
      <c r="L85" s="21"/>
      <c r="M85" s="24" t="s">
        <v>35</v>
      </c>
      <c r="N85" s="22"/>
      <c r="O85" s="24"/>
      <c r="P85" s="24"/>
      <c r="Q85" s="24"/>
      <c r="R85" s="22"/>
      <c r="S85" s="23"/>
      <c r="T85" s="170"/>
      <c r="U85" s="25"/>
      <c r="V85" s="26"/>
      <c r="W85" s="27"/>
      <c r="X85" s="28"/>
      <c r="Y85" s="94" t="s">
        <v>252</v>
      </c>
    </row>
    <row r="86" spans="1:25" ht="11.4" x14ac:dyDescent="0.15">
      <c r="A86" s="19">
        <f t="shared" si="1"/>
        <v>82</v>
      </c>
      <c r="B86" s="20"/>
      <c r="C86" s="20" t="s">
        <v>180</v>
      </c>
      <c r="D86" s="20"/>
      <c r="E86" s="30"/>
      <c r="F86" s="96" t="s">
        <v>305</v>
      </c>
      <c r="G86" s="119"/>
      <c r="H86" s="21"/>
      <c r="I86" s="22"/>
      <c r="J86" s="22"/>
      <c r="K86" s="23"/>
      <c r="L86" s="21"/>
      <c r="M86" s="24" t="s">
        <v>35</v>
      </c>
      <c r="N86" s="22"/>
      <c r="O86" s="24"/>
      <c r="P86" s="24"/>
      <c r="Q86" s="24"/>
      <c r="R86" s="22"/>
      <c r="S86" s="23"/>
      <c r="T86" s="170"/>
      <c r="U86" s="25"/>
      <c r="V86" s="26"/>
      <c r="W86" s="27"/>
      <c r="X86" s="28"/>
      <c r="Y86" s="94" t="s">
        <v>254</v>
      </c>
    </row>
    <row r="87" spans="1:25" ht="22.8" x14ac:dyDescent="0.15">
      <c r="A87" s="19">
        <f t="shared" si="1"/>
        <v>83</v>
      </c>
      <c r="B87" s="20"/>
      <c r="C87" s="20" t="s">
        <v>181</v>
      </c>
      <c r="D87" s="20"/>
      <c r="E87" s="30"/>
      <c r="F87" s="96" t="s">
        <v>317</v>
      </c>
      <c r="G87" s="119"/>
      <c r="H87" s="21"/>
      <c r="I87" s="22"/>
      <c r="J87" s="22"/>
      <c r="K87" s="23"/>
      <c r="L87" s="21"/>
      <c r="M87" s="24" t="s">
        <v>35</v>
      </c>
      <c r="N87" s="22"/>
      <c r="O87" s="24"/>
      <c r="P87" s="24"/>
      <c r="Q87" s="24"/>
      <c r="R87" s="22"/>
      <c r="S87" s="23"/>
      <c r="T87" s="170"/>
      <c r="U87" s="25"/>
      <c r="V87" s="26"/>
      <c r="W87" s="27"/>
      <c r="X87" s="28"/>
      <c r="Y87" s="94" t="s">
        <v>302</v>
      </c>
    </row>
    <row r="88" spans="1:25" ht="22.8" x14ac:dyDescent="0.15">
      <c r="A88" s="19">
        <f t="shared" si="1"/>
        <v>84</v>
      </c>
      <c r="B88" s="20" t="s">
        <v>142</v>
      </c>
      <c r="C88" s="20"/>
      <c r="D88" s="20"/>
      <c r="E88" s="30" t="s">
        <v>143</v>
      </c>
      <c r="F88" s="96" t="s">
        <v>144</v>
      </c>
      <c r="G88" s="119"/>
      <c r="H88" s="21"/>
      <c r="I88" s="22"/>
      <c r="J88" s="22"/>
      <c r="K88" s="23"/>
      <c r="L88" s="21"/>
      <c r="M88" s="24" t="s">
        <v>35</v>
      </c>
      <c r="N88" s="22"/>
      <c r="O88" s="24"/>
      <c r="P88" s="24"/>
      <c r="Q88" s="24"/>
      <c r="R88" s="22"/>
      <c r="S88" s="23"/>
      <c r="T88" s="170"/>
      <c r="U88" s="25"/>
      <c r="V88" s="26"/>
      <c r="W88" s="27"/>
      <c r="X88" s="28"/>
      <c r="Y88" s="94" t="s">
        <v>145</v>
      </c>
    </row>
    <row r="89" spans="1:25" ht="11.4" x14ac:dyDescent="0.15">
      <c r="A89" s="19">
        <f t="shared" si="1"/>
        <v>85</v>
      </c>
      <c r="B89" s="20"/>
      <c r="C89" s="20"/>
      <c r="D89" s="30"/>
      <c r="E89" s="30" t="s">
        <v>146</v>
      </c>
      <c r="F89" s="96" t="s">
        <v>147</v>
      </c>
      <c r="G89" s="119"/>
      <c r="H89" s="21"/>
      <c r="I89" s="22"/>
      <c r="J89" s="22"/>
      <c r="K89" s="23"/>
      <c r="L89" s="21"/>
      <c r="M89" s="24" t="s">
        <v>35</v>
      </c>
      <c r="N89" s="22"/>
      <c r="O89" s="24"/>
      <c r="P89" s="24"/>
      <c r="Q89" s="24"/>
      <c r="R89" s="22"/>
      <c r="S89" s="23"/>
      <c r="T89" s="170"/>
      <c r="U89" s="25"/>
      <c r="V89" s="26"/>
      <c r="W89" s="27"/>
      <c r="X89" s="28"/>
      <c r="Y89" s="94"/>
    </row>
    <row r="90" spans="1:25" ht="11.4" x14ac:dyDescent="0.15">
      <c r="A90" s="19">
        <f t="shared" si="1"/>
        <v>86</v>
      </c>
      <c r="B90" s="20"/>
      <c r="C90" s="20"/>
      <c r="D90" s="30"/>
      <c r="E90" s="30" t="s">
        <v>148</v>
      </c>
      <c r="F90" s="96" t="s">
        <v>149</v>
      </c>
      <c r="G90" s="119"/>
      <c r="H90" s="21"/>
      <c r="I90" s="22"/>
      <c r="J90" s="22"/>
      <c r="K90" s="23"/>
      <c r="L90" s="21"/>
      <c r="M90" s="24" t="s">
        <v>35</v>
      </c>
      <c r="N90" s="22"/>
      <c r="O90" s="24"/>
      <c r="P90" s="24"/>
      <c r="Q90" s="24"/>
      <c r="R90" s="22"/>
      <c r="S90" s="23"/>
      <c r="T90" s="170"/>
      <c r="U90" s="25"/>
      <c r="V90" s="26"/>
      <c r="W90" s="27"/>
      <c r="X90" s="28"/>
      <c r="Y90" s="29"/>
    </row>
    <row r="91" spans="1:25" ht="11.4" x14ac:dyDescent="0.15">
      <c r="A91" s="19">
        <f t="shared" si="1"/>
        <v>87</v>
      </c>
      <c r="B91" s="20" t="s">
        <v>150</v>
      </c>
      <c r="C91" s="168" t="s">
        <v>257</v>
      </c>
      <c r="D91" s="20"/>
      <c r="E91" s="95" t="s">
        <v>56</v>
      </c>
      <c r="F91" s="96" t="s">
        <v>37</v>
      </c>
      <c r="G91" s="119"/>
      <c r="H91" s="21"/>
      <c r="I91" s="22"/>
      <c r="J91" s="22"/>
      <c r="K91" s="23"/>
      <c r="L91" s="21"/>
      <c r="M91" s="24" t="s">
        <v>35</v>
      </c>
      <c r="N91" s="22"/>
      <c r="O91" s="24"/>
      <c r="P91" s="24"/>
      <c r="Q91" s="24"/>
      <c r="R91" s="99"/>
      <c r="S91" s="23"/>
      <c r="T91" s="170"/>
      <c r="U91" s="25"/>
      <c r="V91" s="26"/>
      <c r="W91" s="27"/>
      <c r="X91" s="28"/>
      <c r="Y91" s="94"/>
    </row>
    <row r="92" spans="1:25" ht="11.4" x14ac:dyDescent="0.15">
      <c r="A92" s="19">
        <f t="shared" si="1"/>
        <v>88</v>
      </c>
      <c r="B92" s="20"/>
      <c r="C92" s="20"/>
      <c r="D92" s="20"/>
      <c r="E92" s="95" t="s">
        <v>258</v>
      </c>
      <c r="F92" s="96" t="s">
        <v>37</v>
      </c>
      <c r="G92" s="119"/>
      <c r="H92" s="21"/>
      <c r="I92" s="22"/>
      <c r="J92" s="22"/>
      <c r="K92" s="23"/>
      <c r="L92" s="21"/>
      <c r="M92" s="24" t="s">
        <v>35</v>
      </c>
      <c r="N92" s="22"/>
      <c r="O92" s="24"/>
      <c r="P92" s="24"/>
      <c r="Q92" s="24"/>
      <c r="R92" s="99"/>
      <c r="S92" s="23"/>
      <c r="T92" s="170"/>
      <c r="U92" s="25"/>
      <c r="V92" s="26"/>
      <c r="W92" s="27"/>
      <c r="X92" s="28"/>
      <c r="Y92" s="94"/>
    </row>
    <row r="93" spans="1:25" ht="11.4" x14ac:dyDescent="0.15">
      <c r="A93" s="19">
        <f t="shared" si="1"/>
        <v>89</v>
      </c>
      <c r="B93" s="20"/>
      <c r="C93" s="20"/>
      <c r="D93" s="20"/>
      <c r="E93" s="95" t="s">
        <v>259</v>
      </c>
      <c r="F93" s="96" t="s">
        <v>260</v>
      </c>
      <c r="G93" s="119"/>
      <c r="H93" s="21"/>
      <c r="I93" s="22"/>
      <c r="J93" s="22"/>
      <c r="K93" s="23"/>
      <c r="L93" s="21"/>
      <c r="M93" s="24" t="s">
        <v>35</v>
      </c>
      <c r="N93" s="22"/>
      <c r="O93" s="24"/>
      <c r="P93" s="24"/>
      <c r="Q93" s="24"/>
      <c r="R93" s="99"/>
      <c r="S93" s="23"/>
      <c r="T93" s="170"/>
      <c r="U93" s="25"/>
      <c r="V93" s="26"/>
      <c r="W93" s="27"/>
      <c r="X93" s="28"/>
      <c r="Y93" s="94"/>
    </row>
    <row r="94" spans="1:25" ht="11.4" x14ac:dyDescent="0.15">
      <c r="A94" s="19">
        <f t="shared" si="1"/>
        <v>90</v>
      </c>
      <c r="B94" s="20"/>
      <c r="C94" s="20"/>
      <c r="D94" s="20"/>
      <c r="E94" s="95"/>
      <c r="F94" s="96" t="s">
        <v>261</v>
      </c>
      <c r="G94" s="119"/>
      <c r="H94" s="21"/>
      <c r="I94" s="22"/>
      <c r="J94" s="22"/>
      <c r="K94" s="23"/>
      <c r="L94" s="21"/>
      <c r="M94" s="24" t="s">
        <v>35</v>
      </c>
      <c r="N94" s="22"/>
      <c r="O94" s="24"/>
      <c r="P94" s="24"/>
      <c r="Q94" s="24"/>
      <c r="R94" s="99"/>
      <c r="S94" s="23"/>
      <c r="T94" s="170"/>
      <c r="U94" s="25"/>
      <c r="V94" s="26"/>
      <c r="W94" s="27"/>
      <c r="X94" s="28"/>
      <c r="Y94" s="94"/>
    </row>
    <row r="95" spans="1:25" ht="34.200000000000003" x14ac:dyDescent="0.15">
      <c r="A95" s="19">
        <f t="shared" si="1"/>
        <v>91</v>
      </c>
      <c r="B95" s="20"/>
      <c r="C95" s="20"/>
      <c r="D95" s="20"/>
      <c r="E95" s="95"/>
      <c r="F95" s="96" t="s">
        <v>262</v>
      </c>
      <c r="G95" s="119"/>
      <c r="H95" s="21"/>
      <c r="I95" s="22"/>
      <c r="J95" s="22"/>
      <c r="K95" s="23"/>
      <c r="L95" s="21"/>
      <c r="M95" s="24" t="s">
        <v>35</v>
      </c>
      <c r="N95" s="22"/>
      <c r="O95" s="24"/>
      <c r="P95" s="24"/>
      <c r="Q95" s="24"/>
      <c r="R95" s="99"/>
      <c r="S95" s="23"/>
      <c r="T95" s="170"/>
      <c r="U95" s="25"/>
      <c r="V95" s="26"/>
      <c r="W95" s="27"/>
      <c r="X95" s="28"/>
      <c r="Y95" s="94"/>
    </row>
    <row r="96" spans="1:25" ht="11.4" x14ac:dyDescent="0.15">
      <c r="A96" s="19">
        <f t="shared" si="1"/>
        <v>92</v>
      </c>
      <c r="B96" s="20"/>
      <c r="C96" s="20" t="s">
        <v>174</v>
      </c>
      <c r="D96" s="20"/>
      <c r="E96" s="95" t="s">
        <v>56</v>
      </c>
      <c r="F96" s="96" t="s">
        <v>37</v>
      </c>
      <c r="G96" s="119"/>
      <c r="H96" s="21"/>
      <c r="I96" s="22"/>
      <c r="J96" s="22"/>
      <c r="K96" s="23"/>
      <c r="L96" s="21"/>
      <c r="M96" s="24" t="s">
        <v>35</v>
      </c>
      <c r="N96" s="22"/>
      <c r="O96" s="24"/>
      <c r="P96" s="24"/>
      <c r="Q96" s="24"/>
      <c r="R96" s="99"/>
      <c r="S96" s="23"/>
      <c r="T96" s="170"/>
      <c r="U96" s="25"/>
      <c r="V96" s="26"/>
      <c r="W96" s="27"/>
      <c r="X96" s="28"/>
      <c r="Y96" s="94"/>
    </row>
    <row r="97" spans="1:25" ht="11.4" x14ac:dyDescent="0.15">
      <c r="A97" s="19">
        <f t="shared" si="1"/>
        <v>93</v>
      </c>
      <c r="B97" s="20"/>
      <c r="C97" s="20"/>
      <c r="D97" s="20"/>
      <c r="E97" s="95" t="s">
        <v>85</v>
      </c>
      <c r="F97" s="96" t="s">
        <v>37</v>
      </c>
      <c r="G97" s="119"/>
      <c r="H97" s="21"/>
      <c r="I97" s="22"/>
      <c r="J97" s="22"/>
      <c r="K97" s="23"/>
      <c r="L97" s="21"/>
      <c r="M97" s="24" t="s">
        <v>35</v>
      </c>
      <c r="N97" s="22"/>
      <c r="O97" s="24"/>
      <c r="P97" s="24"/>
      <c r="Q97" s="24"/>
      <c r="R97" s="99"/>
      <c r="S97" s="23"/>
      <c r="T97" s="170"/>
      <c r="U97" s="25"/>
      <c r="V97" s="26"/>
      <c r="W97" s="27"/>
      <c r="X97" s="28"/>
      <c r="Y97" s="94"/>
    </row>
    <row r="98" spans="1:25" ht="11.4" x14ac:dyDescent="0.15">
      <c r="A98" s="19">
        <f t="shared" si="1"/>
        <v>94</v>
      </c>
      <c r="B98" s="20"/>
      <c r="C98" s="20"/>
      <c r="D98" s="20"/>
      <c r="E98" s="95" t="s">
        <v>86</v>
      </c>
      <c r="F98" s="96" t="s">
        <v>37</v>
      </c>
      <c r="G98" s="119"/>
      <c r="H98" s="21"/>
      <c r="I98" s="22"/>
      <c r="J98" s="22"/>
      <c r="K98" s="23"/>
      <c r="L98" s="21"/>
      <c r="M98" s="24" t="s">
        <v>35</v>
      </c>
      <c r="N98" s="22"/>
      <c r="O98" s="24"/>
      <c r="P98" s="24"/>
      <c r="Q98" s="24"/>
      <c r="R98" s="99"/>
      <c r="S98" s="23"/>
      <c r="T98" s="170"/>
      <c r="U98" s="25"/>
      <c r="V98" s="26"/>
      <c r="W98" s="27"/>
      <c r="X98" s="28"/>
      <c r="Y98" s="94"/>
    </row>
    <row r="99" spans="1:25" ht="11.4" x14ac:dyDescent="0.15">
      <c r="A99" s="19">
        <f t="shared" si="1"/>
        <v>95</v>
      </c>
      <c r="B99" s="20"/>
      <c r="C99" s="20"/>
      <c r="D99" s="20"/>
      <c r="E99" s="95" t="s">
        <v>87</v>
      </c>
      <c r="F99" s="96" t="s">
        <v>88</v>
      </c>
      <c r="G99" s="119"/>
      <c r="H99" s="21"/>
      <c r="I99" s="22"/>
      <c r="J99" s="22"/>
      <c r="K99" s="23"/>
      <c r="L99" s="21"/>
      <c r="M99" s="24" t="s">
        <v>35</v>
      </c>
      <c r="N99" s="22"/>
      <c r="O99" s="24"/>
      <c r="P99" s="24"/>
      <c r="Q99" s="24"/>
      <c r="R99" s="99"/>
      <c r="S99" s="23"/>
      <c r="T99" s="170"/>
      <c r="U99" s="25"/>
      <c r="V99" s="26"/>
      <c r="W99" s="27"/>
      <c r="X99" s="28"/>
      <c r="Y99" s="94"/>
    </row>
    <row r="100" spans="1:25" ht="22.8" x14ac:dyDescent="0.15">
      <c r="A100" s="19">
        <f t="shared" si="1"/>
        <v>96</v>
      </c>
      <c r="B100" s="20"/>
      <c r="C100" s="20"/>
      <c r="D100" s="20"/>
      <c r="E100" s="95" t="s">
        <v>89</v>
      </c>
      <c r="F100" s="96" t="s">
        <v>318</v>
      </c>
      <c r="G100" s="119"/>
      <c r="H100" s="21"/>
      <c r="I100" s="22"/>
      <c r="J100" s="22"/>
      <c r="K100" s="23"/>
      <c r="L100" s="21"/>
      <c r="M100" s="24" t="s">
        <v>35</v>
      </c>
      <c r="N100" s="22"/>
      <c r="O100" s="24"/>
      <c r="P100" s="24"/>
      <c r="Q100" s="24"/>
      <c r="R100" s="99"/>
      <c r="S100" s="23"/>
      <c r="T100" s="170"/>
      <c r="U100" s="25"/>
      <c r="V100" s="26"/>
      <c r="W100" s="27"/>
      <c r="X100" s="28"/>
    </row>
    <row r="101" spans="1:25" ht="11.4" x14ac:dyDescent="0.15">
      <c r="A101" s="19">
        <f t="shared" si="1"/>
        <v>97</v>
      </c>
      <c r="B101" s="20"/>
      <c r="C101" s="20" t="s">
        <v>182</v>
      </c>
      <c r="D101" s="20"/>
      <c r="E101" s="95" t="s">
        <v>56</v>
      </c>
      <c r="F101" s="96" t="s">
        <v>37</v>
      </c>
      <c r="G101" s="119"/>
      <c r="H101" s="21"/>
      <c r="I101" s="22"/>
      <c r="J101" s="22"/>
      <c r="K101" s="23"/>
      <c r="L101" s="21"/>
      <c r="M101" s="24" t="s">
        <v>35</v>
      </c>
      <c r="N101" s="22"/>
      <c r="O101" s="24"/>
      <c r="P101" s="24"/>
      <c r="Q101" s="24"/>
      <c r="R101" s="99"/>
      <c r="S101" s="23"/>
      <c r="T101" s="170"/>
      <c r="U101" s="25"/>
      <c r="V101" s="26"/>
      <c r="W101" s="27"/>
      <c r="X101" s="28"/>
      <c r="Y101" s="94"/>
    </row>
    <row r="102" spans="1:25" ht="11.4" x14ac:dyDescent="0.15">
      <c r="A102" s="19">
        <f t="shared" si="1"/>
        <v>98</v>
      </c>
      <c r="B102" s="20"/>
      <c r="C102" s="20"/>
      <c r="D102" s="20"/>
      <c r="E102" s="95" t="s">
        <v>85</v>
      </c>
      <c r="F102" s="96" t="s">
        <v>37</v>
      </c>
      <c r="G102" s="119"/>
      <c r="H102" s="21"/>
      <c r="I102" s="22"/>
      <c r="J102" s="22"/>
      <c r="K102" s="23"/>
      <c r="L102" s="21"/>
      <c r="M102" s="24" t="s">
        <v>35</v>
      </c>
      <c r="N102" s="22"/>
      <c r="O102" s="24"/>
      <c r="P102" s="24"/>
      <c r="Q102" s="24"/>
      <c r="R102" s="99"/>
      <c r="S102" s="23"/>
      <c r="T102" s="170"/>
      <c r="U102" s="25"/>
      <c r="V102" s="26"/>
      <c r="W102" s="27"/>
      <c r="X102" s="28"/>
      <c r="Y102" s="94"/>
    </row>
    <row r="103" spans="1:25" ht="11.4" x14ac:dyDescent="0.15">
      <c r="A103" s="19">
        <f t="shared" si="1"/>
        <v>99</v>
      </c>
      <c r="B103" s="20"/>
      <c r="C103" s="20"/>
      <c r="D103" s="20"/>
      <c r="E103" s="95" t="s">
        <v>90</v>
      </c>
      <c r="F103" s="96" t="s">
        <v>37</v>
      </c>
      <c r="G103" s="119"/>
      <c r="H103" s="21"/>
      <c r="I103" s="22"/>
      <c r="J103" s="22"/>
      <c r="K103" s="23"/>
      <c r="L103" s="21"/>
      <c r="M103" s="24" t="s">
        <v>35</v>
      </c>
      <c r="N103" s="22"/>
      <c r="O103" s="24"/>
      <c r="P103" s="24"/>
      <c r="Q103" s="24"/>
      <c r="R103" s="99"/>
      <c r="S103" s="23"/>
      <c r="T103" s="170"/>
      <c r="U103" s="25"/>
      <c r="V103" s="26"/>
      <c r="W103" s="27"/>
      <c r="X103" s="28"/>
      <c r="Y103" s="94"/>
    </row>
    <row r="104" spans="1:25" ht="11.4" x14ac:dyDescent="0.15">
      <c r="A104" s="19">
        <f t="shared" si="1"/>
        <v>100</v>
      </c>
      <c r="B104" s="20"/>
      <c r="C104" s="20"/>
      <c r="D104" s="20"/>
      <c r="E104" s="95" t="s">
        <v>91</v>
      </c>
      <c r="F104" s="96" t="s">
        <v>88</v>
      </c>
      <c r="G104" s="119"/>
      <c r="H104" s="21"/>
      <c r="I104" s="22"/>
      <c r="J104" s="22"/>
      <c r="K104" s="23"/>
      <c r="L104" s="21"/>
      <c r="M104" s="24" t="s">
        <v>35</v>
      </c>
      <c r="N104" s="22"/>
      <c r="O104" s="24"/>
      <c r="P104" s="24"/>
      <c r="Q104" s="24"/>
      <c r="R104" s="99"/>
      <c r="S104" s="23"/>
      <c r="T104" s="170"/>
      <c r="U104" s="25"/>
      <c r="V104" s="26"/>
      <c r="W104" s="27"/>
      <c r="X104" s="28"/>
      <c r="Y104" s="94"/>
    </row>
    <row r="105" spans="1:25" ht="22.8" x14ac:dyDescent="0.15">
      <c r="A105" s="19">
        <f t="shared" si="1"/>
        <v>101</v>
      </c>
      <c r="B105" s="20"/>
      <c r="C105" s="20"/>
      <c r="D105" s="20"/>
      <c r="E105" s="95" t="s">
        <v>89</v>
      </c>
      <c r="F105" s="96" t="s">
        <v>319</v>
      </c>
      <c r="G105" s="119"/>
      <c r="H105" s="21"/>
      <c r="I105" s="22"/>
      <c r="J105" s="22"/>
      <c r="K105" s="23"/>
      <c r="L105" s="21"/>
      <c r="M105" s="24" t="s">
        <v>35</v>
      </c>
      <c r="N105" s="22"/>
      <c r="O105" s="24"/>
      <c r="P105" s="24"/>
      <c r="Q105" s="24"/>
      <c r="R105" s="99"/>
      <c r="S105" s="23"/>
      <c r="T105" s="170"/>
      <c r="U105" s="25"/>
      <c r="V105" s="26"/>
      <c r="W105" s="27"/>
      <c r="X105" s="28"/>
      <c r="Y105" s="94"/>
    </row>
    <row r="106" spans="1:25" ht="11.4" x14ac:dyDescent="0.15">
      <c r="A106" s="19">
        <f t="shared" si="1"/>
        <v>102</v>
      </c>
      <c r="B106" s="20"/>
      <c r="C106" s="20" t="s">
        <v>183</v>
      </c>
      <c r="D106" s="20"/>
      <c r="E106" s="95" t="s">
        <v>56</v>
      </c>
      <c r="F106" s="96" t="s">
        <v>37</v>
      </c>
      <c r="G106" s="119"/>
      <c r="H106" s="21"/>
      <c r="I106" s="22"/>
      <c r="J106" s="22"/>
      <c r="K106" s="23"/>
      <c r="L106" s="21"/>
      <c r="M106" s="24" t="s">
        <v>35</v>
      </c>
      <c r="N106" s="22"/>
      <c r="O106" s="24"/>
      <c r="P106" s="24"/>
      <c r="Q106" s="24"/>
      <c r="R106" s="99"/>
      <c r="S106" s="23"/>
      <c r="T106" s="170"/>
      <c r="U106" s="25"/>
      <c r="V106" s="26"/>
      <c r="W106" s="27"/>
      <c r="X106" s="28"/>
      <c r="Y106" s="94"/>
    </row>
    <row r="107" spans="1:25" ht="11.4" x14ac:dyDescent="0.15">
      <c r="A107" s="19">
        <f t="shared" si="1"/>
        <v>103</v>
      </c>
      <c r="B107" s="20"/>
      <c r="C107" s="20"/>
      <c r="D107" s="20"/>
      <c r="E107" s="95" t="s">
        <v>85</v>
      </c>
      <c r="F107" s="96" t="s">
        <v>37</v>
      </c>
      <c r="G107" s="119"/>
      <c r="H107" s="21"/>
      <c r="I107" s="22"/>
      <c r="J107" s="22"/>
      <c r="K107" s="23"/>
      <c r="L107" s="21"/>
      <c r="M107" s="24" t="s">
        <v>35</v>
      </c>
      <c r="N107" s="22"/>
      <c r="O107" s="24"/>
      <c r="P107" s="24"/>
      <c r="Q107" s="24"/>
      <c r="R107" s="99"/>
      <c r="S107" s="23"/>
      <c r="T107" s="170"/>
      <c r="U107" s="25"/>
      <c r="V107" s="26"/>
      <c r="W107" s="27"/>
      <c r="X107" s="28"/>
      <c r="Y107" s="94"/>
    </row>
    <row r="108" spans="1:25" ht="11.4" x14ac:dyDescent="0.15">
      <c r="A108" s="19">
        <f t="shared" si="1"/>
        <v>104</v>
      </c>
      <c r="B108" s="20"/>
      <c r="C108" s="20"/>
      <c r="D108" s="20"/>
      <c r="E108" s="95" t="s">
        <v>92</v>
      </c>
      <c r="F108" s="96" t="s">
        <v>37</v>
      </c>
      <c r="G108" s="119"/>
      <c r="H108" s="21"/>
      <c r="I108" s="22"/>
      <c r="J108" s="22"/>
      <c r="K108" s="23"/>
      <c r="L108" s="21"/>
      <c r="M108" s="24" t="s">
        <v>35</v>
      </c>
      <c r="N108" s="22"/>
      <c r="O108" s="24"/>
      <c r="P108" s="24"/>
      <c r="Q108" s="24"/>
      <c r="R108" s="99"/>
      <c r="S108" s="23"/>
      <c r="T108" s="170"/>
      <c r="U108" s="25"/>
      <c r="V108" s="26"/>
      <c r="W108" s="27"/>
      <c r="X108" s="28"/>
      <c r="Y108" s="94"/>
    </row>
    <row r="109" spans="1:25" ht="11.4" x14ac:dyDescent="0.15">
      <c r="A109" s="19">
        <f t="shared" si="1"/>
        <v>105</v>
      </c>
      <c r="B109" s="20"/>
      <c r="C109" s="20"/>
      <c r="D109" s="20"/>
      <c r="E109" s="95" t="s">
        <v>93</v>
      </c>
      <c r="F109" s="96" t="s">
        <v>88</v>
      </c>
      <c r="G109" s="119"/>
      <c r="H109" s="21"/>
      <c r="I109" s="22"/>
      <c r="J109" s="22"/>
      <c r="K109" s="23"/>
      <c r="L109" s="21"/>
      <c r="M109" s="24" t="s">
        <v>35</v>
      </c>
      <c r="N109" s="22"/>
      <c r="O109" s="24"/>
      <c r="P109" s="24"/>
      <c r="Q109" s="24"/>
      <c r="R109" s="99"/>
      <c r="S109" s="23"/>
      <c r="T109" s="170"/>
      <c r="U109" s="25"/>
      <c r="V109" s="26"/>
      <c r="W109" s="27"/>
      <c r="X109" s="28"/>
      <c r="Y109" s="94"/>
    </row>
    <row r="110" spans="1:25" ht="22.8" x14ac:dyDescent="0.15">
      <c r="A110" s="19">
        <f t="shared" si="1"/>
        <v>106</v>
      </c>
      <c r="B110" s="20"/>
      <c r="C110" s="20"/>
      <c r="D110" s="20"/>
      <c r="E110" s="95" t="s">
        <v>89</v>
      </c>
      <c r="F110" s="96" t="s">
        <v>320</v>
      </c>
      <c r="G110" s="119"/>
      <c r="H110" s="21"/>
      <c r="I110" s="22"/>
      <c r="J110" s="22"/>
      <c r="K110" s="23"/>
      <c r="L110" s="21"/>
      <c r="M110" s="24" t="s">
        <v>35</v>
      </c>
      <c r="N110" s="22"/>
      <c r="O110" s="24"/>
      <c r="P110" s="24"/>
      <c r="Q110" s="24"/>
      <c r="R110" s="99"/>
      <c r="S110" s="23"/>
      <c r="T110" s="170"/>
      <c r="U110" s="25"/>
      <c r="V110" s="26"/>
      <c r="W110" s="27"/>
      <c r="X110" s="28"/>
      <c r="Y110" s="94"/>
    </row>
    <row r="111" spans="1:25" ht="11.4" x14ac:dyDescent="0.15">
      <c r="A111" s="19">
        <f t="shared" si="1"/>
        <v>107</v>
      </c>
      <c r="B111" s="20"/>
      <c r="C111" s="20" t="s">
        <v>184</v>
      </c>
      <c r="D111" s="20"/>
      <c r="E111" s="95" t="s">
        <v>36</v>
      </c>
      <c r="F111" s="96" t="s">
        <v>37</v>
      </c>
      <c r="G111" s="119"/>
      <c r="H111" s="21"/>
      <c r="I111" s="22"/>
      <c r="J111" s="22"/>
      <c r="K111" s="23"/>
      <c r="L111" s="21"/>
      <c r="M111" s="24" t="s">
        <v>35</v>
      </c>
      <c r="N111" s="22"/>
      <c r="O111" s="24"/>
      <c r="P111" s="24"/>
      <c r="Q111" s="24"/>
      <c r="R111" s="99"/>
      <c r="S111" s="23"/>
      <c r="T111" s="170"/>
      <c r="U111" s="25"/>
      <c r="V111" s="26"/>
      <c r="W111" s="27"/>
      <c r="X111" s="28"/>
      <c r="Y111" s="94"/>
    </row>
    <row r="112" spans="1:25" ht="11.4" x14ac:dyDescent="0.15">
      <c r="A112" s="19">
        <f t="shared" si="1"/>
        <v>108</v>
      </c>
      <c r="B112" s="20"/>
      <c r="C112" s="20"/>
      <c r="D112" s="20"/>
      <c r="E112" s="95" t="s">
        <v>85</v>
      </c>
      <c r="F112" s="96" t="s">
        <v>37</v>
      </c>
      <c r="G112" s="119"/>
      <c r="H112" s="21"/>
      <c r="I112" s="22"/>
      <c r="J112" s="22"/>
      <c r="K112" s="23"/>
      <c r="L112" s="21"/>
      <c r="M112" s="24" t="s">
        <v>35</v>
      </c>
      <c r="N112" s="22"/>
      <c r="O112" s="24"/>
      <c r="P112" s="24"/>
      <c r="Q112" s="24"/>
      <c r="R112" s="99"/>
      <c r="S112" s="23"/>
      <c r="T112" s="170"/>
      <c r="U112" s="25"/>
      <c r="V112" s="26"/>
      <c r="W112" s="27"/>
      <c r="X112" s="28"/>
      <c r="Y112" s="94"/>
    </row>
    <row r="113" spans="1:25" ht="11.4" x14ac:dyDescent="0.15">
      <c r="A113" s="19">
        <f t="shared" si="1"/>
        <v>109</v>
      </c>
      <c r="B113" s="20"/>
      <c r="C113" s="20"/>
      <c r="D113" s="20"/>
      <c r="E113" s="95" t="s">
        <v>95</v>
      </c>
      <c r="F113" s="96" t="s">
        <v>37</v>
      </c>
      <c r="G113" s="119"/>
      <c r="H113" s="21"/>
      <c r="I113" s="22"/>
      <c r="J113" s="22"/>
      <c r="K113" s="23"/>
      <c r="L113" s="21"/>
      <c r="M113" s="24" t="s">
        <v>35</v>
      </c>
      <c r="N113" s="22"/>
      <c r="O113" s="24"/>
      <c r="P113" s="24"/>
      <c r="Q113" s="24"/>
      <c r="R113" s="99"/>
      <c r="S113" s="23"/>
      <c r="T113" s="170"/>
      <c r="U113" s="25"/>
      <c r="V113" s="26"/>
      <c r="W113" s="27"/>
      <c r="X113" s="28"/>
      <c r="Y113" s="94"/>
    </row>
    <row r="114" spans="1:25" ht="11.4" x14ac:dyDescent="0.15">
      <c r="A114" s="19">
        <f t="shared" si="1"/>
        <v>110</v>
      </c>
      <c r="B114" s="20"/>
      <c r="C114" s="20"/>
      <c r="D114" s="20"/>
      <c r="E114" s="95" t="s">
        <v>96</v>
      </c>
      <c r="F114" s="96" t="s">
        <v>37</v>
      </c>
      <c r="G114" s="119"/>
      <c r="H114" s="21"/>
      <c r="I114" s="22"/>
      <c r="J114" s="22"/>
      <c r="K114" s="23"/>
      <c r="L114" s="21"/>
      <c r="M114" s="24" t="s">
        <v>35</v>
      </c>
      <c r="N114" s="22"/>
      <c r="O114" s="24"/>
      <c r="P114" s="24"/>
      <c r="Q114" s="24"/>
      <c r="R114" s="99"/>
      <c r="S114" s="23"/>
      <c r="T114" s="170"/>
      <c r="U114" s="25"/>
      <c r="V114" s="26"/>
      <c r="W114" s="27"/>
      <c r="X114" s="28"/>
      <c r="Y114" s="94"/>
    </row>
    <row r="115" spans="1:25" ht="22.8" x14ac:dyDescent="0.15">
      <c r="A115" s="19">
        <f t="shared" si="1"/>
        <v>111</v>
      </c>
      <c r="B115" s="20"/>
      <c r="C115" s="20"/>
      <c r="D115" s="20"/>
      <c r="E115" s="95" t="s">
        <v>89</v>
      </c>
      <c r="F115" s="96" t="s">
        <v>321</v>
      </c>
      <c r="G115" s="119"/>
      <c r="H115" s="21"/>
      <c r="I115" s="22"/>
      <c r="J115" s="22"/>
      <c r="K115" s="23"/>
      <c r="L115" s="21"/>
      <c r="M115" s="24" t="s">
        <v>35</v>
      </c>
      <c r="N115" s="22"/>
      <c r="O115" s="24"/>
      <c r="P115" s="24"/>
      <c r="Q115" s="24"/>
      <c r="R115" s="99"/>
      <c r="S115" s="23"/>
      <c r="T115" s="170"/>
      <c r="U115" s="25"/>
      <c r="V115" s="26"/>
      <c r="W115" s="27"/>
      <c r="X115" s="28"/>
      <c r="Y115" s="94"/>
    </row>
    <row r="116" spans="1:25" ht="11.4" x14ac:dyDescent="0.15">
      <c r="A116" s="19">
        <f t="shared" si="1"/>
        <v>112</v>
      </c>
      <c r="B116" s="20"/>
      <c r="C116" s="20" t="s">
        <v>185</v>
      </c>
      <c r="D116" s="20"/>
      <c r="E116" s="95" t="s">
        <v>56</v>
      </c>
      <c r="F116" s="96" t="s">
        <v>37</v>
      </c>
      <c r="G116" s="119"/>
      <c r="H116" s="21"/>
      <c r="I116" s="22"/>
      <c r="J116" s="22"/>
      <c r="K116" s="23"/>
      <c r="L116" s="21"/>
      <c r="M116" s="24" t="s">
        <v>35</v>
      </c>
      <c r="N116" s="22"/>
      <c r="O116" s="24"/>
      <c r="P116" s="24"/>
      <c r="Q116" s="24"/>
      <c r="R116" s="99"/>
      <c r="S116" s="23"/>
      <c r="T116" s="170"/>
      <c r="U116" s="25"/>
      <c r="V116" s="26"/>
      <c r="W116" s="27"/>
      <c r="X116" s="28"/>
      <c r="Y116" s="94"/>
    </row>
    <row r="117" spans="1:25" ht="11.4" x14ac:dyDescent="0.15">
      <c r="A117" s="19">
        <f t="shared" si="1"/>
        <v>113</v>
      </c>
      <c r="B117" s="20"/>
      <c r="C117" s="20"/>
      <c r="D117" s="20"/>
      <c r="E117" s="95" t="s">
        <v>85</v>
      </c>
      <c r="F117" s="96" t="s">
        <v>106</v>
      </c>
      <c r="G117" s="119"/>
      <c r="H117" s="21"/>
      <c r="I117" s="22"/>
      <c r="J117" s="22"/>
      <c r="K117" s="23"/>
      <c r="L117" s="21"/>
      <c r="M117" s="24" t="s">
        <v>35</v>
      </c>
      <c r="N117" s="22"/>
      <c r="O117" s="24"/>
      <c r="P117" s="24"/>
      <c r="Q117" s="24"/>
      <c r="R117" s="99"/>
      <c r="S117" s="23"/>
      <c r="T117" s="170"/>
      <c r="U117" s="25"/>
      <c r="V117" s="26"/>
      <c r="W117" s="27"/>
      <c r="X117" s="28"/>
      <c r="Y117" s="94"/>
    </row>
    <row r="118" spans="1:25" ht="11.4" x14ac:dyDescent="0.15">
      <c r="A118" s="19">
        <f t="shared" si="1"/>
        <v>114</v>
      </c>
      <c r="B118" s="20"/>
      <c r="C118" s="20"/>
      <c r="D118" s="20"/>
      <c r="E118" s="95" t="s">
        <v>97</v>
      </c>
      <c r="F118" s="96" t="s">
        <v>37</v>
      </c>
      <c r="G118" s="119"/>
      <c r="H118" s="21"/>
      <c r="I118" s="22"/>
      <c r="J118" s="22"/>
      <c r="K118" s="23"/>
      <c r="L118" s="21"/>
      <c r="M118" s="24" t="s">
        <v>35</v>
      </c>
      <c r="N118" s="22"/>
      <c r="O118" s="24"/>
      <c r="P118" s="24"/>
      <c r="Q118" s="24"/>
      <c r="R118" s="99"/>
      <c r="S118" s="23"/>
      <c r="T118" s="170"/>
      <c r="U118" s="25"/>
      <c r="V118" s="26"/>
      <c r="W118" s="27"/>
      <c r="X118" s="28"/>
      <c r="Y118" s="94"/>
    </row>
    <row r="119" spans="1:25" ht="11.4" x14ac:dyDescent="0.15">
      <c r="A119" s="19">
        <f t="shared" si="1"/>
        <v>115</v>
      </c>
      <c r="B119" s="20"/>
      <c r="C119" s="20"/>
      <c r="D119" s="20"/>
      <c r="E119" s="95" t="s">
        <v>98</v>
      </c>
      <c r="F119" s="96" t="s">
        <v>88</v>
      </c>
      <c r="G119" s="119"/>
      <c r="H119" s="21"/>
      <c r="I119" s="22"/>
      <c r="J119" s="22"/>
      <c r="K119" s="23"/>
      <c r="L119" s="21"/>
      <c r="M119" s="24" t="s">
        <v>35</v>
      </c>
      <c r="N119" s="22"/>
      <c r="O119" s="24"/>
      <c r="P119" s="24"/>
      <c r="Q119" s="24"/>
      <c r="R119" s="99"/>
      <c r="S119" s="23"/>
      <c r="T119" s="170"/>
      <c r="U119" s="25"/>
      <c r="V119" s="26"/>
      <c r="W119" s="27"/>
      <c r="X119" s="28"/>
      <c r="Y119" s="94"/>
    </row>
    <row r="120" spans="1:25" ht="22.8" x14ac:dyDescent="0.15">
      <c r="A120" s="19">
        <f t="shared" si="1"/>
        <v>116</v>
      </c>
      <c r="B120" s="20"/>
      <c r="C120" s="20"/>
      <c r="D120" s="20"/>
      <c r="E120" s="95" t="s">
        <v>89</v>
      </c>
      <c r="F120" s="96" t="s">
        <v>322</v>
      </c>
      <c r="G120" s="119"/>
      <c r="H120" s="21"/>
      <c r="I120" s="22"/>
      <c r="J120" s="22"/>
      <c r="K120" s="23"/>
      <c r="L120" s="21"/>
      <c r="M120" s="24" t="s">
        <v>35</v>
      </c>
      <c r="N120" s="22"/>
      <c r="O120" s="24"/>
      <c r="P120" s="24"/>
      <c r="Q120" s="24"/>
      <c r="R120" s="99"/>
      <c r="S120" s="23"/>
      <c r="T120" s="170"/>
      <c r="U120" s="25"/>
      <c r="V120" s="26"/>
      <c r="W120" s="27"/>
      <c r="X120" s="28"/>
      <c r="Y120" s="94"/>
    </row>
    <row r="121" spans="1:25" ht="11.4" x14ac:dyDescent="0.15">
      <c r="A121" s="19">
        <f t="shared" si="1"/>
        <v>117</v>
      </c>
      <c r="B121" s="20"/>
      <c r="C121" s="20" t="s">
        <v>186</v>
      </c>
      <c r="D121" s="20"/>
      <c r="E121" s="95" t="s">
        <v>56</v>
      </c>
      <c r="F121" s="96" t="s">
        <v>37</v>
      </c>
      <c r="G121" s="119"/>
      <c r="H121" s="21"/>
      <c r="I121" s="22"/>
      <c r="J121" s="22"/>
      <c r="K121" s="23"/>
      <c r="L121" s="21"/>
      <c r="M121" s="24" t="s">
        <v>35</v>
      </c>
      <c r="N121" s="22"/>
      <c r="O121" s="24"/>
      <c r="P121" s="24"/>
      <c r="Q121" s="24"/>
      <c r="R121" s="99"/>
      <c r="S121" s="23"/>
      <c r="T121" s="170"/>
      <c r="U121" s="25"/>
      <c r="V121" s="26"/>
      <c r="W121" s="27"/>
      <c r="X121" s="28"/>
      <c r="Y121" s="94"/>
    </row>
    <row r="122" spans="1:25" ht="11.4" x14ac:dyDescent="0.15">
      <c r="A122" s="19">
        <f t="shared" si="1"/>
        <v>118</v>
      </c>
      <c r="B122" s="20"/>
      <c r="C122" s="20"/>
      <c r="D122" s="20"/>
      <c r="E122" s="95" t="s">
        <v>85</v>
      </c>
      <c r="F122" s="96" t="s">
        <v>37</v>
      </c>
      <c r="G122" s="119"/>
      <c r="H122" s="21"/>
      <c r="I122" s="22"/>
      <c r="J122" s="22"/>
      <c r="K122" s="23"/>
      <c r="L122" s="21"/>
      <c r="M122" s="24" t="s">
        <v>35</v>
      </c>
      <c r="N122" s="22"/>
      <c r="O122" s="24"/>
      <c r="P122" s="24"/>
      <c r="Q122" s="24"/>
      <c r="R122" s="99"/>
      <c r="S122" s="23"/>
      <c r="T122" s="170"/>
      <c r="U122" s="25"/>
      <c r="V122" s="26"/>
      <c r="W122" s="27"/>
      <c r="X122" s="28"/>
      <c r="Y122" s="94"/>
    </row>
    <row r="123" spans="1:25" ht="11.4" x14ac:dyDescent="0.15">
      <c r="A123" s="19">
        <f t="shared" si="1"/>
        <v>119</v>
      </c>
      <c r="B123" s="20"/>
      <c r="C123" s="20"/>
      <c r="D123" s="20"/>
      <c r="E123" s="95" t="s">
        <v>86</v>
      </c>
      <c r="F123" s="96" t="s">
        <v>37</v>
      </c>
      <c r="G123" s="119"/>
      <c r="H123" s="21"/>
      <c r="I123" s="22"/>
      <c r="J123" s="22"/>
      <c r="K123" s="23"/>
      <c r="L123" s="21"/>
      <c r="M123" s="24" t="s">
        <v>35</v>
      </c>
      <c r="N123" s="22"/>
      <c r="O123" s="24"/>
      <c r="P123" s="24"/>
      <c r="Q123" s="24"/>
      <c r="R123" s="99"/>
      <c r="S123" s="23"/>
      <c r="T123" s="170"/>
      <c r="U123" s="25"/>
      <c r="V123" s="26"/>
      <c r="W123" s="27"/>
      <c r="X123" s="28"/>
      <c r="Y123" s="94"/>
    </row>
    <row r="124" spans="1:25" ht="11.4" x14ac:dyDescent="0.15">
      <c r="A124" s="19">
        <f t="shared" si="1"/>
        <v>120</v>
      </c>
      <c r="B124" s="20"/>
      <c r="C124" s="20"/>
      <c r="D124" s="20"/>
      <c r="E124" s="95" t="s">
        <v>99</v>
      </c>
      <c r="F124" s="96" t="s">
        <v>88</v>
      </c>
      <c r="G124" s="119"/>
      <c r="H124" s="21"/>
      <c r="I124" s="22"/>
      <c r="J124" s="22"/>
      <c r="K124" s="23"/>
      <c r="L124" s="21"/>
      <c r="M124" s="24" t="s">
        <v>35</v>
      </c>
      <c r="N124" s="22"/>
      <c r="O124" s="24"/>
      <c r="P124" s="24"/>
      <c r="Q124" s="24"/>
      <c r="R124" s="99"/>
      <c r="S124" s="23"/>
      <c r="T124" s="170"/>
      <c r="U124" s="25"/>
      <c r="V124" s="26"/>
      <c r="W124" s="27"/>
      <c r="X124" s="28"/>
      <c r="Y124" s="94"/>
    </row>
    <row r="125" spans="1:25" ht="22.8" x14ac:dyDescent="0.15">
      <c r="A125" s="19">
        <f t="shared" si="1"/>
        <v>121</v>
      </c>
      <c r="B125" s="20"/>
      <c r="C125" s="20"/>
      <c r="D125" s="20"/>
      <c r="E125" s="95" t="s">
        <v>89</v>
      </c>
      <c r="F125" s="96" t="s">
        <v>323</v>
      </c>
      <c r="G125" s="119"/>
      <c r="H125" s="21"/>
      <c r="I125" s="22"/>
      <c r="J125" s="22"/>
      <c r="K125" s="23"/>
      <c r="L125" s="21"/>
      <c r="M125" s="24" t="s">
        <v>35</v>
      </c>
      <c r="N125" s="22"/>
      <c r="O125" s="24"/>
      <c r="P125" s="24"/>
      <c r="Q125" s="24"/>
      <c r="R125" s="99"/>
      <c r="S125" s="23"/>
      <c r="T125" s="170"/>
      <c r="U125" s="25"/>
      <c r="V125" s="26"/>
      <c r="W125" s="27"/>
      <c r="X125" s="28"/>
      <c r="Y125" s="94"/>
    </row>
    <row r="126" spans="1:25" ht="11.4" x14ac:dyDescent="0.15">
      <c r="A126" s="19">
        <f t="shared" si="1"/>
        <v>122</v>
      </c>
      <c r="B126" s="20"/>
      <c r="C126" s="20" t="s">
        <v>187</v>
      </c>
      <c r="D126" s="20"/>
      <c r="E126" s="95" t="s">
        <v>36</v>
      </c>
      <c r="F126" s="96" t="s">
        <v>37</v>
      </c>
      <c r="G126" s="119"/>
      <c r="H126" s="21"/>
      <c r="I126" s="22"/>
      <c r="J126" s="22"/>
      <c r="K126" s="23"/>
      <c r="L126" s="21"/>
      <c r="M126" s="24" t="s">
        <v>35</v>
      </c>
      <c r="N126" s="22"/>
      <c r="O126" s="24"/>
      <c r="P126" s="24"/>
      <c r="Q126" s="24"/>
      <c r="R126" s="99"/>
      <c r="S126" s="23"/>
      <c r="T126" s="170"/>
      <c r="U126" s="25"/>
      <c r="V126" s="26"/>
      <c r="W126" s="27"/>
      <c r="X126" s="28"/>
      <c r="Y126" s="94"/>
    </row>
    <row r="127" spans="1:25" ht="11.4" x14ac:dyDescent="0.15">
      <c r="A127" s="19">
        <f t="shared" si="1"/>
        <v>123</v>
      </c>
      <c r="B127" s="20"/>
      <c r="C127" s="20"/>
      <c r="D127" s="20"/>
      <c r="E127" s="95" t="s">
        <v>85</v>
      </c>
      <c r="F127" s="96" t="s">
        <v>37</v>
      </c>
      <c r="G127" s="119"/>
      <c r="H127" s="21"/>
      <c r="I127" s="22"/>
      <c r="J127" s="22"/>
      <c r="K127" s="23"/>
      <c r="L127" s="21"/>
      <c r="M127" s="24" t="s">
        <v>35</v>
      </c>
      <c r="N127" s="22"/>
      <c r="O127" s="24"/>
      <c r="P127" s="24"/>
      <c r="Q127" s="24"/>
      <c r="R127" s="99"/>
      <c r="S127" s="23"/>
      <c r="T127" s="170"/>
      <c r="U127" s="25"/>
      <c r="V127" s="26"/>
      <c r="W127" s="27"/>
      <c r="X127" s="28"/>
      <c r="Y127" s="94"/>
    </row>
    <row r="128" spans="1:25" ht="11.4" x14ac:dyDescent="0.15">
      <c r="A128" s="19">
        <f t="shared" si="1"/>
        <v>124</v>
      </c>
      <c r="B128" s="20"/>
      <c r="C128" s="20"/>
      <c r="D128" s="20"/>
      <c r="E128" s="95" t="s">
        <v>100</v>
      </c>
      <c r="F128" s="96" t="s">
        <v>37</v>
      </c>
      <c r="G128" s="119"/>
      <c r="H128" s="21"/>
      <c r="I128" s="22"/>
      <c r="J128" s="22"/>
      <c r="K128" s="23"/>
      <c r="L128" s="21"/>
      <c r="M128" s="24" t="s">
        <v>35</v>
      </c>
      <c r="N128" s="22"/>
      <c r="O128" s="24"/>
      <c r="P128" s="24"/>
      <c r="Q128" s="24"/>
      <c r="R128" s="99"/>
      <c r="S128" s="23"/>
      <c r="T128" s="170"/>
      <c r="U128" s="25"/>
      <c r="V128" s="26"/>
      <c r="W128" s="27"/>
      <c r="X128" s="28"/>
      <c r="Y128" s="94"/>
    </row>
    <row r="129" spans="1:25" ht="11.4" x14ac:dyDescent="0.15">
      <c r="A129" s="19">
        <f t="shared" si="1"/>
        <v>125</v>
      </c>
      <c r="B129" s="20"/>
      <c r="C129" s="20"/>
      <c r="D129" s="20"/>
      <c r="E129" s="95" t="s">
        <v>101</v>
      </c>
      <c r="F129" s="96" t="s">
        <v>88</v>
      </c>
      <c r="G129" s="119"/>
      <c r="H129" s="21"/>
      <c r="I129" s="22"/>
      <c r="J129" s="22"/>
      <c r="K129" s="23"/>
      <c r="L129" s="21"/>
      <c r="M129" s="24" t="s">
        <v>35</v>
      </c>
      <c r="N129" s="22"/>
      <c r="O129" s="24"/>
      <c r="P129" s="24"/>
      <c r="Q129" s="24"/>
      <c r="R129" s="99"/>
      <c r="S129" s="23"/>
      <c r="T129" s="170"/>
      <c r="U129" s="25"/>
      <c r="V129" s="26"/>
      <c r="W129" s="27"/>
      <c r="X129" s="28"/>
      <c r="Y129" s="94"/>
    </row>
    <row r="130" spans="1:25" ht="22.8" x14ac:dyDescent="0.15">
      <c r="A130" s="19">
        <f t="shared" si="1"/>
        <v>126</v>
      </c>
      <c r="B130" s="20"/>
      <c r="C130" s="20"/>
      <c r="D130" s="20"/>
      <c r="E130" s="95" t="s">
        <v>89</v>
      </c>
      <c r="F130" s="96" t="s">
        <v>324</v>
      </c>
      <c r="G130" s="119"/>
      <c r="H130" s="21"/>
      <c r="I130" s="22"/>
      <c r="J130" s="22"/>
      <c r="K130" s="23"/>
      <c r="L130" s="21"/>
      <c r="M130" s="24" t="s">
        <v>35</v>
      </c>
      <c r="N130" s="22"/>
      <c r="O130" s="24"/>
      <c r="P130" s="24"/>
      <c r="Q130" s="24"/>
      <c r="R130" s="99"/>
      <c r="S130" s="23"/>
      <c r="T130" s="170"/>
      <c r="U130" s="25"/>
      <c r="V130" s="26"/>
      <c r="W130" s="27"/>
      <c r="X130" s="28"/>
      <c r="Y130" s="94"/>
    </row>
    <row r="131" spans="1:25" ht="12.6" x14ac:dyDescent="0.15">
      <c r="A131" s="19">
        <f t="shared" si="1"/>
        <v>127</v>
      </c>
      <c r="B131" s="20"/>
      <c r="C131" s="20" t="s">
        <v>188</v>
      </c>
      <c r="D131" s="20"/>
      <c r="E131" s="95" t="s">
        <v>36</v>
      </c>
      <c r="F131" s="96" t="s">
        <v>37</v>
      </c>
      <c r="G131" s="125"/>
      <c r="H131" s="21"/>
      <c r="I131" s="22"/>
      <c r="J131" s="22"/>
      <c r="K131" s="23"/>
      <c r="L131" s="21"/>
      <c r="M131" s="24" t="s">
        <v>35</v>
      </c>
      <c r="N131" s="22"/>
      <c r="O131" s="24"/>
      <c r="P131" s="24"/>
      <c r="Q131" s="24"/>
      <c r="R131" s="99"/>
      <c r="S131" s="23"/>
      <c r="T131" s="170"/>
      <c r="U131" s="25"/>
      <c r="V131" s="26"/>
      <c r="W131" s="27"/>
      <c r="X131" s="28"/>
      <c r="Y131" s="94"/>
    </row>
    <row r="132" spans="1:25" ht="11.4" x14ac:dyDescent="0.15">
      <c r="A132" s="19">
        <f t="shared" si="1"/>
        <v>128</v>
      </c>
      <c r="B132" s="20"/>
      <c r="C132" s="20"/>
      <c r="D132" s="20"/>
      <c r="E132" s="95" t="s">
        <v>85</v>
      </c>
      <c r="F132" s="96" t="s">
        <v>37</v>
      </c>
      <c r="G132" s="119"/>
      <c r="H132" s="21"/>
      <c r="I132" s="22"/>
      <c r="J132" s="22"/>
      <c r="K132" s="23"/>
      <c r="L132" s="21"/>
      <c r="M132" s="24" t="s">
        <v>35</v>
      </c>
      <c r="N132" s="22"/>
      <c r="O132" s="24"/>
      <c r="P132" s="24"/>
      <c r="Q132" s="24"/>
      <c r="R132" s="99"/>
      <c r="S132" s="23"/>
      <c r="T132" s="170"/>
      <c r="U132" s="25"/>
      <c r="V132" s="26"/>
      <c r="W132" s="27"/>
      <c r="X132" s="28"/>
      <c r="Y132" s="94"/>
    </row>
    <row r="133" spans="1:25" ht="11.4" x14ac:dyDescent="0.15">
      <c r="A133" s="19">
        <f t="shared" si="1"/>
        <v>129</v>
      </c>
      <c r="B133" s="20"/>
      <c r="C133" s="20"/>
      <c r="D133" s="20"/>
      <c r="E133" s="95" t="s">
        <v>102</v>
      </c>
      <c r="F133" s="96" t="s">
        <v>37</v>
      </c>
      <c r="G133" s="119"/>
      <c r="H133" s="21"/>
      <c r="I133" s="22"/>
      <c r="J133" s="22"/>
      <c r="K133" s="23"/>
      <c r="L133" s="21"/>
      <c r="M133" s="24" t="s">
        <v>35</v>
      </c>
      <c r="N133" s="22"/>
      <c r="O133" s="24"/>
      <c r="P133" s="24"/>
      <c r="Q133" s="24"/>
      <c r="R133" s="99"/>
      <c r="S133" s="23"/>
      <c r="T133" s="170"/>
      <c r="U133" s="25"/>
      <c r="V133" s="26"/>
      <c r="W133" s="27"/>
      <c r="X133" s="28"/>
      <c r="Y133" s="94"/>
    </row>
    <row r="134" spans="1:25" ht="11.4" x14ac:dyDescent="0.15">
      <c r="A134" s="19">
        <f t="shared" ref="A134:A140" si="2">ROW()-4</f>
        <v>130</v>
      </c>
      <c r="B134" s="20"/>
      <c r="C134" s="20"/>
      <c r="D134" s="20"/>
      <c r="E134" s="95" t="s">
        <v>103</v>
      </c>
      <c r="F134" s="96" t="s">
        <v>88</v>
      </c>
      <c r="G134" s="119"/>
      <c r="H134" s="21"/>
      <c r="I134" s="22"/>
      <c r="J134" s="22"/>
      <c r="K134" s="23"/>
      <c r="L134" s="21"/>
      <c r="M134" s="24" t="s">
        <v>35</v>
      </c>
      <c r="N134" s="22"/>
      <c r="O134" s="24"/>
      <c r="P134" s="24"/>
      <c r="Q134" s="24"/>
      <c r="R134" s="99"/>
      <c r="S134" s="23"/>
      <c r="T134" s="170"/>
      <c r="U134" s="25"/>
      <c r="V134" s="26"/>
      <c r="W134" s="27"/>
      <c r="X134" s="28"/>
      <c r="Y134" s="94"/>
    </row>
    <row r="135" spans="1:25" ht="22.8" x14ac:dyDescent="0.15">
      <c r="A135" s="19">
        <f t="shared" si="2"/>
        <v>131</v>
      </c>
      <c r="B135" s="20"/>
      <c r="C135" s="20"/>
      <c r="D135" s="20"/>
      <c r="E135" s="95" t="s">
        <v>89</v>
      </c>
      <c r="F135" s="96" t="s">
        <v>325</v>
      </c>
      <c r="G135" s="119"/>
      <c r="H135" s="21"/>
      <c r="I135" s="22"/>
      <c r="J135" s="22"/>
      <c r="K135" s="23"/>
      <c r="L135" s="21"/>
      <c r="M135" s="24" t="s">
        <v>35</v>
      </c>
      <c r="N135" s="22"/>
      <c r="O135" s="24"/>
      <c r="P135" s="24"/>
      <c r="Q135" s="24"/>
      <c r="R135" s="99"/>
      <c r="S135" s="23"/>
      <c r="T135" s="170"/>
      <c r="U135" s="25"/>
      <c r="V135" s="26"/>
      <c r="W135" s="27"/>
      <c r="X135" s="28"/>
      <c r="Y135" s="94"/>
    </row>
    <row r="136" spans="1:25" ht="11.4" x14ac:dyDescent="0.15">
      <c r="A136" s="19">
        <f t="shared" si="2"/>
        <v>132</v>
      </c>
      <c r="B136" s="20"/>
      <c r="C136" s="20" t="s">
        <v>189</v>
      </c>
      <c r="D136" s="20"/>
      <c r="E136" s="95" t="s">
        <v>36</v>
      </c>
      <c r="F136" s="96" t="s">
        <v>37</v>
      </c>
      <c r="G136" s="119"/>
      <c r="H136" s="21"/>
      <c r="I136" s="22"/>
      <c r="J136" s="22"/>
      <c r="K136" s="23"/>
      <c r="L136" s="21"/>
      <c r="M136" s="24" t="s">
        <v>35</v>
      </c>
      <c r="N136" s="22"/>
      <c r="O136" s="24"/>
      <c r="P136" s="24"/>
      <c r="Q136" s="24"/>
      <c r="R136" s="99"/>
      <c r="S136" s="23"/>
      <c r="T136" s="170"/>
      <c r="U136" s="25"/>
      <c r="V136" s="26"/>
      <c r="W136" s="27"/>
      <c r="X136" s="28"/>
      <c r="Y136" s="94"/>
    </row>
    <row r="137" spans="1:25" ht="11.4" x14ac:dyDescent="0.15">
      <c r="A137" s="19">
        <f t="shared" si="2"/>
        <v>133</v>
      </c>
      <c r="B137" s="20"/>
      <c r="C137" s="20"/>
      <c r="D137" s="20"/>
      <c r="E137" s="95" t="s">
        <v>85</v>
      </c>
      <c r="F137" s="96" t="s">
        <v>37</v>
      </c>
      <c r="G137" s="119"/>
      <c r="H137" s="21"/>
      <c r="I137" s="22"/>
      <c r="J137" s="22"/>
      <c r="K137" s="23"/>
      <c r="L137" s="21"/>
      <c r="M137" s="24" t="s">
        <v>35</v>
      </c>
      <c r="N137" s="22"/>
      <c r="O137" s="24"/>
      <c r="P137" s="24"/>
      <c r="Q137" s="24"/>
      <c r="R137" s="99"/>
      <c r="S137" s="23"/>
      <c r="T137" s="170"/>
      <c r="U137" s="25"/>
      <c r="V137" s="26"/>
      <c r="W137" s="27"/>
      <c r="X137" s="28"/>
      <c r="Y137" s="94"/>
    </row>
    <row r="138" spans="1:25" ht="11.4" x14ac:dyDescent="0.15">
      <c r="A138" s="19">
        <f t="shared" si="2"/>
        <v>134</v>
      </c>
      <c r="B138" s="20"/>
      <c r="C138" s="20"/>
      <c r="D138" s="20"/>
      <c r="E138" s="95" t="s">
        <v>102</v>
      </c>
      <c r="F138" s="96" t="s">
        <v>37</v>
      </c>
      <c r="G138" s="119"/>
      <c r="H138" s="21"/>
      <c r="I138" s="22"/>
      <c r="J138" s="22"/>
      <c r="K138" s="23"/>
      <c r="L138" s="21"/>
      <c r="M138" s="24" t="s">
        <v>35</v>
      </c>
      <c r="N138" s="22"/>
      <c r="O138" s="24"/>
      <c r="P138" s="24"/>
      <c r="Q138" s="24"/>
      <c r="R138" s="99"/>
      <c r="S138" s="23"/>
      <c r="T138" s="170"/>
      <c r="U138" s="25"/>
      <c r="V138" s="26"/>
      <c r="W138" s="27"/>
      <c r="X138" s="28"/>
      <c r="Y138" s="94"/>
    </row>
    <row r="139" spans="1:25" ht="11.4" x14ac:dyDescent="0.15">
      <c r="A139" s="19">
        <f t="shared" si="2"/>
        <v>135</v>
      </c>
      <c r="B139" s="20"/>
      <c r="C139" s="20"/>
      <c r="D139" s="20"/>
      <c r="E139" s="95" t="s">
        <v>104</v>
      </c>
      <c r="F139" s="96" t="s">
        <v>88</v>
      </c>
      <c r="G139" s="119"/>
      <c r="H139" s="21"/>
      <c r="I139" s="22"/>
      <c r="J139" s="22"/>
      <c r="K139" s="23"/>
      <c r="L139" s="21"/>
      <c r="M139" s="24" t="s">
        <v>35</v>
      </c>
      <c r="N139" s="22"/>
      <c r="O139" s="24"/>
      <c r="P139" s="24"/>
      <c r="Q139" s="24"/>
      <c r="R139" s="99"/>
      <c r="S139" s="23"/>
      <c r="T139" s="170"/>
      <c r="U139" s="25"/>
      <c r="V139" s="26"/>
      <c r="W139" s="27"/>
      <c r="X139" s="28"/>
      <c r="Y139" s="94"/>
    </row>
    <row r="140" spans="1:25" ht="22.8" x14ac:dyDescent="0.15">
      <c r="A140" s="19">
        <f t="shared" si="2"/>
        <v>136</v>
      </c>
      <c r="B140" s="20"/>
      <c r="C140" s="20"/>
      <c r="D140" s="20"/>
      <c r="E140" s="95" t="s">
        <v>89</v>
      </c>
      <c r="F140" s="96" t="s">
        <v>326</v>
      </c>
      <c r="G140" s="129"/>
      <c r="H140" s="21"/>
      <c r="I140" s="22"/>
      <c r="J140" s="22"/>
      <c r="K140" s="23"/>
      <c r="L140" s="21"/>
      <c r="M140" s="24" t="s">
        <v>35</v>
      </c>
      <c r="N140" s="22"/>
      <c r="O140" s="24"/>
      <c r="P140" s="24"/>
      <c r="Q140" s="24"/>
      <c r="R140" s="99"/>
      <c r="S140" s="23"/>
      <c r="T140" s="170"/>
      <c r="U140" s="25"/>
      <c r="V140" s="26"/>
      <c r="W140" s="27"/>
      <c r="X140" s="28"/>
      <c r="Y140" s="94"/>
    </row>
    <row r="141" spans="1:25" s="3" customFormat="1" ht="12" customHeight="1" x14ac:dyDescent="0.25">
      <c r="A141" s="32"/>
      <c r="B141" s="33"/>
      <c r="C141" s="34"/>
      <c r="D141" s="34"/>
      <c r="E141" s="33"/>
      <c r="F141" s="35" t="s">
        <v>109</v>
      </c>
      <c r="G141" s="130"/>
      <c r="H141" s="36">
        <f>COUNTIF(H5:H140,"●")</f>
        <v>0</v>
      </c>
      <c r="I141" s="36">
        <f t="shared" ref="I141:S141" si="3">COUNTIF(I5:I140,"●")</f>
        <v>0</v>
      </c>
      <c r="J141" s="36">
        <f t="shared" si="3"/>
        <v>0</v>
      </c>
      <c r="K141" s="36">
        <f t="shared" si="3"/>
        <v>0</v>
      </c>
      <c r="L141" s="36">
        <f t="shared" si="3"/>
        <v>0</v>
      </c>
      <c r="M141" s="36">
        <f t="shared" si="3"/>
        <v>32</v>
      </c>
      <c r="N141" s="36">
        <f t="shared" si="3"/>
        <v>0</v>
      </c>
      <c r="O141" s="36">
        <f t="shared" si="3"/>
        <v>0</v>
      </c>
      <c r="P141" s="36">
        <f t="shared" si="3"/>
        <v>0</v>
      </c>
      <c r="Q141" s="36">
        <f t="shared" si="3"/>
        <v>0</v>
      </c>
      <c r="R141" s="36">
        <f t="shared" si="3"/>
        <v>0</v>
      </c>
      <c r="S141" s="36">
        <f t="shared" si="3"/>
        <v>0</v>
      </c>
      <c r="T141" s="172"/>
      <c r="U141" s="209" t="s">
        <v>110</v>
      </c>
      <c r="V141" s="209"/>
      <c r="W141" s="210"/>
      <c r="X141" s="39" t="s">
        <v>111</v>
      </c>
      <c r="Y141" s="40">
        <f>SUM(H141:S141)</f>
        <v>32</v>
      </c>
    </row>
    <row r="142" spans="1:25" s="3" customFormat="1" ht="12" customHeight="1" x14ac:dyDescent="0.25">
      <c r="A142" s="41"/>
      <c r="B142" s="42" t="s">
        <v>112</v>
      </c>
      <c r="C142" s="43">
        <f>Y143</f>
        <v>32</v>
      </c>
      <c r="D142" s="43"/>
      <c r="E142" s="42"/>
      <c r="F142" s="44" t="s">
        <v>113</v>
      </c>
      <c r="G142" s="130"/>
      <c r="H142" s="45">
        <f>COUNTIF(H5:H140,"×")</f>
        <v>0</v>
      </c>
      <c r="I142" s="45">
        <f t="shared" ref="I142:S142" si="4">COUNTIF(I5:I140,"×")</f>
        <v>0</v>
      </c>
      <c r="J142" s="45">
        <f t="shared" si="4"/>
        <v>0</v>
      </c>
      <c r="K142" s="45">
        <f t="shared" si="4"/>
        <v>0</v>
      </c>
      <c r="L142" s="45">
        <f t="shared" si="4"/>
        <v>0</v>
      </c>
      <c r="M142" s="45">
        <f t="shared" si="4"/>
        <v>0</v>
      </c>
      <c r="N142" s="45">
        <f t="shared" si="4"/>
        <v>0</v>
      </c>
      <c r="O142" s="45">
        <f t="shared" si="4"/>
        <v>0</v>
      </c>
      <c r="P142" s="45">
        <f t="shared" si="4"/>
        <v>0</v>
      </c>
      <c r="Q142" s="45">
        <f t="shared" si="4"/>
        <v>0</v>
      </c>
      <c r="R142" s="45">
        <f t="shared" si="4"/>
        <v>0</v>
      </c>
      <c r="S142" s="45">
        <f t="shared" si="4"/>
        <v>0</v>
      </c>
      <c r="T142" s="173"/>
      <c r="U142" s="211"/>
      <c r="V142" s="211"/>
      <c r="W142" s="212"/>
      <c r="X142" s="49" t="s">
        <v>111</v>
      </c>
      <c r="Y142" s="50">
        <f t="shared" ref="Y142:Y144" si="5">SUM(H142:S142)</f>
        <v>0</v>
      </c>
    </row>
    <row r="143" spans="1:25" s="3" customFormat="1" ht="12" customHeight="1" x14ac:dyDescent="0.25">
      <c r="A143" s="51" t="s">
        <v>114</v>
      </c>
      <c r="B143" s="52"/>
      <c r="C143" s="53"/>
      <c r="D143" s="53"/>
      <c r="E143" s="52"/>
      <c r="F143" s="54" t="s">
        <v>115</v>
      </c>
      <c r="G143" s="130"/>
      <c r="H143" s="45">
        <f t="shared" ref="H143:S143" si="6">H141+H142</f>
        <v>0</v>
      </c>
      <c r="I143" s="45">
        <f t="shared" si="6"/>
        <v>0</v>
      </c>
      <c r="J143" s="45">
        <f t="shared" si="6"/>
        <v>0</v>
      </c>
      <c r="K143" s="45">
        <f t="shared" si="6"/>
        <v>0</v>
      </c>
      <c r="L143" s="45">
        <f t="shared" si="6"/>
        <v>0</v>
      </c>
      <c r="M143" s="45">
        <f t="shared" si="6"/>
        <v>32</v>
      </c>
      <c r="N143" s="45">
        <f t="shared" si="6"/>
        <v>0</v>
      </c>
      <c r="O143" s="45">
        <f t="shared" si="6"/>
        <v>0</v>
      </c>
      <c r="P143" s="45">
        <f t="shared" si="6"/>
        <v>0</v>
      </c>
      <c r="Q143" s="45">
        <f t="shared" si="6"/>
        <v>0</v>
      </c>
      <c r="R143" s="45">
        <f t="shared" si="6"/>
        <v>0</v>
      </c>
      <c r="S143" s="45">
        <f t="shared" si="6"/>
        <v>0</v>
      </c>
      <c r="T143" s="235"/>
      <c r="U143" s="223">
        <f>COUNTA(U5:U140)</f>
        <v>32</v>
      </c>
      <c r="V143" s="225">
        <f>COUNTA(V5:V140)</f>
        <v>0</v>
      </c>
      <c r="W143" s="227">
        <f>COUNTA(W5:W140)</f>
        <v>0</v>
      </c>
      <c r="X143" s="55" t="s">
        <v>111</v>
      </c>
      <c r="Y143" s="50">
        <f t="shared" si="5"/>
        <v>32</v>
      </c>
    </row>
    <row r="144" spans="1:25" s="3" customFormat="1" ht="12" customHeight="1" x14ac:dyDescent="0.25">
      <c r="A144" s="56"/>
      <c r="B144" s="57" t="s">
        <v>116</v>
      </c>
      <c r="C144" s="58">
        <f>Y144</f>
        <v>135</v>
      </c>
      <c r="D144" s="58"/>
      <c r="E144" s="57"/>
      <c r="F144" s="59" t="s">
        <v>117</v>
      </c>
      <c r="G144" s="130"/>
      <c r="H144" s="60">
        <f>COUNTA(H5:H140)</f>
        <v>0</v>
      </c>
      <c r="I144" s="60">
        <f t="shared" ref="I144:S144" si="7">COUNTA(I5:I140)</f>
        <v>0</v>
      </c>
      <c r="J144" s="60">
        <f t="shared" si="7"/>
        <v>0</v>
      </c>
      <c r="K144" s="60">
        <f t="shared" si="7"/>
        <v>0</v>
      </c>
      <c r="L144" s="60">
        <f t="shared" si="7"/>
        <v>5</v>
      </c>
      <c r="M144" s="60">
        <f t="shared" si="7"/>
        <v>130</v>
      </c>
      <c r="N144" s="60">
        <f t="shared" si="7"/>
        <v>0</v>
      </c>
      <c r="O144" s="60">
        <f t="shared" si="7"/>
        <v>0</v>
      </c>
      <c r="P144" s="60">
        <f t="shared" si="7"/>
        <v>0</v>
      </c>
      <c r="Q144" s="60">
        <f t="shared" si="7"/>
        <v>0</v>
      </c>
      <c r="R144" s="60">
        <f t="shared" si="7"/>
        <v>0</v>
      </c>
      <c r="S144" s="60">
        <f t="shared" si="7"/>
        <v>0</v>
      </c>
      <c r="T144" s="236"/>
      <c r="U144" s="224"/>
      <c r="V144" s="226"/>
      <c r="W144" s="228"/>
      <c r="X144" s="64" t="s">
        <v>111</v>
      </c>
      <c r="Y144" s="65">
        <f t="shared" si="5"/>
        <v>135</v>
      </c>
    </row>
    <row r="147" spans="7:7" ht="9" customHeight="1" x14ac:dyDescent="0.15">
      <c r="G147" s="127"/>
    </row>
    <row r="148" spans="7:7" ht="9" customHeight="1" x14ac:dyDescent="0.15">
      <c r="G148" s="127"/>
    </row>
    <row r="149" spans="7:7" ht="9" customHeight="1" x14ac:dyDescent="0.15">
      <c r="G149" s="127"/>
    </row>
    <row r="150" spans="7:7" ht="9" customHeight="1" x14ac:dyDescent="0.15">
      <c r="G150" s="127"/>
    </row>
  </sheetData>
  <mergeCells count="18">
    <mergeCell ref="X3:X4"/>
    <mergeCell ref="Y3:Y4"/>
    <mergeCell ref="U141:W142"/>
    <mergeCell ref="A3:A4"/>
    <mergeCell ref="B3:B4"/>
    <mergeCell ref="C3:C4"/>
    <mergeCell ref="D3:D4"/>
    <mergeCell ref="E3:E4"/>
    <mergeCell ref="F3:F4"/>
    <mergeCell ref="G3:G4"/>
    <mergeCell ref="T3:T4"/>
    <mergeCell ref="U143:U144"/>
    <mergeCell ref="V143:V144"/>
    <mergeCell ref="W143:W144"/>
    <mergeCell ref="H3:K3"/>
    <mergeCell ref="L3:S3"/>
    <mergeCell ref="U3:W3"/>
    <mergeCell ref="T143:T144"/>
  </mergeCells>
  <phoneticPr fontId="11"/>
  <printOptions horizontalCentered="1"/>
  <pageMargins left="0.19685039370078741" right="0.19685039370078741" top="0.59055118110236227" bottom="0.59055118110236227" header="0.51181102362204722" footer="0.31496062992125984"/>
  <pageSetup paperSize="9" scale="52" fitToHeight="0" orientation="landscape" r:id="rId1"/>
  <headerFooter alignWithMargins="0">
    <oddFooter>&amp;RAll Rights Reserved Copyright © Fujitsu Ltd.2017</oddFooter>
  </headerFooter>
  <rowBreaks count="1" manualBreakCount="1">
    <brk id="65" max="24"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Y141"/>
  <sheetViews>
    <sheetView view="pageBreakPreview" zoomScale="80" zoomScaleNormal="110" zoomScaleSheetLayoutView="80" workbookViewId="0">
      <pane ySplit="4" topLeftCell="A30" activePane="bottomLeft" state="frozen"/>
      <selection activeCell="B8" sqref="B8"/>
      <selection pane="bottomLeft" activeCell="U90" sqref="U90"/>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2.875" style="2" customWidth="1"/>
    <col min="7" max="7" width="11.875" style="122" customWidth="1"/>
    <col min="8" max="14" width="4.5" style="4" bestFit="1" customWidth="1"/>
    <col min="15" max="17" width="4.5" style="4" customWidth="1"/>
    <col min="18" max="18" width="3.625" style="4" bestFit="1" customWidth="1"/>
    <col min="19" max="19" width="4.5" style="4" bestFit="1" customWidth="1"/>
    <col min="20" max="20" width="7.375" style="4" customWidth="1"/>
    <col min="21" max="23" width="5.875" style="4" customWidth="1"/>
    <col min="24" max="24" width="7.125" style="4" customWidth="1"/>
    <col min="25" max="25" width="71.875" style="2" customWidth="1"/>
    <col min="26" max="26" width="13.125" style="2" bestFit="1" customWidth="1"/>
    <col min="27" max="16384" width="9.375" style="2"/>
  </cols>
  <sheetData>
    <row r="1" spans="1:25" s="153" customFormat="1" ht="12.6" x14ac:dyDescent="0.15">
      <c r="A1" s="154"/>
      <c r="B1" s="155" t="s">
        <v>277</v>
      </c>
      <c r="C1" s="156" t="s">
        <v>327</v>
      </c>
      <c r="D1" s="157"/>
      <c r="E1" s="157"/>
      <c r="F1" s="157"/>
      <c r="G1" s="157"/>
      <c r="H1" s="158"/>
      <c r="I1" s="158"/>
      <c r="J1" s="158"/>
      <c r="K1" s="158"/>
      <c r="L1" s="158"/>
      <c r="M1" s="158"/>
      <c r="N1" s="158"/>
      <c r="O1" s="158"/>
      <c r="P1" s="158"/>
      <c r="Q1" s="158"/>
      <c r="R1" s="158"/>
      <c r="S1" s="158"/>
      <c r="T1" s="158"/>
      <c r="U1" s="158"/>
      <c r="V1" s="158"/>
      <c r="W1" s="158"/>
      <c r="X1" s="159"/>
      <c r="Y1" s="160"/>
    </row>
    <row r="2" spans="1:25" s="138" customFormat="1" ht="12.6" x14ac:dyDescent="0.15">
      <c r="A2" s="161"/>
      <c r="B2" s="162" t="s">
        <v>279</v>
      </c>
      <c r="C2" s="163" t="s">
        <v>280</v>
      </c>
      <c r="D2" s="164"/>
      <c r="E2" s="164"/>
      <c r="F2" s="164"/>
      <c r="G2" s="164"/>
      <c r="H2" s="165"/>
      <c r="I2" s="165"/>
      <c r="J2" s="165"/>
      <c r="K2" s="165"/>
      <c r="L2" s="165"/>
      <c r="M2" s="165"/>
      <c r="N2" s="165"/>
      <c r="O2" s="165"/>
      <c r="P2" s="165"/>
      <c r="Q2" s="165"/>
      <c r="R2" s="165"/>
      <c r="S2" s="165"/>
      <c r="T2" s="165"/>
      <c r="U2" s="165"/>
      <c r="V2" s="165"/>
      <c r="W2" s="165"/>
      <c r="X2" s="166"/>
      <c r="Y2" s="167"/>
    </row>
    <row r="3" spans="1:25" s="1" customFormat="1" ht="13.5" customHeight="1" x14ac:dyDescent="0.15">
      <c r="A3" s="213" t="s">
        <v>6</v>
      </c>
      <c r="B3" s="215" t="s">
        <v>7</v>
      </c>
      <c r="C3" s="217" t="s">
        <v>8</v>
      </c>
      <c r="D3" s="217" t="s">
        <v>9</v>
      </c>
      <c r="E3" s="219" t="s">
        <v>10</v>
      </c>
      <c r="F3" s="243" t="s">
        <v>11</v>
      </c>
      <c r="G3" s="207" t="s">
        <v>273</v>
      </c>
      <c r="H3" s="230" t="s">
        <v>12</v>
      </c>
      <c r="I3" s="230"/>
      <c r="J3" s="230"/>
      <c r="K3" s="231"/>
      <c r="L3" s="232" t="s">
        <v>13</v>
      </c>
      <c r="M3" s="233"/>
      <c r="N3" s="233"/>
      <c r="O3" s="234"/>
      <c r="P3" s="234"/>
      <c r="Q3" s="234"/>
      <c r="R3" s="234"/>
      <c r="S3" s="234"/>
      <c r="T3" s="207" t="s">
        <v>357</v>
      </c>
      <c r="U3" s="230" t="s">
        <v>14</v>
      </c>
      <c r="V3" s="230"/>
      <c r="W3" s="230"/>
      <c r="X3" s="207" t="s">
        <v>15</v>
      </c>
      <c r="Y3" s="207" t="s">
        <v>16</v>
      </c>
    </row>
    <row r="4" spans="1:25" s="1" customFormat="1" ht="22.8" x14ac:dyDescent="0.15">
      <c r="A4" s="239"/>
      <c r="B4" s="240"/>
      <c r="C4" s="241"/>
      <c r="D4" s="241"/>
      <c r="E4" s="242"/>
      <c r="F4" s="244"/>
      <c r="G4" s="229"/>
      <c r="H4" s="66" t="s">
        <v>17</v>
      </c>
      <c r="I4" s="67" t="s">
        <v>18</v>
      </c>
      <c r="J4" s="68" t="s">
        <v>19</v>
      </c>
      <c r="K4" s="68" t="s">
        <v>20</v>
      </c>
      <c r="L4" s="69" t="s">
        <v>17</v>
      </c>
      <c r="M4" s="68" t="s">
        <v>21</v>
      </c>
      <c r="N4" s="68" t="s">
        <v>22</v>
      </c>
      <c r="O4" s="68" t="s">
        <v>23</v>
      </c>
      <c r="P4" s="68" t="s">
        <v>24</v>
      </c>
      <c r="Q4" s="68" t="s">
        <v>25</v>
      </c>
      <c r="R4" s="97" t="s">
        <v>26</v>
      </c>
      <c r="S4" s="68" t="s">
        <v>27</v>
      </c>
      <c r="T4" s="245"/>
      <c r="U4" s="66" t="s">
        <v>28</v>
      </c>
      <c r="V4" s="67" t="s">
        <v>29</v>
      </c>
      <c r="W4" s="68" t="s">
        <v>30</v>
      </c>
      <c r="X4" s="238"/>
      <c r="Y4" s="238"/>
    </row>
    <row r="5" spans="1:25" ht="22.8" x14ac:dyDescent="0.15">
      <c r="A5" s="19">
        <f>ROW()-4</f>
        <v>1</v>
      </c>
      <c r="B5" s="20" t="s">
        <v>31</v>
      </c>
      <c r="C5" s="20" t="s">
        <v>264</v>
      </c>
      <c r="D5" s="20"/>
      <c r="E5" s="30" t="s">
        <v>33</v>
      </c>
      <c r="F5" s="70" t="s">
        <v>34</v>
      </c>
      <c r="G5" s="118"/>
      <c r="H5" s="21"/>
      <c r="I5" s="22"/>
      <c r="J5" s="22"/>
      <c r="K5" s="23"/>
      <c r="L5" s="21"/>
      <c r="M5" s="24" t="s">
        <v>365</v>
      </c>
      <c r="N5" s="22"/>
      <c r="O5" s="24"/>
      <c r="P5" s="24"/>
      <c r="Q5" s="24"/>
      <c r="R5" s="99"/>
      <c r="S5" s="23"/>
      <c r="T5" s="170"/>
      <c r="U5" s="25">
        <v>45681</v>
      </c>
      <c r="V5" s="26"/>
      <c r="W5" s="27"/>
      <c r="X5" s="28" t="s">
        <v>374</v>
      </c>
      <c r="Y5" s="73"/>
    </row>
    <row r="6" spans="1:25" ht="11.4" x14ac:dyDescent="0.15">
      <c r="A6" s="19">
        <f t="shared" ref="A6:A60" si="0">ROW()-4</f>
        <v>2</v>
      </c>
      <c r="B6" s="20"/>
      <c r="C6" s="20"/>
      <c r="D6" s="20"/>
      <c r="E6" s="95" t="s">
        <v>36</v>
      </c>
      <c r="F6" s="96" t="s">
        <v>37</v>
      </c>
      <c r="G6" s="118"/>
      <c r="H6" s="21"/>
      <c r="I6" s="22"/>
      <c r="J6" s="22"/>
      <c r="K6" s="23"/>
      <c r="L6" s="21"/>
      <c r="M6" s="24" t="s">
        <v>365</v>
      </c>
      <c r="N6" s="22"/>
      <c r="O6" s="24"/>
      <c r="P6" s="24"/>
      <c r="Q6" s="24"/>
      <c r="R6" s="99"/>
      <c r="S6" s="23"/>
      <c r="T6" s="170"/>
      <c r="U6" s="25">
        <v>45681</v>
      </c>
      <c r="V6" s="26"/>
      <c r="W6" s="27"/>
      <c r="X6" s="28" t="s">
        <v>374</v>
      </c>
      <c r="Y6" s="73"/>
    </row>
    <row r="7" spans="1:25" ht="11.4" x14ac:dyDescent="0.15">
      <c r="A7" s="19">
        <f t="shared" si="0"/>
        <v>3</v>
      </c>
      <c r="B7" s="20"/>
      <c r="C7" s="20"/>
      <c r="D7" s="20"/>
      <c r="E7" s="95" t="s">
        <v>38</v>
      </c>
      <c r="F7" s="96" t="s">
        <v>37</v>
      </c>
      <c r="G7" s="119"/>
      <c r="H7" s="21"/>
      <c r="I7" s="22"/>
      <c r="J7" s="22"/>
      <c r="K7" s="23"/>
      <c r="L7" s="21"/>
      <c r="M7" s="24" t="s">
        <v>365</v>
      </c>
      <c r="N7" s="22"/>
      <c r="O7" s="24"/>
      <c r="P7" s="24"/>
      <c r="Q7" s="24"/>
      <c r="R7" s="99"/>
      <c r="S7" s="23"/>
      <c r="T7" s="170"/>
      <c r="U7" s="25">
        <v>45681</v>
      </c>
      <c r="V7" s="26"/>
      <c r="W7" s="27"/>
      <c r="X7" s="28" t="s">
        <v>374</v>
      </c>
      <c r="Y7" s="73"/>
    </row>
    <row r="8" spans="1:25" ht="11.4" x14ac:dyDescent="0.15">
      <c r="A8" s="19">
        <f t="shared" si="0"/>
        <v>4</v>
      </c>
      <c r="B8" s="20"/>
      <c r="C8" s="20"/>
      <c r="D8" s="20"/>
      <c r="E8" s="95" t="s">
        <v>39</v>
      </c>
      <c r="F8" s="96" t="s">
        <v>40</v>
      </c>
      <c r="G8" s="119"/>
      <c r="H8" s="21"/>
      <c r="I8" s="22"/>
      <c r="J8" s="22"/>
      <c r="K8" s="23"/>
      <c r="L8" s="21"/>
      <c r="M8" s="24" t="s">
        <v>365</v>
      </c>
      <c r="N8" s="22"/>
      <c r="O8" s="24"/>
      <c r="P8" s="24"/>
      <c r="Q8" s="24"/>
      <c r="R8" s="22"/>
      <c r="S8" s="23"/>
      <c r="T8" s="170"/>
      <c r="U8" s="25">
        <v>45681</v>
      </c>
      <c r="V8" s="26"/>
      <c r="W8" s="27"/>
      <c r="X8" s="28" t="s">
        <v>374</v>
      </c>
      <c r="Y8" s="73"/>
    </row>
    <row r="9" spans="1:25" ht="11.4" x14ac:dyDescent="0.15">
      <c r="A9" s="19">
        <f t="shared" si="0"/>
        <v>5</v>
      </c>
      <c r="B9" s="20"/>
      <c r="C9" s="20"/>
      <c r="D9" s="20"/>
      <c r="E9" s="95" t="s">
        <v>341</v>
      </c>
      <c r="F9" s="96" t="s">
        <v>41</v>
      </c>
      <c r="G9" s="119"/>
      <c r="H9" s="21"/>
      <c r="I9" s="22"/>
      <c r="J9" s="22"/>
      <c r="K9" s="23"/>
      <c r="L9" s="21"/>
      <c r="M9" s="24" t="s">
        <v>365</v>
      </c>
      <c r="N9" s="22"/>
      <c r="O9" s="24"/>
      <c r="P9" s="24"/>
      <c r="Q9" s="24"/>
      <c r="R9" s="22"/>
      <c r="S9" s="23"/>
      <c r="T9" s="170"/>
      <c r="U9" s="25">
        <v>45681</v>
      </c>
      <c r="V9" s="26"/>
      <c r="W9" s="27"/>
      <c r="X9" s="28" t="s">
        <v>374</v>
      </c>
      <c r="Y9" s="73"/>
    </row>
    <row r="10" spans="1:25" ht="12.6" x14ac:dyDescent="0.15">
      <c r="A10" s="19">
        <f t="shared" si="0"/>
        <v>6</v>
      </c>
      <c r="B10" s="20"/>
      <c r="C10" s="20"/>
      <c r="D10" s="20"/>
      <c r="E10" s="95" t="s">
        <v>285</v>
      </c>
      <c r="F10" s="70" t="s">
        <v>42</v>
      </c>
      <c r="G10" s="125"/>
      <c r="H10" s="77"/>
      <c r="I10" s="78"/>
      <c r="J10" s="78"/>
      <c r="K10" s="79"/>
      <c r="L10" s="77"/>
      <c r="M10" s="80"/>
      <c r="N10" s="78"/>
      <c r="O10" s="80"/>
      <c r="P10" s="80"/>
      <c r="Q10" s="80"/>
      <c r="R10" s="100"/>
      <c r="S10" s="79"/>
      <c r="T10" s="171"/>
      <c r="U10" s="81"/>
      <c r="V10" s="82"/>
      <c r="W10" s="83"/>
      <c r="X10" s="28" t="s">
        <v>374</v>
      </c>
      <c r="Y10" s="73"/>
    </row>
    <row r="11" spans="1:25" ht="22.8" x14ac:dyDescent="0.15">
      <c r="A11" s="19">
        <f t="shared" si="0"/>
        <v>7</v>
      </c>
      <c r="B11" s="20"/>
      <c r="C11" s="20"/>
      <c r="D11" s="20"/>
      <c r="E11" s="30" t="s">
        <v>33</v>
      </c>
      <c r="F11" s="70" t="s">
        <v>286</v>
      </c>
      <c r="G11" s="119"/>
      <c r="H11" s="21"/>
      <c r="I11" s="22"/>
      <c r="J11" s="22"/>
      <c r="K11" s="23"/>
      <c r="L11" s="21"/>
      <c r="M11" s="24" t="s">
        <v>365</v>
      </c>
      <c r="N11" s="22"/>
      <c r="O11" s="24"/>
      <c r="P11" s="24"/>
      <c r="Q11" s="24"/>
      <c r="R11" s="99"/>
      <c r="S11" s="23"/>
      <c r="T11" s="170"/>
      <c r="U11" s="25">
        <v>45681</v>
      </c>
      <c r="V11" s="26"/>
      <c r="W11" s="27"/>
      <c r="X11" s="28" t="s">
        <v>374</v>
      </c>
      <c r="Y11" s="94"/>
    </row>
    <row r="12" spans="1:25" ht="58.95" customHeight="1" x14ac:dyDescent="0.15">
      <c r="A12" s="19">
        <f t="shared" si="0"/>
        <v>8</v>
      </c>
      <c r="B12" s="20"/>
      <c r="C12" s="20"/>
      <c r="D12" s="20"/>
      <c r="E12" s="30" t="s">
        <v>190</v>
      </c>
      <c r="F12" s="70" t="s">
        <v>160</v>
      </c>
      <c r="G12" s="118"/>
      <c r="H12" s="21"/>
      <c r="I12" s="22"/>
      <c r="J12" s="22"/>
      <c r="K12" s="23"/>
      <c r="L12" s="21"/>
      <c r="M12" s="24" t="s">
        <v>365</v>
      </c>
      <c r="N12" s="22"/>
      <c r="O12" s="24"/>
      <c r="P12" s="24"/>
      <c r="Q12" s="24"/>
      <c r="R12" s="99"/>
      <c r="S12" s="23"/>
      <c r="T12" s="170"/>
      <c r="U12" s="25">
        <v>45681</v>
      </c>
      <c r="V12" s="26"/>
      <c r="W12" s="27"/>
      <c r="X12" s="28" t="s">
        <v>374</v>
      </c>
      <c r="Y12" s="73"/>
    </row>
    <row r="13" spans="1:25" ht="34.200000000000003" x14ac:dyDescent="0.15">
      <c r="A13" s="19">
        <f t="shared" si="0"/>
        <v>9</v>
      </c>
      <c r="B13" s="20"/>
      <c r="C13" s="20"/>
      <c r="D13" s="20"/>
      <c r="E13" s="30"/>
      <c r="F13" s="70" t="str">
        <f ca="1">"No."&amp;OFFSET(A13,-1,0)&amp;"で取得した全件マスタ連携データおよびENDファイルの7日分の合計データサイズを算出し、合計データサイズがバックアップフォルダ(POSサーバEドライブ)容量に収まること"</f>
        <v>No.8で取得した全件マスタ連携データおよびENDファイルの7日分の合計データサイズを算出し、合計データサイズがバックアップフォルダ(POSサーバEドライブ)容量に収まること</v>
      </c>
      <c r="G13" s="120"/>
      <c r="H13" s="21"/>
      <c r="I13" s="22"/>
      <c r="J13" s="22"/>
      <c r="K13" s="23"/>
      <c r="L13" s="21"/>
      <c r="M13" s="24" t="s">
        <v>365</v>
      </c>
      <c r="N13" s="22"/>
      <c r="O13" s="24"/>
      <c r="P13" s="24"/>
      <c r="Q13" s="24"/>
      <c r="R13" s="99"/>
      <c r="S13" s="23"/>
      <c r="T13" s="170"/>
      <c r="U13" s="25">
        <v>45681</v>
      </c>
      <c r="V13" s="26"/>
      <c r="W13" s="27"/>
      <c r="X13" s="28" t="s">
        <v>374</v>
      </c>
      <c r="Y13" s="73"/>
    </row>
    <row r="14" spans="1:25" ht="58.95" customHeight="1" x14ac:dyDescent="0.15">
      <c r="A14" s="19">
        <f t="shared" si="0"/>
        <v>10</v>
      </c>
      <c r="B14" s="20"/>
      <c r="C14" s="20"/>
      <c r="D14" s="20"/>
      <c r="E14" s="30" t="s">
        <v>363</v>
      </c>
      <c r="F14" s="70" t="s">
        <v>161</v>
      </c>
      <c r="G14" s="118"/>
      <c r="H14" s="21"/>
      <c r="I14" s="22"/>
      <c r="J14" s="22"/>
      <c r="K14" s="23"/>
      <c r="L14" s="21"/>
      <c r="M14" s="24" t="s">
        <v>365</v>
      </c>
      <c r="N14" s="22"/>
      <c r="O14" s="24"/>
      <c r="P14" s="24"/>
      <c r="Q14" s="24"/>
      <c r="R14" s="99"/>
      <c r="S14" s="23"/>
      <c r="T14" s="170"/>
      <c r="U14" s="25">
        <v>45681</v>
      </c>
      <c r="V14" s="26"/>
      <c r="W14" s="27"/>
      <c r="X14" s="28" t="s">
        <v>374</v>
      </c>
      <c r="Y14" s="73"/>
    </row>
    <row r="15" spans="1:25" ht="34.200000000000003" x14ac:dyDescent="0.15">
      <c r="A15" s="19">
        <f t="shared" si="0"/>
        <v>11</v>
      </c>
      <c r="B15" s="20"/>
      <c r="C15" s="20"/>
      <c r="D15" s="20"/>
      <c r="E15" s="30"/>
      <c r="F15" s="70" t="str">
        <f ca="1">"No."&amp;OFFSET(A15,-1,0)&amp;"で取得した全件一括送信結果ログファイルの11日分の合計データサイズを算出し、合計データサイズがバックアップフォルダ(POSサーバEドライブ)容量に収まること"</f>
        <v>No.10で取得した全件一括送信結果ログファイルの11日分の合計データサイズを算出し、合計データサイズがバックアップフォルダ(POSサーバEドライブ)容量に収まること</v>
      </c>
      <c r="G15" s="118"/>
      <c r="H15" s="21"/>
      <c r="I15" s="22"/>
      <c r="J15" s="22"/>
      <c r="K15" s="23"/>
      <c r="L15" s="21"/>
      <c r="M15" s="24" t="s">
        <v>365</v>
      </c>
      <c r="N15" s="22"/>
      <c r="O15" s="24"/>
      <c r="P15" s="24"/>
      <c r="Q15" s="24"/>
      <c r="R15" s="99"/>
      <c r="S15" s="23"/>
      <c r="T15" s="170"/>
      <c r="U15" s="25">
        <v>45681</v>
      </c>
      <c r="V15" s="26"/>
      <c r="W15" s="27"/>
      <c r="X15" s="28" t="s">
        <v>374</v>
      </c>
      <c r="Y15" s="73"/>
    </row>
    <row r="16" spans="1:25" ht="125.4" x14ac:dyDescent="0.15">
      <c r="A16" s="19">
        <f t="shared" si="0"/>
        <v>12</v>
      </c>
      <c r="B16" s="20"/>
      <c r="C16" s="20" t="s">
        <v>265</v>
      </c>
      <c r="D16" s="20"/>
      <c r="E16" s="30" t="s">
        <v>162</v>
      </c>
      <c r="F16" s="70" t="s">
        <v>163</v>
      </c>
      <c r="G16" s="125"/>
      <c r="H16" s="21"/>
      <c r="I16" s="22"/>
      <c r="J16" s="22"/>
      <c r="K16" s="23"/>
      <c r="L16" s="21"/>
      <c r="M16" s="24"/>
      <c r="N16" s="22"/>
      <c r="O16" s="24" t="s">
        <v>365</v>
      </c>
      <c r="P16" s="24"/>
      <c r="Q16" s="24"/>
      <c r="R16" s="22"/>
      <c r="S16" s="23"/>
      <c r="T16" s="170"/>
      <c r="U16" s="25">
        <v>45686</v>
      </c>
      <c r="V16" s="26"/>
      <c r="W16" s="27"/>
      <c r="X16" s="28" t="s">
        <v>375</v>
      </c>
      <c r="Y16" s="29" t="s">
        <v>393</v>
      </c>
    </row>
    <row r="17" spans="1:25" ht="34.200000000000003" x14ac:dyDescent="0.15">
      <c r="A17" s="19">
        <f t="shared" si="0"/>
        <v>13</v>
      </c>
      <c r="B17" s="20"/>
      <c r="C17" s="20"/>
      <c r="D17" s="20"/>
      <c r="E17" s="30"/>
      <c r="F17" s="70" t="str">
        <f ca="1">"No."&amp;OFFSET(A17,-1,0)&amp;"で取得した差分マスタ連携データおよびENDファイルの7日分の合計データサイズを算出し、合計データサイズがバックアップフォルダ(POSサーバEドライブ)容量に収まること"</f>
        <v>No.12で取得した差分マスタ連携データおよびENDファイルの7日分の合計データサイズを算出し、合計データサイズがバックアップフォルダ(POSサーバEドライブ)容量に収まること</v>
      </c>
      <c r="G17" s="118"/>
      <c r="H17" s="21"/>
      <c r="I17" s="22"/>
      <c r="J17" s="22"/>
      <c r="K17" s="23"/>
      <c r="L17" s="21"/>
      <c r="M17" s="24" t="s">
        <v>365</v>
      </c>
      <c r="N17" s="22"/>
      <c r="O17" s="24"/>
      <c r="P17" s="24"/>
      <c r="Q17" s="24"/>
      <c r="R17" s="22"/>
      <c r="S17" s="23"/>
      <c r="T17" s="170"/>
      <c r="U17" s="25">
        <v>45686</v>
      </c>
      <c r="V17" s="26"/>
      <c r="W17" s="27"/>
      <c r="X17" s="28" t="s">
        <v>375</v>
      </c>
      <c r="Y17" s="29"/>
    </row>
    <row r="18" spans="1:25" ht="65.400000000000006" customHeight="1" x14ac:dyDescent="0.15">
      <c r="A18" s="19">
        <f t="shared" si="0"/>
        <v>14</v>
      </c>
      <c r="B18" s="20"/>
      <c r="C18" s="20"/>
      <c r="D18" s="30"/>
      <c r="E18" s="30" t="s">
        <v>164</v>
      </c>
      <c r="F18" s="70" t="s">
        <v>165</v>
      </c>
      <c r="G18" s="118"/>
      <c r="H18" s="21"/>
      <c r="I18" s="22"/>
      <c r="J18" s="22"/>
      <c r="K18" s="23"/>
      <c r="L18" s="21"/>
      <c r="M18" s="24"/>
      <c r="N18" s="22"/>
      <c r="O18" s="24" t="s">
        <v>365</v>
      </c>
      <c r="P18" s="24"/>
      <c r="Q18" s="24"/>
      <c r="R18" s="22"/>
      <c r="S18" s="23"/>
      <c r="T18" s="170"/>
      <c r="U18" s="25">
        <v>45686</v>
      </c>
      <c r="V18" s="26"/>
      <c r="W18" s="27"/>
      <c r="X18" s="28" t="s">
        <v>375</v>
      </c>
      <c r="Y18" s="29" t="s">
        <v>395</v>
      </c>
    </row>
    <row r="19" spans="1:25" ht="65.400000000000006" customHeight="1" x14ac:dyDescent="0.15">
      <c r="A19" s="19">
        <f t="shared" si="0"/>
        <v>15</v>
      </c>
      <c r="B19" s="20"/>
      <c r="C19" s="20"/>
      <c r="D19" s="30"/>
      <c r="E19" s="30"/>
      <c r="F19" s="70" t="str">
        <f ca="1">"No."&amp;OFFSET(A19,-1,0)&amp;"で取得した差分データのマスタ更新履歴の7日分の合計データサイズを算出し、合計データサイズがバックアップフォルダ(POSサーバEドライブ)容量に収まること"</f>
        <v>No.14で取得した差分データのマスタ更新履歴の7日分の合計データサイズを算出し、合計データサイズがバックアップフォルダ(POSサーバEドライブ)容量に収まること</v>
      </c>
      <c r="G19" s="119"/>
      <c r="H19" s="21"/>
      <c r="I19" s="22"/>
      <c r="J19" s="22"/>
      <c r="K19" s="23"/>
      <c r="L19" s="24"/>
      <c r="M19" s="24" t="s">
        <v>365</v>
      </c>
      <c r="N19" s="22"/>
      <c r="O19" s="24"/>
      <c r="P19" s="24"/>
      <c r="Q19" s="24"/>
      <c r="R19" s="22"/>
      <c r="S19" s="23"/>
      <c r="T19" s="170"/>
      <c r="U19" s="25">
        <v>45686</v>
      </c>
      <c r="V19" s="26"/>
      <c r="W19" s="27"/>
      <c r="X19" s="28" t="s">
        <v>375</v>
      </c>
      <c r="Y19" s="29"/>
    </row>
    <row r="20" spans="1:25" ht="34.200000000000003" x14ac:dyDescent="0.15">
      <c r="A20" s="19">
        <f t="shared" si="0"/>
        <v>16</v>
      </c>
      <c r="B20" s="20"/>
      <c r="C20" s="20"/>
      <c r="D20" s="30"/>
      <c r="E20" s="30" t="s">
        <v>191</v>
      </c>
      <c r="F20" s="70" t="s">
        <v>192</v>
      </c>
      <c r="G20" s="119"/>
      <c r="H20" s="21"/>
      <c r="I20" s="22"/>
      <c r="J20" s="22"/>
      <c r="K20" s="23"/>
      <c r="L20" s="21"/>
      <c r="M20" s="24"/>
      <c r="N20" s="22"/>
      <c r="O20" s="24" t="s">
        <v>365</v>
      </c>
      <c r="P20" s="24"/>
      <c r="Q20" s="24"/>
      <c r="R20" s="22"/>
      <c r="S20" s="23"/>
      <c r="T20" s="170"/>
      <c r="U20" s="25">
        <v>45686</v>
      </c>
      <c r="V20" s="26"/>
      <c r="W20" s="27"/>
      <c r="X20" s="28" t="s">
        <v>375</v>
      </c>
      <c r="Y20" s="29" t="s">
        <v>394</v>
      </c>
    </row>
    <row r="21" spans="1:25" ht="22.8" x14ac:dyDescent="0.15">
      <c r="A21" s="19">
        <f t="shared" si="0"/>
        <v>17</v>
      </c>
      <c r="B21" s="20"/>
      <c r="C21" s="20"/>
      <c r="D21" s="30"/>
      <c r="E21" s="30"/>
      <c r="F21" s="70" t="str">
        <f ca="1">"No."&amp;OFFSET(A21,-1,0)&amp;"で取得した差分送信結果ログファイルの11日分の合計データサイズを算出し、合計データサイズがバックアップフォルダ(POSサーバEドライブ)容量に収まること"</f>
        <v>No.16で取得した差分送信結果ログファイルの11日分の合計データサイズを算出し、合計データサイズがバックアップフォルダ(POSサーバEドライブ)容量に収まること</v>
      </c>
      <c r="G21" s="119"/>
      <c r="H21" s="21"/>
      <c r="I21" s="22"/>
      <c r="J21" s="22"/>
      <c r="K21" s="23"/>
      <c r="L21" s="21"/>
      <c r="M21" s="24" t="s">
        <v>365</v>
      </c>
      <c r="N21" s="22"/>
      <c r="O21" s="24"/>
      <c r="P21" s="24"/>
      <c r="Q21" s="24"/>
      <c r="R21" s="22"/>
      <c r="S21" s="23"/>
      <c r="T21" s="170"/>
      <c r="U21" s="25">
        <v>45686</v>
      </c>
      <c r="V21" s="26"/>
      <c r="W21" s="27"/>
      <c r="X21" s="28" t="s">
        <v>375</v>
      </c>
      <c r="Y21" s="29"/>
    </row>
    <row r="22" spans="1:25" ht="22.8" x14ac:dyDescent="0.15">
      <c r="A22" s="19">
        <f t="shared" si="0"/>
        <v>18</v>
      </c>
      <c r="B22" s="20"/>
      <c r="C22" s="168" t="s">
        <v>266</v>
      </c>
      <c r="D22" s="101"/>
      <c r="E22" s="30" t="s">
        <v>205</v>
      </c>
      <c r="F22" s="70" t="s">
        <v>351</v>
      </c>
      <c r="G22" s="119"/>
      <c r="H22" s="21"/>
      <c r="I22" s="22"/>
      <c r="J22" s="22"/>
      <c r="K22" s="23"/>
      <c r="L22" s="21"/>
      <c r="M22" s="24" t="s">
        <v>35</v>
      </c>
      <c r="N22" s="22"/>
      <c r="O22" s="24"/>
      <c r="P22" s="24"/>
      <c r="Q22" s="24"/>
      <c r="R22" s="22"/>
      <c r="S22" s="23"/>
      <c r="T22" s="170"/>
      <c r="U22" s="175"/>
      <c r="V22" s="176"/>
      <c r="W22" s="177"/>
      <c r="X22" s="28"/>
      <c r="Y22" s="94" t="s">
        <v>204</v>
      </c>
    </row>
    <row r="23" spans="1:25" ht="12.6" x14ac:dyDescent="0.15">
      <c r="A23" s="19">
        <f t="shared" si="0"/>
        <v>19</v>
      </c>
      <c r="B23" s="20"/>
      <c r="C23" s="20"/>
      <c r="D23" s="101"/>
      <c r="E23" s="95" t="s">
        <v>56</v>
      </c>
      <c r="F23" s="96" t="s">
        <v>37</v>
      </c>
      <c r="G23" s="125"/>
      <c r="H23" s="21"/>
      <c r="I23" s="22"/>
      <c r="J23" s="22"/>
      <c r="K23" s="23"/>
      <c r="L23" s="21"/>
      <c r="M23" s="24" t="s">
        <v>35</v>
      </c>
      <c r="N23" s="22"/>
      <c r="O23" s="24"/>
      <c r="P23" s="24"/>
      <c r="Q23" s="24"/>
      <c r="R23" s="99"/>
      <c r="S23" s="23"/>
      <c r="T23" s="170"/>
      <c r="U23" s="175"/>
      <c r="V23" s="176"/>
      <c r="W23" s="177"/>
      <c r="X23" s="28"/>
      <c r="Y23" s="73"/>
    </row>
    <row r="24" spans="1:25" ht="11.4" x14ac:dyDescent="0.15">
      <c r="A24" s="19">
        <f t="shared" si="0"/>
        <v>20</v>
      </c>
      <c r="B24" s="20"/>
      <c r="C24" s="20"/>
      <c r="D24" s="20"/>
      <c r="E24" s="95" t="s">
        <v>57</v>
      </c>
      <c r="F24" s="96" t="s">
        <v>37</v>
      </c>
      <c r="G24" s="118"/>
      <c r="H24" s="21"/>
      <c r="I24" s="22"/>
      <c r="J24" s="22"/>
      <c r="K24" s="23"/>
      <c r="L24" s="21"/>
      <c r="M24" s="24" t="s">
        <v>35</v>
      </c>
      <c r="N24" s="22"/>
      <c r="O24" s="24"/>
      <c r="P24" s="24"/>
      <c r="Q24" s="24"/>
      <c r="R24" s="99"/>
      <c r="S24" s="23"/>
      <c r="T24" s="170"/>
      <c r="U24" s="175"/>
      <c r="V24" s="176"/>
      <c r="W24" s="177"/>
      <c r="X24" s="28"/>
      <c r="Y24" s="73"/>
    </row>
    <row r="25" spans="1:25" ht="11.4" x14ac:dyDescent="0.15">
      <c r="A25" s="19">
        <f t="shared" si="0"/>
        <v>21</v>
      </c>
      <c r="B25" s="20"/>
      <c r="C25" s="20"/>
      <c r="D25" s="20"/>
      <c r="E25" s="95" t="s">
        <v>58</v>
      </c>
      <c r="F25" s="96" t="s">
        <v>59</v>
      </c>
      <c r="G25" s="120"/>
      <c r="H25" s="21"/>
      <c r="I25" s="22"/>
      <c r="J25" s="22"/>
      <c r="K25" s="23"/>
      <c r="L25" s="21"/>
      <c r="M25" s="24" t="s">
        <v>35</v>
      </c>
      <c r="N25" s="22"/>
      <c r="O25" s="24"/>
      <c r="P25" s="24"/>
      <c r="Q25" s="24"/>
      <c r="R25" s="22"/>
      <c r="S25" s="23"/>
      <c r="T25" s="170"/>
      <c r="U25" s="175"/>
      <c r="V25" s="176"/>
      <c r="W25" s="177"/>
      <c r="X25" s="28"/>
      <c r="Y25" s="73"/>
    </row>
    <row r="26" spans="1:25" ht="45.6" x14ac:dyDescent="0.15">
      <c r="A26" s="19">
        <f t="shared" si="0"/>
        <v>22</v>
      </c>
      <c r="B26" s="20"/>
      <c r="C26" s="20"/>
      <c r="D26" s="20"/>
      <c r="E26" s="95" t="s">
        <v>267</v>
      </c>
      <c r="F26" s="96" t="s">
        <v>61</v>
      </c>
      <c r="G26" s="118"/>
      <c r="H26" s="21"/>
      <c r="I26" s="22"/>
      <c r="J26" s="22"/>
      <c r="K26" s="23"/>
      <c r="L26" s="21"/>
      <c r="M26" s="24" t="s">
        <v>35</v>
      </c>
      <c r="N26" s="22"/>
      <c r="O26" s="24"/>
      <c r="P26" s="24"/>
      <c r="Q26" s="24"/>
      <c r="R26" s="22"/>
      <c r="S26" s="23"/>
      <c r="T26" s="170"/>
      <c r="U26" s="175"/>
      <c r="V26" s="176"/>
      <c r="W26" s="177"/>
      <c r="X26" s="28"/>
      <c r="Y26" s="73"/>
    </row>
    <row r="27" spans="1:25" ht="11.4" x14ac:dyDescent="0.15">
      <c r="A27" s="19">
        <f t="shared" si="0"/>
        <v>23</v>
      </c>
      <c r="B27" s="20"/>
      <c r="C27" s="20"/>
      <c r="D27" s="20"/>
      <c r="E27" s="95" t="s">
        <v>62</v>
      </c>
      <c r="F27" s="96" t="s">
        <v>37</v>
      </c>
      <c r="G27" s="118"/>
      <c r="H27" s="21"/>
      <c r="I27" s="22"/>
      <c r="J27" s="22"/>
      <c r="K27" s="23"/>
      <c r="L27" s="21"/>
      <c r="M27" s="24" t="s">
        <v>35</v>
      </c>
      <c r="N27" s="22"/>
      <c r="O27" s="24"/>
      <c r="P27" s="24"/>
      <c r="Q27" s="24"/>
      <c r="R27" s="22"/>
      <c r="S27" s="23"/>
      <c r="T27" s="170"/>
      <c r="U27" s="175"/>
      <c r="V27" s="176"/>
      <c r="W27" s="177"/>
      <c r="X27" s="28"/>
      <c r="Y27" s="73"/>
    </row>
    <row r="28" spans="1:25" ht="11.4" x14ac:dyDescent="0.15">
      <c r="A28" s="19">
        <f t="shared" si="0"/>
        <v>24</v>
      </c>
      <c r="B28" s="20"/>
      <c r="C28" s="20"/>
      <c r="D28" s="20"/>
      <c r="E28" s="95" t="s">
        <v>63</v>
      </c>
      <c r="F28" s="96" t="s">
        <v>64</v>
      </c>
      <c r="G28" s="119"/>
      <c r="H28" s="21"/>
      <c r="I28" s="22"/>
      <c r="J28" s="22"/>
      <c r="K28" s="23"/>
      <c r="L28" s="21"/>
      <c r="M28" s="24" t="s">
        <v>35</v>
      </c>
      <c r="N28" s="22"/>
      <c r="O28" s="24"/>
      <c r="P28" s="24"/>
      <c r="Q28" s="24"/>
      <c r="R28" s="22"/>
      <c r="S28" s="23"/>
      <c r="T28" s="170"/>
      <c r="U28" s="175"/>
      <c r="V28" s="176"/>
      <c r="W28" s="177"/>
      <c r="X28" s="28"/>
      <c r="Y28" s="73"/>
    </row>
    <row r="29" spans="1:25" ht="11.4" x14ac:dyDescent="0.15">
      <c r="A29" s="19">
        <f t="shared" si="0"/>
        <v>25</v>
      </c>
      <c r="B29" s="20"/>
      <c r="C29" s="20"/>
      <c r="D29" s="20"/>
      <c r="E29" s="95" t="s">
        <v>65</v>
      </c>
      <c r="F29" s="96" t="s">
        <v>66</v>
      </c>
      <c r="G29" s="119"/>
      <c r="H29" s="21"/>
      <c r="I29" s="22"/>
      <c r="J29" s="22"/>
      <c r="K29" s="23"/>
      <c r="L29" s="21"/>
      <c r="M29" s="24" t="s">
        <v>35</v>
      </c>
      <c r="N29" s="22"/>
      <c r="O29" s="24"/>
      <c r="P29" s="24"/>
      <c r="Q29" s="24"/>
      <c r="R29" s="22"/>
      <c r="S29" s="23"/>
      <c r="T29" s="170"/>
      <c r="U29" s="175"/>
      <c r="V29" s="176"/>
      <c r="W29" s="177"/>
      <c r="X29" s="28"/>
      <c r="Y29" s="73"/>
    </row>
    <row r="30" spans="1:25" ht="57" x14ac:dyDescent="0.15">
      <c r="A30" s="19">
        <f t="shared" si="0"/>
        <v>26</v>
      </c>
      <c r="B30" s="20"/>
      <c r="C30" s="20"/>
      <c r="D30" s="20"/>
      <c r="E30" s="95" t="s">
        <v>67</v>
      </c>
      <c r="F30" s="96" t="s">
        <v>68</v>
      </c>
      <c r="G30" s="119"/>
      <c r="H30" s="21"/>
      <c r="I30" s="22"/>
      <c r="J30" s="22"/>
      <c r="K30" s="23"/>
      <c r="L30" s="21"/>
      <c r="M30" s="24" t="s">
        <v>35</v>
      </c>
      <c r="N30" s="22"/>
      <c r="O30" s="24"/>
      <c r="P30" s="24"/>
      <c r="Q30" s="24"/>
      <c r="R30" s="22"/>
      <c r="S30" s="23"/>
      <c r="T30" s="170"/>
      <c r="U30" s="175"/>
      <c r="V30" s="176"/>
      <c r="W30" s="177"/>
      <c r="X30" s="28"/>
      <c r="Y30" s="73"/>
    </row>
    <row r="31" spans="1:25" ht="12.6" x14ac:dyDescent="0.15">
      <c r="A31" s="19">
        <f t="shared" si="0"/>
        <v>27</v>
      </c>
      <c r="B31" s="20"/>
      <c r="C31" s="20"/>
      <c r="D31" s="20"/>
      <c r="E31" s="95" t="s">
        <v>63</v>
      </c>
      <c r="F31" s="96" t="s">
        <v>69</v>
      </c>
      <c r="G31" s="125"/>
      <c r="H31" s="21"/>
      <c r="I31" s="22"/>
      <c r="J31" s="22"/>
      <c r="K31" s="23"/>
      <c r="L31" s="21"/>
      <c r="M31" s="24" t="s">
        <v>35</v>
      </c>
      <c r="N31" s="22"/>
      <c r="O31" s="24"/>
      <c r="P31" s="24"/>
      <c r="Q31" s="24"/>
      <c r="R31" s="22"/>
      <c r="S31" s="23"/>
      <c r="T31" s="170"/>
      <c r="U31" s="175"/>
      <c r="V31" s="176"/>
      <c r="W31" s="177"/>
      <c r="X31" s="28"/>
      <c r="Y31" s="73"/>
    </row>
    <row r="32" spans="1:25" ht="22.8" x14ac:dyDescent="0.15">
      <c r="A32" s="19">
        <f t="shared" si="0"/>
        <v>28</v>
      </c>
      <c r="B32" s="20"/>
      <c r="C32" s="20"/>
      <c r="D32" s="20"/>
      <c r="E32" s="95" t="s">
        <v>328</v>
      </c>
      <c r="F32" s="96" t="s">
        <v>268</v>
      </c>
      <c r="G32" s="125"/>
      <c r="H32" s="21"/>
      <c r="I32" s="22"/>
      <c r="J32" s="22"/>
      <c r="K32" s="23"/>
      <c r="L32" s="21"/>
      <c r="M32" s="24" t="s">
        <v>35</v>
      </c>
      <c r="N32" s="22"/>
      <c r="O32" s="24"/>
      <c r="P32" s="24"/>
      <c r="Q32" s="24"/>
      <c r="R32" s="22"/>
      <c r="S32" s="23"/>
      <c r="T32" s="170"/>
      <c r="U32" s="175"/>
      <c r="V32" s="176"/>
      <c r="W32" s="177"/>
      <c r="X32" s="28"/>
      <c r="Y32" s="73"/>
    </row>
    <row r="33" spans="1:25" ht="11.4" x14ac:dyDescent="0.15">
      <c r="A33" s="19">
        <f t="shared" si="0"/>
        <v>29</v>
      </c>
      <c r="B33" s="20"/>
      <c r="C33" s="20"/>
      <c r="D33" s="20"/>
      <c r="E33" s="95" t="s">
        <v>63</v>
      </c>
      <c r="F33" s="96" t="s">
        <v>269</v>
      </c>
      <c r="G33" s="118"/>
      <c r="H33" s="21"/>
      <c r="I33" s="22"/>
      <c r="J33" s="22"/>
      <c r="K33" s="23"/>
      <c r="L33" s="21"/>
      <c r="M33" s="24" t="s">
        <v>35</v>
      </c>
      <c r="N33" s="22"/>
      <c r="O33" s="24"/>
      <c r="P33" s="24"/>
      <c r="Q33" s="24"/>
      <c r="R33" s="22"/>
      <c r="S33" s="23"/>
      <c r="T33" s="170"/>
      <c r="U33" s="175"/>
      <c r="V33" s="176"/>
      <c r="W33" s="177"/>
      <c r="X33" s="28"/>
      <c r="Y33" s="73"/>
    </row>
    <row r="34" spans="1:25" ht="22.8" x14ac:dyDescent="0.15">
      <c r="A34" s="19">
        <f t="shared" si="0"/>
        <v>30</v>
      </c>
      <c r="B34" s="20"/>
      <c r="C34" s="20"/>
      <c r="D34" s="20"/>
      <c r="E34" s="30" t="s">
        <v>206</v>
      </c>
      <c r="F34" s="70" t="s">
        <v>352</v>
      </c>
      <c r="G34" s="120"/>
      <c r="H34" s="21"/>
      <c r="I34" s="22"/>
      <c r="J34" s="22"/>
      <c r="K34" s="23"/>
      <c r="L34" s="21"/>
      <c r="M34" s="24" t="s">
        <v>35</v>
      </c>
      <c r="N34" s="22"/>
      <c r="O34" s="24"/>
      <c r="P34" s="24"/>
      <c r="Q34" s="24"/>
      <c r="R34" s="22"/>
      <c r="S34" s="23"/>
      <c r="T34" s="170"/>
      <c r="U34" s="175"/>
      <c r="V34" s="176"/>
      <c r="W34" s="177"/>
      <c r="X34" s="28"/>
      <c r="Y34" s="94" t="s">
        <v>204</v>
      </c>
    </row>
    <row r="35" spans="1:25" ht="11.4" x14ac:dyDescent="0.15">
      <c r="A35" s="19">
        <f t="shared" si="0"/>
        <v>31</v>
      </c>
      <c r="B35" s="20"/>
      <c r="C35" s="20"/>
      <c r="D35" s="20"/>
      <c r="E35" s="74" t="s">
        <v>392</v>
      </c>
      <c r="F35" s="196" t="s">
        <v>329</v>
      </c>
      <c r="G35" s="119"/>
      <c r="H35" s="21"/>
      <c r="I35" s="22"/>
      <c r="J35" s="22"/>
      <c r="K35" s="23"/>
      <c r="L35" s="21"/>
      <c r="M35" s="24" t="s">
        <v>35</v>
      </c>
      <c r="N35" s="22"/>
      <c r="O35" s="24"/>
      <c r="P35" s="24"/>
      <c r="Q35" s="24"/>
      <c r="R35" s="99"/>
      <c r="S35" s="23"/>
      <c r="T35" s="170"/>
      <c r="U35" s="175"/>
      <c r="V35" s="176"/>
      <c r="W35" s="177"/>
      <c r="X35" s="28"/>
      <c r="Y35" s="73"/>
    </row>
    <row r="36" spans="1:25" ht="11.4" x14ac:dyDescent="0.15">
      <c r="A36" s="181">
        <f t="shared" si="0"/>
        <v>32</v>
      </c>
      <c r="B36" s="182"/>
      <c r="C36" s="182"/>
      <c r="D36" s="182"/>
      <c r="E36" s="183" t="s">
        <v>57</v>
      </c>
      <c r="F36" s="184" t="s">
        <v>37</v>
      </c>
      <c r="G36" s="184"/>
      <c r="H36" s="77"/>
      <c r="I36" s="78"/>
      <c r="J36" s="78"/>
      <c r="K36" s="79"/>
      <c r="L36" s="77"/>
      <c r="M36" s="80" t="s">
        <v>35</v>
      </c>
      <c r="N36" s="78"/>
      <c r="O36" s="80"/>
      <c r="P36" s="80"/>
      <c r="Q36" s="80"/>
      <c r="R36" s="100"/>
      <c r="S36" s="79"/>
      <c r="T36" s="171"/>
      <c r="U36" s="81"/>
      <c r="V36" s="82"/>
      <c r="W36" s="83"/>
      <c r="X36" s="84"/>
      <c r="Y36" s="197"/>
    </row>
    <row r="37" spans="1:25" ht="12.6" x14ac:dyDescent="0.15">
      <c r="A37" s="181">
        <f t="shared" si="0"/>
        <v>33</v>
      </c>
      <c r="B37" s="182"/>
      <c r="C37" s="182"/>
      <c r="D37" s="182"/>
      <c r="E37" s="183" t="s">
        <v>72</v>
      </c>
      <c r="F37" s="184" t="s">
        <v>73</v>
      </c>
      <c r="G37" s="198"/>
      <c r="H37" s="77"/>
      <c r="I37" s="78"/>
      <c r="J37" s="78"/>
      <c r="K37" s="79"/>
      <c r="L37" s="77"/>
      <c r="M37" s="80" t="s">
        <v>35</v>
      </c>
      <c r="N37" s="78"/>
      <c r="O37" s="80"/>
      <c r="P37" s="80"/>
      <c r="Q37" s="80"/>
      <c r="R37" s="78"/>
      <c r="S37" s="79"/>
      <c r="T37" s="171"/>
      <c r="U37" s="81"/>
      <c r="V37" s="82"/>
      <c r="W37" s="83"/>
      <c r="X37" s="84"/>
      <c r="Y37" s="197"/>
    </row>
    <row r="38" spans="1:25" ht="11.4" x14ac:dyDescent="0.15">
      <c r="A38" s="181">
        <f t="shared" si="0"/>
        <v>34</v>
      </c>
      <c r="B38" s="182"/>
      <c r="C38" s="182"/>
      <c r="D38" s="182"/>
      <c r="E38" s="183" t="s">
        <v>330</v>
      </c>
      <c r="F38" s="184" t="s">
        <v>329</v>
      </c>
      <c r="G38" s="184"/>
      <c r="H38" s="77"/>
      <c r="I38" s="78"/>
      <c r="J38" s="78"/>
      <c r="K38" s="79"/>
      <c r="L38" s="77"/>
      <c r="M38" s="80" t="s">
        <v>35</v>
      </c>
      <c r="N38" s="78"/>
      <c r="O38" s="80"/>
      <c r="P38" s="80"/>
      <c r="Q38" s="80"/>
      <c r="R38" s="78"/>
      <c r="S38" s="79"/>
      <c r="T38" s="171"/>
      <c r="U38" s="81"/>
      <c r="V38" s="82"/>
      <c r="W38" s="83"/>
      <c r="X38" s="84"/>
      <c r="Y38" s="186"/>
    </row>
    <row r="39" spans="1:25" ht="102.6" x14ac:dyDescent="0.15">
      <c r="A39" s="19">
        <f t="shared" si="0"/>
        <v>35</v>
      </c>
      <c r="B39" s="20" t="s">
        <v>77</v>
      </c>
      <c r="C39" s="20" t="s">
        <v>270</v>
      </c>
      <c r="D39" s="30"/>
      <c r="E39" s="30" t="s">
        <v>194</v>
      </c>
      <c r="F39" s="70" t="s">
        <v>166</v>
      </c>
      <c r="G39" s="125" t="s">
        <v>274</v>
      </c>
      <c r="H39" s="21"/>
      <c r="I39" s="22"/>
      <c r="J39" s="22"/>
      <c r="K39" s="23"/>
      <c r="L39" s="21"/>
      <c r="M39" s="24"/>
      <c r="N39" s="22"/>
      <c r="O39" s="24" t="s">
        <v>35</v>
      </c>
      <c r="P39" s="24"/>
      <c r="Q39" s="24"/>
      <c r="R39" s="22"/>
      <c r="S39" s="23"/>
      <c r="T39" s="170"/>
      <c r="U39" s="175"/>
      <c r="V39" s="176"/>
      <c r="W39" s="177"/>
      <c r="X39" s="28"/>
      <c r="Y39" s="29" t="s">
        <v>353</v>
      </c>
    </row>
    <row r="40" spans="1:25" ht="34.200000000000003" x14ac:dyDescent="0.15">
      <c r="A40" s="19">
        <f t="shared" si="0"/>
        <v>36</v>
      </c>
      <c r="B40" s="20"/>
      <c r="C40" s="20"/>
      <c r="D40" s="30"/>
      <c r="E40" s="30"/>
      <c r="F40" s="70" t="str">
        <f ca="1">"No."&amp;OFFSET(A40,-1,0)&amp;"で取得したトラン実績連携データおよびENDファイルの7日分の合計データサイズを算出し、合計データサイズがバックアップフォルダ(POSサーバEドライブ)容量に収まること"</f>
        <v>No.35で取得したトラン実績連携データおよびENDファイルの7日分の合計データサイズを算出し、合計データサイズがバックアップフォルダ(POSサーバEドライブ)容量に収まること</v>
      </c>
      <c r="G40" s="119"/>
      <c r="H40" s="21"/>
      <c r="I40" s="22"/>
      <c r="J40" s="22"/>
      <c r="K40" s="23"/>
      <c r="L40" s="21"/>
      <c r="M40" s="24" t="s">
        <v>35</v>
      </c>
      <c r="N40" s="22"/>
      <c r="O40" s="24"/>
      <c r="P40" s="24"/>
      <c r="Q40" s="24"/>
      <c r="R40" s="22"/>
      <c r="S40" s="23"/>
      <c r="T40" s="170"/>
      <c r="U40" s="175"/>
      <c r="V40" s="176"/>
      <c r="W40" s="177"/>
      <c r="X40" s="28"/>
      <c r="Y40" s="29"/>
    </row>
    <row r="41" spans="1:25" ht="45.6" x14ac:dyDescent="0.15">
      <c r="A41" s="19">
        <f t="shared" si="0"/>
        <v>37</v>
      </c>
      <c r="B41" s="20"/>
      <c r="C41" s="20"/>
      <c r="D41" s="30"/>
      <c r="E41" s="30" t="s">
        <v>195</v>
      </c>
      <c r="F41" s="70" t="s">
        <v>193</v>
      </c>
      <c r="G41" s="119"/>
      <c r="H41" s="21"/>
      <c r="I41" s="22"/>
      <c r="J41" s="22"/>
      <c r="K41" s="23"/>
      <c r="L41" s="21"/>
      <c r="M41" s="24"/>
      <c r="N41" s="22"/>
      <c r="O41" s="24" t="s">
        <v>35</v>
      </c>
      <c r="P41" s="24"/>
      <c r="Q41" s="24"/>
      <c r="R41" s="22"/>
      <c r="S41" s="23"/>
      <c r="T41" s="170"/>
      <c r="U41" s="175"/>
      <c r="V41" s="176"/>
      <c r="W41" s="177"/>
      <c r="X41" s="28"/>
      <c r="Y41" s="29" t="s">
        <v>354</v>
      </c>
    </row>
    <row r="42" spans="1:25" ht="34.200000000000003" x14ac:dyDescent="0.15">
      <c r="A42" s="19">
        <f t="shared" si="0"/>
        <v>38</v>
      </c>
      <c r="B42" s="20"/>
      <c r="C42" s="20"/>
      <c r="D42" s="30"/>
      <c r="E42" s="30"/>
      <c r="F42" s="70" t="str">
        <f ca="1">"No."&amp;OFFSET(A42,-1,0)&amp;"で取得したトラン受信結果ログファイルの11日分の合計データサイズを算出し、合計データサイズがバックアップフォルダ(POSサーバEドライブ)容量に収まること"</f>
        <v>No.37で取得したトラン受信結果ログファイルの11日分の合計データサイズを算出し、合計データサイズがバックアップフォルダ(POSサーバEドライブ)容量に収まること</v>
      </c>
      <c r="G42" s="119"/>
      <c r="H42" s="21"/>
      <c r="I42" s="22"/>
      <c r="J42" s="22"/>
      <c r="K42" s="23"/>
      <c r="L42" s="21"/>
      <c r="M42" s="24" t="s">
        <v>35</v>
      </c>
      <c r="N42" s="22"/>
      <c r="O42" s="24"/>
      <c r="P42" s="24"/>
      <c r="Q42" s="24"/>
      <c r="R42" s="22"/>
      <c r="S42" s="23"/>
      <c r="T42" s="170"/>
      <c r="U42" s="175"/>
      <c r="V42" s="176"/>
      <c r="W42" s="177"/>
      <c r="X42" s="28"/>
      <c r="Y42" s="29"/>
    </row>
    <row r="43" spans="1:25" ht="22.8" x14ac:dyDescent="0.15">
      <c r="A43" s="19">
        <f t="shared" si="0"/>
        <v>39</v>
      </c>
      <c r="B43" s="20"/>
      <c r="C43" s="20"/>
      <c r="D43" s="30"/>
      <c r="E43" s="30" t="str">
        <f ca="1">"No."&amp;OFFSET(A43,-13,0)&amp;"、"&amp;OFFSET(A43,-11,0)&amp;"、"&amp;OFFSET(A43,-9,0)&amp;"、"&amp;OFFSET(A43,-7,0)&amp;"、"&amp;OFFSET(A43,-5,0)&amp;"、"&amp;OFFSET(A43,-3,0)&amp;"、"&amp;OFFSET(A43,-1,0)&amp;"で算出したデータサイズの合計サイズを算出する"</f>
        <v>No.26、28、30、32、34、36、38で算出したデータサイズの合計サイズを算出する</v>
      </c>
      <c r="F43" s="96" t="s">
        <v>331</v>
      </c>
      <c r="G43" s="119"/>
      <c r="H43" s="21"/>
      <c r="I43" s="22"/>
      <c r="J43" s="22"/>
      <c r="K43" s="23"/>
      <c r="L43" s="21"/>
      <c r="M43" s="24" t="s">
        <v>35</v>
      </c>
      <c r="N43" s="22"/>
      <c r="O43" s="24"/>
      <c r="P43" s="24"/>
      <c r="Q43" s="24"/>
      <c r="R43" s="24"/>
      <c r="S43" s="23"/>
      <c r="T43" s="170"/>
      <c r="U43" s="175"/>
      <c r="V43" s="176"/>
      <c r="W43" s="177"/>
      <c r="X43" s="28"/>
      <c r="Y43" s="94" t="s">
        <v>272</v>
      </c>
    </row>
    <row r="44" spans="1:25" ht="22.8" x14ac:dyDescent="0.15">
      <c r="A44" s="19">
        <f t="shared" si="0"/>
        <v>40</v>
      </c>
      <c r="B44" s="20"/>
      <c r="C44" s="20" t="s">
        <v>271</v>
      </c>
      <c r="D44" s="30"/>
      <c r="E44" s="30" t="s">
        <v>222</v>
      </c>
      <c r="F44" s="70" t="s">
        <v>355</v>
      </c>
      <c r="G44" s="119"/>
      <c r="H44" s="21"/>
      <c r="I44" s="22"/>
      <c r="J44" s="22"/>
      <c r="K44" s="23"/>
      <c r="L44" s="21"/>
      <c r="M44" s="24" t="s">
        <v>35</v>
      </c>
      <c r="N44" s="22"/>
      <c r="O44" s="24"/>
      <c r="P44" s="24"/>
      <c r="Q44" s="24"/>
      <c r="R44" s="24"/>
      <c r="S44" s="23"/>
      <c r="T44" s="170"/>
      <c r="U44" s="25"/>
      <c r="V44" s="26"/>
      <c r="W44" s="27"/>
      <c r="X44" s="28"/>
      <c r="Y44" s="29" t="s">
        <v>356</v>
      </c>
    </row>
    <row r="45" spans="1:25" ht="12.6" x14ac:dyDescent="0.15">
      <c r="A45" s="19">
        <f t="shared" si="0"/>
        <v>41</v>
      </c>
      <c r="B45" s="20"/>
      <c r="C45" s="20"/>
      <c r="D45" s="30"/>
      <c r="E45" s="30" t="s">
        <v>224</v>
      </c>
      <c r="F45" s="70" t="s">
        <v>42</v>
      </c>
      <c r="G45" s="125" t="s">
        <v>274</v>
      </c>
      <c r="H45" s="77"/>
      <c r="I45" s="78"/>
      <c r="J45" s="78"/>
      <c r="K45" s="79"/>
      <c r="L45" s="77"/>
      <c r="M45" s="80"/>
      <c r="N45" s="78"/>
      <c r="O45" s="80"/>
      <c r="P45" s="80"/>
      <c r="Q45" s="80"/>
      <c r="R45" s="80"/>
      <c r="S45" s="79"/>
      <c r="T45" s="171"/>
      <c r="U45" s="81"/>
      <c r="V45" s="82"/>
      <c r="W45" s="83"/>
      <c r="X45" s="84"/>
      <c r="Y45" s="29" t="s">
        <v>356</v>
      </c>
    </row>
    <row r="46" spans="1:25" ht="22.8" x14ac:dyDescent="0.15">
      <c r="A46" s="19">
        <f t="shared" si="0"/>
        <v>42</v>
      </c>
      <c r="B46" s="20"/>
      <c r="C46" s="20"/>
      <c r="D46" s="30"/>
      <c r="E46" s="30" t="s">
        <v>225</v>
      </c>
      <c r="F46" s="70" t="s">
        <v>350</v>
      </c>
      <c r="G46" s="121"/>
      <c r="H46" s="21"/>
      <c r="I46" s="22"/>
      <c r="J46" s="22"/>
      <c r="K46" s="23"/>
      <c r="L46" s="21"/>
      <c r="M46" s="24" t="s">
        <v>35</v>
      </c>
      <c r="N46" s="22"/>
      <c r="O46" s="24"/>
      <c r="P46" s="24"/>
      <c r="Q46" s="24"/>
      <c r="R46" s="24"/>
      <c r="S46" s="23"/>
      <c r="T46" s="170"/>
      <c r="U46" s="25"/>
      <c r="V46" s="26"/>
      <c r="W46" s="27"/>
      <c r="X46" s="28"/>
      <c r="Y46" s="29" t="s">
        <v>356</v>
      </c>
    </row>
    <row r="47" spans="1:25" ht="12.6" x14ac:dyDescent="0.15">
      <c r="A47" s="19">
        <f t="shared" si="0"/>
        <v>43</v>
      </c>
      <c r="B47" s="20" t="s">
        <v>150</v>
      </c>
      <c r="C47" s="168" t="s">
        <v>257</v>
      </c>
      <c r="D47" s="20"/>
      <c r="E47" s="95" t="s">
        <v>56</v>
      </c>
      <c r="F47" s="96" t="s">
        <v>37</v>
      </c>
      <c r="G47" s="125"/>
      <c r="H47" s="21"/>
      <c r="I47" s="22"/>
      <c r="J47" s="22"/>
      <c r="K47" s="23"/>
      <c r="L47" s="21"/>
      <c r="M47" s="24" t="s">
        <v>35</v>
      </c>
      <c r="N47" s="22"/>
      <c r="O47" s="24"/>
      <c r="P47" s="24"/>
      <c r="Q47" s="24"/>
      <c r="R47" s="99"/>
      <c r="S47" s="23"/>
      <c r="T47" s="170"/>
      <c r="U47" s="25"/>
      <c r="V47" s="26"/>
      <c r="W47" s="27"/>
      <c r="X47" s="28"/>
      <c r="Y47" s="29" t="s">
        <v>356</v>
      </c>
    </row>
    <row r="48" spans="1:25" ht="11.4" x14ac:dyDescent="0.15">
      <c r="A48" s="19">
        <f t="shared" si="0"/>
        <v>44</v>
      </c>
      <c r="B48" s="20"/>
      <c r="C48" s="20"/>
      <c r="D48" s="20"/>
      <c r="E48" s="95" t="s">
        <v>258</v>
      </c>
      <c r="F48" s="96" t="s">
        <v>37</v>
      </c>
      <c r="G48" s="121"/>
      <c r="H48" s="21"/>
      <c r="I48" s="22"/>
      <c r="J48" s="22"/>
      <c r="K48" s="23"/>
      <c r="L48" s="21"/>
      <c r="M48" s="24" t="s">
        <v>35</v>
      </c>
      <c r="N48" s="22"/>
      <c r="O48" s="24"/>
      <c r="P48" s="24"/>
      <c r="Q48" s="24"/>
      <c r="R48" s="99"/>
      <c r="S48" s="23"/>
      <c r="T48" s="170"/>
      <c r="U48" s="25"/>
      <c r="V48" s="26"/>
      <c r="W48" s="27"/>
      <c r="X48" s="28"/>
      <c r="Y48" s="29" t="s">
        <v>356</v>
      </c>
    </row>
    <row r="49" spans="1:25" ht="12.6" x14ac:dyDescent="0.15">
      <c r="A49" s="19">
        <f t="shared" si="0"/>
        <v>45</v>
      </c>
      <c r="B49" s="20"/>
      <c r="C49" s="20"/>
      <c r="D49" s="20"/>
      <c r="E49" s="95" t="s">
        <v>259</v>
      </c>
      <c r="F49" s="96" t="s">
        <v>260</v>
      </c>
      <c r="G49" s="125" t="s">
        <v>274</v>
      </c>
      <c r="H49" s="21"/>
      <c r="I49" s="22"/>
      <c r="J49" s="22"/>
      <c r="K49" s="23"/>
      <c r="L49" s="21"/>
      <c r="M49" s="24" t="s">
        <v>35</v>
      </c>
      <c r="N49" s="22"/>
      <c r="O49" s="24"/>
      <c r="P49" s="24"/>
      <c r="Q49" s="24"/>
      <c r="R49" s="99"/>
      <c r="S49" s="23"/>
      <c r="T49" s="170"/>
      <c r="U49" s="25"/>
      <c r="V49" s="26"/>
      <c r="W49" s="27"/>
      <c r="X49" s="28"/>
      <c r="Y49" s="29" t="s">
        <v>356</v>
      </c>
    </row>
    <row r="50" spans="1:25" ht="11.4" x14ac:dyDescent="0.15">
      <c r="A50" s="19">
        <f t="shared" si="0"/>
        <v>46</v>
      </c>
      <c r="B50" s="20"/>
      <c r="C50" s="20"/>
      <c r="D50" s="20"/>
      <c r="E50" s="95"/>
      <c r="F50" s="96" t="s">
        <v>261</v>
      </c>
      <c r="G50" s="121"/>
      <c r="H50" s="21"/>
      <c r="I50" s="22"/>
      <c r="J50" s="22"/>
      <c r="K50" s="23"/>
      <c r="L50" s="21"/>
      <c r="M50" s="24" t="s">
        <v>35</v>
      </c>
      <c r="N50" s="22"/>
      <c r="O50" s="24"/>
      <c r="P50" s="24"/>
      <c r="Q50" s="24"/>
      <c r="R50" s="99"/>
      <c r="S50" s="23"/>
      <c r="T50" s="170"/>
      <c r="U50" s="25"/>
      <c r="V50" s="26"/>
      <c r="W50" s="27"/>
      <c r="X50" s="28"/>
      <c r="Y50" s="29" t="s">
        <v>356</v>
      </c>
    </row>
    <row r="51" spans="1:25" ht="11.4" x14ac:dyDescent="0.15">
      <c r="A51" s="19">
        <f t="shared" si="0"/>
        <v>47</v>
      </c>
      <c r="B51" s="20"/>
      <c r="C51" s="20" t="s">
        <v>174</v>
      </c>
      <c r="D51" s="20"/>
      <c r="E51" s="95" t="s">
        <v>56</v>
      </c>
      <c r="F51" s="96" t="s">
        <v>37</v>
      </c>
      <c r="G51" s="121"/>
      <c r="H51" s="21"/>
      <c r="I51" s="22"/>
      <c r="J51" s="22"/>
      <c r="K51" s="23"/>
      <c r="L51" s="21"/>
      <c r="M51" s="24" t="s">
        <v>35</v>
      </c>
      <c r="N51" s="22"/>
      <c r="O51" s="24"/>
      <c r="P51" s="24"/>
      <c r="Q51" s="24"/>
      <c r="R51" s="99"/>
      <c r="S51" s="23"/>
      <c r="T51" s="170"/>
      <c r="U51" s="25"/>
      <c r="V51" s="26"/>
      <c r="W51" s="27"/>
      <c r="X51" s="28"/>
      <c r="Y51" s="29" t="s">
        <v>356</v>
      </c>
    </row>
    <row r="52" spans="1:25" ht="11.4" x14ac:dyDescent="0.15">
      <c r="A52" s="19">
        <f t="shared" si="0"/>
        <v>48</v>
      </c>
      <c r="B52" s="20"/>
      <c r="C52" s="20"/>
      <c r="D52" s="20"/>
      <c r="E52" s="95" t="s">
        <v>85</v>
      </c>
      <c r="F52" s="96" t="s">
        <v>37</v>
      </c>
      <c r="G52" s="121"/>
      <c r="H52" s="21"/>
      <c r="I52" s="22"/>
      <c r="J52" s="22"/>
      <c r="K52" s="23"/>
      <c r="L52" s="21"/>
      <c r="M52" s="24" t="s">
        <v>35</v>
      </c>
      <c r="N52" s="22"/>
      <c r="O52" s="24"/>
      <c r="P52" s="24"/>
      <c r="Q52" s="24"/>
      <c r="R52" s="99"/>
      <c r="S52" s="23"/>
      <c r="T52" s="170"/>
      <c r="U52" s="25"/>
      <c r="V52" s="26"/>
      <c r="W52" s="27"/>
      <c r="X52" s="28"/>
      <c r="Y52" s="29" t="s">
        <v>356</v>
      </c>
    </row>
    <row r="53" spans="1:25" ht="12.6" x14ac:dyDescent="0.15">
      <c r="A53" s="19">
        <f t="shared" si="0"/>
        <v>49</v>
      </c>
      <c r="B53" s="20"/>
      <c r="C53" s="20"/>
      <c r="D53" s="20"/>
      <c r="E53" s="95" t="s">
        <v>86</v>
      </c>
      <c r="F53" s="96" t="s">
        <v>37</v>
      </c>
      <c r="G53" s="125"/>
      <c r="H53" s="21"/>
      <c r="I53" s="22"/>
      <c r="J53" s="22"/>
      <c r="K53" s="23"/>
      <c r="L53" s="21"/>
      <c r="M53" s="24" t="s">
        <v>35</v>
      </c>
      <c r="N53" s="22"/>
      <c r="O53" s="24"/>
      <c r="P53" s="24"/>
      <c r="Q53" s="24"/>
      <c r="R53" s="99"/>
      <c r="S53" s="23"/>
      <c r="T53" s="170"/>
      <c r="U53" s="25"/>
      <c r="V53" s="26"/>
      <c r="W53" s="27"/>
      <c r="X53" s="28"/>
      <c r="Y53" s="29" t="s">
        <v>356</v>
      </c>
    </row>
    <row r="54" spans="1:25" ht="11.4" x14ac:dyDescent="0.15">
      <c r="A54" s="19">
        <f t="shared" si="0"/>
        <v>50</v>
      </c>
      <c r="B54" s="20"/>
      <c r="C54" s="20"/>
      <c r="D54" s="20"/>
      <c r="E54" s="95" t="s">
        <v>87</v>
      </c>
      <c r="F54" s="96" t="s">
        <v>88</v>
      </c>
      <c r="G54" s="119"/>
      <c r="H54" s="21"/>
      <c r="I54" s="22"/>
      <c r="J54" s="22"/>
      <c r="K54" s="23"/>
      <c r="L54" s="21"/>
      <c r="M54" s="24" t="s">
        <v>35</v>
      </c>
      <c r="N54" s="22"/>
      <c r="O54" s="24"/>
      <c r="P54" s="24"/>
      <c r="Q54" s="24"/>
      <c r="R54" s="99"/>
      <c r="S54" s="23"/>
      <c r="T54" s="170"/>
      <c r="U54" s="25"/>
      <c r="V54" s="26"/>
      <c r="W54" s="27"/>
      <c r="X54" s="28"/>
      <c r="Y54" s="29" t="s">
        <v>356</v>
      </c>
    </row>
    <row r="55" spans="1:25" ht="22.8" x14ac:dyDescent="0.15">
      <c r="A55" s="19">
        <f t="shared" si="0"/>
        <v>51</v>
      </c>
      <c r="B55" s="20"/>
      <c r="C55" s="20"/>
      <c r="D55" s="20"/>
      <c r="E55" s="95" t="s">
        <v>89</v>
      </c>
      <c r="F55" s="96" t="s">
        <v>332</v>
      </c>
      <c r="G55" s="125" t="s">
        <v>274</v>
      </c>
      <c r="H55" s="21"/>
      <c r="I55" s="22"/>
      <c r="J55" s="22"/>
      <c r="K55" s="23"/>
      <c r="L55" s="21"/>
      <c r="M55" s="24" t="s">
        <v>35</v>
      </c>
      <c r="N55" s="22"/>
      <c r="O55" s="24"/>
      <c r="P55" s="24"/>
      <c r="Q55" s="24"/>
      <c r="R55" s="99"/>
      <c r="S55" s="23"/>
      <c r="T55" s="170"/>
      <c r="U55" s="25"/>
      <c r="V55" s="26"/>
      <c r="W55" s="27"/>
      <c r="X55" s="28"/>
      <c r="Y55" s="29" t="s">
        <v>356</v>
      </c>
    </row>
    <row r="56" spans="1:25" ht="11.4" x14ac:dyDescent="0.15">
      <c r="A56" s="19">
        <f t="shared" si="0"/>
        <v>52</v>
      </c>
      <c r="B56" s="20"/>
      <c r="C56" s="20" t="s">
        <v>182</v>
      </c>
      <c r="D56" s="20"/>
      <c r="E56" s="95" t="s">
        <v>56</v>
      </c>
      <c r="F56" s="96" t="s">
        <v>37</v>
      </c>
      <c r="G56" s="119"/>
      <c r="H56" s="21"/>
      <c r="I56" s="22"/>
      <c r="J56" s="22"/>
      <c r="K56" s="23"/>
      <c r="L56" s="21"/>
      <c r="M56" s="24" t="s">
        <v>35</v>
      </c>
      <c r="N56" s="22"/>
      <c r="O56" s="24"/>
      <c r="P56" s="24"/>
      <c r="Q56" s="24"/>
      <c r="R56" s="99"/>
      <c r="S56" s="23"/>
      <c r="T56" s="170"/>
      <c r="U56" s="25"/>
      <c r="V56" s="26"/>
      <c r="W56" s="27"/>
      <c r="X56" s="28"/>
      <c r="Y56" s="29" t="s">
        <v>356</v>
      </c>
    </row>
    <row r="57" spans="1:25" ht="11.4" x14ac:dyDescent="0.15">
      <c r="A57" s="19">
        <f t="shared" si="0"/>
        <v>53</v>
      </c>
      <c r="B57" s="20"/>
      <c r="C57" s="20"/>
      <c r="D57" s="20"/>
      <c r="E57" s="95" t="s">
        <v>85</v>
      </c>
      <c r="F57" s="96" t="s">
        <v>37</v>
      </c>
      <c r="G57" s="119"/>
      <c r="H57" s="21"/>
      <c r="I57" s="22"/>
      <c r="J57" s="22"/>
      <c r="K57" s="23"/>
      <c r="L57" s="21"/>
      <c r="M57" s="24" t="s">
        <v>35</v>
      </c>
      <c r="N57" s="22"/>
      <c r="O57" s="24"/>
      <c r="P57" s="24"/>
      <c r="Q57" s="24"/>
      <c r="R57" s="99"/>
      <c r="S57" s="23"/>
      <c r="T57" s="170"/>
      <c r="U57" s="25"/>
      <c r="V57" s="26"/>
      <c r="W57" s="27"/>
      <c r="X57" s="28"/>
      <c r="Y57" s="29" t="s">
        <v>356</v>
      </c>
    </row>
    <row r="58" spans="1:25" ht="11.4" x14ac:dyDescent="0.15">
      <c r="A58" s="19">
        <f t="shared" si="0"/>
        <v>54</v>
      </c>
      <c r="B58" s="20"/>
      <c r="C58" s="20"/>
      <c r="D58" s="20"/>
      <c r="E58" s="95" t="s">
        <v>90</v>
      </c>
      <c r="F58" s="96" t="s">
        <v>37</v>
      </c>
      <c r="G58" s="119"/>
      <c r="H58" s="21"/>
      <c r="I58" s="22"/>
      <c r="J58" s="22"/>
      <c r="K58" s="23"/>
      <c r="L58" s="21"/>
      <c r="M58" s="24" t="s">
        <v>35</v>
      </c>
      <c r="N58" s="22"/>
      <c r="O58" s="24"/>
      <c r="P58" s="24"/>
      <c r="Q58" s="24"/>
      <c r="R58" s="99"/>
      <c r="S58" s="23"/>
      <c r="T58" s="170"/>
      <c r="U58" s="25"/>
      <c r="V58" s="26"/>
      <c r="W58" s="27"/>
      <c r="X58" s="28"/>
      <c r="Y58" s="29" t="s">
        <v>356</v>
      </c>
    </row>
    <row r="59" spans="1:25" ht="11.4" x14ac:dyDescent="0.15">
      <c r="A59" s="19">
        <f t="shared" si="0"/>
        <v>55</v>
      </c>
      <c r="B59" s="20"/>
      <c r="C59" s="20"/>
      <c r="D59" s="20"/>
      <c r="E59" s="95" t="s">
        <v>91</v>
      </c>
      <c r="F59" s="96" t="s">
        <v>88</v>
      </c>
      <c r="G59" s="119"/>
      <c r="H59" s="21"/>
      <c r="I59" s="22"/>
      <c r="J59" s="22"/>
      <c r="K59" s="23"/>
      <c r="L59" s="21"/>
      <c r="M59" s="24" t="s">
        <v>35</v>
      </c>
      <c r="N59" s="22"/>
      <c r="O59" s="24"/>
      <c r="P59" s="24"/>
      <c r="Q59" s="24"/>
      <c r="R59" s="99"/>
      <c r="S59" s="23"/>
      <c r="T59" s="170"/>
      <c r="U59" s="25"/>
      <c r="V59" s="26"/>
      <c r="W59" s="27"/>
      <c r="X59" s="28"/>
      <c r="Y59" s="29" t="s">
        <v>356</v>
      </c>
    </row>
    <row r="60" spans="1:25" ht="22.8" x14ac:dyDescent="0.15">
      <c r="A60" s="19">
        <f t="shared" si="0"/>
        <v>56</v>
      </c>
      <c r="B60" s="20"/>
      <c r="C60" s="20"/>
      <c r="D60" s="20"/>
      <c r="E60" s="95" t="s">
        <v>89</v>
      </c>
      <c r="F60" s="96" t="s">
        <v>333</v>
      </c>
      <c r="G60" s="119"/>
      <c r="H60" s="21"/>
      <c r="I60" s="22"/>
      <c r="J60" s="22"/>
      <c r="K60" s="23"/>
      <c r="L60" s="21"/>
      <c r="M60" s="24" t="s">
        <v>35</v>
      </c>
      <c r="N60" s="22"/>
      <c r="O60" s="24"/>
      <c r="P60" s="24"/>
      <c r="Q60" s="24"/>
      <c r="R60" s="99"/>
      <c r="S60" s="23"/>
      <c r="T60" s="170"/>
      <c r="U60" s="25"/>
      <c r="V60" s="26"/>
      <c r="W60" s="27"/>
      <c r="X60" s="28"/>
      <c r="Y60" s="29" t="s">
        <v>356</v>
      </c>
    </row>
    <row r="61" spans="1:25" ht="12.6" x14ac:dyDescent="0.15">
      <c r="A61" s="19">
        <f t="shared" ref="A61:A95" si="1">ROW()-4</f>
        <v>57</v>
      </c>
      <c r="B61" s="20"/>
      <c r="C61" s="20" t="s">
        <v>183</v>
      </c>
      <c r="D61" s="20"/>
      <c r="E61" s="95" t="s">
        <v>56</v>
      </c>
      <c r="F61" s="96" t="s">
        <v>37</v>
      </c>
      <c r="G61" s="125"/>
      <c r="H61" s="21"/>
      <c r="I61" s="22"/>
      <c r="J61" s="22"/>
      <c r="K61" s="23"/>
      <c r="L61" s="21"/>
      <c r="M61" s="24" t="s">
        <v>35</v>
      </c>
      <c r="N61" s="22"/>
      <c r="O61" s="24"/>
      <c r="P61" s="24"/>
      <c r="Q61" s="24"/>
      <c r="R61" s="99"/>
      <c r="S61" s="23"/>
      <c r="T61" s="170"/>
      <c r="U61" s="25"/>
      <c r="V61" s="26"/>
      <c r="W61" s="27"/>
      <c r="X61" s="28"/>
      <c r="Y61" s="29" t="s">
        <v>356</v>
      </c>
    </row>
    <row r="62" spans="1:25" ht="11.4" x14ac:dyDescent="0.15">
      <c r="A62" s="19">
        <f t="shared" si="1"/>
        <v>58</v>
      </c>
      <c r="B62" s="20"/>
      <c r="C62" s="20"/>
      <c r="D62" s="20"/>
      <c r="E62" s="95" t="s">
        <v>85</v>
      </c>
      <c r="F62" s="96" t="s">
        <v>37</v>
      </c>
      <c r="G62" s="119"/>
      <c r="H62" s="21"/>
      <c r="I62" s="22"/>
      <c r="J62" s="22"/>
      <c r="K62" s="23"/>
      <c r="L62" s="21"/>
      <c r="M62" s="24" t="s">
        <v>35</v>
      </c>
      <c r="N62" s="22"/>
      <c r="O62" s="24"/>
      <c r="P62" s="24"/>
      <c r="Q62" s="24"/>
      <c r="R62" s="99"/>
      <c r="S62" s="23"/>
      <c r="T62" s="170"/>
      <c r="U62" s="25"/>
      <c r="V62" s="26"/>
      <c r="W62" s="27"/>
      <c r="X62" s="28"/>
      <c r="Y62" s="29" t="s">
        <v>356</v>
      </c>
    </row>
    <row r="63" spans="1:25" ht="12.6" x14ac:dyDescent="0.15">
      <c r="A63" s="19">
        <f t="shared" si="1"/>
        <v>59</v>
      </c>
      <c r="B63" s="20"/>
      <c r="C63" s="20"/>
      <c r="D63" s="20"/>
      <c r="E63" s="95" t="s">
        <v>92</v>
      </c>
      <c r="F63" s="96" t="s">
        <v>37</v>
      </c>
      <c r="G63" s="125" t="s">
        <v>274</v>
      </c>
      <c r="H63" s="21"/>
      <c r="I63" s="22"/>
      <c r="J63" s="22"/>
      <c r="K63" s="23"/>
      <c r="L63" s="21"/>
      <c r="M63" s="24" t="s">
        <v>35</v>
      </c>
      <c r="N63" s="22"/>
      <c r="O63" s="24"/>
      <c r="P63" s="24"/>
      <c r="Q63" s="24"/>
      <c r="R63" s="99"/>
      <c r="S63" s="23"/>
      <c r="T63" s="170"/>
      <c r="U63" s="25"/>
      <c r="V63" s="26"/>
      <c r="W63" s="27"/>
      <c r="X63" s="28"/>
      <c r="Y63" s="29" t="s">
        <v>356</v>
      </c>
    </row>
    <row r="64" spans="1:25" ht="11.4" x14ac:dyDescent="0.15">
      <c r="A64" s="19">
        <f t="shared" si="1"/>
        <v>60</v>
      </c>
      <c r="B64" s="20"/>
      <c r="C64" s="20"/>
      <c r="D64" s="20"/>
      <c r="E64" s="95" t="s">
        <v>93</v>
      </c>
      <c r="F64" s="96" t="s">
        <v>88</v>
      </c>
      <c r="G64" s="119"/>
      <c r="H64" s="21"/>
      <c r="I64" s="22"/>
      <c r="J64" s="22"/>
      <c r="K64" s="23"/>
      <c r="L64" s="21"/>
      <c r="M64" s="24" t="s">
        <v>35</v>
      </c>
      <c r="N64" s="22"/>
      <c r="O64" s="24"/>
      <c r="P64" s="24"/>
      <c r="Q64" s="24"/>
      <c r="R64" s="99"/>
      <c r="S64" s="23"/>
      <c r="T64" s="170"/>
      <c r="U64" s="25"/>
      <c r="V64" s="26"/>
      <c r="W64" s="27"/>
      <c r="X64" s="28"/>
      <c r="Y64" s="29" t="s">
        <v>356</v>
      </c>
    </row>
    <row r="65" spans="1:25" ht="22.8" x14ac:dyDescent="0.15">
      <c r="A65" s="19">
        <f t="shared" si="1"/>
        <v>61</v>
      </c>
      <c r="B65" s="20"/>
      <c r="C65" s="20"/>
      <c r="D65" s="20"/>
      <c r="E65" s="95" t="s">
        <v>89</v>
      </c>
      <c r="F65" s="96" t="s">
        <v>334</v>
      </c>
      <c r="G65" s="119"/>
      <c r="H65" s="21"/>
      <c r="I65" s="22"/>
      <c r="J65" s="22"/>
      <c r="K65" s="23"/>
      <c r="L65" s="21"/>
      <c r="M65" s="24" t="s">
        <v>35</v>
      </c>
      <c r="N65" s="22"/>
      <c r="O65" s="24"/>
      <c r="P65" s="24"/>
      <c r="Q65" s="24"/>
      <c r="R65" s="99"/>
      <c r="S65" s="23"/>
      <c r="T65" s="170"/>
      <c r="U65" s="25"/>
      <c r="V65" s="26"/>
      <c r="W65" s="27"/>
      <c r="X65" s="28"/>
      <c r="Y65" s="29" t="s">
        <v>356</v>
      </c>
    </row>
    <row r="66" spans="1:25" ht="11.4" x14ac:dyDescent="0.15">
      <c r="A66" s="19">
        <f t="shared" si="1"/>
        <v>62</v>
      </c>
      <c r="B66" s="20"/>
      <c r="C66" s="20" t="s">
        <v>184</v>
      </c>
      <c r="D66" s="20"/>
      <c r="E66" s="95" t="s">
        <v>36</v>
      </c>
      <c r="F66" s="96" t="s">
        <v>37</v>
      </c>
      <c r="G66" s="119"/>
      <c r="H66" s="21"/>
      <c r="I66" s="22"/>
      <c r="J66" s="22"/>
      <c r="K66" s="23"/>
      <c r="L66" s="21"/>
      <c r="M66" s="24" t="s">
        <v>35</v>
      </c>
      <c r="N66" s="22"/>
      <c r="O66" s="24"/>
      <c r="P66" s="24"/>
      <c r="Q66" s="24"/>
      <c r="R66" s="99"/>
      <c r="S66" s="23"/>
      <c r="T66" s="170"/>
      <c r="U66" s="25"/>
      <c r="V66" s="26"/>
      <c r="W66" s="27"/>
      <c r="X66" s="28"/>
      <c r="Y66" s="29" t="s">
        <v>356</v>
      </c>
    </row>
    <row r="67" spans="1:25" ht="11.4" x14ac:dyDescent="0.15">
      <c r="A67" s="19">
        <f t="shared" si="1"/>
        <v>63</v>
      </c>
      <c r="B67" s="20"/>
      <c r="C67" s="20"/>
      <c r="D67" s="20"/>
      <c r="E67" s="95" t="s">
        <v>85</v>
      </c>
      <c r="F67" s="96" t="s">
        <v>37</v>
      </c>
      <c r="G67" s="119"/>
      <c r="H67" s="21"/>
      <c r="I67" s="22"/>
      <c r="J67" s="22"/>
      <c r="K67" s="23"/>
      <c r="L67" s="21"/>
      <c r="M67" s="24" t="s">
        <v>35</v>
      </c>
      <c r="N67" s="22"/>
      <c r="O67" s="24"/>
      <c r="P67" s="24"/>
      <c r="Q67" s="24"/>
      <c r="R67" s="99"/>
      <c r="S67" s="23"/>
      <c r="T67" s="170"/>
      <c r="U67" s="25"/>
      <c r="V67" s="26"/>
      <c r="W67" s="27"/>
      <c r="X67" s="28"/>
      <c r="Y67" s="29" t="s">
        <v>356</v>
      </c>
    </row>
    <row r="68" spans="1:25" ht="11.4" x14ac:dyDescent="0.15">
      <c r="A68" s="19">
        <f t="shared" si="1"/>
        <v>64</v>
      </c>
      <c r="B68" s="20"/>
      <c r="C68" s="20"/>
      <c r="D68" s="20"/>
      <c r="E68" s="95" t="s">
        <v>95</v>
      </c>
      <c r="F68" s="96" t="s">
        <v>37</v>
      </c>
      <c r="G68" s="119"/>
      <c r="H68" s="21"/>
      <c r="I68" s="22"/>
      <c r="J68" s="22"/>
      <c r="K68" s="23"/>
      <c r="L68" s="21"/>
      <c r="M68" s="24" t="s">
        <v>35</v>
      </c>
      <c r="N68" s="22"/>
      <c r="O68" s="24"/>
      <c r="P68" s="24"/>
      <c r="Q68" s="24"/>
      <c r="R68" s="99"/>
      <c r="S68" s="23"/>
      <c r="T68" s="170"/>
      <c r="U68" s="25"/>
      <c r="V68" s="26"/>
      <c r="W68" s="27"/>
      <c r="X68" s="28"/>
      <c r="Y68" s="29" t="s">
        <v>356</v>
      </c>
    </row>
    <row r="69" spans="1:25" ht="11.4" x14ac:dyDescent="0.15">
      <c r="A69" s="19">
        <f t="shared" si="1"/>
        <v>65</v>
      </c>
      <c r="B69" s="20"/>
      <c r="C69" s="20"/>
      <c r="D69" s="20"/>
      <c r="E69" s="95" t="s">
        <v>96</v>
      </c>
      <c r="F69" s="96" t="s">
        <v>37</v>
      </c>
      <c r="G69" s="119"/>
      <c r="H69" s="21"/>
      <c r="I69" s="22"/>
      <c r="J69" s="22"/>
      <c r="K69" s="23"/>
      <c r="L69" s="21"/>
      <c r="M69" s="24" t="s">
        <v>35</v>
      </c>
      <c r="N69" s="22"/>
      <c r="O69" s="24"/>
      <c r="P69" s="24"/>
      <c r="Q69" s="24"/>
      <c r="R69" s="99"/>
      <c r="S69" s="23"/>
      <c r="T69" s="170"/>
      <c r="U69" s="25"/>
      <c r="V69" s="26"/>
      <c r="W69" s="27"/>
      <c r="X69" s="28"/>
      <c r="Y69" s="29" t="s">
        <v>356</v>
      </c>
    </row>
    <row r="70" spans="1:25" ht="22.8" x14ac:dyDescent="0.15">
      <c r="A70" s="19">
        <f t="shared" si="1"/>
        <v>66</v>
      </c>
      <c r="B70" s="20"/>
      <c r="C70" s="20"/>
      <c r="D70" s="20"/>
      <c r="E70" s="95" t="s">
        <v>89</v>
      </c>
      <c r="F70" s="96" t="s">
        <v>335</v>
      </c>
      <c r="G70" s="119"/>
      <c r="H70" s="21"/>
      <c r="I70" s="22"/>
      <c r="J70" s="22"/>
      <c r="K70" s="23"/>
      <c r="L70" s="21"/>
      <c r="M70" s="24" t="s">
        <v>35</v>
      </c>
      <c r="N70" s="22"/>
      <c r="O70" s="24"/>
      <c r="P70" s="24"/>
      <c r="Q70" s="24"/>
      <c r="R70" s="99"/>
      <c r="S70" s="23"/>
      <c r="T70" s="170"/>
      <c r="U70" s="25"/>
      <c r="V70" s="26"/>
      <c r="W70" s="27"/>
      <c r="X70" s="28"/>
      <c r="Y70" s="29" t="s">
        <v>356</v>
      </c>
    </row>
    <row r="71" spans="1:25" ht="11.4" x14ac:dyDescent="0.15">
      <c r="A71" s="19">
        <f t="shared" si="1"/>
        <v>67</v>
      </c>
      <c r="B71" s="20"/>
      <c r="C71" s="20" t="s">
        <v>185</v>
      </c>
      <c r="D71" s="20"/>
      <c r="E71" s="95" t="s">
        <v>56</v>
      </c>
      <c r="F71" s="96" t="s">
        <v>37</v>
      </c>
      <c r="G71" s="119"/>
      <c r="H71" s="21"/>
      <c r="I71" s="22"/>
      <c r="J71" s="22"/>
      <c r="K71" s="23"/>
      <c r="L71" s="21"/>
      <c r="M71" s="24" t="s">
        <v>35</v>
      </c>
      <c r="N71" s="22"/>
      <c r="O71" s="24"/>
      <c r="P71" s="24"/>
      <c r="Q71" s="24"/>
      <c r="R71" s="99"/>
      <c r="S71" s="23"/>
      <c r="T71" s="170"/>
      <c r="U71" s="25"/>
      <c r="V71" s="26"/>
      <c r="W71" s="27"/>
      <c r="X71" s="28"/>
      <c r="Y71" s="29" t="s">
        <v>356</v>
      </c>
    </row>
    <row r="72" spans="1:25" ht="11.4" x14ac:dyDescent="0.15">
      <c r="A72" s="19">
        <f t="shared" si="1"/>
        <v>68</v>
      </c>
      <c r="B72" s="20"/>
      <c r="C72" s="20"/>
      <c r="D72" s="20"/>
      <c r="E72" s="95" t="s">
        <v>85</v>
      </c>
      <c r="F72" s="96" t="s">
        <v>106</v>
      </c>
      <c r="G72" s="119"/>
      <c r="H72" s="21"/>
      <c r="I72" s="22"/>
      <c r="J72" s="22"/>
      <c r="K72" s="23"/>
      <c r="L72" s="21"/>
      <c r="M72" s="24" t="s">
        <v>35</v>
      </c>
      <c r="N72" s="22"/>
      <c r="O72" s="24"/>
      <c r="P72" s="24"/>
      <c r="Q72" s="24"/>
      <c r="R72" s="99"/>
      <c r="S72" s="23"/>
      <c r="T72" s="170"/>
      <c r="U72" s="25"/>
      <c r="V72" s="26"/>
      <c r="W72" s="27"/>
      <c r="X72" s="28"/>
      <c r="Y72" s="29" t="s">
        <v>356</v>
      </c>
    </row>
    <row r="73" spans="1:25" ht="11.4" x14ac:dyDescent="0.15">
      <c r="A73" s="19">
        <f t="shared" si="1"/>
        <v>69</v>
      </c>
      <c r="B73" s="20"/>
      <c r="C73" s="20"/>
      <c r="D73" s="20"/>
      <c r="E73" s="95" t="s">
        <v>97</v>
      </c>
      <c r="F73" s="96" t="s">
        <v>37</v>
      </c>
      <c r="G73" s="119"/>
      <c r="H73" s="21"/>
      <c r="I73" s="22"/>
      <c r="J73" s="22"/>
      <c r="K73" s="23"/>
      <c r="L73" s="21"/>
      <c r="M73" s="24" t="s">
        <v>35</v>
      </c>
      <c r="N73" s="22"/>
      <c r="O73" s="24"/>
      <c r="P73" s="24"/>
      <c r="Q73" s="24"/>
      <c r="R73" s="99"/>
      <c r="S73" s="23"/>
      <c r="T73" s="170"/>
      <c r="U73" s="25"/>
      <c r="V73" s="26"/>
      <c r="W73" s="27"/>
      <c r="X73" s="28"/>
      <c r="Y73" s="29" t="s">
        <v>356</v>
      </c>
    </row>
    <row r="74" spans="1:25" ht="11.4" x14ac:dyDescent="0.15">
      <c r="A74" s="19">
        <f t="shared" si="1"/>
        <v>70</v>
      </c>
      <c r="B74" s="20"/>
      <c r="C74" s="20"/>
      <c r="D74" s="20"/>
      <c r="E74" s="95" t="s">
        <v>98</v>
      </c>
      <c r="F74" s="96" t="s">
        <v>88</v>
      </c>
      <c r="G74" s="119"/>
      <c r="H74" s="21"/>
      <c r="I74" s="22"/>
      <c r="J74" s="22"/>
      <c r="K74" s="23"/>
      <c r="L74" s="21"/>
      <c r="M74" s="24" t="s">
        <v>35</v>
      </c>
      <c r="N74" s="22"/>
      <c r="O74" s="24"/>
      <c r="P74" s="24"/>
      <c r="Q74" s="24"/>
      <c r="R74" s="99"/>
      <c r="S74" s="23"/>
      <c r="T74" s="170"/>
      <c r="U74" s="25"/>
      <c r="V74" s="26"/>
      <c r="W74" s="27"/>
      <c r="X74" s="28"/>
      <c r="Y74" s="29" t="s">
        <v>356</v>
      </c>
    </row>
    <row r="75" spans="1:25" ht="22.8" x14ac:dyDescent="0.15">
      <c r="A75" s="19">
        <f t="shared" si="1"/>
        <v>71</v>
      </c>
      <c r="B75" s="20"/>
      <c r="C75" s="20"/>
      <c r="D75" s="20"/>
      <c r="E75" s="95" t="s">
        <v>89</v>
      </c>
      <c r="F75" s="96" t="s">
        <v>336</v>
      </c>
      <c r="G75" s="119"/>
      <c r="H75" s="21"/>
      <c r="I75" s="22"/>
      <c r="J75" s="22"/>
      <c r="K75" s="23"/>
      <c r="L75" s="21"/>
      <c r="M75" s="24" t="s">
        <v>35</v>
      </c>
      <c r="N75" s="22"/>
      <c r="O75" s="24"/>
      <c r="P75" s="24"/>
      <c r="Q75" s="24"/>
      <c r="R75" s="99"/>
      <c r="S75" s="23"/>
      <c r="T75" s="170"/>
      <c r="U75" s="25"/>
      <c r="V75" s="26"/>
      <c r="W75" s="27"/>
      <c r="X75" s="28"/>
      <c r="Y75" s="29" t="s">
        <v>356</v>
      </c>
    </row>
    <row r="76" spans="1:25" ht="11.4" x14ac:dyDescent="0.15">
      <c r="A76" s="19">
        <f t="shared" si="1"/>
        <v>72</v>
      </c>
      <c r="B76" s="20"/>
      <c r="C76" s="20" t="s">
        <v>186</v>
      </c>
      <c r="D76" s="20"/>
      <c r="E76" s="95" t="s">
        <v>56</v>
      </c>
      <c r="F76" s="96" t="s">
        <v>37</v>
      </c>
      <c r="G76" s="119"/>
      <c r="H76" s="21"/>
      <c r="I76" s="22"/>
      <c r="J76" s="22"/>
      <c r="K76" s="23"/>
      <c r="L76" s="21"/>
      <c r="M76" s="24" t="s">
        <v>35</v>
      </c>
      <c r="N76" s="22"/>
      <c r="O76" s="24"/>
      <c r="P76" s="24"/>
      <c r="Q76" s="24"/>
      <c r="R76" s="99"/>
      <c r="S76" s="23"/>
      <c r="T76" s="170"/>
      <c r="U76" s="25"/>
      <c r="V76" s="26"/>
      <c r="W76" s="27"/>
      <c r="X76" s="28"/>
      <c r="Y76" s="29" t="s">
        <v>356</v>
      </c>
    </row>
    <row r="77" spans="1:25" ht="11.4" x14ac:dyDescent="0.15">
      <c r="A77" s="19">
        <f t="shared" si="1"/>
        <v>73</v>
      </c>
      <c r="B77" s="20"/>
      <c r="C77" s="20"/>
      <c r="D77" s="20"/>
      <c r="E77" s="95" t="s">
        <v>85</v>
      </c>
      <c r="F77" s="96" t="s">
        <v>37</v>
      </c>
      <c r="G77" s="119"/>
      <c r="H77" s="21"/>
      <c r="I77" s="22"/>
      <c r="J77" s="22"/>
      <c r="K77" s="23"/>
      <c r="L77" s="21"/>
      <c r="M77" s="24" t="s">
        <v>35</v>
      </c>
      <c r="N77" s="22"/>
      <c r="O77" s="24"/>
      <c r="P77" s="24"/>
      <c r="Q77" s="24"/>
      <c r="R77" s="99"/>
      <c r="S77" s="23"/>
      <c r="T77" s="170"/>
      <c r="U77" s="25"/>
      <c r="V77" s="26"/>
      <c r="W77" s="27"/>
      <c r="X77" s="28"/>
      <c r="Y77" s="29" t="s">
        <v>356</v>
      </c>
    </row>
    <row r="78" spans="1:25" ht="11.4" x14ac:dyDescent="0.15">
      <c r="A78" s="19">
        <f t="shared" si="1"/>
        <v>74</v>
      </c>
      <c r="B78" s="20"/>
      <c r="C78" s="20"/>
      <c r="D78" s="20"/>
      <c r="E78" s="95" t="s">
        <v>86</v>
      </c>
      <c r="F78" s="96" t="s">
        <v>37</v>
      </c>
      <c r="G78" s="119"/>
      <c r="H78" s="21"/>
      <c r="I78" s="22"/>
      <c r="J78" s="22"/>
      <c r="K78" s="23"/>
      <c r="L78" s="21"/>
      <c r="M78" s="24" t="s">
        <v>35</v>
      </c>
      <c r="N78" s="22"/>
      <c r="O78" s="24"/>
      <c r="P78" s="24"/>
      <c r="Q78" s="24"/>
      <c r="R78" s="99"/>
      <c r="S78" s="23"/>
      <c r="T78" s="170"/>
      <c r="U78" s="25"/>
      <c r="V78" s="26"/>
      <c r="W78" s="27"/>
      <c r="X78" s="28"/>
      <c r="Y78" s="29" t="s">
        <v>356</v>
      </c>
    </row>
    <row r="79" spans="1:25" ht="11.4" x14ac:dyDescent="0.15">
      <c r="A79" s="19">
        <f t="shared" si="1"/>
        <v>75</v>
      </c>
      <c r="B79" s="20"/>
      <c r="C79" s="20"/>
      <c r="D79" s="20"/>
      <c r="E79" s="95" t="s">
        <v>99</v>
      </c>
      <c r="F79" s="96" t="s">
        <v>88</v>
      </c>
      <c r="G79" s="119"/>
      <c r="H79" s="21"/>
      <c r="I79" s="22"/>
      <c r="J79" s="22"/>
      <c r="K79" s="23"/>
      <c r="L79" s="21"/>
      <c r="M79" s="24" t="s">
        <v>35</v>
      </c>
      <c r="N79" s="22"/>
      <c r="O79" s="24"/>
      <c r="P79" s="24"/>
      <c r="Q79" s="24"/>
      <c r="R79" s="99"/>
      <c r="S79" s="23"/>
      <c r="T79" s="170"/>
      <c r="U79" s="25"/>
      <c r="V79" s="26"/>
      <c r="W79" s="27"/>
      <c r="X79" s="28"/>
      <c r="Y79" s="29" t="s">
        <v>356</v>
      </c>
    </row>
    <row r="80" spans="1:25" ht="22.8" x14ac:dyDescent="0.15">
      <c r="A80" s="19">
        <f t="shared" si="1"/>
        <v>76</v>
      </c>
      <c r="B80" s="20"/>
      <c r="C80" s="20"/>
      <c r="D80" s="20"/>
      <c r="E80" s="95" t="s">
        <v>89</v>
      </c>
      <c r="F80" s="96" t="s">
        <v>337</v>
      </c>
      <c r="G80" s="119"/>
      <c r="H80" s="21"/>
      <c r="I80" s="22"/>
      <c r="J80" s="22"/>
      <c r="K80" s="23"/>
      <c r="L80" s="21"/>
      <c r="M80" s="24" t="s">
        <v>35</v>
      </c>
      <c r="N80" s="22"/>
      <c r="O80" s="24"/>
      <c r="P80" s="24"/>
      <c r="Q80" s="24"/>
      <c r="R80" s="99"/>
      <c r="S80" s="23"/>
      <c r="T80" s="170"/>
      <c r="U80" s="25"/>
      <c r="V80" s="26"/>
      <c r="W80" s="27"/>
      <c r="X80" s="28"/>
      <c r="Y80" s="29" t="s">
        <v>356</v>
      </c>
    </row>
    <row r="81" spans="1:25" ht="11.4" x14ac:dyDescent="0.15">
      <c r="A81" s="19">
        <f t="shared" si="1"/>
        <v>77</v>
      </c>
      <c r="B81" s="20"/>
      <c r="C81" s="20" t="s">
        <v>187</v>
      </c>
      <c r="D81" s="20"/>
      <c r="E81" s="95" t="s">
        <v>36</v>
      </c>
      <c r="F81" s="96" t="s">
        <v>37</v>
      </c>
      <c r="G81" s="119"/>
      <c r="H81" s="21"/>
      <c r="I81" s="22"/>
      <c r="J81" s="22"/>
      <c r="K81" s="23"/>
      <c r="L81" s="21"/>
      <c r="M81" s="24" t="s">
        <v>35</v>
      </c>
      <c r="N81" s="22"/>
      <c r="O81" s="24"/>
      <c r="P81" s="24"/>
      <c r="Q81" s="24"/>
      <c r="R81" s="99"/>
      <c r="S81" s="23"/>
      <c r="T81" s="170"/>
      <c r="U81" s="25"/>
      <c r="V81" s="26"/>
      <c r="W81" s="27"/>
      <c r="X81" s="28"/>
      <c r="Y81" s="29" t="s">
        <v>356</v>
      </c>
    </row>
    <row r="82" spans="1:25" ht="11.4" x14ac:dyDescent="0.15">
      <c r="A82" s="19">
        <f t="shared" si="1"/>
        <v>78</v>
      </c>
      <c r="B82" s="20"/>
      <c r="C82" s="20"/>
      <c r="D82" s="20"/>
      <c r="E82" s="95" t="s">
        <v>85</v>
      </c>
      <c r="F82" s="96" t="s">
        <v>37</v>
      </c>
      <c r="G82" s="119"/>
      <c r="H82" s="21"/>
      <c r="I82" s="22"/>
      <c r="J82" s="22"/>
      <c r="K82" s="23"/>
      <c r="L82" s="21"/>
      <c r="M82" s="24" t="s">
        <v>35</v>
      </c>
      <c r="N82" s="22"/>
      <c r="O82" s="24"/>
      <c r="P82" s="24"/>
      <c r="Q82" s="24"/>
      <c r="R82" s="99"/>
      <c r="S82" s="23"/>
      <c r="T82" s="170"/>
      <c r="U82" s="25"/>
      <c r="V82" s="26"/>
      <c r="W82" s="27"/>
      <c r="X82" s="28"/>
      <c r="Y82" s="29" t="s">
        <v>356</v>
      </c>
    </row>
    <row r="83" spans="1:25" ht="11.4" x14ac:dyDescent="0.15">
      <c r="A83" s="19">
        <f t="shared" si="1"/>
        <v>79</v>
      </c>
      <c r="B83" s="20"/>
      <c r="C83" s="20"/>
      <c r="D83" s="20"/>
      <c r="E83" s="95" t="s">
        <v>100</v>
      </c>
      <c r="F83" s="96" t="s">
        <v>37</v>
      </c>
      <c r="G83" s="119"/>
      <c r="H83" s="21"/>
      <c r="I83" s="22"/>
      <c r="J83" s="22"/>
      <c r="K83" s="23"/>
      <c r="L83" s="21"/>
      <c r="M83" s="24" t="s">
        <v>35</v>
      </c>
      <c r="N83" s="22"/>
      <c r="O83" s="24"/>
      <c r="P83" s="24"/>
      <c r="Q83" s="24"/>
      <c r="R83" s="99"/>
      <c r="S83" s="23"/>
      <c r="T83" s="170"/>
      <c r="U83" s="25"/>
      <c r="V83" s="26"/>
      <c r="W83" s="27"/>
      <c r="X83" s="28"/>
      <c r="Y83" s="29" t="s">
        <v>356</v>
      </c>
    </row>
    <row r="84" spans="1:25" ht="11.4" x14ac:dyDescent="0.15">
      <c r="A84" s="19">
        <f t="shared" si="1"/>
        <v>80</v>
      </c>
      <c r="B84" s="20"/>
      <c r="C84" s="20"/>
      <c r="D84" s="20"/>
      <c r="E84" s="95" t="s">
        <v>101</v>
      </c>
      <c r="F84" s="96" t="s">
        <v>88</v>
      </c>
      <c r="G84" s="119"/>
      <c r="H84" s="21"/>
      <c r="I84" s="22"/>
      <c r="J84" s="22"/>
      <c r="K84" s="23"/>
      <c r="L84" s="21"/>
      <c r="M84" s="24" t="s">
        <v>35</v>
      </c>
      <c r="N84" s="22"/>
      <c r="O84" s="24"/>
      <c r="P84" s="24"/>
      <c r="Q84" s="24"/>
      <c r="R84" s="99"/>
      <c r="S84" s="23"/>
      <c r="T84" s="170"/>
      <c r="U84" s="25"/>
      <c r="V84" s="26"/>
      <c r="W84" s="27"/>
      <c r="X84" s="28"/>
      <c r="Y84" s="29" t="s">
        <v>356</v>
      </c>
    </row>
    <row r="85" spans="1:25" ht="22.8" x14ac:dyDescent="0.15">
      <c r="A85" s="19">
        <f t="shared" si="1"/>
        <v>81</v>
      </c>
      <c r="B85" s="20"/>
      <c r="C85" s="20"/>
      <c r="D85" s="20"/>
      <c r="E85" s="95" t="s">
        <v>89</v>
      </c>
      <c r="F85" s="96" t="s">
        <v>338</v>
      </c>
      <c r="G85" s="119"/>
      <c r="H85" s="21"/>
      <c r="I85" s="22"/>
      <c r="J85" s="22"/>
      <c r="K85" s="23"/>
      <c r="L85" s="21"/>
      <c r="M85" s="24" t="s">
        <v>35</v>
      </c>
      <c r="N85" s="22"/>
      <c r="O85" s="24"/>
      <c r="P85" s="24"/>
      <c r="Q85" s="24"/>
      <c r="R85" s="99"/>
      <c r="S85" s="23"/>
      <c r="T85" s="170"/>
      <c r="U85" s="25"/>
      <c r="V85" s="26"/>
      <c r="W85" s="27"/>
      <c r="X85" s="28"/>
      <c r="Y85" s="29" t="s">
        <v>356</v>
      </c>
    </row>
    <row r="86" spans="1:25" ht="11.4" x14ac:dyDescent="0.15">
      <c r="A86" s="19">
        <f t="shared" si="1"/>
        <v>82</v>
      </c>
      <c r="B86" s="20"/>
      <c r="C86" s="20" t="s">
        <v>188</v>
      </c>
      <c r="D86" s="20"/>
      <c r="E86" s="95" t="s">
        <v>36</v>
      </c>
      <c r="F86" s="96" t="s">
        <v>37</v>
      </c>
      <c r="G86" s="119"/>
      <c r="H86" s="21"/>
      <c r="I86" s="22"/>
      <c r="J86" s="22"/>
      <c r="K86" s="23"/>
      <c r="L86" s="21"/>
      <c r="M86" s="24" t="s">
        <v>35</v>
      </c>
      <c r="N86" s="22"/>
      <c r="O86" s="24"/>
      <c r="P86" s="24"/>
      <c r="Q86" s="24"/>
      <c r="R86" s="99"/>
      <c r="S86" s="23"/>
      <c r="T86" s="170"/>
      <c r="U86" s="25"/>
      <c r="V86" s="26"/>
      <c r="W86" s="27"/>
      <c r="X86" s="28"/>
      <c r="Y86" s="29" t="s">
        <v>356</v>
      </c>
    </row>
    <row r="87" spans="1:25" ht="11.4" x14ac:dyDescent="0.15">
      <c r="A87" s="19">
        <f t="shared" si="1"/>
        <v>83</v>
      </c>
      <c r="B87" s="20"/>
      <c r="C87" s="20"/>
      <c r="D87" s="20"/>
      <c r="E87" s="95" t="s">
        <v>85</v>
      </c>
      <c r="F87" s="96" t="s">
        <v>37</v>
      </c>
      <c r="G87" s="119"/>
      <c r="H87" s="21"/>
      <c r="I87" s="22"/>
      <c r="J87" s="22"/>
      <c r="K87" s="23"/>
      <c r="L87" s="21"/>
      <c r="M87" s="24" t="s">
        <v>35</v>
      </c>
      <c r="N87" s="22"/>
      <c r="O87" s="24"/>
      <c r="P87" s="24"/>
      <c r="Q87" s="24"/>
      <c r="R87" s="99"/>
      <c r="S87" s="23"/>
      <c r="T87" s="170"/>
      <c r="U87" s="25"/>
      <c r="V87" s="26"/>
      <c r="W87" s="27"/>
      <c r="X87" s="28"/>
      <c r="Y87" s="29" t="s">
        <v>356</v>
      </c>
    </row>
    <row r="88" spans="1:25" ht="11.4" x14ac:dyDescent="0.15">
      <c r="A88" s="19">
        <f t="shared" si="1"/>
        <v>84</v>
      </c>
      <c r="B88" s="20"/>
      <c r="C88" s="20"/>
      <c r="D88" s="20"/>
      <c r="E88" s="95" t="s">
        <v>102</v>
      </c>
      <c r="F88" s="96" t="s">
        <v>37</v>
      </c>
      <c r="G88" s="119"/>
      <c r="H88" s="21"/>
      <c r="I88" s="22"/>
      <c r="J88" s="22"/>
      <c r="K88" s="23"/>
      <c r="L88" s="21"/>
      <c r="M88" s="24" t="s">
        <v>35</v>
      </c>
      <c r="N88" s="22"/>
      <c r="O88" s="24"/>
      <c r="P88" s="24"/>
      <c r="Q88" s="24"/>
      <c r="R88" s="99"/>
      <c r="S88" s="23"/>
      <c r="T88" s="170"/>
      <c r="U88" s="25"/>
      <c r="V88" s="26"/>
      <c r="W88" s="27"/>
      <c r="X88" s="28"/>
      <c r="Y88" s="29" t="s">
        <v>356</v>
      </c>
    </row>
    <row r="89" spans="1:25" ht="11.4" x14ac:dyDescent="0.15">
      <c r="A89" s="19">
        <f t="shared" si="1"/>
        <v>85</v>
      </c>
      <c r="B89" s="20"/>
      <c r="C89" s="20"/>
      <c r="D89" s="20"/>
      <c r="E89" s="95" t="s">
        <v>103</v>
      </c>
      <c r="F89" s="96" t="s">
        <v>88</v>
      </c>
      <c r="G89" s="119"/>
      <c r="H89" s="21"/>
      <c r="I89" s="22"/>
      <c r="J89" s="22"/>
      <c r="K89" s="23"/>
      <c r="L89" s="21"/>
      <c r="M89" s="24" t="s">
        <v>35</v>
      </c>
      <c r="N89" s="22"/>
      <c r="O89" s="24"/>
      <c r="P89" s="24"/>
      <c r="Q89" s="24"/>
      <c r="R89" s="99"/>
      <c r="S89" s="23"/>
      <c r="T89" s="170"/>
      <c r="U89" s="25"/>
      <c r="V89" s="26"/>
      <c r="W89" s="27"/>
      <c r="X89" s="28"/>
      <c r="Y89" s="29" t="s">
        <v>356</v>
      </c>
    </row>
    <row r="90" spans="1:25" ht="22.8" x14ac:dyDescent="0.15">
      <c r="A90" s="19">
        <f t="shared" si="1"/>
        <v>86</v>
      </c>
      <c r="B90" s="20"/>
      <c r="C90" s="20"/>
      <c r="D90" s="20"/>
      <c r="E90" s="95" t="s">
        <v>89</v>
      </c>
      <c r="F90" s="96" t="s">
        <v>339</v>
      </c>
      <c r="G90" s="119"/>
      <c r="H90" s="21"/>
      <c r="I90" s="22"/>
      <c r="J90" s="22"/>
      <c r="K90" s="23"/>
      <c r="L90" s="21"/>
      <c r="M90" s="24" t="s">
        <v>35</v>
      </c>
      <c r="N90" s="22"/>
      <c r="O90" s="24"/>
      <c r="P90" s="24"/>
      <c r="Q90" s="24"/>
      <c r="R90" s="99"/>
      <c r="S90" s="23"/>
      <c r="T90" s="170"/>
      <c r="U90" s="25"/>
      <c r="V90" s="26"/>
      <c r="W90" s="27"/>
      <c r="X90" s="28"/>
      <c r="Y90" s="29" t="s">
        <v>356</v>
      </c>
    </row>
    <row r="91" spans="1:25" ht="11.4" x14ac:dyDescent="0.15">
      <c r="A91" s="19">
        <f t="shared" si="1"/>
        <v>87</v>
      </c>
      <c r="B91" s="20"/>
      <c r="C91" s="20" t="s">
        <v>189</v>
      </c>
      <c r="D91" s="20"/>
      <c r="E91" s="95" t="s">
        <v>36</v>
      </c>
      <c r="F91" s="96" t="s">
        <v>37</v>
      </c>
      <c r="G91" s="119"/>
      <c r="H91" s="21"/>
      <c r="I91" s="22"/>
      <c r="J91" s="22"/>
      <c r="K91" s="23"/>
      <c r="L91" s="21"/>
      <c r="M91" s="24" t="s">
        <v>35</v>
      </c>
      <c r="N91" s="22"/>
      <c r="O91" s="24"/>
      <c r="P91" s="24"/>
      <c r="Q91" s="24"/>
      <c r="R91" s="99"/>
      <c r="S91" s="23"/>
      <c r="T91" s="170"/>
      <c r="U91" s="25"/>
      <c r="V91" s="26"/>
      <c r="W91" s="27"/>
      <c r="X91" s="28"/>
      <c r="Y91" s="29" t="s">
        <v>356</v>
      </c>
    </row>
    <row r="92" spans="1:25" ht="11.4" x14ac:dyDescent="0.15">
      <c r="A92" s="19">
        <f t="shared" si="1"/>
        <v>88</v>
      </c>
      <c r="B92" s="20"/>
      <c r="C92" s="20"/>
      <c r="D92" s="20"/>
      <c r="E92" s="95" t="s">
        <v>85</v>
      </c>
      <c r="F92" s="96" t="s">
        <v>37</v>
      </c>
      <c r="G92" s="119"/>
      <c r="H92" s="21"/>
      <c r="I92" s="22"/>
      <c r="J92" s="22"/>
      <c r="K92" s="23"/>
      <c r="L92" s="21"/>
      <c r="M92" s="24" t="s">
        <v>35</v>
      </c>
      <c r="N92" s="22"/>
      <c r="O92" s="24"/>
      <c r="P92" s="24"/>
      <c r="Q92" s="24"/>
      <c r="R92" s="99"/>
      <c r="S92" s="23"/>
      <c r="T92" s="170"/>
      <c r="U92" s="25"/>
      <c r="V92" s="26"/>
      <c r="W92" s="27"/>
      <c r="X92" s="28"/>
      <c r="Y92" s="29" t="s">
        <v>356</v>
      </c>
    </row>
    <row r="93" spans="1:25" ht="11.4" x14ac:dyDescent="0.15">
      <c r="A93" s="19">
        <f t="shared" si="1"/>
        <v>89</v>
      </c>
      <c r="B93" s="20"/>
      <c r="C93" s="20"/>
      <c r="D93" s="20"/>
      <c r="E93" s="95" t="s">
        <v>102</v>
      </c>
      <c r="F93" s="96" t="s">
        <v>37</v>
      </c>
      <c r="G93" s="119"/>
      <c r="H93" s="21"/>
      <c r="I93" s="22"/>
      <c r="J93" s="22"/>
      <c r="K93" s="23"/>
      <c r="L93" s="21"/>
      <c r="M93" s="24" t="s">
        <v>35</v>
      </c>
      <c r="N93" s="22"/>
      <c r="O93" s="24"/>
      <c r="P93" s="24"/>
      <c r="Q93" s="24"/>
      <c r="R93" s="99"/>
      <c r="S93" s="23"/>
      <c r="T93" s="170"/>
      <c r="U93" s="25"/>
      <c r="V93" s="26"/>
      <c r="W93" s="27"/>
      <c r="X93" s="28"/>
      <c r="Y93" s="29" t="s">
        <v>356</v>
      </c>
    </row>
    <row r="94" spans="1:25" ht="11.4" x14ac:dyDescent="0.15">
      <c r="A94" s="19">
        <f t="shared" si="1"/>
        <v>90</v>
      </c>
      <c r="B94" s="20"/>
      <c r="C94" s="20"/>
      <c r="D94" s="20"/>
      <c r="E94" s="95" t="s">
        <v>104</v>
      </c>
      <c r="F94" s="96" t="s">
        <v>88</v>
      </c>
      <c r="G94" s="119"/>
      <c r="H94" s="21"/>
      <c r="I94" s="22"/>
      <c r="J94" s="22"/>
      <c r="K94" s="23"/>
      <c r="L94" s="21"/>
      <c r="M94" s="24" t="s">
        <v>35</v>
      </c>
      <c r="N94" s="22"/>
      <c r="O94" s="24"/>
      <c r="P94" s="24"/>
      <c r="Q94" s="24"/>
      <c r="R94" s="99"/>
      <c r="S94" s="23"/>
      <c r="T94" s="170"/>
      <c r="U94" s="25"/>
      <c r="V94" s="26"/>
      <c r="W94" s="27"/>
      <c r="X94" s="28"/>
      <c r="Y94" s="29" t="s">
        <v>356</v>
      </c>
    </row>
    <row r="95" spans="1:25" ht="22.8" x14ac:dyDescent="0.15">
      <c r="A95" s="19">
        <f t="shared" si="1"/>
        <v>91</v>
      </c>
      <c r="B95" s="20"/>
      <c r="C95" s="20"/>
      <c r="D95" s="20"/>
      <c r="E95" s="95" t="s">
        <v>89</v>
      </c>
      <c r="F95" s="96" t="s">
        <v>340</v>
      </c>
      <c r="G95" s="129"/>
      <c r="H95" s="21"/>
      <c r="I95" s="22"/>
      <c r="J95" s="22"/>
      <c r="K95" s="23"/>
      <c r="L95" s="21"/>
      <c r="M95" s="24" t="s">
        <v>35</v>
      </c>
      <c r="N95" s="22"/>
      <c r="O95" s="24"/>
      <c r="P95" s="24"/>
      <c r="Q95" s="24"/>
      <c r="R95" s="99"/>
      <c r="S95" s="23"/>
      <c r="T95" s="170"/>
      <c r="U95" s="25"/>
      <c r="V95" s="26"/>
      <c r="W95" s="27"/>
      <c r="X95" s="28"/>
      <c r="Y95" s="29" t="s">
        <v>356</v>
      </c>
    </row>
    <row r="96" spans="1:25" s="3" customFormat="1" ht="12" customHeight="1" x14ac:dyDescent="0.25">
      <c r="A96" s="32"/>
      <c r="B96" s="33"/>
      <c r="C96" s="34"/>
      <c r="D96" s="34"/>
      <c r="E96" s="33"/>
      <c r="F96" s="35" t="s">
        <v>109</v>
      </c>
      <c r="G96" s="126"/>
      <c r="H96" s="36">
        <f>COUNTIF(H5:H95,"●")</f>
        <v>0</v>
      </c>
      <c r="I96" s="36">
        <f t="shared" ref="I96:S96" si="2">COUNTIF(I5:I95,"●")</f>
        <v>0</v>
      </c>
      <c r="J96" s="36">
        <f t="shared" si="2"/>
        <v>0</v>
      </c>
      <c r="K96" s="36">
        <f t="shared" si="2"/>
        <v>0</v>
      </c>
      <c r="L96" s="36">
        <f t="shared" si="2"/>
        <v>0</v>
      </c>
      <c r="M96" s="36">
        <f t="shared" si="2"/>
        <v>13</v>
      </c>
      <c r="N96" s="36">
        <f t="shared" si="2"/>
        <v>0</v>
      </c>
      <c r="O96" s="36">
        <f t="shared" si="2"/>
        <v>3</v>
      </c>
      <c r="P96" s="36">
        <f t="shared" si="2"/>
        <v>0</v>
      </c>
      <c r="Q96" s="36">
        <f t="shared" si="2"/>
        <v>0</v>
      </c>
      <c r="R96" s="36">
        <f t="shared" si="2"/>
        <v>0</v>
      </c>
      <c r="S96" s="36">
        <f t="shared" si="2"/>
        <v>0</v>
      </c>
      <c r="T96" s="172"/>
      <c r="U96" s="209" t="s">
        <v>110</v>
      </c>
      <c r="V96" s="209"/>
      <c r="W96" s="210"/>
      <c r="X96" s="39" t="s">
        <v>111</v>
      </c>
      <c r="Y96" s="40">
        <f>SUM(H96:S96)</f>
        <v>16</v>
      </c>
    </row>
    <row r="97" spans="1:25" s="3" customFormat="1" ht="12" customHeight="1" x14ac:dyDescent="0.25">
      <c r="A97" s="41"/>
      <c r="B97" s="42" t="s">
        <v>112</v>
      </c>
      <c r="C97" s="43">
        <f>Y98</f>
        <v>16</v>
      </c>
      <c r="D97" s="43"/>
      <c r="E97" s="42"/>
      <c r="F97" s="44" t="s">
        <v>113</v>
      </c>
      <c r="G97" s="126"/>
      <c r="H97" s="45">
        <f>COUNTIF(H5:H95,"×")</f>
        <v>0</v>
      </c>
      <c r="I97" s="45">
        <f t="shared" ref="I97:S97" si="3">COUNTIF(I5:I95,"×")</f>
        <v>0</v>
      </c>
      <c r="J97" s="45">
        <f t="shared" si="3"/>
        <v>0</v>
      </c>
      <c r="K97" s="45">
        <f t="shared" si="3"/>
        <v>0</v>
      </c>
      <c r="L97" s="45">
        <f t="shared" si="3"/>
        <v>0</v>
      </c>
      <c r="M97" s="45">
        <f t="shared" si="3"/>
        <v>0</v>
      </c>
      <c r="N97" s="45">
        <f t="shared" si="3"/>
        <v>0</v>
      </c>
      <c r="O97" s="45">
        <f t="shared" si="3"/>
        <v>0</v>
      </c>
      <c r="P97" s="45">
        <f t="shared" si="3"/>
        <v>0</v>
      </c>
      <c r="Q97" s="45">
        <f t="shared" si="3"/>
        <v>0</v>
      </c>
      <c r="R97" s="45">
        <f t="shared" si="3"/>
        <v>0</v>
      </c>
      <c r="S97" s="45">
        <f t="shared" si="3"/>
        <v>0</v>
      </c>
      <c r="T97" s="173"/>
      <c r="U97" s="211"/>
      <c r="V97" s="211"/>
      <c r="W97" s="212"/>
      <c r="X97" s="49" t="s">
        <v>111</v>
      </c>
      <c r="Y97" s="50">
        <f t="shared" ref="Y97:Y99" si="4">SUM(H97:S97)</f>
        <v>0</v>
      </c>
    </row>
    <row r="98" spans="1:25" s="3" customFormat="1" ht="12" customHeight="1" x14ac:dyDescent="0.25">
      <c r="A98" s="51" t="s">
        <v>114</v>
      </c>
      <c r="B98" s="52"/>
      <c r="C98" s="53"/>
      <c r="D98" s="53"/>
      <c r="E98" s="52"/>
      <c r="F98" s="54" t="s">
        <v>115</v>
      </c>
      <c r="G98" s="126"/>
      <c r="H98" s="45">
        <f t="shared" ref="H98:S98" si="5">H96+H97</f>
        <v>0</v>
      </c>
      <c r="I98" s="45">
        <f t="shared" si="5"/>
        <v>0</v>
      </c>
      <c r="J98" s="45">
        <f t="shared" si="5"/>
        <v>0</v>
      </c>
      <c r="K98" s="45">
        <f t="shared" si="5"/>
        <v>0</v>
      </c>
      <c r="L98" s="45">
        <f t="shared" si="5"/>
        <v>0</v>
      </c>
      <c r="M98" s="45">
        <f t="shared" si="5"/>
        <v>13</v>
      </c>
      <c r="N98" s="45">
        <f t="shared" si="5"/>
        <v>0</v>
      </c>
      <c r="O98" s="45">
        <f t="shared" si="5"/>
        <v>3</v>
      </c>
      <c r="P98" s="45">
        <f t="shared" si="5"/>
        <v>0</v>
      </c>
      <c r="Q98" s="45">
        <f t="shared" si="5"/>
        <v>0</v>
      </c>
      <c r="R98" s="45">
        <f t="shared" si="5"/>
        <v>0</v>
      </c>
      <c r="S98" s="45">
        <f t="shared" si="5"/>
        <v>0</v>
      </c>
      <c r="T98" s="235"/>
      <c r="U98" s="223">
        <f>COUNTA(U5:U95)</f>
        <v>16</v>
      </c>
      <c r="V98" s="225">
        <f>COUNTA(V5:V95)</f>
        <v>0</v>
      </c>
      <c r="W98" s="227">
        <f>COUNTA(W5:W95)</f>
        <v>0</v>
      </c>
      <c r="X98" s="55" t="s">
        <v>111</v>
      </c>
      <c r="Y98" s="50">
        <f t="shared" si="4"/>
        <v>16</v>
      </c>
    </row>
    <row r="99" spans="1:25" s="3" customFormat="1" ht="12" customHeight="1" x14ac:dyDescent="0.25">
      <c r="A99" s="56"/>
      <c r="B99" s="57" t="s">
        <v>116</v>
      </c>
      <c r="C99" s="58">
        <f>Y99</f>
        <v>89</v>
      </c>
      <c r="D99" s="58"/>
      <c r="E99" s="57"/>
      <c r="F99" s="59" t="s">
        <v>117</v>
      </c>
      <c r="G99" s="128"/>
      <c r="H99" s="60">
        <f>COUNTA(H5:H95)</f>
        <v>0</v>
      </c>
      <c r="I99" s="60">
        <f t="shared" ref="I99:S99" si="6">COUNTA(I5:I95)</f>
        <v>0</v>
      </c>
      <c r="J99" s="60">
        <f t="shared" si="6"/>
        <v>0</v>
      </c>
      <c r="K99" s="60">
        <f t="shared" si="6"/>
        <v>0</v>
      </c>
      <c r="L99" s="60">
        <f t="shared" si="6"/>
        <v>0</v>
      </c>
      <c r="M99" s="60">
        <f t="shared" si="6"/>
        <v>84</v>
      </c>
      <c r="N99" s="60">
        <f t="shared" si="6"/>
        <v>0</v>
      </c>
      <c r="O99" s="60">
        <f t="shared" si="6"/>
        <v>5</v>
      </c>
      <c r="P99" s="60">
        <f t="shared" si="6"/>
        <v>0</v>
      </c>
      <c r="Q99" s="60">
        <f t="shared" si="6"/>
        <v>0</v>
      </c>
      <c r="R99" s="60">
        <f t="shared" si="6"/>
        <v>0</v>
      </c>
      <c r="S99" s="60">
        <f t="shared" si="6"/>
        <v>0</v>
      </c>
      <c r="T99" s="236"/>
      <c r="U99" s="224"/>
      <c r="V99" s="226"/>
      <c r="W99" s="228"/>
      <c r="X99" s="64" t="s">
        <v>111</v>
      </c>
      <c r="Y99" s="65">
        <f t="shared" si="4"/>
        <v>89</v>
      </c>
    </row>
    <row r="100" spans="1:25" ht="9" customHeight="1" x14ac:dyDescent="0.15">
      <c r="G100" s="131"/>
    </row>
    <row r="101" spans="1:25" ht="9" customHeight="1" x14ac:dyDescent="0.15">
      <c r="G101" s="131"/>
    </row>
    <row r="102" spans="1:25" ht="9" customHeight="1" x14ac:dyDescent="0.15">
      <c r="G102" s="131"/>
    </row>
    <row r="103" spans="1:25" ht="9" customHeight="1" x14ac:dyDescent="0.15">
      <c r="G103" s="131"/>
    </row>
    <row r="104" spans="1:25" ht="9" customHeight="1" x14ac:dyDescent="0.15">
      <c r="G104" s="131"/>
    </row>
    <row r="105" spans="1:25" ht="9" customHeight="1" x14ac:dyDescent="0.15">
      <c r="G105" s="131"/>
    </row>
    <row r="106" spans="1:25" ht="9" customHeight="1" x14ac:dyDescent="0.15">
      <c r="G106" s="131"/>
    </row>
    <row r="107" spans="1:25" ht="9" customHeight="1" x14ac:dyDescent="0.15">
      <c r="G107" s="131"/>
    </row>
    <row r="108" spans="1:25" ht="9" customHeight="1" x14ac:dyDescent="0.15">
      <c r="G108" s="131"/>
    </row>
    <row r="109" spans="1:25" ht="9" customHeight="1" x14ac:dyDescent="0.15">
      <c r="G109" s="131"/>
    </row>
    <row r="110" spans="1:25" ht="9" customHeight="1" x14ac:dyDescent="0.15">
      <c r="G110" s="131"/>
    </row>
    <row r="111" spans="1:25" ht="9" customHeight="1" x14ac:dyDescent="0.15">
      <c r="G111" s="131"/>
    </row>
    <row r="112" spans="1:25" ht="9" customHeight="1" x14ac:dyDescent="0.15">
      <c r="G112" s="131"/>
    </row>
    <row r="113" spans="7:7" ht="9" customHeight="1" x14ac:dyDescent="0.15">
      <c r="G113" s="131"/>
    </row>
    <row r="114" spans="7:7" ht="9" customHeight="1" x14ac:dyDescent="0.15">
      <c r="G114" s="131"/>
    </row>
    <row r="115" spans="7:7" ht="9" customHeight="1" x14ac:dyDescent="0.15">
      <c r="G115" s="131"/>
    </row>
    <row r="116" spans="7:7" ht="9" customHeight="1" x14ac:dyDescent="0.15">
      <c r="G116" s="131"/>
    </row>
    <row r="117" spans="7:7" ht="9" customHeight="1" x14ac:dyDescent="0.15">
      <c r="G117" s="131"/>
    </row>
    <row r="118" spans="7:7" ht="9" customHeight="1" x14ac:dyDescent="0.15">
      <c r="G118" s="131"/>
    </row>
    <row r="119" spans="7:7" ht="9" customHeight="1" x14ac:dyDescent="0.15">
      <c r="G119" s="131"/>
    </row>
    <row r="120" spans="7:7" ht="9" customHeight="1" x14ac:dyDescent="0.15">
      <c r="G120" s="131"/>
    </row>
    <row r="121" spans="7:7" ht="9" customHeight="1" x14ac:dyDescent="0.15">
      <c r="G121" s="131"/>
    </row>
    <row r="122" spans="7:7" ht="9" customHeight="1" x14ac:dyDescent="0.15">
      <c r="G122" s="132"/>
    </row>
    <row r="123" spans="7:7" ht="9" customHeight="1" x14ac:dyDescent="0.15">
      <c r="G123" s="131"/>
    </row>
    <row r="124" spans="7:7" ht="9" customHeight="1" x14ac:dyDescent="0.15">
      <c r="G124" s="131"/>
    </row>
    <row r="125" spans="7:7" ht="9" customHeight="1" x14ac:dyDescent="0.15">
      <c r="G125" s="131"/>
    </row>
    <row r="126" spans="7:7" ht="9" customHeight="1" x14ac:dyDescent="0.15">
      <c r="G126" s="131"/>
    </row>
    <row r="127" spans="7:7" ht="9" customHeight="1" x14ac:dyDescent="0.15">
      <c r="G127" s="131"/>
    </row>
    <row r="128" spans="7:7" ht="9" customHeight="1" x14ac:dyDescent="0.15">
      <c r="G128" s="131"/>
    </row>
    <row r="129" spans="7:7" ht="9" customHeight="1" x14ac:dyDescent="0.15">
      <c r="G129" s="131"/>
    </row>
    <row r="130" spans="7:7" ht="9" customHeight="1" x14ac:dyDescent="0.15">
      <c r="G130" s="131"/>
    </row>
    <row r="131" spans="7:7" ht="9" customHeight="1" x14ac:dyDescent="0.15">
      <c r="G131" s="131"/>
    </row>
    <row r="132" spans="7:7" ht="9" customHeight="1" x14ac:dyDescent="0.15">
      <c r="G132" s="133"/>
    </row>
    <row r="133" spans="7:7" ht="9" customHeight="1" x14ac:dyDescent="0.15">
      <c r="G133" s="133"/>
    </row>
    <row r="134" spans="7:7" ht="9" customHeight="1" x14ac:dyDescent="0.15">
      <c r="G134" s="133"/>
    </row>
    <row r="135" spans="7:7" ht="9" customHeight="1" x14ac:dyDescent="0.15">
      <c r="G135" s="133"/>
    </row>
    <row r="138" spans="7:7" ht="9" customHeight="1" x14ac:dyDescent="0.15">
      <c r="G138" s="127"/>
    </row>
    <row r="139" spans="7:7" ht="9" customHeight="1" x14ac:dyDescent="0.15">
      <c r="G139" s="127"/>
    </row>
    <row r="140" spans="7:7" ht="9" customHeight="1" x14ac:dyDescent="0.15">
      <c r="G140" s="127"/>
    </row>
    <row r="141" spans="7:7" ht="9" customHeight="1" x14ac:dyDescent="0.15">
      <c r="G141" s="127"/>
    </row>
  </sheetData>
  <mergeCells count="18">
    <mergeCell ref="F3:F4"/>
    <mergeCell ref="H3:K3"/>
    <mergeCell ref="L3:S3"/>
    <mergeCell ref="G3:G4"/>
    <mergeCell ref="U96:W97"/>
    <mergeCell ref="A3:A4"/>
    <mergeCell ref="B3:B4"/>
    <mergeCell ref="C3:C4"/>
    <mergeCell ref="E3:E4"/>
    <mergeCell ref="D3:D4"/>
    <mergeCell ref="V98:V99"/>
    <mergeCell ref="W98:W99"/>
    <mergeCell ref="T98:T99"/>
    <mergeCell ref="T3:T4"/>
    <mergeCell ref="Y3:Y4"/>
    <mergeCell ref="U3:W3"/>
    <mergeCell ref="X3:X4"/>
    <mergeCell ref="U98:U99"/>
  </mergeCells>
  <phoneticPr fontId="11"/>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F9C8E1C-FCF0-46D7-B48C-FD12363B19B5}"/>
</file>

<file path=customXml/itemProps2.xml><?xml version="1.0" encoding="utf-8"?>
<ds:datastoreItem xmlns:ds="http://schemas.openxmlformats.org/officeDocument/2006/customXml" ds:itemID="{C3B1A985-4E3A-417E-9A69-802E3198C712}">
  <ds:schemaRefs>
    <ds:schemaRef ds:uri="http://schemas.microsoft.com/office/infopath/2007/PartnerControls"/>
    <ds:schemaRef ds:uri="http://schemas.microsoft.com/office/2006/metadata/properties"/>
    <ds:schemaRef ds:uri="http://purl.org/dc/dcmitype/"/>
    <ds:schemaRef ds:uri="http://www.w3.org/XML/1998/namespace"/>
    <ds:schemaRef ds:uri="http://purl.org/dc/elements/1.1/"/>
    <ds:schemaRef ds:uri="http://schemas.microsoft.com/office/2006/documentManagement/types"/>
    <ds:schemaRef ds:uri="http://purl.org/dc/terms/"/>
    <ds:schemaRef ds:uri="http://schemas.openxmlformats.org/package/2006/metadata/core-properties"/>
    <ds:schemaRef ds:uri="55b7a9d6-bcaa-4a9d-b1c7-8801531a7bf3"/>
    <ds:schemaRef ds:uri="e85bf11c-610f-4c75-b4c1-3f2e492bcdf6"/>
  </ds:schemaRefs>
</ds:datastoreItem>
</file>

<file path=customXml/itemProps3.xml><?xml version="1.0" encoding="utf-8"?>
<ds:datastoreItem xmlns:ds="http://schemas.openxmlformats.org/officeDocument/2006/customXml" ds:itemID="{967336F9-942E-4263-90AB-19E036EC509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ST仕様書表紙</vt:lpstr>
      <vt:lpstr>性能テスト(ignicaPOS連携プログラム適用前)</vt:lpstr>
      <vt:lpstr>性能テスト(ignicaPOS連携プログラム適用後)</vt:lpstr>
      <vt:lpstr>負荷テスト</vt:lpstr>
      <vt:lpstr>ストレステスト</vt:lpstr>
      <vt:lpstr>信頼性テスト</vt:lpstr>
      <vt:lpstr>ST仕様書表紙!Print_Area</vt:lpstr>
      <vt:lpstr>ストレステスト!Print_Area</vt:lpstr>
      <vt:lpstr>信頼性テスト!Print_Area</vt:lpstr>
      <vt:lpstr>'性能テスト(ignicaPOS連携プログラム適用後)'!Print_Area</vt:lpstr>
      <vt:lpstr>'性能テスト(ignicaPOS連携プログラム適用前)'!Print_Area</vt:lpstr>
      <vt:lpstr>負荷テスト!Print_Area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Ozawa, Risako/小澤 りさ子</cp:lastModifiedBy>
  <cp:revision/>
  <dcterms:created xsi:type="dcterms:W3CDTF">1997-07-11T07:53:19Z</dcterms:created>
  <dcterms:modified xsi:type="dcterms:W3CDTF">2025-01-30T02:56:15Z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