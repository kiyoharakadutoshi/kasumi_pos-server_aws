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24" documentId="13_ncr:1_{83417ED8-4D23-47BB-99B2-FB19FA0558F2}" xr6:coauthVersionLast="47" xr6:coauthVersionMax="47" xr10:uidLastSave="{877D3055-BECE-4B6B-911A-A148670CCB42}"/>
  <bookViews>
    <workbookView xWindow="-96" yWindow="-96" windowWidth="23232" windowHeight="12696" tabRatio="789" activeTab="6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 concurrentManualCount="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<sst xmlns="http://schemas.openxmlformats.org/spreadsheetml/2006/main" count="1653" uniqueCount="395">
  <si>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</si>
  <si>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</si>
  <si>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</si>
  <si>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</si>
  <si>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</si>
  <si>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</si>
  <si>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</si>
  <si>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</si>
  <si>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</si>
  <si>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</si>
  <si>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</si>
  <si>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</si>
  <si>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</si>
  <si>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</si>
  <si>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</si>
  <si>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</si>
  <si>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</si>
  <si>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</si>
  <si>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</si>
  <si>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</si>
  <si>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</si>
  <si>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</si>
  <si>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</si>
  <si>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</si>
  <si>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</si>
  <si>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</si>
  <si>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</si>
  <si>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</si>
  <si>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</si>
  <si>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</si>
  <si>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</si>
  <si>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</si>
  <si>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</si>
  <si>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</si>
  <si>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</si>
  <si>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</si>
  <si>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</si>
  <si>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</si>
  <si>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</si>
  <si>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</si>
  <si>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</si>
  <si>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</si>
  <si>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</si>
  <si>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</si>
  <si>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</si>
  <si>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</si>
  <si>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</si>
  <si>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</si>
  <si>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</si>
  <si>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</si>
  <si>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</si>
  <si>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</si>
  <si>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</si>
  <si>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</si>
  <si>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</si>
  <si>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</si>
  <si>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</si>
  <si>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</si>
  <si>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</si>
  <si>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</si>
  <si>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</si>
  <si>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</si>
  <si>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</si>
  <si>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</si>
  <si>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</si>
  <si>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</si>
  <si>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</si>
  <si>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</si>
  <si>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</si>
  <si>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</si>
  <si>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</si>
  <si>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</si>
  <si>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</si>
  <si>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</si>
  <si>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</si>
  <si>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</si>
  <si>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</si>
  <si>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</si>
  <si>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</si>
  <si>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</si>
  <si>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</si>
  <si>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</si>
  <si>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</si>
  <si>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</si>
  <si>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</si>
  <si>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</si>
  <si>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</si>
  <si>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</si>
  <si>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</si>
  <si>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</si>
  <si>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</si>
  <si>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</si>
  <si>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</si>
  <si>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</si>
  <si>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</si>
  <si>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</si>
  <si>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</si>
  <si>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</si>
  <si>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</si>
  <si>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</si>
  <si>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</si>
  <si>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</si>
  <si>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</si>
  <si>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</si>
  <si>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</si>
  <si>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</si>
  <si>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</si>
  <si>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</si>
  <si>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</si>
  <si>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</si>
  <si>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</si>
  <si>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</si>
  <si>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</si>
  <si>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</si>
  <si>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</si>
  <si>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</si>
  <si>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</si>
  <si>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</si>
  <si>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</si>
  <si>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</si>
  <si>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</si>
  <si>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</si>
  <si>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</si>
  <si>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</si>
  <si>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</si>
  <si>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</si>
  <si>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</si>
  <si>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</si>
  <si>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</si>
  <si>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</si>
  <si>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</si>
  <si>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</si>
  <si>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</si>
  <si>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</si>
  <si>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</si>
  <si>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</si>
  <si>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</si>
  <si>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</si>
  <si>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</si>
  <si>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</si>
  <si>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</si>
  <si>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</si>
  <si>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</si>
  <si>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</si>
  <si>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</si>
  <si>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</si>
  <si>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</si>
  <si>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</si>
  <si>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</si>
  <si>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</si>
  <si>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</si>
  <si>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</si>
  <si>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</si>
  <si>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</si>
  <si>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</si>
  <si>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</si>
  <si>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</si>
  <si>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</si>
  <si>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</si>
  <si>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</si>
  <si>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</si>
  <si>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</si>
  <si>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</si>
  <si>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</si>
  <si>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</si>
  <si>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</si>
  <si>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</si>
  <si>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</si>
  <si>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</si>
  <si>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</si>
  <si>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</si>
  <si>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</si>
  <si>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</si>
  <si>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</si>
  <si>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</si>
  <si>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</si>
  <si>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</si>
  <si>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</si>
  <si>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</si>
  <si>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</si>
  <si>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</si>
  <si>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</si>
  <si>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</si>
  <si>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</si>
  <si>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</si>
  <si>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</si>
  <si>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</si>
  <si>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</si>
  <si>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</si>
  <si>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</si>
  <si>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</si>
  <si>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</si>
  <si>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</si>
  <si>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</si>
  <si>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</si>
  <si>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</si>
  <si>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</si>
  <si>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</si>
  <si>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</si>
  <si>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</si>
  <si>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</si>
  <si>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</si>
  <si>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</si>
  <si>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</si>
  <si>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</si>
  <si>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</si>
  <si>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</si>
  <si>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</si>
  <si>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</si>
  <si>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</si>
  <si>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</si>
  <si>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</si>
  <si>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</si>
  <si>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</si>
  <si>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</si>
  <si>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</si>
  <si>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</si>
  <si>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</si>
  <si>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</si>
  <si>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</si>
  <si>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</si>
  <si>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</si>
  <si>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</si>
  <si>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</si>
  <si>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</si>
  <si>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</si>
  <si>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</si>
  <si>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</si>
  <si>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</si>
  <si>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</si>
  <si>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</si>
  <si>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</si>
  <si>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</si>
  <si>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</si>
  <si>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</si>
  <si>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</si>
  <si>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</si>
  <si>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</si>
  <si>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</si>
  <si>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</si>
  <si>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</si>
  <si>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</si>
  <si>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</si>
  <si>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</si>
  <si>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</si>
  <si>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</si>
  <si>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</si>
  <si>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</si>
  <si>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</si>
  <si>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</si>
  <si>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</si>
  <si>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</si>
  <si>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</si>
  <si>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</si>
  <si>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</si>
  <si>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</si>
  <si>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</si>
  <si>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</si>
  <si>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</si>
  <si>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</si>
  <si>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</si>
  <si>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</si>
  <si>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</si>
  <si>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</si>
  <si>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</si>
  <si>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</si>
  <si>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</si>
  <si>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</si>
  <si>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</si>
  <si>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</si>
  <si>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</si>
  <si>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</si>
  <si>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</si>
  <si>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</si>
  <si>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</si>
  <si>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</si>
  <si>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</si>
  <si>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</si>
  <si>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</si>
  <si>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</si>
  <si>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</si>
  <si>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</si>
  <si>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</si>
  <si>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</si>
  <si>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</si>
  <si>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</si>
  <si>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</si>
  <si>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</si>
  <si>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</si>
  <si>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</si>
  <si>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</si>
  <si>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</si>
  <si>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</si>
  <si>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</si>
  <si>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</si>
  <si>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</si>
  <si>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</si>
  <si>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</si>
  <si>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</si>
  <si>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</si>
  <si>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</si>
  <si>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</si>
  <si>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</si>
  <si>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</si>
  <si>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</si>
  <si>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</si>
  <si>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</si>
  <si>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</si>
  <si>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</si>
  <si>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</si>
  <si>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</si>
  <si>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</si>
  <si>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</si>
  <si>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</si>
  <si>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</si>
  <si>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</si>
  <si>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</si>
  <si>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</si>
  <si>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</si>
  <si>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</si>
  <si>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</si>
  <si>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</si>
  <si>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</si>
  <si>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</si>
  <si>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</si>
  <si>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</si>
  <si>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</si>
  <si>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</si>
  <si>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</si>
  <si>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</si>
  <si>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</si>
  <si>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</si>
  <si>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</si>
  <si>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</si>
  <si>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</si>
  <si>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</si>
  <si>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</si>
  <si>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</si>
  <si>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</si>
  <si>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</si>
  <si>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</si>
  <si>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</si>
  <si>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</si>
  <si>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</si>
  <si>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</si>
  <si>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</si>
  <si>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</si>
  <si>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</si>
  <si>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</si>
  <si>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</si>
  <si>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</si>
  <si>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</si>
  <si>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</si>
  <si>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</si>
  <si>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</si>
  <si>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</si>
  <si>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</si>
  <si>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</si>
  <si>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</si>
  <si>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</si>
  <si>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</si>
  <si>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</si>
  <si>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</si>
  <si>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</si>
  <si>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</si>
  <si>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</si>
  <si>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</si>
  <si>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</si>
  <si>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</si>
  <si>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</si>
  <si>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</si>
  <si>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</si>
  <si>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</si>
  <si>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</si>
  <si>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</si>
  <si>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</si>
  <si>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</si>
  <si>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</si>
  <si>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</si>
  <si>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</si>
  <si>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</si>
  <si>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</si>
  <si>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</si>
  <si>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</si>
  <si>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</si>
  <si>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</si>
  <si>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</si>
  <si>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</si>
  <si>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</si>
  <si>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</si>
  <si>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</si>
  <si>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</si>
  <si>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</si>
  <si>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〇</t>
    <phoneticPr fontId="12"/>
  </si>
  <si>
    <t>2/3に再度確認</t>
    <rPh sb="4" eb="6">
      <t>サイド</t>
    </rPh>
    <rPh sb="6" eb="8">
      <t>カクニン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</si>
</sst>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4" t="s">
        <v>1</v>
      </c>
      <c r="D7" s="115"/>
      <c r="E7" s="115"/>
      <c r="F7" s="115"/>
      <c r="G7" s="115"/>
      <c r="H7" s="115"/>
      <c r="I7" s="115"/>
      <c r="J7" s="115"/>
      <c r="K7" s="116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1" t="s">
        <v>2</v>
      </c>
      <c r="D9" s="112"/>
      <c r="E9" s="112"/>
      <c r="F9" s="112"/>
      <c r="G9" s="112"/>
      <c r="H9" s="112"/>
      <c r="I9" s="112"/>
      <c r="J9" s="112"/>
      <c r="K9" s="113"/>
    </row>
    <row r="10" spans="3:11" ht="35.4" x14ac:dyDescent="0.65">
      <c r="C10" s="111" t="s">
        <v>3</v>
      </c>
      <c r="D10" s="112"/>
      <c r="E10" s="112"/>
      <c r="F10" s="112"/>
      <c r="G10" s="112"/>
      <c r="H10" s="112"/>
      <c r="I10" s="112"/>
      <c r="J10" s="112"/>
      <c r="K10" s="113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7" t="s">
        <v>4</v>
      </c>
      <c r="F18" s="117"/>
      <c r="G18" s="117"/>
      <c r="H18" s="117"/>
      <c r="I18" s="117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8" t="s">
        <v>5</v>
      </c>
      <c r="G21" s="118"/>
      <c r="H21" s="118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3" activePane="bottomLeft" state="frozen"/>
      <selection activeCell="B8" sqref="B8"/>
      <selection pane="bottomLeft" activeCell="X7" sqref="X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41" t="s">
        <v>10</v>
      </c>
      <c r="F1" s="144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127" t="s">
        <v>17</v>
      </c>
    </row>
    <row r="2" spans="1:24" s="1" customFormat="1" ht="22.8" x14ac:dyDescent="0.15">
      <c r="A2" s="136"/>
      <c r="B2" s="138"/>
      <c r="C2" s="140"/>
      <c r="D2" s="140"/>
      <c r="E2" s="142"/>
      <c r="F2" s="145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128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394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394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23" t="s">
        <v>52</v>
      </c>
      <c r="U18" s="123"/>
      <c r="V18" s="124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25"/>
      <c r="U19" s="125"/>
      <c r="V19" s="126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19"/>
      <c r="T20" s="129">
        <f>COUNTA(T3:T17)</f>
        <v>3</v>
      </c>
      <c r="U20" s="131">
        <f>COUNTA(U3:U17)</f>
        <v>0</v>
      </c>
      <c r="V20" s="133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20"/>
      <c r="T21" s="130"/>
      <c r="U21" s="132"/>
      <c r="V21" s="134"/>
      <c r="W21" s="67" t="s">
        <v>53</v>
      </c>
      <c r="X21" s="68">
        <f t="shared" si="4"/>
        <v>15</v>
      </c>
    </row>
  </sheetData>
  <mergeCells count="17"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  <mergeCell ref="S20:S21"/>
    <mergeCell ref="S1:S2"/>
    <mergeCell ref="T18:V19"/>
    <mergeCell ref="W1:W2"/>
    <mergeCell ref="T20:T21"/>
    <mergeCell ref="U20:U21"/>
    <mergeCell ref="V20:V2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D24" sqref="D2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49"/>
      <c r="S1" s="121" t="s">
        <v>14</v>
      </c>
      <c r="T1" s="143" t="s">
        <v>15</v>
      </c>
      <c r="U1" s="143"/>
      <c r="V1" s="143"/>
      <c r="W1" s="127" t="s">
        <v>16</v>
      </c>
      <c r="X1" s="69"/>
    </row>
    <row r="2" spans="1:24" s="1" customFormat="1" ht="18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22"/>
      <c r="T2" s="71" t="s">
        <v>29</v>
      </c>
      <c r="U2" s="72" t="s">
        <v>30</v>
      </c>
      <c r="V2" s="73" t="s">
        <v>31</v>
      </c>
      <c r="W2" s="128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/>
      <c r="V13" s="28"/>
      <c r="W13" s="29"/>
      <c r="X13" s="30"/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23" t="s">
        <v>52</v>
      </c>
      <c r="U14" s="123"/>
      <c r="V14" s="124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25"/>
      <c r="U15" s="125"/>
      <c r="V15" s="126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19"/>
      <c r="T16" s="129">
        <f>COUNTA(T3:T13)</f>
        <v>8</v>
      </c>
      <c r="U16" s="131">
        <f>COUNTA(U3:U13)</f>
        <v>0</v>
      </c>
      <c r="V16" s="133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20"/>
      <c r="T17" s="130"/>
      <c r="U17" s="132"/>
      <c r="V17" s="134"/>
      <c r="W17" s="67" t="s">
        <v>53</v>
      </c>
      <c r="X17" s="68">
        <f>SUM(G17:R17)</f>
        <v>9</v>
      </c>
    </row>
  </sheetData>
  <mergeCells count="16">
    <mergeCell ref="W1:W2"/>
    <mergeCell ref="T14:V15"/>
    <mergeCell ref="A1:A2"/>
    <mergeCell ref="B1:B2"/>
    <mergeCell ref="C1:C2"/>
    <mergeCell ref="D1:D2"/>
    <mergeCell ref="E1:E2"/>
    <mergeCell ref="T16:T17"/>
    <mergeCell ref="U16:U17"/>
    <mergeCell ref="V16:V17"/>
    <mergeCell ref="F1:F2"/>
    <mergeCell ref="G1:J1"/>
    <mergeCell ref="K1:R1"/>
    <mergeCell ref="T1:V1"/>
    <mergeCell ref="S16:S17"/>
    <mergeCell ref="S1:S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P9" sqref="P9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2" t="s">
        <v>393</v>
      </c>
      <c r="O9" s="25"/>
      <c r="P9" s="25"/>
      <c r="Q9" s="24"/>
      <c r="R9" s="106"/>
      <c r="S9" s="26"/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2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3</v>
      </c>
    </row>
    <row r="11" spans="1:23" s="3" customFormat="1" ht="12" customHeight="1" x14ac:dyDescent="0.25">
      <c r="A11" s="44"/>
      <c r="B11" s="45" t="s">
        <v>54</v>
      </c>
      <c r="C11" s="46">
        <f>W12</f>
        <v>3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25"/>
      <c r="T11" s="125"/>
      <c r="U11" s="126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2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19"/>
      <c r="S12" s="129">
        <f>COUNTA(S3:S9)</f>
        <v>4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5"/>
        <v>3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20"/>
      <c r="S13" s="130"/>
      <c r="T13" s="132"/>
      <c r="U13" s="134"/>
      <c r="V13" s="67" t="s">
        <v>53</v>
      </c>
      <c r="W13" s="68">
        <f t="shared" si="5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23" t="s">
        <v>52</v>
      </c>
      <c r="T10" s="123"/>
      <c r="U10" s="124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25"/>
      <c r="T11" s="125"/>
      <c r="U11" s="126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2"/>
      <c r="S12" s="152">
        <f>COUNTA(S3:S9)</f>
        <v>0</v>
      </c>
      <c r="T12" s="131">
        <f>COUNTA(T3:T9)</f>
        <v>0</v>
      </c>
      <c r="U12" s="133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3"/>
      <c r="S13" s="153"/>
      <c r="T13" s="132"/>
      <c r="U13" s="134"/>
      <c r="V13" s="67" t="s">
        <v>53</v>
      </c>
      <c r="W13" s="68">
        <f t="shared" si="7"/>
        <v>5</v>
      </c>
    </row>
  </sheetData>
  <mergeCells count="16">
    <mergeCell ref="V1:V2"/>
    <mergeCell ref="S10:U11"/>
    <mergeCell ref="A1:A2"/>
    <mergeCell ref="B1:B2"/>
    <mergeCell ref="C1:C2"/>
    <mergeCell ref="D1:D2"/>
    <mergeCell ref="E1:E2"/>
    <mergeCell ref="S12:S13"/>
    <mergeCell ref="T12:T13"/>
    <mergeCell ref="U12:U13"/>
    <mergeCell ref="F1:F2"/>
    <mergeCell ref="G1:J1"/>
    <mergeCell ref="K1:Q1"/>
    <mergeCell ref="S1:U1"/>
    <mergeCell ref="R12:R13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zoomScale="98" zoomScaleNormal="110" zoomScaleSheetLayoutView="98" workbookViewId="0">
      <pane ySplit="2" topLeftCell="A66" activePane="bottomLeft" state="frozen"/>
      <selection activeCell="B8" sqref="B8"/>
      <selection pane="bottomLeft" activeCell="S38" activeCellId="16" sqref="S19 S23 S24 S25 S26 S27 S28 S29 S30 S31 S32 S33 S34 S35 S36 S37 S3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4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113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23" t="s">
        <v>52</v>
      </c>
      <c r="T115" s="123"/>
      <c r="U115" s="124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25"/>
      <c r="T116" s="125"/>
      <c r="U116" s="126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19"/>
      <c r="S117" s="129">
        <f>COUNTA(S3:S114)</f>
        <v>72</v>
      </c>
      <c r="T117" s="131">
        <f>COUNTA(T3:T114)</f>
        <v>0</v>
      </c>
      <c r="U117" s="133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20"/>
      <c r="S118" s="130"/>
      <c r="T118" s="132"/>
      <c r="U118" s="134"/>
      <c r="V118" s="67" t="s">
        <v>53</v>
      </c>
      <c r="W118" s="68">
        <f t="shared" si="5"/>
        <v>110</v>
      </c>
    </row>
  </sheetData>
  <mergeCells count="16">
    <mergeCell ref="V1:V2"/>
    <mergeCell ref="S115:U116"/>
    <mergeCell ref="A1:A2"/>
    <mergeCell ref="B1:B2"/>
    <mergeCell ref="C1:C2"/>
    <mergeCell ref="D1:D2"/>
    <mergeCell ref="E1:E2"/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tabSelected="1" view="pageBreakPreview" zoomScale="85" zoomScaleNormal="110" zoomScaleSheetLayoutView="85" workbookViewId="0">
      <pane ySplit="2" topLeftCell="A63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35" t="s">
        <v>6</v>
      </c>
      <c r="B1" s="137" t="s">
        <v>7</v>
      </c>
      <c r="C1" s="139" t="s">
        <v>8</v>
      </c>
      <c r="D1" s="139" t="s">
        <v>9</v>
      </c>
      <c r="E1" s="139" t="s">
        <v>10</v>
      </c>
      <c r="F1" s="150" t="s">
        <v>11</v>
      </c>
      <c r="G1" s="143" t="s">
        <v>12</v>
      </c>
      <c r="H1" s="143"/>
      <c r="I1" s="143"/>
      <c r="J1" s="146"/>
      <c r="K1" s="147" t="s">
        <v>13</v>
      </c>
      <c r="L1" s="148"/>
      <c r="M1" s="148"/>
      <c r="N1" s="149"/>
      <c r="O1" s="149"/>
      <c r="P1" s="149"/>
      <c r="Q1" s="149"/>
      <c r="R1" s="121" t="s">
        <v>14</v>
      </c>
      <c r="S1" s="143" t="s">
        <v>15</v>
      </c>
      <c r="T1" s="143"/>
      <c r="U1" s="143"/>
      <c r="V1" s="127" t="s">
        <v>16</v>
      </c>
      <c r="W1" s="69"/>
    </row>
    <row r="2" spans="1:23" s="1" customFormat="1" ht="15" customHeight="1" x14ac:dyDescent="0.15">
      <c r="A2" s="136"/>
      <c r="B2" s="138"/>
      <c r="C2" s="140"/>
      <c r="D2" s="140"/>
      <c r="E2" s="140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22"/>
      <c r="S2" s="71" t="s">
        <v>29</v>
      </c>
      <c r="T2" s="72" t="s">
        <v>30</v>
      </c>
      <c r="U2" s="73" t="s">
        <v>31</v>
      </c>
      <c r="V2" s="128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38</v>
      </c>
      <c r="M85" s="23"/>
      <c r="N85" s="25"/>
      <c r="O85" s="25"/>
      <c r="P85" s="25"/>
      <c r="Q85" s="24"/>
      <c r="R85" s="106">
        <v>45325</v>
      </c>
      <c r="S85" s="26"/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38</v>
      </c>
      <c r="M87" s="23"/>
      <c r="N87" s="25"/>
      <c r="O87" s="25"/>
      <c r="P87" s="25"/>
      <c r="Q87" s="24"/>
      <c r="R87" s="106">
        <v>45325</v>
      </c>
      <c r="S87" s="26"/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38</v>
      </c>
      <c r="M88" s="23"/>
      <c r="N88" s="25"/>
      <c r="O88" s="25"/>
      <c r="P88" s="25"/>
      <c r="Q88" s="24"/>
      <c r="R88" s="106">
        <v>45325</v>
      </c>
      <c r="S88" s="26"/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38</v>
      </c>
      <c r="M90" s="23"/>
      <c r="N90" s="25"/>
      <c r="O90" s="25"/>
      <c r="P90" s="25"/>
      <c r="Q90" s="24"/>
      <c r="R90" s="106">
        <v>45325</v>
      </c>
      <c r="S90" s="26"/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38</v>
      </c>
      <c r="M91" s="23"/>
      <c r="N91" s="25"/>
      <c r="O91" s="25"/>
      <c r="P91" s="25"/>
      <c r="Q91" s="24"/>
      <c r="R91" s="106">
        <v>45325</v>
      </c>
      <c r="S91" s="26"/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82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23" t="s">
        <v>52</v>
      </c>
      <c r="T94" s="123"/>
      <c r="U94" s="124"/>
      <c r="V94" s="42" t="s">
        <v>53</v>
      </c>
      <c r="W94" s="43">
        <f>SUM(G94:Q94)</f>
        <v>84</v>
      </c>
    </row>
    <row r="95" spans="1:23" s="3" customFormat="1" ht="12" customHeight="1" x14ac:dyDescent="0.25">
      <c r="A95" s="44"/>
      <c r="B95" s="45" t="s">
        <v>54</v>
      </c>
      <c r="C95" s="46">
        <f>W96</f>
        <v>84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25"/>
      <c r="T95" s="125"/>
      <c r="U95" s="126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82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19"/>
      <c r="S96" s="129">
        <f>COUNTA(S3:S91)</f>
        <v>82</v>
      </c>
      <c r="T96" s="131">
        <f>COUNTA(T3:T91)</f>
        <v>0</v>
      </c>
      <c r="U96" s="133">
        <f>COUNTA(U3:U91)</f>
        <v>0</v>
      </c>
      <c r="V96" s="58" t="s">
        <v>53</v>
      </c>
      <c r="W96" s="53">
        <f t="shared" si="7"/>
        <v>84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20"/>
      <c r="S97" s="130"/>
      <c r="T97" s="132"/>
      <c r="U97" s="134"/>
      <c r="V97" s="67" t="s">
        <v>53</v>
      </c>
      <c r="W97" s="68">
        <f t="shared" si="7"/>
        <v>89</v>
      </c>
    </row>
  </sheetData>
  <mergeCells count="16">
    <mergeCell ref="V1:V2"/>
    <mergeCell ref="S94:U95"/>
    <mergeCell ref="A1:A2"/>
    <mergeCell ref="B1:B2"/>
    <mergeCell ref="C1:C2"/>
    <mergeCell ref="D1:D2"/>
    <mergeCell ref="E1:E2"/>
    <mergeCell ref="S96:S97"/>
    <mergeCell ref="T96:T97"/>
    <mergeCell ref="U96:U97"/>
    <mergeCell ref="F1:F2"/>
    <mergeCell ref="G1:J1"/>
    <mergeCell ref="K1:Q1"/>
    <mergeCell ref="S1:U1"/>
    <mergeCell ref="R96:R97"/>
    <mergeCell ref="R1:R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1A985-4E3A-417E-9A69-802E3198C712}">
  <ds:schemaRefs>
    <ds:schemaRef ds:uri="http://purl.org/dc/elements/1.1/"/>
    <ds:schemaRef ds:uri="http://schemas.microsoft.com/office/2006/metadata/properties"/>
    <ds:schemaRef ds:uri="http://purl.org/dc/terms/"/>
    <ds:schemaRef ds:uri="e85bf11c-610f-4c75-b4c1-3f2e492bcdf6"/>
    <ds:schemaRef ds:uri="http://schemas.microsoft.com/office/2006/documentManagement/types"/>
    <ds:schemaRef ds:uri="http://schemas.microsoft.com/office/infopath/2007/PartnerControls"/>
    <ds:schemaRef ds:uri="55b7a9d6-bcaa-4a9d-b1c7-8801531a7bf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C61637-1C6B-46D0-A5A3-C054FE589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2025-02-03T02:41:04Z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