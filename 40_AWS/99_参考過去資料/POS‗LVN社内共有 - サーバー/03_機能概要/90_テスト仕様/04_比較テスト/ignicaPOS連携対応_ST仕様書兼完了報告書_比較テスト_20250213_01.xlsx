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59338/Shared Documents/FUJITSU-RESTRICTED/01.IgnicaPOS連携対応/500.開発/007.ST/001.テスト仕様書/"/>
    </mc:Choice>
  </mc:AlternateContent>
  <xr:revisionPtr revIDLastSave="1531" documentId="13_ncr:1_{83417ED8-4D23-47BB-99B2-FB19FA0558F2}" xr6:coauthVersionLast="47" xr6:coauthVersionMax="47" xr10:uidLastSave="{37B81932-37A0-4A8C-83C6-E8C8583D3F28}"/>
  <bookViews>
    <workbookView xWindow="-108" yWindow="-108" windowWidth="23256" windowHeight="12576" tabRatio="789" activeTab="1" xr2:uid="{00000000-000D-0000-FFFF-FFFF00000000}"/>
  </bookViews>
  <sheets>
    <sheet name="ST仕様書表紙" sheetId="16" r:id="rId1"/>
    <sheet name="トラン実績連携機能" sheetId="64" r:id="rId2"/>
    <sheet name="クレジット明細突合データ" sheetId="65" r:id="rId3"/>
    <sheet name="精算確定報" sheetId="66" r:id="rId4"/>
    <sheet name="全トラン抽出(d払い)" sheetId="67" r:id="rId5"/>
    <sheet name="集配信インターフェースファイル" sheetId="68" r:id="rId6"/>
    <sheet name="レポート機能" sheetId="69" r:id="rId7"/>
    <sheet name="パターン" sheetId="70" r:id="rId8"/>
  </sheets>
  <definedNames>
    <definedName name="_xlnm._FilterDatabase" localSheetId="2" hidden="1">クレジット明細突合データ!$F$1:$F$17</definedName>
    <definedName name="_xlnm._FilterDatabase" localSheetId="1" hidden="1">トラン実績連携機能!$A$2:$AA$2</definedName>
    <definedName name="_xlnm._FilterDatabase" localSheetId="6" hidden="1">レポート機能!$F$1:$F$97</definedName>
    <definedName name="_xlnm._FilterDatabase" localSheetId="5" hidden="1">集配信インターフェースファイル!$F$1:$F$118</definedName>
    <definedName name="_xlnm._FilterDatabase" localSheetId="3" hidden="1">精算確定報!$F$1:$F$13</definedName>
    <definedName name="_xlnm._FilterDatabase" localSheetId="4" hidden="1">'全トラン抽出(d払い)'!$F$1:$F$13</definedName>
    <definedName name="HTML_CodePage" hidden="1">932</definedName>
    <definedName name="HTML_Control" localSheetId="2" hidden="1">{"'表紙'!$A$1:$W$39"}</definedName>
    <definedName name="HTML_Control" localSheetId="1" hidden="1">{"'表紙'!$A$1:$W$39"}</definedName>
    <definedName name="HTML_Control" localSheetId="7" hidden="1">{"'表紙'!$A$1:$W$39"}</definedName>
    <definedName name="HTML_Control" localSheetId="6" hidden="1">{"'表紙'!$A$1:$W$39"}</definedName>
    <definedName name="HTML_Control" localSheetId="5" hidden="1">{"'表紙'!$A$1:$W$39"}</definedName>
    <definedName name="HTML_Control" localSheetId="3" hidden="1">{"'表紙'!$A$1:$W$39"}</definedName>
    <definedName name="HTML_Control" localSheetId="4" hidden="1">{"'表紙'!$A$1:$W$39"}</definedName>
    <definedName name="HTML_Control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_xlnm.Print_Area" localSheetId="0">ST仕様書表紙!$A$1:$M$24</definedName>
    <definedName name="_xlnm.Print_Area" localSheetId="2">クレジット明細突合データ!$A$1:$X$17</definedName>
    <definedName name="_xlnm.Print_Area" localSheetId="1">トラン実績連携機能!$A$1:$X$21</definedName>
    <definedName name="_xlnm.Print_Area" localSheetId="6">レポート機能!$A$1:$W$97</definedName>
    <definedName name="_xlnm.Print_Area" localSheetId="5">集配信インターフェースファイル!$A$1:$W$118</definedName>
    <definedName name="_xlnm.Print_Area" localSheetId="3">精算確定報!$A$1:$W$13</definedName>
    <definedName name="_xlnm.Print_Area" localSheetId="4">'全トラン抽出(d払い)'!$A$1:$W$13</definedName>
    <definedName name="あ" localSheetId="2" hidden="1">{"'表紙'!$A$1:$W$39"}</definedName>
    <definedName name="あ" localSheetId="1" hidden="1">{"'表紙'!$A$1:$W$39"}</definedName>
    <definedName name="あ" localSheetId="7" hidden="1">{"'表紙'!$A$1:$W$39"}</definedName>
    <definedName name="あ" localSheetId="6" hidden="1">{"'表紙'!$A$1:$W$39"}</definedName>
    <definedName name="あ" localSheetId="5" hidden="1">{"'表紙'!$A$1:$W$39"}</definedName>
    <definedName name="あ" localSheetId="3" hidden="1">{"'表紙'!$A$1:$W$39"}</definedName>
    <definedName name="あ" localSheetId="4" hidden="1">{"'表紙'!$A$1:$W$39"}</definedName>
    <definedName name="あ" hidden="1">{"'表紙'!$A$1:$W$39"}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0" i="64" l="1"/>
  <c r="U20" i="64"/>
  <c r="T20" i="64"/>
  <c r="H97" i="69"/>
  <c r="I97" i="69"/>
  <c r="J97" i="69"/>
  <c r="K97" i="69"/>
  <c r="L97" i="69"/>
  <c r="M97" i="69"/>
  <c r="N97" i="69"/>
  <c r="O97" i="69"/>
  <c r="P97" i="69"/>
  <c r="Q97" i="69"/>
  <c r="G97" i="69"/>
  <c r="H95" i="69"/>
  <c r="I95" i="69"/>
  <c r="J95" i="69"/>
  <c r="K95" i="69"/>
  <c r="L95" i="69"/>
  <c r="M95" i="69"/>
  <c r="N95" i="69"/>
  <c r="O95" i="69"/>
  <c r="P95" i="69"/>
  <c r="Q95" i="69"/>
  <c r="G95" i="69"/>
  <c r="H94" i="69"/>
  <c r="I94" i="69"/>
  <c r="J94" i="69"/>
  <c r="K94" i="69"/>
  <c r="L94" i="69"/>
  <c r="M94" i="69"/>
  <c r="N94" i="69"/>
  <c r="O94" i="69"/>
  <c r="P94" i="69"/>
  <c r="Q94" i="69"/>
  <c r="G94" i="69"/>
  <c r="A93" i="69" l="1"/>
  <c r="A92" i="69"/>
  <c r="A64" i="69"/>
  <c r="A63" i="69"/>
  <c r="A33" i="69"/>
  <c r="A32" i="69"/>
  <c r="A62" i="69" l="1"/>
  <c r="A61" i="69"/>
  <c r="A60" i="69"/>
  <c r="A59" i="69"/>
  <c r="A58" i="69"/>
  <c r="A57" i="69"/>
  <c r="A56" i="69"/>
  <c r="A55" i="69"/>
  <c r="A54" i="69"/>
  <c r="A53" i="69"/>
  <c r="A52" i="69"/>
  <c r="A51" i="69"/>
  <c r="A50" i="69"/>
  <c r="A49" i="69"/>
  <c r="A48" i="69"/>
  <c r="A47" i="69"/>
  <c r="A46" i="69"/>
  <c r="A45" i="69"/>
  <c r="A44" i="69"/>
  <c r="A43" i="69"/>
  <c r="A42" i="69"/>
  <c r="A41" i="69"/>
  <c r="A40" i="69"/>
  <c r="A39" i="69"/>
  <c r="A38" i="69"/>
  <c r="A37" i="69"/>
  <c r="A36" i="69"/>
  <c r="A35" i="69"/>
  <c r="A34" i="69"/>
  <c r="A4" i="69"/>
  <c r="A3" i="69"/>
  <c r="A42" i="68"/>
  <c r="A41" i="68"/>
  <c r="A4" i="68"/>
  <c r="A3" i="68"/>
  <c r="A7" i="67"/>
  <c r="A6" i="67"/>
  <c r="A4" i="67"/>
  <c r="A3" i="67"/>
  <c r="A6" i="66"/>
  <c r="A8" i="66"/>
  <c r="A7" i="66"/>
  <c r="A4" i="66"/>
  <c r="A3" i="66"/>
  <c r="A12" i="65"/>
  <c r="A7" i="65"/>
  <c r="A11" i="65"/>
  <c r="A10" i="65"/>
  <c r="A9" i="65"/>
  <c r="A8" i="65"/>
  <c r="A3" i="65"/>
  <c r="A4" i="65"/>
  <c r="A5" i="65"/>
  <c r="A6" i="65"/>
  <c r="A6" i="64"/>
  <c r="H13" i="66"/>
  <c r="I13" i="66"/>
  <c r="J13" i="66"/>
  <c r="K13" i="66"/>
  <c r="L13" i="66"/>
  <c r="M13" i="66"/>
  <c r="N13" i="66"/>
  <c r="O13" i="66"/>
  <c r="P13" i="66"/>
  <c r="Q13" i="66"/>
  <c r="H11" i="66"/>
  <c r="I11" i="66"/>
  <c r="J11" i="66"/>
  <c r="K11" i="66"/>
  <c r="L11" i="66"/>
  <c r="M11" i="66"/>
  <c r="N11" i="66"/>
  <c r="O11" i="66"/>
  <c r="P11" i="66"/>
  <c r="Q11" i="66"/>
  <c r="H10" i="66"/>
  <c r="I10" i="66"/>
  <c r="I12" i="66" s="1"/>
  <c r="J10" i="66"/>
  <c r="K10" i="66"/>
  <c r="L10" i="66"/>
  <c r="L12" i="66" s="1"/>
  <c r="M10" i="66"/>
  <c r="M12" i="66" s="1"/>
  <c r="N10" i="66"/>
  <c r="O10" i="66"/>
  <c r="P10" i="66"/>
  <c r="Q10" i="66"/>
  <c r="A26" i="69"/>
  <c r="A91" i="69"/>
  <c r="A90" i="69"/>
  <c r="A89" i="69"/>
  <c r="A88" i="69"/>
  <c r="A87" i="69"/>
  <c r="A86" i="69"/>
  <c r="A85" i="69"/>
  <c r="A84" i="69"/>
  <c r="A83" i="69"/>
  <c r="A82" i="69"/>
  <c r="A81" i="69"/>
  <c r="A80" i="69"/>
  <c r="A79" i="69"/>
  <c r="A78" i="69"/>
  <c r="A77" i="69"/>
  <c r="A76" i="69"/>
  <c r="A75" i="69"/>
  <c r="A74" i="69"/>
  <c r="A73" i="69"/>
  <c r="A72" i="69"/>
  <c r="A71" i="69"/>
  <c r="A70" i="69"/>
  <c r="A69" i="69"/>
  <c r="A68" i="69"/>
  <c r="A67" i="69"/>
  <c r="A66" i="69"/>
  <c r="A114" i="68"/>
  <c r="A113" i="68"/>
  <c r="A112" i="68"/>
  <c r="A111" i="68"/>
  <c r="A110" i="68"/>
  <c r="A109" i="68"/>
  <c r="A108" i="68"/>
  <c r="A107" i="68"/>
  <c r="A106" i="68"/>
  <c r="A105" i="68"/>
  <c r="A104" i="68"/>
  <c r="A103" i="68"/>
  <c r="A102" i="68"/>
  <c r="A101" i="68"/>
  <c r="A100" i="68"/>
  <c r="A99" i="68"/>
  <c r="A98" i="68"/>
  <c r="A97" i="68"/>
  <c r="A96" i="68"/>
  <c r="A95" i="68"/>
  <c r="A94" i="68"/>
  <c r="A93" i="68"/>
  <c r="A92" i="68"/>
  <c r="A91" i="68"/>
  <c r="A90" i="68"/>
  <c r="A89" i="68"/>
  <c r="A88" i="68"/>
  <c r="A87" i="68"/>
  <c r="A86" i="68"/>
  <c r="A85" i="68"/>
  <c r="A84" i="68"/>
  <c r="A83" i="68"/>
  <c r="A82" i="68"/>
  <c r="A81" i="68"/>
  <c r="A80" i="68"/>
  <c r="A79" i="68"/>
  <c r="A78" i="68"/>
  <c r="A77" i="68"/>
  <c r="A76" i="68"/>
  <c r="A75" i="68"/>
  <c r="A74" i="68"/>
  <c r="A73" i="68"/>
  <c r="A72" i="68"/>
  <c r="A71" i="68"/>
  <c r="A70" i="68"/>
  <c r="A69" i="68"/>
  <c r="A68" i="68"/>
  <c r="A67" i="68"/>
  <c r="A66" i="68"/>
  <c r="A65" i="68"/>
  <c r="A64" i="68"/>
  <c r="A63" i="68"/>
  <c r="A62" i="68"/>
  <c r="A61" i="68"/>
  <c r="A60" i="68"/>
  <c r="A59" i="68"/>
  <c r="A58" i="68"/>
  <c r="A57" i="68"/>
  <c r="A56" i="68"/>
  <c r="A55" i="68"/>
  <c r="A54" i="68"/>
  <c r="A53" i="68"/>
  <c r="A52" i="68"/>
  <c r="A51" i="68"/>
  <c r="A50" i="68"/>
  <c r="A49" i="68"/>
  <c r="A48" i="68"/>
  <c r="A47" i="68"/>
  <c r="A46" i="68"/>
  <c r="A45" i="68"/>
  <c r="A44" i="68"/>
  <c r="A43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Q12" i="66" l="1"/>
  <c r="J12" i="66"/>
  <c r="K12" i="66"/>
  <c r="O12" i="66"/>
  <c r="P12" i="66"/>
  <c r="H12" i="66"/>
  <c r="N12" i="66"/>
  <c r="O96" i="69"/>
  <c r="P96" i="69"/>
  <c r="H96" i="69"/>
  <c r="L96" i="69"/>
  <c r="N96" i="69"/>
  <c r="M96" i="69"/>
  <c r="K96" i="69"/>
  <c r="J96" i="69"/>
  <c r="Q96" i="69"/>
  <c r="I96" i="69"/>
  <c r="H118" i="68" l="1"/>
  <c r="I118" i="68"/>
  <c r="J118" i="68"/>
  <c r="K118" i="68"/>
  <c r="L118" i="68"/>
  <c r="M118" i="68"/>
  <c r="N118" i="68"/>
  <c r="O118" i="68"/>
  <c r="P118" i="68"/>
  <c r="Q118" i="68"/>
  <c r="H116" i="68"/>
  <c r="I116" i="68"/>
  <c r="J116" i="68"/>
  <c r="K116" i="68"/>
  <c r="L116" i="68"/>
  <c r="M116" i="68"/>
  <c r="N116" i="68"/>
  <c r="O116" i="68"/>
  <c r="P116" i="68"/>
  <c r="Q116" i="68"/>
  <c r="H115" i="68"/>
  <c r="H117" i="68" s="1"/>
  <c r="I115" i="68"/>
  <c r="J115" i="68"/>
  <c r="K115" i="68"/>
  <c r="L115" i="68"/>
  <c r="M115" i="68"/>
  <c r="N115" i="68"/>
  <c r="O115" i="68"/>
  <c r="P115" i="68"/>
  <c r="P117" i="68" s="1"/>
  <c r="Q115" i="68"/>
  <c r="A29" i="68"/>
  <c r="A30" i="68"/>
  <c r="A31" i="68"/>
  <c r="A32" i="68"/>
  <c r="A33" i="68"/>
  <c r="N117" i="68" l="1"/>
  <c r="J117" i="68"/>
  <c r="Q117" i="68"/>
  <c r="I117" i="68"/>
  <c r="O117" i="68"/>
  <c r="M117" i="68"/>
  <c r="K117" i="68"/>
  <c r="L117" i="68"/>
  <c r="A8" i="67" l="1"/>
  <c r="A5" i="67"/>
  <c r="H13" i="67" l="1"/>
  <c r="I13" i="67"/>
  <c r="J13" i="67"/>
  <c r="K13" i="67"/>
  <c r="L13" i="67"/>
  <c r="M13" i="67"/>
  <c r="N13" i="67"/>
  <c r="O13" i="67"/>
  <c r="P13" i="67"/>
  <c r="Q13" i="67"/>
  <c r="H11" i="67"/>
  <c r="I11" i="67"/>
  <c r="J11" i="67"/>
  <c r="K11" i="67"/>
  <c r="L11" i="67"/>
  <c r="M11" i="67"/>
  <c r="N11" i="67"/>
  <c r="O11" i="67"/>
  <c r="P11" i="67"/>
  <c r="Q11" i="67"/>
  <c r="H10" i="67"/>
  <c r="I10" i="67"/>
  <c r="J10" i="67"/>
  <c r="K10" i="67"/>
  <c r="L10" i="67"/>
  <c r="M10" i="67"/>
  <c r="N10" i="67"/>
  <c r="N12" i="67" s="1"/>
  <c r="O10" i="67"/>
  <c r="P10" i="67"/>
  <c r="Q10" i="67"/>
  <c r="A5" i="69"/>
  <c r="A6" i="69"/>
  <c r="A7" i="69"/>
  <c r="P12" i="67" l="1"/>
  <c r="H12" i="67"/>
  <c r="L12" i="67"/>
  <c r="K12" i="67"/>
  <c r="M12" i="67"/>
  <c r="O12" i="67"/>
  <c r="J12" i="67"/>
  <c r="Q12" i="67"/>
  <c r="I12" i="67"/>
  <c r="H17" i="65"/>
  <c r="I17" i="65"/>
  <c r="J17" i="65"/>
  <c r="K17" i="65"/>
  <c r="L17" i="65"/>
  <c r="M17" i="65"/>
  <c r="N17" i="65"/>
  <c r="O17" i="65"/>
  <c r="P17" i="65"/>
  <c r="Q17" i="65"/>
  <c r="R17" i="65"/>
  <c r="H15" i="65"/>
  <c r="I15" i="65"/>
  <c r="J15" i="65"/>
  <c r="K15" i="65"/>
  <c r="L15" i="65"/>
  <c r="M15" i="65"/>
  <c r="N15" i="65"/>
  <c r="O15" i="65"/>
  <c r="P15" i="65"/>
  <c r="Q15" i="65"/>
  <c r="R15" i="65"/>
  <c r="H14" i="65"/>
  <c r="H16" i="65" s="1"/>
  <c r="I14" i="65"/>
  <c r="J14" i="65"/>
  <c r="K14" i="65"/>
  <c r="L14" i="65"/>
  <c r="M14" i="65"/>
  <c r="N14" i="65"/>
  <c r="O14" i="65"/>
  <c r="O16" i="65" s="1"/>
  <c r="P14" i="65"/>
  <c r="P16" i="65" s="1"/>
  <c r="Q14" i="65"/>
  <c r="R14" i="65"/>
  <c r="A13" i="65"/>
  <c r="H21" i="64"/>
  <c r="I21" i="64"/>
  <c r="J21" i="64"/>
  <c r="K21" i="64"/>
  <c r="L21" i="64"/>
  <c r="M21" i="64"/>
  <c r="N21" i="64"/>
  <c r="O21" i="64"/>
  <c r="P21" i="64"/>
  <c r="Q21" i="64"/>
  <c r="R21" i="64"/>
  <c r="H19" i="64"/>
  <c r="I19" i="64"/>
  <c r="J19" i="64"/>
  <c r="K19" i="64"/>
  <c r="L19" i="64"/>
  <c r="M19" i="64"/>
  <c r="N19" i="64"/>
  <c r="O19" i="64"/>
  <c r="P19" i="64"/>
  <c r="Q19" i="64"/>
  <c r="R19" i="64"/>
  <c r="H18" i="64"/>
  <c r="I18" i="64"/>
  <c r="J18" i="64"/>
  <c r="K18" i="64"/>
  <c r="K20" i="64" s="1"/>
  <c r="L18" i="64"/>
  <c r="L20" i="64" s="1"/>
  <c r="M18" i="64"/>
  <c r="M20" i="64" s="1"/>
  <c r="N18" i="64"/>
  <c r="N20" i="64" s="1"/>
  <c r="O18" i="64"/>
  <c r="P18" i="64"/>
  <c r="Q18" i="64"/>
  <c r="R18" i="64"/>
  <c r="G21" i="64"/>
  <c r="G19" i="64"/>
  <c r="G18" i="64"/>
  <c r="A5" i="64"/>
  <c r="Q16" i="65" l="1"/>
  <c r="I16" i="65"/>
  <c r="Q20" i="64"/>
  <c r="O20" i="64"/>
  <c r="K16" i="65"/>
  <c r="N16" i="65"/>
  <c r="M16" i="65"/>
  <c r="L16" i="65"/>
  <c r="R16" i="65"/>
  <c r="J16" i="65"/>
  <c r="J20" i="64"/>
  <c r="R20" i="64"/>
  <c r="I20" i="64"/>
  <c r="P20" i="64"/>
  <c r="H20" i="64"/>
  <c r="A9" i="64"/>
  <c r="A8" i="64"/>
  <c r="A7" i="64"/>
  <c r="U96" i="69" l="1"/>
  <c r="T96" i="69"/>
  <c r="S96" i="69"/>
  <c r="A65" i="69"/>
  <c r="A31" i="69"/>
  <c r="A30" i="69"/>
  <c r="A29" i="69"/>
  <c r="A28" i="69"/>
  <c r="A27" i="69"/>
  <c r="A25" i="69"/>
  <c r="A24" i="69"/>
  <c r="A23" i="69"/>
  <c r="A22" i="69"/>
  <c r="A21" i="69"/>
  <c r="A20" i="69"/>
  <c r="A19" i="69"/>
  <c r="A18" i="69"/>
  <c r="A17" i="69"/>
  <c r="A16" i="69"/>
  <c r="A15" i="69"/>
  <c r="A14" i="69"/>
  <c r="A13" i="69"/>
  <c r="A12" i="69"/>
  <c r="A11" i="69"/>
  <c r="A10" i="69"/>
  <c r="A9" i="69"/>
  <c r="A8" i="69"/>
  <c r="G118" i="68"/>
  <c r="U117" i="68"/>
  <c r="T117" i="68"/>
  <c r="S117" i="68"/>
  <c r="G116" i="68"/>
  <c r="G115" i="68"/>
  <c r="A40" i="68"/>
  <c r="A39" i="68"/>
  <c r="A38" i="68"/>
  <c r="A37" i="68"/>
  <c r="A36" i="68"/>
  <c r="A35" i="68"/>
  <c r="A34" i="68"/>
  <c r="A28" i="68"/>
  <c r="A27" i="68"/>
  <c r="G13" i="67"/>
  <c r="U12" i="67"/>
  <c r="T12" i="67"/>
  <c r="S12" i="67"/>
  <c r="G11" i="67"/>
  <c r="G10" i="67"/>
  <c r="A9" i="67"/>
  <c r="G13" i="66"/>
  <c r="U12" i="66"/>
  <c r="T12" i="66"/>
  <c r="S12" i="66"/>
  <c r="G11" i="66"/>
  <c r="G10" i="66"/>
  <c r="A9" i="66"/>
  <c r="A5" i="66"/>
  <c r="W115" i="68" l="1"/>
  <c r="W116" i="68"/>
  <c r="W118" i="68"/>
  <c r="C118" i="68" s="1"/>
  <c r="W95" i="69"/>
  <c r="W94" i="69"/>
  <c r="W97" i="69"/>
  <c r="C97" i="69" s="1"/>
  <c r="G117" i="68"/>
  <c r="W13" i="67"/>
  <c r="C13" i="67" s="1"/>
  <c r="W10" i="67"/>
  <c r="W11" i="67"/>
  <c r="W11" i="66"/>
  <c r="W10" i="66"/>
  <c r="W13" i="66"/>
  <c r="C13" i="66" s="1"/>
  <c r="G96" i="69"/>
  <c r="G12" i="67"/>
  <c r="G12" i="66"/>
  <c r="W96" i="69" l="1"/>
  <c r="C95" i="69" s="1"/>
  <c r="W12" i="67"/>
  <c r="C11" i="67" s="1"/>
  <c r="W117" i="68"/>
  <c r="C116" i="68" s="1"/>
  <c r="W12" i="66"/>
  <c r="C11" i="66" s="1"/>
  <c r="A4" i="64"/>
  <c r="A3" i="64" l="1"/>
  <c r="G17" i="65"/>
  <c r="V16" i="65"/>
  <c r="U16" i="65"/>
  <c r="T16" i="65"/>
  <c r="G15" i="65"/>
  <c r="G14" i="65"/>
  <c r="X15" i="65" l="1"/>
  <c r="X17" i="65"/>
  <c r="C17" i="65" s="1"/>
  <c r="G16" i="65"/>
  <c r="X14" i="65"/>
  <c r="X16" i="65" l="1"/>
  <c r="C15" i="65" s="1"/>
  <c r="A17" i="64"/>
  <c r="A16" i="64"/>
  <c r="A15" i="64"/>
  <c r="A14" i="64"/>
  <c r="A13" i="64"/>
  <c r="A12" i="64"/>
  <c r="A11" i="64"/>
  <c r="A10" i="64"/>
  <c r="X19" i="64" l="1"/>
  <c r="X21" i="64"/>
  <c r="C21" i="64" s="1"/>
  <c r="X18" i="64"/>
  <c r="G20" i="64" l="1"/>
  <c r="X20" i="64" s="1"/>
  <c r="C19" i="64" s="1"/>
</calcChain>
</file>

<file path=xl/sharedStrings.xml><?xml version="1.0" encoding="utf-8"?>
<sst xmlns="http://schemas.openxmlformats.org/spreadsheetml/2006/main" count="1690" uniqueCount="431">
  <si>
    <t>いなげや様</t>
    <rPh sb="4" eb="5">
      <t>サマ</t>
    </rPh>
    <phoneticPr fontId="6"/>
  </si>
  <si>
    <t>ignicaPOS連携対応</t>
    <rPh sb="11" eb="13">
      <t>タイオウ</t>
    </rPh>
    <phoneticPr fontId="6"/>
  </si>
  <si>
    <t>ST仕様書兼完了報告書</t>
    <phoneticPr fontId="6"/>
  </si>
  <si>
    <t>比較テスト</t>
    <rPh sb="0" eb="2">
      <t>ヒカク</t>
    </rPh>
    <phoneticPr fontId="6"/>
  </si>
  <si>
    <t>第0.1版　2024年10月9日</t>
    <rPh sb="4" eb="5">
      <t>バン</t>
    </rPh>
    <rPh sb="13" eb="14">
      <t>ガツ</t>
    </rPh>
    <phoneticPr fontId="6"/>
  </si>
  <si>
    <t>富士通株式会社</t>
    <rPh sb="3" eb="5">
      <t>カブシキ</t>
    </rPh>
    <rPh sb="5" eb="7">
      <t>カイシャ</t>
    </rPh>
    <phoneticPr fontId="6"/>
  </si>
  <si>
    <t>No.</t>
    <phoneticPr fontId="3"/>
  </si>
  <si>
    <t>大分類</t>
    <rPh sb="0" eb="3">
      <t>ダイブンルイ</t>
    </rPh>
    <phoneticPr fontId="3"/>
  </si>
  <si>
    <t>中分類</t>
    <rPh sb="0" eb="3">
      <t>チュウブンルイ</t>
    </rPh>
    <phoneticPr fontId="3"/>
  </si>
  <si>
    <t>小分類</t>
    <rPh sb="0" eb="1">
      <t>ショウ</t>
    </rPh>
    <rPh sb="1" eb="3">
      <t>ブンルイ</t>
    </rPh>
    <phoneticPr fontId="3"/>
  </si>
  <si>
    <t>操作/設定</t>
    <rPh sb="0" eb="2">
      <t>ソウサ</t>
    </rPh>
    <rPh sb="3" eb="5">
      <t>セッテイ</t>
    </rPh>
    <phoneticPr fontId="3"/>
  </si>
  <si>
    <t>結果</t>
    <phoneticPr fontId="12"/>
  </si>
  <si>
    <t>POS</t>
    <phoneticPr fontId="3"/>
  </si>
  <si>
    <t>SSV</t>
    <phoneticPr fontId="3"/>
  </si>
  <si>
    <t>テスト
予定日</t>
    <rPh sb="4" eb="7">
      <t>ヨテイビ</t>
    </rPh>
    <phoneticPr fontId="12"/>
  </si>
  <si>
    <t>テスト結果</t>
    <rPh sb="3" eb="5">
      <t>ケッカ</t>
    </rPh>
    <phoneticPr fontId="3"/>
  </si>
  <si>
    <t>担当</t>
  </si>
  <si>
    <t>備考</t>
    <rPh sb="0" eb="2">
      <t>ビコウ</t>
    </rPh>
    <phoneticPr fontId="12"/>
  </si>
  <si>
    <t>操作</t>
    <rPh sb="0" eb="2">
      <t>ソウサ</t>
    </rPh>
    <phoneticPr fontId="12"/>
  </si>
  <si>
    <t>画面</t>
    <rPh sb="0" eb="2">
      <t>ガメン</t>
    </rPh>
    <phoneticPr fontId="3"/>
  </si>
  <si>
    <t>印字</t>
    <phoneticPr fontId="3"/>
  </si>
  <si>
    <t>演算</t>
    <phoneticPr fontId="3"/>
  </si>
  <si>
    <t>画面</t>
  </si>
  <si>
    <t>印字</t>
  </si>
  <si>
    <t>ﾌｧｲﾙ</t>
    <phoneticPr fontId="12"/>
  </si>
  <si>
    <t>名称</t>
    <rPh sb="0" eb="2">
      <t>メイショウ</t>
    </rPh>
    <phoneticPr fontId="12"/>
  </si>
  <si>
    <t>ﾚｲ
ｱｳﾄ</t>
    <phoneticPr fontId="12"/>
  </si>
  <si>
    <t>ﾛｸﾞ</t>
    <phoneticPr fontId="12"/>
  </si>
  <si>
    <t>集計</t>
    <rPh sb="0" eb="2">
      <t>シュウケイ</t>
    </rPh>
    <phoneticPr fontId="3"/>
  </si>
  <si>
    <t>OK</t>
  </si>
  <si>
    <t>NG</t>
  </si>
  <si>
    <t>再確認</t>
    <phoneticPr fontId="3"/>
  </si>
  <si>
    <t>前提条件</t>
    <rPh sb="0" eb="4">
      <t>ゼンテイジョウケン</t>
    </rPh>
    <phoneticPr fontId="12"/>
  </si>
  <si>
    <t>ignicaPOSの売上が上がっていないこと,テストパターンの商品を売り上げること</t>
    <rPh sb="10" eb="12">
      <t>ウリアゲ</t>
    </rPh>
    <rPh sb="13" eb="14">
      <t>ア</t>
    </rPh>
    <rPh sb="31" eb="33">
      <t>ショウヒン</t>
    </rPh>
    <rPh sb="34" eb="35">
      <t>ウ</t>
    </rPh>
    <rPh sb="36" eb="37">
      <t>ア</t>
    </rPh>
    <phoneticPr fontId="12"/>
  </si>
  <si>
    <t>富士通POS</t>
    <rPh sb="0" eb="3">
      <t>フジツウ</t>
    </rPh>
    <phoneticPr fontId="12"/>
  </si>
  <si>
    <t>売上</t>
    <rPh sb="0" eb="2">
      <t>ウリアゲ</t>
    </rPh>
    <phoneticPr fontId="12"/>
  </si>
  <si>
    <t>Ignica提供の売上パターンを富士通POSで打鍵し、
トラン実績のテーブルを採取する。</t>
    <rPh sb="6" eb="8">
      <t>テイキョウ</t>
    </rPh>
    <rPh sb="9" eb="11">
      <t>ウリアゲ</t>
    </rPh>
    <rPh sb="16" eb="19">
      <t>フジツウ</t>
    </rPh>
    <rPh sb="23" eb="25">
      <t>ダケン</t>
    </rPh>
    <rPh sb="31" eb="33">
      <t>ジッセキ</t>
    </rPh>
    <rPh sb="39" eb="41">
      <t>サイシュ</t>
    </rPh>
    <phoneticPr fontId="12"/>
  </si>
  <si>
    <t>全取引が完了すること。
以下の11個のテーブルが採取できていること。
TRANS_HEADER.tsv
LN_LINK.tsv
LN_DETAIL.tsv
LN_DISCOUNT.tsv
TRANSACTION_TAX.tsv
TRANSACTION_TENDER.tsv
GIFT_CERT_TENDER.tsv
GSFD_PNT_TRANS_HEADER.tsv
MANUAL_PRICE
GL_TRAN
LOAN_PICKUP</t>
    <rPh sb="0" eb="1">
      <t>ゼン</t>
    </rPh>
    <rPh sb="1" eb="3">
      <t>トリヒキ</t>
    </rPh>
    <rPh sb="4" eb="6">
      <t>カンリョウ</t>
    </rPh>
    <rPh sb="12" eb="14">
      <t>イカ</t>
    </rPh>
    <rPh sb="17" eb="18">
      <t>コ</t>
    </rPh>
    <rPh sb="24" eb="26">
      <t>サイシュ</t>
    </rPh>
    <phoneticPr fontId="12"/>
  </si>
  <si>
    <t>○</t>
    <phoneticPr fontId="12"/>
  </si>
  <si>
    <t>富士通POSの売上が上がっていないこと,
テストパターンの商品を売り上げること</t>
    <rPh sb="0" eb="3">
      <t>フジツウ</t>
    </rPh>
    <rPh sb="7" eb="9">
      <t>ウリアゲ</t>
    </rPh>
    <rPh sb="10" eb="11">
      <t>ア</t>
    </rPh>
    <rPh sb="29" eb="31">
      <t>ショウヒン</t>
    </rPh>
    <rPh sb="32" eb="33">
      <t>ウ</t>
    </rPh>
    <rPh sb="34" eb="35">
      <t>ア</t>
    </rPh>
    <phoneticPr fontId="12"/>
  </si>
  <si>
    <t>IgnicaPOS</t>
    <phoneticPr fontId="12"/>
  </si>
  <si>
    <t>Ignica提供の売上パターンをIgnicaPOSで打鍵し、
トラン実績のテーブルを採取する。</t>
    <rPh sb="6" eb="8">
      <t>テイキョウ</t>
    </rPh>
    <rPh sb="9" eb="11">
      <t>ウリアゲ</t>
    </rPh>
    <rPh sb="26" eb="28">
      <t>ダケン</t>
    </rPh>
    <rPh sb="34" eb="36">
      <t>ジッセキ</t>
    </rPh>
    <rPh sb="42" eb="44">
      <t>サイシュ</t>
    </rPh>
    <phoneticPr fontId="12"/>
  </si>
  <si>
    <t>比較</t>
    <rPh sb="0" eb="2">
      <t>ヒカク</t>
    </rPh>
    <phoneticPr fontId="12"/>
  </si>
  <si>
    <t>TRANS_HEADER.tsv</t>
  </si>
  <si>
    <t>富士通POSとignicaPOSのテーブルを比較する。</t>
    <rPh sb="0" eb="3">
      <t>フジツウ</t>
    </rPh>
    <rPh sb="22" eb="24">
      <t>ヒカク</t>
    </rPh>
    <phoneticPr fontId="12"/>
  </si>
  <si>
    <t>2つのデータ内容に差異がないこと。</t>
    <rPh sb="6" eb="8">
      <t>ナイヨウ</t>
    </rPh>
    <rPh sb="9" eb="11">
      <t>サイ</t>
    </rPh>
    <phoneticPr fontId="12"/>
  </si>
  <si>
    <t>LN_LINK.tsv</t>
  </si>
  <si>
    <t>No.5と同様</t>
    <rPh sb="5" eb="7">
      <t>ドウヨウ</t>
    </rPh>
    <phoneticPr fontId="12"/>
  </si>
  <si>
    <t>MANUAL_PRICE</t>
  </si>
  <si>
    <t>GL_TRAN</t>
  </si>
  <si>
    <t>LOAN_PICKUP</t>
  </si>
  <si>
    <t>OK数(●)：</t>
    <phoneticPr fontId="3"/>
  </si>
  <si>
    <t>合計</t>
    <rPh sb="0" eb="2">
      <t>ゴウケイ</t>
    </rPh>
    <phoneticPr fontId="12"/>
  </si>
  <si>
    <t>計：</t>
    <rPh sb="0" eb="1">
      <t>ケイ</t>
    </rPh>
    <phoneticPr fontId="12"/>
  </si>
  <si>
    <t>消化テスト項目数：</t>
    <phoneticPr fontId="12"/>
  </si>
  <si>
    <t>NG数(×)：</t>
    <phoneticPr fontId="12"/>
  </si>
  <si>
    <t xml:space="preserve"> </t>
  </si>
  <si>
    <t>消化項目数：</t>
  </si>
  <si>
    <t>全テスト項目数：</t>
    <phoneticPr fontId="12"/>
  </si>
  <si>
    <t>全項目数：</t>
  </si>
  <si>
    <t>レイ
アウト</t>
    <phoneticPr fontId="12"/>
  </si>
  <si>
    <t>ignicaPOSの売上が上がっていないこと,
テストパターンの商品を売り上げること</t>
    <rPh sb="10" eb="12">
      <t>ウリアゲ</t>
    </rPh>
    <rPh sb="13" eb="14">
      <t>ア</t>
    </rPh>
    <rPh sb="32" eb="34">
      <t>ショウヒン</t>
    </rPh>
    <rPh sb="35" eb="36">
      <t>ウ</t>
    </rPh>
    <rPh sb="37" eb="38">
      <t>ア</t>
    </rPh>
    <phoneticPr fontId="12"/>
  </si>
  <si>
    <t>売上（IC他クレ）</t>
    <rPh sb="0" eb="2">
      <t>ウリアゲ</t>
    </rPh>
    <rPh sb="5" eb="6">
      <t>タ</t>
    </rPh>
    <phoneticPr fontId="12"/>
  </si>
  <si>
    <t>Ignica提供の売上パターンを富士通POSで打鍵</t>
    <rPh sb="6" eb="8">
      <t>テイキョウ</t>
    </rPh>
    <rPh sb="9" eb="11">
      <t>ウリアゲ</t>
    </rPh>
    <rPh sb="16" eb="19">
      <t>フジツウ</t>
    </rPh>
    <rPh sb="23" eb="25">
      <t>ダケン</t>
    </rPh>
    <phoneticPr fontId="12"/>
  </si>
  <si>
    <t>取引が完了すること。</t>
    <phoneticPr fontId="12"/>
  </si>
  <si>
    <t>○</t>
  </si>
  <si>
    <t>売上（MS他クレ）</t>
    <rPh sb="0" eb="2">
      <t>ウリアゲ</t>
    </rPh>
    <rPh sb="5" eb="6">
      <t>タ</t>
    </rPh>
    <phoneticPr fontId="12"/>
  </si>
  <si>
    <t>取引が完了すること。</t>
    <rPh sb="0" eb="2">
      <t>トリヒキ</t>
    </rPh>
    <rPh sb="3" eb="5">
      <t>カンリョウ</t>
    </rPh>
    <phoneticPr fontId="12"/>
  </si>
  <si>
    <t>売上（Vカード）</t>
    <rPh sb="0" eb="2">
      <t>ウリアゲ</t>
    </rPh>
    <phoneticPr fontId="12"/>
  </si>
  <si>
    <t>POS精算</t>
    <rPh sb="3" eb="5">
      <t>セイサン</t>
    </rPh>
    <phoneticPr fontId="12"/>
  </si>
  <si>
    <t>売上をあげたPOSで精算</t>
    <rPh sb="0" eb="2">
      <t>ウリアゲ</t>
    </rPh>
    <rPh sb="10" eb="12">
      <t>セイサン</t>
    </rPh>
    <phoneticPr fontId="12"/>
  </si>
  <si>
    <t>精算でエラーが発生しないこと
翌日明細突合データが作成されていること</t>
    <rPh sb="0" eb="2">
      <t>セイサン</t>
    </rPh>
    <rPh sb="7" eb="9">
      <t>ハッセイ</t>
    </rPh>
    <rPh sb="15" eb="17">
      <t>ヨクジツ</t>
    </rPh>
    <rPh sb="17" eb="19">
      <t>メイサイ</t>
    </rPh>
    <rPh sb="19" eb="21">
      <t>トツゴウ</t>
    </rPh>
    <rPh sb="25" eb="27">
      <t>サクセイ</t>
    </rPh>
    <phoneticPr fontId="12"/>
  </si>
  <si>
    <t>C:\siams\bat\file\cms\sendbak\bakyyyymmdd
※前日日付
CR_TRAN.DAT</t>
    <rPh sb="43" eb="47">
      <t>ゼンジツヒヅケ</t>
    </rPh>
    <phoneticPr fontId="12"/>
  </si>
  <si>
    <t>Ignica提供の売上パターンをIgnicaPOSで打鍵</t>
    <rPh sb="6" eb="8">
      <t>テイキョウ</t>
    </rPh>
    <rPh sb="9" eb="11">
      <t>ウリアゲ</t>
    </rPh>
    <rPh sb="26" eb="28">
      <t>ダケン</t>
    </rPh>
    <phoneticPr fontId="12"/>
  </si>
  <si>
    <t>CR_TRAN.DATを比較する</t>
    <rPh sb="12" eb="14">
      <t>ヒカク</t>
    </rPh>
    <phoneticPr fontId="12"/>
  </si>
  <si>
    <t>Ignica提供の売上パターンを富士通POSで打鍵し、
POSで精算を実施する。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rPh sb="35" eb="37">
      <t>ジッシ</t>
    </rPh>
    <phoneticPr fontId="12"/>
  </si>
  <si>
    <t>精算確定報出力</t>
    <rPh sb="0" eb="2">
      <t>セイサン</t>
    </rPh>
    <rPh sb="2" eb="5">
      <t>カクテイホウ</t>
    </rPh>
    <rPh sb="5" eb="7">
      <t>シュツリョク</t>
    </rPh>
    <phoneticPr fontId="12"/>
  </si>
  <si>
    <t>→翌日サーバメニューから店舗
→「精算レシート入力」
→「更新」
→「閉じる」
→「精算確定報作成」</t>
    <phoneticPr fontId="12"/>
  </si>
  <si>
    <t>前日分の精算確定報が出力されること</t>
    <rPh sb="0" eb="3">
      <t>ゼンジツブン</t>
    </rPh>
    <rPh sb="4" eb="6">
      <t>セイサン</t>
    </rPh>
    <rPh sb="6" eb="8">
      <t>カクテイ</t>
    </rPh>
    <rPh sb="8" eb="9">
      <t>ホウ</t>
    </rPh>
    <rPh sb="10" eb="12">
      <t>シュツリョク</t>
    </rPh>
    <phoneticPr fontId="12"/>
  </si>
  <si>
    <t>Ignica提供の売上パターンをIgnicaPOSで打鍵し、
POSで精算を実施する。</t>
    <rPh sb="6" eb="8">
      <t>テイキョウ</t>
    </rPh>
    <rPh sb="9" eb="11">
      <t>ウリアゲ</t>
    </rPh>
    <rPh sb="26" eb="28">
      <t>ダケン</t>
    </rPh>
    <rPh sb="35" eb="37">
      <t>セイサン</t>
    </rPh>
    <rPh sb="38" eb="40">
      <t>ジッシ</t>
    </rPh>
    <phoneticPr fontId="12"/>
  </si>
  <si>
    <t>精算確定報を比較する</t>
    <rPh sb="0" eb="5">
      <t>セイサンカクテイホウ</t>
    </rPh>
    <rPh sb="6" eb="8">
      <t>ヒカク</t>
    </rPh>
    <phoneticPr fontId="12"/>
  </si>
  <si>
    <t>売上(d払い)</t>
    <rPh sb="0" eb="2">
      <t>ウリアゲ</t>
    </rPh>
    <rPh sb="4" eb="5">
      <t>ハラ</t>
    </rPh>
    <phoneticPr fontId="12"/>
  </si>
  <si>
    <t>ファイル出力</t>
    <rPh sb="4" eb="6">
      <t>シュツリョク</t>
    </rPh>
    <phoneticPr fontId="12"/>
  </si>
  <si>
    <t>248号店の集約サーバを確認</t>
    <rPh sb="12" eb="14">
      <t>カクニン</t>
    </rPh>
    <phoneticPr fontId="12"/>
  </si>
  <si>
    <t>（格納場所）に（ファイル名）が格納されていること</t>
    <rPh sb="1" eb="5">
      <t>カクノウバショ</t>
    </rPh>
    <rPh sb="12" eb="13">
      <t>メイ</t>
    </rPh>
    <rPh sb="15" eb="17">
      <t>カクノウ</t>
    </rPh>
    <phoneticPr fontId="12"/>
  </si>
  <si>
    <t>集約サーバに格納されていたファイルを比較する</t>
    <rPh sb="0" eb="2">
      <t>シュウヤク</t>
    </rPh>
    <rPh sb="6" eb="8">
      <t>カクノウ</t>
    </rPh>
    <rPh sb="18" eb="20">
      <t>ヒカク</t>
    </rPh>
    <phoneticPr fontId="12"/>
  </si>
  <si>
    <t>2つのファイルレイアウトに差異がないこと。</t>
    <rPh sb="13" eb="15">
      <t>サイ</t>
    </rPh>
    <phoneticPr fontId="12"/>
  </si>
  <si>
    <t>Ignica提供の売上パターンを富士通POSで打鍵し、
集配信インターフェースファイルを確認する。</t>
    <rPh sb="6" eb="8">
      <t>テイキョウ</t>
    </rPh>
    <rPh sb="9" eb="11">
      <t>ウリアゲ</t>
    </rPh>
    <rPh sb="16" eb="19">
      <t>フジツウ</t>
    </rPh>
    <rPh sb="23" eb="25">
      <t>ダケン</t>
    </rPh>
    <rPh sb="28" eb="29">
      <t>シュウ</t>
    </rPh>
    <rPh sb="29" eb="31">
      <t>ハイシン</t>
    </rPh>
    <rPh sb="44" eb="46">
      <t>カクニン</t>
    </rPh>
    <phoneticPr fontId="12"/>
  </si>
  <si>
    <t>ファイル採取</t>
    <rPh sb="4" eb="6">
      <t>サイシュ</t>
    </rPh>
    <phoneticPr fontId="12"/>
  </si>
  <si>
    <t>単品別時間帯別販売実績</t>
  </si>
  <si>
    <t>小分類のファイルを採取する</t>
    <rPh sb="0" eb="3">
      <t>ショウブンルイ</t>
    </rPh>
    <rPh sb="9" eb="11">
      <t>サイシュ</t>
    </rPh>
    <phoneticPr fontId="12"/>
  </si>
  <si>
    <t>対象のファイルが指定の場所に格納されていること</t>
    <rPh sb="0" eb="2">
      <t>タイショウ</t>
    </rPh>
    <rPh sb="8" eb="10">
      <t>シテイ</t>
    </rPh>
    <rPh sb="11" eb="13">
      <t>バショ</t>
    </rPh>
    <rPh sb="14" eb="16">
      <t>カクノウ</t>
    </rPh>
    <phoneticPr fontId="12"/>
  </si>
  <si>
    <t>C:\CTKY\Data\CCR_Send
CTKY_CCR_PLU_TM_SALE</t>
    <phoneticPr fontId="12"/>
  </si>
  <si>
    <t>部門別時間帯別販売実績</t>
  </si>
  <si>
    <t>No.3と同様</t>
    <rPh sb="5" eb="7">
      <t>ドウヨウ</t>
    </rPh>
    <phoneticPr fontId="12"/>
  </si>
  <si>
    <t>C:\CTKY\Data\CCR_Send
CTKY_CCR_BMN_TM_SALE</t>
    <phoneticPr fontId="12"/>
  </si>
  <si>
    <t>店別時間帯別販売実績(客数)</t>
  </si>
  <si>
    <t>C:\CTKY\Data\CCR_Send
CTKY_CCR_TRN_TM_COM</t>
    <phoneticPr fontId="12"/>
  </si>
  <si>
    <t>店別時間帯別販売実績(売上)</t>
  </si>
  <si>
    <t>C:\CTKY\Data\CCR_Send
CTKY_CCR_TRN_TM_SALE</t>
    <phoneticPr fontId="12"/>
  </si>
  <si>
    <t>単品別時間帯別値引実績</t>
  </si>
  <si>
    <t>C:\CTKY\Data\CCR_Send
CTKY_CCR_PLU_TM_DISC</t>
    <phoneticPr fontId="12"/>
  </si>
  <si>
    <t>部門別時間帯別値引実績</t>
  </si>
  <si>
    <t>C:\CTKY\Data\CCR_Send
CTKY_CCR_BMN_TM_DISC</t>
    <phoneticPr fontId="12"/>
  </si>
  <si>
    <t>部門別時間帯別客数</t>
  </si>
  <si>
    <t>C:\CTKY\Data\CCR_Send
CTKY_CCR_BMN_TM_COM</t>
    <phoneticPr fontId="12"/>
  </si>
  <si>
    <t>単品別時間帯別販売実績(ALL)</t>
  </si>
  <si>
    <t>CTKY_CCR_PLU_TM_SALE_ALL</t>
  </si>
  <si>
    <t>部門別時間帯別販売実績(ALL)</t>
  </si>
  <si>
    <t>CTKY_CCR_BMN_TM_SALE_ALL</t>
  </si>
  <si>
    <t>店別時間帯別販売実績(客数)(ALL)</t>
  </si>
  <si>
    <t>CTKY_CCR_TRN_TM_COM_ALL</t>
  </si>
  <si>
    <t>店別時間帯別販売実績(売上)(ALL)</t>
  </si>
  <si>
    <t>CTKY_CCR_TRN_TM_SALE_ALL</t>
  </si>
  <si>
    <t>単品別時間帯別値引実績(ALL)</t>
  </si>
  <si>
    <t>CTKY_CCR_PLU_TM_DISC_ALL</t>
  </si>
  <si>
    <t>部門別時間帯別値引実績(ALL)</t>
  </si>
  <si>
    <t>CTKY_CCR_BMN_TM_DISC_ALL</t>
  </si>
  <si>
    <t>部門別時間帯別客数(ALL)</t>
  </si>
  <si>
    <t>CTKY_CCR_BMN_TM_COM_ALL</t>
  </si>
  <si>
    <t>全トラン</t>
  </si>
  <si>
    <t>C:\siams\bat\file\cms\sendbak\bakyyyymmdd
ALL_TRANSACTION.DAT</t>
    <phoneticPr fontId="12"/>
  </si>
  <si>
    <t>単品別時間帯別販売実績※AOF向け部門制御</t>
  </si>
  <si>
    <t>CTKY_CCR_TRN_TM_COM_NAR</t>
  </si>
  <si>
    <t>店別時間帯別販売実績(客数)※AOF向け部門制御</t>
  </si>
  <si>
    <t>CTKY_CCR_PLU_TM_SALE_NAR</t>
  </si>
  <si>
    <t>単品別時間帯別値引実績※AOF向け部門制御</t>
  </si>
  <si>
    <t>CTKY_CCR_PLU_TM_DISC_NAR</t>
  </si>
  <si>
    <t>日別部門別実績データ</t>
  </si>
  <si>
    <t>C:\siams\bat\file\cms\sendbak\bakyyyymmdd
SLSDPTDAY</t>
    <phoneticPr fontId="12"/>
  </si>
  <si>
    <t>時間帯別部門別実績データ</t>
  </si>
  <si>
    <t>C:\siams\bat\file\cms\sendbak\bakyyyymmdd
SLSDPTTIME</t>
    <phoneticPr fontId="12"/>
  </si>
  <si>
    <t>日別単品別実績データ</t>
  </si>
  <si>
    <t>C:\siams\bat\file\cms\sendbak\bakyyyymmdd
SLSITEMDAY</t>
    <phoneticPr fontId="12"/>
  </si>
  <si>
    <t>時間帯別単品実績データ</t>
  </si>
  <si>
    <t>C:\siams\bat\file\cms\sendbak\bakyyyymmdd
SLSITEMTIME</t>
    <phoneticPr fontId="12"/>
  </si>
  <si>
    <t>ＭＩＯ実績データ</t>
  </si>
  <si>
    <t>C:\siams\bat\file\cms\sendbak\bakyyyymmdd
SLSMIO</t>
    <phoneticPr fontId="12"/>
  </si>
  <si>
    <t>催事明細ログデータ</t>
  </si>
  <si>
    <t>C:\siams\bat\file\cms\sendbak\bakyyyymmdd
EVNTDTLLOG</t>
    <phoneticPr fontId="12"/>
  </si>
  <si>
    <t>売上報告（店売上）データ</t>
  </si>
  <si>
    <t>C:\siams\bat\file\cms\sendbak\bakyyyymmdd
RPTSLSSTOR</t>
    <phoneticPr fontId="12"/>
  </si>
  <si>
    <t>売上報告（部門売上）データ</t>
  </si>
  <si>
    <t>C:\siams\bat\file\cms\sendbak\bakyyyymmdd
RPTSLSDPT</t>
    <phoneticPr fontId="12"/>
  </si>
  <si>
    <t>レジスター精算データ</t>
  </si>
  <si>
    <t>C:\siams\bat\file\cms\sendbak\bakyyyymmdd
ACTREGI</t>
    <phoneticPr fontId="12"/>
  </si>
  <si>
    <t>レジスター精算（店売上）データ</t>
  </si>
  <si>
    <t>C:\siams\bat\file\cms\sendbak\bakyyyymmdd
ACTSTOR</t>
    <phoneticPr fontId="12"/>
  </si>
  <si>
    <t>レジスター精算（部門売上）データ</t>
  </si>
  <si>
    <t>C:\siams\bat\file\cms\sendbak\bakyyyymmdd
ACTDPT</t>
    <phoneticPr fontId="12"/>
  </si>
  <si>
    <t>入出金明細データ</t>
  </si>
  <si>
    <t>C:\siams\bat\file\cms\sendbak\bakyyyymmdd
RSTYDTL</t>
    <phoneticPr fontId="12"/>
  </si>
  <si>
    <t>小計割引実績ファイル</t>
  </si>
  <si>
    <t>C:\siams\bat\file\cms\sendbak\bakyyyymmdd
CTKY_SUBDISC_DATA.dat</t>
    <phoneticPr fontId="12"/>
  </si>
  <si>
    <t>単品付与実績データ</t>
  </si>
  <si>
    <t>C:\siams\bat\file\cms\sendbak\bakyyyymmdd
CTKY_ITEM_ADD_DATA.txt</t>
    <phoneticPr fontId="12"/>
  </si>
  <si>
    <t>日別単品別実績データ（部門・ｸﾗｽ）</t>
  </si>
  <si>
    <t>C:\siams\bat\file\cms\sendbak\bakyyyymmdd
SLSITEMDAYADD</t>
    <phoneticPr fontId="12"/>
  </si>
  <si>
    <t>クレジット明細データ（DMPS）</t>
  </si>
  <si>
    <t>C:\siams\bat\file\cms\sendbak\bakyyyymmdd
CR_TRAN.DAT</t>
    <phoneticPr fontId="12"/>
  </si>
  <si>
    <t>SLSITEMDAY</t>
  </si>
  <si>
    <t>単品別時間帯別販売実績（テキスト出力）</t>
  </si>
  <si>
    <t>Txt_PluTmPr60.txt</t>
  </si>
  <si>
    <t>Ignica提供の売上パターンをIgnicaPOSで打鍵し、
集配信インターフェースファイルを確認する。</t>
    <rPh sb="6" eb="8">
      <t>テイキョウ</t>
    </rPh>
    <rPh sb="9" eb="11">
      <t>ウリアゲ</t>
    </rPh>
    <rPh sb="26" eb="28">
      <t>ダケン</t>
    </rPh>
    <rPh sb="31" eb="32">
      <t>シュウ</t>
    </rPh>
    <rPh sb="32" eb="34">
      <t>ハイシン</t>
    </rPh>
    <rPh sb="47" eb="49">
      <t>カクニン</t>
    </rPh>
    <phoneticPr fontId="12"/>
  </si>
  <si>
    <t>No.41と同様</t>
    <rPh sb="6" eb="8">
      <t>ドウヨウ</t>
    </rPh>
    <phoneticPr fontId="12"/>
  </si>
  <si>
    <t>富士通POSとIgnicaPOSで採取したファイルを比較する</t>
    <rPh sb="0" eb="3">
      <t>フジツウ</t>
    </rPh>
    <rPh sb="17" eb="19">
      <t>サイシュ</t>
    </rPh>
    <rPh sb="26" eb="28">
      <t>ヒカク</t>
    </rPh>
    <phoneticPr fontId="12"/>
  </si>
  <si>
    <t>No.77と同様</t>
    <rPh sb="6" eb="8">
      <t>ドウヨウ</t>
    </rPh>
    <phoneticPr fontId="12"/>
  </si>
  <si>
    <t>Ignica提供の売上パターンを富士通POSで打鍵し、
POSを精算する。</t>
    <rPh sb="6" eb="8">
      <t>テイキョウ</t>
    </rPh>
    <rPh sb="9" eb="11">
      <t>ウリアゲ</t>
    </rPh>
    <rPh sb="16" eb="19">
      <t>フジツウ</t>
    </rPh>
    <rPh sb="23" eb="25">
      <t>ダケン</t>
    </rPh>
    <rPh sb="32" eb="34">
      <t>セイサン</t>
    </rPh>
    <phoneticPr fontId="12"/>
  </si>
  <si>
    <t>レポート</t>
    <phoneticPr fontId="12"/>
  </si>
  <si>
    <t>商品階層別速報</t>
    <rPh sb="0" eb="2">
      <t>ショウヒン</t>
    </rPh>
    <rPh sb="2" eb="4">
      <t>カイソウ</t>
    </rPh>
    <rPh sb="4" eb="5">
      <t>ベツ</t>
    </rPh>
    <rPh sb="5" eb="7">
      <t>ソクホウ</t>
    </rPh>
    <phoneticPr fontId="7"/>
  </si>
  <si>
    <t>サーバメニュー：
店舗
→データ活用
→商品階層別
→商品階層別速報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ソクホウ</t>
    </rPh>
    <rPh sb="46" eb="48">
      <t>ホゾン</t>
    </rPh>
    <phoneticPr fontId="12"/>
  </si>
  <si>
    <t>上記取引が反映されていること。
レポート画面が保存されていること。</t>
    <rPh sb="0" eb="2">
      <t>ジョウキ</t>
    </rPh>
    <rPh sb="2" eb="4">
      <t>トリヒキ</t>
    </rPh>
    <rPh sb="5" eb="7">
      <t>ハンエイ</t>
    </rPh>
    <phoneticPr fontId="12"/>
  </si>
  <si>
    <t>担当者別速報</t>
    <rPh sb="0" eb="3">
      <t>タントウシャ</t>
    </rPh>
    <rPh sb="3" eb="4">
      <t>ベツ</t>
    </rPh>
    <rPh sb="4" eb="6">
      <t>ソクホウ</t>
    </rPh>
    <phoneticPr fontId="7"/>
  </si>
  <si>
    <t>サーバメニュー：
店舗
→データ活用
→担当者別
→担当者別速報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ソクホウ</t>
    </rPh>
    <phoneticPr fontId="12"/>
  </si>
  <si>
    <t>取引別速報</t>
    <rPh sb="0" eb="3">
      <t>トリヒキベツ</t>
    </rPh>
    <rPh sb="3" eb="5">
      <t>ソクホウ</t>
    </rPh>
    <phoneticPr fontId="7"/>
  </si>
  <si>
    <t>サーバメニュー：
店舗
→データ活用
→取引別
→取引別速報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ソクホウ</t>
    </rPh>
    <phoneticPr fontId="12"/>
  </si>
  <si>
    <t>POS別速報</t>
    <rPh sb="3" eb="4">
      <t>ベツ</t>
    </rPh>
    <rPh sb="4" eb="6">
      <t>ソクホウ</t>
    </rPh>
    <phoneticPr fontId="7"/>
  </si>
  <si>
    <t>サーバメニュー：
システム管理
→データ活用
→速報（当日分）
→POS別速報
→スクリーンショットで保存</t>
    <rPh sb="13" eb="15">
      <t>カンリ</t>
    </rPh>
    <rPh sb="20" eb="22">
      <t>カツヨウ</t>
    </rPh>
    <rPh sb="24" eb="26">
      <t>ソクホウ</t>
    </rPh>
    <rPh sb="27" eb="30">
      <t>トウジツブン</t>
    </rPh>
    <rPh sb="36" eb="37">
      <t>ベツ</t>
    </rPh>
    <rPh sb="37" eb="39">
      <t>ソクホウ</t>
    </rPh>
    <phoneticPr fontId="12"/>
  </si>
  <si>
    <t>単品別速報</t>
    <rPh sb="0" eb="2">
      <t>タンピン</t>
    </rPh>
    <rPh sb="2" eb="3">
      <t>ベツ</t>
    </rPh>
    <rPh sb="3" eb="5">
      <t>ソクホウ</t>
    </rPh>
    <phoneticPr fontId="7"/>
  </si>
  <si>
    <t>サーバメニュー：
店舗
→データ活用
→単品別
→単品別速報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ソクホウ</t>
    </rPh>
    <phoneticPr fontId="12"/>
  </si>
  <si>
    <t>商品階層別時間帯別速報</t>
    <rPh sb="0" eb="2">
      <t>ショウヒン</t>
    </rPh>
    <rPh sb="2" eb="5">
      <t>カイソウベツ</t>
    </rPh>
    <rPh sb="5" eb="7">
      <t>ジカン</t>
    </rPh>
    <rPh sb="7" eb="9">
      <t>タイベツ</t>
    </rPh>
    <rPh sb="9" eb="11">
      <t>ソクホウ</t>
    </rPh>
    <phoneticPr fontId="7"/>
  </si>
  <si>
    <t>サーバメニュー：
店舗
→データ活用
→商品階層別
→商品階層別時間帯別速報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ソクホウ</t>
    </rPh>
    <phoneticPr fontId="12"/>
  </si>
  <si>
    <t>担当者別時間帯別速報</t>
    <rPh sb="0" eb="3">
      <t>タントウシャ</t>
    </rPh>
    <rPh sb="3" eb="4">
      <t>ベツ</t>
    </rPh>
    <rPh sb="4" eb="6">
      <t>ジカン</t>
    </rPh>
    <rPh sb="6" eb="8">
      <t>タイベツ</t>
    </rPh>
    <rPh sb="8" eb="10">
      <t>ソクホウ</t>
    </rPh>
    <phoneticPr fontId="7"/>
  </si>
  <si>
    <t>サーバメニュー：
システム管理
→データ活用
→時間帯別速報（当日分）
→担当者別時間帯別速報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41">
      <t>タントウシャベツ</t>
    </rPh>
    <rPh sb="41" eb="45">
      <t>ジカンタイベツ</t>
    </rPh>
    <rPh sb="45" eb="47">
      <t>ソクホウ</t>
    </rPh>
    <phoneticPr fontId="12"/>
  </si>
  <si>
    <t>POS別時間帯別速報</t>
    <rPh sb="3" eb="4">
      <t>ベツ</t>
    </rPh>
    <rPh sb="4" eb="6">
      <t>ジカン</t>
    </rPh>
    <rPh sb="6" eb="7">
      <t>タイ</t>
    </rPh>
    <rPh sb="7" eb="10">
      <t>ベツソクホウ</t>
    </rPh>
    <phoneticPr fontId="7"/>
  </si>
  <si>
    <t>サーバメニュー：
システム管理
→データ活用
→時間帯別速報（当日分）
→POS別時間帯別速報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40" eb="41">
      <t>ベツ</t>
    </rPh>
    <rPh sb="41" eb="45">
      <t>ジカンタイベツ</t>
    </rPh>
    <rPh sb="45" eb="47">
      <t>ソクホウ</t>
    </rPh>
    <phoneticPr fontId="12"/>
  </si>
  <si>
    <t>単品別時間帯別速報</t>
    <rPh sb="0" eb="2">
      <t>タンピン</t>
    </rPh>
    <rPh sb="2" eb="3">
      <t>ベツ</t>
    </rPh>
    <rPh sb="3" eb="9">
      <t>ジカンタイベツソクホウ</t>
    </rPh>
    <phoneticPr fontId="7"/>
  </si>
  <si>
    <t>サーバメニュー：
システム管理
→データ活用
→時間帯別速報（当日分）
→単品別時間帯別速報
→スクリーンショットで保存</t>
    <rPh sb="13" eb="15">
      <t>カンリ</t>
    </rPh>
    <rPh sb="20" eb="22">
      <t>カツヨウ</t>
    </rPh>
    <rPh sb="24" eb="28">
      <t>ジカンタイベツ</t>
    </rPh>
    <rPh sb="28" eb="30">
      <t>ソクホウ</t>
    </rPh>
    <rPh sb="31" eb="34">
      <t>トウジツブン</t>
    </rPh>
    <rPh sb="37" eb="39">
      <t>タンピン</t>
    </rPh>
    <rPh sb="39" eb="40">
      <t>ベツ</t>
    </rPh>
    <rPh sb="40" eb="44">
      <t>ジカンタイベツ</t>
    </rPh>
    <rPh sb="44" eb="46">
      <t>ソクホウ</t>
    </rPh>
    <phoneticPr fontId="12"/>
  </si>
  <si>
    <t>商品階層別日報</t>
    <rPh sb="0" eb="4">
      <t>ショウヒンカイソウ</t>
    </rPh>
    <rPh sb="4" eb="5">
      <t>ベツ</t>
    </rPh>
    <rPh sb="5" eb="7">
      <t>ニッポウ</t>
    </rPh>
    <phoneticPr fontId="7"/>
  </si>
  <si>
    <t>サーバメニュー：
店舗
→データ活用
→商品階層別
→商品階層別日報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ニッポウ</t>
    </rPh>
    <phoneticPr fontId="12"/>
  </si>
  <si>
    <t>担当者別日報</t>
    <rPh sb="0" eb="3">
      <t>タントウシャ</t>
    </rPh>
    <rPh sb="3" eb="4">
      <t>ベツ</t>
    </rPh>
    <rPh sb="4" eb="6">
      <t>ニッポウ</t>
    </rPh>
    <phoneticPr fontId="7"/>
  </si>
  <si>
    <t>サーバメニュー：
店舗
→データ活用
→担当者別
→担当者別日報
→スクリーンショットで保存</t>
    <rPh sb="9" eb="11">
      <t>テンポ</t>
    </rPh>
    <rPh sb="16" eb="18">
      <t>カツヨウ</t>
    </rPh>
    <rPh sb="20" eb="23">
      <t>タントウシャ</t>
    </rPh>
    <rPh sb="23" eb="24">
      <t>ベツ</t>
    </rPh>
    <rPh sb="26" eb="29">
      <t>タントウシャ</t>
    </rPh>
    <rPh sb="29" eb="30">
      <t>ベツ</t>
    </rPh>
    <rPh sb="30" eb="32">
      <t>ニッポウ</t>
    </rPh>
    <phoneticPr fontId="12"/>
  </si>
  <si>
    <t>担当者別管理表</t>
    <rPh sb="0" eb="4">
      <t>タントウシャベツ</t>
    </rPh>
    <rPh sb="4" eb="7">
      <t>カンリヒョウ</t>
    </rPh>
    <phoneticPr fontId="7"/>
  </si>
  <si>
    <t>サーバメニュー：
システム管理
→データ活用
→日報（前日営業日）
→担当者別管理表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8">
      <t>タントウシャ</t>
    </rPh>
    <rPh sb="38" eb="39">
      <t>ベツ</t>
    </rPh>
    <rPh sb="39" eb="41">
      <t>カンリ</t>
    </rPh>
    <rPh sb="41" eb="42">
      <t>ヒョウ</t>
    </rPh>
    <phoneticPr fontId="12"/>
  </si>
  <si>
    <t>取引別日報</t>
    <rPh sb="0" eb="3">
      <t>トリヒキベツ</t>
    </rPh>
    <rPh sb="3" eb="5">
      <t>ニッポウ</t>
    </rPh>
    <phoneticPr fontId="7"/>
  </si>
  <si>
    <t>サーバメニュー：
店舗
→データ活用
→取引別
→取引別日報
→スクリーンショットで保存</t>
    <rPh sb="9" eb="11">
      <t>テンポ</t>
    </rPh>
    <rPh sb="16" eb="18">
      <t>カツヨウ</t>
    </rPh>
    <rPh sb="20" eb="22">
      <t>トリヒキ</t>
    </rPh>
    <rPh sb="22" eb="23">
      <t>ベツ</t>
    </rPh>
    <rPh sb="25" eb="27">
      <t>トリヒキ</t>
    </rPh>
    <rPh sb="27" eb="28">
      <t>ベツ</t>
    </rPh>
    <rPh sb="28" eb="30">
      <t>ニッポウ</t>
    </rPh>
    <phoneticPr fontId="12"/>
  </si>
  <si>
    <t>POS別日報</t>
    <rPh sb="3" eb="4">
      <t>ベツ</t>
    </rPh>
    <rPh sb="4" eb="6">
      <t>ニッポウ</t>
    </rPh>
    <phoneticPr fontId="7"/>
  </si>
  <si>
    <t>サーバメニュー：
システム管理
→データ活用
→日報（前日営業日）
→POS別日報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8" eb="39">
      <t>ベツ</t>
    </rPh>
    <rPh sb="39" eb="41">
      <t>ニッポウ</t>
    </rPh>
    <phoneticPr fontId="12"/>
  </si>
  <si>
    <t>単品別日報</t>
    <rPh sb="0" eb="2">
      <t>タンピン</t>
    </rPh>
    <rPh sb="2" eb="3">
      <t>ベツ</t>
    </rPh>
    <rPh sb="3" eb="5">
      <t>ニッポウ</t>
    </rPh>
    <phoneticPr fontId="7"/>
  </si>
  <si>
    <t>サーバメニュー：
店舗
→データ活用
→単品別
→単品別日報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7">
      <t>タンピン</t>
    </rPh>
    <rPh sb="27" eb="28">
      <t>ベツ</t>
    </rPh>
    <rPh sb="28" eb="30">
      <t>ニッポウ</t>
    </rPh>
    <phoneticPr fontId="12"/>
  </si>
  <si>
    <t>企画別単品別日報</t>
    <rPh sb="0" eb="3">
      <t>キカクベツ</t>
    </rPh>
    <rPh sb="3" eb="6">
      <t>タンピンベツ</t>
    </rPh>
    <rPh sb="6" eb="8">
      <t>ニッポウ</t>
    </rPh>
    <phoneticPr fontId="7"/>
  </si>
  <si>
    <t>サーバメニュー：
システム管理
→データ活用
→日報（前日営業日）
→企画別単品別日報
→スクリーンショットで保存</t>
    <rPh sb="13" eb="15">
      <t>カンリ</t>
    </rPh>
    <rPh sb="20" eb="22">
      <t>カツヨウ</t>
    </rPh>
    <rPh sb="24" eb="26">
      <t>ニッポウ</t>
    </rPh>
    <rPh sb="27" eb="29">
      <t>ゼンジツ</t>
    </rPh>
    <rPh sb="29" eb="31">
      <t>エイギョウ</t>
    </rPh>
    <rPh sb="31" eb="32">
      <t>ビ</t>
    </rPh>
    <rPh sb="35" eb="37">
      <t>キカク</t>
    </rPh>
    <rPh sb="37" eb="38">
      <t>ベツ</t>
    </rPh>
    <rPh sb="38" eb="40">
      <t>タンピン</t>
    </rPh>
    <rPh sb="40" eb="41">
      <t>ベツ</t>
    </rPh>
    <rPh sb="41" eb="43">
      <t>ニッポウ</t>
    </rPh>
    <phoneticPr fontId="12"/>
  </si>
  <si>
    <t>商品階層別時間帯別日報</t>
    <rPh sb="0" eb="5">
      <t>ショウヒンカイソウベツ</t>
    </rPh>
    <rPh sb="5" eb="8">
      <t>ジカンタイ</t>
    </rPh>
    <rPh sb="8" eb="9">
      <t>ベツ</t>
    </rPh>
    <rPh sb="9" eb="11">
      <t>ニッポウ</t>
    </rPh>
    <phoneticPr fontId="7"/>
  </si>
  <si>
    <t>サーバメニュー：
店舗
→データ活用
→商品階層別
→商品階層別時間帯別日報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6">
      <t>ジカンタイベツ</t>
    </rPh>
    <rPh sb="36" eb="38">
      <t>ニッポウ</t>
    </rPh>
    <phoneticPr fontId="12"/>
  </si>
  <si>
    <t>担当者別時間帯別日報</t>
    <rPh sb="0" eb="4">
      <t>タントウシャベツ</t>
    </rPh>
    <rPh sb="4" eb="7">
      <t>ジカンタイ</t>
    </rPh>
    <rPh sb="7" eb="8">
      <t>ベツ</t>
    </rPh>
    <rPh sb="8" eb="10">
      <t>ニッポウ</t>
    </rPh>
    <phoneticPr fontId="7"/>
  </si>
  <si>
    <t>サーバメニュー：
システム管理
→データ活用
→時間帯別日報（前日営業日）
→担当者別時間帯別日報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3">
      <t>タントウシャベツ</t>
    </rPh>
    <rPh sb="43" eb="47">
      <t>ジカンタイベツ</t>
    </rPh>
    <rPh sb="47" eb="49">
      <t>ニッポウ</t>
    </rPh>
    <phoneticPr fontId="12"/>
  </si>
  <si>
    <t>POS別時間帯別日報</t>
    <rPh sb="3" eb="4">
      <t>ベツ</t>
    </rPh>
    <rPh sb="4" eb="10">
      <t>ジカンタイベツニッポウ</t>
    </rPh>
    <phoneticPr fontId="7"/>
  </si>
  <si>
    <t>サーバメニュー：
システム管理
→データ活用
→時間帯別日報（前日営業日）
→POS別時間帯別日報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42" eb="43">
      <t>ベツ</t>
    </rPh>
    <rPh sb="43" eb="47">
      <t>ジカンタイベツ</t>
    </rPh>
    <rPh sb="47" eb="49">
      <t>ニッポウ</t>
    </rPh>
    <phoneticPr fontId="12"/>
  </si>
  <si>
    <t>単品別時間帯別日報</t>
    <rPh sb="0" eb="3">
      <t>タンピンベツ</t>
    </rPh>
    <rPh sb="3" eb="9">
      <t>ジカンタイベツニッポウ</t>
    </rPh>
    <phoneticPr fontId="7"/>
  </si>
  <si>
    <t>サーバメニュー：
システム管理
→データ活用
→時間帯別日報（前日営業日）
→単品別時間帯別日報
→スクリーンショットで保存</t>
    <rPh sb="13" eb="15">
      <t>カンリ</t>
    </rPh>
    <rPh sb="20" eb="22">
      <t>カツヨウ</t>
    </rPh>
    <rPh sb="24" eb="28">
      <t>ジカンタイベツ</t>
    </rPh>
    <rPh sb="28" eb="30">
      <t>ニッポウ</t>
    </rPh>
    <rPh sb="31" eb="33">
      <t>ゼンジツ</t>
    </rPh>
    <rPh sb="33" eb="35">
      <t>エイギョウ</t>
    </rPh>
    <rPh sb="35" eb="36">
      <t>ビ</t>
    </rPh>
    <rPh sb="39" eb="41">
      <t>タンピン</t>
    </rPh>
    <rPh sb="41" eb="42">
      <t>ベツ</t>
    </rPh>
    <rPh sb="42" eb="46">
      <t>ジカンタイベツ</t>
    </rPh>
    <rPh sb="46" eb="48">
      <t>ニッポウ</t>
    </rPh>
    <phoneticPr fontId="12"/>
  </si>
  <si>
    <t>商品階層別月報</t>
    <rPh sb="0" eb="5">
      <t>ショウヒンカイソウベツ</t>
    </rPh>
    <rPh sb="5" eb="7">
      <t>ゲッポウ</t>
    </rPh>
    <phoneticPr fontId="7"/>
  </si>
  <si>
    <t>サーバメニュー：
店舗
→データ活用
→商品階層別
→商品階層別月報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ゲッポウ</t>
    </rPh>
    <phoneticPr fontId="12"/>
  </si>
  <si>
    <t>商品階層別日別月報</t>
    <rPh sb="0" eb="5">
      <t>ショウヒンカイソウベツ</t>
    </rPh>
    <rPh sb="5" eb="7">
      <t>ヒベツ</t>
    </rPh>
    <rPh sb="7" eb="9">
      <t>ゲッポウ</t>
    </rPh>
    <phoneticPr fontId="7"/>
  </si>
  <si>
    <t>サーバメニュー：
店舗
→データ活用
→商品階層別
→商品階層別日別月報
→スクリーンショットで保存</t>
    <rPh sb="9" eb="11">
      <t>テンポ</t>
    </rPh>
    <rPh sb="16" eb="18">
      <t>カツヨウ</t>
    </rPh>
    <rPh sb="20" eb="24">
      <t>ショウヒンカイソウ</t>
    </rPh>
    <rPh sb="24" eb="25">
      <t>ベツ</t>
    </rPh>
    <rPh sb="27" eb="32">
      <t>ショウヒンカイソウベツ</t>
    </rPh>
    <rPh sb="32" eb="34">
      <t>ヒベツ</t>
    </rPh>
    <rPh sb="34" eb="36">
      <t>ゲッポウ</t>
    </rPh>
    <phoneticPr fontId="12"/>
  </si>
  <si>
    <t>担当者別月報</t>
    <rPh sb="0" eb="4">
      <t>タントウシャベツ</t>
    </rPh>
    <rPh sb="4" eb="6">
      <t>ゲッポウ</t>
    </rPh>
    <phoneticPr fontId="7"/>
  </si>
  <si>
    <t>サーバメニュー：
システム管理
→データ活用
→月報
→担当者別月報
→スクリーンショットで保存</t>
    <rPh sb="13" eb="15">
      <t>カンリ</t>
    </rPh>
    <rPh sb="20" eb="22">
      <t>カツヨウ</t>
    </rPh>
    <rPh sb="24" eb="26">
      <t>ゲッポウ</t>
    </rPh>
    <rPh sb="28" eb="32">
      <t>タントウシャベツ</t>
    </rPh>
    <rPh sb="32" eb="34">
      <t>ゲッポウ</t>
    </rPh>
    <phoneticPr fontId="12"/>
  </si>
  <si>
    <t>取引別月報</t>
    <rPh sb="0" eb="3">
      <t>トリヒキベツ</t>
    </rPh>
    <rPh sb="3" eb="5">
      <t>ゲッポウ</t>
    </rPh>
    <phoneticPr fontId="7"/>
  </si>
  <si>
    <t>サーバメニュー：
システム管理
→データ活用
→月報
→取引別月報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ゲッポウ</t>
    </rPh>
    <phoneticPr fontId="12"/>
  </si>
  <si>
    <t>取引別日別月報</t>
    <rPh sb="0" eb="3">
      <t>トリヒキベツ</t>
    </rPh>
    <rPh sb="3" eb="5">
      <t>ヒベツ</t>
    </rPh>
    <rPh sb="5" eb="7">
      <t>ゲッポウ</t>
    </rPh>
    <phoneticPr fontId="7"/>
  </si>
  <si>
    <t>サーバメニュー：
システム管理
→データ活用
→月報
→取引別日別月報
→スクリーンショットで保存</t>
    <rPh sb="13" eb="15">
      <t>カンリ</t>
    </rPh>
    <rPh sb="20" eb="22">
      <t>カツヨウ</t>
    </rPh>
    <rPh sb="24" eb="26">
      <t>ゲッポウ</t>
    </rPh>
    <rPh sb="28" eb="30">
      <t>トリヒキ</t>
    </rPh>
    <rPh sb="30" eb="31">
      <t>ベツ</t>
    </rPh>
    <rPh sb="31" eb="33">
      <t>ヒベツ</t>
    </rPh>
    <rPh sb="33" eb="35">
      <t>ゲッポウ</t>
    </rPh>
    <phoneticPr fontId="12"/>
  </si>
  <si>
    <t>POS別月報</t>
    <rPh sb="3" eb="4">
      <t>ベツ</t>
    </rPh>
    <rPh sb="4" eb="6">
      <t>ゲッポウ</t>
    </rPh>
    <phoneticPr fontId="7"/>
  </si>
  <si>
    <t>サーバメニュー：
システム管理
→データ活用
→月報
→POS別月報
→スクリーンショットで保存</t>
    <rPh sb="13" eb="15">
      <t>カンリ</t>
    </rPh>
    <rPh sb="20" eb="22">
      <t>カツヨウ</t>
    </rPh>
    <rPh sb="24" eb="26">
      <t>ゲッポウ</t>
    </rPh>
    <rPh sb="31" eb="32">
      <t>ベツ</t>
    </rPh>
    <rPh sb="32" eb="34">
      <t>ゲッポウ</t>
    </rPh>
    <phoneticPr fontId="12"/>
  </si>
  <si>
    <t>単品別月報</t>
    <rPh sb="0" eb="2">
      <t>タンピン</t>
    </rPh>
    <rPh sb="2" eb="3">
      <t>ベツ</t>
    </rPh>
    <rPh sb="3" eb="5">
      <t>ゲッポウ</t>
    </rPh>
    <phoneticPr fontId="7"/>
  </si>
  <si>
    <t>サーバメニュー：
店舗
→データ活用
→単品別
→単品別月報
→スクリーンショットで保存</t>
    <rPh sb="9" eb="11">
      <t>テンポ</t>
    </rPh>
    <rPh sb="16" eb="18">
      <t>カツヨウ</t>
    </rPh>
    <rPh sb="20" eb="22">
      <t>タンピン</t>
    </rPh>
    <rPh sb="22" eb="23">
      <t>ベツ</t>
    </rPh>
    <rPh sb="25" eb="28">
      <t>タンピンベツ</t>
    </rPh>
    <rPh sb="28" eb="30">
      <t>ゲッポウ</t>
    </rPh>
    <phoneticPr fontId="12"/>
  </si>
  <si>
    <t>部門実績フラッシュ(速報)</t>
    <rPh sb="0" eb="2">
      <t>ブモン</t>
    </rPh>
    <rPh sb="2" eb="4">
      <t>ジッセキ</t>
    </rPh>
    <rPh sb="10" eb="12">
      <t>ソクホウ</t>
    </rPh>
    <phoneticPr fontId="12"/>
  </si>
  <si>
    <t>サーバメニュー：
店舗
→売上速報
→部門実績フラッシュ(速報)
→スクリーンショットで保存</t>
    <rPh sb="9" eb="11">
      <t>テンポ</t>
    </rPh>
    <rPh sb="13" eb="17">
      <t>ウリアゲソクホウ</t>
    </rPh>
    <rPh sb="19" eb="23">
      <t>ブモンジッセキ</t>
    </rPh>
    <rPh sb="29" eb="31">
      <t>ソクホウ</t>
    </rPh>
    <phoneticPr fontId="12"/>
  </si>
  <si>
    <t>部門別時間帯別レポート(速報)</t>
    <rPh sb="0" eb="2">
      <t>ブモン</t>
    </rPh>
    <rPh sb="2" eb="3">
      <t>ベツ</t>
    </rPh>
    <rPh sb="3" eb="7">
      <t>ジカンタイベツ</t>
    </rPh>
    <rPh sb="12" eb="14">
      <t>ソクホウ</t>
    </rPh>
    <phoneticPr fontId="12"/>
  </si>
  <si>
    <t>サーバメニュー：
店舗
→売上速報
→部門別時間帯別レポート(速報)
→スクリーンショットで保存</t>
    <rPh sb="9" eb="11">
      <t>テンポ</t>
    </rPh>
    <rPh sb="13" eb="17">
      <t>ウリアゲソクホウ</t>
    </rPh>
    <rPh sb="19" eb="21">
      <t>ブモン</t>
    </rPh>
    <rPh sb="21" eb="22">
      <t>ベツ</t>
    </rPh>
    <rPh sb="22" eb="25">
      <t>ジカンタイ</t>
    </rPh>
    <rPh sb="25" eb="26">
      <t>ベツ</t>
    </rPh>
    <rPh sb="31" eb="33">
      <t>ソクホウ</t>
    </rPh>
    <phoneticPr fontId="12"/>
  </si>
  <si>
    <t>Ignica提供の売上パターンをIgnicaPOSで打鍵し、
POSを精算する。</t>
    <rPh sb="6" eb="8">
      <t>テイキョウ</t>
    </rPh>
    <rPh sb="9" eb="11">
      <t>ウリアゲ</t>
    </rPh>
    <rPh sb="26" eb="28">
      <t>ダケン</t>
    </rPh>
    <rPh sb="35" eb="37">
      <t>セイサン</t>
    </rPh>
    <phoneticPr fontId="12"/>
  </si>
  <si>
    <t>富士通POSとIgnicaPOSで保存した画面を比較する</t>
    <rPh sb="0" eb="3">
      <t>フジツウ</t>
    </rPh>
    <rPh sb="17" eb="19">
      <t>ホゾン</t>
    </rPh>
    <rPh sb="21" eb="23">
      <t>ガメン</t>
    </rPh>
    <rPh sb="24" eb="26">
      <t>ヒカク</t>
    </rPh>
    <phoneticPr fontId="12"/>
  </si>
  <si>
    <t>2つの画面内容に差異がないこと</t>
    <rPh sb="3" eb="5">
      <t>ガメン</t>
    </rPh>
    <rPh sb="5" eb="7">
      <t>ナイヨウ</t>
    </rPh>
    <rPh sb="8" eb="10">
      <t>サイ</t>
    </rPh>
    <phoneticPr fontId="12"/>
  </si>
  <si>
    <t>No.63と同様</t>
    <rPh sb="6" eb="8">
      <t>ドウヨウ</t>
    </rPh>
    <phoneticPr fontId="12"/>
  </si>
  <si>
    <t>必要な取引パターン</t>
    <rPh sb="0" eb="2">
      <t>ヒツヨウ</t>
    </rPh>
    <rPh sb="3" eb="5">
      <t>トリヒキ</t>
    </rPh>
    <phoneticPr fontId="12"/>
  </si>
  <si>
    <t>■レポート機能</t>
    <rPh sb="5" eb="7">
      <t>キノウ</t>
    </rPh>
    <phoneticPr fontId="12"/>
  </si>
  <si>
    <t>■機能パターン</t>
    <rPh sb="1" eb="3">
      <t>キノウ</t>
    </rPh>
    <phoneticPr fontId="12"/>
  </si>
  <si>
    <t>■税パターン</t>
    <rPh sb="1" eb="2">
      <t>ゼイ</t>
    </rPh>
    <phoneticPr fontId="12"/>
  </si>
  <si>
    <t>■商品パターン</t>
    <phoneticPr fontId="12"/>
  </si>
  <si>
    <t>■売価変更パターン</t>
    <phoneticPr fontId="12"/>
  </si>
  <si>
    <t>■値引パターン</t>
    <phoneticPr fontId="12"/>
  </si>
  <si>
    <t>■支払パターン</t>
    <rPh sb="1" eb="3">
      <t>シハライ</t>
    </rPh>
    <phoneticPr fontId="12"/>
  </si>
  <si>
    <t>機能名称</t>
    <rPh sb="0" eb="2">
      <t>キノウ</t>
    </rPh>
    <rPh sb="2" eb="4">
      <t>メイショウ</t>
    </rPh>
    <phoneticPr fontId="12"/>
  </si>
  <si>
    <t>説明</t>
    <rPh sb="0" eb="2">
      <t>セツメイ</t>
    </rPh>
    <phoneticPr fontId="12"/>
  </si>
  <si>
    <t>パターン</t>
    <phoneticPr fontId="12"/>
  </si>
  <si>
    <t>連携</t>
    <rPh sb="0" eb="2">
      <t>レンケイ</t>
    </rPh>
    <phoneticPr fontId="12"/>
  </si>
  <si>
    <t>テーブル</t>
    <phoneticPr fontId="12"/>
  </si>
  <si>
    <t>付属情報</t>
    <rPh sb="0" eb="2">
      <t>フゾク</t>
    </rPh>
    <rPh sb="2" eb="4">
      <t>ジョウホウ</t>
    </rPh>
    <phoneticPr fontId="12"/>
  </si>
  <si>
    <t>支払</t>
    <rPh sb="0" eb="2">
      <t>シハライ</t>
    </rPh>
    <phoneticPr fontId="12"/>
  </si>
  <si>
    <t>集計</t>
    <rPh sb="0" eb="2">
      <t>シュウケイ</t>
    </rPh>
    <phoneticPr fontId="12"/>
  </si>
  <si>
    <t>各商品階層での取引</t>
    <rPh sb="0" eb="1">
      <t>カク</t>
    </rPh>
    <rPh sb="1" eb="5">
      <t>ショウヒンカイソウ</t>
    </rPh>
    <rPh sb="7" eb="9">
      <t>トリヒキ</t>
    </rPh>
    <phoneticPr fontId="12"/>
  </si>
  <si>
    <t>開局</t>
    <rPh sb="0" eb="2">
      <t>カイキョク</t>
    </rPh>
    <phoneticPr fontId="12"/>
  </si>
  <si>
    <t>〇</t>
    <phoneticPr fontId="12"/>
  </si>
  <si>
    <t>TRANS_HEADER</t>
    <phoneticPr fontId="12"/>
  </si>
  <si>
    <t>外税8%</t>
    <rPh sb="0" eb="2">
      <t>ソトゼイ</t>
    </rPh>
    <phoneticPr fontId="12"/>
  </si>
  <si>
    <t>LN_DETAIL</t>
    <phoneticPr fontId="12"/>
  </si>
  <si>
    <t>JAN13</t>
  </si>
  <si>
    <t>売価変更</t>
    <rPh sb="0" eb="4">
      <t>バイカヘンコウ</t>
    </rPh>
    <phoneticPr fontId="12"/>
  </si>
  <si>
    <t>値上げ</t>
    <rPh sb="0" eb="2">
      <t>ネア</t>
    </rPh>
    <phoneticPr fontId="12"/>
  </si>
  <si>
    <t>LN_LINK</t>
  </si>
  <si>
    <t>マニュアル値引</t>
    <phoneticPr fontId="12"/>
  </si>
  <si>
    <t>LN_DISCOUNT</t>
    <phoneticPr fontId="12"/>
  </si>
  <si>
    <t>ing・fanポイント利用</t>
    <rPh sb="11" eb="13">
      <t>リヨウ</t>
    </rPh>
    <phoneticPr fontId="7"/>
  </si>
  <si>
    <t>〇</t>
  </si>
  <si>
    <t>TRANS_HEADER</t>
  </si>
  <si>
    <t>各担当者での取引</t>
    <rPh sb="0" eb="1">
      <t>カク</t>
    </rPh>
    <rPh sb="1" eb="4">
      <t>タントウシャ</t>
    </rPh>
    <rPh sb="6" eb="8">
      <t>トリヒキ</t>
    </rPh>
    <phoneticPr fontId="12"/>
  </si>
  <si>
    <t>入金</t>
    <rPh sb="0" eb="2">
      <t>ニュウキン</t>
    </rPh>
    <phoneticPr fontId="12"/>
  </si>
  <si>
    <t>TRANSACTION_TAX</t>
  </si>
  <si>
    <t>JAN13</t>
    <phoneticPr fontId="12"/>
  </si>
  <si>
    <t>0埋め5桁</t>
  </si>
  <si>
    <t>LN_DETAIL</t>
  </si>
  <si>
    <t>マニュアル割引</t>
    <rPh sb="5" eb="7">
      <t>ワリビキ</t>
    </rPh>
    <phoneticPr fontId="12"/>
  </si>
  <si>
    <t>LN_DISCOUNT</t>
  </si>
  <si>
    <t>各支払での取引</t>
    <rPh sb="0" eb="1">
      <t>カク</t>
    </rPh>
    <rPh sb="1" eb="3">
      <t>シハライ</t>
    </rPh>
    <rPh sb="5" eb="7">
      <t>トリヒキ</t>
    </rPh>
    <phoneticPr fontId="12"/>
  </si>
  <si>
    <t>TRANSACTION_TENDER</t>
  </si>
  <si>
    <t>GSFD_PNT_TRANS_HEADER</t>
    <phoneticPr fontId="12"/>
  </si>
  <si>
    <t>ポイント登録時の金額確認</t>
    <rPh sb="4" eb="6">
      <t>トウロク</t>
    </rPh>
    <rPh sb="6" eb="7">
      <t>ジ</t>
    </rPh>
    <rPh sb="8" eb="12">
      <t>キンガクカクニン</t>
    </rPh>
    <phoneticPr fontId="12"/>
  </si>
  <si>
    <t>0埋め6桁</t>
    <phoneticPr fontId="12"/>
  </si>
  <si>
    <t>バーコード値引</t>
    <phoneticPr fontId="12"/>
  </si>
  <si>
    <t>1段バーコード値引</t>
    <phoneticPr fontId="12"/>
  </si>
  <si>
    <t>要確認</t>
    <rPh sb="0" eb="3">
      <t>ヨウカクニン</t>
    </rPh>
    <phoneticPr fontId="12"/>
  </si>
  <si>
    <t>GSFD_PNT_TRANS_HEADER</t>
  </si>
  <si>
    <t>各POSでの取引</t>
    <rPh sb="0" eb="1">
      <t>カク</t>
    </rPh>
    <rPh sb="6" eb="8">
      <t>トリヒキ</t>
    </rPh>
    <phoneticPr fontId="12"/>
  </si>
  <si>
    <t>外税10%</t>
    <rPh sb="0" eb="2">
      <t>ソトゼイ</t>
    </rPh>
    <phoneticPr fontId="12"/>
  </si>
  <si>
    <t>JAN8</t>
  </si>
  <si>
    <t>MANUAL_PRICE</t>
    <phoneticPr fontId="12"/>
  </si>
  <si>
    <t>2段バーコード値引</t>
    <phoneticPr fontId="12"/>
  </si>
  <si>
    <t>クレジット</t>
    <phoneticPr fontId="12"/>
  </si>
  <si>
    <t>他社クレ</t>
    <rPh sb="0" eb="2">
      <t>タシャ</t>
    </rPh>
    <phoneticPr fontId="12"/>
  </si>
  <si>
    <t>各単品での取引</t>
    <rPh sb="0" eb="1">
      <t>カク</t>
    </rPh>
    <rPh sb="5" eb="7">
      <t>トリヒキ</t>
    </rPh>
    <phoneticPr fontId="12"/>
  </si>
  <si>
    <t>出金</t>
    <rPh sb="0" eb="2">
      <t>シュッキン</t>
    </rPh>
    <phoneticPr fontId="12"/>
  </si>
  <si>
    <t>JAN8</t>
    <phoneticPr fontId="12"/>
  </si>
  <si>
    <t>0埋め7桁</t>
    <phoneticPr fontId="12"/>
  </si>
  <si>
    <t>値下げ</t>
    <rPh sb="0" eb="2">
      <t>ネサ</t>
    </rPh>
    <phoneticPr fontId="12"/>
  </si>
  <si>
    <t>特売</t>
    <phoneticPr fontId="12"/>
  </si>
  <si>
    <t>期間</t>
    <phoneticPr fontId="12"/>
  </si>
  <si>
    <t>TRANSACTION_TENDER</t>
    <phoneticPr fontId="12"/>
  </si>
  <si>
    <t>各商品階層かつ、時間帯ごとでの取引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15" eb="17">
      <t>トリヒキ</t>
    </rPh>
    <phoneticPr fontId="12"/>
  </si>
  <si>
    <t>NON-PLU</t>
  </si>
  <si>
    <t>タイムサービス</t>
    <phoneticPr fontId="12"/>
  </si>
  <si>
    <t>Vクレ</t>
    <phoneticPr fontId="12"/>
  </si>
  <si>
    <t>各担当者かつ、時間帯ごとでの取引</t>
    <rPh sb="0" eb="1">
      <t>カク</t>
    </rPh>
    <rPh sb="1" eb="4">
      <t>タントウシャ</t>
    </rPh>
    <rPh sb="14" eb="16">
      <t>トリヒキ</t>
    </rPh>
    <phoneticPr fontId="12"/>
  </si>
  <si>
    <t>内税</t>
    <rPh sb="0" eb="2">
      <t>ウチゼイ</t>
    </rPh>
    <phoneticPr fontId="12"/>
  </si>
  <si>
    <t>UPC-A</t>
  </si>
  <si>
    <t>組合せ値引</t>
    <phoneticPr fontId="12"/>
  </si>
  <si>
    <t>バンドル</t>
    <phoneticPr fontId="12"/>
  </si>
  <si>
    <t>各POSかつ、時間帯ごとでの取引</t>
    <rPh sb="0" eb="1">
      <t>カク</t>
    </rPh>
    <rPh sb="14" eb="16">
      <t>トリヒキ</t>
    </rPh>
    <phoneticPr fontId="12"/>
  </si>
  <si>
    <t>釣銭準備金</t>
    <rPh sb="0" eb="5">
      <t>ツリセンジュンビキン</t>
    </rPh>
    <phoneticPr fontId="12"/>
  </si>
  <si>
    <t>UPC-A</t>
    <phoneticPr fontId="12"/>
  </si>
  <si>
    <t>0埋め10桁</t>
    <phoneticPr fontId="12"/>
  </si>
  <si>
    <t>ミックス</t>
    <phoneticPr fontId="12"/>
  </si>
  <si>
    <t>MS</t>
    <phoneticPr fontId="12"/>
  </si>
  <si>
    <t>各単品かつ、時間帯ごとでの取引</t>
    <rPh sb="0" eb="1">
      <t>カク</t>
    </rPh>
    <rPh sb="1" eb="3">
      <t>タンピン</t>
    </rPh>
    <rPh sb="13" eb="15">
      <t>トリヒキ</t>
    </rPh>
    <phoneticPr fontId="12"/>
  </si>
  <si>
    <t>非課税</t>
    <rPh sb="0" eb="3">
      <t>ヒカゼイ</t>
    </rPh>
    <phoneticPr fontId="1"/>
  </si>
  <si>
    <t>0埋め11桁</t>
    <phoneticPr fontId="12"/>
  </si>
  <si>
    <t>部門登録</t>
    <rPh sb="0" eb="4">
      <t>ブモントウロク</t>
    </rPh>
    <phoneticPr fontId="12"/>
  </si>
  <si>
    <t>ペア</t>
    <phoneticPr fontId="12"/>
  </si>
  <si>
    <t>ー</t>
    <phoneticPr fontId="12"/>
  </si>
  <si>
    <t>各商品階層かつ、日ごとでの取引</t>
    <rPh sb="0" eb="1">
      <t>カク</t>
    </rPh>
    <rPh sb="1" eb="3">
      <t>ショウヒン</t>
    </rPh>
    <rPh sb="3" eb="5">
      <t>カイソウ</t>
    </rPh>
    <rPh sb="8" eb="9">
      <t>ヒ</t>
    </rPh>
    <rPh sb="13" eb="15">
      <t>トリヒキ</t>
    </rPh>
    <phoneticPr fontId="12"/>
  </si>
  <si>
    <t>釣銭補充</t>
    <rPh sb="0" eb="4">
      <t>ツリセンホジュウ</t>
    </rPh>
    <phoneticPr fontId="12"/>
  </si>
  <si>
    <t>TRANSACTION_TAX</t>
    <phoneticPr fontId="12"/>
  </si>
  <si>
    <t>UPC-E</t>
  </si>
  <si>
    <t>価格手入力</t>
    <rPh sb="0" eb="5">
      <t>カカクテニュウリョク</t>
    </rPh>
    <phoneticPr fontId="12"/>
  </si>
  <si>
    <t>自動値引</t>
    <phoneticPr fontId="12"/>
  </si>
  <si>
    <t>商品階層自動値引</t>
    <phoneticPr fontId="12"/>
  </si>
  <si>
    <t>コード決済</t>
    <rPh sb="3" eb="5">
      <t>ケッサイ</t>
    </rPh>
    <phoneticPr fontId="7"/>
  </si>
  <si>
    <t>PayPay</t>
  </si>
  <si>
    <t>各担当者かつ、日ごとでの取引</t>
    <rPh sb="0" eb="1">
      <t>カク</t>
    </rPh>
    <rPh sb="1" eb="4">
      <t>タントウシャ</t>
    </rPh>
    <rPh sb="12" eb="14">
      <t>トリヒキ</t>
    </rPh>
    <phoneticPr fontId="12"/>
  </si>
  <si>
    <t>LOAN_PICKUP</t>
    <phoneticPr fontId="12"/>
  </si>
  <si>
    <t>作成するか要確認</t>
    <rPh sb="0" eb="2">
      <t>サクセイ</t>
    </rPh>
    <rPh sb="5" eb="6">
      <t>ヨウ</t>
    </rPh>
    <rPh sb="6" eb="8">
      <t>カクニン</t>
    </rPh>
    <phoneticPr fontId="12"/>
  </si>
  <si>
    <t>インストア</t>
  </si>
  <si>
    <t>自動小計値引</t>
    <phoneticPr fontId="12"/>
  </si>
  <si>
    <t>さんにち割</t>
    <phoneticPr fontId="12"/>
  </si>
  <si>
    <t>中間回収</t>
    <rPh sb="0" eb="4">
      <t>チュウカンカイシュウ</t>
    </rPh>
    <phoneticPr fontId="12"/>
  </si>
  <si>
    <t>書籍</t>
    <rPh sb="0" eb="2">
      <t>ショセキ</t>
    </rPh>
    <phoneticPr fontId="1"/>
  </si>
  <si>
    <t>自動小計値引除外</t>
    <rPh sb="6" eb="8">
      <t>ジョガイ</t>
    </rPh>
    <phoneticPr fontId="12"/>
  </si>
  <si>
    <t>d払い</t>
    <rPh sb="1" eb="2">
      <t>ハラ</t>
    </rPh>
    <phoneticPr fontId="7"/>
  </si>
  <si>
    <t>各支払かつ、日ごとでの取引</t>
    <rPh sb="0" eb="1">
      <t>カク</t>
    </rPh>
    <rPh sb="1" eb="3">
      <t>シハライ</t>
    </rPh>
    <rPh sb="11" eb="13">
      <t>トリヒキ</t>
    </rPh>
    <phoneticPr fontId="12"/>
  </si>
  <si>
    <t>新雑誌</t>
    <rPh sb="0" eb="2">
      <t>シンザッシ</t>
    </rPh>
    <phoneticPr fontId="1"/>
  </si>
  <si>
    <t>マークダウン</t>
    <phoneticPr fontId="12"/>
  </si>
  <si>
    <t>精算</t>
    <rPh sb="0" eb="2">
      <t>セイサン</t>
    </rPh>
    <phoneticPr fontId="12"/>
  </si>
  <si>
    <t>auPay</t>
  </si>
  <si>
    <t>各単品かつ、時間帯ごとでの取引</t>
    <rPh sb="0" eb="1">
      <t>カク</t>
    </rPh>
    <rPh sb="13" eb="15">
      <t>トリヒキ</t>
    </rPh>
    <phoneticPr fontId="12"/>
  </si>
  <si>
    <t>ing・fanポイント登録</t>
    <phoneticPr fontId="12"/>
  </si>
  <si>
    <t>各企画かつ、各単品かつ、日ごとでの取引</t>
    <rPh sb="1" eb="3">
      <t>キカク</t>
    </rPh>
    <rPh sb="6" eb="7">
      <t>カク</t>
    </rPh>
    <rPh sb="7" eb="9">
      <t>タンピン</t>
    </rPh>
    <rPh sb="12" eb="13">
      <t>ヒ</t>
    </rPh>
    <phoneticPr fontId="12"/>
  </si>
  <si>
    <t>メルペイ</t>
  </si>
  <si>
    <t>各商品階層かつ、時間帯ごとかつ、日ごとでの取引</t>
    <rPh sb="0" eb="1">
      <t>カク</t>
    </rPh>
    <rPh sb="1" eb="3">
      <t>ショウヒン</t>
    </rPh>
    <rPh sb="3" eb="5">
      <t>カイソウ</t>
    </rPh>
    <rPh sb="8" eb="11">
      <t>ジカンタイ</t>
    </rPh>
    <rPh sb="21" eb="23">
      <t>トリヒキ</t>
    </rPh>
    <phoneticPr fontId="12"/>
  </si>
  <si>
    <t>各担当者かつ、時間帯ごとかつ、日ごとでの取引</t>
    <rPh sb="0" eb="1">
      <t>カク</t>
    </rPh>
    <rPh sb="1" eb="4">
      <t>タントウシャ</t>
    </rPh>
    <phoneticPr fontId="12"/>
  </si>
  <si>
    <t>練習モード</t>
    <phoneticPr fontId="12"/>
  </si>
  <si>
    <t>×</t>
    <phoneticPr fontId="12"/>
  </si>
  <si>
    <t>AEON Pay</t>
  </si>
  <si>
    <t>各POSかつ、時間帯ごとかつ、日ごとでの取引</t>
    <rPh sb="0" eb="1">
      <t>カク</t>
    </rPh>
    <rPh sb="20" eb="22">
      <t>トリヒキ</t>
    </rPh>
    <phoneticPr fontId="12"/>
  </si>
  <si>
    <t>訂正明細</t>
    <phoneticPr fontId="12"/>
  </si>
  <si>
    <t>各P単品かつ、時間帯ごとかつ、日ごとでの取引</t>
    <rPh sb="0" eb="1">
      <t>カク</t>
    </rPh>
    <rPh sb="2" eb="4">
      <t>タンピン</t>
    </rPh>
    <rPh sb="20" eb="22">
      <t>トリヒキ</t>
    </rPh>
    <phoneticPr fontId="12"/>
  </si>
  <si>
    <t>返品</t>
    <phoneticPr fontId="12"/>
  </si>
  <si>
    <t>現外コード</t>
    <rPh sb="0" eb="2">
      <t>ゲンガイ</t>
    </rPh>
    <phoneticPr fontId="7"/>
  </si>
  <si>
    <t>楽天ペイ</t>
    <phoneticPr fontId="12"/>
  </si>
  <si>
    <t>各商品階層かつ、月ごとでの取引</t>
    <rPh sb="0" eb="1">
      <t>カク</t>
    </rPh>
    <rPh sb="1" eb="3">
      <t>ショウヒン</t>
    </rPh>
    <rPh sb="3" eb="5">
      <t>カイソウ</t>
    </rPh>
    <rPh sb="8" eb="9">
      <t>ツキ</t>
    </rPh>
    <rPh sb="13" eb="15">
      <t>トリヒキ</t>
    </rPh>
    <phoneticPr fontId="12"/>
  </si>
  <si>
    <t>GIFT_CERT_TENDER</t>
    <phoneticPr fontId="12"/>
  </si>
  <si>
    <t>???</t>
    <phoneticPr fontId="12"/>
  </si>
  <si>
    <t>ignicaポイント</t>
    <phoneticPr fontId="12"/>
  </si>
  <si>
    <t>Scan&amp;Go、Online Delivery</t>
    <phoneticPr fontId="12"/>
  </si>
  <si>
    <t>各担当者かつ、月ごとでの取引</t>
    <rPh sb="0" eb="1">
      <t>カク</t>
    </rPh>
    <rPh sb="1" eb="4">
      <t>タントウシャ</t>
    </rPh>
    <rPh sb="7" eb="8">
      <t>ツキ</t>
    </rPh>
    <rPh sb="12" eb="14">
      <t>トリヒキ</t>
    </rPh>
    <phoneticPr fontId="12"/>
  </si>
  <si>
    <t>各取引かつ、月ごとでの取引</t>
    <rPh sb="0" eb="1">
      <t>カク</t>
    </rPh>
    <rPh sb="1" eb="3">
      <t>トリヒキ</t>
    </rPh>
    <rPh sb="6" eb="7">
      <t>ツキ</t>
    </rPh>
    <rPh sb="11" eb="13">
      <t>トリヒキ</t>
    </rPh>
    <phoneticPr fontId="12"/>
  </si>
  <si>
    <t>各POSかつ、月ごとでの取引</t>
    <rPh sb="0" eb="1">
      <t>カク</t>
    </rPh>
    <rPh sb="7" eb="8">
      <t>ツキ</t>
    </rPh>
    <rPh sb="12" eb="14">
      <t>トリヒキ</t>
    </rPh>
    <phoneticPr fontId="12"/>
  </si>
  <si>
    <t>PayPay</t>
    <phoneticPr fontId="12"/>
  </si>
  <si>
    <t>各単品かつ、月ごとでの取引</t>
    <rPh sb="0" eb="1">
      <t>カク</t>
    </rPh>
    <rPh sb="1" eb="3">
      <t>タンピン</t>
    </rPh>
    <rPh sb="6" eb="7">
      <t>ツキ</t>
    </rPh>
    <rPh sb="11" eb="13">
      <t>トリヒキ</t>
    </rPh>
    <phoneticPr fontId="12"/>
  </si>
  <si>
    <t>現外券バーコード</t>
    <rPh sb="0" eb="2">
      <t>ゲンガイ</t>
    </rPh>
    <rPh sb="2" eb="3">
      <t>ケン</t>
    </rPh>
    <phoneticPr fontId="7"/>
  </si>
  <si>
    <t>USMHご優待券</t>
    <phoneticPr fontId="1"/>
  </si>
  <si>
    <t>マルエツ商品券</t>
    <rPh sb="4" eb="7">
      <t>ショウヒンケン</t>
    </rPh>
    <phoneticPr fontId="1"/>
  </si>
  <si>
    <t>カスミ商品券</t>
    <rPh sb="3" eb="6">
      <t>ショウヒンケン</t>
    </rPh>
    <phoneticPr fontId="1"/>
  </si>
  <si>
    <t>全商品券</t>
    <rPh sb="0" eb="4">
      <t>ゼンショウヒンケン</t>
    </rPh>
    <phoneticPr fontId="12"/>
  </si>
  <si>
    <t>カタリナクーポン</t>
    <phoneticPr fontId="12"/>
  </si>
  <si>
    <t>現金</t>
    <phoneticPr fontId="12"/>
  </si>
  <si>
    <t>ignica個別</t>
    <rPh sb="6" eb="8">
      <t>コベツ</t>
    </rPh>
    <phoneticPr fontId="12"/>
  </si>
  <si>
    <t>雨の日クーポン</t>
    <phoneticPr fontId="12"/>
  </si>
  <si>
    <t>子育てクーポン</t>
    <phoneticPr fontId="12"/>
  </si>
  <si>
    <t>シニアの日クーポン</t>
    <phoneticPr fontId="12"/>
  </si>
  <si>
    <t>Vポイント</t>
    <phoneticPr fontId="12"/>
  </si>
  <si>
    <t>デビット(みんなの銀行)</t>
    <rPh sb="9" eb="11">
      <t>ギンコウ</t>
    </rPh>
    <phoneticPr fontId="7"/>
  </si>
  <si>
    <t>Scan&amp;Go</t>
    <phoneticPr fontId="12"/>
  </si>
  <si>
    <t>ignicaポイント登録</t>
    <rPh sb="10" eb="12">
      <t>トウロク</t>
    </rPh>
    <phoneticPr fontId="12"/>
  </si>
  <si>
    <t>代金引換</t>
    <phoneticPr fontId="12"/>
  </si>
  <si>
    <t>Online Delivery</t>
    <phoneticPr fontId="12"/>
  </si>
  <si>
    <t>集配信サーバ \SEND\CCR</t>
    <rPh sb="0" eb="3">
      <t>シュウハイシン</t>
    </rPh>
    <phoneticPr fontId="12"/>
  </si>
  <si>
    <t>集配信サーバ \SEND\AQUA</t>
    <rPh sb="0" eb="3">
      <t>シュウハイシン</t>
    </rPh>
    <phoneticPr fontId="12"/>
  </si>
  <si>
    <t>LN_DETAIL.tsv</t>
    <phoneticPr fontId="12"/>
  </si>
  <si>
    <t>LN_DISCOUNT.tsv</t>
    <phoneticPr fontId="12"/>
  </si>
  <si>
    <t>TRANSACTION_TAX.tsv</t>
    <phoneticPr fontId="12"/>
  </si>
  <si>
    <t>TRANSACTION_TENDER.tsv</t>
    <phoneticPr fontId="12"/>
  </si>
  <si>
    <t>GIFT_CERT_TENDER.tsv</t>
    <phoneticPr fontId="12"/>
  </si>
  <si>
    <t>GSFD_PNT_TRANS_HEADER.tsv</t>
    <phoneticPr fontId="12"/>
  </si>
  <si>
    <t>MANUAL_PRICE</t>
    <phoneticPr fontId="12"/>
  </si>
  <si>
    <t>●</t>
    <phoneticPr fontId="12"/>
  </si>
  <si>
    <t>●</t>
    <phoneticPr fontId="12"/>
  </si>
  <si>
    <t>2/3に再度確認</t>
    <rPh sb="4" eb="6">
      <t>サイド</t>
    </rPh>
    <rPh sb="6" eb="8">
      <t>カクニン</t>
    </rPh>
    <phoneticPr fontId="12"/>
  </si>
  <si>
    <t>ignicaPOS</t>
    <phoneticPr fontId="12"/>
  </si>
  <si>
    <t>ignicaの伝票No.が正しくない</t>
    <rPh sb="7" eb="9">
      <t>デンピョウ</t>
    </rPh>
    <rPh sb="13" eb="14">
      <t>タダ</t>
    </rPh>
    <phoneticPr fontId="12"/>
  </si>
  <si>
    <t>CTKY_CCR_TRN_TM_COM</t>
    <phoneticPr fontId="12"/>
  </si>
  <si>
    <t>CTKY_CCR_TRN_TM_SALE_ALL</t>
    <phoneticPr fontId="12"/>
  </si>
  <si>
    <t>CTKY_CCR_TRN_TM_SALE</t>
    <phoneticPr fontId="12"/>
  </si>
  <si>
    <t>CTKY_CCR_BMN_TM_DISC</t>
    <phoneticPr fontId="12"/>
  </si>
  <si>
    <t>CTKY_CCR_BMN_TM_COM</t>
    <phoneticPr fontId="12"/>
  </si>
  <si>
    <t>CTKY_CCR_PLU_TM_SALE_ALL</t>
    <phoneticPr fontId="12"/>
  </si>
  <si>
    <t>CTKY_CCR_BMN_TM_SALE_ALL</t>
    <phoneticPr fontId="12"/>
  </si>
  <si>
    <t>CTKY_CCR_TRN_TM_COM_ALL</t>
    <phoneticPr fontId="12"/>
  </si>
  <si>
    <t>CTKY_CCR_PLU_TM_DISC_ALL</t>
    <phoneticPr fontId="12"/>
  </si>
  <si>
    <t>CTKY_CCR_BMN_TM_DISC_ALL</t>
    <phoneticPr fontId="12"/>
  </si>
  <si>
    <t>CTKY_CCR_BMN_TM_COM_ALL</t>
    <phoneticPr fontId="12"/>
  </si>
  <si>
    <t>ALL_TRANSACTION.DAT</t>
    <phoneticPr fontId="12"/>
  </si>
  <si>
    <t>SLSMIO</t>
    <phoneticPr fontId="12"/>
  </si>
  <si>
    <t>EVNTDTLLOG</t>
    <phoneticPr fontId="12"/>
  </si>
  <si>
    <t>RPTSLSSTOR</t>
    <phoneticPr fontId="12"/>
  </si>
  <si>
    <t>RPTSLSDPT</t>
    <phoneticPr fontId="12"/>
  </si>
  <si>
    <t>CTKY_ITEM_ADD_DATA.txt</t>
    <phoneticPr fontId="12"/>
  </si>
  <si>
    <t>CR_TRAN.DAT</t>
    <phoneticPr fontId="12"/>
  </si>
  <si>
    <t>SLSITEMDAY</t>
    <phoneticPr fontId="12"/>
  </si>
  <si>
    <t>Txt_PluTmPr60.txt</t>
    <phoneticPr fontId="12"/>
  </si>
  <si>
    <r>
      <t xml:space="preserve">CTKY_CCR_PLU_TM_SALE
</t>
    </r>
    <r>
      <rPr>
        <sz val="8"/>
        <color rgb="FFFF0000"/>
        <rFont val="Meiryo UI"/>
        <family val="3"/>
        <charset val="128"/>
      </rPr>
      <t>ignica：企画コード未設定、単品の税額が１円違う</t>
    </r>
    <rPh sb="28" eb="30">
      <t>キカク</t>
    </rPh>
    <rPh sb="33" eb="36">
      <t>ミセッテイ</t>
    </rPh>
    <rPh sb="37" eb="39">
      <t>タンピン</t>
    </rPh>
    <rPh sb="40" eb="42">
      <t>ゼイガク</t>
    </rPh>
    <rPh sb="44" eb="45">
      <t>エン</t>
    </rPh>
    <rPh sb="45" eb="46">
      <t>チガ</t>
    </rPh>
    <phoneticPr fontId="12"/>
  </si>
  <si>
    <r>
      <t xml:space="preserve">CTKY_CCR_BMN_TM_SALE
</t>
    </r>
    <r>
      <rPr>
        <sz val="8"/>
        <color rgb="FFFF0000"/>
        <rFont val="Meiryo UI"/>
        <family val="3"/>
        <charset val="128"/>
      </rPr>
      <t>ignica：企画コード未設定</t>
    </r>
    <phoneticPr fontId="12"/>
  </si>
  <si>
    <r>
      <t xml:space="preserve">CTKY_CCR_PLU_TM_DISC
</t>
    </r>
    <r>
      <rPr>
        <sz val="8"/>
        <color rgb="FFFF0000"/>
        <rFont val="Meiryo UI"/>
        <family val="3"/>
        <charset val="128"/>
      </rPr>
      <t>ignica：企画コード未設定、DISC_IDが異なる？</t>
    </r>
    <rPh sb="45" eb="46">
      <t>コト</t>
    </rPh>
    <phoneticPr fontId="12"/>
  </si>
  <si>
    <t>CTKY_CCR_PLU_TM_SALE</t>
    <phoneticPr fontId="12"/>
  </si>
  <si>
    <t>CTKY_CCR_PLU_TM_DISC</t>
    <phoneticPr fontId="12"/>
  </si>
  <si>
    <t>SLSDPTDAY</t>
    <phoneticPr fontId="12"/>
  </si>
  <si>
    <t>SLSDPTTIME</t>
    <phoneticPr fontId="12"/>
  </si>
  <si>
    <t>SLSITEMTIME</t>
    <phoneticPr fontId="12"/>
  </si>
  <si>
    <r>
      <t xml:space="preserve">ACTDPT
</t>
    </r>
    <r>
      <rPr>
        <sz val="8"/>
        <color rgb="FFFF0000"/>
        <rFont val="Meiryo UI"/>
        <family val="3"/>
        <charset val="128"/>
      </rPr>
      <t>ignica：商品階層別日報と数値が合わない</t>
    </r>
    <rPh sb="14" eb="16">
      <t>ショウヒン</t>
    </rPh>
    <rPh sb="16" eb="18">
      <t>カイソウ</t>
    </rPh>
    <rPh sb="18" eb="19">
      <t>ベツ</t>
    </rPh>
    <rPh sb="19" eb="21">
      <t>ニッポウ</t>
    </rPh>
    <rPh sb="22" eb="24">
      <t>スウチ</t>
    </rPh>
    <rPh sb="25" eb="26">
      <t>ア</t>
    </rPh>
    <phoneticPr fontId="12"/>
  </si>
  <si>
    <r>
      <t xml:space="preserve">ACTSTOR
</t>
    </r>
    <r>
      <rPr>
        <sz val="8"/>
        <color rgb="FFFF0000"/>
        <rFont val="Meiryo UI"/>
        <family val="3"/>
        <charset val="128"/>
      </rPr>
      <t>ignica：精算確定報と数値が合わない</t>
    </r>
    <rPh sb="15" eb="17">
      <t>セイサン</t>
    </rPh>
    <rPh sb="17" eb="20">
      <t>カクテイホウ</t>
    </rPh>
    <rPh sb="21" eb="23">
      <t>スウチ</t>
    </rPh>
    <phoneticPr fontId="12"/>
  </si>
  <si>
    <r>
      <t xml:space="preserve">RSTYDTL
</t>
    </r>
    <r>
      <rPr>
        <sz val="8"/>
        <color rgb="FFFF0000"/>
        <rFont val="Meiryo UI"/>
        <family val="3"/>
        <charset val="128"/>
      </rPr>
      <t>ignica：商品階層別日報とクレジット売上の数値が合わない</t>
    </r>
    <rPh sb="28" eb="30">
      <t>ウリアゲ</t>
    </rPh>
    <phoneticPr fontId="12"/>
  </si>
  <si>
    <r>
      <t xml:space="preserve">SLSITEMDAY
</t>
    </r>
    <r>
      <rPr>
        <sz val="8"/>
        <color rgb="FFFF0000"/>
        <rFont val="Meiryo UI"/>
        <family val="3"/>
        <charset val="128"/>
      </rPr>
      <t>項番97と同件でいいか？</t>
    </r>
    <rPh sb="11" eb="13">
      <t>コウバン</t>
    </rPh>
    <rPh sb="16" eb="18">
      <t>ドウケン</t>
    </rPh>
    <phoneticPr fontId="12"/>
  </si>
  <si>
    <r>
      <t xml:space="preserve">SLSITEMDAYADD
</t>
    </r>
    <r>
      <rPr>
        <sz val="8"/>
        <color rgb="FFFF0000"/>
        <rFont val="Meiryo UI"/>
        <family val="3"/>
        <charset val="128"/>
      </rPr>
      <t>対象データの出力条件が不明</t>
    </r>
    <rPh sb="14" eb="16">
      <t>タイショウ</t>
    </rPh>
    <rPh sb="20" eb="22">
      <t>デチカラ</t>
    </rPh>
    <rPh sb="22" eb="24">
      <t>ジョウケン</t>
    </rPh>
    <rPh sb="25" eb="27">
      <t>フメイ</t>
    </rPh>
    <phoneticPr fontId="12"/>
  </si>
  <si>
    <r>
      <t xml:space="preserve">CTKY_SUBDISC_DATA.dat
</t>
    </r>
    <r>
      <rPr>
        <sz val="8"/>
        <color rgb="FFFF0000"/>
        <rFont val="Meiryo UI"/>
        <family val="3"/>
        <charset val="128"/>
      </rPr>
      <t>テストデータなし（すべて０）</t>
    </r>
    <phoneticPr fontId="12"/>
  </si>
  <si>
    <r>
      <t xml:space="preserve">ACTREGI
</t>
    </r>
    <r>
      <rPr>
        <sz val="8"/>
        <color rgb="FFFF0000"/>
        <rFont val="Meiryo UI"/>
        <family val="3"/>
        <charset val="128"/>
      </rPr>
      <t>ignica：一部の項目に符号がない</t>
    </r>
    <rPh sb="15" eb="17">
      <t>イチブ</t>
    </rPh>
    <rPh sb="18" eb="20">
      <t>コウモク</t>
    </rPh>
    <rPh sb="21" eb="23">
      <t>フゴウ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</si>
</sst>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#,##0;\-#,##0;&quot;-&quot;"/>
    <numFmt numFmtId="178" formatCode="_(* #,##0.00_);_(* \(#,##0.00\);_(* &quot;-&quot;_);_(@_)"/>
  </numFmts>
  <fonts count="30" x14ac:knownFonts="1">
    <font>
      <sz val="9"/>
      <name val="ＭＳ 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b/>
      <sz val="7"/>
      <name val="ＭＳ ゴシック"/>
      <family val="3"/>
      <charset val="128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8"/>
      <name val="Arial"/>
      <family val="2"/>
    </font>
    <font>
      <sz val="8"/>
      <name val="Arial"/>
      <family val="2"/>
    </font>
    <font>
      <sz val="11"/>
      <name val="標準ゴシック"/>
      <family val="3"/>
      <charset val="128"/>
    </font>
    <font>
      <sz val="10"/>
      <name val="Arial"/>
      <family val="2"/>
    </font>
    <font>
      <sz val="22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8"/>
      <name val="Meiryo UI"/>
      <family val="3"/>
      <charset val="128"/>
    </font>
    <font>
      <sz val="7"/>
      <name val="Meiryo UI"/>
      <family val="3"/>
      <charset val="128"/>
    </font>
    <font>
      <b/>
      <sz val="7"/>
      <name val="Meiryo UI"/>
      <family val="3"/>
      <charset val="128"/>
    </font>
    <font>
      <sz val="11"/>
      <name val="Meiryo UI"/>
      <family val="3"/>
      <charset val="128"/>
    </font>
    <font>
      <b/>
      <sz val="14"/>
      <name val="Meiryo UI"/>
      <family val="3"/>
      <charset val="128"/>
    </font>
    <font>
      <b/>
      <sz val="26"/>
      <name val="Meiryo UI"/>
      <family val="3"/>
      <charset val="128"/>
    </font>
    <font>
      <b/>
      <sz val="20"/>
      <name val="Meiryo UI"/>
      <family val="3"/>
      <charset val="128"/>
    </font>
    <font>
      <b/>
      <sz val="16"/>
      <name val="Meiryo UI"/>
      <family val="3"/>
      <charset val="128"/>
    </font>
    <font>
      <sz val="8"/>
      <color theme="1"/>
      <name val="Meiryo UI"/>
      <family val="3"/>
      <charset val="128"/>
    </font>
    <font>
      <b/>
      <sz val="8"/>
      <color indexed="8"/>
      <name val="Meiryo UI"/>
      <family val="3"/>
      <charset val="128"/>
    </font>
    <font>
      <b/>
      <sz val="9"/>
      <name val="Meiryo UI"/>
      <family val="3"/>
      <charset val="128"/>
    </font>
    <font>
      <sz val="9"/>
      <name val="Meiryo UI"/>
      <family val="3"/>
      <charset val="128"/>
    </font>
    <font>
      <sz val="8"/>
      <name val="Meiryo UI"/>
      <family val="3"/>
      <charset val="128"/>
    </font>
    <font>
      <sz val="9"/>
      <color rgb="FFFF0000"/>
      <name val="Meiryo UI"/>
      <family val="3"/>
      <charset val="128"/>
    </font>
    <font>
      <sz val="6"/>
      <name val="Meiryo UI"/>
      <family val="3"/>
      <charset val="128"/>
    </font>
    <font>
      <sz val="8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177" fontId="7" fillId="0" borderId="0" applyFill="0" applyBorder="0" applyAlignment="0"/>
    <xf numFmtId="38" fontId="8" fillId="2" borderId="0" applyNumberFormat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10" fontId="8" fillId="3" borderId="3" applyNumberFormat="0" applyBorder="0" applyAlignment="0" applyProtection="0"/>
    <xf numFmtId="178" fontId="9" fillId="0" borderId="0"/>
    <xf numFmtId="0" fontId="10" fillId="0" borderId="0"/>
    <xf numFmtId="10" fontId="10" fillId="0" borderId="0" applyFont="0" applyFill="0" applyBorder="0" applyAlignment="0" applyProtection="0"/>
    <xf numFmtId="0" fontId="11" fillId="0" borderId="0">
      <alignment vertical="center"/>
    </xf>
    <xf numFmtId="0" fontId="13" fillId="0" borderId="0">
      <alignment vertical="center"/>
    </xf>
    <xf numFmtId="0" fontId="5" fillId="0" borderId="0"/>
    <xf numFmtId="0" fontId="2" fillId="0" borderId="0"/>
    <xf numFmtId="0" fontId="5" fillId="0" borderId="0"/>
    <xf numFmtId="0" fontId="2" fillId="0" borderId="0"/>
  </cellStyleXfs>
  <cellXfs count="156">
    <xf numFmtId="0" fontId="0" fillId="0" borderId="0" xfId="0"/>
    <xf numFmtId="0" fontId="16" fillId="0" borderId="0" xfId="14" applyFont="1" applyAlignment="1">
      <alignment horizontal="center" vertical="top" wrapText="1"/>
    </xf>
    <xf numFmtId="0" fontId="15" fillId="0" borderId="0" xfId="14" applyFont="1" applyAlignment="1">
      <alignment vertical="top" wrapText="1"/>
    </xf>
    <xf numFmtId="0" fontId="15" fillId="0" borderId="0" xfId="12" applyFont="1" applyAlignment="1">
      <alignment vertical="top" wrapText="1"/>
    </xf>
    <xf numFmtId="0" fontId="15" fillId="0" borderId="0" xfId="14" applyFont="1" applyAlignment="1">
      <alignment horizontal="center" vertical="top" wrapText="1"/>
    </xf>
    <xf numFmtId="0" fontId="17" fillId="0" borderId="0" xfId="11" applyFont="1"/>
    <xf numFmtId="0" fontId="18" fillId="0" borderId="10" xfId="11" applyFont="1" applyBorder="1" applyAlignment="1">
      <alignment horizontal="left"/>
    </xf>
    <xf numFmtId="0" fontId="18" fillId="0" borderId="11" xfId="11" applyFont="1" applyBorder="1" applyAlignment="1">
      <alignment horizontal="left"/>
    </xf>
    <xf numFmtId="0" fontId="17" fillId="0" borderId="13" xfId="11" applyFont="1" applyBorder="1"/>
    <xf numFmtId="0" fontId="17" fillId="0" borderId="12" xfId="11" applyFont="1" applyBorder="1"/>
    <xf numFmtId="0" fontId="18" fillId="0" borderId="0" xfId="13" applyFont="1"/>
    <xf numFmtId="0" fontId="18" fillId="0" borderId="0" xfId="11" applyFont="1" applyAlignment="1">
      <alignment horizontal="center"/>
    </xf>
    <xf numFmtId="0" fontId="21" fillId="0" borderId="9" xfId="11" applyFont="1" applyBorder="1" applyAlignment="1">
      <alignment horizontal="left"/>
    </xf>
    <xf numFmtId="49" fontId="20" fillId="0" borderId="43" xfId="11" applyNumberFormat="1" applyFont="1" applyBorder="1"/>
    <xf numFmtId="0" fontId="20" fillId="0" borderId="44" xfId="11" applyFont="1" applyBorder="1"/>
    <xf numFmtId="0" fontId="20" fillId="0" borderId="45" xfId="11" applyFont="1" applyBorder="1"/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22" fillId="0" borderId="17" xfId="14" applyFont="1" applyBorder="1" applyAlignment="1">
      <alignment vertical="top" wrapText="1"/>
    </xf>
    <xf numFmtId="0" fontId="22" fillId="0" borderId="33" xfId="0" applyFont="1" applyBorder="1" applyAlignment="1">
      <alignment vertical="center" wrapText="1"/>
    </xf>
    <xf numFmtId="0" fontId="22" fillId="5" borderId="53" xfId="0" applyFont="1" applyFill="1" applyBorder="1" applyAlignment="1">
      <alignment vertical="center" wrapText="1"/>
    </xf>
    <xf numFmtId="0" fontId="22" fillId="0" borderId="41" xfId="14" applyFont="1" applyBorder="1" applyAlignment="1">
      <alignment horizontal="center" vertical="center" wrapText="1"/>
    </xf>
    <xf numFmtId="0" fontId="22" fillId="0" borderId="18" xfId="14" applyFont="1" applyBorder="1" applyAlignment="1">
      <alignment horizontal="center" vertical="center" wrapText="1"/>
    </xf>
    <xf numFmtId="0" fontId="22" fillId="0" borderId="19" xfId="14" applyFont="1" applyBorder="1" applyAlignment="1">
      <alignment horizontal="center" vertical="center" wrapText="1"/>
    </xf>
    <xf numFmtId="0" fontId="22" fillId="0" borderId="42" xfId="14" applyFont="1" applyBorder="1" applyAlignment="1">
      <alignment horizontal="center" vertical="center" wrapText="1"/>
    </xf>
    <xf numFmtId="176" fontId="22" fillId="0" borderId="41" xfId="14" applyNumberFormat="1" applyFont="1" applyBorder="1" applyAlignment="1">
      <alignment horizontal="center" vertical="center" wrapText="1"/>
    </xf>
    <xf numFmtId="176" fontId="22" fillId="0" borderId="18" xfId="14" applyNumberFormat="1" applyFont="1" applyBorder="1" applyAlignment="1">
      <alignment horizontal="center" vertical="center" wrapText="1"/>
    </xf>
    <xf numFmtId="176" fontId="22" fillId="0" borderId="42" xfId="14" applyNumberFormat="1" applyFont="1" applyBorder="1" applyAlignment="1">
      <alignment horizontal="center" vertical="center" wrapText="1"/>
    </xf>
    <xf numFmtId="0" fontId="22" fillId="0" borderId="49" xfId="14" applyFont="1" applyBorder="1" applyAlignment="1">
      <alignment horizontal="center" vertical="center" wrapText="1"/>
    </xf>
    <xf numFmtId="0" fontId="22" fillId="0" borderId="49" xfId="14" applyFont="1" applyBorder="1" applyAlignment="1">
      <alignment horizontal="left" vertical="center" wrapText="1"/>
    </xf>
    <xf numFmtId="0" fontId="22" fillId="0" borderId="34" xfId="0" applyFont="1" applyBorder="1" applyAlignment="1">
      <alignment vertical="center" wrapText="1"/>
    </xf>
    <xf numFmtId="0" fontId="22" fillId="5" borderId="19" xfId="0" applyFont="1" applyFill="1" applyBorder="1" applyAlignment="1">
      <alignment vertical="center" wrapText="1"/>
    </xf>
    <xf numFmtId="0" fontId="22" fillId="0" borderId="18" xfId="0" applyFont="1" applyBorder="1" applyAlignment="1">
      <alignment vertical="center" wrapText="1"/>
    </xf>
    <xf numFmtId="0" fontId="14" fillId="4" borderId="30" xfId="12" applyFont="1" applyFill="1" applyBorder="1" applyAlignment="1">
      <alignment vertical="top"/>
    </xf>
    <xf numFmtId="0" fontId="14" fillId="4" borderId="14" xfId="12" applyFont="1" applyFill="1" applyBorder="1" applyAlignment="1">
      <alignment vertical="top"/>
    </xf>
    <xf numFmtId="0" fontId="14" fillId="4" borderId="14" xfId="12" applyFont="1" applyFill="1" applyBorder="1"/>
    <xf numFmtId="0" fontId="14" fillId="4" borderId="27" xfId="12" applyFont="1" applyFill="1" applyBorder="1" applyAlignment="1">
      <alignment horizontal="right" vertical="top" wrapText="1"/>
    </xf>
    <xf numFmtId="0" fontId="14" fillId="4" borderId="29" xfId="12" applyFont="1" applyFill="1" applyBorder="1" applyAlignment="1">
      <alignment horizontal="right" wrapText="1"/>
    </xf>
    <xf numFmtId="0" fontId="14" fillId="4" borderId="26" xfId="12" applyFont="1" applyFill="1" applyBorder="1" applyAlignment="1">
      <alignment horizontal="right" wrapText="1"/>
    </xf>
    <xf numFmtId="0" fontId="14" fillId="4" borderId="28" xfId="12" applyFont="1" applyFill="1" applyBorder="1" applyAlignment="1">
      <alignment horizontal="right" wrapText="1"/>
    </xf>
    <xf numFmtId="0" fontId="14" fillId="4" borderId="55" xfId="12" applyFont="1" applyFill="1" applyBorder="1" applyAlignment="1">
      <alignment horizontal="right" wrapText="1"/>
    </xf>
    <xf numFmtId="0" fontId="14" fillId="4" borderId="30" xfId="12" applyFont="1" applyFill="1" applyBorder="1" applyAlignment="1">
      <alignment horizontal="right" vertical="center"/>
    </xf>
    <xf numFmtId="0" fontId="14" fillId="4" borderId="14" xfId="12" applyFont="1" applyFill="1" applyBorder="1" applyAlignment="1">
      <alignment horizontal="left" wrapText="1"/>
    </xf>
    <xf numFmtId="0" fontId="14" fillId="4" borderId="31" xfId="12" applyFont="1" applyFill="1" applyBorder="1" applyAlignment="1">
      <alignment horizontal="left" vertical="center"/>
    </xf>
    <xf numFmtId="0" fontId="14" fillId="4" borderId="0" xfId="12" applyFont="1" applyFill="1" applyAlignment="1">
      <alignment vertical="top"/>
    </xf>
    <xf numFmtId="0" fontId="14" fillId="4" borderId="0" xfId="12" applyFont="1" applyFill="1" applyAlignment="1">
      <alignment horizontal="left"/>
    </xf>
    <xf numFmtId="0" fontId="14" fillId="4" borderId="16" xfId="12" applyFont="1" applyFill="1" applyBorder="1" applyAlignment="1">
      <alignment horizontal="right" vertical="top" wrapText="1"/>
    </xf>
    <xf numFmtId="0" fontId="14" fillId="4" borderId="17" xfId="12" applyFont="1" applyFill="1" applyBorder="1" applyAlignment="1">
      <alignment horizontal="right" wrapText="1"/>
    </xf>
    <xf numFmtId="0" fontId="14" fillId="4" borderId="18" xfId="12" applyFont="1" applyFill="1" applyBorder="1" applyAlignment="1">
      <alignment horizontal="right" wrapText="1"/>
    </xf>
    <xf numFmtId="0" fontId="14" fillId="4" borderId="19" xfId="12" applyFont="1" applyFill="1" applyBorder="1" applyAlignment="1">
      <alignment horizontal="right" wrapText="1"/>
    </xf>
    <xf numFmtId="0" fontId="14" fillId="4" borderId="42" xfId="12" applyFont="1" applyFill="1" applyBorder="1" applyAlignment="1">
      <alignment horizontal="right" wrapText="1"/>
    </xf>
    <xf numFmtId="0" fontId="14" fillId="4" borderId="16" xfId="12" applyFont="1" applyFill="1" applyBorder="1" applyAlignment="1">
      <alignment horizontal="right" vertical="center"/>
    </xf>
    <xf numFmtId="0" fontId="14" fillId="4" borderId="0" xfId="12" applyFont="1" applyFill="1" applyAlignment="1">
      <alignment horizontal="left" wrapText="1"/>
    </xf>
    <xf numFmtId="0" fontId="23" fillId="4" borderId="37" xfId="12" applyFont="1" applyFill="1" applyBorder="1" applyAlignment="1">
      <alignment vertical="top"/>
    </xf>
    <xf numFmtId="0" fontId="14" fillId="4" borderId="20" xfId="12" applyFont="1" applyFill="1" applyBorder="1" applyAlignment="1">
      <alignment vertical="top"/>
    </xf>
    <xf numFmtId="0" fontId="14" fillId="4" borderId="20" xfId="12" applyFont="1" applyFill="1" applyBorder="1" applyAlignment="1">
      <alignment horizontal="left"/>
    </xf>
    <xf numFmtId="0" fontId="14" fillId="4" borderId="21" xfId="12" applyFont="1" applyFill="1" applyBorder="1" applyAlignment="1">
      <alignment horizontal="right" vertical="top" wrapText="1"/>
    </xf>
    <xf numFmtId="0" fontId="14" fillId="4" borderId="16" xfId="12" applyFont="1" applyFill="1" applyBorder="1" applyAlignment="1">
      <alignment horizontal="right" vertical="top"/>
    </xf>
    <xf numFmtId="0" fontId="23" fillId="4" borderId="5" xfId="12" applyFont="1" applyFill="1" applyBorder="1" applyAlignment="1">
      <alignment horizontal="left" vertical="center"/>
    </xf>
    <xf numFmtId="0" fontId="14" fillId="4" borderId="38" xfId="12" applyFont="1" applyFill="1" applyBorder="1" applyAlignment="1">
      <alignment vertical="top"/>
    </xf>
    <xf numFmtId="0" fontId="14" fillId="4" borderId="38" xfId="12" applyFont="1" applyFill="1" applyBorder="1" applyAlignment="1">
      <alignment horizontal="left"/>
    </xf>
    <xf numFmtId="0" fontId="14" fillId="4" borderId="5" xfId="12" applyFont="1" applyFill="1" applyBorder="1" applyAlignment="1">
      <alignment horizontal="right" vertical="top" wrapText="1"/>
    </xf>
    <xf numFmtId="0" fontId="14" fillId="4" borderId="22" xfId="12" applyFont="1" applyFill="1" applyBorder="1" applyAlignment="1">
      <alignment horizontal="right" wrapText="1"/>
    </xf>
    <xf numFmtId="0" fontId="14" fillId="4" borderId="23" xfId="12" applyFont="1" applyFill="1" applyBorder="1" applyAlignment="1">
      <alignment horizontal="right" wrapText="1"/>
    </xf>
    <xf numFmtId="0" fontId="14" fillId="4" borderId="24" xfId="12" applyFont="1" applyFill="1" applyBorder="1" applyAlignment="1">
      <alignment horizontal="right" wrapText="1"/>
    </xf>
    <xf numFmtId="0" fontId="14" fillId="4" borderId="56" xfId="12" applyFont="1" applyFill="1" applyBorder="1" applyAlignment="1">
      <alignment horizontal="right" wrapText="1"/>
    </xf>
    <xf numFmtId="0" fontId="14" fillId="4" borderId="5" xfId="12" applyFont="1" applyFill="1" applyBorder="1" applyAlignment="1">
      <alignment horizontal="right" vertical="top"/>
    </xf>
    <xf numFmtId="0" fontId="14" fillId="4" borderId="38" xfId="12" applyFont="1" applyFill="1" applyBorder="1" applyAlignment="1">
      <alignment horizontal="left" wrapText="1"/>
    </xf>
    <xf numFmtId="0" fontId="25" fillId="4" borderId="46" xfId="14" applyFont="1" applyFill="1" applyBorder="1" applyAlignment="1">
      <alignment vertical="top" wrapText="1"/>
    </xf>
    <xf numFmtId="0" fontId="24" fillId="4" borderId="47" xfId="14" applyFont="1" applyFill="1" applyBorder="1" applyAlignment="1">
      <alignment horizontal="center" vertical="top" wrapText="1"/>
    </xf>
    <xf numFmtId="0" fontId="26" fillId="4" borderId="38" xfId="14" applyFont="1" applyFill="1" applyBorder="1" applyAlignment="1">
      <alignment horizontal="center" vertical="center" wrapText="1"/>
    </xf>
    <xf numFmtId="0" fontId="26" fillId="4" borderId="8" xfId="14" applyFont="1" applyFill="1" applyBorder="1" applyAlignment="1">
      <alignment horizontal="center" vertical="center" wrapText="1"/>
    </xf>
    <xf numFmtId="0" fontId="26" fillId="4" borderId="6" xfId="14" applyFont="1" applyFill="1" applyBorder="1" applyAlignment="1">
      <alignment horizontal="center" vertical="center" wrapText="1"/>
    </xf>
    <xf numFmtId="0" fontId="26" fillId="4" borderId="5" xfId="14" applyFont="1" applyFill="1" applyBorder="1" applyAlignment="1">
      <alignment horizontal="center" vertical="center" wrapText="1"/>
    </xf>
    <xf numFmtId="0" fontId="22" fillId="5" borderId="59" xfId="0" applyFont="1" applyFill="1" applyBorder="1" applyAlignment="1">
      <alignment vertical="top" wrapText="1"/>
    </xf>
    <xf numFmtId="0" fontId="22" fillId="5" borderId="49" xfId="0" applyFont="1" applyFill="1" applyBorder="1" applyAlignment="1">
      <alignment vertical="top" wrapText="1"/>
    </xf>
    <xf numFmtId="0" fontId="25" fillId="0" borderId="0" xfId="0" applyFont="1"/>
    <xf numFmtId="0" fontId="25" fillId="6" borderId="60" xfId="0" applyFont="1" applyFill="1" applyBorder="1"/>
    <xf numFmtId="0" fontId="25" fillId="6" borderId="61" xfId="0" applyFont="1" applyFill="1" applyBorder="1"/>
    <xf numFmtId="0" fontId="25" fillId="6" borderId="62" xfId="0" applyFont="1" applyFill="1" applyBorder="1"/>
    <xf numFmtId="0" fontId="25" fillId="0" borderId="16" xfId="0" applyFont="1" applyBorder="1"/>
    <xf numFmtId="0" fontId="25" fillId="0" borderId="4" xfId="0" applyFont="1" applyBorder="1"/>
    <xf numFmtId="0" fontId="25" fillId="0" borderId="16" xfId="0" quotePrefix="1" applyFont="1" applyBorder="1"/>
    <xf numFmtId="0" fontId="25" fillId="0" borderId="5" xfId="0" applyFont="1" applyBorder="1"/>
    <xf numFmtId="0" fontId="25" fillId="0" borderId="38" xfId="0" applyFont="1" applyBorder="1"/>
    <xf numFmtId="0" fontId="25" fillId="0" borderId="7" xfId="0" applyFont="1" applyBorder="1"/>
    <xf numFmtId="0" fontId="27" fillId="5" borderId="0" xfId="0" applyFont="1" applyFill="1"/>
    <xf numFmtId="0" fontId="27" fillId="0" borderId="16" xfId="0" applyFont="1" applyBorder="1"/>
    <xf numFmtId="0" fontId="22" fillId="7" borderId="17" xfId="14" applyFont="1" applyFill="1" applyBorder="1" applyAlignment="1">
      <alignment vertical="top" wrapText="1"/>
    </xf>
    <xf numFmtId="0" fontId="22" fillId="7" borderId="33" xfId="0" applyFont="1" applyFill="1" applyBorder="1" applyAlignment="1">
      <alignment vertical="center" wrapText="1"/>
    </xf>
    <xf numFmtId="0" fontId="22" fillId="0" borderId="63" xfId="14" applyFont="1" applyBorder="1" applyAlignment="1">
      <alignment horizontal="center" vertical="center" wrapText="1"/>
    </xf>
    <xf numFmtId="0" fontId="28" fillId="4" borderId="6" xfId="14" applyFont="1" applyFill="1" applyBorder="1" applyAlignment="1">
      <alignment horizontal="center" vertical="center" wrapText="1"/>
    </xf>
    <xf numFmtId="0" fontId="15" fillId="8" borderId="0" xfId="14" applyFont="1" applyFill="1" applyAlignment="1">
      <alignment vertical="top" wrapText="1"/>
    </xf>
    <xf numFmtId="0" fontId="22" fillId="9" borderId="17" xfId="14" applyFont="1" applyFill="1" applyBorder="1" applyAlignment="1">
      <alignment vertical="top" wrapText="1"/>
    </xf>
    <xf numFmtId="0" fontId="22" fillId="9" borderId="33" xfId="0" applyFont="1" applyFill="1" applyBorder="1" applyAlignment="1">
      <alignment vertical="center" wrapText="1"/>
    </xf>
    <xf numFmtId="0" fontId="22" fillId="9" borderId="34" xfId="0" applyFont="1" applyFill="1" applyBorder="1" applyAlignment="1">
      <alignment vertical="center" wrapText="1"/>
    </xf>
    <xf numFmtId="0" fontId="22" fillId="9" borderId="41" xfId="14" applyFont="1" applyFill="1" applyBorder="1" applyAlignment="1">
      <alignment horizontal="center" vertical="center" wrapText="1"/>
    </xf>
    <xf numFmtId="0" fontId="22" fillId="9" borderId="18" xfId="14" applyFont="1" applyFill="1" applyBorder="1" applyAlignment="1">
      <alignment horizontal="center" vertical="center" wrapText="1"/>
    </xf>
    <xf numFmtId="0" fontId="22" fillId="9" borderId="19" xfId="14" applyFont="1" applyFill="1" applyBorder="1" applyAlignment="1">
      <alignment horizontal="center" vertical="center" wrapText="1"/>
    </xf>
    <xf numFmtId="0" fontId="22" fillId="9" borderId="42" xfId="14" applyFont="1" applyFill="1" applyBorder="1" applyAlignment="1">
      <alignment horizontal="center" vertical="center" wrapText="1"/>
    </xf>
    <xf numFmtId="176" fontId="22" fillId="9" borderId="41" xfId="14" applyNumberFormat="1" applyFont="1" applyFill="1" applyBorder="1" applyAlignment="1">
      <alignment horizontal="center" vertical="center" wrapText="1"/>
    </xf>
    <xf numFmtId="176" fontId="22" fillId="9" borderId="18" xfId="14" applyNumberFormat="1" applyFont="1" applyFill="1" applyBorder="1" applyAlignment="1">
      <alignment horizontal="center" vertical="center" wrapText="1"/>
    </xf>
    <xf numFmtId="176" fontId="22" fillId="9" borderId="42" xfId="14" applyNumberFormat="1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center" vertical="center" wrapText="1"/>
    </xf>
    <xf numFmtId="0" fontId="22" fillId="9" borderId="49" xfId="14" applyFont="1" applyFill="1" applyBorder="1" applyAlignment="1">
      <alignment horizontal="left" vertical="center" wrapText="1"/>
    </xf>
    <xf numFmtId="176" fontId="22" fillId="0" borderId="49" xfId="14" applyNumberFormat="1" applyFont="1" applyBorder="1" applyAlignment="1">
      <alignment horizontal="center" vertical="center" wrapText="1"/>
    </xf>
    <xf numFmtId="176" fontId="22" fillId="9" borderId="49" xfId="14" applyNumberFormat="1" applyFont="1" applyFill="1" applyBorder="1" applyAlignment="1">
      <alignment horizontal="center" vertical="center" wrapText="1"/>
    </xf>
    <xf numFmtId="0" fontId="14" fillId="4" borderId="46" xfId="12" applyFont="1" applyFill="1" applyBorder="1" applyAlignment="1">
      <alignment horizontal="right" wrapText="1"/>
    </xf>
    <xf numFmtId="0" fontId="14" fillId="4" borderId="59" xfId="12" applyFont="1" applyFill="1" applyBorder="1" applyAlignment="1">
      <alignment horizontal="right" wrapText="1"/>
    </xf>
    <xf numFmtId="0" fontId="15" fillId="0" borderId="0" xfId="14" applyFont="1" applyAlignment="1">
      <alignment vertical="top"/>
    </xf>
    <xf numFmtId="0" fontId="26" fillId="0" borderId="49" xfId="14" applyFont="1" applyBorder="1" applyAlignment="1">
      <alignment horizontal="left" vertical="center" wrapText="1"/>
    </xf>
    <xf numFmtId="0" fontId="19" fillId="0" borderId="13" xfId="11" applyFont="1" applyBorder="1" applyAlignment="1">
      <alignment horizontal="center"/>
    </xf>
    <xf numFmtId="0" fontId="19" fillId="0" borderId="0" xfId="11" applyFont="1" applyAlignment="1">
      <alignment horizontal="center"/>
    </xf>
    <xf numFmtId="0" fontId="19" fillId="0" borderId="12" xfId="11" applyFont="1" applyBorder="1" applyAlignment="1">
      <alignment horizontal="center"/>
    </xf>
    <xf numFmtId="0" fontId="19" fillId="0" borderId="13" xfId="11" applyFont="1" applyBorder="1" applyAlignment="1">
      <alignment horizontal="center" vertical="center"/>
    </xf>
    <xf numFmtId="0" fontId="19" fillId="0" borderId="0" xfId="11" applyFont="1" applyAlignment="1">
      <alignment horizontal="center" vertical="center"/>
    </xf>
    <xf numFmtId="0" fontId="19" fillId="0" borderId="12" xfId="11" applyFont="1" applyBorder="1" applyAlignment="1">
      <alignment horizontal="center" vertical="center"/>
    </xf>
    <xf numFmtId="0" fontId="18" fillId="0" borderId="0" xfId="11" applyFont="1" applyAlignment="1">
      <alignment horizontal="center"/>
    </xf>
    <xf numFmtId="0" fontId="18" fillId="0" borderId="0" xfId="13" applyFont="1" applyAlignment="1">
      <alignment horizontal="center"/>
    </xf>
    <xf numFmtId="0" fontId="24" fillId="4" borderId="46" xfId="14" applyFont="1" applyFill="1" applyBorder="1" applyAlignment="1">
      <alignment horizontal="center" vertical="center" wrapText="1"/>
    </xf>
    <xf numFmtId="0" fontId="24" fillId="4" borderId="47" xfId="14" applyFont="1" applyFill="1" applyBorder="1" applyAlignment="1">
      <alignment horizontal="center" vertical="center" wrapText="1"/>
    </xf>
    <xf numFmtId="0" fontId="24" fillId="4" borderId="48" xfId="14" applyFont="1" applyFill="1" applyBorder="1" applyAlignment="1">
      <alignment horizontal="center" vertical="center" wrapText="1"/>
    </xf>
    <xf numFmtId="0" fontId="24" fillId="4" borderId="25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 wrapText="1"/>
    </xf>
    <xf numFmtId="0" fontId="24" fillId="4" borderId="8" xfId="14" applyFont="1" applyFill="1" applyBorder="1" applyAlignment="1">
      <alignment horizontal="center" vertical="center" wrapText="1"/>
    </xf>
    <xf numFmtId="0" fontId="24" fillId="4" borderId="15" xfId="14" applyFont="1" applyFill="1" applyBorder="1" applyAlignment="1">
      <alignment horizontal="center" vertical="center"/>
    </xf>
    <xf numFmtId="0" fontId="24" fillId="4" borderId="8" xfId="14" applyFont="1" applyFill="1" applyBorder="1" applyAlignment="1">
      <alignment horizontal="center" vertical="center"/>
    </xf>
    <xf numFmtId="0" fontId="24" fillId="4" borderId="57" xfId="14" applyFont="1" applyFill="1" applyBorder="1" applyAlignment="1">
      <alignment horizontal="center" vertical="center"/>
    </xf>
    <xf numFmtId="0" fontId="24" fillId="4" borderId="6" xfId="14" applyFont="1" applyFill="1" applyBorder="1" applyAlignment="1">
      <alignment horizontal="center" vertical="center"/>
    </xf>
    <xf numFmtId="0" fontId="24" fillId="4" borderId="50" xfId="14" applyFont="1" applyFill="1" applyBorder="1" applyAlignment="1">
      <alignment horizontal="center" vertical="top" wrapText="1"/>
    </xf>
    <xf numFmtId="0" fontId="24" fillId="4" borderId="58" xfId="14" applyFont="1" applyFill="1" applyBorder="1" applyAlignment="1">
      <alignment horizontal="center" vertical="center"/>
    </xf>
    <xf numFmtId="0" fontId="24" fillId="4" borderId="59" xfId="14" applyFont="1" applyFill="1" applyBorder="1" applyAlignment="1">
      <alignment horizontal="center" vertical="center"/>
    </xf>
    <xf numFmtId="0" fontId="24" fillId="4" borderId="52" xfId="14" applyFont="1" applyFill="1" applyBorder="1" applyAlignment="1">
      <alignment horizontal="center" vertical="top" wrapText="1"/>
    </xf>
    <xf numFmtId="0" fontId="24" fillId="4" borderId="51" xfId="14" applyFont="1" applyFill="1" applyBorder="1" applyAlignment="1">
      <alignment horizontal="center" vertical="center"/>
    </xf>
    <xf numFmtId="0" fontId="24" fillId="4" borderId="49" xfId="14" applyFont="1" applyFill="1" applyBorder="1" applyAlignment="1">
      <alignment horizontal="center" vertical="center"/>
    </xf>
    <xf numFmtId="0" fontId="24" fillId="4" borderId="21" xfId="14" applyFont="1" applyFill="1" applyBorder="1" applyAlignment="1">
      <alignment horizontal="center" vertical="center"/>
    </xf>
    <xf numFmtId="0" fontId="14" fillId="4" borderId="58" xfId="12" applyFont="1" applyFill="1" applyBorder="1" applyAlignment="1">
      <alignment horizontal="right"/>
    </xf>
    <xf numFmtId="0" fontId="14" fillId="4" borderId="47" xfId="12" applyFont="1" applyFill="1" applyBorder="1" applyAlignment="1">
      <alignment horizontal="right"/>
    </xf>
    <xf numFmtId="0" fontId="24" fillId="4" borderId="64" xfId="14" applyFont="1" applyFill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14" fillId="4" borderId="14" xfId="12" applyFont="1" applyFill="1" applyBorder="1" applyAlignment="1">
      <alignment horizontal="center" vertical="center"/>
    </xf>
    <xf numFmtId="0" fontId="14" fillId="4" borderId="36" xfId="12" applyFont="1" applyFill="1" applyBorder="1" applyAlignment="1">
      <alignment horizontal="center" vertical="center"/>
    </xf>
    <xf numFmtId="0" fontId="14" fillId="4" borderId="40" xfId="12" applyFont="1" applyFill="1" applyBorder="1" applyAlignment="1">
      <alignment horizontal="center" vertical="center"/>
    </xf>
    <xf numFmtId="0" fontId="14" fillId="4" borderId="32" xfId="12" applyFont="1" applyFill="1" applyBorder="1" applyAlignment="1">
      <alignment horizontal="center" vertical="center"/>
    </xf>
    <xf numFmtId="0" fontId="14" fillId="4" borderId="65" xfId="12" applyFont="1" applyFill="1" applyBorder="1" applyAlignment="1">
      <alignment horizontal="right"/>
    </xf>
    <xf numFmtId="0" fontId="14" fillId="4" borderId="66" xfId="12" applyFont="1" applyFill="1" applyBorder="1" applyAlignment="1">
      <alignment horizontal="right"/>
    </xf>
    <xf numFmtId="0" fontId="14" fillId="4" borderId="33" xfId="12" applyFont="1" applyFill="1" applyBorder="1" applyAlignment="1">
      <alignment horizontal="right"/>
    </xf>
    <xf numFmtId="0" fontId="14" fillId="4" borderId="8" xfId="12" applyFont="1" applyFill="1" applyBorder="1" applyAlignment="1">
      <alignment horizontal="right"/>
    </xf>
    <xf numFmtId="0" fontId="14" fillId="4" borderId="54" xfId="12" applyFont="1" applyFill="1" applyBorder="1" applyAlignment="1">
      <alignment horizontal="right"/>
    </xf>
    <xf numFmtId="0" fontId="14" fillId="4" borderId="39" xfId="12" applyFont="1" applyFill="1" applyBorder="1" applyAlignment="1">
      <alignment horizontal="right"/>
    </xf>
    <xf numFmtId="0" fontId="24" fillId="4" borderId="54" xfId="14" applyFont="1" applyFill="1" applyBorder="1" applyAlignment="1">
      <alignment horizontal="center" vertical="center"/>
    </xf>
    <xf numFmtId="0" fontId="24" fillId="4" borderId="53" xfId="14" applyFont="1" applyFill="1" applyBorder="1" applyAlignment="1">
      <alignment horizontal="center" vertical="center"/>
    </xf>
    <xf numFmtId="0" fontId="14" fillId="4" borderId="35" xfId="12" applyFont="1" applyFill="1" applyBorder="1" applyAlignment="1">
      <alignment horizontal="right"/>
    </xf>
    <xf numFmtId="0" fontId="14" fillId="4" borderId="25" xfId="12" applyFont="1" applyFill="1" applyBorder="1" applyAlignment="1">
      <alignment horizontal="right"/>
    </xf>
    <xf numFmtId="176" fontId="22" fillId="5" borderId="41" xfId="14" applyNumberFormat="1" applyFont="1" applyFill="1" applyBorder="1" applyAlignment="1">
      <alignment horizontal="center" vertical="center" wrapText="1"/>
    </xf>
  </cellXfs>
  <cellStyles count="15">
    <cellStyle name="Calc Currency (0)" xfId="1" xr:uid="{00000000-0005-0000-0000-000000000000}"/>
    <cellStyle name="Grey" xfId="2" xr:uid="{00000000-0005-0000-0000-000001000000}"/>
    <cellStyle name="Header1" xfId="3" xr:uid="{00000000-0005-0000-0000-000002000000}"/>
    <cellStyle name="Header2" xfId="4" xr:uid="{00000000-0005-0000-0000-000003000000}"/>
    <cellStyle name="Input [yellow]" xfId="5" xr:uid="{00000000-0005-0000-0000-000004000000}"/>
    <cellStyle name="Normal - Style1" xfId="6" xr:uid="{00000000-0005-0000-0000-000005000000}"/>
    <cellStyle name="Normal_#18-Internet" xfId="7" xr:uid="{00000000-0005-0000-0000-000006000000}"/>
    <cellStyle name="Percent [2]" xfId="8" xr:uid="{00000000-0005-0000-0000-000007000000}"/>
    <cellStyle name="センター" xfId="9" xr:uid="{00000000-0005-0000-0000-000008000000}"/>
    <cellStyle name="標準" xfId="0" builtinId="0"/>
    <cellStyle name="標準 3" xfId="10" xr:uid="{00000000-0005-0000-0000-00000A000000}"/>
    <cellStyle name="標準_GSアオキ殿消費税対応ST仕様書兼完了報告書(適用確認)" xfId="11" xr:uid="{00000000-0005-0000-0000-00000B000000}"/>
    <cellStyle name="標準_ST項目書_仮２回目_(S_13 顧客後宣言対応)" xfId="12" xr:uid="{00000000-0005-0000-0000-00000C000000}"/>
    <cellStyle name="標準_ST仕様書兼完了報告書(領収証・掛伝票印字ﾌｫｰﾏｯﾄ変更)" xfId="13" xr:uid="{00000000-0005-0000-0000-00000D000000}"/>
    <cellStyle name="標準_V05L30 Aｺｰﾌﾟ福井殿2次ｴﾝﾊﾝｽ ST項目書" xfId="14" xr:uid="{00000000-0005-0000-0000-00000E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19</xdr:row>
      <xdr:rowOff>0</xdr:rowOff>
    </xdr:from>
    <xdr:to>
      <xdr:col>12</xdr:col>
      <xdr:colOff>0</xdr:colOff>
      <xdr:row>42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F99EB081-9122-4493-B284-C379BA11F22E}"/>
            </a:ext>
          </a:extLst>
        </xdr:cNvPr>
        <xdr:cNvSpPr/>
      </xdr:nvSpPr>
      <xdr:spPr>
        <a:xfrm>
          <a:off x="9700260" y="3055620"/>
          <a:ext cx="3909060" cy="36957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■確認方法想定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例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％商品購入時のトラン実績確認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①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ignicaPOS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で外税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10%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商品売上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②定期間隔でトラン実績連携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③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サーバで取込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④テーブル抜き出しバッチ実行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→当日日付の連携対象トランテーブルを、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CSV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形式で抽出するバッチを準備する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⑤更新されたレコードを確認する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LN_DETAIL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EXT_PRC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が外税抜きの販売合価となっている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GSFD_TAX_TYPE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TRANSACTION_TAX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TAX_CD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TAXBLE_AMT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が外税抜きの商品売上額となっている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●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GSFD_PNT_TRANS_HEADER</a:t>
          </a: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　・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GSTP_SATISFA_OUT_SIDE_TAX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が外税対象金額となっている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480060</xdr:colOff>
      <xdr:row>34</xdr:row>
      <xdr:rowOff>15240</xdr:rowOff>
    </xdr:from>
    <xdr:to>
      <xdr:col>22</xdr:col>
      <xdr:colOff>502920</xdr:colOff>
      <xdr:row>42</xdr:row>
      <xdr:rowOff>83820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DD64C17E-222E-4532-9E8B-C48C26420B34}"/>
            </a:ext>
          </a:extLst>
        </xdr:cNvPr>
        <xdr:cNvSpPr/>
      </xdr:nvSpPr>
      <xdr:spPr>
        <a:xfrm>
          <a:off x="14638020" y="5471160"/>
          <a:ext cx="5676900" cy="13487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■観点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・売価強制、販売停止、販売証明書、販売確認が機能するか？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・自動値引除外、単品値引除外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、小計単品値引除外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一般、会員、しない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・売上除外、非商品が機能するか？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・マークダウン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円、値引額、割引額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・価格変更予約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一般、会員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が機能するか？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K24"/>
  <sheetViews>
    <sheetView view="pageBreakPreview" zoomScaleNormal="100" workbookViewId="0"/>
  </sheetViews>
  <sheetFormatPr defaultColWidth="12" defaultRowHeight="15" x14ac:dyDescent="0.3"/>
  <cols>
    <col min="1" max="16384" width="12" style="5"/>
  </cols>
  <sheetData>
    <row r="3" spans="3:11" ht="15.6" thickBot="1" x14ac:dyDescent="0.35"/>
    <row r="4" spans="3:11" ht="23.4" thickTop="1" x14ac:dyDescent="0.45">
      <c r="C4" s="12" t="s">
        <v>0</v>
      </c>
      <c r="D4" s="6"/>
      <c r="E4" s="6"/>
      <c r="F4" s="6"/>
      <c r="G4" s="6"/>
      <c r="H4" s="6"/>
      <c r="I4" s="6"/>
      <c r="J4" s="6"/>
      <c r="K4" s="7"/>
    </row>
    <row r="5" spans="3:11" x14ac:dyDescent="0.3">
      <c r="C5" s="8"/>
      <c r="K5" s="9"/>
    </row>
    <row r="6" spans="3:11" x14ac:dyDescent="0.3">
      <c r="C6" s="8"/>
      <c r="K6" s="9"/>
    </row>
    <row r="7" spans="3:11" ht="35.4" x14ac:dyDescent="0.3">
      <c r="C7" s="115" t="s">
        <v>1</v>
      </c>
      <c r="D7" s="116"/>
      <c r="E7" s="116"/>
      <c r="F7" s="116"/>
      <c r="G7" s="116"/>
      <c r="H7" s="116"/>
      <c r="I7" s="116"/>
      <c r="J7" s="116"/>
      <c r="K7" s="117"/>
    </row>
    <row r="8" spans="3:11" ht="15" customHeight="1" x14ac:dyDescent="0.3">
      <c r="C8" s="16"/>
      <c r="D8" s="17"/>
      <c r="E8" s="17"/>
      <c r="F8" s="17"/>
      <c r="G8" s="17"/>
      <c r="H8" s="17"/>
      <c r="I8" s="17"/>
      <c r="J8" s="17"/>
      <c r="K8" s="18"/>
    </row>
    <row r="9" spans="3:11" ht="35.4" x14ac:dyDescent="0.65">
      <c r="C9" s="112" t="s">
        <v>2</v>
      </c>
      <c r="D9" s="113"/>
      <c r="E9" s="113"/>
      <c r="F9" s="113"/>
      <c r="G9" s="113"/>
      <c r="H9" s="113"/>
      <c r="I9" s="113"/>
      <c r="J9" s="113"/>
      <c r="K9" s="114"/>
    </row>
    <row r="10" spans="3:11" ht="35.4" x14ac:dyDescent="0.65">
      <c r="C10" s="112" t="s">
        <v>3</v>
      </c>
      <c r="D10" s="113"/>
      <c r="E10" s="113"/>
      <c r="F10" s="113"/>
      <c r="G10" s="113"/>
      <c r="H10" s="113"/>
      <c r="I10" s="113"/>
      <c r="J10" s="113"/>
      <c r="K10" s="114"/>
    </row>
    <row r="11" spans="3:11" x14ac:dyDescent="0.3">
      <c r="C11" s="8"/>
      <c r="K11" s="9"/>
    </row>
    <row r="12" spans="3:11" ht="15" customHeight="1" thickBot="1" x14ac:dyDescent="0.55000000000000004">
      <c r="C12" s="13"/>
      <c r="D12" s="14"/>
      <c r="E12" s="14"/>
      <c r="F12" s="14"/>
      <c r="G12" s="14"/>
      <c r="H12" s="14"/>
      <c r="I12" s="14"/>
      <c r="J12" s="14"/>
      <c r="K12" s="15"/>
    </row>
    <row r="13" spans="3:11" ht="15" customHeight="1" thickTop="1" x14ac:dyDescent="0.3"/>
    <row r="14" spans="3:11" ht="15" customHeight="1" x14ac:dyDescent="0.3"/>
    <row r="15" spans="3:11" ht="15" customHeight="1" x14ac:dyDescent="0.3"/>
    <row r="16" spans="3:11" ht="15" customHeight="1" x14ac:dyDescent="0.3"/>
    <row r="17" spans="3:9" ht="15" customHeight="1" x14ac:dyDescent="0.3"/>
    <row r="18" spans="3:9" ht="18.600000000000001" x14ac:dyDescent="0.35">
      <c r="E18" s="118" t="s">
        <v>4</v>
      </c>
      <c r="F18" s="118"/>
      <c r="G18" s="118"/>
      <c r="H18" s="118"/>
      <c r="I18" s="118"/>
    </row>
    <row r="19" spans="3:9" ht="15" customHeight="1" x14ac:dyDescent="0.3"/>
    <row r="20" spans="3:9" ht="15" customHeight="1" x14ac:dyDescent="0.3"/>
    <row r="21" spans="3:9" ht="18.600000000000001" x14ac:dyDescent="0.35">
      <c r="C21" s="10"/>
      <c r="F21" s="119" t="s">
        <v>5</v>
      </c>
      <c r="G21" s="119"/>
      <c r="H21" s="119"/>
    </row>
    <row r="22" spans="3:9" ht="15" customHeight="1" x14ac:dyDescent="0.35">
      <c r="C22" s="10"/>
      <c r="F22" s="11"/>
      <c r="G22" s="11"/>
      <c r="H22" s="11"/>
    </row>
    <row r="23" spans="3:9" ht="15" customHeight="1" x14ac:dyDescent="0.35">
      <c r="C23" s="10"/>
      <c r="F23" s="11"/>
    </row>
    <row r="24" spans="3:9" ht="15" customHeight="1" x14ac:dyDescent="0.3"/>
  </sheetData>
  <mergeCells count="5">
    <mergeCell ref="C9:K9"/>
    <mergeCell ref="C10:K10"/>
    <mergeCell ref="C7:K7"/>
    <mergeCell ref="E18:I18"/>
    <mergeCell ref="F21:H21"/>
  </mergeCells>
  <phoneticPr fontId="6"/>
  <printOptions horizontalCentered="1"/>
  <pageMargins left="0.78740157480314965" right="0.78740157480314965" top="0.98425196850393704" bottom="0.98425196850393704" header="0.51181102362204722" footer="0.51181102362204722"/>
  <pageSetup paperSize="9" firstPageNumber="6" orientation="landscape" r:id="rId1"/>
  <headerFooter alignWithMargins="0">
    <oddFooter>&amp;RAll Rights Reserved Copyright © Fujitsu Ltd.2017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21"/>
  <sheetViews>
    <sheetView tabSelected="1" view="pageBreakPreview" topLeftCell="C1" zoomScale="75" zoomScaleNormal="110" zoomScaleSheetLayoutView="75" workbookViewId="0">
      <pane ySplit="2" topLeftCell="A3" activePane="bottomLeft" state="frozen"/>
      <selection activeCell="B8" sqref="B8"/>
      <selection pane="bottomLeft" activeCell="X6" sqref="X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5" style="2" customWidth="1"/>
    <col min="4" max="4" width="29" style="2" customWidth="1"/>
    <col min="5" max="5" width="42" style="2" customWidth="1"/>
    <col min="6" max="6" width="4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7.875" style="4" customWidth="1"/>
    <col min="20" max="22" width="5.875" style="4" customWidth="1"/>
    <col min="23" max="23" width="7.5" style="4" customWidth="1"/>
    <col min="24" max="24" width="77.8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8" t="s">
        <v>10</v>
      </c>
      <c r="F1" s="13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6"/>
      <c r="S1" s="139" t="s">
        <v>14</v>
      </c>
      <c r="T1" s="130" t="s">
        <v>15</v>
      </c>
      <c r="U1" s="130"/>
      <c r="V1" s="130"/>
      <c r="W1" s="120" t="s">
        <v>16</v>
      </c>
      <c r="X1" s="120" t="s">
        <v>17</v>
      </c>
    </row>
    <row r="2" spans="1:24" s="1" customFormat="1" ht="22.8" x14ac:dyDescent="0.15">
      <c r="A2" s="123"/>
      <c r="B2" s="125"/>
      <c r="C2" s="127"/>
      <c r="D2" s="127"/>
      <c r="E2" s="129"/>
      <c r="F2" s="13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26</v>
      </c>
      <c r="Q2" s="73" t="s">
        <v>27</v>
      </c>
      <c r="R2" s="73" t="s">
        <v>28</v>
      </c>
      <c r="S2" s="140"/>
      <c r="T2" s="71" t="s">
        <v>29</v>
      </c>
      <c r="U2" s="72" t="s">
        <v>30</v>
      </c>
      <c r="V2" s="73" t="s">
        <v>31</v>
      </c>
      <c r="W2" s="121"/>
      <c r="X2" s="121"/>
    </row>
    <row r="3" spans="1:24" ht="22.8" x14ac:dyDescent="0.15">
      <c r="A3" s="89">
        <f>ROW()-2</f>
        <v>1</v>
      </c>
      <c r="B3" s="90" t="s">
        <v>32</v>
      </c>
      <c r="C3" s="90" t="s">
        <v>33</v>
      </c>
      <c r="D3" s="20"/>
      <c r="E3" s="31"/>
      <c r="F3" s="75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s="93" customFormat="1" ht="155.4" customHeight="1" x14ac:dyDescent="0.15">
      <c r="A4" s="94">
        <f t="shared" ref="A4:A6" si="0">ROW()-2</f>
        <v>2</v>
      </c>
      <c r="B4" s="95" t="s">
        <v>34</v>
      </c>
      <c r="C4" s="95" t="s">
        <v>35</v>
      </c>
      <c r="D4" s="95"/>
      <c r="E4" s="96" t="s">
        <v>36</v>
      </c>
      <c r="F4" s="75" t="s">
        <v>37</v>
      </c>
      <c r="G4" s="97" t="s">
        <v>391</v>
      </c>
      <c r="H4" s="98"/>
      <c r="I4" s="98"/>
      <c r="J4" s="99"/>
      <c r="K4" s="97" t="s">
        <v>391</v>
      </c>
      <c r="L4" s="98"/>
      <c r="M4" s="98"/>
      <c r="N4" s="100"/>
      <c r="O4" s="100"/>
      <c r="P4" s="100"/>
      <c r="Q4" s="100"/>
      <c r="R4" s="99"/>
      <c r="S4" s="107"/>
      <c r="T4" s="101">
        <v>45683</v>
      </c>
      <c r="U4" s="102"/>
      <c r="V4" s="103"/>
      <c r="W4" s="104"/>
      <c r="X4" s="105"/>
    </row>
    <row r="5" spans="1:24" ht="22.8" x14ac:dyDescent="0.15">
      <c r="A5" s="89">
        <f>ROW()-2</f>
        <v>3</v>
      </c>
      <c r="B5" s="90" t="s">
        <v>32</v>
      </c>
      <c r="C5" s="90" t="s">
        <v>39</v>
      </c>
      <c r="D5" s="20"/>
      <c r="E5" s="31"/>
      <c r="F5" s="75"/>
      <c r="G5" s="22"/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/>
      <c r="T5" s="26"/>
      <c r="U5" s="27"/>
      <c r="V5" s="28"/>
      <c r="W5" s="29"/>
      <c r="X5" s="30"/>
    </row>
    <row r="6" spans="1:24" s="93" customFormat="1" ht="148.19999999999999" x14ac:dyDescent="0.15">
      <c r="A6" s="94">
        <f t="shared" si="0"/>
        <v>4</v>
      </c>
      <c r="B6" s="95" t="s">
        <v>40</v>
      </c>
      <c r="C6" s="95" t="s">
        <v>35</v>
      </c>
      <c r="D6" s="95"/>
      <c r="E6" s="96" t="s">
        <v>41</v>
      </c>
      <c r="F6" s="75" t="s">
        <v>37</v>
      </c>
      <c r="G6" s="97" t="s">
        <v>391</v>
      </c>
      <c r="H6" s="98"/>
      <c r="I6" s="98"/>
      <c r="J6" s="99"/>
      <c r="K6" s="97" t="s">
        <v>391</v>
      </c>
      <c r="L6" s="98"/>
      <c r="M6" s="98"/>
      <c r="N6" s="100"/>
      <c r="O6" s="100"/>
      <c r="P6" s="100"/>
      <c r="Q6" s="100"/>
      <c r="R6" s="99"/>
      <c r="S6" s="107"/>
      <c r="T6" s="101">
        <v>45686</v>
      </c>
      <c r="U6" s="102"/>
      <c r="V6" s="103"/>
      <c r="W6" s="104"/>
      <c r="X6" s="105"/>
    </row>
    <row r="7" spans="1:24" ht="11.4" x14ac:dyDescent="0.15">
      <c r="A7" s="19">
        <f t="shared" ref="A7:A17" si="1">ROW()-2</f>
        <v>5</v>
      </c>
      <c r="B7" s="20" t="s">
        <v>42</v>
      </c>
      <c r="C7" s="20"/>
      <c r="D7" s="31" t="s">
        <v>43</v>
      </c>
      <c r="E7" s="31" t="s">
        <v>44</v>
      </c>
      <c r="F7" s="76" t="s">
        <v>45</v>
      </c>
      <c r="G7" s="22"/>
      <c r="H7" s="23"/>
      <c r="I7" s="23"/>
      <c r="J7" s="24"/>
      <c r="K7" s="22"/>
      <c r="L7" s="23"/>
      <c r="M7" s="23"/>
      <c r="N7" s="25"/>
      <c r="O7" s="25"/>
      <c r="P7" s="25" t="s">
        <v>391</v>
      </c>
      <c r="Q7" s="25"/>
      <c r="R7" s="24"/>
      <c r="S7" s="106"/>
      <c r="T7" s="28">
        <v>45687</v>
      </c>
      <c r="U7" s="27"/>
      <c r="V7" s="28"/>
      <c r="W7" s="29"/>
      <c r="X7" s="30"/>
    </row>
    <row r="8" spans="1:24" ht="11.4" x14ac:dyDescent="0.15">
      <c r="A8" s="19">
        <f t="shared" si="1"/>
        <v>6</v>
      </c>
      <c r="B8" s="20"/>
      <c r="C8" s="20"/>
      <c r="D8" s="31" t="s">
        <v>46</v>
      </c>
      <c r="E8" s="31" t="s">
        <v>47</v>
      </c>
      <c r="F8" s="76" t="s">
        <v>45</v>
      </c>
      <c r="G8" s="22"/>
      <c r="H8" s="23"/>
      <c r="I8" s="23"/>
      <c r="J8" s="24"/>
      <c r="K8" s="22"/>
      <c r="L8" s="23"/>
      <c r="M8" s="23"/>
      <c r="N8" s="25"/>
      <c r="O8" s="25"/>
      <c r="P8" s="25" t="s">
        <v>391</v>
      </c>
      <c r="Q8" s="25"/>
      <c r="R8" s="24"/>
      <c r="S8" s="106"/>
      <c r="T8" s="26"/>
      <c r="U8" s="28">
        <v>45687</v>
      </c>
      <c r="V8" s="28"/>
      <c r="W8" s="29"/>
      <c r="X8" s="30"/>
    </row>
    <row r="9" spans="1:24" ht="11.4" x14ac:dyDescent="0.15">
      <c r="A9" s="19">
        <f t="shared" si="1"/>
        <v>7</v>
      </c>
      <c r="B9" s="20"/>
      <c r="C9" s="33"/>
      <c r="D9" s="31" t="s">
        <v>384</v>
      </c>
      <c r="E9" s="31" t="s">
        <v>47</v>
      </c>
      <c r="F9" s="76" t="s">
        <v>45</v>
      </c>
      <c r="G9" s="22"/>
      <c r="H9" s="23"/>
      <c r="I9" s="23"/>
      <c r="J9" s="24"/>
      <c r="K9" s="22"/>
      <c r="L9" s="23"/>
      <c r="M9" s="23"/>
      <c r="N9" s="25"/>
      <c r="O9" s="25"/>
      <c r="P9" s="25" t="s">
        <v>391</v>
      </c>
      <c r="Q9" s="25"/>
      <c r="R9" s="24"/>
      <c r="S9" s="106"/>
      <c r="T9" s="26"/>
      <c r="U9" s="28">
        <v>45687</v>
      </c>
      <c r="V9" s="28"/>
      <c r="W9" s="29"/>
      <c r="X9" s="30"/>
    </row>
    <row r="10" spans="1:24" ht="11.4" x14ac:dyDescent="0.15">
      <c r="A10" s="19">
        <f t="shared" si="1"/>
        <v>8</v>
      </c>
      <c r="B10" s="20"/>
      <c r="C10" s="20"/>
      <c r="D10" s="31" t="s">
        <v>385</v>
      </c>
      <c r="E10" s="31" t="s">
        <v>47</v>
      </c>
      <c r="F10" s="76" t="s">
        <v>45</v>
      </c>
      <c r="G10" s="22"/>
      <c r="H10" s="23"/>
      <c r="I10" s="23"/>
      <c r="J10" s="24"/>
      <c r="K10" s="22"/>
      <c r="L10" s="23"/>
      <c r="M10" s="23"/>
      <c r="N10" s="25"/>
      <c r="O10" s="25"/>
      <c r="P10" s="25" t="s">
        <v>391</v>
      </c>
      <c r="Q10" s="25"/>
      <c r="R10" s="24"/>
      <c r="S10" s="106"/>
      <c r="T10" s="26"/>
      <c r="U10" s="27"/>
      <c r="V10" s="28">
        <v>45687</v>
      </c>
      <c r="W10" s="29"/>
      <c r="X10" s="30"/>
    </row>
    <row r="11" spans="1:24" ht="11.4" x14ac:dyDescent="0.15">
      <c r="A11" s="19">
        <f t="shared" si="1"/>
        <v>9</v>
      </c>
      <c r="B11" s="20"/>
      <c r="C11" s="20"/>
      <c r="D11" s="31" t="s">
        <v>386</v>
      </c>
      <c r="E11" s="31" t="s">
        <v>47</v>
      </c>
      <c r="F11" s="76" t="s">
        <v>45</v>
      </c>
      <c r="G11" s="22"/>
      <c r="H11" s="23"/>
      <c r="I11" s="23"/>
      <c r="J11" s="24"/>
      <c r="K11" s="22"/>
      <c r="L11" s="23"/>
      <c r="M11" s="23"/>
      <c r="N11" s="25"/>
      <c r="O11" s="25"/>
      <c r="P11" s="25" t="s">
        <v>391</v>
      </c>
      <c r="Q11" s="25"/>
      <c r="R11" s="24"/>
      <c r="S11" s="106"/>
      <c r="T11" s="26"/>
      <c r="U11" s="27"/>
      <c r="V11" s="28">
        <v>45688</v>
      </c>
      <c r="W11" s="29"/>
      <c r="X11" s="30"/>
    </row>
    <row r="12" spans="1:24" ht="11.4" x14ac:dyDescent="0.15">
      <c r="A12" s="19">
        <f t="shared" si="1"/>
        <v>10</v>
      </c>
      <c r="B12" s="20"/>
      <c r="C12" s="20"/>
      <c r="D12" s="31" t="s">
        <v>387</v>
      </c>
      <c r="E12" s="31" t="s">
        <v>47</v>
      </c>
      <c r="F12" s="76" t="s">
        <v>45</v>
      </c>
      <c r="G12" s="22"/>
      <c r="H12" s="23"/>
      <c r="I12" s="23"/>
      <c r="J12" s="24"/>
      <c r="K12" s="22"/>
      <c r="L12" s="23"/>
      <c r="M12" s="23"/>
      <c r="N12" s="25"/>
      <c r="O12" s="25"/>
      <c r="P12" s="25" t="s">
        <v>391</v>
      </c>
      <c r="Q12" s="25"/>
      <c r="R12" s="24"/>
      <c r="S12" s="106"/>
      <c r="T12" s="26"/>
      <c r="U12" s="27"/>
      <c r="V12" s="28">
        <v>45688</v>
      </c>
      <c r="W12" s="29"/>
      <c r="X12" s="30"/>
    </row>
    <row r="13" spans="1:24" ht="11.4" x14ac:dyDescent="0.15">
      <c r="A13" s="19">
        <f t="shared" si="1"/>
        <v>11</v>
      </c>
      <c r="B13" s="20"/>
      <c r="C13" s="20"/>
      <c r="D13" s="20" t="s">
        <v>388</v>
      </c>
      <c r="E13" s="31" t="s">
        <v>47</v>
      </c>
      <c r="F13" s="76" t="s">
        <v>45</v>
      </c>
      <c r="G13" s="22"/>
      <c r="H13" s="23"/>
      <c r="I13" s="23"/>
      <c r="J13" s="24"/>
      <c r="K13" s="22"/>
      <c r="L13" s="23"/>
      <c r="M13" s="23"/>
      <c r="N13" s="25"/>
      <c r="O13" s="25"/>
      <c r="P13" s="25" t="s">
        <v>391</v>
      </c>
      <c r="Q13" s="25"/>
      <c r="R13" s="24"/>
      <c r="S13" s="106"/>
      <c r="T13" s="26"/>
      <c r="U13" s="27"/>
      <c r="V13" s="28">
        <v>45688</v>
      </c>
      <c r="W13" s="29"/>
      <c r="X13" s="30"/>
    </row>
    <row r="14" spans="1:24" ht="11.4" x14ac:dyDescent="0.15">
      <c r="A14" s="19">
        <f t="shared" si="1"/>
        <v>12</v>
      </c>
      <c r="B14" s="20"/>
      <c r="C14" s="20"/>
      <c r="D14" s="20" t="s">
        <v>389</v>
      </c>
      <c r="E14" s="31" t="s">
        <v>47</v>
      </c>
      <c r="F14" s="76" t="s">
        <v>45</v>
      </c>
      <c r="G14" s="22"/>
      <c r="H14" s="23"/>
      <c r="I14" s="23"/>
      <c r="J14" s="24"/>
      <c r="K14" s="22"/>
      <c r="L14" s="23"/>
      <c r="M14" s="23"/>
      <c r="N14" s="25"/>
      <c r="O14" s="25"/>
      <c r="P14" s="25" t="s">
        <v>391</v>
      </c>
      <c r="Q14" s="25"/>
      <c r="R14" s="24"/>
      <c r="S14" s="106"/>
      <c r="T14" s="26">
        <v>45688</v>
      </c>
      <c r="U14" s="27"/>
      <c r="V14" s="28"/>
      <c r="W14" s="29"/>
      <c r="X14" s="30"/>
    </row>
    <row r="15" spans="1:24" ht="11.4" x14ac:dyDescent="0.15">
      <c r="A15" s="19">
        <f t="shared" si="1"/>
        <v>13</v>
      </c>
      <c r="B15" s="20"/>
      <c r="C15" s="20"/>
      <c r="D15" s="31" t="s">
        <v>390</v>
      </c>
      <c r="E15" s="31" t="s">
        <v>47</v>
      </c>
      <c r="F15" s="76" t="s">
        <v>45</v>
      </c>
      <c r="G15" s="22"/>
      <c r="H15" s="23"/>
      <c r="I15" s="23"/>
      <c r="J15" s="24"/>
      <c r="K15" s="22"/>
      <c r="L15" s="23"/>
      <c r="M15" s="23"/>
      <c r="N15" s="25"/>
      <c r="O15" s="25"/>
      <c r="P15" s="25" t="s">
        <v>391</v>
      </c>
      <c r="Q15" s="25"/>
      <c r="R15" s="24"/>
      <c r="S15" s="106"/>
      <c r="T15" s="26">
        <v>45701</v>
      </c>
      <c r="U15" s="27"/>
      <c r="V15" s="28">
        <v>45688</v>
      </c>
      <c r="W15" s="29"/>
      <c r="X15" s="30"/>
    </row>
    <row r="16" spans="1:24" ht="11.4" x14ac:dyDescent="0.15">
      <c r="A16" s="19">
        <f t="shared" si="1"/>
        <v>14</v>
      </c>
      <c r="B16" s="33"/>
      <c r="C16" s="33"/>
      <c r="D16" s="31" t="s">
        <v>49</v>
      </c>
      <c r="E16" s="31" t="s">
        <v>47</v>
      </c>
      <c r="F16" s="76" t="s">
        <v>45</v>
      </c>
      <c r="G16" s="22"/>
      <c r="H16" s="23"/>
      <c r="I16" s="23"/>
      <c r="J16" s="24"/>
      <c r="K16" s="22"/>
      <c r="L16" s="23"/>
      <c r="M16" s="23"/>
      <c r="N16" s="25"/>
      <c r="O16" s="25"/>
      <c r="P16" s="25" t="s">
        <v>250</v>
      </c>
      <c r="Q16" s="25"/>
      <c r="R16" s="24"/>
      <c r="S16" s="106">
        <v>45691</v>
      </c>
      <c r="U16" s="27"/>
      <c r="V16" s="28">
        <v>45688</v>
      </c>
      <c r="W16" s="29"/>
      <c r="X16" s="30" t="s">
        <v>393</v>
      </c>
    </row>
    <row r="17" spans="1:24" ht="11.4" x14ac:dyDescent="0.15">
      <c r="A17" s="19">
        <f t="shared" si="1"/>
        <v>15</v>
      </c>
      <c r="B17" s="33"/>
      <c r="C17" s="33"/>
      <c r="D17" s="31" t="s">
        <v>50</v>
      </c>
      <c r="E17" s="31" t="s">
        <v>47</v>
      </c>
      <c r="F17" s="76" t="s">
        <v>45</v>
      </c>
      <c r="G17" s="22"/>
      <c r="H17" s="23"/>
      <c r="I17" s="23"/>
      <c r="J17" s="24"/>
      <c r="K17" s="22"/>
      <c r="L17" s="23"/>
      <c r="M17" s="23"/>
      <c r="N17" s="25"/>
      <c r="O17" s="25"/>
      <c r="P17" s="25" t="s">
        <v>391</v>
      </c>
      <c r="Q17" s="25"/>
      <c r="R17" s="24"/>
      <c r="S17" s="106">
        <v>45691</v>
      </c>
      <c r="T17" s="26">
        <v>45701</v>
      </c>
      <c r="U17" s="27"/>
      <c r="V17" s="28">
        <v>45688</v>
      </c>
      <c r="W17" s="29"/>
      <c r="X17" s="30" t="s">
        <v>393</v>
      </c>
    </row>
    <row r="18" spans="1:24" s="3" customFormat="1" ht="12" customHeight="1" x14ac:dyDescent="0.25">
      <c r="A18" s="34"/>
      <c r="B18" s="35"/>
      <c r="C18" s="36"/>
      <c r="D18" s="36"/>
      <c r="E18" s="35"/>
      <c r="F18" s="37" t="s">
        <v>51</v>
      </c>
      <c r="G18" s="38">
        <f t="shared" ref="G18:R18" si="2">COUNTIF(G3:G17,"●")</f>
        <v>2</v>
      </c>
      <c r="H18" s="39">
        <f t="shared" si="2"/>
        <v>0</v>
      </c>
      <c r="I18" s="39">
        <f t="shared" si="2"/>
        <v>0</v>
      </c>
      <c r="J18" s="40">
        <f t="shared" si="2"/>
        <v>0</v>
      </c>
      <c r="K18" s="38">
        <f t="shared" si="2"/>
        <v>2</v>
      </c>
      <c r="L18" s="39">
        <f t="shared" si="2"/>
        <v>0</v>
      </c>
      <c r="M18" s="39">
        <f t="shared" si="2"/>
        <v>0</v>
      </c>
      <c r="N18" s="39">
        <f t="shared" si="2"/>
        <v>0</v>
      </c>
      <c r="O18" s="39">
        <f t="shared" si="2"/>
        <v>0</v>
      </c>
      <c r="P18" s="41">
        <f t="shared" si="2"/>
        <v>10</v>
      </c>
      <c r="Q18" s="41">
        <f t="shared" si="2"/>
        <v>0</v>
      </c>
      <c r="R18" s="40">
        <f t="shared" si="2"/>
        <v>0</v>
      </c>
      <c r="S18" s="108"/>
      <c r="T18" s="141" t="s">
        <v>52</v>
      </c>
      <c r="U18" s="141"/>
      <c r="V18" s="142"/>
      <c r="W18" s="42" t="s">
        <v>53</v>
      </c>
      <c r="X18" s="43">
        <f>SUM(G18:R18)</f>
        <v>14</v>
      </c>
    </row>
    <row r="19" spans="1:24" s="3" customFormat="1" ht="12" customHeight="1" x14ac:dyDescent="0.25">
      <c r="A19" s="44"/>
      <c r="B19" s="45" t="s">
        <v>54</v>
      </c>
      <c r="C19" s="46">
        <f>X20</f>
        <v>14</v>
      </c>
      <c r="D19" s="46"/>
      <c r="E19" s="45"/>
      <c r="F19" s="47" t="s">
        <v>55</v>
      </c>
      <c r="G19" s="48">
        <f t="shared" ref="G19:R19" si="3">COUNTIF(G3:G17,"×")</f>
        <v>0</v>
      </c>
      <c r="H19" s="49">
        <f t="shared" si="3"/>
        <v>0</v>
      </c>
      <c r="I19" s="49">
        <f t="shared" si="3"/>
        <v>0</v>
      </c>
      <c r="J19" s="50">
        <f t="shared" si="3"/>
        <v>0</v>
      </c>
      <c r="K19" s="48">
        <f t="shared" si="3"/>
        <v>0</v>
      </c>
      <c r="L19" s="49">
        <f t="shared" si="3"/>
        <v>0</v>
      </c>
      <c r="M19" s="49">
        <f t="shared" si="3"/>
        <v>0</v>
      </c>
      <c r="N19" s="49">
        <f t="shared" si="3"/>
        <v>0</v>
      </c>
      <c r="O19" s="49">
        <f t="shared" si="3"/>
        <v>0</v>
      </c>
      <c r="P19" s="51">
        <f t="shared" si="3"/>
        <v>0</v>
      </c>
      <c r="Q19" s="51">
        <f t="shared" si="3"/>
        <v>0</v>
      </c>
      <c r="R19" s="50">
        <f t="shared" si="3"/>
        <v>0</v>
      </c>
      <c r="S19" s="109"/>
      <c r="T19" s="143"/>
      <c r="U19" s="143"/>
      <c r="V19" s="144"/>
      <c r="W19" s="52" t="s">
        <v>53</v>
      </c>
      <c r="X19" s="53">
        <f t="shared" ref="X19:X21" si="4">SUM(G19:R19)</f>
        <v>0</v>
      </c>
    </row>
    <row r="20" spans="1:24" s="3" customFormat="1" ht="12" customHeight="1" x14ac:dyDescent="0.25">
      <c r="A20" s="54" t="s">
        <v>56</v>
      </c>
      <c r="B20" s="55"/>
      <c r="C20" s="56"/>
      <c r="D20" s="56"/>
      <c r="E20" s="55"/>
      <c r="F20" s="57" t="s">
        <v>57</v>
      </c>
      <c r="G20" s="48">
        <f t="shared" ref="G20:R20" si="5">G18+G19</f>
        <v>2</v>
      </c>
      <c r="H20" s="49">
        <f t="shared" si="5"/>
        <v>0</v>
      </c>
      <c r="I20" s="49">
        <f t="shared" si="5"/>
        <v>0</v>
      </c>
      <c r="J20" s="50">
        <f t="shared" si="5"/>
        <v>0</v>
      </c>
      <c r="K20" s="48">
        <f t="shared" si="5"/>
        <v>2</v>
      </c>
      <c r="L20" s="49">
        <f t="shared" si="5"/>
        <v>0</v>
      </c>
      <c r="M20" s="49">
        <f t="shared" si="5"/>
        <v>0</v>
      </c>
      <c r="N20" s="49">
        <f t="shared" si="5"/>
        <v>0</v>
      </c>
      <c r="O20" s="49">
        <f t="shared" si="5"/>
        <v>0</v>
      </c>
      <c r="P20" s="51">
        <f t="shared" si="5"/>
        <v>10</v>
      </c>
      <c r="Q20" s="51">
        <f t="shared" si="5"/>
        <v>0</v>
      </c>
      <c r="R20" s="50">
        <f t="shared" si="5"/>
        <v>0</v>
      </c>
      <c r="S20" s="137"/>
      <c r="T20" s="145">
        <f>COUNTA(T3:T17)</f>
        <v>6</v>
      </c>
      <c r="U20" s="147">
        <f>COUNTA(U3:U17)</f>
        <v>2</v>
      </c>
      <c r="V20" s="149">
        <f>COUNTA(V3:V17)</f>
        <v>7</v>
      </c>
      <c r="W20" s="58" t="s">
        <v>53</v>
      </c>
      <c r="X20" s="53">
        <f t="shared" si="4"/>
        <v>14</v>
      </c>
    </row>
    <row r="21" spans="1:24" s="3" customFormat="1" ht="12" customHeight="1" x14ac:dyDescent="0.25">
      <c r="A21" s="59"/>
      <c r="B21" s="60" t="s">
        <v>58</v>
      </c>
      <c r="C21" s="61">
        <f>X21</f>
        <v>15</v>
      </c>
      <c r="D21" s="61"/>
      <c r="E21" s="60"/>
      <c r="F21" s="62" t="s">
        <v>59</v>
      </c>
      <c r="G21" s="63">
        <f>COUNTA(G3:G17)</f>
        <v>2</v>
      </c>
      <c r="H21" s="64">
        <f t="shared" ref="H21:R21" si="6">COUNTA(H3:H17)</f>
        <v>0</v>
      </c>
      <c r="I21" s="64">
        <f t="shared" si="6"/>
        <v>0</v>
      </c>
      <c r="J21" s="65">
        <f t="shared" si="6"/>
        <v>0</v>
      </c>
      <c r="K21" s="63">
        <f t="shared" si="6"/>
        <v>2</v>
      </c>
      <c r="L21" s="64">
        <f t="shared" si="6"/>
        <v>0</v>
      </c>
      <c r="M21" s="64">
        <f t="shared" si="6"/>
        <v>0</v>
      </c>
      <c r="N21" s="64">
        <f t="shared" si="6"/>
        <v>0</v>
      </c>
      <c r="O21" s="64">
        <f t="shared" si="6"/>
        <v>0</v>
      </c>
      <c r="P21" s="66">
        <f t="shared" si="6"/>
        <v>11</v>
      </c>
      <c r="Q21" s="66">
        <f t="shared" si="6"/>
        <v>0</v>
      </c>
      <c r="R21" s="65">
        <f t="shared" si="6"/>
        <v>0</v>
      </c>
      <c r="S21" s="138"/>
      <c r="T21" s="146"/>
      <c r="U21" s="148"/>
      <c r="V21" s="150"/>
      <c r="W21" s="67" t="s">
        <v>53</v>
      </c>
      <c r="X21" s="68">
        <f t="shared" si="4"/>
        <v>15</v>
      </c>
    </row>
  </sheetData>
  <mergeCells count="17">
    <mergeCell ref="S20:S21"/>
    <mergeCell ref="S1:S2"/>
    <mergeCell ref="T18:V19"/>
    <mergeCell ref="W1:W2"/>
    <mergeCell ref="T20:T21"/>
    <mergeCell ref="U20:U21"/>
    <mergeCell ref="V20:V21"/>
    <mergeCell ref="X1:X2"/>
    <mergeCell ref="A1:A2"/>
    <mergeCell ref="B1:B2"/>
    <mergeCell ref="C1:C2"/>
    <mergeCell ref="E1:E2"/>
    <mergeCell ref="D1:D2"/>
    <mergeCell ref="T1:V1"/>
    <mergeCell ref="F1:F2"/>
    <mergeCell ref="G1:J1"/>
    <mergeCell ref="K1:R1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54" fitToHeight="0" orientation="landscape" r:id="rId1"/>
  <headerFooter alignWithMargins="0">
    <oddFooter>&amp;RAll Rights Reserved Copyright © Fujitsu Ltd.2017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17"/>
  <sheetViews>
    <sheetView view="pageBreakPreview" topLeftCell="E1" zoomScaleNormal="110" zoomScaleSheetLayoutView="100" workbookViewId="0">
      <pane ySplit="2" topLeftCell="A3" activePane="bottomLeft" state="frozen"/>
      <selection activeCell="B8" sqref="B8"/>
      <selection pane="bottomLeft" activeCell="X14" sqref="X14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8.125" style="2" customWidth="1"/>
    <col min="4" max="4" width="36" style="2" customWidth="1"/>
    <col min="5" max="5" width="38.625" style="2" customWidth="1"/>
    <col min="6" max="6" width="35.375" style="2" customWidth="1"/>
    <col min="7" max="13" width="4.5" style="4" bestFit="1" customWidth="1"/>
    <col min="14" max="16" width="4.5" style="4" customWidth="1"/>
    <col min="17" max="17" width="3.625" style="4" bestFit="1" customWidth="1"/>
    <col min="18" max="18" width="4.5" style="4" bestFit="1" customWidth="1"/>
    <col min="19" max="19" width="8.375" style="4" customWidth="1"/>
    <col min="20" max="22" width="5.875" style="4" customWidth="1"/>
    <col min="23" max="23" width="7.5" style="4" customWidth="1"/>
    <col min="24" max="24" width="39.375" style="2" customWidth="1"/>
    <col min="25" max="25" width="13.125" style="2" bestFit="1" customWidth="1"/>
    <col min="26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6"/>
      <c r="S1" s="139" t="s">
        <v>14</v>
      </c>
      <c r="T1" s="130" t="s">
        <v>15</v>
      </c>
      <c r="U1" s="130"/>
      <c r="V1" s="130"/>
      <c r="W1" s="120" t="s">
        <v>16</v>
      </c>
      <c r="X1" s="69"/>
    </row>
    <row r="2" spans="1:24" s="1" customFormat="1" ht="18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92" t="s">
        <v>60</v>
      </c>
      <c r="P2" s="73" t="s">
        <v>25</v>
      </c>
      <c r="Q2" s="73" t="s">
        <v>27</v>
      </c>
      <c r="R2" s="73" t="s">
        <v>28</v>
      </c>
      <c r="S2" s="140"/>
      <c r="T2" s="71" t="s">
        <v>29</v>
      </c>
      <c r="U2" s="72" t="s">
        <v>30</v>
      </c>
      <c r="V2" s="73" t="s">
        <v>31</v>
      </c>
      <c r="W2" s="121"/>
      <c r="X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5"/>
      <c r="R3" s="24"/>
      <c r="S3" s="106"/>
      <c r="T3" s="26"/>
      <c r="U3" s="27"/>
      <c r="V3" s="28"/>
      <c r="W3" s="29"/>
      <c r="X3" s="30"/>
    </row>
    <row r="4" spans="1:24" ht="11.4" x14ac:dyDescent="0.15">
      <c r="A4" s="19">
        <f t="shared" ref="A4:A13" si="0">ROW()-2</f>
        <v>2</v>
      </c>
      <c r="B4" s="20" t="s">
        <v>34</v>
      </c>
      <c r="C4" s="20" t="s">
        <v>62</v>
      </c>
      <c r="D4" s="96"/>
      <c r="E4" s="96" t="s">
        <v>63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5"/>
      <c r="R4" s="24"/>
      <c r="S4" s="106">
        <v>45325</v>
      </c>
      <c r="T4" s="26">
        <v>45683</v>
      </c>
      <c r="U4" s="27"/>
      <c r="V4" s="28"/>
      <c r="W4" s="29"/>
      <c r="X4" s="30"/>
    </row>
    <row r="5" spans="1:24" ht="11.4" x14ac:dyDescent="0.15">
      <c r="A5" s="19">
        <f t="shared" si="0"/>
        <v>3</v>
      </c>
      <c r="B5" s="20"/>
      <c r="C5" s="20" t="s">
        <v>66</v>
      </c>
      <c r="D5" s="20"/>
      <c r="E5" s="96" t="s">
        <v>63</v>
      </c>
      <c r="F5" s="32" t="s">
        <v>67</v>
      </c>
      <c r="G5" s="23" t="s">
        <v>392</v>
      </c>
      <c r="H5" s="23"/>
      <c r="I5" s="23"/>
      <c r="J5" s="24"/>
      <c r="K5" s="22"/>
      <c r="L5" s="23"/>
      <c r="M5" s="23"/>
      <c r="N5" s="25"/>
      <c r="O5" s="25"/>
      <c r="P5" s="25"/>
      <c r="Q5" s="25"/>
      <c r="R5" s="24"/>
      <c r="S5" s="106">
        <v>45325</v>
      </c>
      <c r="T5" s="26">
        <v>45683</v>
      </c>
      <c r="U5" s="27"/>
      <c r="V5" s="28"/>
      <c r="W5" s="29"/>
      <c r="X5" s="30"/>
    </row>
    <row r="6" spans="1:24" ht="11.4" x14ac:dyDescent="0.15">
      <c r="A6" s="19">
        <f t="shared" si="0"/>
        <v>4</v>
      </c>
      <c r="B6" s="20"/>
      <c r="C6" s="20" t="s">
        <v>68</v>
      </c>
      <c r="D6" s="20"/>
      <c r="E6" s="96" t="s">
        <v>63</v>
      </c>
      <c r="F6" s="32" t="s">
        <v>67</v>
      </c>
      <c r="G6" s="23" t="s">
        <v>392</v>
      </c>
      <c r="H6" s="23"/>
      <c r="I6" s="23"/>
      <c r="J6" s="24"/>
      <c r="K6" s="22"/>
      <c r="L6" s="23"/>
      <c r="M6" s="23"/>
      <c r="N6" s="25"/>
      <c r="O6" s="25"/>
      <c r="P6" s="25"/>
      <c r="Q6" s="25"/>
      <c r="R6" s="24"/>
      <c r="S6" s="106">
        <v>45325</v>
      </c>
      <c r="T6" s="26">
        <v>45683</v>
      </c>
      <c r="U6" s="27"/>
      <c r="V6" s="28"/>
      <c r="W6" s="29"/>
      <c r="X6" s="30"/>
    </row>
    <row r="7" spans="1:24" ht="34.200000000000003" x14ac:dyDescent="0.15">
      <c r="A7" s="19">
        <f t="shared" si="0"/>
        <v>5</v>
      </c>
      <c r="B7" s="20"/>
      <c r="C7" s="20" t="s">
        <v>69</v>
      </c>
      <c r="D7" s="31"/>
      <c r="E7" s="31" t="s">
        <v>70</v>
      </c>
      <c r="F7" s="32" t="s">
        <v>71</v>
      </c>
      <c r="G7" s="23" t="s">
        <v>392</v>
      </c>
      <c r="H7" s="23"/>
      <c r="I7" s="23"/>
      <c r="J7" s="24"/>
      <c r="K7" s="22"/>
      <c r="L7" s="23"/>
      <c r="M7" s="23"/>
      <c r="N7" s="22"/>
      <c r="O7" s="91"/>
      <c r="P7" s="25"/>
      <c r="Q7" s="25"/>
      <c r="R7" s="24"/>
      <c r="S7" s="106">
        <v>45326</v>
      </c>
      <c r="T7" s="26">
        <v>45683</v>
      </c>
      <c r="U7" s="27"/>
      <c r="V7" s="28"/>
      <c r="W7" s="29"/>
      <c r="X7" s="30" t="s">
        <v>72</v>
      </c>
    </row>
    <row r="8" spans="1:24" ht="22.8" x14ac:dyDescent="0.15">
      <c r="A8" s="89">
        <f>ROW()-2</f>
        <v>6</v>
      </c>
      <c r="B8" s="90" t="s">
        <v>32</v>
      </c>
      <c r="C8" s="90" t="s">
        <v>39</v>
      </c>
      <c r="D8" s="20"/>
      <c r="E8" s="31"/>
      <c r="F8" s="32"/>
      <c r="G8" s="22"/>
      <c r="H8" s="23"/>
      <c r="I8" s="23"/>
      <c r="J8" s="24"/>
      <c r="K8" s="22"/>
      <c r="L8" s="23"/>
      <c r="M8" s="23"/>
      <c r="N8" s="25"/>
      <c r="O8" s="25"/>
      <c r="P8" s="25"/>
      <c r="Q8" s="25"/>
      <c r="R8" s="24"/>
      <c r="S8" s="106"/>
      <c r="T8" s="26"/>
      <c r="U8" s="27"/>
      <c r="V8" s="28"/>
      <c r="W8" s="29"/>
      <c r="X8" s="30"/>
    </row>
    <row r="9" spans="1:24" ht="11.4" x14ac:dyDescent="0.15">
      <c r="A9" s="19">
        <f t="shared" si="0"/>
        <v>7</v>
      </c>
      <c r="B9" s="20" t="s">
        <v>394</v>
      </c>
      <c r="C9" s="20" t="s">
        <v>62</v>
      </c>
      <c r="D9" s="96"/>
      <c r="E9" s="96" t="s">
        <v>73</v>
      </c>
      <c r="F9" s="32" t="s">
        <v>64</v>
      </c>
      <c r="G9" s="23" t="s">
        <v>392</v>
      </c>
      <c r="H9" s="23"/>
      <c r="I9" s="23"/>
      <c r="J9" s="24"/>
      <c r="K9" s="22"/>
      <c r="L9" s="23"/>
      <c r="M9" s="23"/>
      <c r="N9" s="25"/>
      <c r="O9" s="25"/>
      <c r="P9" s="25"/>
      <c r="Q9" s="25"/>
      <c r="R9" s="24"/>
      <c r="S9" s="106">
        <v>45325</v>
      </c>
      <c r="T9" s="26">
        <v>45686</v>
      </c>
      <c r="U9" s="27"/>
      <c r="V9" s="28"/>
      <c r="W9" s="29"/>
      <c r="X9" s="30"/>
    </row>
    <row r="10" spans="1:24" ht="11.4" x14ac:dyDescent="0.15">
      <c r="A10" s="19">
        <f t="shared" si="0"/>
        <v>8</v>
      </c>
      <c r="B10" s="20"/>
      <c r="C10" s="20" t="s">
        <v>66</v>
      </c>
      <c r="D10" s="20"/>
      <c r="E10" s="96" t="s">
        <v>73</v>
      </c>
      <c r="F10" s="32" t="s">
        <v>67</v>
      </c>
      <c r="G10" s="23" t="s">
        <v>392</v>
      </c>
      <c r="H10" s="23"/>
      <c r="I10" s="23"/>
      <c r="J10" s="24"/>
      <c r="K10" s="22"/>
      <c r="L10" s="23"/>
      <c r="M10" s="23"/>
      <c r="N10" s="25"/>
      <c r="O10" s="25"/>
      <c r="P10" s="25"/>
      <c r="Q10" s="25"/>
      <c r="R10" s="24"/>
      <c r="S10" s="106">
        <v>45325</v>
      </c>
      <c r="T10" s="26">
        <v>45686</v>
      </c>
      <c r="U10" s="27"/>
      <c r="V10" s="28"/>
      <c r="W10" s="29"/>
      <c r="X10" s="30"/>
    </row>
    <row r="11" spans="1:24" ht="11.4" x14ac:dyDescent="0.15">
      <c r="A11" s="19">
        <f t="shared" si="0"/>
        <v>9</v>
      </c>
      <c r="B11" s="20"/>
      <c r="C11" s="20" t="s">
        <v>68</v>
      </c>
      <c r="D11" s="20"/>
      <c r="E11" s="96" t="s">
        <v>73</v>
      </c>
      <c r="F11" s="32" t="s">
        <v>67</v>
      </c>
      <c r="G11" s="23" t="s">
        <v>392</v>
      </c>
      <c r="H11" s="23"/>
      <c r="I11" s="23"/>
      <c r="J11" s="24"/>
      <c r="K11" s="22"/>
      <c r="L11" s="23"/>
      <c r="M11" s="23"/>
      <c r="N11" s="25"/>
      <c r="O11" s="25"/>
      <c r="P11" s="25"/>
      <c r="Q11" s="25"/>
      <c r="R11" s="24"/>
      <c r="S11" s="106">
        <v>45325</v>
      </c>
      <c r="T11" s="26">
        <v>45686</v>
      </c>
      <c r="U11" s="27"/>
      <c r="V11" s="28"/>
      <c r="W11" s="29"/>
      <c r="X11" s="30"/>
    </row>
    <row r="12" spans="1:24" ht="34.200000000000003" x14ac:dyDescent="0.15">
      <c r="A12" s="19">
        <f t="shared" si="0"/>
        <v>10</v>
      </c>
      <c r="B12" s="20"/>
      <c r="C12" s="20" t="s">
        <v>69</v>
      </c>
      <c r="D12" s="31"/>
      <c r="E12" s="31" t="s">
        <v>70</v>
      </c>
      <c r="F12" s="32" t="s">
        <v>71</v>
      </c>
      <c r="G12" s="23" t="s">
        <v>392</v>
      </c>
      <c r="H12" s="23"/>
      <c r="I12" s="23"/>
      <c r="J12" s="24"/>
      <c r="K12" s="22"/>
      <c r="L12" s="23"/>
      <c r="M12" s="23"/>
      <c r="N12" s="22"/>
      <c r="O12" s="91"/>
      <c r="P12" s="25"/>
      <c r="Q12" s="25"/>
      <c r="R12" s="24"/>
      <c r="S12" s="106">
        <v>45326</v>
      </c>
      <c r="T12" s="26">
        <v>45686</v>
      </c>
      <c r="U12" s="27"/>
      <c r="V12" s="28"/>
      <c r="W12" s="29"/>
      <c r="X12" s="30" t="s">
        <v>72</v>
      </c>
    </row>
    <row r="13" spans="1:24" ht="11.4" x14ac:dyDescent="0.15">
      <c r="A13" s="19">
        <f t="shared" si="0"/>
        <v>11</v>
      </c>
      <c r="B13" s="20" t="s">
        <v>42</v>
      </c>
      <c r="C13" s="33"/>
      <c r="D13" s="31"/>
      <c r="E13" s="31" t="s">
        <v>74</v>
      </c>
      <c r="F13" s="32" t="s">
        <v>45</v>
      </c>
      <c r="G13" s="22"/>
      <c r="H13" s="23"/>
      <c r="I13" s="23"/>
      <c r="J13" s="24"/>
      <c r="K13" s="22"/>
      <c r="L13" s="23"/>
      <c r="M13" s="23"/>
      <c r="N13" s="25"/>
      <c r="O13" s="22" t="s">
        <v>38</v>
      </c>
      <c r="P13" s="25"/>
      <c r="Q13" s="25"/>
      <c r="R13" s="24"/>
      <c r="S13" s="106"/>
      <c r="T13" s="26"/>
      <c r="U13" s="27">
        <v>45695</v>
      </c>
      <c r="V13" s="28"/>
      <c r="W13" s="29"/>
      <c r="X13" s="30" t="s">
        <v>395</v>
      </c>
    </row>
    <row r="14" spans="1:24" s="3" customFormat="1" ht="12" customHeight="1" x14ac:dyDescent="0.25">
      <c r="A14" s="34"/>
      <c r="B14" s="35"/>
      <c r="C14" s="36"/>
      <c r="D14" s="36"/>
      <c r="E14" s="35"/>
      <c r="F14" s="37" t="s">
        <v>51</v>
      </c>
      <c r="G14" s="38">
        <f t="shared" ref="G14:R14" si="1">COUNTIF(G3:G13,"●")</f>
        <v>8</v>
      </c>
      <c r="H14" s="39">
        <f t="shared" si="1"/>
        <v>0</v>
      </c>
      <c r="I14" s="39">
        <f t="shared" si="1"/>
        <v>0</v>
      </c>
      <c r="J14" s="40">
        <f t="shared" si="1"/>
        <v>0</v>
      </c>
      <c r="K14" s="38">
        <f t="shared" si="1"/>
        <v>0</v>
      </c>
      <c r="L14" s="39">
        <f t="shared" si="1"/>
        <v>0</v>
      </c>
      <c r="M14" s="39">
        <f t="shared" si="1"/>
        <v>0</v>
      </c>
      <c r="N14" s="41">
        <f t="shared" si="1"/>
        <v>0</v>
      </c>
      <c r="O14" s="41">
        <f t="shared" si="1"/>
        <v>0</v>
      </c>
      <c r="P14" s="41">
        <f t="shared" si="1"/>
        <v>0</v>
      </c>
      <c r="Q14" s="41">
        <f t="shared" si="1"/>
        <v>0</v>
      </c>
      <c r="R14" s="40">
        <f t="shared" si="1"/>
        <v>0</v>
      </c>
      <c r="S14" s="108"/>
      <c r="T14" s="141" t="s">
        <v>52</v>
      </c>
      <c r="U14" s="141"/>
      <c r="V14" s="142"/>
      <c r="W14" s="42" t="s">
        <v>53</v>
      </c>
      <c r="X14" s="43">
        <f>SUM(G14:R14)</f>
        <v>8</v>
      </c>
    </row>
    <row r="15" spans="1:24" s="3" customFormat="1" ht="12" customHeight="1" x14ac:dyDescent="0.25">
      <c r="A15" s="44"/>
      <c r="B15" s="45" t="s">
        <v>54</v>
      </c>
      <c r="C15" s="46">
        <f>X16</f>
        <v>8</v>
      </c>
      <c r="D15" s="46"/>
      <c r="E15" s="45"/>
      <c r="F15" s="47" t="s">
        <v>55</v>
      </c>
      <c r="G15" s="48">
        <f t="shared" ref="G15:R15" si="2">COUNTIF(G3:G13,"×")</f>
        <v>0</v>
      </c>
      <c r="H15" s="49">
        <f t="shared" si="2"/>
        <v>0</v>
      </c>
      <c r="I15" s="49">
        <f t="shared" si="2"/>
        <v>0</v>
      </c>
      <c r="J15" s="50">
        <f t="shared" si="2"/>
        <v>0</v>
      </c>
      <c r="K15" s="48">
        <f t="shared" si="2"/>
        <v>0</v>
      </c>
      <c r="L15" s="49">
        <f t="shared" si="2"/>
        <v>0</v>
      </c>
      <c r="M15" s="49">
        <f t="shared" si="2"/>
        <v>0</v>
      </c>
      <c r="N15" s="51">
        <f t="shared" si="2"/>
        <v>0</v>
      </c>
      <c r="O15" s="51">
        <f t="shared" si="2"/>
        <v>0</v>
      </c>
      <c r="P15" s="51">
        <f t="shared" si="2"/>
        <v>0</v>
      </c>
      <c r="Q15" s="51">
        <f t="shared" si="2"/>
        <v>0</v>
      </c>
      <c r="R15" s="50">
        <f t="shared" si="2"/>
        <v>0</v>
      </c>
      <c r="S15" s="109"/>
      <c r="T15" s="143"/>
      <c r="U15" s="143"/>
      <c r="V15" s="144"/>
      <c r="W15" s="52" t="s">
        <v>53</v>
      </c>
      <c r="X15" s="53">
        <f>SUM(G15:R15)</f>
        <v>0</v>
      </c>
    </row>
    <row r="16" spans="1:24" s="3" customFormat="1" ht="12" customHeight="1" x14ac:dyDescent="0.25">
      <c r="A16" s="54" t="s">
        <v>56</v>
      </c>
      <c r="B16" s="55"/>
      <c r="C16" s="56"/>
      <c r="D16" s="56"/>
      <c r="E16" s="55"/>
      <c r="F16" s="57" t="s">
        <v>57</v>
      </c>
      <c r="G16" s="48">
        <f t="shared" ref="G16:R16" si="3">G14+G15</f>
        <v>8</v>
      </c>
      <c r="H16" s="49">
        <f t="shared" si="3"/>
        <v>0</v>
      </c>
      <c r="I16" s="49">
        <f t="shared" si="3"/>
        <v>0</v>
      </c>
      <c r="J16" s="50">
        <f t="shared" si="3"/>
        <v>0</v>
      </c>
      <c r="K16" s="48">
        <f t="shared" si="3"/>
        <v>0</v>
      </c>
      <c r="L16" s="49">
        <f t="shared" si="3"/>
        <v>0</v>
      </c>
      <c r="M16" s="49">
        <f t="shared" si="3"/>
        <v>0</v>
      </c>
      <c r="N16" s="51">
        <f t="shared" si="3"/>
        <v>0</v>
      </c>
      <c r="O16" s="51">
        <f t="shared" si="3"/>
        <v>0</v>
      </c>
      <c r="P16" s="51">
        <f t="shared" si="3"/>
        <v>0</v>
      </c>
      <c r="Q16" s="51">
        <f t="shared" si="3"/>
        <v>0</v>
      </c>
      <c r="R16" s="50">
        <f t="shared" si="3"/>
        <v>0</v>
      </c>
      <c r="S16" s="137"/>
      <c r="T16" s="145">
        <f>COUNTA(T3:T13)</f>
        <v>8</v>
      </c>
      <c r="U16" s="147">
        <f>COUNTA(U3:U13)</f>
        <v>1</v>
      </c>
      <c r="V16" s="149">
        <f>COUNTA(V3:V13)</f>
        <v>0</v>
      </c>
      <c r="W16" s="58" t="s">
        <v>53</v>
      </c>
      <c r="X16" s="53">
        <f>SUM(G16:R16)</f>
        <v>8</v>
      </c>
    </row>
    <row r="17" spans="1:24" s="3" customFormat="1" ht="12" customHeight="1" x14ac:dyDescent="0.25">
      <c r="A17" s="59"/>
      <c r="B17" s="60" t="s">
        <v>58</v>
      </c>
      <c r="C17" s="61">
        <f>X17</f>
        <v>9</v>
      </c>
      <c r="D17" s="61"/>
      <c r="E17" s="60"/>
      <c r="F17" s="62" t="s">
        <v>59</v>
      </c>
      <c r="G17" s="63">
        <f t="shared" ref="G17:R17" si="4">COUNTA(G3:G13)</f>
        <v>8</v>
      </c>
      <c r="H17" s="64">
        <f t="shared" si="4"/>
        <v>0</v>
      </c>
      <c r="I17" s="64">
        <f t="shared" si="4"/>
        <v>0</v>
      </c>
      <c r="J17" s="65">
        <f t="shared" si="4"/>
        <v>0</v>
      </c>
      <c r="K17" s="63">
        <f t="shared" si="4"/>
        <v>0</v>
      </c>
      <c r="L17" s="64">
        <f t="shared" si="4"/>
        <v>0</v>
      </c>
      <c r="M17" s="64">
        <f t="shared" si="4"/>
        <v>0</v>
      </c>
      <c r="N17" s="66">
        <f t="shared" si="4"/>
        <v>0</v>
      </c>
      <c r="O17" s="66">
        <f t="shared" si="4"/>
        <v>1</v>
      </c>
      <c r="P17" s="66">
        <f t="shared" si="4"/>
        <v>0</v>
      </c>
      <c r="Q17" s="66">
        <f t="shared" si="4"/>
        <v>0</v>
      </c>
      <c r="R17" s="65">
        <f t="shared" si="4"/>
        <v>0</v>
      </c>
      <c r="S17" s="138"/>
      <c r="T17" s="146"/>
      <c r="U17" s="148"/>
      <c r="V17" s="150"/>
      <c r="W17" s="67" t="s">
        <v>53</v>
      </c>
      <c r="X17" s="68">
        <f>SUM(G17:R17)</f>
        <v>9</v>
      </c>
    </row>
  </sheetData>
  <mergeCells count="16">
    <mergeCell ref="T16:T17"/>
    <mergeCell ref="U16:U17"/>
    <mergeCell ref="V16:V17"/>
    <mergeCell ref="F1:F2"/>
    <mergeCell ref="G1:J1"/>
    <mergeCell ref="K1:R1"/>
    <mergeCell ref="T1:V1"/>
    <mergeCell ref="S16:S17"/>
    <mergeCell ref="S1:S2"/>
    <mergeCell ref="W1:W2"/>
    <mergeCell ref="T14:V1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2" fitToHeight="0" orientation="landscape" r:id="rId1"/>
  <headerFooter alignWithMargins="0">
    <oddFooter>&amp;RAll Rights Reserved Copyright © Fujitsu Ltd.2017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2D3B-83E7-4300-BF31-691B7DA160D8}">
  <sheetPr>
    <pageSetUpPr fitToPage="1"/>
  </sheetPr>
  <dimension ref="A1:W13"/>
  <sheetViews>
    <sheetView view="pageBreakPreview" topLeftCell="D1" zoomScaleNormal="110" zoomScaleSheetLayoutView="100" workbookViewId="0">
      <pane ySplit="2" topLeftCell="A3" activePane="bottomLeft" state="frozen"/>
      <selection activeCell="B8" sqref="B8"/>
      <selection pane="bottomLeft" activeCell="E26" sqref="E26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7.125" style="2" customWidth="1"/>
    <col min="4" max="4" width="21.625" style="2" customWidth="1"/>
    <col min="5" max="5" width="41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20"/>
      <c r="F3" s="21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7"/>
      <c r="U3" s="28"/>
      <c r="V3" s="29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75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/>
      <c r="S4" s="26">
        <v>45683</v>
      </c>
      <c r="T4" s="27"/>
      <c r="U4" s="28"/>
      <c r="V4" s="29"/>
      <c r="W4" s="30"/>
    </row>
    <row r="5" spans="1:23" ht="57" x14ac:dyDescent="0.15">
      <c r="A5" s="19">
        <f t="shared" ref="A5:A9" si="1">ROW()-2</f>
        <v>3</v>
      </c>
      <c r="B5" s="20"/>
      <c r="C5" s="20" t="s">
        <v>76</v>
      </c>
      <c r="D5" s="31"/>
      <c r="E5" s="31" t="s">
        <v>77</v>
      </c>
      <c r="F5" s="32" t="s">
        <v>78</v>
      </c>
      <c r="G5" s="22"/>
      <c r="H5" s="23"/>
      <c r="I5" s="23"/>
      <c r="J5" s="24"/>
      <c r="K5" s="22"/>
      <c r="L5" s="23"/>
      <c r="M5" s="23"/>
      <c r="N5" s="25" t="s">
        <v>392</v>
      </c>
      <c r="O5" s="25"/>
      <c r="P5" s="25"/>
      <c r="Q5" s="24"/>
      <c r="R5" s="106"/>
      <c r="S5" s="26">
        <v>45684</v>
      </c>
      <c r="T5" s="27"/>
      <c r="U5" s="28"/>
      <c r="V5" s="29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31"/>
      <c r="E6" s="31"/>
      <c r="F6" s="32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8"/>
      <c r="V6" s="29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35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/>
      <c r="S7" s="26">
        <v>45686</v>
      </c>
      <c r="T7" s="27"/>
      <c r="U7" s="28"/>
      <c r="V7" s="29"/>
      <c r="W7" s="30"/>
    </row>
    <row r="8" spans="1:23" ht="57" x14ac:dyDescent="0.15">
      <c r="A8" s="19">
        <f t="shared" si="1"/>
        <v>6</v>
      </c>
      <c r="B8" s="20"/>
      <c r="C8" s="20" t="s">
        <v>76</v>
      </c>
      <c r="D8" s="31"/>
      <c r="E8" s="31" t="s">
        <v>77</v>
      </c>
      <c r="F8" s="32" t="s">
        <v>78</v>
      </c>
      <c r="G8" s="22"/>
      <c r="H8" s="23"/>
      <c r="I8" s="23"/>
      <c r="J8" s="24"/>
      <c r="K8" s="22"/>
      <c r="L8" s="23"/>
      <c r="M8" s="23"/>
      <c r="N8" s="25" t="s">
        <v>392</v>
      </c>
      <c r="O8" s="25"/>
      <c r="P8" s="25"/>
      <c r="Q8" s="24"/>
      <c r="R8" s="106"/>
      <c r="S8" s="26">
        <v>45687</v>
      </c>
      <c r="T8" s="27"/>
      <c r="U8" s="28"/>
      <c r="V8" s="29"/>
      <c r="W8" s="30"/>
    </row>
    <row r="9" spans="1:23" ht="11.4" x14ac:dyDescent="0.15">
      <c r="A9" s="19">
        <f t="shared" si="1"/>
        <v>7</v>
      </c>
      <c r="B9" s="20" t="s">
        <v>42</v>
      </c>
      <c r="C9" s="20"/>
      <c r="D9" s="31"/>
      <c r="E9" s="31" t="s">
        <v>80</v>
      </c>
      <c r="F9" s="32" t="s">
        <v>45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/>
      <c r="S9" s="26">
        <v>45694</v>
      </c>
      <c r="T9" s="27"/>
      <c r="U9" s="28"/>
      <c r="V9" s="29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3">COUNTIF(G3:G9,"●")</f>
        <v>1</v>
      </c>
      <c r="H10" s="39">
        <f t="shared" si="3"/>
        <v>0</v>
      </c>
      <c r="I10" s="39">
        <f t="shared" si="3"/>
        <v>0</v>
      </c>
      <c r="J10" s="40">
        <f t="shared" si="3"/>
        <v>0</v>
      </c>
      <c r="K10" s="38">
        <f t="shared" si="3"/>
        <v>0</v>
      </c>
      <c r="L10" s="39">
        <f t="shared" si="3"/>
        <v>0</v>
      </c>
      <c r="M10" s="39">
        <f t="shared" si="3"/>
        <v>0</v>
      </c>
      <c r="N10" s="41">
        <f t="shared" si="3"/>
        <v>3</v>
      </c>
      <c r="O10" s="41">
        <f t="shared" si="3"/>
        <v>0</v>
      </c>
      <c r="P10" s="41">
        <f t="shared" si="3"/>
        <v>0</v>
      </c>
      <c r="Q10" s="40">
        <f t="shared" si="3"/>
        <v>0</v>
      </c>
      <c r="R10" s="108"/>
      <c r="S10" s="141" t="s">
        <v>52</v>
      </c>
      <c r="T10" s="141"/>
      <c r="U10" s="142"/>
      <c r="V10" s="42" t="s">
        <v>53</v>
      </c>
      <c r="W10" s="43">
        <f>SUM(G10:Q10)</f>
        <v>4</v>
      </c>
    </row>
    <row r="11" spans="1:23" s="3" customFormat="1" ht="12" customHeight="1" x14ac:dyDescent="0.25">
      <c r="A11" s="44"/>
      <c r="B11" s="45" t="s">
        <v>54</v>
      </c>
      <c r="C11" s="46">
        <f>W12</f>
        <v>4</v>
      </c>
      <c r="D11" s="46"/>
      <c r="E11" s="45"/>
      <c r="F11" s="47" t="s">
        <v>55</v>
      </c>
      <c r="G11" s="48">
        <f t="shared" ref="G11:Q11" si="4">COUNTIF(G3:G9,"×")</f>
        <v>0</v>
      </c>
      <c r="H11" s="49">
        <f t="shared" si="4"/>
        <v>0</v>
      </c>
      <c r="I11" s="49">
        <f t="shared" si="4"/>
        <v>0</v>
      </c>
      <c r="J11" s="50">
        <f t="shared" si="4"/>
        <v>0</v>
      </c>
      <c r="K11" s="48">
        <f t="shared" si="4"/>
        <v>0</v>
      </c>
      <c r="L11" s="49">
        <f t="shared" si="4"/>
        <v>0</v>
      </c>
      <c r="M11" s="49">
        <f t="shared" si="4"/>
        <v>0</v>
      </c>
      <c r="N11" s="51">
        <f t="shared" si="4"/>
        <v>0</v>
      </c>
      <c r="O11" s="51">
        <f t="shared" si="4"/>
        <v>0</v>
      </c>
      <c r="P11" s="51">
        <f t="shared" si="4"/>
        <v>0</v>
      </c>
      <c r="Q11" s="50">
        <f t="shared" si="4"/>
        <v>0</v>
      </c>
      <c r="R11" s="109"/>
      <c r="S11" s="143"/>
      <c r="T11" s="143"/>
      <c r="U11" s="144"/>
      <c r="V11" s="52" t="s">
        <v>53</v>
      </c>
      <c r="W11" s="53">
        <f t="shared" ref="W11:W13" si="5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6">G10+G11</f>
        <v>1</v>
      </c>
      <c r="H12" s="49">
        <f t="shared" si="6"/>
        <v>0</v>
      </c>
      <c r="I12" s="49">
        <f t="shared" si="6"/>
        <v>0</v>
      </c>
      <c r="J12" s="50">
        <f t="shared" si="6"/>
        <v>0</v>
      </c>
      <c r="K12" s="48">
        <f t="shared" si="6"/>
        <v>0</v>
      </c>
      <c r="L12" s="49">
        <f t="shared" si="6"/>
        <v>0</v>
      </c>
      <c r="M12" s="49">
        <f t="shared" si="6"/>
        <v>0</v>
      </c>
      <c r="N12" s="51">
        <f t="shared" si="6"/>
        <v>3</v>
      </c>
      <c r="O12" s="51">
        <f t="shared" si="6"/>
        <v>0</v>
      </c>
      <c r="P12" s="51">
        <f t="shared" si="6"/>
        <v>0</v>
      </c>
      <c r="Q12" s="50">
        <f t="shared" si="6"/>
        <v>0</v>
      </c>
      <c r="R12" s="137"/>
      <c r="S12" s="145">
        <f>COUNTA(S3:S9)</f>
        <v>5</v>
      </c>
      <c r="T12" s="147">
        <f>COUNTA(T3:T9)</f>
        <v>0</v>
      </c>
      <c r="U12" s="149">
        <f>COUNTA(U3:U9)</f>
        <v>0</v>
      </c>
      <c r="V12" s="58" t="s">
        <v>53</v>
      </c>
      <c r="W12" s="53">
        <f t="shared" si="5"/>
        <v>4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7">COUNTA(G3:G9)</f>
        <v>2</v>
      </c>
      <c r="H13" s="64">
        <f t="shared" si="7"/>
        <v>0</v>
      </c>
      <c r="I13" s="64">
        <f t="shared" si="7"/>
        <v>0</v>
      </c>
      <c r="J13" s="65">
        <f t="shared" si="7"/>
        <v>0</v>
      </c>
      <c r="K13" s="63">
        <f t="shared" si="7"/>
        <v>0</v>
      </c>
      <c r="L13" s="64">
        <f t="shared" si="7"/>
        <v>0</v>
      </c>
      <c r="M13" s="64">
        <f t="shared" si="7"/>
        <v>0</v>
      </c>
      <c r="N13" s="66">
        <f t="shared" si="7"/>
        <v>3</v>
      </c>
      <c r="O13" s="66">
        <f t="shared" si="7"/>
        <v>0</v>
      </c>
      <c r="P13" s="66">
        <f t="shared" si="7"/>
        <v>0</v>
      </c>
      <c r="Q13" s="65">
        <f t="shared" si="7"/>
        <v>0</v>
      </c>
      <c r="R13" s="138"/>
      <c r="S13" s="146"/>
      <c r="T13" s="148"/>
      <c r="U13" s="150"/>
      <c r="V13" s="67" t="s">
        <v>53</v>
      </c>
      <c r="W13" s="68">
        <f t="shared" si="5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9" fitToHeight="0" orientation="landscape" r:id="rId1"/>
  <headerFooter alignWithMargins="0">
    <oddFooter>&amp;RAll Rights Reserved Copyright © Fujitsu Ltd.2017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88584-416E-404F-AB48-03D7BFC15309}">
  <sheetPr>
    <pageSetUpPr fitToPage="1"/>
  </sheetPr>
  <dimension ref="A1:W13"/>
  <sheetViews>
    <sheetView view="pageBreakPreview" zoomScale="99" zoomScaleNormal="110" zoomScaleSheetLayoutView="99" workbookViewId="0">
      <pane ySplit="2" topLeftCell="A3" activePane="bottomLeft" state="frozen"/>
      <selection activeCell="B8" sqref="B8"/>
      <selection pane="bottomLeft" activeCell="E38" sqref="E38:F38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30.625" style="2" customWidth="1"/>
    <col min="4" max="4" width="20.5" style="2" customWidth="1"/>
    <col min="5" max="5" width="39.875" style="2" customWidth="1"/>
    <col min="6" max="6" width="50.125" style="2" bestFit="1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625" style="4" customWidth="1"/>
    <col min="19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81</v>
      </c>
      <c r="D4" s="96"/>
      <c r="E4" s="96" t="s">
        <v>75</v>
      </c>
      <c r="F4" s="32" t="s">
        <v>64</v>
      </c>
      <c r="G4" s="23" t="s">
        <v>65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45322</v>
      </c>
      <c r="S4" s="26"/>
      <c r="T4" s="27"/>
      <c r="U4" s="28"/>
      <c r="V4" s="29"/>
      <c r="W4" s="30"/>
    </row>
    <row r="5" spans="1:23" ht="11.4" x14ac:dyDescent="0.15">
      <c r="A5" s="19">
        <f t="shared" ref="A5" si="1">ROW()-2</f>
        <v>3</v>
      </c>
      <c r="B5" s="20"/>
      <c r="C5" s="20" t="s">
        <v>82</v>
      </c>
      <c r="D5" s="31"/>
      <c r="E5" s="31" t="s">
        <v>83</v>
      </c>
      <c r="F5" s="32" t="s">
        <v>84</v>
      </c>
      <c r="G5" s="22"/>
      <c r="H5" s="23"/>
      <c r="I5" s="23"/>
      <c r="J5" s="24"/>
      <c r="K5" s="22"/>
      <c r="L5" s="23"/>
      <c r="M5" s="23"/>
      <c r="N5" s="25" t="s">
        <v>38</v>
      </c>
      <c r="O5" s="25"/>
      <c r="P5" s="25"/>
      <c r="Q5" s="24"/>
      <c r="R5" s="106">
        <v>45322</v>
      </c>
      <c r="S5" s="26"/>
      <c r="T5" s="26"/>
      <c r="U5" s="27"/>
      <c r="V5" s="30"/>
      <c r="W5" s="30"/>
    </row>
    <row r="6" spans="1:23" ht="22.8" x14ac:dyDescent="0.15">
      <c r="A6" s="89">
        <f>ROW()-2</f>
        <v>4</v>
      </c>
      <c r="B6" s="90" t="s">
        <v>32</v>
      </c>
      <c r="C6" s="90" t="s">
        <v>39</v>
      </c>
      <c r="D6" s="20"/>
      <c r="E6" s="20"/>
      <c r="F6" s="21"/>
      <c r="G6" s="22"/>
      <c r="H6" s="23"/>
      <c r="I6" s="23"/>
      <c r="J6" s="24"/>
      <c r="K6" s="22"/>
      <c r="L6" s="23"/>
      <c r="M6" s="23"/>
      <c r="N6" s="25"/>
      <c r="O6" s="25"/>
      <c r="P6" s="25"/>
      <c r="Q6" s="24"/>
      <c r="R6" s="106"/>
      <c r="S6" s="26"/>
      <c r="T6" s="27"/>
      <c r="U6" s="27"/>
      <c r="V6" s="30"/>
      <c r="W6" s="30"/>
    </row>
    <row r="7" spans="1:23" ht="22.8" x14ac:dyDescent="0.15">
      <c r="A7" s="19">
        <f t="shared" ref="A7" si="2">ROW()-2</f>
        <v>5</v>
      </c>
      <c r="B7" s="20" t="s">
        <v>40</v>
      </c>
      <c r="C7" s="20" t="s">
        <v>81</v>
      </c>
      <c r="D7" s="96"/>
      <c r="E7" s="96" t="s">
        <v>79</v>
      </c>
      <c r="F7" s="32" t="s">
        <v>64</v>
      </c>
      <c r="G7" s="23" t="s">
        <v>65</v>
      </c>
      <c r="H7" s="23"/>
      <c r="I7" s="23"/>
      <c r="J7" s="24"/>
      <c r="K7" s="22"/>
      <c r="L7" s="23"/>
      <c r="M7" s="23"/>
      <c r="N7" s="25"/>
      <c r="O7" s="25"/>
      <c r="P7" s="25"/>
      <c r="Q7" s="24"/>
      <c r="R7" s="106">
        <v>45322</v>
      </c>
      <c r="S7" s="26"/>
      <c r="T7" s="27"/>
      <c r="U7" s="28"/>
      <c r="V7" s="29"/>
      <c r="W7" s="30"/>
    </row>
    <row r="8" spans="1:23" ht="11.4" x14ac:dyDescent="0.15">
      <c r="A8" s="19">
        <f t="shared" ref="A8" si="3">ROW()-2</f>
        <v>6</v>
      </c>
      <c r="B8" s="20"/>
      <c r="C8" s="20" t="s">
        <v>82</v>
      </c>
      <c r="D8" s="31"/>
      <c r="E8" s="31" t="s">
        <v>83</v>
      </c>
      <c r="F8" s="32" t="s">
        <v>84</v>
      </c>
      <c r="G8" s="22"/>
      <c r="H8" s="23"/>
      <c r="I8" s="23"/>
      <c r="J8" s="24"/>
      <c r="K8" s="22"/>
      <c r="L8" s="23"/>
      <c r="M8" s="23"/>
      <c r="N8" s="25" t="s">
        <v>38</v>
      </c>
      <c r="O8" s="25"/>
      <c r="P8" s="25"/>
      <c r="Q8" s="24"/>
      <c r="R8" s="106">
        <v>45322</v>
      </c>
      <c r="S8" s="26"/>
      <c r="T8" s="26"/>
      <c r="U8" s="27"/>
      <c r="V8" s="30"/>
      <c r="W8" s="30"/>
    </row>
    <row r="9" spans="1:23" ht="11.4" x14ac:dyDescent="0.15">
      <c r="A9" s="19">
        <f t="shared" ref="A9" si="4">ROW()-2</f>
        <v>7</v>
      </c>
      <c r="B9" s="20" t="s">
        <v>42</v>
      </c>
      <c r="C9" s="33"/>
      <c r="D9" s="20"/>
      <c r="E9" s="20" t="s">
        <v>85</v>
      </c>
      <c r="F9" s="32" t="s">
        <v>86</v>
      </c>
      <c r="G9" s="22"/>
      <c r="H9" s="23"/>
      <c r="I9" s="23"/>
      <c r="J9" s="24"/>
      <c r="K9" s="22"/>
      <c r="L9" s="23"/>
      <c r="M9" s="23"/>
      <c r="N9" s="25" t="s">
        <v>38</v>
      </c>
      <c r="O9" s="25"/>
      <c r="P9" s="25"/>
      <c r="Q9" s="24"/>
      <c r="R9" s="106">
        <v>45322</v>
      </c>
      <c r="S9" s="26"/>
      <c r="T9" s="27"/>
      <c r="U9" s="28"/>
      <c r="V9" s="30"/>
      <c r="W9" s="30"/>
    </row>
    <row r="10" spans="1:23" s="3" customFormat="1" ht="12" customHeight="1" x14ac:dyDescent="0.25">
      <c r="A10" s="34"/>
      <c r="B10" s="35"/>
      <c r="C10" s="36"/>
      <c r="D10" s="36"/>
      <c r="E10" s="35"/>
      <c r="F10" s="37" t="s">
        <v>51</v>
      </c>
      <c r="G10" s="38">
        <f t="shared" ref="G10:Q10" si="5">COUNTIF(G3:G9,"●")</f>
        <v>0</v>
      </c>
      <c r="H10" s="39">
        <f t="shared" si="5"/>
        <v>0</v>
      </c>
      <c r="I10" s="39">
        <f t="shared" si="5"/>
        <v>0</v>
      </c>
      <c r="J10" s="40">
        <f t="shared" si="5"/>
        <v>0</v>
      </c>
      <c r="K10" s="38">
        <f t="shared" si="5"/>
        <v>0</v>
      </c>
      <c r="L10" s="39">
        <f t="shared" si="5"/>
        <v>0</v>
      </c>
      <c r="M10" s="39">
        <f t="shared" si="5"/>
        <v>0</v>
      </c>
      <c r="N10" s="41">
        <f t="shared" si="5"/>
        <v>0</v>
      </c>
      <c r="O10" s="41">
        <f t="shared" si="5"/>
        <v>0</v>
      </c>
      <c r="P10" s="41">
        <f t="shared" si="5"/>
        <v>0</v>
      </c>
      <c r="Q10" s="40">
        <f t="shared" si="5"/>
        <v>0</v>
      </c>
      <c r="R10" s="108"/>
      <c r="S10" s="141" t="s">
        <v>52</v>
      </c>
      <c r="T10" s="141"/>
      <c r="U10" s="142"/>
      <c r="V10" s="42" t="s">
        <v>53</v>
      </c>
      <c r="W10" s="43">
        <f>SUM(G10:Q10)</f>
        <v>0</v>
      </c>
    </row>
    <row r="11" spans="1:23" s="3" customFormat="1" ht="12" customHeight="1" x14ac:dyDescent="0.25">
      <c r="A11" s="44"/>
      <c r="B11" s="45" t="s">
        <v>54</v>
      </c>
      <c r="C11" s="46">
        <f>W12</f>
        <v>0</v>
      </c>
      <c r="D11" s="46"/>
      <c r="E11" s="45"/>
      <c r="F11" s="47" t="s">
        <v>55</v>
      </c>
      <c r="G11" s="48">
        <f t="shared" ref="G11:Q11" si="6">COUNTIF(G3:G9,"×")</f>
        <v>0</v>
      </c>
      <c r="H11" s="49">
        <f t="shared" si="6"/>
        <v>0</v>
      </c>
      <c r="I11" s="49">
        <f t="shared" si="6"/>
        <v>0</v>
      </c>
      <c r="J11" s="50">
        <f t="shared" si="6"/>
        <v>0</v>
      </c>
      <c r="K11" s="48">
        <f t="shared" si="6"/>
        <v>0</v>
      </c>
      <c r="L11" s="49">
        <f t="shared" si="6"/>
        <v>0</v>
      </c>
      <c r="M11" s="49">
        <f t="shared" si="6"/>
        <v>0</v>
      </c>
      <c r="N11" s="51">
        <f t="shared" si="6"/>
        <v>0</v>
      </c>
      <c r="O11" s="51">
        <f t="shared" si="6"/>
        <v>0</v>
      </c>
      <c r="P11" s="51">
        <f t="shared" si="6"/>
        <v>0</v>
      </c>
      <c r="Q11" s="50">
        <f t="shared" si="6"/>
        <v>0</v>
      </c>
      <c r="R11" s="109"/>
      <c r="S11" s="143"/>
      <c r="T11" s="143"/>
      <c r="U11" s="144"/>
      <c r="V11" s="52" t="s">
        <v>53</v>
      </c>
      <c r="W11" s="53">
        <f t="shared" ref="W11:W13" si="7">SUM(G11:Q11)</f>
        <v>0</v>
      </c>
    </row>
    <row r="12" spans="1:23" s="3" customFormat="1" ht="12" customHeight="1" x14ac:dyDescent="0.25">
      <c r="A12" s="54" t="s">
        <v>56</v>
      </c>
      <c r="B12" s="55"/>
      <c r="C12" s="56"/>
      <c r="D12" s="56"/>
      <c r="E12" s="55"/>
      <c r="F12" s="57" t="s">
        <v>57</v>
      </c>
      <c r="G12" s="48">
        <f t="shared" ref="G12:Q12" si="8">G10+G11</f>
        <v>0</v>
      </c>
      <c r="H12" s="49">
        <f t="shared" si="8"/>
        <v>0</v>
      </c>
      <c r="I12" s="49">
        <f t="shared" si="8"/>
        <v>0</v>
      </c>
      <c r="J12" s="50">
        <f t="shared" si="8"/>
        <v>0</v>
      </c>
      <c r="K12" s="48">
        <f t="shared" si="8"/>
        <v>0</v>
      </c>
      <c r="L12" s="49">
        <f t="shared" si="8"/>
        <v>0</v>
      </c>
      <c r="M12" s="49">
        <f t="shared" si="8"/>
        <v>0</v>
      </c>
      <c r="N12" s="51">
        <f t="shared" si="8"/>
        <v>0</v>
      </c>
      <c r="O12" s="51">
        <f t="shared" si="8"/>
        <v>0</v>
      </c>
      <c r="P12" s="51">
        <f t="shared" si="8"/>
        <v>0</v>
      </c>
      <c r="Q12" s="50">
        <f t="shared" si="8"/>
        <v>0</v>
      </c>
      <c r="R12" s="153"/>
      <c r="S12" s="153">
        <f>COUNTA(S3:S9)</f>
        <v>0</v>
      </c>
      <c r="T12" s="147">
        <f>COUNTA(T3:T9)</f>
        <v>0</v>
      </c>
      <c r="U12" s="149">
        <f>COUNTA(U3:U9)</f>
        <v>0</v>
      </c>
      <c r="V12" s="58" t="s">
        <v>53</v>
      </c>
      <c r="W12" s="53">
        <f t="shared" si="7"/>
        <v>0</v>
      </c>
    </row>
    <row r="13" spans="1:23" s="3" customFormat="1" ht="12" customHeight="1" x14ac:dyDescent="0.25">
      <c r="A13" s="59"/>
      <c r="B13" s="60" t="s">
        <v>58</v>
      </c>
      <c r="C13" s="61">
        <f>W13</f>
        <v>5</v>
      </c>
      <c r="D13" s="61"/>
      <c r="E13" s="60"/>
      <c r="F13" s="62" t="s">
        <v>59</v>
      </c>
      <c r="G13" s="63">
        <f t="shared" ref="G13:Q13" si="9">COUNTA(G3:G9)</f>
        <v>2</v>
      </c>
      <c r="H13" s="64">
        <f t="shared" si="9"/>
        <v>0</v>
      </c>
      <c r="I13" s="64">
        <f t="shared" si="9"/>
        <v>0</v>
      </c>
      <c r="J13" s="65">
        <f t="shared" si="9"/>
        <v>0</v>
      </c>
      <c r="K13" s="63">
        <f t="shared" si="9"/>
        <v>0</v>
      </c>
      <c r="L13" s="64">
        <f t="shared" si="9"/>
        <v>0</v>
      </c>
      <c r="M13" s="64">
        <f t="shared" si="9"/>
        <v>0</v>
      </c>
      <c r="N13" s="66">
        <f t="shared" si="9"/>
        <v>3</v>
      </c>
      <c r="O13" s="66">
        <f t="shared" si="9"/>
        <v>0</v>
      </c>
      <c r="P13" s="66">
        <f t="shared" si="9"/>
        <v>0</v>
      </c>
      <c r="Q13" s="65">
        <f t="shared" si="9"/>
        <v>0</v>
      </c>
      <c r="R13" s="154"/>
      <c r="S13" s="154"/>
      <c r="T13" s="148"/>
      <c r="U13" s="150"/>
      <c r="V13" s="67" t="s">
        <v>53</v>
      </c>
      <c r="W13" s="68">
        <f t="shared" si="7"/>
        <v>5</v>
      </c>
    </row>
  </sheetData>
  <mergeCells count="16">
    <mergeCell ref="S12:S13"/>
    <mergeCell ref="T12:T13"/>
    <mergeCell ref="U12:U13"/>
    <mergeCell ref="F1:F2"/>
    <mergeCell ref="G1:J1"/>
    <mergeCell ref="K1:Q1"/>
    <mergeCell ref="S1:U1"/>
    <mergeCell ref="R12:R13"/>
    <mergeCell ref="R1:R2"/>
    <mergeCell ref="V1:V2"/>
    <mergeCell ref="S10:U11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5" fitToHeight="0" orientation="landscape" r:id="rId1"/>
  <headerFooter alignWithMargins="0">
    <oddFooter>&amp;RAll Rights Reserved Copyright © Fujitsu Ltd.2017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B54B-8622-4C68-8F68-7CBB15473560}">
  <sheetPr>
    <pageSetUpPr fitToPage="1"/>
  </sheetPr>
  <dimension ref="A1:X118"/>
  <sheetViews>
    <sheetView view="pageBreakPreview" topLeftCell="C1" zoomScale="85" zoomScaleNormal="110" zoomScaleSheetLayoutView="85" workbookViewId="0">
      <pane ySplit="2" topLeftCell="A87" activePane="bottomLeft" state="frozen"/>
      <selection activeCell="B8" sqref="B8"/>
      <selection pane="bottomLeft" activeCell="V109" sqref="V109"/>
    </sheetView>
  </sheetViews>
  <sheetFormatPr defaultColWidth="9.375" defaultRowHeight="9" customHeight="1" x14ac:dyDescent="0.15"/>
  <cols>
    <col min="1" max="1" width="5.125" style="2" customWidth="1"/>
    <col min="2" max="2" width="15.875" style="2" bestFit="1" customWidth="1"/>
    <col min="3" max="3" width="27.5" style="2" customWidth="1"/>
    <col min="4" max="4" width="39.625" style="2" bestFit="1" customWidth="1"/>
    <col min="5" max="5" width="36.125" style="2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8.625" style="4" customWidth="1"/>
    <col min="19" max="21" width="5.875" style="4" customWidth="1"/>
    <col min="22" max="22" width="7.5" style="4" customWidth="1"/>
    <col min="23" max="23" width="48.5" style="2" customWidth="1"/>
    <col min="24" max="24" width="13.125" style="2" bestFit="1" customWidth="1"/>
    <col min="25" max="16384" width="9.375" style="2"/>
  </cols>
  <sheetData>
    <row r="1" spans="1:24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4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4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4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87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4" ht="22.8" x14ac:dyDescent="0.15">
      <c r="A5" s="19">
        <f t="shared" ref="A5:A114" si="1">ROW()-2</f>
        <v>3</v>
      </c>
      <c r="B5" s="20"/>
      <c r="C5" s="20" t="s">
        <v>88</v>
      </c>
      <c r="D5" s="31" t="s">
        <v>89</v>
      </c>
      <c r="E5" s="31" t="s">
        <v>90</v>
      </c>
      <c r="F5" s="32" t="s">
        <v>91</v>
      </c>
      <c r="G5" s="22"/>
      <c r="H5" s="23"/>
      <c r="I5" s="23"/>
      <c r="J5" s="24"/>
      <c r="K5" s="22"/>
      <c r="L5" s="23"/>
      <c r="M5" s="23"/>
      <c r="N5" s="25" t="s">
        <v>391</v>
      </c>
      <c r="O5" s="25"/>
      <c r="P5" s="25"/>
      <c r="Q5" s="24"/>
      <c r="R5" s="106">
        <v>45320</v>
      </c>
      <c r="S5" s="26">
        <v>45683</v>
      </c>
      <c r="T5" s="26"/>
      <c r="U5" s="28"/>
      <c r="V5" s="29"/>
      <c r="W5" s="30" t="s">
        <v>92</v>
      </c>
    </row>
    <row r="6" spans="1:24" ht="22.8" x14ac:dyDescent="0.15">
      <c r="A6" s="19">
        <f t="shared" si="1"/>
        <v>4</v>
      </c>
      <c r="B6" s="20"/>
      <c r="C6" s="20"/>
      <c r="D6" s="20" t="s">
        <v>93</v>
      </c>
      <c r="E6" s="31" t="s">
        <v>94</v>
      </c>
      <c r="F6" s="32" t="s">
        <v>91</v>
      </c>
      <c r="G6" s="22"/>
      <c r="H6" s="23"/>
      <c r="I6" s="23"/>
      <c r="J6" s="24"/>
      <c r="K6" s="22"/>
      <c r="L6" s="23"/>
      <c r="M6" s="23"/>
      <c r="N6" s="25" t="s">
        <v>391</v>
      </c>
      <c r="O6" s="25"/>
      <c r="P6" s="25"/>
      <c r="Q6" s="24"/>
      <c r="R6" s="106">
        <v>45320</v>
      </c>
      <c r="S6" s="26">
        <v>45683</v>
      </c>
      <c r="T6" s="26"/>
      <c r="U6" s="28"/>
      <c r="V6" s="29"/>
      <c r="W6" s="30" t="s">
        <v>95</v>
      </c>
    </row>
    <row r="7" spans="1:24" ht="22.8" x14ac:dyDescent="0.15">
      <c r="A7" s="19">
        <f t="shared" si="1"/>
        <v>5</v>
      </c>
      <c r="B7" s="20"/>
      <c r="C7" s="20"/>
      <c r="D7" s="20" t="s">
        <v>96</v>
      </c>
      <c r="E7" s="31" t="s">
        <v>94</v>
      </c>
      <c r="F7" s="32" t="s">
        <v>91</v>
      </c>
      <c r="G7" s="22"/>
      <c r="H7" s="23"/>
      <c r="I7" s="23"/>
      <c r="J7" s="24"/>
      <c r="K7" s="22"/>
      <c r="L7" s="23"/>
      <c r="M7" s="23"/>
      <c r="N7" s="25" t="s">
        <v>391</v>
      </c>
      <c r="O7" s="25"/>
      <c r="P7" s="25"/>
      <c r="Q7" s="24"/>
      <c r="R7" s="106">
        <v>45320</v>
      </c>
      <c r="S7" s="26">
        <v>45683</v>
      </c>
      <c r="T7" s="26"/>
      <c r="U7" s="28"/>
      <c r="V7" s="29"/>
      <c r="W7" s="30" t="s">
        <v>97</v>
      </c>
    </row>
    <row r="8" spans="1:24" ht="22.8" x14ac:dyDescent="0.15">
      <c r="A8" s="19">
        <f t="shared" si="1"/>
        <v>6</v>
      </c>
      <c r="B8" s="20"/>
      <c r="C8" s="20"/>
      <c r="D8" s="31" t="s">
        <v>98</v>
      </c>
      <c r="E8" s="31" t="s">
        <v>94</v>
      </c>
      <c r="F8" s="32" t="s">
        <v>91</v>
      </c>
      <c r="G8" s="22"/>
      <c r="H8" s="23"/>
      <c r="I8" s="23"/>
      <c r="J8" s="24"/>
      <c r="K8" s="22"/>
      <c r="L8" s="23"/>
      <c r="M8" s="23"/>
      <c r="N8" s="25" t="s">
        <v>391</v>
      </c>
      <c r="O8" s="25"/>
      <c r="P8" s="25"/>
      <c r="Q8" s="24"/>
      <c r="R8" s="106">
        <v>45320</v>
      </c>
      <c r="S8" s="26">
        <v>45683</v>
      </c>
      <c r="T8" s="26"/>
      <c r="U8" s="28"/>
      <c r="V8" s="29"/>
      <c r="W8" s="30" t="s">
        <v>99</v>
      </c>
    </row>
    <row r="9" spans="1:24" ht="22.8" x14ac:dyDescent="0.15">
      <c r="A9" s="19">
        <f t="shared" si="1"/>
        <v>7</v>
      </c>
      <c r="B9" s="20"/>
      <c r="C9" s="20"/>
      <c r="D9" s="31" t="s">
        <v>100</v>
      </c>
      <c r="E9" s="31" t="s">
        <v>94</v>
      </c>
      <c r="F9" s="32" t="s">
        <v>91</v>
      </c>
      <c r="G9" s="22"/>
      <c r="H9" s="23"/>
      <c r="I9" s="23"/>
      <c r="J9" s="24"/>
      <c r="K9" s="22"/>
      <c r="L9" s="23"/>
      <c r="M9" s="23"/>
      <c r="N9" s="25" t="s">
        <v>391</v>
      </c>
      <c r="O9" s="25"/>
      <c r="P9" s="25"/>
      <c r="Q9" s="24"/>
      <c r="R9" s="106">
        <v>45320</v>
      </c>
      <c r="S9" s="26">
        <v>45683</v>
      </c>
      <c r="T9" s="26"/>
      <c r="U9" s="28"/>
      <c r="V9" s="29"/>
      <c r="W9" s="30" t="s">
        <v>101</v>
      </c>
    </row>
    <row r="10" spans="1:24" ht="22.8" x14ac:dyDescent="0.15">
      <c r="A10" s="19">
        <f t="shared" si="1"/>
        <v>8</v>
      </c>
      <c r="B10" s="20"/>
      <c r="C10" s="20"/>
      <c r="D10" s="31" t="s">
        <v>102</v>
      </c>
      <c r="E10" s="31" t="s">
        <v>94</v>
      </c>
      <c r="F10" s="32" t="s">
        <v>91</v>
      </c>
      <c r="G10" s="22"/>
      <c r="H10" s="23"/>
      <c r="I10" s="23"/>
      <c r="J10" s="24"/>
      <c r="K10" s="22"/>
      <c r="L10" s="23"/>
      <c r="M10" s="23"/>
      <c r="N10" s="25" t="s">
        <v>391</v>
      </c>
      <c r="O10" s="25"/>
      <c r="P10" s="25"/>
      <c r="Q10" s="24"/>
      <c r="R10" s="106">
        <v>45320</v>
      </c>
      <c r="S10" s="26">
        <v>45683</v>
      </c>
      <c r="T10" s="26"/>
      <c r="U10" s="28"/>
      <c r="V10" s="29"/>
      <c r="W10" s="30" t="s">
        <v>103</v>
      </c>
    </row>
    <row r="11" spans="1:24" ht="22.8" x14ac:dyDescent="0.15">
      <c r="A11" s="19">
        <f t="shared" si="1"/>
        <v>9</v>
      </c>
      <c r="B11" s="20"/>
      <c r="C11" s="20"/>
      <c r="D11" s="31" t="s">
        <v>104</v>
      </c>
      <c r="E11" s="31" t="s">
        <v>94</v>
      </c>
      <c r="F11" s="32" t="s">
        <v>91</v>
      </c>
      <c r="G11" s="22"/>
      <c r="H11" s="23"/>
      <c r="I11" s="23"/>
      <c r="J11" s="24"/>
      <c r="K11" s="22"/>
      <c r="L11" s="23"/>
      <c r="M11" s="23"/>
      <c r="N11" s="25" t="s">
        <v>391</v>
      </c>
      <c r="O11" s="25"/>
      <c r="P11" s="25"/>
      <c r="Q11" s="24"/>
      <c r="R11" s="106">
        <v>45320</v>
      </c>
      <c r="S11" s="26">
        <v>45683</v>
      </c>
      <c r="T11" s="26"/>
      <c r="U11" s="28"/>
      <c r="V11" s="29"/>
      <c r="W11" s="30" t="s">
        <v>105</v>
      </c>
    </row>
    <row r="12" spans="1:24" ht="11.4" x14ac:dyDescent="0.15">
      <c r="A12" s="19">
        <f t="shared" si="1"/>
        <v>10</v>
      </c>
      <c r="B12" s="20"/>
      <c r="C12" s="20"/>
      <c r="D12" s="31" t="s">
        <v>106</v>
      </c>
      <c r="E12" s="31" t="s">
        <v>94</v>
      </c>
      <c r="F12" s="32" t="s">
        <v>91</v>
      </c>
      <c r="G12" s="22"/>
      <c r="H12" s="23"/>
      <c r="I12" s="23"/>
      <c r="J12" s="24"/>
      <c r="K12" s="22"/>
      <c r="L12" s="23"/>
      <c r="M12" s="23"/>
      <c r="N12" s="25" t="s">
        <v>38</v>
      </c>
      <c r="O12" s="25"/>
      <c r="P12" s="25"/>
      <c r="Q12" s="24"/>
      <c r="R12" s="106">
        <v>45320</v>
      </c>
      <c r="S12" s="26">
        <v>45688</v>
      </c>
      <c r="T12" s="26"/>
      <c r="U12" s="28"/>
      <c r="V12" s="29"/>
      <c r="W12" s="30" t="s">
        <v>107</v>
      </c>
      <c r="X12" s="110" t="s">
        <v>383</v>
      </c>
    </row>
    <row r="13" spans="1:24" ht="11.4" x14ac:dyDescent="0.15">
      <c r="A13" s="19">
        <f t="shared" si="1"/>
        <v>11</v>
      </c>
      <c r="B13" s="20"/>
      <c r="C13" s="20"/>
      <c r="D13" s="31" t="s">
        <v>108</v>
      </c>
      <c r="E13" s="31" t="s">
        <v>94</v>
      </c>
      <c r="F13" s="32" t="s">
        <v>91</v>
      </c>
      <c r="G13" s="22"/>
      <c r="H13" s="23"/>
      <c r="I13" s="23"/>
      <c r="J13" s="24"/>
      <c r="K13" s="22"/>
      <c r="L13" s="23"/>
      <c r="M13" s="23"/>
      <c r="N13" s="25" t="s">
        <v>38</v>
      </c>
      <c r="O13" s="25"/>
      <c r="P13" s="25"/>
      <c r="Q13" s="24"/>
      <c r="R13" s="106">
        <v>45320</v>
      </c>
      <c r="S13" s="26">
        <v>45688</v>
      </c>
      <c r="T13" s="27"/>
      <c r="U13" s="28"/>
      <c r="V13" s="29"/>
      <c r="W13" s="30" t="s">
        <v>109</v>
      </c>
      <c r="X13" s="110" t="s">
        <v>383</v>
      </c>
    </row>
    <row r="14" spans="1:24" ht="11.4" x14ac:dyDescent="0.15">
      <c r="A14" s="19">
        <f t="shared" si="1"/>
        <v>12</v>
      </c>
      <c r="B14" s="20"/>
      <c r="C14" s="20"/>
      <c r="D14" s="20" t="s">
        <v>110</v>
      </c>
      <c r="E14" s="31" t="s">
        <v>94</v>
      </c>
      <c r="F14" s="32" t="s">
        <v>91</v>
      </c>
      <c r="G14" s="22"/>
      <c r="H14" s="23"/>
      <c r="I14" s="23"/>
      <c r="J14" s="24"/>
      <c r="K14" s="22"/>
      <c r="L14" s="23"/>
      <c r="M14" s="23"/>
      <c r="N14" s="25" t="s">
        <v>38</v>
      </c>
      <c r="O14" s="25"/>
      <c r="P14" s="25"/>
      <c r="Q14" s="24"/>
      <c r="R14" s="106">
        <v>45320</v>
      </c>
      <c r="S14" s="26">
        <v>45688</v>
      </c>
      <c r="T14" s="27"/>
      <c r="U14" s="28"/>
      <c r="V14" s="29"/>
      <c r="W14" s="30" t="s">
        <v>111</v>
      </c>
      <c r="X14" s="110" t="s">
        <v>383</v>
      </c>
    </row>
    <row r="15" spans="1:24" ht="11.4" x14ac:dyDescent="0.15">
      <c r="A15" s="19">
        <f t="shared" si="1"/>
        <v>13</v>
      </c>
      <c r="B15" s="20"/>
      <c r="C15" s="20"/>
      <c r="D15" s="20" t="s">
        <v>112</v>
      </c>
      <c r="E15" s="31" t="s">
        <v>94</v>
      </c>
      <c r="F15" s="32" t="s">
        <v>91</v>
      </c>
      <c r="G15" s="22"/>
      <c r="H15" s="23"/>
      <c r="I15" s="23"/>
      <c r="J15" s="24"/>
      <c r="K15" s="22"/>
      <c r="L15" s="23"/>
      <c r="M15" s="23"/>
      <c r="N15" s="25" t="s">
        <v>38</v>
      </c>
      <c r="O15" s="25"/>
      <c r="P15" s="25"/>
      <c r="Q15" s="24"/>
      <c r="R15" s="106">
        <v>45320</v>
      </c>
      <c r="S15" s="26">
        <v>45688</v>
      </c>
      <c r="T15" s="27"/>
      <c r="U15" s="28"/>
      <c r="V15" s="29"/>
      <c r="W15" s="30" t="s">
        <v>113</v>
      </c>
      <c r="X15" s="110" t="s">
        <v>383</v>
      </c>
    </row>
    <row r="16" spans="1:24" ht="11.4" x14ac:dyDescent="0.15">
      <c r="A16" s="19">
        <f t="shared" si="1"/>
        <v>14</v>
      </c>
      <c r="B16" s="20"/>
      <c r="C16" s="20"/>
      <c r="D16" s="31" t="s">
        <v>114</v>
      </c>
      <c r="E16" s="31" t="s">
        <v>94</v>
      </c>
      <c r="F16" s="32" t="s">
        <v>91</v>
      </c>
      <c r="G16" s="22"/>
      <c r="H16" s="23"/>
      <c r="I16" s="23"/>
      <c r="J16" s="24"/>
      <c r="K16" s="22"/>
      <c r="L16" s="23"/>
      <c r="M16" s="23"/>
      <c r="N16" s="25" t="s">
        <v>38</v>
      </c>
      <c r="O16" s="25"/>
      <c r="P16" s="25"/>
      <c r="Q16" s="24"/>
      <c r="R16" s="106">
        <v>45320</v>
      </c>
      <c r="S16" s="26">
        <v>45688</v>
      </c>
      <c r="T16" s="27"/>
      <c r="U16" s="28"/>
      <c r="V16" s="29"/>
      <c r="W16" s="30" t="s">
        <v>115</v>
      </c>
      <c r="X16" s="110" t="s">
        <v>383</v>
      </c>
    </row>
    <row r="17" spans="1:24" ht="11.4" x14ac:dyDescent="0.15">
      <c r="A17" s="19">
        <f t="shared" si="1"/>
        <v>15</v>
      </c>
      <c r="B17" s="20"/>
      <c r="C17" s="20"/>
      <c r="D17" s="31" t="s">
        <v>116</v>
      </c>
      <c r="E17" s="31" t="s">
        <v>94</v>
      </c>
      <c r="F17" s="32" t="s">
        <v>91</v>
      </c>
      <c r="G17" s="22"/>
      <c r="H17" s="23"/>
      <c r="I17" s="23"/>
      <c r="J17" s="24"/>
      <c r="K17" s="22"/>
      <c r="L17" s="23"/>
      <c r="M17" s="23"/>
      <c r="N17" s="25" t="s">
        <v>38</v>
      </c>
      <c r="O17" s="25"/>
      <c r="P17" s="25"/>
      <c r="Q17" s="24"/>
      <c r="R17" s="106">
        <v>45320</v>
      </c>
      <c r="S17" s="26">
        <v>45688</v>
      </c>
      <c r="T17" s="27"/>
      <c r="U17" s="28"/>
      <c r="V17" s="29"/>
      <c r="W17" s="30" t="s">
        <v>117</v>
      </c>
      <c r="X17" s="110" t="s">
        <v>383</v>
      </c>
    </row>
    <row r="18" spans="1:24" ht="11.4" x14ac:dyDescent="0.15">
      <c r="A18" s="19">
        <f t="shared" si="1"/>
        <v>16</v>
      </c>
      <c r="B18" s="33"/>
      <c r="C18" s="33"/>
      <c r="D18" s="31" t="s">
        <v>118</v>
      </c>
      <c r="E18" s="31" t="s">
        <v>94</v>
      </c>
      <c r="F18" s="32" t="s">
        <v>91</v>
      </c>
      <c r="G18" s="22"/>
      <c r="H18" s="23"/>
      <c r="I18" s="23"/>
      <c r="J18" s="24"/>
      <c r="K18" s="22"/>
      <c r="L18" s="23"/>
      <c r="M18" s="23"/>
      <c r="N18" s="25" t="s">
        <v>38</v>
      </c>
      <c r="O18" s="25"/>
      <c r="P18" s="25"/>
      <c r="Q18" s="24"/>
      <c r="R18" s="106">
        <v>45320</v>
      </c>
      <c r="S18" s="26">
        <v>45688</v>
      </c>
      <c r="T18" s="27"/>
      <c r="U18" s="28"/>
      <c r="V18" s="29"/>
      <c r="W18" s="30" t="s">
        <v>119</v>
      </c>
      <c r="X18" s="110" t="s">
        <v>383</v>
      </c>
    </row>
    <row r="19" spans="1:24" ht="22.8" x14ac:dyDescent="0.15">
      <c r="A19" s="19">
        <f t="shared" si="1"/>
        <v>17</v>
      </c>
      <c r="B19" s="33"/>
      <c r="C19" s="33"/>
      <c r="D19" s="31" t="s">
        <v>120</v>
      </c>
      <c r="E19" s="31" t="s">
        <v>94</v>
      </c>
      <c r="F19" s="32" t="s">
        <v>91</v>
      </c>
      <c r="G19" s="22"/>
      <c r="H19" s="23"/>
      <c r="I19" s="23"/>
      <c r="J19" s="24"/>
      <c r="K19" s="22"/>
      <c r="L19" s="23"/>
      <c r="M19" s="23"/>
      <c r="N19" s="25" t="s">
        <v>391</v>
      </c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 t="s">
        <v>121</v>
      </c>
    </row>
    <row r="20" spans="1:24" ht="11.4" x14ac:dyDescent="0.15">
      <c r="A20" s="19">
        <f t="shared" si="1"/>
        <v>18</v>
      </c>
      <c r="B20" s="33"/>
      <c r="C20" s="33"/>
      <c r="D20" s="31" t="s">
        <v>122</v>
      </c>
      <c r="E20" s="31" t="s">
        <v>94</v>
      </c>
      <c r="F20" s="32" t="s">
        <v>91</v>
      </c>
      <c r="G20" s="22"/>
      <c r="H20" s="23"/>
      <c r="I20" s="23"/>
      <c r="J20" s="24"/>
      <c r="K20" s="22"/>
      <c r="L20" s="23"/>
      <c r="M20" s="23"/>
      <c r="N20" s="25" t="s">
        <v>38</v>
      </c>
      <c r="O20" s="25"/>
      <c r="P20" s="25"/>
      <c r="Q20" s="24"/>
      <c r="R20" s="106">
        <v>45320</v>
      </c>
      <c r="S20" s="26">
        <v>45688</v>
      </c>
      <c r="T20" s="27"/>
      <c r="U20" s="28"/>
      <c r="V20" s="29"/>
      <c r="W20" s="30" t="s">
        <v>123</v>
      </c>
      <c r="X20" s="110" t="s">
        <v>382</v>
      </c>
    </row>
    <row r="21" spans="1:24" ht="11.4" x14ac:dyDescent="0.15">
      <c r="A21" s="19">
        <f t="shared" si="1"/>
        <v>19</v>
      </c>
      <c r="B21" s="33"/>
      <c r="C21" s="33"/>
      <c r="D21" s="31" t="s">
        <v>124</v>
      </c>
      <c r="E21" s="31" t="s">
        <v>94</v>
      </c>
      <c r="F21" s="32" t="s">
        <v>91</v>
      </c>
      <c r="G21" s="22"/>
      <c r="H21" s="23"/>
      <c r="I21" s="23"/>
      <c r="J21" s="24"/>
      <c r="K21" s="22"/>
      <c r="L21" s="23"/>
      <c r="M21" s="23"/>
      <c r="N21" s="25" t="s">
        <v>38</v>
      </c>
      <c r="O21" s="25"/>
      <c r="P21" s="25"/>
      <c r="Q21" s="24"/>
      <c r="R21" s="106">
        <v>45320</v>
      </c>
      <c r="S21" s="26">
        <v>45688</v>
      </c>
      <c r="T21" s="27"/>
      <c r="U21" s="28"/>
      <c r="V21" s="29"/>
      <c r="W21" s="30" t="s">
        <v>125</v>
      </c>
      <c r="X21" s="110" t="s">
        <v>382</v>
      </c>
    </row>
    <row r="22" spans="1:24" ht="11.4" x14ac:dyDescent="0.15">
      <c r="A22" s="19">
        <f t="shared" si="1"/>
        <v>20</v>
      </c>
      <c r="B22" s="33"/>
      <c r="C22" s="20"/>
      <c r="D22" s="20" t="s">
        <v>126</v>
      </c>
      <c r="E22" s="31" t="s">
        <v>94</v>
      </c>
      <c r="F22" s="32" t="s">
        <v>91</v>
      </c>
      <c r="G22" s="22"/>
      <c r="H22" s="23"/>
      <c r="I22" s="23"/>
      <c r="J22" s="24"/>
      <c r="K22" s="22"/>
      <c r="L22" s="23"/>
      <c r="M22" s="23"/>
      <c r="N22" s="25" t="s">
        <v>38</v>
      </c>
      <c r="O22" s="25"/>
      <c r="P22" s="25"/>
      <c r="Q22" s="24"/>
      <c r="R22" s="106">
        <v>45320</v>
      </c>
      <c r="S22" s="26">
        <v>45688</v>
      </c>
      <c r="T22" s="27"/>
      <c r="U22" s="28"/>
      <c r="V22" s="29"/>
      <c r="W22" s="30" t="s">
        <v>127</v>
      </c>
    </row>
    <row r="23" spans="1:24" ht="22.8" x14ac:dyDescent="0.15">
      <c r="A23" s="19">
        <f t="shared" si="1"/>
        <v>21</v>
      </c>
      <c r="B23" s="33"/>
      <c r="C23" s="20"/>
      <c r="D23" s="20" t="s">
        <v>128</v>
      </c>
      <c r="E23" s="31" t="s">
        <v>94</v>
      </c>
      <c r="F23" s="32" t="s">
        <v>91</v>
      </c>
      <c r="G23" s="22"/>
      <c r="H23" s="23"/>
      <c r="I23" s="23"/>
      <c r="J23" s="24"/>
      <c r="K23" s="22"/>
      <c r="L23" s="23"/>
      <c r="M23" s="23"/>
      <c r="N23" s="25" t="s">
        <v>391</v>
      </c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 t="s">
        <v>129</v>
      </c>
    </row>
    <row r="24" spans="1:24" ht="22.8" x14ac:dyDescent="0.15">
      <c r="A24" s="19">
        <f t="shared" si="1"/>
        <v>22</v>
      </c>
      <c r="B24" s="20"/>
      <c r="C24" s="20"/>
      <c r="D24" s="31" t="s">
        <v>130</v>
      </c>
      <c r="E24" s="31" t="s">
        <v>94</v>
      </c>
      <c r="F24" s="32" t="s">
        <v>91</v>
      </c>
      <c r="G24" s="22"/>
      <c r="H24" s="23"/>
      <c r="I24" s="23"/>
      <c r="J24" s="24"/>
      <c r="K24" s="22"/>
      <c r="L24" s="23"/>
      <c r="M24" s="23"/>
      <c r="N24" s="25" t="s">
        <v>391</v>
      </c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 t="s">
        <v>131</v>
      </c>
    </row>
    <row r="25" spans="1:24" ht="22.8" x14ac:dyDescent="0.15">
      <c r="A25" s="19">
        <f t="shared" si="1"/>
        <v>23</v>
      </c>
      <c r="B25" s="20"/>
      <c r="C25" s="20"/>
      <c r="D25" s="31" t="s">
        <v>132</v>
      </c>
      <c r="E25" s="31" t="s">
        <v>94</v>
      </c>
      <c r="F25" s="32" t="s">
        <v>91</v>
      </c>
      <c r="G25" s="22"/>
      <c r="H25" s="23"/>
      <c r="I25" s="23"/>
      <c r="J25" s="24"/>
      <c r="K25" s="22"/>
      <c r="L25" s="23"/>
      <c r="M25" s="23"/>
      <c r="N25" s="25" t="s">
        <v>391</v>
      </c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 t="s">
        <v>133</v>
      </c>
    </row>
    <row r="26" spans="1:24" ht="22.8" x14ac:dyDescent="0.15">
      <c r="A26" s="19">
        <f t="shared" si="1"/>
        <v>24</v>
      </c>
      <c r="B26" s="20"/>
      <c r="C26" s="33"/>
      <c r="D26" s="31" t="s">
        <v>134</v>
      </c>
      <c r="E26" s="31" t="s">
        <v>94</v>
      </c>
      <c r="F26" s="32" t="s">
        <v>91</v>
      </c>
      <c r="G26" s="22"/>
      <c r="H26" s="23"/>
      <c r="I26" s="23"/>
      <c r="J26" s="24"/>
      <c r="K26" s="22"/>
      <c r="L26" s="23"/>
      <c r="M26" s="23"/>
      <c r="N26" s="25" t="s">
        <v>391</v>
      </c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 t="s">
        <v>135</v>
      </c>
    </row>
    <row r="27" spans="1:24" ht="22.8" x14ac:dyDescent="0.15">
      <c r="A27" s="19">
        <f t="shared" si="1"/>
        <v>25</v>
      </c>
      <c r="B27" s="20"/>
      <c r="C27" s="20"/>
      <c r="D27" s="31" t="s">
        <v>136</v>
      </c>
      <c r="E27" s="31" t="s">
        <v>94</v>
      </c>
      <c r="F27" s="32" t="s">
        <v>91</v>
      </c>
      <c r="G27" s="22"/>
      <c r="H27" s="23"/>
      <c r="I27" s="23"/>
      <c r="J27" s="24"/>
      <c r="K27" s="22"/>
      <c r="L27" s="23"/>
      <c r="M27" s="23"/>
      <c r="N27" s="25" t="s">
        <v>391</v>
      </c>
      <c r="O27" s="25"/>
      <c r="P27" s="25"/>
      <c r="Q27" s="24"/>
      <c r="R27" s="106">
        <v>45320</v>
      </c>
      <c r="S27" s="26">
        <v>45684</v>
      </c>
      <c r="T27" s="26"/>
      <c r="U27" s="28"/>
      <c r="V27" s="29"/>
      <c r="W27" s="30" t="s">
        <v>137</v>
      </c>
    </row>
    <row r="28" spans="1:24" ht="22.8" x14ac:dyDescent="0.15">
      <c r="A28" s="19">
        <f t="shared" si="1"/>
        <v>26</v>
      </c>
      <c r="B28" s="20"/>
      <c r="C28" s="20"/>
      <c r="D28" s="20" t="s">
        <v>138</v>
      </c>
      <c r="E28" s="31" t="s">
        <v>94</v>
      </c>
      <c r="F28" s="32" t="s">
        <v>91</v>
      </c>
      <c r="G28" s="22"/>
      <c r="H28" s="23"/>
      <c r="I28" s="23"/>
      <c r="J28" s="24"/>
      <c r="K28" s="22"/>
      <c r="L28" s="23"/>
      <c r="M28" s="23"/>
      <c r="N28" s="25" t="s">
        <v>391</v>
      </c>
      <c r="O28" s="25"/>
      <c r="P28" s="25"/>
      <c r="Q28" s="24"/>
      <c r="R28" s="106">
        <v>45320</v>
      </c>
      <c r="S28" s="26">
        <v>45684</v>
      </c>
      <c r="T28" s="26"/>
      <c r="U28" s="28"/>
      <c r="V28" s="29"/>
      <c r="W28" s="30" t="s">
        <v>139</v>
      </c>
    </row>
    <row r="29" spans="1:24" ht="22.8" x14ac:dyDescent="0.15">
      <c r="A29" s="19">
        <f t="shared" si="1"/>
        <v>27</v>
      </c>
      <c r="B29" s="20"/>
      <c r="C29" s="20"/>
      <c r="D29" s="20" t="s">
        <v>140</v>
      </c>
      <c r="E29" s="31" t="s">
        <v>94</v>
      </c>
      <c r="F29" s="32" t="s">
        <v>91</v>
      </c>
      <c r="G29" s="22"/>
      <c r="H29" s="23"/>
      <c r="I29" s="23"/>
      <c r="J29" s="24"/>
      <c r="K29" s="22"/>
      <c r="L29" s="23"/>
      <c r="M29" s="23"/>
      <c r="N29" s="25" t="s">
        <v>391</v>
      </c>
      <c r="O29" s="25"/>
      <c r="P29" s="25"/>
      <c r="Q29" s="24"/>
      <c r="R29" s="106">
        <v>45320</v>
      </c>
      <c r="S29" s="26">
        <v>45684</v>
      </c>
      <c r="T29" s="26"/>
      <c r="U29" s="28"/>
      <c r="V29" s="29"/>
      <c r="W29" s="30" t="s">
        <v>141</v>
      </c>
    </row>
    <row r="30" spans="1:24" ht="22.8" x14ac:dyDescent="0.15">
      <c r="A30" s="19">
        <f t="shared" si="1"/>
        <v>28</v>
      </c>
      <c r="B30" s="20"/>
      <c r="C30" s="20"/>
      <c r="D30" s="31" t="s">
        <v>142</v>
      </c>
      <c r="E30" s="31" t="s">
        <v>94</v>
      </c>
      <c r="F30" s="32" t="s">
        <v>91</v>
      </c>
      <c r="G30" s="22"/>
      <c r="H30" s="23"/>
      <c r="I30" s="23"/>
      <c r="J30" s="24"/>
      <c r="K30" s="22"/>
      <c r="L30" s="23"/>
      <c r="M30" s="23"/>
      <c r="N30" s="25" t="s">
        <v>391</v>
      </c>
      <c r="O30" s="25"/>
      <c r="P30" s="25"/>
      <c r="Q30" s="24"/>
      <c r="R30" s="106">
        <v>45320</v>
      </c>
      <c r="S30" s="26">
        <v>45684</v>
      </c>
      <c r="T30" s="26"/>
      <c r="U30" s="28"/>
      <c r="V30" s="29"/>
      <c r="W30" s="30" t="s">
        <v>143</v>
      </c>
    </row>
    <row r="31" spans="1:24" ht="22.8" x14ac:dyDescent="0.15">
      <c r="A31" s="19">
        <f t="shared" si="1"/>
        <v>29</v>
      </c>
      <c r="B31" s="20"/>
      <c r="C31" s="20"/>
      <c r="D31" s="31" t="s">
        <v>144</v>
      </c>
      <c r="E31" s="31" t="s">
        <v>94</v>
      </c>
      <c r="F31" s="32" t="s">
        <v>91</v>
      </c>
      <c r="G31" s="22"/>
      <c r="H31" s="23"/>
      <c r="I31" s="23"/>
      <c r="J31" s="24"/>
      <c r="K31" s="22"/>
      <c r="L31" s="23"/>
      <c r="M31" s="23"/>
      <c r="N31" s="25" t="s">
        <v>391</v>
      </c>
      <c r="O31" s="25"/>
      <c r="P31" s="25"/>
      <c r="Q31" s="24"/>
      <c r="R31" s="106">
        <v>45320</v>
      </c>
      <c r="S31" s="26">
        <v>45684</v>
      </c>
      <c r="T31" s="26"/>
      <c r="U31" s="28"/>
      <c r="V31" s="29"/>
      <c r="W31" s="30" t="s">
        <v>145</v>
      </c>
    </row>
    <row r="32" spans="1:24" ht="22.8" x14ac:dyDescent="0.15">
      <c r="A32" s="19">
        <f t="shared" si="1"/>
        <v>30</v>
      </c>
      <c r="B32" s="20"/>
      <c r="C32" s="20"/>
      <c r="D32" s="31" t="s">
        <v>146</v>
      </c>
      <c r="E32" s="31" t="s">
        <v>94</v>
      </c>
      <c r="F32" s="32" t="s">
        <v>91</v>
      </c>
      <c r="G32" s="22"/>
      <c r="H32" s="23"/>
      <c r="I32" s="23"/>
      <c r="J32" s="24"/>
      <c r="K32" s="22"/>
      <c r="L32" s="23"/>
      <c r="M32" s="23"/>
      <c r="N32" s="25" t="s">
        <v>391</v>
      </c>
      <c r="O32" s="25"/>
      <c r="P32" s="25"/>
      <c r="Q32" s="24"/>
      <c r="R32" s="106">
        <v>45320</v>
      </c>
      <c r="S32" s="26">
        <v>45684</v>
      </c>
      <c r="T32" s="26"/>
      <c r="U32" s="28"/>
      <c r="V32" s="29"/>
      <c r="W32" s="30" t="s">
        <v>147</v>
      </c>
    </row>
    <row r="33" spans="1:23" ht="22.8" x14ac:dyDescent="0.15">
      <c r="A33" s="19">
        <f t="shared" si="1"/>
        <v>31</v>
      </c>
      <c r="B33" s="20"/>
      <c r="C33" s="20"/>
      <c r="D33" s="31" t="s">
        <v>148</v>
      </c>
      <c r="E33" s="31" t="s">
        <v>94</v>
      </c>
      <c r="F33" s="32" t="s">
        <v>91</v>
      </c>
      <c r="G33" s="22"/>
      <c r="H33" s="23"/>
      <c r="I33" s="23"/>
      <c r="J33" s="24"/>
      <c r="K33" s="22"/>
      <c r="L33" s="23"/>
      <c r="M33" s="23"/>
      <c r="N33" s="25" t="s">
        <v>391</v>
      </c>
      <c r="O33" s="25"/>
      <c r="P33" s="25"/>
      <c r="Q33" s="24"/>
      <c r="R33" s="106">
        <v>45320</v>
      </c>
      <c r="S33" s="26">
        <v>45684</v>
      </c>
      <c r="T33" s="26"/>
      <c r="U33" s="28"/>
      <c r="V33" s="29"/>
      <c r="W33" s="30" t="s">
        <v>149</v>
      </c>
    </row>
    <row r="34" spans="1:23" ht="22.8" x14ac:dyDescent="0.15">
      <c r="A34" s="19">
        <f t="shared" si="1"/>
        <v>32</v>
      </c>
      <c r="B34" s="20"/>
      <c r="C34" s="20"/>
      <c r="D34" s="31" t="s">
        <v>150</v>
      </c>
      <c r="E34" s="31" t="s">
        <v>94</v>
      </c>
      <c r="F34" s="32" t="s">
        <v>91</v>
      </c>
      <c r="G34" s="22"/>
      <c r="H34" s="23"/>
      <c r="I34" s="23"/>
      <c r="J34" s="24"/>
      <c r="K34" s="22"/>
      <c r="L34" s="23"/>
      <c r="M34" s="23"/>
      <c r="N34" s="25" t="s">
        <v>391</v>
      </c>
      <c r="O34" s="25"/>
      <c r="P34" s="25"/>
      <c r="Q34" s="24"/>
      <c r="R34" s="106">
        <v>45320</v>
      </c>
      <c r="S34" s="26">
        <v>45684</v>
      </c>
      <c r="T34" s="26"/>
      <c r="U34" s="28"/>
      <c r="V34" s="29"/>
      <c r="W34" s="30" t="s">
        <v>151</v>
      </c>
    </row>
    <row r="35" spans="1:23" ht="22.8" x14ac:dyDescent="0.15">
      <c r="A35" s="19">
        <f t="shared" si="1"/>
        <v>33</v>
      </c>
      <c r="B35" s="20"/>
      <c r="C35" s="20"/>
      <c r="D35" s="31" t="s">
        <v>152</v>
      </c>
      <c r="E35" s="31" t="s">
        <v>94</v>
      </c>
      <c r="F35" s="32" t="s">
        <v>91</v>
      </c>
      <c r="G35" s="22"/>
      <c r="H35" s="23"/>
      <c r="I35" s="23"/>
      <c r="J35" s="24"/>
      <c r="K35" s="22"/>
      <c r="L35" s="23"/>
      <c r="M35" s="23"/>
      <c r="N35" s="25" t="s">
        <v>391</v>
      </c>
      <c r="O35" s="25"/>
      <c r="P35" s="25"/>
      <c r="Q35" s="24"/>
      <c r="R35" s="106">
        <v>45320</v>
      </c>
      <c r="S35" s="26">
        <v>45684</v>
      </c>
      <c r="T35" s="27"/>
      <c r="U35" s="28"/>
      <c r="V35" s="29"/>
      <c r="W35" s="30" t="s">
        <v>153</v>
      </c>
    </row>
    <row r="36" spans="1:23" ht="22.8" x14ac:dyDescent="0.15">
      <c r="A36" s="19">
        <f t="shared" si="1"/>
        <v>34</v>
      </c>
      <c r="B36" s="20"/>
      <c r="C36" s="20"/>
      <c r="D36" s="20" t="s">
        <v>154</v>
      </c>
      <c r="E36" s="31" t="s">
        <v>94</v>
      </c>
      <c r="F36" s="32" t="s">
        <v>91</v>
      </c>
      <c r="G36" s="22"/>
      <c r="H36" s="23"/>
      <c r="I36" s="23"/>
      <c r="J36" s="24"/>
      <c r="K36" s="22"/>
      <c r="L36" s="23"/>
      <c r="M36" s="23"/>
      <c r="N36" s="25" t="s">
        <v>391</v>
      </c>
      <c r="O36" s="25"/>
      <c r="P36" s="25"/>
      <c r="Q36" s="24"/>
      <c r="R36" s="106">
        <v>45320</v>
      </c>
      <c r="S36" s="26">
        <v>45684</v>
      </c>
      <c r="T36" s="27"/>
      <c r="U36" s="28"/>
      <c r="V36" s="29"/>
      <c r="W36" s="30" t="s">
        <v>155</v>
      </c>
    </row>
    <row r="37" spans="1:23" ht="22.8" x14ac:dyDescent="0.15">
      <c r="A37" s="19">
        <f t="shared" si="1"/>
        <v>35</v>
      </c>
      <c r="B37" s="20"/>
      <c r="C37" s="20"/>
      <c r="D37" s="20" t="s">
        <v>156</v>
      </c>
      <c r="E37" s="31" t="s">
        <v>94</v>
      </c>
      <c r="F37" s="32" t="s">
        <v>91</v>
      </c>
      <c r="G37" s="22"/>
      <c r="H37" s="23"/>
      <c r="I37" s="23"/>
      <c r="J37" s="24"/>
      <c r="K37" s="22"/>
      <c r="L37" s="23"/>
      <c r="M37" s="23"/>
      <c r="N37" s="25" t="s">
        <v>391</v>
      </c>
      <c r="O37" s="25"/>
      <c r="P37" s="25"/>
      <c r="Q37" s="24"/>
      <c r="R37" s="106">
        <v>45320</v>
      </c>
      <c r="S37" s="26">
        <v>45684</v>
      </c>
      <c r="T37" s="27"/>
      <c r="U37" s="28"/>
      <c r="V37" s="29"/>
      <c r="W37" s="30" t="s">
        <v>157</v>
      </c>
    </row>
    <row r="38" spans="1:23" ht="22.8" x14ac:dyDescent="0.15">
      <c r="A38" s="19">
        <f t="shared" si="1"/>
        <v>36</v>
      </c>
      <c r="B38" s="20"/>
      <c r="C38" s="20"/>
      <c r="D38" s="31" t="s">
        <v>158</v>
      </c>
      <c r="E38" s="31" t="s">
        <v>94</v>
      </c>
      <c r="F38" s="32" t="s">
        <v>91</v>
      </c>
      <c r="G38" s="22"/>
      <c r="H38" s="23"/>
      <c r="I38" s="23"/>
      <c r="J38" s="24"/>
      <c r="K38" s="22"/>
      <c r="L38" s="23"/>
      <c r="M38" s="23"/>
      <c r="N38" s="25" t="s">
        <v>391</v>
      </c>
      <c r="O38" s="25"/>
      <c r="P38" s="25"/>
      <c r="Q38" s="24"/>
      <c r="R38" s="106">
        <v>45320</v>
      </c>
      <c r="S38" s="26">
        <v>45684</v>
      </c>
      <c r="T38" s="27"/>
      <c r="U38" s="28"/>
      <c r="V38" s="29"/>
      <c r="W38" s="30" t="s">
        <v>159</v>
      </c>
    </row>
    <row r="39" spans="1:23" ht="11.4" x14ac:dyDescent="0.15">
      <c r="A39" s="19">
        <f t="shared" si="1"/>
        <v>37</v>
      </c>
      <c r="B39" s="20"/>
      <c r="C39" s="20"/>
      <c r="D39" s="31" t="s">
        <v>132</v>
      </c>
      <c r="E39" s="31" t="s">
        <v>94</v>
      </c>
      <c r="F39" s="32" t="s">
        <v>91</v>
      </c>
      <c r="G39" s="22"/>
      <c r="H39" s="23"/>
      <c r="I39" s="23"/>
      <c r="J39" s="24"/>
      <c r="K39" s="22"/>
      <c r="L39" s="23"/>
      <c r="M39" s="23"/>
      <c r="N39" s="25" t="s">
        <v>38</v>
      </c>
      <c r="O39" s="25"/>
      <c r="P39" s="25"/>
      <c r="Q39" s="24"/>
      <c r="R39" s="106">
        <v>45320</v>
      </c>
      <c r="S39" s="26">
        <v>45688</v>
      </c>
      <c r="T39" s="27"/>
      <c r="U39" s="28"/>
      <c r="V39" s="29"/>
      <c r="W39" s="30" t="s">
        <v>160</v>
      </c>
    </row>
    <row r="40" spans="1:23" ht="11.4" x14ac:dyDescent="0.15">
      <c r="A40" s="19">
        <f t="shared" si="1"/>
        <v>38</v>
      </c>
      <c r="B40" s="33"/>
      <c r="C40" s="33"/>
      <c r="D40" s="31" t="s">
        <v>161</v>
      </c>
      <c r="E40" s="31" t="s">
        <v>94</v>
      </c>
      <c r="F40" s="32" t="s">
        <v>91</v>
      </c>
      <c r="G40" s="22"/>
      <c r="H40" s="23"/>
      <c r="I40" s="23"/>
      <c r="J40" s="24"/>
      <c r="K40" s="22"/>
      <c r="L40" s="23"/>
      <c r="M40" s="23"/>
      <c r="N40" s="25" t="s">
        <v>38</v>
      </c>
      <c r="O40" s="25"/>
      <c r="P40" s="25"/>
      <c r="Q40" s="24"/>
      <c r="R40" s="106">
        <v>45320</v>
      </c>
      <c r="S40" s="26">
        <v>45701</v>
      </c>
      <c r="T40" s="27"/>
      <c r="U40" s="28"/>
      <c r="V40" s="29"/>
      <c r="W40" s="30" t="s">
        <v>162</v>
      </c>
    </row>
    <row r="41" spans="1:23" ht="22.8" x14ac:dyDescent="0.15">
      <c r="A41" s="89">
        <f>ROW()-2</f>
        <v>39</v>
      </c>
      <c r="B41" s="90" t="s">
        <v>32</v>
      </c>
      <c r="C41" s="90" t="s">
        <v>39</v>
      </c>
      <c r="D41" s="20"/>
      <c r="E41" s="20"/>
      <c r="F41" s="21"/>
      <c r="G41" s="22"/>
      <c r="H41" s="23"/>
      <c r="I41" s="23"/>
      <c r="J41" s="24"/>
      <c r="K41" s="22"/>
      <c r="L41" s="23"/>
      <c r="M41" s="23"/>
      <c r="N41" s="25"/>
      <c r="O41" s="25"/>
      <c r="P41" s="25"/>
      <c r="Q41" s="24"/>
      <c r="R41" s="106"/>
      <c r="S41" s="26"/>
      <c r="T41" s="27"/>
      <c r="U41" s="27"/>
      <c r="V41" s="30"/>
      <c r="W41" s="30"/>
    </row>
    <row r="42" spans="1:23" ht="22.8" x14ac:dyDescent="0.15">
      <c r="A42" s="19">
        <f t="shared" ref="A42" si="2">ROW()-2</f>
        <v>40</v>
      </c>
      <c r="B42" s="20" t="s">
        <v>40</v>
      </c>
      <c r="C42" s="20" t="s">
        <v>35</v>
      </c>
      <c r="D42" s="96"/>
      <c r="E42" s="96" t="s">
        <v>163</v>
      </c>
      <c r="F42" s="32" t="s">
        <v>64</v>
      </c>
      <c r="G42" s="25" t="s">
        <v>391</v>
      </c>
      <c r="H42" s="23"/>
      <c r="I42" s="23"/>
      <c r="J42" s="24"/>
      <c r="K42" s="22"/>
      <c r="L42" s="23"/>
      <c r="M42" s="23"/>
      <c r="N42" s="25"/>
      <c r="O42" s="25"/>
      <c r="P42" s="25"/>
      <c r="Q42" s="24"/>
      <c r="R42" s="106">
        <v>45321</v>
      </c>
      <c r="S42" s="26">
        <v>45687</v>
      </c>
      <c r="T42" s="27"/>
      <c r="U42" s="28"/>
      <c r="V42" s="29"/>
      <c r="W42" s="30"/>
    </row>
    <row r="43" spans="1:23" ht="22.8" x14ac:dyDescent="0.15">
      <c r="A43" s="19">
        <f t="shared" si="1"/>
        <v>41</v>
      </c>
      <c r="B43" s="20"/>
      <c r="C43" s="20" t="s">
        <v>88</v>
      </c>
      <c r="D43" s="31" t="s">
        <v>89</v>
      </c>
      <c r="E43" s="31" t="s">
        <v>90</v>
      </c>
      <c r="F43" s="32" t="s">
        <v>91</v>
      </c>
      <c r="G43" s="22"/>
      <c r="H43" s="23"/>
      <c r="I43" s="23"/>
      <c r="J43" s="24"/>
      <c r="K43" s="22"/>
      <c r="L43" s="23"/>
      <c r="M43" s="23"/>
      <c r="N43" s="25" t="s">
        <v>391</v>
      </c>
      <c r="O43" s="25"/>
      <c r="P43" s="25"/>
      <c r="Q43" s="24"/>
      <c r="R43" s="106">
        <v>45321</v>
      </c>
      <c r="S43" s="26">
        <v>45686</v>
      </c>
      <c r="T43" s="26"/>
      <c r="U43" s="28"/>
      <c r="V43" s="29"/>
      <c r="W43" s="30" t="s">
        <v>92</v>
      </c>
    </row>
    <row r="44" spans="1:23" ht="22.8" x14ac:dyDescent="0.15">
      <c r="A44" s="19">
        <f t="shared" si="1"/>
        <v>42</v>
      </c>
      <c r="B44" s="20"/>
      <c r="C44" s="20"/>
      <c r="D44" s="20" t="s">
        <v>93</v>
      </c>
      <c r="E44" s="31" t="s">
        <v>164</v>
      </c>
      <c r="F44" s="32" t="s">
        <v>91</v>
      </c>
      <c r="G44" s="22"/>
      <c r="H44" s="23"/>
      <c r="I44" s="23"/>
      <c r="J44" s="24"/>
      <c r="K44" s="22"/>
      <c r="L44" s="23"/>
      <c r="M44" s="23"/>
      <c r="N44" s="25" t="s">
        <v>391</v>
      </c>
      <c r="O44" s="25"/>
      <c r="P44" s="25"/>
      <c r="Q44" s="24"/>
      <c r="R44" s="106">
        <v>45321</v>
      </c>
      <c r="S44" s="26">
        <v>45686</v>
      </c>
      <c r="T44" s="26"/>
      <c r="U44" s="28"/>
      <c r="V44" s="29"/>
      <c r="W44" s="30" t="s">
        <v>95</v>
      </c>
    </row>
    <row r="45" spans="1:23" ht="22.8" x14ac:dyDescent="0.15">
      <c r="A45" s="19">
        <f t="shared" si="1"/>
        <v>43</v>
      </c>
      <c r="B45" s="20"/>
      <c r="C45" s="20"/>
      <c r="D45" s="20" t="s">
        <v>96</v>
      </c>
      <c r="E45" s="31" t="s">
        <v>164</v>
      </c>
      <c r="F45" s="32" t="s">
        <v>91</v>
      </c>
      <c r="G45" s="22"/>
      <c r="H45" s="23"/>
      <c r="I45" s="23"/>
      <c r="J45" s="24"/>
      <c r="K45" s="22"/>
      <c r="L45" s="23"/>
      <c r="M45" s="23"/>
      <c r="N45" s="25" t="s">
        <v>391</v>
      </c>
      <c r="O45" s="25"/>
      <c r="P45" s="25"/>
      <c r="Q45" s="24"/>
      <c r="R45" s="106">
        <v>45321</v>
      </c>
      <c r="S45" s="26">
        <v>45686</v>
      </c>
      <c r="T45" s="26"/>
      <c r="U45" s="28"/>
      <c r="V45" s="29"/>
      <c r="W45" s="30" t="s">
        <v>97</v>
      </c>
    </row>
    <row r="46" spans="1:23" ht="22.8" x14ac:dyDescent="0.15">
      <c r="A46" s="19">
        <f t="shared" si="1"/>
        <v>44</v>
      </c>
      <c r="B46" s="20"/>
      <c r="C46" s="20"/>
      <c r="D46" s="31" t="s">
        <v>98</v>
      </c>
      <c r="E46" s="31" t="s">
        <v>164</v>
      </c>
      <c r="F46" s="32" t="s">
        <v>91</v>
      </c>
      <c r="G46" s="22"/>
      <c r="H46" s="23"/>
      <c r="I46" s="23"/>
      <c r="J46" s="24"/>
      <c r="K46" s="22"/>
      <c r="L46" s="23"/>
      <c r="M46" s="23"/>
      <c r="N46" s="25" t="s">
        <v>391</v>
      </c>
      <c r="O46" s="25"/>
      <c r="P46" s="25"/>
      <c r="Q46" s="24"/>
      <c r="R46" s="106">
        <v>45321</v>
      </c>
      <c r="S46" s="26">
        <v>45686</v>
      </c>
      <c r="T46" s="26"/>
      <c r="U46" s="28"/>
      <c r="V46" s="29"/>
      <c r="W46" s="30" t="s">
        <v>99</v>
      </c>
    </row>
    <row r="47" spans="1:23" ht="22.8" x14ac:dyDescent="0.15">
      <c r="A47" s="19">
        <f t="shared" si="1"/>
        <v>45</v>
      </c>
      <c r="B47" s="20"/>
      <c r="C47" s="20"/>
      <c r="D47" s="31" t="s">
        <v>100</v>
      </c>
      <c r="E47" s="31" t="s">
        <v>164</v>
      </c>
      <c r="F47" s="32" t="s">
        <v>91</v>
      </c>
      <c r="G47" s="22"/>
      <c r="H47" s="23"/>
      <c r="I47" s="23"/>
      <c r="J47" s="24"/>
      <c r="K47" s="22"/>
      <c r="L47" s="23"/>
      <c r="M47" s="23"/>
      <c r="N47" s="25" t="s">
        <v>391</v>
      </c>
      <c r="O47" s="25"/>
      <c r="P47" s="25"/>
      <c r="Q47" s="24"/>
      <c r="R47" s="106">
        <v>45321</v>
      </c>
      <c r="S47" s="26">
        <v>45686</v>
      </c>
      <c r="T47" s="26"/>
      <c r="U47" s="28"/>
      <c r="V47" s="29"/>
      <c r="W47" s="30" t="s">
        <v>101</v>
      </c>
    </row>
    <row r="48" spans="1:23" ht="22.8" x14ac:dyDescent="0.15">
      <c r="A48" s="19">
        <f t="shared" si="1"/>
        <v>46</v>
      </c>
      <c r="B48" s="20"/>
      <c r="C48" s="20"/>
      <c r="D48" s="31" t="s">
        <v>102</v>
      </c>
      <c r="E48" s="31" t="s">
        <v>164</v>
      </c>
      <c r="F48" s="32" t="s">
        <v>91</v>
      </c>
      <c r="G48" s="22"/>
      <c r="H48" s="23"/>
      <c r="I48" s="23"/>
      <c r="J48" s="24"/>
      <c r="K48" s="22"/>
      <c r="L48" s="23"/>
      <c r="M48" s="23"/>
      <c r="N48" s="25" t="s">
        <v>391</v>
      </c>
      <c r="O48" s="25"/>
      <c r="P48" s="25"/>
      <c r="Q48" s="24"/>
      <c r="R48" s="106">
        <v>45321</v>
      </c>
      <c r="S48" s="26">
        <v>45686</v>
      </c>
      <c r="T48" s="26"/>
      <c r="U48" s="28"/>
      <c r="V48" s="29"/>
      <c r="W48" s="30" t="s">
        <v>103</v>
      </c>
    </row>
    <row r="49" spans="1:24" ht="22.8" x14ac:dyDescent="0.15">
      <c r="A49" s="19">
        <f t="shared" si="1"/>
        <v>47</v>
      </c>
      <c r="B49" s="20"/>
      <c r="C49" s="20"/>
      <c r="D49" s="31" t="s">
        <v>104</v>
      </c>
      <c r="E49" s="31" t="s">
        <v>164</v>
      </c>
      <c r="F49" s="32" t="s">
        <v>91</v>
      </c>
      <c r="G49" s="22"/>
      <c r="H49" s="23"/>
      <c r="I49" s="23"/>
      <c r="J49" s="24"/>
      <c r="K49" s="22"/>
      <c r="L49" s="23"/>
      <c r="M49" s="23"/>
      <c r="N49" s="25" t="s">
        <v>391</v>
      </c>
      <c r="O49" s="25"/>
      <c r="P49" s="25"/>
      <c r="Q49" s="24"/>
      <c r="R49" s="106">
        <v>45321</v>
      </c>
      <c r="S49" s="26">
        <v>45686</v>
      </c>
      <c r="T49" s="26"/>
      <c r="U49" s="28"/>
      <c r="V49" s="29"/>
      <c r="W49" s="30" t="s">
        <v>105</v>
      </c>
    </row>
    <row r="50" spans="1:24" ht="11.4" x14ac:dyDescent="0.15">
      <c r="A50" s="19">
        <f t="shared" si="1"/>
        <v>48</v>
      </c>
      <c r="B50" s="20"/>
      <c r="C50" s="20"/>
      <c r="D50" s="31" t="s">
        <v>106</v>
      </c>
      <c r="E50" s="31" t="s">
        <v>164</v>
      </c>
      <c r="F50" s="32" t="s">
        <v>91</v>
      </c>
      <c r="G50" s="22"/>
      <c r="H50" s="23"/>
      <c r="I50" s="23"/>
      <c r="J50" s="24"/>
      <c r="K50" s="22"/>
      <c r="L50" s="23"/>
      <c r="M50" s="23"/>
      <c r="N50" s="25" t="s">
        <v>38</v>
      </c>
      <c r="O50" s="25"/>
      <c r="P50" s="25"/>
      <c r="Q50" s="24"/>
      <c r="R50" s="106">
        <v>45321</v>
      </c>
      <c r="S50" s="26">
        <v>45688</v>
      </c>
      <c r="T50" s="26"/>
      <c r="U50" s="28"/>
      <c r="V50" s="29"/>
      <c r="W50" s="30" t="s">
        <v>107</v>
      </c>
      <c r="X50" s="110" t="s">
        <v>383</v>
      </c>
    </row>
    <row r="51" spans="1:24" ht="11.4" x14ac:dyDescent="0.15">
      <c r="A51" s="19">
        <f t="shared" si="1"/>
        <v>49</v>
      </c>
      <c r="B51" s="20"/>
      <c r="C51" s="20"/>
      <c r="D51" s="31" t="s">
        <v>108</v>
      </c>
      <c r="E51" s="31" t="s">
        <v>164</v>
      </c>
      <c r="F51" s="32" t="s">
        <v>91</v>
      </c>
      <c r="G51" s="22"/>
      <c r="H51" s="23"/>
      <c r="I51" s="23"/>
      <c r="J51" s="24"/>
      <c r="K51" s="22"/>
      <c r="L51" s="23"/>
      <c r="M51" s="23"/>
      <c r="N51" s="25" t="s">
        <v>38</v>
      </c>
      <c r="O51" s="25"/>
      <c r="P51" s="25"/>
      <c r="Q51" s="24"/>
      <c r="R51" s="106">
        <v>45321</v>
      </c>
      <c r="S51" s="26">
        <v>45688</v>
      </c>
      <c r="T51" s="27"/>
      <c r="U51" s="28"/>
      <c r="V51" s="29"/>
      <c r="W51" s="30" t="s">
        <v>109</v>
      </c>
      <c r="X51" s="110" t="s">
        <v>383</v>
      </c>
    </row>
    <row r="52" spans="1:24" ht="11.4" x14ac:dyDescent="0.15">
      <c r="A52" s="19">
        <f t="shared" si="1"/>
        <v>50</v>
      </c>
      <c r="B52" s="20"/>
      <c r="C52" s="20"/>
      <c r="D52" s="20" t="s">
        <v>110</v>
      </c>
      <c r="E52" s="31" t="s">
        <v>164</v>
      </c>
      <c r="F52" s="32" t="s">
        <v>91</v>
      </c>
      <c r="G52" s="22"/>
      <c r="H52" s="23"/>
      <c r="I52" s="23"/>
      <c r="J52" s="24"/>
      <c r="K52" s="22"/>
      <c r="L52" s="23"/>
      <c r="M52" s="23"/>
      <c r="N52" s="25" t="s">
        <v>38</v>
      </c>
      <c r="O52" s="25"/>
      <c r="P52" s="25"/>
      <c r="Q52" s="24"/>
      <c r="R52" s="106">
        <v>45321</v>
      </c>
      <c r="S52" s="26">
        <v>45688</v>
      </c>
      <c r="T52" s="27"/>
      <c r="U52" s="28"/>
      <c r="V52" s="29"/>
      <c r="W52" s="30" t="s">
        <v>111</v>
      </c>
      <c r="X52" s="110" t="s">
        <v>383</v>
      </c>
    </row>
    <row r="53" spans="1:24" ht="11.4" x14ac:dyDescent="0.15">
      <c r="A53" s="19">
        <f t="shared" si="1"/>
        <v>51</v>
      </c>
      <c r="B53" s="20"/>
      <c r="C53" s="20"/>
      <c r="D53" s="20" t="s">
        <v>112</v>
      </c>
      <c r="E53" s="31" t="s">
        <v>164</v>
      </c>
      <c r="F53" s="32" t="s">
        <v>91</v>
      </c>
      <c r="G53" s="22"/>
      <c r="H53" s="23"/>
      <c r="I53" s="23"/>
      <c r="J53" s="24"/>
      <c r="K53" s="22"/>
      <c r="L53" s="23"/>
      <c r="M53" s="23"/>
      <c r="N53" s="25" t="s">
        <v>38</v>
      </c>
      <c r="O53" s="25"/>
      <c r="P53" s="25"/>
      <c r="Q53" s="24"/>
      <c r="R53" s="106">
        <v>45321</v>
      </c>
      <c r="S53" s="26">
        <v>45688</v>
      </c>
      <c r="T53" s="27"/>
      <c r="U53" s="28"/>
      <c r="V53" s="29"/>
      <c r="W53" s="30" t="s">
        <v>397</v>
      </c>
      <c r="X53" s="110" t="s">
        <v>383</v>
      </c>
    </row>
    <row r="54" spans="1:24" ht="11.4" x14ac:dyDescent="0.15">
      <c r="A54" s="19">
        <f t="shared" si="1"/>
        <v>52</v>
      </c>
      <c r="B54" s="20"/>
      <c r="C54" s="20"/>
      <c r="D54" s="31" t="s">
        <v>114</v>
      </c>
      <c r="E54" s="31" t="s">
        <v>164</v>
      </c>
      <c r="F54" s="32" t="s">
        <v>91</v>
      </c>
      <c r="G54" s="22"/>
      <c r="H54" s="23"/>
      <c r="I54" s="23"/>
      <c r="J54" s="24"/>
      <c r="K54" s="22"/>
      <c r="L54" s="23"/>
      <c r="M54" s="23"/>
      <c r="N54" s="25" t="s">
        <v>38</v>
      </c>
      <c r="O54" s="25"/>
      <c r="P54" s="25"/>
      <c r="Q54" s="24"/>
      <c r="R54" s="106">
        <v>45321</v>
      </c>
      <c r="S54" s="26">
        <v>45688</v>
      </c>
      <c r="T54" s="27"/>
      <c r="U54" s="28"/>
      <c r="V54" s="29"/>
      <c r="W54" s="30" t="s">
        <v>115</v>
      </c>
      <c r="X54" s="110" t="s">
        <v>383</v>
      </c>
    </row>
    <row r="55" spans="1:24" ht="11.4" x14ac:dyDescent="0.15">
      <c r="A55" s="19">
        <f t="shared" si="1"/>
        <v>53</v>
      </c>
      <c r="B55" s="20"/>
      <c r="C55" s="20"/>
      <c r="D55" s="31" t="s">
        <v>116</v>
      </c>
      <c r="E55" s="31" t="s">
        <v>164</v>
      </c>
      <c r="F55" s="32" t="s">
        <v>91</v>
      </c>
      <c r="G55" s="22"/>
      <c r="H55" s="23"/>
      <c r="I55" s="23"/>
      <c r="J55" s="24"/>
      <c r="K55" s="22"/>
      <c r="L55" s="23"/>
      <c r="M55" s="23"/>
      <c r="N55" s="25" t="s">
        <v>38</v>
      </c>
      <c r="O55" s="25"/>
      <c r="P55" s="25"/>
      <c r="Q55" s="24"/>
      <c r="R55" s="106">
        <v>45321</v>
      </c>
      <c r="S55" s="26">
        <v>45688</v>
      </c>
      <c r="T55" s="27"/>
      <c r="U55" s="28"/>
      <c r="V55" s="29"/>
      <c r="W55" s="30" t="s">
        <v>117</v>
      </c>
      <c r="X55" s="110" t="s">
        <v>383</v>
      </c>
    </row>
    <row r="56" spans="1:24" ht="11.4" x14ac:dyDescent="0.15">
      <c r="A56" s="19">
        <f t="shared" si="1"/>
        <v>54</v>
      </c>
      <c r="B56" s="33"/>
      <c r="C56" s="33"/>
      <c r="D56" s="31" t="s">
        <v>118</v>
      </c>
      <c r="E56" s="31" t="s">
        <v>164</v>
      </c>
      <c r="F56" s="32" t="s">
        <v>91</v>
      </c>
      <c r="G56" s="22"/>
      <c r="H56" s="23"/>
      <c r="I56" s="23"/>
      <c r="J56" s="24"/>
      <c r="K56" s="22"/>
      <c r="L56" s="23"/>
      <c r="M56" s="23"/>
      <c r="N56" s="25" t="s">
        <v>38</v>
      </c>
      <c r="O56" s="25"/>
      <c r="P56" s="25"/>
      <c r="Q56" s="24"/>
      <c r="R56" s="106">
        <v>45321</v>
      </c>
      <c r="S56" s="26">
        <v>45688</v>
      </c>
      <c r="T56" s="27"/>
      <c r="U56" s="28"/>
      <c r="V56" s="29"/>
      <c r="W56" s="30" t="s">
        <v>119</v>
      </c>
      <c r="X56" s="110" t="s">
        <v>383</v>
      </c>
    </row>
    <row r="57" spans="1:24" ht="22.8" x14ac:dyDescent="0.15">
      <c r="A57" s="19">
        <f t="shared" si="1"/>
        <v>55</v>
      </c>
      <c r="B57" s="33"/>
      <c r="C57" s="33"/>
      <c r="D57" s="31" t="s">
        <v>120</v>
      </c>
      <c r="E57" s="31" t="s">
        <v>164</v>
      </c>
      <c r="F57" s="32" t="s">
        <v>91</v>
      </c>
      <c r="G57" s="22"/>
      <c r="H57" s="23"/>
      <c r="I57" s="23"/>
      <c r="J57" s="24"/>
      <c r="K57" s="22"/>
      <c r="L57" s="23"/>
      <c r="M57" s="23"/>
      <c r="N57" s="25" t="s">
        <v>391</v>
      </c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 t="s">
        <v>121</v>
      </c>
    </row>
    <row r="58" spans="1:24" ht="11.4" x14ac:dyDescent="0.15">
      <c r="A58" s="19">
        <f t="shared" si="1"/>
        <v>56</v>
      </c>
      <c r="B58" s="33"/>
      <c r="C58" s="33"/>
      <c r="D58" s="31" t="s">
        <v>122</v>
      </c>
      <c r="E58" s="31" t="s">
        <v>164</v>
      </c>
      <c r="F58" s="32" t="s">
        <v>91</v>
      </c>
      <c r="G58" s="22"/>
      <c r="H58" s="23"/>
      <c r="I58" s="23"/>
      <c r="J58" s="24"/>
      <c r="K58" s="22"/>
      <c r="L58" s="23"/>
      <c r="M58" s="23"/>
      <c r="N58" s="25" t="s">
        <v>38</v>
      </c>
      <c r="O58" s="25"/>
      <c r="P58" s="25"/>
      <c r="Q58" s="24"/>
      <c r="R58" s="106">
        <v>45321</v>
      </c>
      <c r="S58" s="26">
        <v>45688</v>
      </c>
      <c r="T58" s="27"/>
      <c r="U58" s="28"/>
      <c r="V58" s="29"/>
      <c r="W58" s="30" t="s">
        <v>123</v>
      </c>
      <c r="X58" s="110" t="s">
        <v>382</v>
      </c>
    </row>
    <row r="59" spans="1:24" ht="11.4" x14ac:dyDescent="0.15">
      <c r="A59" s="19">
        <f t="shared" si="1"/>
        <v>57</v>
      </c>
      <c r="B59" s="33"/>
      <c r="C59" s="33"/>
      <c r="D59" s="31" t="s">
        <v>124</v>
      </c>
      <c r="E59" s="31" t="s">
        <v>164</v>
      </c>
      <c r="F59" s="32" t="s">
        <v>91</v>
      </c>
      <c r="G59" s="22"/>
      <c r="H59" s="23"/>
      <c r="I59" s="23"/>
      <c r="J59" s="24"/>
      <c r="K59" s="22"/>
      <c r="L59" s="23"/>
      <c r="M59" s="23"/>
      <c r="N59" s="25" t="s">
        <v>38</v>
      </c>
      <c r="O59" s="25"/>
      <c r="P59" s="25"/>
      <c r="Q59" s="24"/>
      <c r="R59" s="106">
        <v>45321</v>
      </c>
      <c r="S59" s="26">
        <v>45688</v>
      </c>
      <c r="T59" s="27"/>
      <c r="U59" s="28"/>
      <c r="V59" s="29"/>
      <c r="W59" s="30" t="s">
        <v>125</v>
      </c>
      <c r="X59" s="110" t="s">
        <v>382</v>
      </c>
    </row>
    <row r="60" spans="1:24" ht="11.4" x14ac:dyDescent="0.15">
      <c r="A60" s="19">
        <f t="shared" si="1"/>
        <v>58</v>
      </c>
      <c r="B60" s="33"/>
      <c r="C60" s="20"/>
      <c r="D60" s="20" t="s">
        <v>126</v>
      </c>
      <c r="E60" s="31" t="s">
        <v>164</v>
      </c>
      <c r="F60" s="32" t="s">
        <v>91</v>
      </c>
      <c r="G60" s="22"/>
      <c r="H60" s="23"/>
      <c r="I60" s="23"/>
      <c r="J60" s="24"/>
      <c r="K60" s="22"/>
      <c r="L60" s="23"/>
      <c r="M60" s="23"/>
      <c r="N60" s="25" t="s">
        <v>38</v>
      </c>
      <c r="O60" s="25"/>
      <c r="P60" s="25"/>
      <c r="Q60" s="24"/>
      <c r="R60" s="106">
        <v>45321</v>
      </c>
      <c r="S60" s="26">
        <v>45688</v>
      </c>
      <c r="T60" s="27"/>
      <c r="U60" s="28"/>
      <c r="V60" s="29"/>
      <c r="W60" s="30" t="s">
        <v>127</v>
      </c>
    </row>
    <row r="61" spans="1:24" ht="22.8" x14ac:dyDescent="0.15">
      <c r="A61" s="19">
        <f t="shared" si="1"/>
        <v>59</v>
      </c>
      <c r="B61" s="33"/>
      <c r="C61" s="20"/>
      <c r="D61" s="20" t="s">
        <v>128</v>
      </c>
      <c r="E61" s="31" t="s">
        <v>164</v>
      </c>
      <c r="F61" s="32" t="s">
        <v>91</v>
      </c>
      <c r="G61" s="22"/>
      <c r="H61" s="23"/>
      <c r="I61" s="23"/>
      <c r="J61" s="24"/>
      <c r="K61" s="22"/>
      <c r="L61" s="23"/>
      <c r="M61" s="23"/>
      <c r="N61" s="25" t="s">
        <v>391</v>
      </c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 t="s">
        <v>129</v>
      </c>
    </row>
    <row r="62" spans="1:24" ht="22.8" x14ac:dyDescent="0.15">
      <c r="A62" s="19">
        <f t="shared" si="1"/>
        <v>60</v>
      </c>
      <c r="B62" s="20"/>
      <c r="C62" s="20"/>
      <c r="D62" s="31" t="s">
        <v>130</v>
      </c>
      <c r="E62" s="31" t="s">
        <v>164</v>
      </c>
      <c r="F62" s="32" t="s">
        <v>91</v>
      </c>
      <c r="G62" s="22"/>
      <c r="H62" s="23"/>
      <c r="I62" s="23"/>
      <c r="J62" s="24"/>
      <c r="K62" s="22"/>
      <c r="L62" s="23"/>
      <c r="M62" s="23"/>
      <c r="N62" s="25" t="s">
        <v>391</v>
      </c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 t="s">
        <v>131</v>
      </c>
    </row>
    <row r="63" spans="1:24" ht="22.8" x14ac:dyDescent="0.15">
      <c r="A63" s="19">
        <f t="shared" si="1"/>
        <v>61</v>
      </c>
      <c r="B63" s="20"/>
      <c r="C63" s="20"/>
      <c r="D63" s="31" t="s">
        <v>132</v>
      </c>
      <c r="E63" s="31" t="s">
        <v>164</v>
      </c>
      <c r="F63" s="32" t="s">
        <v>91</v>
      </c>
      <c r="G63" s="22"/>
      <c r="H63" s="23"/>
      <c r="I63" s="23"/>
      <c r="J63" s="24"/>
      <c r="K63" s="22"/>
      <c r="L63" s="23"/>
      <c r="M63" s="23"/>
      <c r="N63" s="25" t="s">
        <v>391</v>
      </c>
      <c r="O63" s="25"/>
      <c r="P63" s="25"/>
      <c r="Q63" s="24"/>
      <c r="R63" s="106">
        <v>45321</v>
      </c>
      <c r="S63" s="26">
        <v>45687</v>
      </c>
      <c r="T63" s="27"/>
      <c r="U63" s="28"/>
      <c r="V63" s="29"/>
      <c r="W63" s="30" t="s">
        <v>133</v>
      </c>
    </row>
    <row r="64" spans="1:24" ht="22.8" x14ac:dyDescent="0.15">
      <c r="A64" s="19">
        <f t="shared" si="1"/>
        <v>62</v>
      </c>
      <c r="B64" s="20"/>
      <c r="C64" s="33"/>
      <c r="D64" s="31" t="s">
        <v>134</v>
      </c>
      <c r="E64" s="31" t="s">
        <v>164</v>
      </c>
      <c r="F64" s="32" t="s">
        <v>91</v>
      </c>
      <c r="G64" s="22"/>
      <c r="H64" s="23"/>
      <c r="I64" s="23"/>
      <c r="J64" s="24"/>
      <c r="K64" s="22"/>
      <c r="L64" s="23"/>
      <c r="M64" s="23"/>
      <c r="N64" s="25" t="s">
        <v>391</v>
      </c>
      <c r="O64" s="25"/>
      <c r="P64" s="25"/>
      <c r="Q64" s="24"/>
      <c r="R64" s="106">
        <v>45321</v>
      </c>
      <c r="S64" s="26">
        <v>45687</v>
      </c>
      <c r="T64" s="27"/>
      <c r="U64" s="28"/>
      <c r="V64" s="29"/>
      <c r="W64" s="30" t="s">
        <v>135</v>
      </c>
    </row>
    <row r="65" spans="1:23" ht="22.8" x14ac:dyDescent="0.15">
      <c r="A65" s="19">
        <f t="shared" si="1"/>
        <v>63</v>
      </c>
      <c r="B65" s="20"/>
      <c r="C65" s="20"/>
      <c r="D65" s="31" t="s">
        <v>136</v>
      </c>
      <c r="E65" s="31" t="s">
        <v>164</v>
      </c>
      <c r="F65" s="32" t="s">
        <v>91</v>
      </c>
      <c r="G65" s="22"/>
      <c r="H65" s="23"/>
      <c r="I65" s="23"/>
      <c r="J65" s="24"/>
      <c r="K65" s="22"/>
      <c r="L65" s="23"/>
      <c r="M65" s="23"/>
      <c r="N65" s="25" t="s">
        <v>391</v>
      </c>
      <c r="O65" s="25"/>
      <c r="P65" s="25"/>
      <c r="Q65" s="24"/>
      <c r="R65" s="106">
        <v>45321</v>
      </c>
      <c r="S65" s="26">
        <v>45687</v>
      </c>
      <c r="T65" s="26"/>
      <c r="U65" s="28"/>
      <c r="V65" s="29"/>
      <c r="W65" s="30" t="s">
        <v>137</v>
      </c>
    </row>
    <row r="66" spans="1:23" ht="22.8" x14ac:dyDescent="0.15">
      <c r="A66" s="19">
        <f t="shared" si="1"/>
        <v>64</v>
      </c>
      <c r="B66" s="20"/>
      <c r="C66" s="20"/>
      <c r="D66" s="20" t="s">
        <v>138</v>
      </c>
      <c r="E66" s="31" t="s">
        <v>164</v>
      </c>
      <c r="F66" s="32" t="s">
        <v>91</v>
      </c>
      <c r="G66" s="22"/>
      <c r="H66" s="23"/>
      <c r="I66" s="23"/>
      <c r="J66" s="24"/>
      <c r="K66" s="22"/>
      <c r="L66" s="23"/>
      <c r="M66" s="23"/>
      <c r="N66" s="25" t="s">
        <v>391</v>
      </c>
      <c r="O66" s="25"/>
      <c r="P66" s="25"/>
      <c r="Q66" s="24"/>
      <c r="R66" s="106">
        <v>45321</v>
      </c>
      <c r="S66" s="26">
        <v>45687</v>
      </c>
      <c r="T66" s="26"/>
      <c r="U66" s="28"/>
      <c r="V66" s="29"/>
      <c r="W66" s="30" t="s">
        <v>139</v>
      </c>
    </row>
    <row r="67" spans="1:23" ht="22.8" x14ac:dyDescent="0.15">
      <c r="A67" s="19">
        <f t="shared" si="1"/>
        <v>65</v>
      </c>
      <c r="B67" s="20"/>
      <c r="C67" s="20"/>
      <c r="D67" s="20" t="s">
        <v>140</v>
      </c>
      <c r="E67" s="31" t="s">
        <v>164</v>
      </c>
      <c r="F67" s="32" t="s">
        <v>91</v>
      </c>
      <c r="G67" s="22"/>
      <c r="H67" s="23"/>
      <c r="I67" s="23"/>
      <c r="J67" s="24"/>
      <c r="K67" s="22"/>
      <c r="L67" s="23"/>
      <c r="M67" s="23"/>
      <c r="N67" s="25" t="s">
        <v>391</v>
      </c>
      <c r="O67" s="25"/>
      <c r="P67" s="25"/>
      <c r="Q67" s="24"/>
      <c r="R67" s="106">
        <v>45321</v>
      </c>
      <c r="S67" s="26">
        <v>45687</v>
      </c>
      <c r="T67" s="26"/>
      <c r="U67" s="28"/>
      <c r="V67" s="29"/>
      <c r="W67" s="30" t="s">
        <v>141</v>
      </c>
    </row>
    <row r="68" spans="1:23" ht="22.8" x14ac:dyDescent="0.15">
      <c r="A68" s="19">
        <f t="shared" si="1"/>
        <v>66</v>
      </c>
      <c r="B68" s="20"/>
      <c r="C68" s="20"/>
      <c r="D68" s="31" t="s">
        <v>142</v>
      </c>
      <c r="E68" s="31" t="s">
        <v>164</v>
      </c>
      <c r="F68" s="32" t="s">
        <v>91</v>
      </c>
      <c r="G68" s="22"/>
      <c r="H68" s="23"/>
      <c r="I68" s="23"/>
      <c r="J68" s="24"/>
      <c r="K68" s="22"/>
      <c r="L68" s="23"/>
      <c r="M68" s="23"/>
      <c r="N68" s="25" t="s">
        <v>391</v>
      </c>
      <c r="O68" s="25"/>
      <c r="P68" s="25"/>
      <c r="Q68" s="24"/>
      <c r="R68" s="106">
        <v>45321</v>
      </c>
      <c r="S68" s="26">
        <v>45687</v>
      </c>
      <c r="T68" s="26"/>
      <c r="U68" s="28"/>
      <c r="V68" s="29"/>
      <c r="W68" s="30" t="s">
        <v>143</v>
      </c>
    </row>
    <row r="69" spans="1:23" ht="22.8" x14ac:dyDescent="0.15">
      <c r="A69" s="19">
        <f t="shared" si="1"/>
        <v>67</v>
      </c>
      <c r="B69" s="20"/>
      <c r="C69" s="20"/>
      <c r="D69" s="31" t="s">
        <v>144</v>
      </c>
      <c r="E69" s="31" t="s">
        <v>164</v>
      </c>
      <c r="F69" s="32" t="s">
        <v>91</v>
      </c>
      <c r="G69" s="22"/>
      <c r="H69" s="23"/>
      <c r="I69" s="23"/>
      <c r="J69" s="24"/>
      <c r="K69" s="22"/>
      <c r="L69" s="23"/>
      <c r="M69" s="23"/>
      <c r="N69" s="25" t="s">
        <v>391</v>
      </c>
      <c r="O69" s="25"/>
      <c r="P69" s="25"/>
      <c r="Q69" s="24"/>
      <c r="R69" s="106">
        <v>45321</v>
      </c>
      <c r="S69" s="26">
        <v>45687</v>
      </c>
      <c r="T69" s="26"/>
      <c r="U69" s="28"/>
      <c r="V69" s="29"/>
      <c r="W69" s="30" t="s">
        <v>145</v>
      </c>
    </row>
    <row r="70" spans="1:23" ht="22.8" x14ac:dyDescent="0.15">
      <c r="A70" s="19">
        <f t="shared" si="1"/>
        <v>68</v>
      </c>
      <c r="B70" s="20"/>
      <c r="C70" s="20"/>
      <c r="D70" s="31" t="s">
        <v>146</v>
      </c>
      <c r="E70" s="31" t="s">
        <v>164</v>
      </c>
      <c r="F70" s="32" t="s">
        <v>91</v>
      </c>
      <c r="G70" s="22"/>
      <c r="H70" s="23"/>
      <c r="I70" s="23"/>
      <c r="J70" s="24"/>
      <c r="K70" s="22"/>
      <c r="L70" s="23"/>
      <c r="M70" s="23"/>
      <c r="N70" s="25" t="s">
        <v>391</v>
      </c>
      <c r="O70" s="25"/>
      <c r="P70" s="25"/>
      <c r="Q70" s="24"/>
      <c r="R70" s="106">
        <v>45321</v>
      </c>
      <c r="S70" s="26">
        <v>45687</v>
      </c>
      <c r="T70" s="26"/>
      <c r="U70" s="28"/>
      <c r="V70" s="29"/>
      <c r="W70" s="30" t="s">
        <v>147</v>
      </c>
    </row>
    <row r="71" spans="1:23" ht="22.8" x14ac:dyDescent="0.15">
      <c r="A71" s="19">
        <f t="shared" si="1"/>
        <v>69</v>
      </c>
      <c r="B71" s="20"/>
      <c r="C71" s="20"/>
      <c r="D71" s="31" t="s">
        <v>148</v>
      </c>
      <c r="E71" s="31" t="s">
        <v>164</v>
      </c>
      <c r="F71" s="32" t="s">
        <v>91</v>
      </c>
      <c r="G71" s="22"/>
      <c r="H71" s="23"/>
      <c r="I71" s="23"/>
      <c r="J71" s="24"/>
      <c r="K71" s="22"/>
      <c r="L71" s="23"/>
      <c r="M71" s="23"/>
      <c r="N71" s="25" t="s">
        <v>391</v>
      </c>
      <c r="O71" s="25"/>
      <c r="P71" s="25"/>
      <c r="Q71" s="24"/>
      <c r="R71" s="106">
        <v>45321</v>
      </c>
      <c r="S71" s="26">
        <v>45687</v>
      </c>
      <c r="T71" s="26"/>
      <c r="U71" s="28"/>
      <c r="V71" s="29"/>
      <c r="W71" s="30" t="s">
        <v>149</v>
      </c>
    </row>
    <row r="72" spans="1:23" ht="22.8" x14ac:dyDescent="0.15">
      <c r="A72" s="19">
        <f t="shared" si="1"/>
        <v>70</v>
      </c>
      <c r="B72" s="20"/>
      <c r="C72" s="20"/>
      <c r="D72" s="31" t="s">
        <v>150</v>
      </c>
      <c r="E72" s="31" t="s">
        <v>164</v>
      </c>
      <c r="F72" s="32" t="s">
        <v>91</v>
      </c>
      <c r="G72" s="22"/>
      <c r="H72" s="23"/>
      <c r="I72" s="23"/>
      <c r="J72" s="24"/>
      <c r="K72" s="22"/>
      <c r="L72" s="23"/>
      <c r="M72" s="23"/>
      <c r="N72" s="25" t="s">
        <v>391</v>
      </c>
      <c r="O72" s="25"/>
      <c r="P72" s="25"/>
      <c r="Q72" s="24"/>
      <c r="R72" s="106">
        <v>45321</v>
      </c>
      <c r="S72" s="26">
        <v>45687</v>
      </c>
      <c r="T72" s="26"/>
      <c r="U72" s="28"/>
      <c r="V72" s="29"/>
      <c r="W72" s="30" t="s">
        <v>151</v>
      </c>
    </row>
    <row r="73" spans="1:23" ht="22.8" x14ac:dyDescent="0.15">
      <c r="A73" s="19">
        <f t="shared" si="1"/>
        <v>71</v>
      </c>
      <c r="B73" s="20"/>
      <c r="C73" s="20"/>
      <c r="D73" s="31" t="s">
        <v>152</v>
      </c>
      <c r="E73" s="31" t="s">
        <v>164</v>
      </c>
      <c r="F73" s="32" t="s">
        <v>91</v>
      </c>
      <c r="G73" s="22"/>
      <c r="H73" s="23"/>
      <c r="I73" s="23"/>
      <c r="J73" s="24"/>
      <c r="K73" s="22"/>
      <c r="L73" s="23"/>
      <c r="M73" s="23"/>
      <c r="N73" s="25" t="s">
        <v>391</v>
      </c>
      <c r="O73" s="25"/>
      <c r="P73" s="25"/>
      <c r="Q73" s="24"/>
      <c r="R73" s="106">
        <v>45321</v>
      </c>
      <c r="S73" s="26">
        <v>45687</v>
      </c>
      <c r="T73" s="27"/>
      <c r="U73" s="28"/>
      <c r="V73" s="29"/>
      <c r="W73" s="30" t="s">
        <v>153</v>
      </c>
    </row>
    <row r="74" spans="1:23" ht="22.8" x14ac:dyDescent="0.15">
      <c r="A74" s="19">
        <f t="shared" si="1"/>
        <v>72</v>
      </c>
      <c r="B74" s="20"/>
      <c r="C74" s="20"/>
      <c r="D74" s="20" t="s">
        <v>154</v>
      </c>
      <c r="E74" s="31" t="s">
        <v>164</v>
      </c>
      <c r="F74" s="32" t="s">
        <v>91</v>
      </c>
      <c r="G74" s="22"/>
      <c r="H74" s="23"/>
      <c r="I74" s="23"/>
      <c r="J74" s="24"/>
      <c r="K74" s="22"/>
      <c r="L74" s="23"/>
      <c r="M74" s="23"/>
      <c r="N74" s="25" t="s">
        <v>391</v>
      </c>
      <c r="O74" s="25"/>
      <c r="P74" s="25"/>
      <c r="Q74" s="24"/>
      <c r="R74" s="106">
        <v>45321</v>
      </c>
      <c r="S74" s="26">
        <v>45687</v>
      </c>
      <c r="T74" s="27"/>
      <c r="U74" s="28"/>
      <c r="V74" s="29"/>
      <c r="W74" s="30" t="s">
        <v>155</v>
      </c>
    </row>
    <row r="75" spans="1:23" ht="22.8" x14ac:dyDescent="0.15">
      <c r="A75" s="19">
        <f t="shared" si="1"/>
        <v>73</v>
      </c>
      <c r="B75" s="20"/>
      <c r="C75" s="20"/>
      <c r="D75" s="20" t="s">
        <v>156</v>
      </c>
      <c r="E75" s="31" t="s">
        <v>164</v>
      </c>
      <c r="F75" s="32" t="s">
        <v>91</v>
      </c>
      <c r="G75" s="22"/>
      <c r="H75" s="23"/>
      <c r="I75" s="23"/>
      <c r="J75" s="24"/>
      <c r="K75" s="22"/>
      <c r="L75" s="23"/>
      <c r="M75" s="23"/>
      <c r="N75" s="25" t="s">
        <v>391</v>
      </c>
      <c r="O75" s="25"/>
      <c r="P75" s="25"/>
      <c r="Q75" s="24"/>
      <c r="R75" s="106">
        <v>45321</v>
      </c>
      <c r="S75" s="26">
        <v>45687</v>
      </c>
      <c r="T75" s="27"/>
      <c r="U75" s="28"/>
      <c r="V75" s="29"/>
      <c r="W75" s="30" t="s">
        <v>157</v>
      </c>
    </row>
    <row r="76" spans="1:23" ht="22.8" x14ac:dyDescent="0.15">
      <c r="A76" s="19">
        <f t="shared" si="1"/>
        <v>74</v>
      </c>
      <c r="B76" s="20"/>
      <c r="C76" s="20"/>
      <c r="D76" s="31" t="s">
        <v>158</v>
      </c>
      <c r="E76" s="31" t="s">
        <v>164</v>
      </c>
      <c r="F76" s="32" t="s">
        <v>91</v>
      </c>
      <c r="G76" s="22"/>
      <c r="H76" s="23"/>
      <c r="I76" s="23"/>
      <c r="J76" s="24"/>
      <c r="K76" s="22"/>
      <c r="L76" s="23"/>
      <c r="M76" s="23"/>
      <c r="N76" s="25" t="s">
        <v>391</v>
      </c>
      <c r="O76" s="25"/>
      <c r="P76" s="25"/>
      <c r="Q76" s="24"/>
      <c r="R76" s="106">
        <v>45321</v>
      </c>
      <c r="S76" s="26">
        <v>45687</v>
      </c>
      <c r="T76" s="27"/>
      <c r="U76" s="28"/>
      <c r="V76" s="29"/>
      <c r="W76" s="30" t="s">
        <v>159</v>
      </c>
    </row>
    <row r="77" spans="1:23" ht="11.4" x14ac:dyDescent="0.15">
      <c r="A77" s="19">
        <f t="shared" si="1"/>
        <v>75</v>
      </c>
      <c r="B77" s="20"/>
      <c r="C77" s="20"/>
      <c r="D77" s="31" t="s">
        <v>132</v>
      </c>
      <c r="E77" s="31" t="s">
        <v>164</v>
      </c>
      <c r="F77" s="32" t="s">
        <v>91</v>
      </c>
      <c r="G77" s="22"/>
      <c r="H77" s="23"/>
      <c r="I77" s="23"/>
      <c r="J77" s="24"/>
      <c r="K77" s="22"/>
      <c r="L77" s="23"/>
      <c r="M77" s="23"/>
      <c r="N77" s="25" t="s">
        <v>38</v>
      </c>
      <c r="O77" s="25"/>
      <c r="P77" s="25"/>
      <c r="Q77" s="24"/>
      <c r="R77" s="106">
        <v>45321</v>
      </c>
      <c r="S77" s="26">
        <v>45688</v>
      </c>
      <c r="T77" s="27"/>
      <c r="U77" s="28"/>
      <c r="V77" s="29"/>
      <c r="W77" s="30" t="s">
        <v>160</v>
      </c>
    </row>
    <row r="78" spans="1:23" ht="11.4" x14ac:dyDescent="0.15">
      <c r="A78" s="19">
        <f t="shared" si="1"/>
        <v>76</v>
      </c>
      <c r="B78" s="33"/>
      <c r="C78" s="33"/>
      <c r="D78" s="31" t="s">
        <v>161</v>
      </c>
      <c r="E78" s="31" t="s">
        <v>164</v>
      </c>
      <c r="F78" s="32" t="s">
        <v>91</v>
      </c>
      <c r="G78" s="22"/>
      <c r="H78" s="23"/>
      <c r="I78" s="23"/>
      <c r="J78" s="24"/>
      <c r="K78" s="22"/>
      <c r="L78" s="23"/>
      <c r="M78" s="23"/>
      <c r="N78" s="25" t="s">
        <v>38</v>
      </c>
      <c r="O78" s="25"/>
      <c r="P78" s="25"/>
      <c r="Q78" s="24"/>
      <c r="R78" s="106">
        <v>45321</v>
      </c>
      <c r="S78" s="26">
        <v>45701</v>
      </c>
      <c r="T78" s="27"/>
      <c r="U78" s="28"/>
      <c r="V78" s="29"/>
      <c r="W78" s="30" t="s">
        <v>162</v>
      </c>
    </row>
    <row r="79" spans="1:23" ht="22.8" x14ac:dyDescent="0.15">
      <c r="A79" s="19">
        <f t="shared" si="1"/>
        <v>77</v>
      </c>
      <c r="B79" s="20"/>
      <c r="C79" s="20" t="s">
        <v>42</v>
      </c>
      <c r="D79" s="31" t="s">
        <v>89</v>
      </c>
      <c r="E79" s="31" t="s">
        <v>165</v>
      </c>
      <c r="F79" s="32" t="s">
        <v>45</v>
      </c>
      <c r="G79" s="22"/>
      <c r="H79" s="23"/>
      <c r="I79" s="23"/>
      <c r="J79" s="24"/>
      <c r="K79" s="22"/>
      <c r="L79" s="23"/>
      <c r="M79" s="23"/>
      <c r="N79" s="25" t="s">
        <v>38</v>
      </c>
      <c r="O79" s="25"/>
      <c r="P79" s="25"/>
      <c r="Q79" s="24"/>
      <c r="R79" s="106">
        <v>45322</v>
      </c>
      <c r="S79" s="26"/>
      <c r="T79" s="26">
        <v>45698</v>
      </c>
      <c r="U79" s="28"/>
      <c r="V79" s="29"/>
      <c r="W79" s="30" t="s">
        <v>416</v>
      </c>
    </row>
    <row r="80" spans="1:23" ht="22.8" x14ac:dyDescent="0.15">
      <c r="A80" s="19">
        <f t="shared" si="1"/>
        <v>78</v>
      </c>
      <c r="B80" s="20"/>
      <c r="C80" s="20"/>
      <c r="D80" s="20" t="s">
        <v>93</v>
      </c>
      <c r="E80" s="31" t="s">
        <v>166</v>
      </c>
      <c r="F80" s="32" t="s">
        <v>45</v>
      </c>
      <c r="G80" s="22"/>
      <c r="H80" s="23"/>
      <c r="I80" s="23"/>
      <c r="J80" s="24"/>
      <c r="K80" s="22"/>
      <c r="L80" s="23"/>
      <c r="M80" s="23"/>
      <c r="N80" s="25" t="s">
        <v>38</v>
      </c>
      <c r="O80" s="25"/>
      <c r="P80" s="25"/>
      <c r="Q80" s="24"/>
      <c r="R80" s="106">
        <v>45322</v>
      </c>
      <c r="S80" s="26"/>
      <c r="T80" s="26">
        <v>45698</v>
      </c>
      <c r="U80" s="28"/>
      <c r="V80" s="29"/>
      <c r="W80" s="30" t="s">
        <v>417</v>
      </c>
    </row>
    <row r="81" spans="1:23" ht="11.4" x14ac:dyDescent="0.15">
      <c r="A81" s="19">
        <f t="shared" si="1"/>
        <v>79</v>
      </c>
      <c r="B81" s="20"/>
      <c r="C81" s="20"/>
      <c r="D81" s="20" t="s">
        <v>96</v>
      </c>
      <c r="E81" s="31" t="s">
        <v>166</v>
      </c>
      <c r="F81" s="32" t="s">
        <v>45</v>
      </c>
      <c r="G81" s="22"/>
      <c r="H81" s="23"/>
      <c r="I81" s="23"/>
      <c r="J81" s="24"/>
      <c r="K81" s="22"/>
      <c r="L81" s="23"/>
      <c r="M81" s="23"/>
      <c r="N81" s="25" t="s">
        <v>38</v>
      </c>
      <c r="O81" s="25"/>
      <c r="P81" s="25"/>
      <c r="Q81" s="24"/>
      <c r="R81" s="106">
        <v>45322</v>
      </c>
      <c r="S81" s="26">
        <v>45698</v>
      </c>
      <c r="T81" s="26"/>
      <c r="U81" s="28"/>
      <c r="V81" s="29"/>
      <c r="W81" s="30" t="s">
        <v>396</v>
      </c>
    </row>
    <row r="82" spans="1:23" ht="11.4" x14ac:dyDescent="0.15">
      <c r="A82" s="19">
        <f t="shared" si="1"/>
        <v>80</v>
      </c>
      <c r="B82" s="20"/>
      <c r="C82" s="20"/>
      <c r="D82" s="31" t="s">
        <v>98</v>
      </c>
      <c r="E82" s="31" t="s">
        <v>166</v>
      </c>
      <c r="F82" s="32" t="s">
        <v>45</v>
      </c>
      <c r="G82" s="22"/>
      <c r="H82" s="23"/>
      <c r="I82" s="23"/>
      <c r="J82" s="24"/>
      <c r="K82" s="22"/>
      <c r="L82" s="23"/>
      <c r="M82" s="23"/>
      <c r="N82" s="25" t="s">
        <v>38</v>
      </c>
      <c r="O82" s="25"/>
      <c r="P82" s="25"/>
      <c r="Q82" s="24"/>
      <c r="R82" s="106">
        <v>45322</v>
      </c>
      <c r="S82" s="26">
        <v>45698</v>
      </c>
      <c r="T82" s="26"/>
      <c r="U82" s="28"/>
      <c r="V82" s="29"/>
      <c r="W82" s="30" t="s">
        <v>398</v>
      </c>
    </row>
    <row r="83" spans="1:23" ht="22.8" x14ac:dyDescent="0.15">
      <c r="A83" s="19">
        <f t="shared" si="1"/>
        <v>81</v>
      </c>
      <c r="B83" s="20"/>
      <c r="C83" s="20"/>
      <c r="D83" s="31" t="s">
        <v>100</v>
      </c>
      <c r="E83" s="31" t="s">
        <v>166</v>
      </c>
      <c r="F83" s="32" t="s">
        <v>45</v>
      </c>
      <c r="G83" s="22"/>
      <c r="H83" s="23"/>
      <c r="I83" s="23"/>
      <c r="J83" s="24"/>
      <c r="K83" s="22"/>
      <c r="L83" s="23"/>
      <c r="M83" s="23"/>
      <c r="N83" s="25" t="s">
        <v>38</v>
      </c>
      <c r="O83" s="25"/>
      <c r="P83" s="25"/>
      <c r="Q83" s="24"/>
      <c r="R83" s="106">
        <v>45322</v>
      </c>
      <c r="S83" s="26"/>
      <c r="T83" s="26">
        <v>45698</v>
      </c>
      <c r="U83" s="28"/>
      <c r="V83" s="29"/>
      <c r="W83" s="30" t="s">
        <v>418</v>
      </c>
    </row>
    <row r="84" spans="1:23" ht="11.4" x14ac:dyDescent="0.15">
      <c r="A84" s="19">
        <f t="shared" si="1"/>
        <v>82</v>
      </c>
      <c r="B84" s="20"/>
      <c r="C84" s="20"/>
      <c r="D84" s="31" t="s">
        <v>102</v>
      </c>
      <c r="E84" s="31" t="s">
        <v>166</v>
      </c>
      <c r="F84" s="32" t="s">
        <v>45</v>
      </c>
      <c r="G84" s="22"/>
      <c r="H84" s="23"/>
      <c r="I84" s="23"/>
      <c r="J84" s="24"/>
      <c r="K84" s="22"/>
      <c r="L84" s="23"/>
      <c r="M84" s="23"/>
      <c r="N84" s="25" t="s">
        <v>38</v>
      </c>
      <c r="O84" s="25"/>
      <c r="P84" s="25"/>
      <c r="Q84" s="24"/>
      <c r="R84" s="106">
        <v>45322</v>
      </c>
      <c r="S84" s="26">
        <v>45698</v>
      </c>
      <c r="T84" s="26"/>
      <c r="U84" s="28"/>
      <c r="V84" s="29"/>
      <c r="W84" s="30" t="s">
        <v>399</v>
      </c>
    </row>
    <row r="85" spans="1:23" ht="11.4" x14ac:dyDescent="0.15">
      <c r="A85" s="19">
        <f t="shared" si="1"/>
        <v>83</v>
      </c>
      <c r="B85" s="20"/>
      <c r="C85" s="20"/>
      <c r="D85" s="31" t="s">
        <v>104</v>
      </c>
      <c r="E85" s="31" t="s">
        <v>166</v>
      </c>
      <c r="F85" s="32" t="s">
        <v>45</v>
      </c>
      <c r="G85" s="22"/>
      <c r="H85" s="23"/>
      <c r="I85" s="23"/>
      <c r="J85" s="24"/>
      <c r="K85" s="22"/>
      <c r="L85" s="23"/>
      <c r="M85" s="23"/>
      <c r="N85" s="25" t="s">
        <v>38</v>
      </c>
      <c r="O85" s="25"/>
      <c r="P85" s="25"/>
      <c r="Q85" s="24"/>
      <c r="R85" s="106">
        <v>45322</v>
      </c>
      <c r="S85" s="26">
        <v>45698</v>
      </c>
      <c r="T85" s="26"/>
      <c r="U85" s="28"/>
      <c r="V85" s="29"/>
      <c r="W85" s="30" t="s">
        <v>400</v>
      </c>
    </row>
    <row r="86" spans="1:23" ht="11.4" x14ac:dyDescent="0.15">
      <c r="A86" s="19">
        <f t="shared" si="1"/>
        <v>84</v>
      </c>
      <c r="B86" s="20"/>
      <c r="C86" s="20"/>
      <c r="D86" s="31" t="s">
        <v>106</v>
      </c>
      <c r="E86" s="31" t="s">
        <v>166</v>
      </c>
      <c r="F86" s="32" t="s">
        <v>45</v>
      </c>
      <c r="G86" s="22"/>
      <c r="H86" s="23"/>
      <c r="I86" s="23"/>
      <c r="J86" s="24"/>
      <c r="K86" s="22"/>
      <c r="L86" s="23"/>
      <c r="M86" s="23"/>
      <c r="N86" s="25" t="s">
        <v>38</v>
      </c>
      <c r="O86" s="25"/>
      <c r="P86" s="25"/>
      <c r="Q86" s="24"/>
      <c r="R86" s="106">
        <v>45322</v>
      </c>
      <c r="S86" s="26"/>
      <c r="T86" s="26">
        <v>45698</v>
      </c>
      <c r="U86" s="28"/>
      <c r="V86" s="29"/>
      <c r="W86" s="30" t="s">
        <v>401</v>
      </c>
    </row>
    <row r="87" spans="1:23" ht="11.4" x14ac:dyDescent="0.15">
      <c r="A87" s="19">
        <f t="shared" si="1"/>
        <v>85</v>
      </c>
      <c r="B87" s="20"/>
      <c r="C87" s="20"/>
      <c r="D87" s="31" t="s">
        <v>108</v>
      </c>
      <c r="E87" s="31" t="s">
        <v>166</v>
      </c>
      <c r="F87" s="32" t="s">
        <v>45</v>
      </c>
      <c r="G87" s="22"/>
      <c r="H87" s="23"/>
      <c r="I87" s="23"/>
      <c r="J87" s="24"/>
      <c r="K87" s="22"/>
      <c r="L87" s="23"/>
      <c r="M87" s="23"/>
      <c r="N87" s="25" t="s">
        <v>38</v>
      </c>
      <c r="O87" s="25"/>
      <c r="P87" s="25"/>
      <c r="Q87" s="24"/>
      <c r="R87" s="106">
        <v>45322</v>
      </c>
      <c r="S87" s="26"/>
      <c r="T87" s="26">
        <v>45698</v>
      </c>
      <c r="U87" s="28"/>
      <c r="V87" s="29"/>
      <c r="W87" s="30" t="s">
        <v>402</v>
      </c>
    </row>
    <row r="88" spans="1:23" ht="11.4" x14ac:dyDescent="0.15">
      <c r="A88" s="19">
        <f t="shared" si="1"/>
        <v>86</v>
      </c>
      <c r="B88" s="20"/>
      <c r="C88" s="20"/>
      <c r="D88" s="20" t="s">
        <v>110</v>
      </c>
      <c r="E88" s="31" t="s">
        <v>166</v>
      </c>
      <c r="F88" s="32" t="s">
        <v>45</v>
      </c>
      <c r="G88" s="22"/>
      <c r="H88" s="23"/>
      <c r="I88" s="23"/>
      <c r="J88" s="24"/>
      <c r="K88" s="22"/>
      <c r="L88" s="23"/>
      <c r="M88" s="23"/>
      <c r="N88" s="25" t="s">
        <v>38</v>
      </c>
      <c r="O88" s="25"/>
      <c r="P88" s="25"/>
      <c r="Q88" s="24"/>
      <c r="R88" s="106">
        <v>45322</v>
      </c>
      <c r="S88" s="26">
        <v>45698</v>
      </c>
      <c r="T88" s="26"/>
      <c r="U88" s="28"/>
      <c r="V88" s="29"/>
      <c r="W88" s="30" t="s">
        <v>403</v>
      </c>
    </row>
    <row r="89" spans="1:23" ht="11.4" x14ac:dyDescent="0.15">
      <c r="A89" s="19">
        <f t="shared" si="1"/>
        <v>87</v>
      </c>
      <c r="B89" s="20"/>
      <c r="C89" s="20"/>
      <c r="D89" s="20" t="s">
        <v>112</v>
      </c>
      <c r="E89" s="31" t="s">
        <v>166</v>
      </c>
      <c r="F89" s="32" t="s">
        <v>45</v>
      </c>
      <c r="G89" s="22"/>
      <c r="H89" s="23"/>
      <c r="I89" s="23"/>
      <c r="J89" s="24"/>
      <c r="K89" s="22"/>
      <c r="L89" s="23"/>
      <c r="M89" s="23"/>
      <c r="N89" s="25" t="s">
        <v>38</v>
      </c>
      <c r="O89" s="25"/>
      <c r="P89" s="25"/>
      <c r="Q89" s="24"/>
      <c r="R89" s="106">
        <v>45322</v>
      </c>
      <c r="S89" s="26">
        <v>45698</v>
      </c>
      <c r="T89" s="26"/>
      <c r="U89" s="28"/>
      <c r="V89" s="29"/>
      <c r="W89" s="30" t="s">
        <v>397</v>
      </c>
    </row>
    <row r="90" spans="1:23" ht="11.4" x14ac:dyDescent="0.15">
      <c r="A90" s="19">
        <f t="shared" si="1"/>
        <v>88</v>
      </c>
      <c r="B90" s="20"/>
      <c r="C90" s="20"/>
      <c r="D90" s="31" t="s">
        <v>114</v>
      </c>
      <c r="E90" s="31" t="s">
        <v>166</v>
      </c>
      <c r="F90" s="32" t="s">
        <v>45</v>
      </c>
      <c r="G90" s="22"/>
      <c r="H90" s="23"/>
      <c r="I90" s="23"/>
      <c r="J90" s="24"/>
      <c r="K90" s="22"/>
      <c r="L90" s="23"/>
      <c r="M90" s="23"/>
      <c r="N90" s="25" t="s">
        <v>38</v>
      </c>
      <c r="O90" s="25"/>
      <c r="P90" s="25"/>
      <c r="Q90" s="24"/>
      <c r="R90" s="106">
        <v>45322</v>
      </c>
      <c r="S90" s="26"/>
      <c r="T90" s="26">
        <v>45698</v>
      </c>
      <c r="U90" s="28"/>
      <c r="V90" s="29"/>
      <c r="W90" s="30" t="s">
        <v>404</v>
      </c>
    </row>
    <row r="91" spans="1:23" ht="11.4" x14ac:dyDescent="0.15">
      <c r="A91" s="19">
        <f t="shared" si="1"/>
        <v>89</v>
      </c>
      <c r="B91" s="20"/>
      <c r="C91" s="20"/>
      <c r="D91" s="31" t="s">
        <v>116</v>
      </c>
      <c r="E91" s="31" t="s">
        <v>166</v>
      </c>
      <c r="F91" s="32" t="s">
        <v>45</v>
      </c>
      <c r="G91" s="22"/>
      <c r="H91" s="23"/>
      <c r="I91" s="23"/>
      <c r="J91" s="24"/>
      <c r="K91" s="22"/>
      <c r="L91" s="23"/>
      <c r="M91" s="23"/>
      <c r="N91" s="25" t="s">
        <v>38</v>
      </c>
      <c r="O91" s="25"/>
      <c r="P91" s="25"/>
      <c r="Q91" s="24"/>
      <c r="R91" s="106">
        <v>45322</v>
      </c>
      <c r="S91" s="26">
        <v>45698</v>
      </c>
      <c r="T91" s="26"/>
      <c r="U91" s="28"/>
      <c r="V91" s="29"/>
      <c r="W91" s="30" t="s">
        <v>405</v>
      </c>
    </row>
    <row r="92" spans="1:23" ht="11.4" x14ac:dyDescent="0.15">
      <c r="A92" s="19">
        <f t="shared" si="1"/>
        <v>90</v>
      </c>
      <c r="B92" s="33"/>
      <c r="C92" s="33"/>
      <c r="D92" s="31" t="s">
        <v>118</v>
      </c>
      <c r="E92" s="31" t="s">
        <v>166</v>
      </c>
      <c r="F92" s="32" t="s">
        <v>45</v>
      </c>
      <c r="G92" s="22"/>
      <c r="H92" s="23"/>
      <c r="I92" s="23"/>
      <c r="J92" s="24"/>
      <c r="K92" s="22"/>
      <c r="L92" s="23"/>
      <c r="M92" s="23"/>
      <c r="N92" s="25" t="s">
        <v>38</v>
      </c>
      <c r="O92" s="25"/>
      <c r="P92" s="25"/>
      <c r="Q92" s="24"/>
      <c r="R92" s="106">
        <v>45322</v>
      </c>
      <c r="S92" s="26">
        <v>45698</v>
      </c>
      <c r="T92" s="26"/>
      <c r="U92" s="28"/>
      <c r="V92" s="29"/>
      <c r="W92" s="30" t="s">
        <v>406</v>
      </c>
    </row>
    <row r="93" spans="1:23" ht="11.4" x14ac:dyDescent="0.15">
      <c r="A93" s="19">
        <f t="shared" si="1"/>
        <v>91</v>
      </c>
      <c r="B93" s="33"/>
      <c r="C93" s="33"/>
      <c r="D93" s="31" t="s">
        <v>120</v>
      </c>
      <c r="E93" s="31" t="s">
        <v>166</v>
      </c>
      <c r="F93" s="32" t="s">
        <v>45</v>
      </c>
      <c r="G93" s="22"/>
      <c r="H93" s="23"/>
      <c r="I93" s="23"/>
      <c r="J93" s="24"/>
      <c r="K93" s="22"/>
      <c r="L93" s="23"/>
      <c r="M93" s="23"/>
      <c r="N93" s="25" t="s">
        <v>38</v>
      </c>
      <c r="O93" s="25"/>
      <c r="P93" s="25"/>
      <c r="Q93" s="24"/>
      <c r="R93" s="106">
        <v>45322</v>
      </c>
      <c r="S93" s="26">
        <v>45701</v>
      </c>
      <c r="T93" s="27"/>
      <c r="U93" s="28"/>
      <c r="V93" s="29"/>
      <c r="W93" s="30" t="s">
        <v>407</v>
      </c>
    </row>
    <row r="94" spans="1:23" ht="11.4" x14ac:dyDescent="0.15">
      <c r="A94" s="19">
        <f t="shared" si="1"/>
        <v>92</v>
      </c>
      <c r="B94" s="33"/>
      <c r="C94" s="33"/>
      <c r="D94" s="31" t="s">
        <v>122</v>
      </c>
      <c r="E94" s="31" t="s">
        <v>166</v>
      </c>
      <c r="F94" s="32" t="s">
        <v>45</v>
      </c>
      <c r="G94" s="22"/>
      <c r="H94" s="23"/>
      <c r="I94" s="23"/>
      <c r="J94" s="24"/>
      <c r="K94" s="22"/>
      <c r="L94" s="23"/>
      <c r="M94" s="23"/>
      <c r="N94" s="25" t="s">
        <v>38</v>
      </c>
      <c r="O94" s="25"/>
      <c r="P94" s="25"/>
      <c r="Q94" s="24"/>
      <c r="R94" s="106">
        <v>45322</v>
      </c>
      <c r="S94" s="26"/>
      <c r="T94" s="27">
        <v>45700</v>
      </c>
      <c r="U94" s="28"/>
      <c r="V94" s="29"/>
      <c r="W94" s="111" t="s">
        <v>419</v>
      </c>
    </row>
    <row r="95" spans="1:23" ht="11.4" x14ac:dyDescent="0.15">
      <c r="A95" s="19">
        <f t="shared" si="1"/>
        <v>93</v>
      </c>
      <c r="B95" s="33"/>
      <c r="C95" s="33"/>
      <c r="D95" s="31" t="s">
        <v>124</v>
      </c>
      <c r="E95" s="31" t="s">
        <v>166</v>
      </c>
      <c r="F95" s="32" t="s">
        <v>45</v>
      </c>
      <c r="G95" s="22"/>
      <c r="H95" s="23"/>
      <c r="I95" s="23"/>
      <c r="J95" s="24"/>
      <c r="K95" s="22"/>
      <c r="L95" s="23"/>
      <c r="M95" s="23"/>
      <c r="N95" s="25" t="s">
        <v>38</v>
      </c>
      <c r="O95" s="25"/>
      <c r="P95" s="25"/>
      <c r="Q95" s="24"/>
      <c r="R95" s="106">
        <v>45322</v>
      </c>
      <c r="S95" s="26">
        <v>45700</v>
      </c>
      <c r="T95" s="27"/>
      <c r="U95" s="28"/>
      <c r="V95" s="29"/>
      <c r="W95" s="111" t="s">
        <v>396</v>
      </c>
    </row>
    <row r="96" spans="1:23" ht="11.4" x14ac:dyDescent="0.15">
      <c r="A96" s="19">
        <f t="shared" si="1"/>
        <v>94</v>
      </c>
      <c r="B96" s="33"/>
      <c r="C96" s="20"/>
      <c r="D96" s="20" t="s">
        <v>126</v>
      </c>
      <c r="E96" s="31" t="s">
        <v>166</v>
      </c>
      <c r="F96" s="32" t="s">
        <v>45</v>
      </c>
      <c r="G96" s="22"/>
      <c r="H96" s="23"/>
      <c r="I96" s="23"/>
      <c r="J96" s="24"/>
      <c r="K96" s="22"/>
      <c r="L96" s="23"/>
      <c r="M96" s="23"/>
      <c r="N96" s="25" t="s">
        <v>38</v>
      </c>
      <c r="O96" s="25"/>
      <c r="P96" s="25"/>
      <c r="Q96" s="24"/>
      <c r="R96" s="106">
        <v>45322</v>
      </c>
      <c r="S96" s="26"/>
      <c r="T96" s="27">
        <v>45700</v>
      </c>
      <c r="U96" s="28"/>
      <c r="V96" s="29"/>
      <c r="W96" s="111" t="s">
        <v>420</v>
      </c>
    </row>
    <row r="97" spans="1:23" ht="11.4" x14ac:dyDescent="0.15">
      <c r="A97" s="19">
        <f t="shared" si="1"/>
        <v>95</v>
      </c>
      <c r="B97" s="33"/>
      <c r="C97" s="20"/>
      <c r="D97" s="20" t="s">
        <v>128</v>
      </c>
      <c r="E97" s="31" t="s">
        <v>166</v>
      </c>
      <c r="F97" s="32" t="s">
        <v>45</v>
      </c>
      <c r="G97" s="22"/>
      <c r="H97" s="23"/>
      <c r="I97" s="23"/>
      <c r="J97" s="24"/>
      <c r="K97" s="22"/>
      <c r="L97" s="23"/>
      <c r="M97" s="23"/>
      <c r="N97" s="25" t="s">
        <v>38</v>
      </c>
      <c r="O97" s="25"/>
      <c r="P97" s="25"/>
      <c r="Q97" s="24"/>
      <c r="R97" s="106">
        <v>45322</v>
      </c>
      <c r="S97" s="27">
        <v>45700</v>
      </c>
      <c r="T97" s="27"/>
      <c r="U97" s="28"/>
      <c r="V97" s="29"/>
      <c r="W97" s="111" t="s">
        <v>421</v>
      </c>
    </row>
    <row r="98" spans="1:23" ht="11.4" x14ac:dyDescent="0.15">
      <c r="A98" s="19">
        <f t="shared" si="1"/>
        <v>96</v>
      </c>
      <c r="B98" s="20"/>
      <c r="C98" s="20"/>
      <c r="D98" s="31" t="s">
        <v>130</v>
      </c>
      <c r="E98" s="31" t="s">
        <v>166</v>
      </c>
      <c r="F98" s="32" t="s">
        <v>45</v>
      </c>
      <c r="G98" s="22"/>
      <c r="H98" s="23"/>
      <c r="I98" s="23"/>
      <c r="J98" s="24"/>
      <c r="K98" s="22"/>
      <c r="L98" s="23"/>
      <c r="M98" s="23"/>
      <c r="N98" s="25" t="s">
        <v>38</v>
      </c>
      <c r="O98" s="25"/>
      <c r="P98" s="25"/>
      <c r="Q98" s="24"/>
      <c r="R98" s="106">
        <v>45322</v>
      </c>
      <c r="S98" s="27">
        <v>45700</v>
      </c>
      <c r="T98" s="27"/>
      <c r="U98" s="28"/>
      <c r="V98" s="29"/>
      <c r="W98" s="111" t="s">
        <v>422</v>
      </c>
    </row>
    <row r="99" spans="1:23" ht="11.4" x14ac:dyDescent="0.15">
      <c r="A99" s="19">
        <f t="shared" si="1"/>
        <v>97</v>
      </c>
      <c r="B99" s="20"/>
      <c r="C99" s="20"/>
      <c r="D99" s="31" t="s">
        <v>132</v>
      </c>
      <c r="E99" s="31" t="s">
        <v>166</v>
      </c>
      <c r="F99" s="32" t="s">
        <v>45</v>
      </c>
      <c r="G99" s="22"/>
      <c r="H99" s="23"/>
      <c r="I99" s="23"/>
      <c r="J99" s="24"/>
      <c r="K99" s="22"/>
      <c r="L99" s="23"/>
      <c r="M99" s="23"/>
      <c r="N99" s="25" t="s">
        <v>38</v>
      </c>
      <c r="O99" s="25"/>
      <c r="P99" s="25"/>
      <c r="Q99" s="24"/>
      <c r="R99" s="106">
        <v>45322</v>
      </c>
      <c r="S99" s="27">
        <v>45700</v>
      </c>
      <c r="T99" s="27"/>
      <c r="U99" s="28"/>
      <c r="V99" s="29"/>
      <c r="W99" s="111" t="s">
        <v>414</v>
      </c>
    </row>
    <row r="100" spans="1:23" ht="11.4" x14ac:dyDescent="0.15">
      <c r="A100" s="19">
        <f t="shared" si="1"/>
        <v>98</v>
      </c>
      <c r="B100" s="20"/>
      <c r="C100" s="33"/>
      <c r="D100" s="31" t="s">
        <v>134</v>
      </c>
      <c r="E100" s="31" t="s">
        <v>166</v>
      </c>
      <c r="F100" s="32" t="s">
        <v>45</v>
      </c>
      <c r="G100" s="22"/>
      <c r="H100" s="23"/>
      <c r="I100" s="23"/>
      <c r="J100" s="24"/>
      <c r="K100" s="22"/>
      <c r="L100" s="23"/>
      <c r="M100" s="23"/>
      <c r="N100" s="25" t="s">
        <v>38</v>
      </c>
      <c r="O100" s="25"/>
      <c r="P100" s="25"/>
      <c r="Q100" s="24"/>
      <c r="R100" s="106">
        <v>45322</v>
      </c>
      <c r="S100" s="27">
        <v>45700</v>
      </c>
      <c r="T100" s="27"/>
      <c r="U100" s="28"/>
      <c r="V100" s="29"/>
      <c r="W100" s="111" t="s">
        <v>423</v>
      </c>
    </row>
    <row r="101" spans="1:23" ht="11.4" x14ac:dyDescent="0.15">
      <c r="A101" s="19">
        <f t="shared" si="1"/>
        <v>99</v>
      </c>
      <c r="B101" s="20"/>
      <c r="C101" s="20"/>
      <c r="D101" s="31" t="s">
        <v>136</v>
      </c>
      <c r="E101" s="31" t="s">
        <v>166</v>
      </c>
      <c r="F101" s="32" t="s">
        <v>45</v>
      </c>
      <c r="G101" s="22"/>
      <c r="H101" s="23"/>
      <c r="I101" s="23"/>
      <c r="J101" s="24"/>
      <c r="K101" s="22"/>
      <c r="L101" s="23"/>
      <c r="M101" s="23"/>
      <c r="N101" s="25" t="s">
        <v>38</v>
      </c>
      <c r="O101" s="25"/>
      <c r="P101" s="25"/>
      <c r="Q101" s="24"/>
      <c r="R101" s="106">
        <v>45322</v>
      </c>
      <c r="S101" s="26">
        <v>45700</v>
      </c>
      <c r="T101" s="26"/>
      <c r="U101" s="28"/>
      <c r="V101" s="29"/>
      <c r="W101" s="30" t="s">
        <v>408</v>
      </c>
    </row>
    <row r="102" spans="1:23" ht="11.4" x14ac:dyDescent="0.15">
      <c r="A102" s="19">
        <f t="shared" si="1"/>
        <v>100</v>
      </c>
      <c r="B102" s="20"/>
      <c r="C102" s="20"/>
      <c r="D102" s="20" t="s">
        <v>138</v>
      </c>
      <c r="E102" s="31" t="s">
        <v>166</v>
      </c>
      <c r="F102" s="32" t="s">
        <v>45</v>
      </c>
      <c r="G102" s="22"/>
      <c r="H102" s="23"/>
      <c r="I102" s="23"/>
      <c r="J102" s="24"/>
      <c r="K102" s="22"/>
      <c r="L102" s="23"/>
      <c r="M102" s="23"/>
      <c r="N102" s="25" t="s">
        <v>38</v>
      </c>
      <c r="O102" s="25"/>
      <c r="P102" s="25"/>
      <c r="Q102" s="24"/>
      <c r="R102" s="106">
        <v>45322</v>
      </c>
      <c r="S102" s="26">
        <v>45700</v>
      </c>
      <c r="T102" s="26"/>
      <c r="U102" s="28"/>
      <c r="V102" s="29"/>
      <c r="W102" s="30" t="s">
        <v>409</v>
      </c>
    </row>
    <row r="103" spans="1:23" ht="11.4" x14ac:dyDescent="0.15">
      <c r="A103" s="19">
        <f t="shared" si="1"/>
        <v>101</v>
      </c>
      <c r="B103" s="20"/>
      <c r="C103" s="20"/>
      <c r="D103" s="20" t="s">
        <v>140</v>
      </c>
      <c r="E103" s="31" t="s">
        <v>166</v>
      </c>
      <c r="F103" s="32" t="s">
        <v>45</v>
      </c>
      <c r="G103" s="22"/>
      <c r="H103" s="23"/>
      <c r="I103" s="23"/>
      <c r="J103" s="24"/>
      <c r="K103" s="22"/>
      <c r="L103" s="23"/>
      <c r="M103" s="23"/>
      <c r="N103" s="25" t="s">
        <v>38</v>
      </c>
      <c r="O103" s="25"/>
      <c r="P103" s="25"/>
      <c r="Q103" s="24"/>
      <c r="R103" s="106">
        <v>45322</v>
      </c>
      <c r="S103" s="26">
        <v>45700</v>
      </c>
      <c r="T103" s="26"/>
      <c r="U103" s="28"/>
      <c r="V103" s="29"/>
      <c r="W103" s="30" t="s">
        <v>410</v>
      </c>
    </row>
    <row r="104" spans="1:23" ht="11.4" x14ac:dyDescent="0.15">
      <c r="A104" s="19">
        <f t="shared" si="1"/>
        <v>102</v>
      </c>
      <c r="B104" s="20"/>
      <c r="C104" s="20"/>
      <c r="D104" s="31" t="s">
        <v>142</v>
      </c>
      <c r="E104" s="31" t="s">
        <v>166</v>
      </c>
      <c r="F104" s="32" t="s">
        <v>45</v>
      </c>
      <c r="G104" s="22"/>
      <c r="H104" s="23"/>
      <c r="I104" s="23"/>
      <c r="J104" s="24"/>
      <c r="K104" s="22"/>
      <c r="L104" s="23"/>
      <c r="M104" s="23"/>
      <c r="N104" s="25" t="s">
        <v>38</v>
      </c>
      <c r="O104" s="25"/>
      <c r="P104" s="25"/>
      <c r="Q104" s="24"/>
      <c r="R104" s="106">
        <v>45322</v>
      </c>
      <c r="S104" s="26">
        <v>45700</v>
      </c>
      <c r="T104" s="26"/>
      <c r="U104" s="28"/>
      <c r="V104" s="29"/>
      <c r="W104" s="30" t="s">
        <v>411</v>
      </c>
    </row>
    <row r="105" spans="1:23" ht="22.8" x14ac:dyDescent="0.15">
      <c r="A105" s="19">
        <f t="shared" si="1"/>
        <v>103</v>
      </c>
      <c r="B105" s="20"/>
      <c r="C105" s="20"/>
      <c r="D105" s="31" t="s">
        <v>144</v>
      </c>
      <c r="E105" s="31" t="s">
        <v>166</v>
      </c>
      <c r="F105" s="32" t="s">
        <v>45</v>
      </c>
      <c r="G105" s="22"/>
      <c r="H105" s="23"/>
      <c r="I105" s="23"/>
      <c r="J105" s="24"/>
      <c r="K105" s="22"/>
      <c r="L105" s="23"/>
      <c r="M105" s="23"/>
      <c r="N105" s="25" t="s">
        <v>38</v>
      </c>
      <c r="O105" s="25"/>
      <c r="P105" s="25"/>
      <c r="Q105" s="24"/>
      <c r="R105" s="106">
        <v>45322</v>
      </c>
      <c r="S105" s="26"/>
      <c r="T105" s="26">
        <v>45700</v>
      </c>
      <c r="U105" s="28"/>
      <c r="V105" s="29"/>
      <c r="W105" s="30" t="s">
        <v>430</v>
      </c>
    </row>
    <row r="106" spans="1:23" ht="22.8" x14ac:dyDescent="0.15">
      <c r="A106" s="19">
        <f t="shared" si="1"/>
        <v>104</v>
      </c>
      <c r="B106" s="20"/>
      <c r="C106" s="20"/>
      <c r="D106" s="31" t="s">
        <v>146</v>
      </c>
      <c r="E106" s="31" t="s">
        <v>166</v>
      </c>
      <c r="F106" s="32" t="s">
        <v>45</v>
      </c>
      <c r="G106" s="22"/>
      <c r="H106" s="23"/>
      <c r="I106" s="23"/>
      <c r="J106" s="24"/>
      <c r="K106" s="22"/>
      <c r="L106" s="23"/>
      <c r="M106" s="23"/>
      <c r="N106" s="25" t="s">
        <v>38</v>
      </c>
      <c r="O106" s="25"/>
      <c r="P106" s="25"/>
      <c r="Q106" s="24"/>
      <c r="R106" s="106">
        <v>45322</v>
      </c>
      <c r="S106" s="26"/>
      <c r="T106" s="26">
        <v>45700</v>
      </c>
      <c r="U106" s="28"/>
      <c r="V106" s="29"/>
      <c r="W106" s="30" t="s">
        <v>425</v>
      </c>
    </row>
    <row r="107" spans="1:23" ht="22.8" x14ac:dyDescent="0.15">
      <c r="A107" s="19">
        <f t="shared" si="1"/>
        <v>105</v>
      </c>
      <c r="B107" s="20"/>
      <c r="C107" s="20"/>
      <c r="D107" s="31" t="s">
        <v>148</v>
      </c>
      <c r="E107" s="31" t="s">
        <v>166</v>
      </c>
      <c r="F107" s="32" t="s">
        <v>45</v>
      </c>
      <c r="G107" s="22"/>
      <c r="H107" s="23"/>
      <c r="I107" s="23"/>
      <c r="J107" s="24"/>
      <c r="K107" s="22"/>
      <c r="L107" s="23"/>
      <c r="M107" s="23"/>
      <c r="N107" s="25" t="s">
        <v>38</v>
      </c>
      <c r="O107" s="25"/>
      <c r="P107" s="25"/>
      <c r="Q107" s="24"/>
      <c r="R107" s="106">
        <v>45322</v>
      </c>
      <c r="S107" s="26"/>
      <c r="T107" s="26">
        <v>45700</v>
      </c>
      <c r="U107" s="28"/>
      <c r="V107" s="29"/>
      <c r="W107" s="30" t="s">
        <v>424</v>
      </c>
    </row>
    <row r="108" spans="1:23" ht="22.8" x14ac:dyDescent="0.15">
      <c r="A108" s="19">
        <f t="shared" si="1"/>
        <v>106</v>
      </c>
      <c r="B108" s="20"/>
      <c r="C108" s="20"/>
      <c r="D108" s="31" t="s">
        <v>150</v>
      </c>
      <c r="E108" s="31" t="s">
        <v>166</v>
      </c>
      <c r="F108" s="32" t="s">
        <v>45</v>
      </c>
      <c r="G108" s="22"/>
      <c r="H108" s="23"/>
      <c r="I108" s="23"/>
      <c r="J108" s="24"/>
      <c r="K108" s="22"/>
      <c r="L108" s="23"/>
      <c r="M108" s="23"/>
      <c r="N108" s="25" t="s">
        <v>38</v>
      </c>
      <c r="O108" s="25"/>
      <c r="P108" s="25"/>
      <c r="Q108" s="24"/>
      <c r="R108" s="106">
        <v>45322</v>
      </c>
      <c r="S108" s="26"/>
      <c r="T108" s="26">
        <v>45700</v>
      </c>
      <c r="U108" s="28"/>
      <c r="V108" s="29"/>
      <c r="W108" s="30" t="s">
        <v>426</v>
      </c>
    </row>
    <row r="109" spans="1:23" ht="22.8" x14ac:dyDescent="0.15">
      <c r="A109" s="19">
        <f t="shared" si="1"/>
        <v>107</v>
      </c>
      <c r="B109" s="20"/>
      <c r="C109" s="20"/>
      <c r="D109" s="31" t="s">
        <v>152</v>
      </c>
      <c r="E109" s="31" t="s">
        <v>166</v>
      </c>
      <c r="F109" s="32" t="s">
        <v>45</v>
      </c>
      <c r="G109" s="22"/>
      <c r="H109" s="23"/>
      <c r="I109" s="23"/>
      <c r="J109" s="24"/>
      <c r="K109" s="22"/>
      <c r="L109" s="23"/>
      <c r="M109" s="23"/>
      <c r="N109" s="25" t="s">
        <v>38</v>
      </c>
      <c r="O109" s="25"/>
      <c r="P109" s="25"/>
      <c r="Q109" s="24"/>
      <c r="R109" s="106">
        <v>45322</v>
      </c>
      <c r="S109" s="155"/>
      <c r="T109" s="27"/>
      <c r="U109" s="28"/>
      <c r="V109" s="29"/>
      <c r="W109" s="30" t="s">
        <v>429</v>
      </c>
    </row>
    <row r="110" spans="1:23" ht="11.4" x14ac:dyDescent="0.15">
      <c r="A110" s="19">
        <f t="shared" si="1"/>
        <v>108</v>
      </c>
      <c r="B110" s="20"/>
      <c r="C110" s="20"/>
      <c r="D110" s="20" t="s">
        <v>154</v>
      </c>
      <c r="E110" s="31" t="s">
        <v>166</v>
      </c>
      <c r="F110" s="32" t="s">
        <v>45</v>
      </c>
      <c r="G110" s="22"/>
      <c r="H110" s="23"/>
      <c r="I110" s="23"/>
      <c r="J110" s="24"/>
      <c r="K110" s="22"/>
      <c r="L110" s="23"/>
      <c r="M110" s="23"/>
      <c r="N110" s="25" t="s">
        <v>38</v>
      </c>
      <c r="O110" s="25"/>
      <c r="P110" s="25"/>
      <c r="Q110" s="24"/>
      <c r="R110" s="106">
        <v>45322</v>
      </c>
      <c r="S110" s="26">
        <v>45700</v>
      </c>
      <c r="T110" s="27"/>
      <c r="U110" s="28"/>
      <c r="V110" s="29"/>
      <c r="W110" s="30" t="s">
        <v>412</v>
      </c>
    </row>
    <row r="111" spans="1:23" ht="22.8" x14ac:dyDescent="0.15">
      <c r="A111" s="19">
        <f t="shared" si="1"/>
        <v>109</v>
      </c>
      <c r="B111" s="20"/>
      <c r="C111" s="20"/>
      <c r="D111" s="20" t="s">
        <v>156</v>
      </c>
      <c r="E111" s="31" t="s">
        <v>166</v>
      </c>
      <c r="F111" s="32" t="s">
        <v>45</v>
      </c>
      <c r="G111" s="22"/>
      <c r="H111" s="23"/>
      <c r="I111" s="23"/>
      <c r="J111" s="24"/>
      <c r="K111" s="22"/>
      <c r="L111" s="23"/>
      <c r="M111" s="23"/>
      <c r="N111" s="25" t="s">
        <v>38</v>
      </c>
      <c r="O111" s="25"/>
      <c r="P111" s="25"/>
      <c r="Q111" s="24"/>
      <c r="R111" s="106">
        <v>45322</v>
      </c>
      <c r="S111" s="155"/>
      <c r="T111" s="27"/>
      <c r="U111" s="28"/>
      <c r="V111" s="29"/>
      <c r="W111" s="30" t="s">
        <v>428</v>
      </c>
    </row>
    <row r="112" spans="1:23" ht="11.4" x14ac:dyDescent="0.15">
      <c r="A112" s="19">
        <f t="shared" si="1"/>
        <v>110</v>
      </c>
      <c r="B112" s="20"/>
      <c r="C112" s="20"/>
      <c r="D112" s="31" t="s">
        <v>158</v>
      </c>
      <c r="E112" s="31" t="s">
        <v>166</v>
      </c>
      <c r="F112" s="32" t="s">
        <v>45</v>
      </c>
      <c r="G112" s="22"/>
      <c r="H112" s="23"/>
      <c r="I112" s="23"/>
      <c r="J112" s="24"/>
      <c r="K112" s="22"/>
      <c r="L112" s="23"/>
      <c r="M112" s="23"/>
      <c r="N112" s="25" t="s">
        <v>38</v>
      </c>
      <c r="O112" s="25"/>
      <c r="P112" s="25"/>
      <c r="Q112" s="24"/>
      <c r="R112" s="106">
        <v>45322</v>
      </c>
      <c r="S112" s="26">
        <v>45700</v>
      </c>
      <c r="T112" s="27"/>
      <c r="U112" s="28"/>
      <c r="V112" s="29"/>
      <c r="W112" s="30" t="s">
        <v>413</v>
      </c>
    </row>
    <row r="113" spans="1:23" ht="22.8" x14ac:dyDescent="0.15">
      <c r="A113" s="19">
        <f t="shared" si="1"/>
        <v>111</v>
      </c>
      <c r="B113" s="20"/>
      <c r="C113" s="20"/>
      <c r="D113" s="31" t="s">
        <v>132</v>
      </c>
      <c r="E113" s="31" t="s">
        <v>166</v>
      </c>
      <c r="F113" s="32" t="s">
        <v>45</v>
      </c>
      <c r="G113" s="22"/>
      <c r="H113" s="23"/>
      <c r="I113" s="23"/>
      <c r="J113" s="24"/>
      <c r="K113" s="22"/>
      <c r="L113" s="23"/>
      <c r="M113" s="23"/>
      <c r="N113" s="25" t="s">
        <v>38</v>
      </c>
      <c r="O113" s="25"/>
      <c r="P113" s="25"/>
      <c r="Q113" s="24"/>
      <c r="R113" s="106">
        <v>45322</v>
      </c>
      <c r="S113" s="26">
        <v>45701</v>
      </c>
      <c r="T113" s="27"/>
      <c r="U113" s="28"/>
      <c r="V113" s="29"/>
      <c r="W113" s="30" t="s">
        <v>427</v>
      </c>
    </row>
    <row r="114" spans="1:23" ht="11.4" x14ac:dyDescent="0.15">
      <c r="A114" s="19">
        <f t="shared" si="1"/>
        <v>112</v>
      </c>
      <c r="B114" s="33"/>
      <c r="C114" s="33"/>
      <c r="D114" s="31" t="s">
        <v>161</v>
      </c>
      <c r="E114" s="31" t="s">
        <v>166</v>
      </c>
      <c r="F114" s="32" t="s">
        <v>45</v>
      </c>
      <c r="G114" s="22"/>
      <c r="H114" s="23"/>
      <c r="I114" s="23"/>
      <c r="J114" s="24"/>
      <c r="K114" s="22"/>
      <c r="L114" s="23"/>
      <c r="M114" s="23"/>
      <c r="N114" s="25" t="s">
        <v>38</v>
      </c>
      <c r="O114" s="25"/>
      <c r="P114" s="25"/>
      <c r="Q114" s="24"/>
      <c r="R114" s="106">
        <v>45322</v>
      </c>
      <c r="S114" s="26">
        <v>45701</v>
      </c>
      <c r="T114" s="27"/>
      <c r="U114" s="28"/>
      <c r="V114" s="29"/>
      <c r="W114" s="30" t="s">
        <v>415</v>
      </c>
    </row>
    <row r="115" spans="1:23" s="3" customFormat="1" ht="12" customHeight="1" x14ac:dyDescent="0.25">
      <c r="A115" s="34"/>
      <c r="B115" s="35"/>
      <c r="C115" s="36"/>
      <c r="D115" s="36"/>
      <c r="E115" s="35"/>
      <c r="F115" s="37" t="s">
        <v>51</v>
      </c>
      <c r="G115" s="38">
        <f t="shared" ref="G115:Q115" si="3">COUNTIF(G3:G114,"●")</f>
        <v>2</v>
      </c>
      <c r="H115" s="39">
        <f t="shared" si="3"/>
        <v>0</v>
      </c>
      <c r="I115" s="39">
        <f t="shared" si="3"/>
        <v>0</v>
      </c>
      <c r="J115" s="40">
        <f t="shared" si="3"/>
        <v>0</v>
      </c>
      <c r="K115" s="38">
        <f t="shared" si="3"/>
        <v>0</v>
      </c>
      <c r="L115" s="39">
        <f t="shared" si="3"/>
        <v>0</v>
      </c>
      <c r="M115" s="39">
        <f t="shared" si="3"/>
        <v>0</v>
      </c>
      <c r="N115" s="41">
        <f t="shared" si="3"/>
        <v>48</v>
      </c>
      <c r="O115" s="41">
        <f t="shared" si="3"/>
        <v>0</v>
      </c>
      <c r="P115" s="41">
        <f t="shared" si="3"/>
        <v>0</v>
      </c>
      <c r="Q115" s="40">
        <f t="shared" si="3"/>
        <v>0</v>
      </c>
      <c r="R115" s="108"/>
      <c r="S115" s="141" t="s">
        <v>52</v>
      </c>
      <c r="T115" s="141"/>
      <c r="U115" s="142"/>
      <c r="V115" s="42" t="s">
        <v>53</v>
      </c>
      <c r="W115" s="43">
        <f>SUM(G115:Q115)</f>
        <v>50</v>
      </c>
    </row>
    <row r="116" spans="1:23" s="3" customFormat="1" ht="12" customHeight="1" x14ac:dyDescent="0.25">
      <c r="A116" s="44"/>
      <c r="B116" s="45" t="s">
        <v>54</v>
      </c>
      <c r="C116" s="46">
        <f>W117</f>
        <v>50</v>
      </c>
      <c r="D116" s="46"/>
      <c r="E116" s="45"/>
      <c r="F116" s="47" t="s">
        <v>55</v>
      </c>
      <c r="G116" s="48">
        <f t="shared" ref="G116:Q116" si="4">COUNTIF(G3:G114,"×")</f>
        <v>0</v>
      </c>
      <c r="H116" s="49">
        <f t="shared" si="4"/>
        <v>0</v>
      </c>
      <c r="I116" s="49">
        <f t="shared" si="4"/>
        <v>0</v>
      </c>
      <c r="J116" s="50">
        <f t="shared" si="4"/>
        <v>0</v>
      </c>
      <c r="K116" s="48">
        <f t="shared" si="4"/>
        <v>0</v>
      </c>
      <c r="L116" s="49">
        <f t="shared" si="4"/>
        <v>0</v>
      </c>
      <c r="M116" s="49">
        <f t="shared" si="4"/>
        <v>0</v>
      </c>
      <c r="N116" s="51">
        <f t="shared" si="4"/>
        <v>0</v>
      </c>
      <c r="O116" s="51">
        <f t="shared" si="4"/>
        <v>0</v>
      </c>
      <c r="P116" s="51">
        <f t="shared" si="4"/>
        <v>0</v>
      </c>
      <c r="Q116" s="50">
        <f t="shared" si="4"/>
        <v>0</v>
      </c>
      <c r="R116" s="109"/>
      <c r="S116" s="143"/>
      <c r="T116" s="143"/>
      <c r="U116" s="144"/>
      <c r="V116" s="52" t="s">
        <v>53</v>
      </c>
      <c r="W116" s="53">
        <f t="shared" ref="W116:W118" si="5">SUM(G116:Q116)</f>
        <v>0</v>
      </c>
    </row>
    <row r="117" spans="1:23" s="3" customFormat="1" ht="12" customHeight="1" x14ac:dyDescent="0.25">
      <c r="A117" s="54" t="s">
        <v>56</v>
      </c>
      <c r="B117" s="55"/>
      <c r="C117" s="56"/>
      <c r="D117" s="56"/>
      <c r="E117" s="55"/>
      <c r="F117" s="57" t="s">
        <v>57</v>
      </c>
      <c r="G117" s="48">
        <f t="shared" ref="G117:Q117" si="6">G115+G116</f>
        <v>2</v>
      </c>
      <c r="H117" s="49">
        <f t="shared" si="6"/>
        <v>0</v>
      </c>
      <c r="I117" s="49">
        <f t="shared" si="6"/>
        <v>0</v>
      </c>
      <c r="J117" s="50">
        <f t="shared" si="6"/>
        <v>0</v>
      </c>
      <c r="K117" s="48">
        <f t="shared" si="6"/>
        <v>0</v>
      </c>
      <c r="L117" s="49">
        <f t="shared" si="6"/>
        <v>0</v>
      </c>
      <c r="M117" s="49">
        <f t="shared" si="6"/>
        <v>0</v>
      </c>
      <c r="N117" s="51">
        <f t="shared" si="6"/>
        <v>48</v>
      </c>
      <c r="O117" s="51">
        <f t="shared" si="6"/>
        <v>0</v>
      </c>
      <c r="P117" s="51">
        <f t="shared" si="6"/>
        <v>0</v>
      </c>
      <c r="Q117" s="50">
        <f t="shared" si="6"/>
        <v>0</v>
      </c>
      <c r="R117" s="137"/>
      <c r="S117" s="145">
        <f>COUNTA(S3:S114)</f>
        <v>96</v>
      </c>
      <c r="T117" s="147">
        <f>COUNTA(T3:T114)</f>
        <v>12</v>
      </c>
      <c r="U117" s="149">
        <f>COUNTA(U3:U114)</f>
        <v>0</v>
      </c>
      <c r="V117" s="58" t="s">
        <v>53</v>
      </c>
      <c r="W117" s="53">
        <f t="shared" si="5"/>
        <v>50</v>
      </c>
    </row>
    <row r="118" spans="1:23" s="3" customFormat="1" ht="12" customHeight="1" x14ac:dyDescent="0.25">
      <c r="A118" s="59"/>
      <c r="B118" s="60" t="s">
        <v>58</v>
      </c>
      <c r="C118" s="61">
        <f>W118</f>
        <v>110</v>
      </c>
      <c r="D118" s="61"/>
      <c r="E118" s="60"/>
      <c r="F118" s="62" t="s">
        <v>59</v>
      </c>
      <c r="G118" s="63">
        <f t="shared" ref="G118:Q118" si="7">COUNTA(G3:G114)</f>
        <v>2</v>
      </c>
      <c r="H118" s="64">
        <f t="shared" si="7"/>
        <v>0</v>
      </c>
      <c r="I118" s="64">
        <f t="shared" si="7"/>
        <v>0</v>
      </c>
      <c r="J118" s="65">
        <f t="shared" si="7"/>
        <v>0</v>
      </c>
      <c r="K118" s="63">
        <f t="shared" si="7"/>
        <v>0</v>
      </c>
      <c r="L118" s="64">
        <f t="shared" si="7"/>
        <v>0</v>
      </c>
      <c r="M118" s="64">
        <f t="shared" si="7"/>
        <v>0</v>
      </c>
      <c r="N118" s="66">
        <f t="shared" si="7"/>
        <v>108</v>
      </c>
      <c r="O118" s="66">
        <f t="shared" si="7"/>
        <v>0</v>
      </c>
      <c r="P118" s="66">
        <f t="shared" si="7"/>
        <v>0</v>
      </c>
      <c r="Q118" s="65">
        <f t="shared" si="7"/>
        <v>0</v>
      </c>
      <c r="R118" s="138"/>
      <c r="S118" s="146"/>
      <c r="T118" s="148"/>
      <c r="U118" s="150"/>
      <c r="V118" s="67" t="s">
        <v>53</v>
      </c>
      <c r="W118" s="68">
        <f t="shared" si="5"/>
        <v>110</v>
      </c>
    </row>
  </sheetData>
  <mergeCells count="16">
    <mergeCell ref="S117:S118"/>
    <mergeCell ref="T117:T118"/>
    <mergeCell ref="U117:U118"/>
    <mergeCell ref="F1:F2"/>
    <mergeCell ref="G1:J1"/>
    <mergeCell ref="K1:Q1"/>
    <mergeCell ref="S1:U1"/>
    <mergeCell ref="R117:R118"/>
    <mergeCell ref="R1:R2"/>
    <mergeCell ref="V1:V2"/>
    <mergeCell ref="S115:U116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1" fitToHeight="0" orientation="landscape" r:id="rId1"/>
  <headerFooter alignWithMargins="0">
    <oddFooter>&amp;RAll Rights Reserved Copyright © Fujitsu Ltd.2017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917DA-89A4-4216-B7F4-E9E385A72801}">
  <sheetPr>
    <pageSetUpPr fitToPage="1"/>
  </sheetPr>
  <dimension ref="A1:W97"/>
  <sheetViews>
    <sheetView view="pageBreakPreview" zoomScale="85" zoomScaleNormal="110" zoomScaleSheetLayoutView="85" workbookViewId="0">
      <pane ySplit="2" topLeftCell="A64" activePane="bottomLeft" state="frozen"/>
      <selection activeCell="B8" sqref="B8"/>
      <selection pane="bottomLeft" activeCell="W80" sqref="W80"/>
    </sheetView>
  </sheetViews>
  <sheetFormatPr defaultColWidth="9.375" defaultRowHeight="9" customHeight="1" x14ac:dyDescent="0.15"/>
  <cols>
    <col min="1" max="1" width="5.125" style="2" customWidth="1"/>
    <col min="2" max="2" width="16.875" style="2" customWidth="1"/>
    <col min="3" max="3" width="28.625" style="2" customWidth="1"/>
    <col min="4" max="4" width="26.625" style="2" customWidth="1"/>
    <col min="5" max="5" width="41.5" style="2" bestFit="1" customWidth="1"/>
    <col min="6" max="6" width="35.375" style="2" customWidth="1"/>
    <col min="7" max="13" width="4.5" style="4" bestFit="1" customWidth="1"/>
    <col min="14" max="15" width="4.5" style="4" customWidth="1"/>
    <col min="16" max="16" width="3.625" style="4" bestFit="1" customWidth="1"/>
    <col min="17" max="17" width="4.5" style="4" bestFit="1" customWidth="1"/>
    <col min="18" max="18" width="7.375" style="4" customWidth="1"/>
    <col min="19" max="19" width="5.875" style="4" customWidth="1"/>
    <col min="20" max="20" width="7.875" style="4" customWidth="1"/>
    <col min="21" max="21" width="5.875" style="4" customWidth="1"/>
    <col min="22" max="22" width="7.5" style="4" customWidth="1"/>
    <col min="23" max="23" width="27.375" style="2" customWidth="1"/>
    <col min="24" max="24" width="13.125" style="2" bestFit="1" customWidth="1"/>
    <col min="25" max="16384" width="9.375" style="2"/>
  </cols>
  <sheetData>
    <row r="1" spans="1:23" s="1" customFormat="1" ht="13.5" customHeight="1" x14ac:dyDescent="0.15">
      <c r="A1" s="122" t="s">
        <v>6</v>
      </c>
      <c r="B1" s="124" t="s">
        <v>7</v>
      </c>
      <c r="C1" s="126" t="s">
        <v>8</v>
      </c>
      <c r="D1" s="126" t="s">
        <v>9</v>
      </c>
      <c r="E1" s="126" t="s">
        <v>10</v>
      </c>
      <c r="F1" s="151" t="s">
        <v>11</v>
      </c>
      <c r="G1" s="130" t="s">
        <v>12</v>
      </c>
      <c r="H1" s="130"/>
      <c r="I1" s="130"/>
      <c r="J1" s="133"/>
      <c r="K1" s="134" t="s">
        <v>13</v>
      </c>
      <c r="L1" s="135"/>
      <c r="M1" s="135"/>
      <c r="N1" s="136"/>
      <c r="O1" s="136"/>
      <c r="P1" s="136"/>
      <c r="Q1" s="136"/>
      <c r="R1" s="139" t="s">
        <v>14</v>
      </c>
      <c r="S1" s="130" t="s">
        <v>15</v>
      </c>
      <c r="T1" s="130"/>
      <c r="U1" s="130"/>
      <c r="V1" s="120" t="s">
        <v>16</v>
      </c>
      <c r="W1" s="69"/>
    </row>
    <row r="2" spans="1:23" s="1" customFormat="1" ht="15" customHeight="1" x14ac:dyDescent="0.15">
      <c r="A2" s="123"/>
      <c r="B2" s="125"/>
      <c r="C2" s="127"/>
      <c r="D2" s="127"/>
      <c r="E2" s="127"/>
      <c r="F2" s="152"/>
      <c r="G2" s="71" t="s">
        <v>18</v>
      </c>
      <c r="H2" s="72" t="s">
        <v>19</v>
      </c>
      <c r="I2" s="73" t="s">
        <v>20</v>
      </c>
      <c r="J2" s="73" t="s">
        <v>21</v>
      </c>
      <c r="K2" s="74" t="s">
        <v>18</v>
      </c>
      <c r="L2" s="73" t="s">
        <v>22</v>
      </c>
      <c r="M2" s="73" t="s">
        <v>23</v>
      </c>
      <c r="N2" s="73" t="s">
        <v>24</v>
      </c>
      <c r="O2" s="73" t="s">
        <v>25</v>
      </c>
      <c r="P2" s="73" t="s">
        <v>27</v>
      </c>
      <c r="Q2" s="73" t="s">
        <v>28</v>
      </c>
      <c r="R2" s="140"/>
      <c r="S2" s="71" t="s">
        <v>29</v>
      </c>
      <c r="T2" s="72" t="s">
        <v>30</v>
      </c>
      <c r="U2" s="73" t="s">
        <v>31</v>
      </c>
      <c r="V2" s="121"/>
      <c r="W2" s="70"/>
    </row>
    <row r="3" spans="1:23" ht="22.8" x14ac:dyDescent="0.15">
      <c r="A3" s="89">
        <f>ROW()-2</f>
        <v>1</v>
      </c>
      <c r="B3" s="90" t="s">
        <v>32</v>
      </c>
      <c r="C3" s="90" t="s">
        <v>61</v>
      </c>
      <c r="D3" s="20"/>
      <c r="E3" s="31"/>
      <c r="F3" s="32"/>
      <c r="G3" s="22"/>
      <c r="H3" s="23"/>
      <c r="I3" s="23"/>
      <c r="J3" s="24"/>
      <c r="K3" s="22"/>
      <c r="L3" s="23"/>
      <c r="M3" s="23"/>
      <c r="N3" s="25"/>
      <c r="O3" s="25"/>
      <c r="P3" s="25"/>
      <c r="Q3" s="24"/>
      <c r="R3" s="106"/>
      <c r="S3" s="26"/>
      <c r="T3" s="26"/>
      <c r="U3" s="28"/>
      <c r="V3" s="30"/>
      <c r="W3" s="30"/>
    </row>
    <row r="4" spans="1:23" ht="22.8" x14ac:dyDescent="0.15">
      <c r="A4" s="19">
        <f t="shared" ref="A4" si="0">ROW()-2</f>
        <v>2</v>
      </c>
      <c r="B4" s="20" t="s">
        <v>34</v>
      </c>
      <c r="C4" s="20" t="s">
        <v>35</v>
      </c>
      <c r="D4" s="96"/>
      <c r="E4" s="96" t="s">
        <v>167</v>
      </c>
      <c r="F4" s="32" t="s">
        <v>64</v>
      </c>
      <c r="G4" s="23" t="s">
        <v>392</v>
      </c>
      <c r="H4" s="23"/>
      <c r="I4" s="23"/>
      <c r="J4" s="24"/>
      <c r="K4" s="22"/>
      <c r="L4" s="23"/>
      <c r="M4" s="23"/>
      <c r="N4" s="25"/>
      <c r="O4" s="25"/>
      <c r="P4" s="25"/>
      <c r="Q4" s="24"/>
      <c r="R4" s="106">
        <v>45320</v>
      </c>
      <c r="S4" s="26">
        <v>45683</v>
      </c>
      <c r="T4" s="27"/>
      <c r="U4" s="28"/>
      <c r="V4" s="29"/>
      <c r="W4" s="30"/>
    </row>
    <row r="5" spans="1:23" ht="68.400000000000006" x14ac:dyDescent="0.15">
      <c r="A5" s="19">
        <f t="shared" ref="A5:A7" si="1">ROW()-2</f>
        <v>3</v>
      </c>
      <c r="B5" s="20"/>
      <c r="C5" s="20" t="s">
        <v>168</v>
      </c>
      <c r="D5" s="20" t="s">
        <v>169</v>
      </c>
      <c r="E5" s="20" t="s">
        <v>170</v>
      </c>
      <c r="F5" s="21" t="s">
        <v>171</v>
      </c>
      <c r="G5" s="22"/>
      <c r="H5" s="23"/>
      <c r="I5" s="23"/>
      <c r="J5" s="24"/>
      <c r="K5" s="22"/>
      <c r="L5" s="23" t="s">
        <v>391</v>
      </c>
      <c r="M5" s="23"/>
      <c r="N5" s="25"/>
      <c r="O5" s="25"/>
      <c r="P5" s="25"/>
      <c r="Q5" s="24"/>
      <c r="R5" s="106">
        <v>45320</v>
      </c>
      <c r="S5" s="26">
        <v>45683</v>
      </c>
      <c r="T5" s="27"/>
      <c r="U5" s="28"/>
      <c r="V5" s="29"/>
      <c r="W5" s="30"/>
    </row>
    <row r="6" spans="1:23" ht="68.400000000000006" x14ac:dyDescent="0.15">
      <c r="A6" s="19">
        <f t="shared" si="1"/>
        <v>4</v>
      </c>
      <c r="B6" s="20"/>
      <c r="C6" s="20"/>
      <c r="D6" s="20" t="s">
        <v>172</v>
      </c>
      <c r="E6" s="20" t="s">
        <v>173</v>
      </c>
      <c r="F6" s="21" t="s">
        <v>171</v>
      </c>
      <c r="G6" s="22"/>
      <c r="H6" s="23"/>
      <c r="I6" s="23"/>
      <c r="J6" s="24"/>
      <c r="K6" s="22"/>
      <c r="L6" s="23" t="s">
        <v>391</v>
      </c>
      <c r="M6" s="23"/>
      <c r="N6" s="25"/>
      <c r="O6" s="25"/>
      <c r="P6" s="25"/>
      <c r="Q6" s="24"/>
      <c r="R6" s="106">
        <v>45320</v>
      </c>
      <c r="S6" s="26">
        <v>45683</v>
      </c>
      <c r="T6" s="27"/>
      <c r="U6" s="28"/>
      <c r="V6" s="29"/>
      <c r="W6" s="30"/>
    </row>
    <row r="7" spans="1:23" ht="68.400000000000006" x14ac:dyDescent="0.15">
      <c r="A7" s="19">
        <f t="shared" si="1"/>
        <v>5</v>
      </c>
      <c r="B7" s="20"/>
      <c r="C7" s="20"/>
      <c r="D7" s="31" t="s">
        <v>174</v>
      </c>
      <c r="E7" s="20" t="s">
        <v>175</v>
      </c>
      <c r="F7" s="21" t="s">
        <v>171</v>
      </c>
      <c r="G7" s="22"/>
      <c r="H7" s="23"/>
      <c r="I7" s="23"/>
      <c r="J7" s="24"/>
      <c r="K7" s="22"/>
      <c r="L7" s="23" t="s">
        <v>391</v>
      </c>
      <c r="M7" s="23"/>
      <c r="N7" s="25"/>
      <c r="O7" s="25"/>
      <c r="P7" s="25"/>
      <c r="Q7" s="24"/>
      <c r="R7" s="106">
        <v>45320</v>
      </c>
      <c r="S7" s="26">
        <v>45683</v>
      </c>
      <c r="T7" s="27"/>
      <c r="U7" s="28"/>
      <c r="V7" s="29"/>
      <c r="W7" s="30"/>
    </row>
    <row r="8" spans="1:23" ht="68.400000000000006" x14ac:dyDescent="0.15">
      <c r="A8" s="19">
        <f t="shared" ref="A8:A92" si="2">ROW()-2</f>
        <v>6</v>
      </c>
      <c r="B8" s="20"/>
      <c r="C8" s="20"/>
      <c r="D8" s="31" t="s">
        <v>176</v>
      </c>
      <c r="E8" s="20" t="s">
        <v>177</v>
      </c>
      <c r="F8" s="21" t="s">
        <v>171</v>
      </c>
      <c r="G8" s="22"/>
      <c r="H8" s="23"/>
      <c r="I8" s="23"/>
      <c r="J8" s="24"/>
      <c r="K8" s="22"/>
      <c r="L8" s="23" t="s">
        <v>391</v>
      </c>
      <c r="M8" s="23"/>
      <c r="N8" s="25"/>
      <c r="O8" s="25"/>
      <c r="P8" s="25"/>
      <c r="Q8" s="24"/>
      <c r="R8" s="106">
        <v>45320</v>
      </c>
      <c r="S8" s="26">
        <v>45683</v>
      </c>
      <c r="T8" s="27"/>
      <c r="U8" s="28"/>
      <c r="V8" s="29"/>
      <c r="W8" s="30"/>
    </row>
    <row r="9" spans="1:23" ht="68.400000000000006" x14ac:dyDescent="0.15">
      <c r="A9" s="19">
        <f t="shared" si="2"/>
        <v>7</v>
      </c>
      <c r="B9" s="20"/>
      <c r="C9" s="20"/>
      <c r="D9" s="31" t="s">
        <v>178</v>
      </c>
      <c r="E9" s="20" t="s">
        <v>179</v>
      </c>
      <c r="F9" s="21" t="s">
        <v>171</v>
      </c>
      <c r="G9" s="22"/>
      <c r="H9" s="23"/>
      <c r="I9" s="23"/>
      <c r="J9" s="24"/>
      <c r="K9" s="22"/>
      <c r="L9" s="23" t="s">
        <v>391</v>
      </c>
      <c r="M9" s="23"/>
      <c r="N9" s="25"/>
      <c r="O9" s="25"/>
      <c r="P9" s="25"/>
      <c r="Q9" s="24"/>
      <c r="R9" s="106">
        <v>45320</v>
      </c>
      <c r="S9" s="26">
        <v>45683</v>
      </c>
      <c r="T9" s="27"/>
      <c r="U9" s="28"/>
      <c r="V9" s="29"/>
      <c r="W9" s="30"/>
    </row>
    <row r="10" spans="1:23" ht="68.400000000000006" x14ac:dyDescent="0.15">
      <c r="A10" s="19">
        <f t="shared" si="2"/>
        <v>8</v>
      </c>
      <c r="B10" s="20"/>
      <c r="C10" s="20"/>
      <c r="D10" s="31" t="s">
        <v>180</v>
      </c>
      <c r="E10" s="20" t="s">
        <v>181</v>
      </c>
      <c r="F10" s="21" t="s">
        <v>171</v>
      </c>
      <c r="G10" s="22"/>
      <c r="H10" s="23"/>
      <c r="I10" s="23"/>
      <c r="J10" s="24"/>
      <c r="K10" s="22"/>
      <c r="L10" s="23" t="s">
        <v>391</v>
      </c>
      <c r="M10" s="23"/>
      <c r="N10" s="25"/>
      <c r="O10" s="25"/>
      <c r="P10" s="25"/>
      <c r="Q10" s="24"/>
      <c r="R10" s="106">
        <v>45320</v>
      </c>
      <c r="S10" s="26">
        <v>45683</v>
      </c>
      <c r="T10" s="27"/>
      <c r="U10" s="28"/>
      <c r="V10" s="29"/>
      <c r="W10" s="30"/>
    </row>
    <row r="11" spans="1:23" ht="68.400000000000006" x14ac:dyDescent="0.15">
      <c r="A11" s="19">
        <f t="shared" si="2"/>
        <v>9</v>
      </c>
      <c r="B11" s="20"/>
      <c r="C11" s="20"/>
      <c r="D11" s="31" t="s">
        <v>182</v>
      </c>
      <c r="E11" s="20" t="s">
        <v>183</v>
      </c>
      <c r="F11" s="21" t="s">
        <v>171</v>
      </c>
      <c r="G11" s="22"/>
      <c r="H11" s="23"/>
      <c r="I11" s="23"/>
      <c r="J11" s="24"/>
      <c r="K11" s="22"/>
      <c r="L11" s="23" t="s">
        <v>391</v>
      </c>
      <c r="M11" s="23"/>
      <c r="N11" s="25"/>
      <c r="O11" s="25"/>
      <c r="P11" s="25"/>
      <c r="Q11" s="24"/>
      <c r="R11" s="106">
        <v>45320</v>
      </c>
      <c r="S11" s="26">
        <v>45683</v>
      </c>
      <c r="T11" s="27"/>
      <c r="U11" s="28"/>
      <c r="V11" s="29"/>
      <c r="W11" s="30"/>
    </row>
    <row r="12" spans="1:23" ht="68.400000000000006" x14ac:dyDescent="0.15">
      <c r="A12" s="19">
        <f t="shared" si="2"/>
        <v>10</v>
      </c>
      <c r="B12" s="20"/>
      <c r="C12" s="20"/>
      <c r="D12" s="31" t="s">
        <v>184</v>
      </c>
      <c r="E12" s="20" t="s">
        <v>185</v>
      </c>
      <c r="F12" s="21" t="s">
        <v>171</v>
      </c>
      <c r="G12" s="22"/>
      <c r="H12" s="23"/>
      <c r="I12" s="23"/>
      <c r="J12" s="24"/>
      <c r="K12" s="22"/>
      <c r="L12" s="23" t="s">
        <v>391</v>
      </c>
      <c r="M12" s="23"/>
      <c r="N12" s="25"/>
      <c r="O12" s="25"/>
      <c r="P12" s="25"/>
      <c r="Q12" s="24"/>
      <c r="R12" s="106">
        <v>45320</v>
      </c>
      <c r="S12" s="26">
        <v>45683</v>
      </c>
      <c r="T12" s="27"/>
      <c r="U12" s="28"/>
      <c r="V12" s="29"/>
      <c r="W12" s="30"/>
    </row>
    <row r="13" spans="1:23" ht="68.400000000000006" x14ac:dyDescent="0.15">
      <c r="A13" s="19">
        <f t="shared" si="2"/>
        <v>11</v>
      </c>
      <c r="B13" s="20"/>
      <c r="C13" s="20"/>
      <c r="D13" s="20" t="s">
        <v>186</v>
      </c>
      <c r="E13" s="20" t="s">
        <v>187</v>
      </c>
      <c r="F13" s="21" t="s">
        <v>171</v>
      </c>
      <c r="G13" s="22"/>
      <c r="H13" s="23"/>
      <c r="I13" s="23"/>
      <c r="J13" s="24"/>
      <c r="K13" s="22"/>
      <c r="L13" s="23" t="s">
        <v>391</v>
      </c>
      <c r="M13" s="23"/>
      <c r="N13" s="25"/>
      <c r="O13" s="25"/>
      <c r="P13" s="25"/>
      <c r="Q13" s="24"/>
      <c r="R13" s="106">
        <v>45320</v>
      </c>
      <c r="S13" s="26">
        <v>45683</v>
      </c>
      <c r="T13" s="27"/>
      <c r="U13" s="28"/>
      <c r="V13" s="29"/>
      <c r="W13" s="30"/>
    </row>
    <row r="14" spans="1:23" ht="68.400000000000006" x14ac:dyDescent="0.15">
      <c r="A14" s="19">
        <f t="shared" si="2"/>
        <v>12</v>
      </c>
      <c r="B14" s="20"/>
      <c r="C14" s="20"/>
      <c r="D14" s="20" t="s">
        <v>188</v>
      </c>
      <c r="E14" s="20" t="s">
        <v>189</v>
      </c>
      <c r="F14" s="21" t="s">
        <v>171</v>
      </c>
      <c r="G14" s="22"/>
      <c r="H14" s="23"/>
      <c r="I14" s="23"/>
      <c r="J14" s="24"/>
      <c r="K14" s="22"/>
      <c r="L14" s="23" t="s">
        <v>391</v>
      </c>
      <c r="M14" s="23"/>
      <c r="N14" s="25"/>
      <c r="O14" s="25"/>
      <c r="P14" s="25"/>
      <c r="Q14" s="24"/>
      <c r="R14" s="106">
        <v>45320</v>
      </c>
      <c r="S14" s="26">
        <v>45684</v>
      </c>
      <c r="T14" s="27"/>
      <c r="U14" s="28"/>
      <c r="V14" s="29"/>
      <c r="W14" s="30"/>
    </row>
    <row r="15" spans="1:23" ht="68.400000000000006" x14ac:dyDescent="0.15">
      <c r="A15" s="19">
        <f t="shared" si="2"/>
        <v>13</v>
      </c>
      <c r="B15" s="20"/>
      <c r="C15" s="20"/>
      <c r="D15" s="31" t="s">
        <v>190</v>
      </c>
      <c r="E15" s="20" t="s">
        <v>191</v>
      </c>
      <c r="F15" s="21" t="s">
        <v>171</v>
      </c>
      <c r="G15" s="22"/>
      <c r="H15" s="23"/>
      <c r="I15" s="23"/>
      <c r="J15" s="24"/>
      <c r="K15" s="22"/>
      <c r="L15" s="23" t="s">
        <v>391</v>
      </c>
      <c r="M15" s="23"/>
      <c r="N15" s="25"/>
      <c r="O15" s="25"/>
      <c r="P15" s="25"/>
      <c r="Q15" s="24"/>
      <c r="R15" s="106">
        <v>45320</v>
      </c>
      <c r="S15" s="26">
        <v>45684</v>
      </c>
      <c r="T15" s="27"/>
      <c r="U15" s="28"/>
      <c r="V15" s="29"/>
      <c r="W15" s="30"/>
    </row>
    <row r="16" spans="1:23" ht="68.400000000000006" x14ac:dyDescent="0.15">
      <c r="A16" s="19">
        <f t="shared" si="2"/>
        <v>14</v>
      </c>
      <c r="B16" s="20"/>
      <c r="C16" s="20"/>
      <c r="D16" s="31" t="s">
        <v>192</v>
      </c>
      <c r="E16" s="20" t="s">
        <v>193</v>
      </c>
      <c r="F16" s="21" t="s">
        <v>171</v>
      </c>
      <c r="G16" s="22"/>
      <c r="H16" s="23"/>
      <c r="I16" s="23"/>
      <c r="J16" s="24"/>
      <c r="K16" s="22"/>
      <c r="L16" s="23" t="s">
        <v>391</v>
      </c>
      <c r="M16" s="23"/>
      <c r="N16" s="25"/>
      <c r="O16" s="25"/>
      <c r="P16" s="25"/>
      <c r="Q16" s="24"/>
      <c r="R16" s="106">
        <v>45320</v>
      </c>
      <c r="S16" s="26">
        <v>45684</v>
      </c>
      <c r="T16" s="27"/>
      <c r="U16" s="28"/>
      <c r="V16" s="29"/>
      <c r="W16" s="30"/>
    </row>
    <row r="17" spans="1:23" ht="68.400000000000006" x14ac:dyDescent="0.15">
      <c r="A17" s="19">
        <f t="shared" si="2"/>
        <v>15</v>
      </c>
      <c r="B17" s="20"/>
      <c r="C17" s="20"/>
      <c r="D17" s="31" t="s">
        <v>194</v>
      </c>
      <c r="E17" s="20" t="s">
        <v>195</v>
      </c>
      <c r="F17" s="21" t="s">
        <v>171</v>
      </c>
      <c r="G17" s="22"/>
      <c r="H17" s="23"/>
      <c r="I17" s="23"/>
      <c r="J17" s="24"/>
      <c r="K17" s="22"/>
      <c r="L17" s="23" t="s">
        <v>391</v>
      </c>
      <c r="M17" s="23"/>
      <c r="N17" s="25"/>
      <c r="O17" s="25"/>
      <c r="P17" s="25"/>
      <c r="Q17" s="24"/>
      <c r="R17" s="106">
        <v>45320</v>
      </c>
      <c r="S17" s="26">
        <v>45684</v>
      </c>
      <c r="T17" s="27"/>
      <c r="U17" s="28"/>
      <c r="V17" s="29"/>
      <c r="W17" s="30"/>
    </row>
    <row r="18" spans="1:23" ht="68.400000000000006" x14ac:dyDescent="0.15">
      <c r="A18" s="19">
        <f t="shared" si="2"/>
        <v>16</v>
      </c>
      <c r="B18" s="20"/>
      <c r="C18" s="20"/>
      <c r="D18" s="31" t="s">
        <v>196</v>
      </c>
      <c r="E18" s="20" t="s">
        <v>197</v>
      </c>
      <c r="F18" s="21" t="s">
        <v>171</v>
      </c>
      <c r="G18" s="22"/>
      <c r="H18" s="23"/>
      <c r="I18" s="23"/>
      <c r="J18" s="24"/>
      <c r="K18" s="22"/>
      <c r="L18" s="23" t="s">
        <v>391</v>
      </c>
      <c r="M18" s="23"/>
      <c r="N18" s="25"/>
      <c r="O18" s="25"/>
      <c r="P18" s="25"/>
      <c r="Q18" s="24"/>
      <c r="R18" s="106">
        <v>45320</v>
      </c>
      <c r="S18" s="26">
        <v>45684</v>
      </c>
      <c r="T18" s="27"/>
      <c r="U18" s="28"/>
      <c r="V18" s="29"/>
      <c r="W18" s="30"/>
    </row>
    <row r="19" spans="1:23" ht="68.400000000000006" x14ac:dyDescent="0.15">
      <c r="A19" s="19">
        <f t="shared" si="2"/>
        <v>17</v>
      </c>
      <c r="B19" s="20"/>
      <c r="C19" s="20"/>
      <c r="D19" s="31" t="s">
        <v>198</v>
      </c>
      <c r="E19" s="20" t="s">
        <v>199</v>
      </c>
      <c r="F19" s="21" t="s">
        <v>171</v>
      </c>
      <c r="G19" s="22"/>
      <c r="H19" s="23"/>
      <c r="I19" s="23"/>
      <c r="J19" s="24"/>
      <c r="K19" s="22"/>
      <c r="L19" s="23" t="s">
        <v>391</v>
      </c>
      <c r="M19" s="23"/>
      <c r="N19" s="25"/>
      <c r="O19" s="25"/>
      <c r="P19" s="25"/>
      <c r="Q19" s="24"/>
      <c r="R19" s="106">
        <v>45320</v>
      </c>
      <c r="S19" s="26">
        <v>45684</v>
      </c>
      <c r="T19" s="27"/>
      <c r="U19" s="28"/>
      <c r="V19" s="29"/>
      <c r="W19" s="30"/>
    </row>
    <row r="20" spans="1:23" ht="68.400000000000006" x14ac:dyDescent="0.15">
      <c r="A20" s="19">
        <f t="shared" si="2"/>
        <v>18</v>
      </c>
      <c r="B20" s="20"/>
      <c r="C20" s="20"/>
      <c r="D20" s="31" t="s">
        <v>200</v>
      </c>
      <c r="E20" s="20" t="s">
        <v>201</v>
      </c>
      <c r="F20" s="21" t="s">
        <v>171</v>
      </c>
      <c r="G20" s="22"/>
      <c r="H20" s="23"/>
      <c r="I20" s="23"/>
      <c r="J20" s="24"/>
      <c r="K20" s="22"/>
      <c r="L20" s="23" t="s">
        <v>391</v>
      </c>
      <c r="M20" s="23"/>
      <c r="N20" s="25"/>
      <c r="O20" s="25"/>
      <c r="P20" s="25"/>
      <c r="Q20" s="24"/>
      <c r="R20" s="106">
        <v>45320</v>
      </c>
      <c r="S20" s="26">
        <v>45684</v>
      </c>
      <c r="T20" s="27"/>
      <c r="U20" s="28"/>
      <c r="V20" s="29"/>
      <c r="W20" s="30"/>
    </row>
    <row r="21" spans="1:23" ht="68.400000000000006" x14ac:dyDescent="0.15">
      <c r="A21" s="19">
        <f t="shared" si="2"/>
        <v>19</v>
      </c>
      <c r="B21" s="20"/>
      <c r="C21" s="20"/>
      <c r="D21" s="20" t="s">
        <v>202</v>
      </c>
      <c r="E21" s="20" t="s">
        <v>203</v>
      </c>
      <c r="F21" s="21" t="s">
        <v>171</v>
      </c>
      <c r="G21" s="22"/>
      <c r="H21" s="23"/>
      <c r="I21" s="23"/>
      <c r="J21" s="24"/>
      <c r="K21" s="22"/>
      <c r="L21" s="23" t="s">
        <v>391</v>
      </c>
      <c r="M21" s="23"/>
      <c r="N21" s="25"/>
      <c r="O21" s="25"/>
      <c r="P21" s="25"/>
      <c r="Q21" s="24"/>
      <c r="R21" s="106">
        <v>45320</v>
      </c>
      <c r="S21" s="26">
        <v>45684</v>
      </c>
      <c r="T21" s="27"/>
      <c r="U21" s="28"/>
      <c r="V21" s="29"/>
      <c r="W21" s="30"/>
    </row>
    <row r="22" spans="1:23" ht="68.400000000000006" x14ac:dyDescent="0.15">
      <c r="A22" s="19">
        <f t="shared" si="2"/>
        <v>20</v>
      </c>
      <c r="B22" s="20"/>
      <c r="C22" s="20"/>
      <c r="D22" s="20" t="s">
        <v>204</v>
      </c>
      <c r="E22" s="20" t="s">
        <v>205</v>
      </c>
      <c r="F22" s="21" t="s">
        <v>171</v>
      </c>
      <c r="G22" s="22"/>
      <c r="H22" s="23"/>
      <c r="I22" s="23"/>
      <c r="J22" s="24"/>
      <c r="K22" s="22"/>
      <c r="L22" s="23" t="s">
        <v>391</v>
      </c>
      <c r="M22" s="23"/>
      <c r="N22" s="25"/>
      <c r="O22" s="25"/>
      <c r="P22" s="25"/>
      <c r="Q22" s="24"/>
      <c r="R22" s="106">
        <v>45320</v>
      </c>
      <c r="S22" s="26">
        <v>45684</v>
      </c>
      <c r="T22" s="27"/>
      <c r="U22" s="28"/>
      <c r="V22" s="29"/>
      <c r="W22" s="30"/>
    </row>
    <row r="23" spans="1:23" ht="68.400000000000006" x14ac:dyDescent="0.15">
      <c r="A23" s="19">
        <f t="shared" si="2"/>
        <v>21</v>
      </c>
      <c r="B23" s="20"/>
      <c r="C23" s="20"/>
      <c r="D23" s="31" t="s">
        <v>206</v>
      </c>
      <c r="E23" s="20" t="s">
        <v>207</v>
      </c>
      <c r="F23" s="21" t="s">
        <v>171</v>
      </c>
      <c r="G23" s="22"/>
      <c r="H23" s="23"/>
      <c r="I23" s="23"/>
      <c r="J23" s="24"/>
      <c r="K23" s="22"/>
      <c r="L23" s="23" t="s">
        <v>391</v>
      </c>
      <c r="M23" s="23"/>
      <c r="N23" s="25"/>
      <c r="O23" s="25"/>
      <c r="P23" s="25"/>
      <c r="Q23" s="24"/>
      <c r="R23" s="106">
        <v>45320</v>
      </c>
      <c r="S23" s="26">
        <v>45684</v>
      </c>
      <c r="T23" s="27"/>
      <c r="U23" s="28"/>
      <c r="V23" s="29"/>
      <c r="W23" s="30"/>
    </row>
    <row r="24" spans="1:23" ht="68.400000000000006" x14ac:dyDescent="0.15">
      <c r="A24" s="19">
        <f t="shared" si="2"/>
        <v>22</v>
      </c>
      <c r="B24" s="20"/>
      <c r="C24" s="20"/>
      <c r="D24" s="31" t="s">
        <v>208</v>
      </c>
      <c r="E24" s="20" t="s">
        <v>209</v>
      </c>
      <c r="F24" s="21" t="s">
        <v>171</v>
      </c>
      <c r="G24" s="22"/>
      <c r="H24" s="23"/>
      <c r="I24" s="23"/>
      <c r="J24" s="24"/>
      <c r="K24" s="22"/>
      <c r="L24" s="23" t="s">
        <v>391</v>
      </c>
      <c r="M24" s="23"/>
      <c r="N24" s="25"/>
      <c r="O24" s="25"/>
      <c r="P24" s="25"/>
      <c r="Q24" s="24"/>
      <c r="R24" s="106">
        <v>45320</v>
      </c>
      <c r="S24" s="26">
        <v>45684</v>
      </c>
      <c r="T24" s="27"/>
      <c r="U24" s="28"/>
      <c r="V24" s="29"/>
      <c r="W24" s="30"/>
    </row>
    <row r="25" spans="1:23" ht="68.400000000000006" x14ac:dyDescent="0.15">
      <c r="A25" s="19">
        <f t="shared" si="2"/>
        <v>23</v>
      </c>
      <c r="B25" s="33"/>
      <c r="C25" s="33"/>
      <c r="D25" s="31" t="s">
        <v>210</v>
      </c>
      <c r="E25" s="20" t="s">
        <v>211</v>
      </c>
      <c r="F25" s="21" t="s">
        <v>171</v>
      </c>
      <c r="G25" s="22"/>
      <c r="H25" s="23"/>
      <c r="I25" s="23"/>
      <c r="J25" s="24"/>
      <c r="K25" s="22"/>
      <c r="L25" s="23" t="s">
        <v>391</v>
      </c>
      <c r="M25" s="23"/>
      <c r="N25" s="25"/>
      <c r="O25" s="25"/>
      <c r="P25" s="25"/>
      <c r="Q25" s="24"/>
      <c r="R25" s="106">
        <v>45320</v>
      </c>
      <c r="S25" s="26">
        <v>45684</v>
      </c>
      <c r="T25" s="27"/>
      <c r="U25" s="28"/>
      <c r="V25" s="29"/>
      <c r="W25" s="30"/>
    </row>
    <row r="26" spans="1:23" ht="68.400000000000006" x14ac:dyDescent="0.15">
      <c r="A26" s="19">
        <f t="shared" si="2"/>
        <v>24</v>
      </c>
      <c r="B26" s="33"/>
      <c r="C26" s="33"/>
      <c r="D26" s="31" t="s">
        <v>212</v>
      </c>
      <c r="E26" s="20" t="s">
        <v>213</v>
      </c>
      <c r="F26" s="21" t="s">
        <v>171</v>
      </c>
      <c r="G26" s="22"/>
      <c r="H26" s="23"/>
      <c r="I26" s="23"/>
      <c r="J26" s="24"/>
      <c r="K26" s="22"/>
      <c r="L26" s="23" t="s">
        <v>391</v>
      </c>
      <c r="M26" s="23"/>
      <c r="N26" s="25"/>
      <c r="O26" s="25"/>
      <c r="P26" s="25"/>
      <c r="Q26" s="24"/>
      <c r="R26" s="106">
        <v>45320</v>
      </c>
      <c r="S26" s="26">
        <v>45684</v>
      </c>
      <c r="T26" s="27"/>
      <c r="U26" s="28"/>
      <c r="V26" s="29"/>
      <c r="W26" s="30"/>
    </row>
    <row r="27" spans="1:23" ht="68.400000000000006" x14ac:dyDescent="0.15">
      <c r="A27" s="19">
        <f t="shared" si="2"/>
        <v>25</v>
      </c>
      <c r="B27" s="33"/>
      <c r="C27" s="33"/>
      <c r="D27" s="31" t="s">
        <v>214</v>
      </c>
      <c r="E27" s="20" t="s">
        <v>215</v>
      </c>
      <c r="F27" s="21" t="s">
        <v>171</v>
      </c>
      <c r="G27" s="22"/>
      <c r="H27" s="23"/>
      <c r="I27" s="23"/>
      <c r="J27" s="24"/>
      <c r="K27" s="22"/>
      <c r="L27" s="23" t="s">
        <v>391</v>
      </c>
      <c r="M27" s="23"/>
      <c r="N27" s="25"/>
      <c r="O27" s="25"/>
      <c r="P27" s="25"/>
      <c r="Q27" s="24"/>
      <c r="R27" s="106">
        <v>45320</v>
      </c>
      <c r="S27" s="26">
        <v>45684</v>
      </c>
      <c r="T27" s="27"/>
      <c r="U27" s="28"/>
      <c r="V27" s="29"/>
      <c r="W27" s="30"/>
    </row>
    <row r="28" spans="1:23" ht="68.400000000000006" x14ac:dyDescent="0.15">
      <c r="A28" s="19">
        <f t="shared" si="2"/>
        <v>26</v>
      </c>
      <c r="B28" s="33"/>
      <c r="C28" s="33"/>
      <c r="D28" s="31" t="s">
        <v>216</v>
      </c>
      <c r="E28" s="20" t="s">
        <v>217</v>
      </c>
      <c r="F28" s="21" t="s">
        <v>171</v>
      </c>
      <c r="G28" s="22"/>
      <c r="H28" s="23"/>
      <c r="I28" s="23"/>
      <c r="J28" s="24"/>
      <c r="K28" s="22"/>
      <c r="L28" s="23" t="s">
        <v>391</v>
      </c>
      <c r="M28" s="23"/>
      <c r="N28" s="25"/>
      <c r="O28" s="25"/>
      <c r="P28" s="25"/>
      <c r="Q28" s="24"/>
      <c r="R28" s="106">
        <v>45320</v>
      </c>
      <c r="S28" s="26">
        <v>45684</v>
      </c>
      <c r="T28" s="27"/>
      <c r="U28" s="28"/>
      <c r="V28" s="29"/>
      <c r="W28" s="30"/>
    </row>
    <row r="29" spans="1:23" ht="68.400000000000006" x14ac:dyDescent="0.15">
      <c r="A29" s="19">
        <f t="shared" si="2"/>
        <v>27</v>
      </c>
      <c r="B29" s="33"/>
      <c r="C29" s="20"/>
      <c r="D29" s="20" t="s">
        <v>218</v>
      </c>
      <c r="E29" s="20" t="s">
        <v>219</v>
      </c>
      <c r="F29" s="21" t="s">
        <v>171</v>
      </c>
      <c r="G29" s="22"/>
      <c r="H29" s="23"/>
      <c r="I29" s="23"/>
      <c r="J29" s="24"/>
      <c r="K29" s="22"/>
      <c r="L29" s="23" t="s">
        <v>391</v>
      </c>
      <c r="M29" s="23"/>
      <c r="N29" s="25"/>
      <c r="O29" s="25"/>
      <c r="P29" s="25"/>
      <c r="Q29" s="24"/>
      <c r="R29" s="106">
        <v>45320</v>
      </c>
      <c r="S29" s="26">
        <v>45684</v>
      </c>
      <c r="T29" s="27"/>
      <c r="U29" s="28"/>
      <c r="V29" s="29"/>
      <c r="W29" s="30"/>
    </row>
    <row r="30" spans="1:23" ht="68.400000000000006" x14ac:dyDescent="0.15">
      <c r="A30" s="19">
        <f t="shared" si="2"/>
        <v>28</v>
      </c>
      <c r="B30" s="33"/>
      <c r="C30" s="20"/>
      <c r="D30" s="20" t="s">
        <v>220</v>
      </c>
      <c r="E30" s="20" t="s">
        <v>221</v>
      </c>
      <c r="F30" s="21" t="s">
        <v>171</v>
      </c>
      <c r="G30" s="22"/>
      <c r="H30" s="23"/>
      <c r="I30" s="23"/>
      <c r="J30" s="24"/>
      <c r="K30" s="22"/>
      <c r="L30" s="23" t="s">
        <v>391</v>
      </c>
      <c r="M30" s="23"/>
      <c r="N30" s="25"/>
      <c r="O30" s="25"/>
      <c r="P30" s="25"/>
      <c r="Q30" s="24"/>
      <c r="R30" s="106">
        <v>45320</v>
      </c>
      <c r="S30" s="26">
        <v>45684</v>
      </c>
      <c r="T30" s="27"/>
      <c r="U30" s="28"/>
      <c r="V30" s="29"/>
      <c r="W30" s="30"/>
    </row>
    <row r="31" spans="1:23" ht="68.400000000000006" x14ac:dyDescent="0.15">
      <c r="A31" s="19">
        <f t="shared" si="2"/>
        <v>29</v>
      </c>
      <c r="B31" s="20"/>
      <c r="C31" s="20"/>
      <c r="D31" s="31" t="s">
        <v>222</v>
      </c>
      <c r="E31" s="20" t="s">
        <v>223</v>
      </c>
      <c r="F31" s="21" t="s">
        <v>171</v>
      </c>
      <c r="G31" s="22"/>
      <c r="H31" s="23"/>
      <c r="I31" s="23"/>
      <c r="J31" s="24"/>
      <c r="K31" s="22"/>
      <c r="L31" s="23" t="s">
        <v>391</v>
      </c>
      <c r="M31" s="23"/>
      <c r="N31" s="25"/>
      <c r="O31" s="25"/>
      <c r="P31" s="25"/>
      <c r="Q31" s="24"/>
      <c r="R31" s="106">
        <v>45320</v>
      </c>
      <c r="S31" s="26">
        <v>45684</v>
      </c>
      <c r="T31" s="27"/>
      <c r="U31" s="28"/>
      <c r="V31" s="29"/>
      <c r="W31" s="30"/>
    </row>
    <row r="32" spans="1:23" ht="57" x14ac:dyDescent="0.15">
      <c r="A32" s="19">
        <f t="shared" si="2"/>
        <v>30</v>
      </c>
      <c r="B32" s="20"/>
      <c r="C32" s="20"/>
      <c r="D32" s="31" t="s">
        <v>224</v>
      </c>
      <c r="E32" s="20" t="s">
        <v>225</v>
      </c>
      <c r="F32" s="21" t="s">
        <v>171</v>
      </c>
      <c r="G32" s="22"/>
      <c r="H32" s="23"/>
      <c r="I32" s="23"/>
      <c r="J32" s="24"/>
      <c r="K32" s="22"/>
      <c r="L32" s="23" t="s">
        <v>391</v>
      </c>
      <c r="M32" s="23"/>
      <c r="N32" s="25"/>
      <c r="O32" s="25"/>
      <c r="P32" s="25"/>
      <c r="Q32" s="24"/>
      <c r="R32" s="106">
        <v>45320</v>
      </c>
      <c r="S32" s="26">
        <v>45683</v>
      </c>
      <c r="T32" s="27"/>
      <c r="U32" s="28"/>
      <c r="V32" s="29"/>
      <c r="W32" s="30"/>
    </row>
    <row r="33" spans="1:23" ht="57" x14ac:dyDescent="0.15">
      <c r="A33" s="19">
        <f t="shared" si="2"/>
        <v>31</v>
      </c>
      <c r="B33" s="20"/>
      <c r="C33" s="20"/>
      <c r="D33" s="31" t="s">
        <v>226</v>
      </c>
      <c r="E33" s="20" t="s">
        <v>227</v>
      </c>
      <c r="F33" s="21" t="s">
        <v>171</v>
      </c>
      <c r="G33" s="22"/>
      <c r="H33" s="23"/>
      <c r="I33" s="23"/>
      <c r="J33" s="24"/>
      <c r="K33" s="22"/>
      <c r="L33" s="23" t="s">
        <v>391</v>
      </c>
      <c r="M33" s="23"/>
      <c r="N33" s="25"/>
      <c r="O33" s="25"/>
      <c r="P33" s="25"/>
      <c r="Q33" s="24"/>
      <c r="R33" s="106">
        <v>45320</v>
      </c>
      <c r="S33" s="26">
        <v>45683</v>
      </c>
      <c r="T33" s="27"/>
      <c r="U33" s="28"/>
      <c r="V33" s="29"/>
      <c r="W33" s="30"/>
    </row>
    <row r="34" spans="1:23" ht="22.8" x14ac:dyDescent="0.15">
      <c r="A34" s="89">
        <f>ROW()-2</f>
        <v>32</v>
      </c>
      <c r="B34" s="90" t="s">
        <v>32</v>
      </c>
      <c r="C34" s="90" t="s">
        <v>39</v>
      </c>
      <c r="D34" s="20"/>
      <c r="E34" s="20"/>
      <c r="F34" s="21"/>
      <c r="G34" s="22"/>
      <c r="H34" s="23"/>
      <c r="I34" s="23"/>
      <c r="J34" s="24"/>
      <c r="K34" s="22"/>
      <c r="L34" s="23"/>
      <c r="M34" s="23"/>
      <c r="N34" s="25"/>
      <c r="O34" s="25"/>
      <c r="P34" s="25"/>
      <c r="Q34" s="24"/>
      <c r="R34" s="106"/>
      <c r="S34" s="26"/>
      <c r="T34" s="27"/>
      <c r="U34" s="27"/>
      <c r="V34" s="30"/>
      <c r="W34" s="30"/>
    </row>
    <row r="35" spans="1:23" ht="22.8" x14ac:dyDescent="0.15">
      <c r="A35" s="19">
        <f t="shared" ref="A35:A38" si="3">ROW()-2</f>
        <v>33</v>
      </c>
      <c r="B35" s="20" t="s">
        <v>40</v>
      </c>
      <c r="C35" s="20" t="s">
        <v>35</v>
      </c>
      <c r="D35" s="96"/>
      <c r="E35" s="96" t="s">
        <v>228</v>
      </c>
      <c r="F35" s="32" t="s">
        <v>64</v>
      </c>
      <c r="G35" s="23" t="s">
        <v>392</v>
      </c>
      <c r="H35" s="23"/>
      <c r="I35" s="23"/>
      <c r="J35" s="24"/>
      <c r="K35" s="22"/>
      <c r="L35" s="23"/>
      <c r="M35" s="23"/>
      <c r="N35" s="25"/>
      <c r="O35" s="25"/>
      <c r="P35" s="25"/>
      <c r="Q35" s="24"/>
      <c r="R35" s="106">
        <v>45321</v>
      </c>
      <c r="S35" s="26">
        <v>45686</v>
      </c>
      <c r="T35" s="27"/>
      <c r="U35" s="28"/>
      <c r="V35" s="29"/>
      <c r="W35" s="30"/>
    </row>
    <row r="36" spans="1:23" ht="68.400000000000006" x14ac:dyDescent="0.15">
      <c r="A36" s="19">
        <f t="shared" si="3"/>
        <v>34</v>
      </c>
      <c r="B36" s="20"/>
      <c r="C36" s="20" t="s">
        <v>168</v>
      </c>
      <c r="D36" s="20" t="s">
        <v>169</v>
      </c>
      <c r="E36" s="20" t="s">
        <v>170</v>
      </c>
      <c r="F36" s="21" t="s">
        <v>171</v>
      </c>
      <c r="G36" s="22"/>
      <c r="H36" s="23"/>
      <c r="I36" s="23"/>
      <c r="J36" s="24"/>
      <c r="K36" s="22"/>
      <c r="L36" s="23" t="s">
        <v>391</v>
      </c>
      <c r="M36" s="23"/>
      <c r="N36" s="25"/>
      <c r="O36" s="25"/>
      <c r="P36" s="25"/>
      <c r="Q36" s="24"/>
      <c r="R36" s="106">
        <v>45321</v>
      </c>
      <c r="S36" s="26">
        <v>45686</v>
      </c>
      <c r="T36" s="27"/>
      <c r="U36" s="28"/>
      <c r="V36" s="29"/>
      <c r="W36" s="30"/>
    </row>
    <row r="37" spans="1:23" ht="68.400000000000006" x14ac:dyDescent="0.15">
      <c r="A37" s="19">
        <f t="shared" si="3"/>
        <v>35</v>
      </c>
      <c r="B37" s="20"/>
      <c r="C37" s="20"/>
      <c r="D37" s="20" t="s">
        <v>172</v>
      </c>
      <c r="E37" s="20" t="s">
        <v>173</v>
      </c>
      <c r="F37" s="21" t="s">
        <v>171</v>
      </c>
      <c r="G37" s="22"/>
      <c r="H37" s="23"/>
      <c r="I37" s="23"/>
      <c r="J37" s="24"/>
      <c r="K37" s="22"/>
      <c r="L37" s="23" t="s">
        <v>391</v>
      </c>
      <c r="M37" s="23"/>
      <c r="N37" s="25"/>
      <c r="O37" s="25"/>
      <c r="P37" s="25"/>
      <c r="Q37" s="24"/>
      <c r="R37" s="106">
        <v>45321</v>
      </c>
      <c r="S37" s="26">
        <v>45686</v>
      </c>
      <c r="T37" s="27"/>
      <c r="U37" s="28"/>
      <c r="V37" s="29"/>
      <c r="W37" s="30"/>
    </row>
    <row r="38" spans="1:23" ht="68.400000000000006" x14ac:dyDescent="0.15">
      <c r="A38" s="19">
        <f t="shared" si="3"/>
        <v>36</v>
      </c>
      <c r="B38" s="20"/>
      <c r="C38" s="20"/>
      <c r="D38" s="31" t="s">
        <v>174</v>
      </c>
      <c r="E38" s="20" t="s">
        <v>175</v>
      </c>
      <c r="F38" s="21" t="s">
        <v>171</v>
      </c>
      <c r="G38" s="22"/>
      <c r="H38" s="23"/>
      <c r="I38" s="23"/>
      <c r="J38" s="24"/>
      <c r="K38" s="22"/>
      <c r="L38" s="23" t="s">
        <v>391</v>
      </c>
      <c r="M38" s="23"/>
      <c r="N38" s="25"/>
      <c r="O38" s="25"/>
      <c r="P38" s="25"/>
      <c r="Q38" s="24"/>
      <c r="R38" s="106">
        <v>45321</v>
      </c>
      <c r="S38" s="26">
        <v>45686</v>
      </c>
      <c r="T38" s="27"/>
      <c r="U38" s="28"/>
      <c r="V38" s="29"/>
      <c r="W38" s="30"/>
    </row>
    <row r="39" spans="1:23" ht="68.400000000000006" x14ac:dyDescent="0.15">
      <c r="A39" s="19">
        <f t="shared" si="2"/>
        <v>37</v>
      </c>
      <c r="B39" s="20"/>
      <c r="C39" s="20"/>
      <c r="D39" s="31" t="s">
        <v>176</v>
      </c>
      <c r="E39" s="20" t="s">
        <v>177</v>
      </c>
      <c r="F39" s="21" t="s">
        <v>171</v>
      </c>
      <c r="G39" s="22"/>
      <c r="H39" s="23"/>
      <c r="I39" s="23"/>
      <c r="J39" s="24"/>
      <c r="K39" s="22"/>
      <c r="L39" s="23" t="s">
        <v>391</v>
      </c>
      <c r="M39" s="23"/>
      <c r="N39" s="25"/>
      <c r="O39" s="25"/>
      <c r="P39" s="25"/>
      <c r="Q39" s="24"/>
      <c r="R39" s="106">
        <v>45321</v>
      </c>
      <c r="S39" s="26">
        <v>45686</v>
      </c>
      <c r="T39" s="27"/>
      <c r="U39" s="28"/>
      <c r="V39" s="29"/>
      <c r="W39" s="30"/>
    </row>
    <row r="40" spans="1:23" ht="68.400000000000006" x14ac:dyDescent="0.15">
      <c r="A40" s="19">
        <f t="shared" si="2"/>
        <v>38</v>
      </c>
      <c r="B40" s="20"/>
      <c r="C40" s="20"/>
      <c r="D40" s="31" t="s">
        <v>178</v>
      </c>
      <c r="E40" s="20" t="s">
        <v>179</v>
      </c>
      <c r="F40" s="21" t="s">
        <v>171</v>
      </c>
      <c r="G40" s="22"/>
      <c r="H40" s="23"/>
      <c r="I40" s="23"/>
      <c r="J40" s="24"/>
      <c r="K40" s="22"/>
      <c r="L40" s="23" t="s">
        <v>391</v>
      </c>
      <c r="M40" s="23"/>
      <c r="N40" s="25"/>
      <c r="O40" s="25"/>
      <c r="P40" s="25"/>
      <c r="Q40" s="24"/>
      <c r="R40" s="106">
        <v>45321</v>
      </c>
      <c r="S40" s="26">
        <v>45686</v>
      </c>
      <c r="T40" s="27"/>
      <c r="U40" s="28"/>
      <c r="V40" s="29"/>
      <c r="W40" s="30"/>
    </row>
    <row r="41" spans="1:23" ht="68.400000000000006" x14ac:dyDescent="0.15">
      <c r="A41" s="19">
        <f t="shared" si="2"/>
        <v>39</v>
      </c>
      <c r="B41" s="20"/>
      <c r="C41" s="20"/>
      <c r="D41" s="31" t="s">
        <v>180</v>
      </c>
      <c r="E41" s="20" t="s">
        <v>181</v>
      </c>
      <c r="F41" s="21" t="s">
        <v>171</v>
      </c>
      <c r="G41" s="22"/>
      <c r="H41" s="23"/>
      <c r="I41" s="23"/>
      <c r="J41" s="24"/>
      <c r="K41" s="22"/>
      <c r="L41" s="23" t="s">
        <v>391</v>
      </c>
      <c r="M41" s="23"/>
      <c r="N41" s="25"/>
      <c r="O41" s="25"/>
      <c r="P41" s="25"/>
      <c r="Q41" s="24"/>
      <c r="R41" s="106">
        <v>45321</v>
      </c>
      <c r="S41" s="26">
        <v>45686</v>
      </c>
      <c r="T41" s="27"/>
      <c r="U41" s="28"/>
      <c r="V41" s="29"/>
      <c r="W41" s="30"/>
    </row>
    <row r="42" spans="1:23" ht="68.400000000000006" x14ac:dyDescent="0.15">
      <c r="A42" s="19">
        <f t="shared" si="2"/>
        <v>40</v>
      </c>
      <c r="B42" s="20"/>
      <c r="C42" s="20"/>
      <c r="D42" s="31" t="s">
        <v>182</v>
      </c>
      <c r="E42" s="20" t="s">
        <v>183</v>
      </c>
      <c r="F42" s="21" t="s">
        <v>171</v>
      </c>
      <c r="G42" s="22"/>
      <c r="H42" s="23"/>
      <c r="I42" s="23"/>
      <c r="J42" s="24"/>
      <c r="K42" s="22"/>
      <c r="L42" s="23" t="s">
        <v>391</v>
      </c>
      <c r="M42" s="23"/>
      <c r="N42" s="25"/>
      <c r="O42" s="25"/>
      <c r="P42" s="25"/>
      <c r="Q42" s="24"/>
      <c r="R42" s="106">
        <v>45321</v>
      </c>
      <c r="S42" s="26">
        <v>45686</v>
      </c>
      <c r="T42" s="27"/>
      <c r="U42" s="28"/>
      <c r="V42" s="29"/>
      <c r="W42" s="30"/>
    </row>
    <row r="43" spans="1:23" ht="68.400000000000006" x14ac:dyDescent="0.15">
      <c r="A43" s="19">
        <f t="shared" si="2"/>
        <v>41</v>
      </c>
      <c r="B43" s="20"/>
      <c r="C43" s="20"/>
      <c r="D43" s="31" t="s">
        <v>184</v>
      </c>
      <c r="E43" s="20" t="s">
        <v>185</v>
      </c>
      <c r="F43" s="21" t="s">
        <v>171</v>
      </c>
      <c r="G43" s="22"/>
      <c r="H43" s="23"/>
      <c r="I43" s="23"/>
      <c r="J43" s="24"/>
      <c r="K43" s="22"/>
      <c r="L43" s="23" t="s">
        <v>391</v>
      </c>
      <c r="M43" s="23"/>
      <c r="N43" s="25"/>
      <c r="O43" s="25"/>
      <c r="P43" s="25"/>
      <c r="Q43" s="24"/>
      <c r="R43" s="106">
        <v>45321</v>
      </c>
      <c r="S43" s="26">
        <v>45686</v>
      </c>
      <c r="T43" s="27"/>
      <c r="U43" s="28"/>
      <c r="V43" s="29"/>
      <c r="W43" s="30"/>
    </row>
    <row r="44" spans="1:23" ht="68.400000000000006" x14ac:dyDescent="0.15">
      <c r="A44" s="19">
        <f t="shared" si="2"/>
        <v>42</v>
      </c>
      <c r="B44" s="20"/>
      <c r="C44" s="20"/>
      <c r="D44" s="20" t="s">
        <v>186</v>
      </c>
      <c r="E44" s="20" t="s">
        <v>187</v>
      </c>
      <c r="F44" s="21" t="s">
        <v>171</v>
      </c>
      <c r="G44" s="22"/>
      <c r="H44" s="23"/>
      <c r="I44" s="23"/>
      <c r="J44" s="24"/>
      <c r="K44" s="22"/>
      <c r="L44" s="23" t="s">
        <v>391</v>
      </c>
      <c r="M44" s="23"/>
      <c r="N44" s="25"/>
      <c r="O44" s="25"/>
      <c r="P44" s="25"/>
      <c r="Q44" s="24"/>
      <c r="R44" s="106">
        <v>45321</v>
      </c>
      <c r="S44" s="26">
        <v>45686</v>
      </c>
      <c r="T44" s="27"/>
      <c r="U44" s="28"/>
      <c r="V44" s="29"/>
      <c r="W44" s="30"/>
    </row>
    <row r="45" spans="1:23" ht="68.400000000000006" x14ac:dyDescent="0.15">
      <c r="A45" s="19">
        <f t="shared" si="2"/>
        <v>43</v>
      </c>
      <c r="B45" s="20"/>
      <c r="C45" s="20"/>
      <c r="D45" s="20" t="s">
        <v>188</v>
      </c>
      <c r="E45" s="20" t="s">
        <v>189</v>
      </c>
      <c r="F45" s="21" t="s">
        <v>171</v>
      </c>
      <c r="G45" s="22"/>
      <c r="H45" s="23"/>
      <c r="I45" s="23"/>
      <c r="J45" s="24"/>
      <c r="K45" s="22"/>
      <c r="L45" s="23" t="s">
        <v>391</v>
      </c>
      <c r="M45" s="23"/>
      <c r="N45" s="25"/>
      <c r="O45" s="25"/>
      <c r="P45" s="25"/>
      <c r="Q45" s="24"/>
      <c r="R45" s="106">
        <v>45321</v>
      </c>
      <c r="S45" s="26">
        <v>45687</v>
      </c>
      <c r="T45" s="27"/>
      <c r="U45" s="28"/>
      <c r="V45" s="29"/>
      <c r="W45" s="30"/>
    </row>
    <row r="46" spans="1:23" ht="68.400000000000006" x14ac:dyDescent="0.15">
      <c r="A46" s="19">
        <f t="shared" si="2"/>
        <v>44</v>
      </c>
      <c r="B46" s="20"/>
      <c r="C46" s="20"/>
      <c r="D46" s="31" t="s">
        <v>190</v>
      </c>
      <c r="E46" s="20" t="s">
        <v>191</v>
      </c>
      <c r="F46" s="21" t="s">
        <v>171</v>
      </c>
      <c r="G46" s="22"/>
      <c r="H46" s="23"/>
      <c r="I46" s="23"/>
      <c r="J46" s="24"/>
      <c r="K46" s="22"/>
      <c r="L46" s="23" t="s">
        <v>391</v>
      </c>
      <c r="M46" s="23"/>
      <c r="N46" s="25"/>
      <c r="O46" s="25"/>
      <c r="P46" s="25"/>
      <c r="Q46" s="24"/>
      <c r="R46" s="106">
        <v>45321</v>
      </c>
      <c r="S46" s="26">
        <v>45687</v>
      </c>
      <c r="T46" s="27"/>
      <c r="U46" s="28"/>
      <c r="V46" s="29"/>
      <c r="W46" s="30"/>
    </row>
    <row r="47" spans="1:23" ht="68.400000000000006" x14ac:dyDescent="0.15">
      <c r="A47" s="19">
        <f t="shared" si="2"/>
        <v>45</v>
      </c>
      <c r="B47" s="20"/>
      <c r="C47" s="20"/>
      <c r="D47" s="31" t="s">
        <v>192</v>
      </c>
      <c r="E47" s="20" t="s">
        <v>193</v>
      </c>
      <c r="F47" s="21" t="s">
        <v>171</v>
      </c>
      <c r="G47" s="22"/>
      <c r="H47" s="23"/>
      <c r="I47" s="23"/>
      <c r="J47" s="24"/>
      <c r="K47" s="22"/>
      <c r="L47" s="23" t="s">
        <v>391</v>
      </c>
      <c r="M47" s="23"/>
      <c r="N47" s="25"/>
      <c r="O47" s="25"/>
      <c r="P47" s="25"/>
      <c r="Q47" s="24"/>
      <c r="R47" s="106">
        <v>45321</v>
      </c>
      <c r="S47" s="26">
        <v>45687</v>
      </c>
      <c r="T47" s="27"/>
      <c r="U47" s="28"/>
      <c r="V47" s="29"/>
      <c r="W47" s="30"/>
    </row>
    <row r="48" spans="1:23" ht="68.400000000000006" x14ac:dyDescent="0.15">
      <c r="A48" s="19">
        <f t="shared" si="2"/>
        <v>46</v>
      </c>
      <c r="B48" s="20"/>
      <c r="C48" s="20"/>
      <c r="D48" s="31" t="s">
        <v>194</v>
      </c>
      <c r="E48" s="20" t="s">
        <v>195</v>
      </c>
      <c r="F48" s="21" t="s">
        <v>171</v>
      </c>
      <c r="G48" s="22"/>
      <c r="H48" s="23"/>
      <c r="I48" s="23"/>
      <c r="J48" s="24"/>
      <c r="K48" s="22"/>
      <c r="L48" s="23" t="s">
        <v>391</v>
      </c>
      <c r="M48" s="23"/>
      <c r="N48" s="25"/>
      <c r="O48" s="25"/>
      <c r="P48" s="25"/>
      <c r="Q48" s="24"/>
      <c r="R48" s="106">
        <v>45321</v>
      </c>
      <c r="S48" s="26">
        <v>45687</v>
      </c>
      <c r="T48" s="27"/>
      <c r="U48" s="28"/>
      <c r="V48" s="29"/>
      <c r="W48" s="30"/>
    </row>
    <row r="49" spans="1:23" ht="68.400000000000006" x14ac:dyDescent="0.15">
      <c r="A49" s="19">
        <f t="shared" si="2"/>
        <v>47</v>
      </c>
      <c r="B49" s="20"/>
      <c r="C49" s="20"/>
      <c r="D49" s="31" t="s">
        <v>196</v>
      </c>
      <c r="E49" s="20" t="s">
        <v>197</v>
      </c>
      <c r="F49" s="21" t="s">
        <v>171</v>
      </c>
      <c r="G49" s="22"/>
      <c r="H49" s="23"/>
      <c r="I49" s="23"/>
      <c r="J49" s="24"/>
      <c r="K49" s="22"/>
      <c r="L49" s="23" t="s">
        <v>391</v>
      </c>
      <c r="M49" s="23"/>
      <c r="N49" s="25"/>
      <c r="O49" s="25"/>
      <c r="P49" s="25"/>
      <c r="Q49" s="24"/>
      <c r="R49" s="106">
        <v>45321</v>
      </c>
      <c r="S49" s="26">
        <v>45687</v>
      </c>
      <c r="T49" s="27"/>
      <c r="U49" s="28"/>
      <c r="V49" s="29"/>
      <c r="W49" s="30"/>
    </row>
    <row r="50" spans="1:23" ht="68.400000000000006" x14ac:dyDescent="0.15">
      <c r="A50" s="19">
        <f t="shared" si="2"/>
        <v>48</v>
      </c>
      <c r="B50" s="20"/>
      <c r="C50" s="20"/>
      <c r="D50" s="31" t="s">
        <v>198</v>
      </c>
      <c r="E50" s="20" t="s">
        <v>199</v>
      </c>
      <c r="F50" s="21" t="s">
        <v>171</v>
      </c>
      <c r="G50" s="22"/>
      <c r="H50" s="23"/>
      <c r="I50" s="23"/>
      <c r="J50" s="24"/>
      <c r="K50" s="22"/>
      <c r="L50" s="23" t="s">
        <v>391</v>
      </c>
      <c r="M50" s="23"/>
      <c r="N50" s="25"/>
      <c r="O50" s="25"/>
      <c r="P50" s="25"/>
      <c r="Q50" s="24"/>
      <c r="R50" s="106">
        <v>45321</v>
      </c>
      <c r="S50" s="26">
        <v>45687</v>
      </c>
      <c r="T50" s="27"/>
      <c r="U50" s="28"/>
      <c r="V50" s="29"/>
      <c r="W50" s="30"/>
    </row>
    <row r="51" spans="1:23" ht="68.400000000000006" x14ac:dyDescent="0.15">
      <c r="A51" s="19">
        <f t="shared" si="2"/>
        <v>49</v>
      </c>
      <c r="B51" s="20"/>
      <c r="C51" s="20"/>
      <c r="D51" s="31" t="s">
        <v>200</v>
      </c>
      <c r="E51" s="20" t="s">
        <v>201</v>
      </c>
      <c r="F51" s="21" t="s">
        <v>171</v>
      </c>
      <c r="G51" s="22"/>
      <c r="H51" s="23"/>
      <c r="I51" s="23"/>
      <c r="J51" s="24"/>
      <c r="K51" s="22"/>
      <c r="L51" s="23" t="s">
        <v>391</v>
      </c>
      <c r="M51" s="23"/>
      <c r="N51" s="25"/>
      <c r="O51" s="25"/>
      <c r="P51" s="25"/>
      <c r="Q51" s="24"/>
      <c r="R51" s="106">
        <v>45321</v>
      </c>
      <c r="S51" s="26">
        <v>45687</v>
      </c>
      <c r="T51" s="27"/>
      <c r="U51" s="28"/>
      <c r="V51" s="29"/>
      <c r="W51" s="30"/>
    </row>
    <row r="52" spans="1:23" ht="68.400000000000006" x14ac:dyDescent="0.15">
      <c r="A52" s="19">
        <f t="shared" si="2"/>
        <v>50</v>
      </c>
      <c r="B52" s="20"/>
      <c r="C52" s="20"/>
      <c r="D52" s="20" t="s">
        <v>202</v>
      </c>
      <c r="E52" s="20" t="s">
        <v>203</v>
      </c>
      <c r="F52" s="21" t="s">
        <v>171</v>
      </c>
      <c r="G52" s="22"/>
      <c r="H52" s="23"/>
      <c r="I52" s="23"/>
      <c r="J52" s="24"/>
      <c r="K52" s="22"/>
      <c r="L52" s="23" t="s">
        <v>391</v>
      </c>
      <c r="M52" s="23"/>
      <c r="N52" s="25"/>
      <c r="O52" s="25"/>
      <c r="P52" s="25"/>
      <c r="Q52" s="24"/>
      <c r="R52" s="106">
        <v>45321</v>
      </c>
      <c r="S52" s="26">
        <v>45687</v>
      </c>
      <c r="T52" s="27"/>
      <c r="U52" s="28"/>
      <c r="V52" s="29"/>
      <c r="W52" s="30"/>
    </row>
    <row r="53" spans="1:23" ht="68.400000000000006" x14ac:dyDescent="0.15">
      <c r="A53" s="19">
        <f t="shared" si="2"/>
        <v>51</v>
      </c>
      <c r="B53" s="20"/>
      <c r="C53" s="20"/>
      <c r="D53" s="20" t="s">
        <v>204</v>
      </c>
      <c r="E53" s="20" t="s">
        <v>205</v>
      </c>
      <c r="F53" s="21" t="s">
        <v>171</v>
      </c>
      <c r="G53" s="22"/>
      <c r="H53" s="23"/>
      <c r="I53" s="23"/>
      <c r="J53" s="24"/>
      <c r="K53" s="22"/>
      <c r="L53" s="23" t="s">
        <v>391</v>
      </c>
      <c r="M53" s="23"/>
      <c r="N53" s="25"/>
      <c r="O53" s="25"/>
      <c r="P53" s="25"/>
      <c r="Q53" s="24"/>
      <c r="R53" s="106">
        <v>45321</v>
      </c>
      <c r="S53" s="26">
        <v>45687</v>
      </c>
      <c r="T53" s="27"/>
      <c r="U53" s="28"/>
      <c r="V53" s="29"/>
      <c r="W53" s="30"/>
    </row>
    <row r="54" spans="1:23" ht="68.400000000000006" x14ac:dyDescent="0.15">
      <c r="A54" s="19">
        <f t="shared" si="2"/>
        <v>52</v>
      </c>
      <c r="B54" s="20"/>
      <c r="C54" s="20"/>
      <c r="D54" s="31" t="s">
        <v>206</v>
      </c>
      <c r="E54" s="20" t="s">
        <v>207</v>
      </c>
      <c r="F54" s="21" t="s">
        <v>171</v>
      </c>
      <c r="G54" s="22"/>
      <c r="H54" s="23"/>
      <c r="I54" s="23"/>
      <c r="J54" s="24"/>
      <c r="K54" s="22"/>
      <c r="L54" s="23" t="s">
        <v>391</v>
      </c>
      <c r="M54" s="23"/>
      <c r="N54" s="25"/>
      <c r="O54" s="25"/>
      <c r="P54" s="25"/>
      <c r="Q54" s="24"/>
      <c r="R54" s="106">
        <v>45321</v>
      </c>
      <c r="S54" s="26">
        <v>45687</v>
      </c>
      <c r="T54" s="27"/>
      <c r="U54" s="28"/>
      <c r="V54" s="29"/>
      <c r="W54" s="30"/>
    </row>
    <row r="55" spans="1:23" ht="68.400000000000006" x14ac:dyDescent="0.15">
      <c r="A55" s="19">
        <f t="shared" si="2"/>
        <v>53</v>
      </c>
      <c r="B55" s="20"/>
      <c r="C55" s="20"/>
      <c r="D55" s="31" t="s">
        <v>208</v>
      </c>
      <c r="E55" s="20" t="s">
        <v>209</v>
      </c>
      <c r="F55" s="21" t="s">
        <v>171</v>
      </c>
      <c r="G55" s="22"/>
      <c r="H55" s="23"/>
      <c r="I55" s="23"/>
      <c r="J55" s="24"/>
      <c r="K55" s="22"/>
      <c r="L55" s="23" t="s">
        <v>391</v>
      </c>
      <c r="M55" s="23"/>
      <c r="N55" s="25"/>
      <c r="O55" s="25"/>
      <c r="P55" s="25"/>
      <c r="Q55" s="24"/>
      <c r="R55" s="106">
        <v>45321</v>
      </c>
      <c r="S55" s="26">
        <v>45687</v>
      </c>
      <c r="T55" s="27"/>
      <c r="U55" s="28"/>
      <c r="V55" s="29"/>
      <c r="W55" s="30"/>
    </row>
    <row r="56" spans="1:23" ht="68.400000000000006" x14ac:dyDescent="0.15">
      <c r="A56" s="19">
        <f t="shared" si="2"/>
        <v>54</v>
      </c>
      <c r="B56" s="33"/>
      <c r="C56" s="33"/>
      <c r="D56" s="31" t="s">
        <v>210</v>
      </c>
      <c r="E56" s="20" t="s">
        <v>211</v>
      </c>
      <c r="F56" s="21" t="s">
        <v>171</v>
      </c>
      <c r="G56" s="22"/>
      <c r="H56" s="23"/>
      <c r="I56" s="23"/>
      <c r="J56" s="24"/>
      <c r="K56" s="22"/>
      <c r="L56" s="23" t="s">
        <v>391</v>
      </c>
      <c r="M56" s="23"/>
      <c r="N56" s="25"/>
      <c r="O56" s="25"/>
      <c r="P56" s="25"/>
      <c r="Q56" s="24"/>
      <c r="R56" s="106">
        <v>45321</v>
      </c>
      <c r="S56" s="26">
        <v>45687</v>
      </c>
      <c r="T56" s="27"/>
      <c r="U56" s="28"/>
      <c r="V56" s="29"/>
      <c r="W56" s="30"/>
    </row>
    <row r="57" spans="1:23" ht="68.400000000000006" x14ac:dyDescent="0.15">
      <c r="A57" s="19">
        <f t="shared" si="2"/>
        <v>55</v>
      </c>
      <c r="B57" s="33"/>
      <c r="C57" s="33"/>
      <c r="D57" s="31" t="s">
        <v>212</v>
      </c>
      <c r="E57" s="20" t="s">
        <v>213</v>
      </c>
      <c r="F57" s="21" t="s">
        <v>171</v>
      </c>
      <c r="G57" s="22"/>
      <c r="H57" s="23"/>
      <c r="I57" s="23"/>
      <c r="J57" s="24"/>
      <c r="K57" s="22"/>
      <c r="L57" s="23" t="s">
        <v>391</v>
      </c>
      <c r="M57" s="23"/>
      <c r="N57" s="25"/>
      <c r="O57" s="25"/>
      <c r="P57" s="25"/>
      <c r="Q57" s="24"/>
      <c r="R57" s="106">
        <v>45321</v>
      </c>
      <c r="S57" s="26">
        <v>45687</v>
      </c>
      <c r="T57" s="27"/>
      <c r="U57" s="28"/>
      <c r="V57" s="29"/>
      <c r="W57" s="30"/>
    </row>
    <row r="58" spans="1:23" ht="68.400000000000006" x14ac:dyDescent="0.15">
      <c r="A58" s="19">
        <f t="shared" si="2"/>
        <v>56</v>
      </c>
      <c r="B58" s="33"/>
      <c r="C58" s="33"/>
      <c r="D58" s="31" t="s">
        <v>214</v>
      </c>
      <c r="E58" s="20" t="s">
        <v>215</v>
      </c>
      <c r="F58" s="21" t="s">
        <v>171</v>
      </c>
      <c r="G58" s="22"/>
      <c r="H58" s="23"/>
      <c r="I58" s="23"/>
      <c r="J58" s="24"/>
      <c r="K58" s="22"/>
      <c r="L58" s="23" t="s">
        <v>391</v>
      </c>
      <c r="M58" s="23"/>
      <c r="N58" s="25"/>
      <c r="O58" s="25"/>
      <c r="P58" s="25"/>
      <c r="Q58" s="24"/>
      <c r="R58" s="106">
        <v>45321</v>
      </c>
      <c r="S58" s="26">
        <v>45687</v>
      </c>
      <c r="T58" s="27"/>
      <c r="U58" s="28"/>
      <c r="V58" s="29"/>
      <c r="W58" s="30"/>
    </row>
    <row r="59" spans="1:23" ht="68.400000000000006" x14ac:dyDescent="0.15">
      <c r="A59" s="19">
        <f t="shared" si="2"/>
        <v>57</v>
      </c>
      <c r="B59" s="33"/>
      <c r="C59" s="33"/>
      <c r="D59" s="31" t="s">
        <v>216</v>
      </c>
      <c r="E59" s="20" t="s">
        <v>217</v>
      </c>
      <c r="F59" s="21" t="s">
        <v>171</v>
      </c>
      <c r="G59" s="22"/>
      <c r="H59" s="23"/>
      <c r="I59" s="23"/>
      <c r="J59" s="24"/>
      <c r="K59" s="22"/>
      <c r="L59" s="23" t="s">
        <v>391</v>
      </c>
      <c r="M59" s="23"/>
      <c r="N59" s="25"/>
      <c r="O59" s="25"/>
      <c r="P59" s="25"/>
      <c r="Q59" s="24"/>
      <c r="R59" s="106">
        <v>45321</v>
      </c>
      <c r="S59" s="26">
        <v>45687</v>
      </c>
      <c r="T59" s="27"/>
      <c r="U59" s="28"/>
      <c r="V59" s="29"/>
      <c r="W59" s="30"/>
    </row>
    <row r="60" spans="1:23" ht="68.400000000000006" x14ac:dyDescent="0.15">
      <c r="A60" s="19">
        <f t="shared" si="2"/>
        <v>58</v>
      </c>
      <c r="B60" s="33"/>
      <c r="C60" s="20"/>
      <c r="D60" s="20" t="s">
        <v>218</v>
      </c>
      <c r="E60" s="20" t="s">
        <v>219</v>
      </c>
      <c r="F60" s="21" t="s">
        <v>171</v>
      </c>
      <c r="G60" s="22"/>
      <c r="H60" s="23"/>
      <c r="I60" s="23"/>
      <c r="J60" s="24"/>
      <c r="K60" s="22"/>
      <c r="L60" s="23" t="s">
        <v>391</v>
      </c>
      <c r="M60" s="23"/>
      <c r="N60" s="25"/>
      <c r="O60" s="25"/>
      <c r="P60" s="25"/>
      <c r="Q60" s="24"/>
      <c r="R60" s="106">
        <v>45321</v>
      </c>
      <c r="S60" s="26">
        <v>45687</v>
      </c>
      <c r="T60" s="27"/>
      <c r="U60" s="28"/>
      <c r="V60" s="29"/>
      <c r="W60" s="30"/>
    </row>
    <row r="61" spans="1:23" ht="68.400000000000006" x14ac:dyDescent="0.15">
      <c r="A61" s="19">
        <f t="shared" si="2"/>
        <v>59</v>
      </c>
      <c r="B61" s="33"/>
      <c r="C61" s="20"/>
      <c r="D61" s="20" t="s">
        <v>220</v>
      </c>
      <c r="E61" s="20" t="s">
        <v>221</v>
      </c>
      <c r="F61" s="21" t="s">
        <v>171</v>
      </c>
      <c r="G61" s="22"/>
      <c r="H61" s="23"/>
      <c r="I61" s="23"/>
      <c r="J61" s="24"/>
      <c r="K61" s="22"/>
      <c r="L61" s="23" t="s">
        <v>391</v>
      </c>
      <c r="M61" s="23"/>
      <c r="N61" s="25"/>
      <c r="O61" s="25"/>
      <c r="P61" s="25"/>
      <c r="Q61" s="24"/>
      <c r="R61" s="106">
        <v>45321</v>
      </c>
      <c r="S61" s="26">
        <v>45687</v>
      </c>
      <c r="T61" s="27"/>
      <c r="U61" s="28"/>
      <c r="V61" s="29"/>
      <c r="W61" s="30"/>
    </row>
    <row r="62" spans="1:23" ht="68.400000000000006" x14ac:dyDescent="0.15">
      <c r="A62" s="19">
        <f t="shared" si="2"/>
        <v>60</v>
      </c>
      <c r="B62" s="20"/>
      <c r="C62" s="20"/>
      <c r="D62" s="31" t="s">
        <v>222</v>
      </c>
      <c r="E62" s="20" t="s">
        <v>223</v>
      </c>
      <c r="F62" s="21" t="s">
        <v>171</v>
      </c>
      <c r="G62" s="22"/>
      <c r="H62" s="23"/>
      <c r="I62" s="23"/>
      <c r="J62" s="24"/>
      <c r="K62" s="22"/>
      <c r="L62" s="23" t="s">
        <v>391</v>
      </c>
      <c r="M62" s="23"/>
      <c r="N62" s="25"/>
      <c r="O62" s="25"/>
      <c r="P62" s="25"/>
      <c r="Q62" s="24"/>
      <c r="R62" s="106">
        <v>45321</v>
      </c>
      <c r="S62" s="26">
        <v>45687</v>
      </c>
      <c r="T62" s="27"/>
      <c r="U62" s="28"/>
      <c r="V62" s="29"/>
      <c r="W62" s="30"/>
    </row>
    <row r="63" spans="1:23" ht="57" x14ac:dyDescent="0.15">
      <c r="A63" s="19">
        <f t="shared" si="2"/>
        <v>61</v>
      </c>
      <c r="B63" s="20"/>
      <c r="C63" s="20"/>
      <c r="D63" s="31" t="s">
        <v>224</v>
      </c>
      <c r="E63" s="20" t="s">
        <v>225</v>
      </c>
      <c r="F63" s="21" t="s">
        <v>171</v>
      </c>
      <c r="G63" s="22"/>
      <c r="H63" s="23"/>
      <c r="I63" s="23"/>
      <c r="J63" s="24"/>
      <c r="K63" s="22"/>
      <c r="L63" s="23" t="s">
        <v>391</v>
      </c>
      <c r="M63" s="23"/>
      <c r="N63" s="25"/>
      <c r="O63" s="25"/>
      <c r="P63" s="25"/>
      <c r="Q63" s="24"/>
      <c r="R63" s="106">
        <v>45321</v>
      </c>
      <c r="S63" s="26">
        <v>45686</v>
      </c>
      <c r="T63" s="27"/>
      <c r="U63" s="28"/>
      <c r="V63" s="29"/>
      <c r="W63" s="30"/>
    </row>
    <row r="64" spans="1:23" ht="57" x14ac:dyDescent="0.15">
      <c r="A64" s="19">
        <f t="shared" si="2"/>
        <v>62</v>
      </c>
      <c r="B64" s="20"/>
      <c r="C64" s="20"/>
      <c r="D64" s="31" t="s">
        <v>226</v>
      </c>
      <c r="E64" s="20" t="s">
        <v>227</v>
      </c>
      <c r="F64" s="21" t="s">
        <v>171</v>
      </c>
      <c r="G64" s="22"/>
      <c r="H64" s="23"/>
      <c r="I64" s="23"/>
      <c r="J64" s="24"/>
      <c r="K64" s="22"/>
      <c r="L64" s="23" t="s">
        <v>391</v>
      </c>
      <c r="M64" s="23"/>
      <c r="N64" s="25"/>
      <c r="O64" s="25"/>
      <c r="P64" s="25"/>
      <c r="Q64" s="24"/>
      <c r="R64" s="106">
        <v>45321</v>
      </c>
      <c r="S64" s="26">
        <v>45686</v>
      </c>
      <c r="T64" s="27"/>
      <c r="U64" s="28"/>
      <c r="V64" s="29"/>
      <c r="W64" s="30"/>
    </row>
    <row r="65" spans="1:23" ht="11.4" x14ac:dyDescent="0.15">
      <c r="A65" s="19">
        <f t="shared" si="2"/>
        <v>63</v>
      </c>
      <c r="B65" s="20" t="s">
        <v>42</v>
      </c>
      <c r="C65" s="33"/>
      <c r="D65" s="31" t="s">
        <v>169</v>
      </c>
      <c r="E65" s="31" t="s">
        <v>229</v>
      </c>
      <c r="F65" s="32" t="s">
        <v>230</v>
      </c>
      <c r="G65" s="22"/>
      <c r="H65" s="23"/>
      <c r="I65" s="23"/>
      <c r="J65" s="24"/>
      <c r="K65" s="22"/>
      <c r="L65" s="23" t="s">
        <v>391</v>
      </c>
      <c r="M65" s="23"/>
      <c r="N65" s="25"/>
      <c r="O65" s="25"/>
      <c r="P65" s="25"/>
      <c r="Q65" s="24"/>
      <c r="R65" s="106">
        <v>45325</v>
      </c>
      <c r="S65" s="26">
        <v>45691</v>
      </c>
      <c r="T65" s="27"/>
      <c r="U65" s="28"/>
      <c r="V65" s="29"/>
      <c r="W65" s="30"/>
    </row>
    <row r="66" spans="1:23" ht="11.4" x14ac:dyDescent="0.15">
      <c r="A66" s="19">
        <f t="shared" si="2"/>
        <v>64</v>
      </c>
      <c r="B66" s="20"/>
      <c r="C66" s="20"/>
      <c r="D66" s="20" t="s">
        <v>172</v>
      </c>
      <c r="E66" s="20" t="s">
        <v>231</v>
      </c>
      <c r="F66" s="32" t="s">
        <v>230</v>
      </c>
      <c r="G66" s="22"/>
      <c r="H66" s="23"/>
      <c r="I66" s="23"/>
      <c r="J66" s="24"/>
      <c r="K66" s="22"/>
      <c r="L66" s="23" t="s">
        <v>391</v>
      </c>
      <c r="M66" s="23"/>
      <c r="N66" s="25"/>
      <c r="O66" s="25"/>
      <c r="P66" s="25"/>
      <c r="Q66" s="24"/>
      <c r="R66" s="106">
        <v>45325</v>
      </c>
      <c r="S66" s="26">
        <v>45691</v>
      </c>
      <c r="T66" s="27"/>
      <c r="U66" s="28"/>
      <c r="V66" s="29"/>
      <c r="W66" s="30"/>
    </row>
    <row r="67" spans="1:23" ht="11.4" x14ac:dyDescent="0.15">
      <c r="A67" s="19">
        <f t="shared" si="2"/>
        <v>65</v>
      </c>
      <c r="B67" s="20"/>
      <c r="C67" s="20"/>
      <c r="D67" s="20" t="s">
        <v>174</v>
      </c>
      <c r="E67" s="20" t="s">
        <v>231</v>
      </c>
      <c r="F67" s="32" t="s">
        <v>230</v>
      </c>
      <c r="G67" s="22"/>
      <c r="H67" s="23"/>
      <c r="I67" s="23"/>
      <c r="J67" s="24"/>
      <c r="K67" s="22"/>
      <c r="L67" s="23" t="s">
        <v>391</v>
      </c>
      <c r="M67" s="23"/>
      <c r="N67" s="25"/>
      <c r="O67" s="25"/>
      <c r="P67" s="25"/>
      <c r="Q67" s="24"/>
      <c r="R67" s="106">
        <v>45325</v>
      </c>
      <c r="S67" s="26">
        <v>45691</v>
      </c>
      <c r="T67" s="27"/>
      <c r="U67" s="28"/>
      <c r="V67" s="29"/>
      <c r="W67" s="30"/>
    </row>
    <row r="68" spans="1:23" ht="11.4" x14ac:dyDescent="0.15">
      <c r="A68" s="19">
        <f t="shared" si="2"/>
        <v>66</v>
      </c>
      <c r="B68" s="20"/>
      <c r="C68" s="20"/>
      <c r="D68" s="31" t="s">
        <v>176</v>
      </c>
      <c r="E68" s="20" t="s">
        <v>231</v>
      </c>
      <c r="F68" s="32" t="s">
        <v>230</v>
      </c>
      <c r="G68" s="22"/>
      <c r="H68" s="23"/>
      <c r="I68" s="23"/>
      <c r="J68" s="24"/>
      <c r="K68" s="22"/>
      <c r="L68" s="23" t="s">
        <v>391</v>
      </c>
      <c r="M68" s="23"/>
      <c r="N68" s="25"/>
      <c r="O68" s="25"/>
      <c r="P68" s="25"/>
      <c r="Q68" s="24"/>
      <c r="R68" s="106">
        <v>45325</v>
      </c>
      <c r="S68" s="26">
        <v>45691</v>
      </c>
      <c r="T68" s="27"/>
      <c r="U68" s="28"/>
      <c r="V68" s="29"/>
      <c r="W68" s="30"/>
    </row>
    <row r="69" spans="1:23" ht="11.4" x14ac:dyDescent="0.15">
      <c r="A69" s="19">
        <f t="shared" si="2"/>
        <v>67</v>
      </c>
      <c r="B69" s="20"/>
      <c r="C69" s="20"/>
      <c r="D69" s="31" t="s">
        <v>178</v>
      </c>
      <c r="E69" s="20" t="s">
        <v>231</v>
      </c>
      <c r="F69" s="32" t="s">
        <v>230</v>
      </c>
      <c r="G69" s="22"/>
      <c r="H69" s="23"/>
      <c r="I69" s="23"/>
      <c r="J69" s="24"/>
      <c r="K69" s="22"/>
      <c r="L69" s="23" t="s">
        <v>391</v>
      </c>
      <c r="M69" s="23"/>
      <c r="N69" s="25"/>
      <c r="O69" s="25"/>
      <c r="P69" s="25"/>
      <c r="Q69" s="24"/>
      <c r="R69" s="106">
        <v>45325</v>
      </c>
      <c r="S69" s="26">
        <v>45691</v>
      </c>
      <c r="T69" s="27"/>
      <c r="U69" s="28"/>
      <c r="V69" s="29"/>
      <c r="W69" s="30"/>
    </row>
    <row r="70" spans="1:23" ht="11.4" x14ac:dyDescent="0.15">
      <c r="A70" s="19">
        <f t="shared" si="2"/>
        <v>68</v>
      </c>
      <c r="B70" s="20"/>
      <c r="C70" s="20"/>
      <c r="D70" s="31" t="s">
        <v>180</v>
      </c>
      <c r="E70" s="20" t="s">
        <v>231</v>
      </c>
      <c r="F70" s="32" t="s">
        <v>230</v>
      </c>
      <c r="G70" s="22"/>
      <c r="H70" s="23"/>
      <c r="I70" s="23"/>
      <c r="J70" s="24"/>
      <c r="K70" s="22"/>
      <c r="L70" s="23" t="s">
        <v>391</v>
      </c>
      <c r="M70" s="23"/>
      <c r="N70" s="25"/>
      <c r="O70" s="25"/>
      <c r="P70" s="25"/>
      <c r="Q70" s="24"/>
      <c r="R70" s="106">
        <v>45325</v>
      </c>
      <c r="S70" s="26">
        <v>45691</v>
      </c>
      <c r="T70" s="27"/>
      <c r="U70" s="28"/>
      <c r="V70" s="29"/>
      <c r="W70" s="30"/>
    </row>
    <row r="71" spans="1:23" ht="11.4" x14ac:dyDescent="0.15">
      <c r="A71" s="19">
        <f t="shared" si="2"/>
        <v>69</v>
      </c>
      <c r="B71" s="20"/>
      <c r="C71" s="20"/>
      <c r="D71" s="31" t="s">
        <v>182</v>
      </c>
      <c r="E71" s="20" t="s">
        <v>231</v>
      </c>
      <c r="F71" s="32" t="s">
        <v>230</v>
      </c>
      <c r="G71" s="22"/>
      <c r="H71" s="23"/>
      <c r="I71" s="23"/>
      <c r="J71" s="24"/>
      <c r="K71" s="22"/>
      <c r="L71" s="23" t="s">
        <v>391</v>
      </c>
      <c r="M71" s="23"/>
      <c r="N71" s="25"/>
      <c r="O71" s="25"/>
      <c r="P71" s="25"/>
      <c r="Q71" s="24"/>
      <c r="R71" s="106">
        <v>45325</v>
      </c>
      <c r="S71" s="26">
        <v>45691</v>
      </c>
      <c r="T71" s="27"/>
      <c r="U71" s="28"/>
      <c r="V71" s="29"/>
      <c r="W71" s="30"/>
    </row>
    <row r="72" spans="1:23" ht="11.4" x14ac:dyDescent="0.15">
      <c r="A72" s="19">
        <f t="shared" si="2"/>
        <v>70</v>
      </c>
      <c r="B72" s="20"/>
      <c r="C72" s="20"/>
      <c r="D72" s="31" t="s">
        <v>184</v>
      </c>
      <c r="E72" s="20" t="s">
        <v>231</v>
      </c>
      <c r="F72" s="32" t="s">
        <v>230</v>
      </c>
      <c r="G72" s="22"/>
      <c r="H72" s="23"/>
      <c r="I72" s="23"/>
      <c r="J72" s="24"/>
      <c r="K72" s="22"/>
      <c r="L72" s="23" t="s">
        <v>391</v>
      </c>
      <c r="M72" s="23"/>
      <c r="N72" s="25"/>
      <c r="O72" s="25"/>
      <c r="P72" s="25"/>
      <c r="Q72" s="24"/>
      <c r="R72" s="106">
        <v>45325</v>
      </c>
      <c r="S72" s="26">
        <v>45691</v>
      </c>
      <c r="T72" s="27"/>
      <c r="U72" s="28"/>
      <c r="V72" s="29"/>
      <c r="W72" s="30"/>
    </row>
    <row r="73" spans="1:23" ht="11.4" x14ac:dyDescent="0.15">
      <c r="A73" s="19">
        <f t="shared" si="2"/>
        <v>71</v>
      </c>
      <c r="B73" s="20"/>
      <c r="C73" s="20"/>
      <c r="D73" s="31" t="s">
        <v>186</v>
      </c>
      <c r="E73" s="20" t="s">
        <v>231</v>
      </c>
      <c r="F73" s="32" t="s">
        <v>230</v>
      </c>
      <c r="G73" s="22"/>
      <c r="H73" s="23"/>
      <c r="I73" s="23"/>
      <c r="J73" s="24"/>
      <c r="K73" s="22"/>
      <c r="L73" s="23" t="s">
        <v>391</v>
      </c>
      <c r="M73" s="23"/>
      <c r="N73" s="25"/>
      <c r="O73" s="25"/>
      <c r="P73" s="25"/>
      <c r="Q73" s="24"/>
      <c r="R73" s="106">
        <v>45325</v>
      </c>
      <c r="S73" s="26">
        <v>45691</v>
      </c>
      <c r="T73" s="27"/>
      <c r="U73" s="28"/>
      <c r="V73" s="29"/>
      <c r="W73" s="30"/>
    </row>
    <row r="74" spans="1:23" ht="11.4" x14ac:dyDescent="0.15">
      <c r="A74" s="19">
        <f t="shared" si="2"/>
        <v>72</v>
      </c>
      <c r="B74" s="20"/>
      <c r="C74" s="20"/>
      <c r="D74" s="20" t="s">
        <v>188</v>
      </c>
      <c r="E74" s="20" t="s">
        <v>231</v>
      </c>
      <c r="F74" s="32" t="s">
        <v>230</v>
      </c>
      <c r="G74" s="22"/>
      <c r="H74" s="23"/>
      <c r="I74" s="23"/>
      <c r="J74" s="24"/>
      <c r="K74" s="22"/>
      <c r="L74" s="23" t="s">
        <v>391</v>
      </c>
      <c r="M74" s="23"/>
      <c r="N74" s="25"/>
      <c r="O74" s="25"/>
      <c r="P74" s="25"/>
      <c r="Q74" s="24"/>
      <c r="R74" s="106">
        <v>45325</v>
      </c>
      <c r="S74" s="26">
        <v>45691</v>
      </c>
      <c r="T74" s="27"/>
      <c r="U74" s="28"/>
      <c r="V74" s="29"/>
      <c r="W74" s="30"/>
    </row>
    <row r="75" spans="1:23" ht="11.4" x14ac:dyDescent="0.15">
      <c r="A75" s="19">
        <f t="shared" si="2"/>
        <v>73</v>
      </c>
      <c r="B75" s="20"/>
      <c r="C75" s="20"/>
      <c r="D75" s="20" t="s">
        <v>190</v>
      </c>
      <c r="E75" s="20" t="s">
        <v>231</v>
      </c>
      <c r="F75" s="32" t="s">
        <v>230</v>
      </c>
      <c r="G75" s="22"/>
      <c r="H75" s="23"/>
      <c r="I75" s="23"/>
      <c r="J75" s="24"/>
      <c r="K75" s="22"/>
      <c r="L75" s="23" t="s">
        <v>391</v>
      </c>
      <c r="M75" s="23"/>
      <c r="N75" s="25"/>
      <c r="O75" s="25"/>
      <c r="P75" s="25"/>
      <c r="Q75" s="24"/>
      <c r="R75" s="106">
        <v>45325</v>
      </c>
      <c r="S75" s="26">
        <v>45691</v>
      </c>
      <c r="T75" s="27"/>
      <c r="U75" s="28"/>
      <c r="V75" s="29"/>
      <c r="W75" s="30"/>
    </row>
    <row r="76" spans="1:23" ht="11.4" x14ac:dyDescent="0.15">
      <c r="A76" s="19">
        <f t="shared" si="2"/>
        <v>74</v>
      </c>
      <c r="B76" s="20"/>
      <c r="C76" s="20"/>
      <c r="D76" s="31" t="s">
        <v>192</v>
      </c>
      <c r="E76" s="20" t="s">
        <v>231</v>
      </c>
      <c r="F76" s="32" t="s">
        <v>230</v>
      </c>
      <c r="G76" s="22"/>
      <c r="H76" s="23"/>
      <c r="I76" s="23"/>
      <c r="J76" s="24"/>
      <c r="K76" s="22"/>
      <c r="L76" s="23" t="s">
        <v>391</v>
      </c>
      <c r="M76" s="23"/>
      <c r="N76" s="25"/>
      <c r="O76" s="25"/>
      <c r="P76" s="25"/>
      <c r="Q76" s="24"/>
      <c r="R76" s="106">
        <v>45325</v>
      </c>
      <c r="S76" s="26">
        <v>45691</v>
      </c>
      <c r="T76" s="27"/>
      <c r="U76" s="28"/>
      <c r="V76" s="29"/>
      <c r="W76" s="30"/>
    </row>
    <row r="77" spans="1:23" ht="11.4" x14ac:dyDescent="0.15">
      <c r="A77" s="19">
        <f t="shared" si="2"/>
        <v>75</v>
      </c>
      <c r="B77" s="20"/>
      <c r="C77" s="20"/>
      <c r="D77" s="31" t="s">
        <v>194</v>
      </c>
      <c r="E77" s="20" t="s">
        <v>231</v>
      </c>
      <c r="F77" s="32" t="s">
        <v>230</v>
      </c>
      <c r="G77" s="22"/>
      <c r="H77" s="23"/>
      <c r="I77" s="23"/>
      <c r="J77" s="24"/>
      <c r="K77" s="22"/>
      <c r="L77" s="23" t="s">
        <v>391</v>
      </c>
      <c r="M77" s="23"/>
      <c r="N77" s="25"/>
      <c r="O77" s="25"/>
      <c r="P77" s="25"/>
      <c r="Q77" s="24"/>
      <c r="R77" s="106">
        <v>45325</v>
      </c>
      <c r="S77" s="26">
        <v>45691</v>
      </c>
      <c r="T77" s="27"/>
      <c r="U77" s="28"/>
      <c r="V77" s="29"/>
      <c r="W77" s="30"/>
    </row>
    <row r="78" spans="1:23" ht="11.4" x14ac:dyDescent="0.15">
      <c r="A78" s="19">
        <f t="shared" si="2"/>
        <v>76</v>
      </c>
      <c r="B78" s="20"/>
      <c r="C78" s="20"/>
      <c r="D78" s="31" t="s">
        <v>196</v>
      </c>
      <c r="E78" s="20" t="s">
        <v>231</v>
      </c>
      <c r="F78" s="32" t="s">
        <v>230</v>
      </c>
      <c r="G78" s="22"/>
      <c r="H78" s="23"/>
      <c r="I78" s="23"/>
      <c r="J78" s="24"/>
      <c r="K78" s="22"/>
      <c r="L78" s="23" t="s">
        <v>391</v>
      </c>
      <c r="M78" s="23"/>
      <c r="N78" s="25"/>
      <c r="O78" s="25"/>
      <c r="P78" s="25"/>
      <c r="Q78" s="24"/>
      <c r="R78" s="106">
        <v>45325</v>
      </c>
      <c r="S78" s="26">
        <v>45691</v>
      </c>
      <c r="T78" s="27"/>
      <c r="U78" s="28"/>
      <c r="V78" s="29"/>
      <c r="W78" s="30"/>
    </row>
    <row r="79" spans="1:23" ht="11.4" x14ac:dyDescent="0.15">
      <c r="A79" s="19">
        <f t="shared" si="2"/>
        <v>77</v>
      </c>
      <c r="B79" s="20"/>
      <c r="C79" s="20"/>
      <c r="D79" s="31" t="s">
        <v>198</v>
      </c>
      <c r="E79" s="20" t="s">
        <v>231</v>
      </c>
      <c r="F79" s="32" t="s">
        <v>230</v>
      </c>
      <c r="G79" s="22"/>
      <c r="H79" s="23"/>
      <c r="I79" s="23"/>
      <c r="J79" s="24"/>
      <c r="K79" s="22"/>
      <c r="L79" s="23" t="s">
        <v>391</v>
      </c>
      <c r="M79" s="23"/>
      <c r="N79" s="25"/>
      <c r="O79" s="25"/>
      <c r="P79" s="25"/>
      <c r="Q79" s="24"/>
      <c r="R79" s="106">
        <v>45325</v>
      </c>
      <c r="S79" s="26">
        <v>45691</v>
      </c>
      <c r="T79" s="27"/>
      <c r="U79" s="28"/>
      <c r="V79" s="29"/>
      <c r="W79" s="30"/>
    </row>
    <row r="80" spans="1:23" ht="11.4" x14ac:dyDescent="0.15">
      <c r="A80" s="19">
        <f t="shared" si="2"/>
        <v>78</v>
      </c>
      <c r="B80" s="20"/>
      <c r="C80" s="20"/>
      <c r="D80" s="31" t="s">
        <v>200</v>
      </c>
      <c r="E80" s="20" t="s">
        <v>231</v>
      </c>
      <c r="F80" s="32" t="s">
        <v>230</v>
      </c>
      <c r="G80" s="22"/>
      <c r="H80" s="23"/>
      <c r="I80" s="23"/>
      <c r="J80" s="24"/>
      <c r="K80" s="22"/>
      <c r="L80" s="23" t="s">
        <v>391</v>
      </c>
      <c r="M80" s="23"/>
      <c r="N80" s="25"/>
      <c r="O80" s="25"/>
      <c r="P80" s="25"/>
      <c r="Q80" s="24"/>
      <c r="R80" s="106">
        <v>45325</v>
      </c>
      <c r="S80" s="26">
        <v>45691</v>
      </c>
      <c r="T80" s="27"/>
      <c r="U80" s="28"/>
      <c r="V80" s="29"/>
      <c r="W80" s="30"/>
    </row>
    <row r="81" spans="1:23" ht="11.4" x14ac:dyDescent="0.15">
      <c r="A81" s="19">
        <f t="shared" si="2"/>
        <v>79</v>
      </c>
      <c r="B81" s="20"/>
      <c r="C81" s="20"/>
      <c r="D81" s="31" t="s">
        <v>202</v>
      </c>
      <c r="E81" s="20" t="s">
        <v>231</v>
      </c>
      <c r="F81" s="32" t="s">
        <v>230</v>
      </c>
      <c r="G81" s="22"/>
      <c r="H81" s="23"/>
      <c r="I81" s="23"/>
      <c r="J81" s="24"/>
      <c r="K81" s="22"/>
      <c r="L81" s="23" t="s">
        <v>391</v>
      </c>
      <c r="M81" s="23"/>
      <c r="N81" s="25"/>
      <c r="O81" s="25"/>
      <c r="P81" s="25"/>
      <c r="Q81" s="24"/>
      <c r="R81" s="106">
        <v>45325</v>
      </c>
      <c r="S81" s="26">
        <v>45691</v>
      </c>
      <c r="T81" s="27"/>
      <c r="U81" s="28"/>
      <c r="V81" s="29"/>
      <c r="W81" s="30"/>
    </row>
    <row r="82" spans="1:23" ht="11.4" x14ac:dyDescent="0.15">
      <c r="A82" s="19">
        <f t="shared" si="2"/>
        <v>80</v>
      </c>
      <c r="B82" s="20"/>
      <c r="C82" s="20"/>
      <c r="D82" s="20" t="s">
        <v>204</v>
      </c>
      <c r="E82" s="20" t="s">
        <v>231</v>
      </c>
      <c r="F82" s="32" t="s">
        <v>230</v>
      </c>
      <c r="G82" s="22"/>
      <c r="H82" s="23"/>
      <c r="I82" s="23"/>
      <c r="J82" s="24"/>
      <c r="K82" s="22"/>
      <c r="L82" s="23" t="s">
        <v>391</v>
      </c>
      <c r="M82" s="23"/>
      <c r="N82" s="25"/>
      <c r="O82" s="25"/>
      <c r="P82" s="25"/>
      <c r="Q82" s="24"/>
      <c r="R82" s="106">
        <v>45325</v>
      </c>
      <c r="S82" s="26">
        <v>45691</v>
      </c>
      <c r="T82" s="27"/>
      <c r="U82" s="28"/>
      <c r="V82" s="29"/>
      <c r="W82" s="30"/>
    </row>
    <row r="83" spans="1:23" ht="11.4" x14ac:dyDescent="0.15">
      <c r="A83" s="19">
        <f t="shared" si="2"/>
        <v>81</v>
      </c>
      <c r="B83" s="20"/>
      <c r="C83" s="20"/>
      <c r="D83" s="20" t="s">
        <v>206</v>
      </c>
      <c r="E83" s="20" t="s">
        <v>231</v>
      </c>
      <c r="F83" s="32" t="s">
        <v>230</v>
      </c>
      <c r="G83" s="22"/>
      <c r="H83" s="23"/>
      <c r="I83" s="23"/>
      <c r="J83" s="24"/>
      <c r="K83" s="22"/>
      <c r="L83" s="23" t="s">
        <v>391</v>
      </c>
      <c r="M83" s="23"/>
      <c r="N83" s="25"/>
      <c r="O83" s="25"/>
      <c r="P83" s="25"/>
      <c r="Q83" s="24"/>
      <c r="R83" s="106">
        <v>45325</v>
      </c>
      <c r="S83" s="26">
        <v>45691</v>
      </c>
      <c r="T83" s="27"/>
      <c r="U83" s="28"/>
      <c r="V83" s="29"/>
      <c r="W83" s="30"/>
    </row>
    <row r="84" spans="1:23" ht="11.4" x14ac:dyDescent="0.15">
      <c r="A84" s="19">
        <f t="shared" si="2"/>
        <v>82</v>
      </c>
      <c r="B84" s="20"/>
      <c r="C84" s="20"/>
      <c r="D84" s="31" t="s">
        <v>208</v>
      </c>
      <c r="E84" s="20" t="s">
        <v>231</v>
      </c>
      <c r="F84" s="32" t="s">
        <v>230</v>
      </c>
      <c r="G84" s="22"/>
      <c r="H84" s="23"/>
      <c r="I84" s="23"/>
      <c r="J84" s="24"/>
      <c r="K84" s="22"/>
      <c r="L84" s="23" t="s">
        <v>391</v>
      </c>
      <c r="M84" s="23"/>
      <c r="N84" s="25"/>
      <c r="O84" s="25"/>
      <c r="P84" s="25"/>
      <c r="Q84" s="24"/>
      <c r="R84" s="106">
        <v>45325</v>
      </c>
      <c r="S84" s="26">
        <v>45691</v>
      </c>
      <c r="T84" s="27"/>
      <c r="U84" s="28"/>
      <c r="V84" s="29"/>
      <c r="W84" s="30"/>
    </row>
    <row r="85" spans="1:23" ht="11.4" x14ac:dyDescent="0.15">
      <c r="A85" s="19">
        <f t="shared" si="2"/>
        <v>83</v>
      </c>
      <c r="B85" s="20"/>
      <c r="C85" s="20"/>
      <c r="D85" s="31" t="s">
        <v>210</v>
      </c>
      <c r="E85" s="20" t="s">
        <v>231</v>
      </c>
      <c r="F85" s="32" t="s">
        <v>230</v>
      </c>
      <c r="G85" s="22"/>
      <c r="H85" s="23"/>
      <c r="I85" s="23"/>
      <c r="J85" s="24"/>
      <c r="K85" s="22"/>
      <c r="L85" s="23" t="s">
        <v>391</v>
      </c>
      <c r="M85" s="23"/>
      <c r="N85" s="25"/>
      <c r="O85" s="25"/>
      <c r="P85" s="25"/>
      <c r="Q85" s="24"/>
      <c r="R85" s="106">
        <v>45325</v>
      </c>
      <c r="S85" s="26">
        <v>45695</v>
      </c>
      <c r="T85" s="27"/>
      <c r="U85" s="28"/>
      <c r="V85" s="29"/>
      <c r="W85" s="30"/>
    </row>
    <row r="86" spans="1:23" ht="11.4" x14ac:dyDescent="0.15">
      <c r="A86" s="19">
        <f t="shared" si="2"/>
        <v>84</v>
      </c>
      <c r="B86" s="33"/>
      <c r="C86" s="33"/>
      <c r="D86" s="31" t="s">
        <v>212</v>
      </c>
      <c r="E86" s="20" t="s">
        <v>231</v>
      </c>
      <c r="F86" s="32" t="s">
        <v>230</v>
      </c>
      <c r="G86" s="22"/>
      <c r="H86" s="23"/>
      <c r="I86" s="23"/>
      <c r="J86" s="24"/>
      <c r="K86" s="22"/>
      <c r="L86" s="23" t="s">
        <v>391</v>
      </c>
      <c r="M86" s="23"/>
      <c r="N86" s="25"/>
      <c r="O86" s="25"/>
      <c r="P86" s="25"/>
      <c r="Q86" s="24"/>
      <c r="R86" s="106">
        <v>45325</v>
      </c>
      <c r="S86" s="26">
        <v>45691</v>
      </c>
      <c r="T86" s="27"/>
      <c r="U86" s="28"/>
      <c r="V86" s="29"/>
      <c r="W86" s="30"/>
    </row>
    <row r="87" spans="1:23" ht="11.4" x14ac:dyDescent="0.15">
      <c r="A87" s="19">
        <f t="shared" si="2"/>
        <v>85</v>
      </c>
      <c r="B87" s="33"/>
      <c r="C87" s="33"/>
      <c r="D87" s="31" t="s">
        <v>214</v>
      </c>
      <c r="E87" s="20" t="s">
        <v>231</v>
      </c>
      <c r="F87" s="32" t="s">
        <v>230</v>
      </c>
      <c r="G87" s="22"/>
      <c r="H87" s="23"/>
      <c r="I87" s="23"/>
      <c r="J87" s="24"/>
      <c r="K87" s="22"/>
      <c r="L87" s="23" t="s">
        <v>391</v>
      </c>
      <c r="M87" s="23"/>
      <c r="N87" s="25"/>
      <c r="O87" s="25"/>
      <c r="P87" s="25"/>
      <c r="Q87" s="24"/>
      <c r="R87" s="106">
        <v>45325</v>
      </c>
      <c r="S87" s="26">
        <v>45695</v>
      </c>
      <c r="T87" s="27"/>
      <c r="U87" s="28"/>
      <c r="V87" s="29"/>
      <c r="W87" s="30"/>
    </row>
    <row r="88" spans="1:23" ht="11.4" x14ac:dyDescent="0.15">
      <c r="A88" s="19">
        <f t="shared" si="2"/>
        <v>86</v>
      </c>
      <c r="B88" s="33"/>
      <c r="C88" s="33"/>
      <c r="D88" s="31" t="s">
        <v>216</v>
      </c>
      <c r="E88" s="20" t="s">
        <v>231</v>
      </c>
      <c r="F88" s="32" t="s">
        <v>230</v>
      </c>
      <c r="G88" s="22"/>
      <c r="H88" s="23"/>
      <c r="I88" s="23"/>
      <c r="J88" s="24"/>
      <c r="K88" s="22"/>
      <c r="L88" s="23" t="s">
        <v>391</v>
      </c>
      <c r="M88" s="23"/>
      <c r="N88" s="25"/>
      <c r="O88" s="25"/>
      <c r="P88" s="25"/>
      <c r="Q88" s="24"/>
      <c r="R88" s="106">
        <v>45325</v>
      </c>
      <c r="S88" s="26">
        <v>45695</v>
      </c>
      <c r="T88" s="27"/>
      <c r="U88" s="28"/>
      <c r="V88" s="29"/>
      <c r="W88" s="30"/>
    </row>
    <row r="89" spans="1:23" ht="11.4" x14ac:dyDescent="0.15">
      <c r="A89" s="19">
        <f t="shared" si="2"/>
        <v>87</v>
      </c>
      <c r="B89" s="33"/>
      <c r="C89" s="33"/>
      <c r="D89" s="31" t="s">
        <v>218</v>
      </c>
      <c r="E89" s="20" t="s">
        <v>231</v>
      </c>
      <c r="F89" s="32" t="s">
        <v>230</v>
      </c>
      <c r="G89" s="22"/>
      <c r="H89" s="23"/>
      <c r="I89" s="23"/>
      <c r="J89" s="24"/>
      <c r="K89" s="22"/>
      <c r="L89" s="23" t="s">
        <v>391</v>
      </c>
      <c r="M89" s="23"/>
      <c r="N89" s="25"/>
      <c r="O89" s="25"/>
      <c r="P89" s="25"/>
      <c r="Q89" s="24"/>
      <c r="R89" s="106">
        <v>45325</v>
      </c>
      <c r="S89" s="26">
        <v>45691</v>
      </c>
      <c r="T89" s="27"/>
      <c r="U89" s="28"/>
      <c r="V89" s="29"/>
      <c r="W89" s="30"/>
    </row>
    <row r="90" spans="1:23" ht="11.4" x14ac:dyDescent="0.15">
      <c r="A90" s="19">
        <f t="shared" si="2"/>
        <v>88</v>
      </c>
      <c r="B90" s="33"/>
      <c r="C90" s="20"/>
      <c r="D90" s="20" t="s">
        <v>220</v>
      </c>
      <c r="E90" s="20" t="s">
        <v>231</v>
      </c>
      <c r="F90" s="32" t="s">
        <v>230</v>
      </c>
      <c r="G90" s="22"/>
      <c r="H90" s="23"/>
      <c r="I90" s="23"/>
      <c r="J90" s="24"/>
      <c r="K90" s="22"/>
      <c r="L90" s="23" t="s">
        <v>391</v>
      </c>
      <c r="M90" s="23"/>
      <c r="N90" s="25"/>
      <c r="O90" s="25"/>
      <c r="P90" s="25"/>
      <c r="Q90" s="24"/>
      <c r="R90" s="106">
        <v>45325</v>
      </c>
      <c r="S90" s="26">
        <v>45695</v>
      </c>
      <c r="T90" s="27"/>
      <c r="U90" s="28"/>
      <c r="V90" s="29"/>
      <c r="W90" s="30"/>
    </row>
    <row r="91" spans="1:23" ht="11.4" x14ac:dyDescent="0.15">
      <c r="A91" s="19">
        <f t="shared" si="2"/>
        <v>89</v>
      </c>
      <c r="B91" s="33"/>
      <c r="C91" s="20"/>
      <c r="D91" s="20" t="s">
        <v>222</v>
      </c>
      <c r="E91" s="20" t="s">
        <v>231</v>
      </c>
      <c r="F91" s="32" t="s">
        <v>230</v>
      </c>
      <c r="G91" s="22"/>
      <c r="H91" s="23"/>
      <c r="I91" s="23"/>
      <c r="J91" s="24"/>
      <c r="K91" s="22"/>
      <c r="L91" s="23" t="s">
        <v>391</v>
      </c>
      <c r="M91" s="23"/>
      <c r="N91" s="25"/>
      <c r="O91" s="25"/>
      <c r="P91" s="25"/>
      <c r="Q91" s="24"/>
      <c r="R91" s="106">
        <v>45325</v>
      </c>
      <c r="S91" s="26">
        <v>45695</v>
      </c>
      <c r="T91" s="27"/>
      <c r="U91" s="28"/>
      <c r="V91" s="29"/>
      <c r="W91" s="30"/>
    </row>
    <row r="92" spans="1:23" ht="11.4" x14ac:dyDescent="0.15">
      <c r="A92" s="19">
        <f t="shared" si="2"/>
        <v>90</v>
      </c>
      <c r="B92" s="33"/>
      <c r="C92" s="33"/>
      <c r="D92" s="31" t="s">
        <v>224</v>
      </c>
      <c r="E92" s="20" t="s">
        <v>231</v>
      </c>
      <c r="F92" s="32" t="s">
        <v>230</v>
      </c>
      <c r="G92" s="22"/>
      <c r="H92" s="23"/>
      <c r="I92" s="23"/>
      <c r="J92" s="24"/>
      <c r="K92" s="22"/>
      <c r="L92" s="23" t="s">
        <v>391</v>
      </c>
      <c r="M92" s="23"/>
      <c r="N92" s="25"/>
      <c r="O92" s="25"/>
      <c r="P92" s="25"/>
      <c r="Q92" s="24"/>
      <c r="R92" s="106">
        <v>45325</v>
      </c>
      <c r="S92" s="26">
        <v>45691</v>
      </c>
      <c r="T92" s="27"/>
      <c r="U92" s="28"/>
      <c r="V92" s="29"/>
      <c r="W92" s="30"/>
    </row>
    <row r="93" spans="1:23" ht="11.4" x14ac:dyDescent="0.15">
      <c r="A93" s="19">
        <f t="shared" ref="A93" si="4">ROW()-2</f>
        <v>91</v>
      </c>
      <c r="B93" s="33"/>
      <c r="C93" s="20"/>
      <c r="D93" s="31" t="s">
        <v>226</v>
      </c>
      <c r="E93" s="20" t="s">
        <v>231</v>
      </c>
      <c r="F93" s="32" t="s">
        <v>230</v>
      </c>
      <c r="G93" s="22"/>
      <c r="H93" s="23"/>
      <c r="I93" s="23"/>
      <c r="J93" s="24"/>
      <c r="K93" s="22"/>
      <c r="L93" s="23" t="s">
        <v>391</v>
      </c>
      <c r="M93" s="23"/>
      <c r="N93" s="25"/>
      <c r="O93" s="25"/>
      <c r="P93" s="25"/>
      <c r="Q93" s="24"/>
      <c r="R93" s="106">
        <v>45325</v>
      </c>
      <c r="S93" s="26">
        <v>45691</v>
      </c>
      <c r="T93" s="27"/>
      <c r="U93" s="28"/>
      <c r="V93" s="29"/>
      <c r="W93" s="30"/>
    </row>
    <row r="94" spans="1:23" s="3" customFormat="1" ht="12" customHeight="1" x14ac:dyDescent="0.25">
      <c r="A94" s="34"/>
      <c r="B94" s="35"/>
      <c r="C94" s="36"/>
      <c r="D94" s="36"/>
      <c r="E94" s="35"/>
      <c r="F94" s="37" t="s">
        <v>51</v>
      </c>
      <c r="G94" s="38">
        <f>COUNTIF(G3:G93,"●")</f>
        <v>2</v>
      </c>
      <c r="H94" s="39">
        <f t="shared" ref="H94:Q94" si="5">COUNTIF(H3:H93,"●")</f>
        <v>0</v>
      </c>
      <c r="I94" s="39">
        <f t="shared" si="5"/>
        <v>0</v>
      </c>
      <c r="J94" s="40">
        <f t="shared" si="5"/>
        <v>0</v>
      </c>
      <c r="K94" s="38">
        <f t="shared" si="5"/>
        <v>0</v>
      </c>
      <c r="L94" s="39">
        <f t="shared" si="5"/>
        <v>87</v>
      </c>
      <c r="M94" s="39">
        <f t="shared" si="5"/>
        <v>0</v>
      </c>
      <c r="N94" s="41">
        <f t="shared" si="5"/>
        <v>0</v>
      </c>
      <c r="O94" s="41">
        <f t="shared" si="5"/>
        <v>0</v>
      </c>
      <c r="P94" s="41">
        <f t="shared" si="5"/>
        <v>0</v>
      </c>
      <c r="Q94" s="40">
        <f t="shared" si="5"/>
        <v>0</v>
      </c>
      <c r="R94" s="108"/>
      <c r="S94" s="141" t="s">
        <v>52</v>
      </c>
      <c r="T94" s="141"/>
      <c r="U94" s="142"/>
      <c r="V94" s="42" t="s">
        <v>53</v>
      </c>
      <c r="W94" s="43">
        <f>SUM(G94:Q94)</f>
        <v>89</v>
      </c>
    </row>
    <row r="95" spans="1:23" s="3" customFormat="1" ht="12" customHeight="1" x14ac:dyDescent="0.25">
      <c r="A95" s="44"/>
      <c r="B95" s="45" t="s">
        <v>54</v>
      </c>
      <c r="C95" s="46">
        <f>W96</f>
        <v>89</v>
      </c>
      <c r="D95" s="46"/>
      <c r="E95" s="45"/>
      <c r="F95" s="47" t="s">
        <v>55</v>
      </c>
      <c r="G95" s="48">
        <f>COUNTIF(G3:G93,"×")</f>
        <v>0</v>
      </c>
      <c r="H95" s="49">
        <f t="shared" ref="H95:Q95" si="6">COUNTIF(H3:H93,"×")</f>
        <v>0</v>
      </c>
      <c r="I95" s="49">
        <f t="shared" si="6"/>
        <v>0</v>
      </c>
      <c r="J95" s="50">
        <f t="shared" si="6"/>
        <v>0</v>
      </c>
      <c r="K95" s="48">
        <f t="shared" si="6"/>
        <v>0</v>
      </c>
      <c r="L95" s="49">
        <f t="shared" si="6"/>
        <v>0</v>
      </c>
      <c r="M95" s="49">
        <f t="shared" si="6"/>
        <v>0</v>
      </c>
      <c r="N95" s="51">
        <f t="shared" si="6"/>
        <v>0</v>
      </c>
      <c r="O95" s="51">
        <f t="shared" si="6"/>
        <v>0</v>
      </c>
      <c r="P95" s="51">
        <f t="shared" si="6"/>
        <v>0</v>
      </c>
      <c r="Q95" s="50">
        <f t="shared" si="6"/>
        <v>0</v>
      </c>
      <c r="R95" s="109"/>
      <c r="S95" s="143"/>
      <c r="T95" s="143"/>
      <c r="U95" s="144"/>
      <c r="V95" s="52" t="s">
        <v>53</v>
      </c>
      <c r="W95" s="53">
        <f t="shared" ref="W95:W97" si="7">SUM(G95:Q95)</f>
        <v>0</v>
      </c>
    </row>
    <row r="96" spans="1:23" s="3" customFormat="1" ht="12" customHeight="1" x14ac:dyDescent="0.25">
      <c r="A96" s="54" t="s">
        <v>56</v>
      </c>
      <c r="B96" s="55"/>
      <c r="C96" s="56"/>
      <c r="D96" s="56"/>
      <c r="E96" s="55"/>
      <c r="F96" s="57" t="s">
        <v>57</v>
      </c>
      <c r="G96" s="48">
        <f t="shared" ref="G96:Q96" si="8">G94+G95</f>
        <v>2</v>
      </c>
      <c r="H96" s="49">
        <f t="shared" si="8"/>
        <v>0</v>
      </c>
      <c r="I96" s="49">
        <f t="shared" si="8"/>
        <v>0</v>
      </c>
      <c r="J96" s="50">
        <f t="shared" si="8"/>
        <v>0</v>
      </c>
      <c r="K96" s="48">
        <f t="shared" si="8"/>
        <v>0</v>
      </c>
      <c r="L96" s="49">
        <f t="shared" si="8"/>
        <v>87</v>
      </c>
      <c r="M96" s="49">
        <f t="shared" si="8"/>
        <v>0</v>
      </c>
      <c r="N96" s="51">
        <f t="shared" si="8"/>
        <v>0</v>
      </c>
      <c r="O96" s="51">
        <f t="shared" si="8"/>
        <v>0</v>
      </c>
      <c r="P96" s="51">
        <f t="shared" si="8"/>
        <v>0</v>
      </c>
      <c r="Q96" s="50">
        <f t="shared" si="8"/>
        <v>0</v>
      </c>
      <c r="R96" s="137"/>
      <c r="S96" s="145">
        <f>COUNTA(S3:S91)</f>
        <v>87</v>
      </c>
      <c r="T96" s="147">
        <f>COUNTA(T3:T91)</f>
        <v>0</v>
      </c>
      <c r="U96" s="149">
        <f>COUNTA(U3:U91)</f>
        <v>0</v>
      </c>
      <c r="V96" s="58" t="s">
        <v>53</v>
      </c>
      <c r="W96" s="53">
        <f t="shared" si="7"/>
        <v>89</v>
      </c>
    </row>
    <row r="97" spans="1:23" s="3" customFormat="1" ht="12" customHeight="1" x14ac:dyDescent="0.25">
      <c r="A97" s="59"/>
      <c r="B97" s="60" t="s">
        <v>58</v>
      </c>
      <c r="C97" s="61">
        <f>W97</f>
        <v>89</v>
      </c>
      <c r="D97" s="61"/>
      <c r="E97" s="60"/>
      <c r="F97" s="62" t="s">
        <v>59</v>
      </c>
      <c r="G97" s="63">
        <f>COUNTA(G3:G93)</f>
        <v>2</v>
      </c>
      <c r="H97" s="64">
        <f t="shared" ref="H97:Q97" si="9">COUNTA(H3:H93)</f>
        <v>0</v>
      </c>
      <c r="I97" s="64">
        <f t="shared" si="9"/>
        <v>0</v>
      </c>
      <c r="J97" s="65">
        <f t="shared" si="9"/>
        <v>0</v>
      </c>
      <c r="K97" s="63">
        <f t="shared" si="9"/>
        <v>0</v>
      </c>
      <c r="L97" s="64">
        <f t="shared" si="9"/>
        <v>87</v>
      </c>
      <c r="M97" s="64">
        <f t="shared" si="9"/>
        <v>0</v>
      </c>
      <c r="N97" s="66">
        <f t="shared" si="9"/>
        <v>0</v>
      </c>
      <c r="O97" s="66">
        <f t="shared" si="9"/>
        <v>0</v>
      </c>
      <c r="P97" s="66">
        <f t="shared" si="9"/>
        <v>0</v>
      </c>
      <c r="Q97" s="65">
        <f t="shared" si="9"/>
        <v>0</v>
      </c>
      <c r="R97" s="138"/>
      <c r="S97" s="146"/>
      <c r="T97" s="148"/>
      <c r="U97" s="150"/>
      <c r="V97" s="67" t="s">
        <v>53</v>
      </c>
      <c r="W97" s="68">
        <f t="shared" si="7"/>
        <v>89</v>
      </c>
    </row>
  </sheetData>
  <mergeCells count="16">
    <mergeCell ref="S96:S97"/>
    <mergeCell ref="T96:T97"/>
    <mergeCell ref="U96:U97"/>
    <mergeCell ref="F1:F2"/>
    <mergeCell ref="G1:J1"/>
    <mergeCell ref="K1:Q1"/>
    <mergeCell ref="S1:U1"/>
    <mergeCell ref="R96:R97"/>
    <mergeCell ref="R1:R2"/>
    <mergeCell ref="V1:V2"/>
    <mergeCell ref="S94:U95"/>
    <mergeCell ref="A1:A2"/>
    <mergeCell ref="B1:B2"/>
    <mergeCell ref="C1:C2"/>
    <mergeCell ref="D1:D2"/>
    <mergeCell ref="E1:E2"/>
  </mergeCells>
  <phoneticPr fontId="12"/>
  <printOptions horizontalCentered="1"/>
  <pageMargins left="0.19685039370078741" right="0.19685039370078741" top="0.59055118110236227" bottom="0.59055118110236227" header="0.51181102362204722" footer="0.31496062992125984"/>
  <pageSetup paperSize="9" scale="67" fitToHeight="0" orientation="landscape" r:id="rId1"/>
  <headerFooter alignWithMargins="0">
    <oddFooter>&amp;RAll Rights Reserved Copyright © Fujitsu Ltd.2017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8617B-C9CD-46C5-A6C9-8C48EBA42B3A}">
  <sheetPr>
    <tabColor theme="0" tint="-0.249977111117893"/>
  </sheetPr>
  <dimension ref="B2:AG49"/>
  <sheetViews>
    <sheetView workbookViewId="0"/>
  </sheetViews>
  <sheetFormatPr defaultColWidth="9" defaultRowHeight="12.6" x14ac:dyDescent="0.25"/>
  <cols>
    <col min="1" max="1" width="9" style="77"/>
    <col min="2" max="2" width="23.625" style="77" bestFit="1" customWidth="1"/>
    <col min="3" max="3" width="42.125" style="77" bestFit="1" customWidth="1"/>
    <col min="4" max="4" width="9" style="77"/>
    <col min="5" max="5" width="18.625" style="77" bestFit="1" customWidth="1"/>
    <col min="6" max="6" width="5.5" style="77" bestFit="1" customWidth="1"/>
    <col min="7" max="7" width="29.625" style="77" bestFit="1" customWidth="1"/>
    <col min="8" max="8" width="16.125" style="77" bestFit="1" customWidth="1"/>
    <col min="9" max="9" width="5.5" style="77" customWidth="1"/>
    <col min="10" max="10" width="11.375" style="77" bestFit="1" customWidth="1"/>
    <col min="11" max="11" width="29.625" style="77" bestFit="1" customWidth="1"/>
    <col min="12" max="12" width="23.125" style="77" bestFit="1" customWidth="1"/>
    <col min="13" max="13" width="9" style="77"/>
    <col min="14" max="14" width="13.375" style="77" bestFit="1" customWidth="1"/>
    <col min="15" max="15" width="10.375" style="77" bestFit="1" customWidth="1"/>
    <col min="16" max="16" width="12.125" style="77" bestFit="1" customWidth="1"/>
    <col min="17" max="17" width="5.5" style="77" bestFit="1" customWidth="1"/>
    <col min="18" max="18" width="9" style="77"/>
    <col min="19" max="19" width="11.125" style="77" bestFit="1" customWidth="1"/>
    <col min="20" max="20" width="9.125" style="77" bestFit="1" customWidth="1"/>
    <col min="21" max="21" width="16.625" style="77" bestFit="1" customWidth="1"/>
    <col min="22" max="22" width="5.5" style="77" bestFit="1" customWidth="1"/>
    <col min="23" max="23" width="9" style="77"/>
    <col min="24" max="25" width="17.5" style="77" bestFit="1" customWidth="1"/>
    <col min="26" max="26" width="15.625" style="77" bestFit="1" customWidth="1"/>
    <col min="27" max="27" width="7.375" style="77" bestFit="1" customWidth="1"/>
    <col min="28" max="28" width="9" style="77"/>
    <col min="29" max="29" width="18.625" style="77" bestFit="1" customWidth="1"/>
    <col min="30" max="30" width="19.625" style="77" bestFit="1" customWidth="1"/>
    <col min="31" max="31" width="5.5" style="77" bestFit="1" customWidth="1"/>
    <col min="32" max="32" width="29.625" style="77" bestFit="1" customWidth="1"/>
    <col min="33" max="33" width="26.625" style="77" bestFit="1" customWidth="1"/>
    <col min="34" max="16384" width="9" style="77"/>
  </cols>
  <sheetData>
    <row r="2" spans="2:33" x14ac:dyDescent="0.25">
      <c r="B2" s="77" t="s">
        <v>232</v>
      </c>
    </row>
    <row r="4" spans="2:33" x14ac:dyDescent="0.25">
      <c r="B4" s="77" t="s">
        <v>233</v>
      </c>
      <c r="E4" s="77" t="s">
        <v>234</v>
      </c>
      <c r="J4" s="77" t="s">
        <v>235</v>
      </c>
      <c r="N4" s="77" t="s">
        <v>236</v>
      </c>
      <c r="S4" s="77" t="s">
        <v>237</v>
      </c>
      <c r="X4" s="77" t="s">
        <v>238</v>
      </c>
      <c r="AC4" s="77" t="s">
        <v>239</v>
      </c>
    </row>
    <row r="6" spans="2:33" ht="13.2" thickBot="1" x14ac:dyDescent="0.3">
      <c r="B6" s="78" t="s">
        <v>240</v>
      </c>
      <c r="C6" s="79" t="s">
        <v>241</v>
      </c>
      <c r="E6" s="78" t="s">
        <v>242</v>
      </c>
      <c r="F6" s="80" t="s">
        <v>243</v>
      </c>
      <c r="G6" s="80" t="s">
        <v>244</v>
      </c>
      <c r="H6" s="79" t="s">
        <v>17</v>
      </c>
      <c r="J6" s="78" t="s">
        <v>242</v>
      </c>
      <c r="K6" s="80" t="s">
        <v>244</v>
      </c>
      <c r="L6" s="79" t="s">
        <v>17</v>
      </c>
      <c r="N6" s="78" t="s">
        <v>242</v>
      </c>
      <c r="O6" s="80" t="s">
        <v>245</v>
      </c>
      <c r="P6" s="80" t="s">
        <v>244</v>
      </c>
      <c r="Q6" s="79" t="s">
        <v>17</v>
      </c>
      <c r="S6" s="78" t="s">
        <v>242</v>
      </c>
      <c r="T6" s="80" t="s">
        <v>245</v>
      </c>
      <c r="U6" s="80" t="s">
        <v>244</v>
      </c>
      <c r="V6" s="79" t="s">
        <v>17</v>
      </c>
      <c r="X6" s="78" t="s">
        <v>242</v>
      </c>
      <c r="Y6" s="80" t="s">
        <v>245</v>
      </c>
      <c r="Z6" s="80" t="s">
        <v>244</v>
      </c>
      <c r="AA6" s="79" t="s">
        <v>17</v>
      </c>
      <c r="AC6" s="78" t="s">
        <v>242</v>
      </c>
      <c r="AD6" s="80" t="s">
        <v>246</v>
      </c>
      <c r="AE6" s="80" t="s">
        <v>247</v>
      </c>
      <c r="AF6" s="80" t="s">
        <v>244</v>
      </c>
      <c r="AG6" s="79" t="s">
        <v>17</v>
      </c>
    </row>
    <row r="7" spans="2:33" ht="13.2" thickTop="1" x14ac:dyDescent="0.25">
      <c r="B7" s="81" t="s">
        <v>169</v>
      </c>
      <c r="C7" s="82" t="s">
        <v>248</v>
      </c>
      <c r="E7" s="81" t="s">
        <v>249</v>
      </c>
      <c r="F7" s="77" t="s">
        <v>250</v>
      </c>
      <c r="G7" s="77" t="s">
        <v>251</v>
      </c>
      <c r="H7" s="82"/>
      <c r="J7" s="81" t="s">
        <v>252</v>
      </c>
      <c r="K7" s="77" t="s">
        <v>253</v>
      </c>
      <c r="L7" s="82"/>
      <c r="N7" s="81" t="s">
        <v>254</v>
      </c>
      <c r="P7" s="77" t="s">
        <v>253</v>
      </c>
      <c r="Q7" s="82"/>
      <c r="S7" s="81" t="s">
        <v>255</v>
      </c>
      <c r="T7" s="77" t="s">
        <v>256</v>
      </c>
      <c r="U7" s="77" t="s">
        <v>257</v>
      </c>
      <c r="V7" s="82"/>
      <c r="X7" s="81" t="s">
        <v>258</v>
      </c>
      <c r="Z7" s="77" t="s">
        <v>259</v>
      </c>
      <c r="AA7" s="82"/>
      <c r="AC7" s="81" t="s">
        <v>260</v>
      </c>
      <c r="AE7" s="77" t="s">
        <v>261</v>
      </c>
      <c r="AF7" s="77" t="s">
        <v>262</v>
      </c>
      <c r="AG7" s="82"/>
    </row>
    <row r="8" spans="2:33" x14ac:dyDescent="0.25">
      <c r="B8" s="81" t="s">
        <v>172</v>
      </c>
      <c r="C8" s="82" t="s">
        <v>263</v>
      </c>
      <c r="E8" s="81" t="s">
        <v>264</v>
      </c>
      <c r="F8" s="77" t="s">
        <v>261</v>
      </c>
      <c r="G8" s="77" t="s">
        <v>262</v>
      </c>
      <c r="H8" s="82"/>
      <c r="J8" s="81"/>
      <c r="K8" s="77" t="s">
        <v>265</v>
      </c>
      <c r="L8" s="82"/>
      <c r="N8" s="83" t="s">
        <v>266</v>
      </c>
      <c r="O8" s="77" t="s">
        <v>267</v>
      </c>
      <c r="P8" s="77" t="s">
        <v>253</v>
      </c>
      <c r="Q8" s="82"/>
      <c r="S8" s="81"/>
      <c r="U8" s="77" t="s">
        <v>268</v>
      </c>
      <c r="V8" s="82"/>
      <c r="X8" s="81" t="s">
        <v>269</v>
      </c>
      <c r="Z8" s="77" t="s">
        <v>270</v>
      </c>
      <c r="AA8" s="82"/>
      <c r="AC8" s="81"/>
      <c r="AF8" s="77" t="s">
        <v>268</v>
      </c>
      <c r="AG8" s="82"/>
    </row>
    <row r="9" spans="2:33" x14ac:dyDescent="0.25">
      <c r="B9" s="81" t="s">
        <v>174</v>
      </c>
      <c r="C9" s="82" t="s">
        <v>271</v>
      </c>
      <c r="E9" s="81"/>
      <c r="G9" s="77" t="s">
        <v>272</v>
      </c>
      <c r="H9" s="82"/>
      <c r="J9" s="81"/>
      <c r="K9" s="77" t="s">
        <v>273</v>
      </c>
      <c r="L9" s="82" t="s">
        <v>274</v>
      </c>
      <c r="N9" s="83" t="s">
        <v>266</v>
      </c>
      <c r="O9" s="77" t="s">
        <v>275</v>
      </c>
      <c r="P9" s="77" t="s">
        <v>253</v>
      </c>
      <c r="Q9" s="82"/>
      <c r="S9" s="81"/>
      <c r="U9" s="77" t="s">
        <v>270</v>
      </c>
      <c r="V9" s="82"/>
      <c r="X9" s="81" t="s">
        <v>276</v>
      </c>
      <c r="Y9" s="77" t="s">
        <v>277</v>
      </c>
      <c r="Z9" s="77" t="s">
        <v>270</v>
      </c>
      <c r="AA9" s="82" t="s">
        <v>278</v>
      </c>
      <c r="AC9" s="81"/>
      <c r="AF9" s="77" t="s">
        <v>279</v>
      </c>
      <c r="AG9" s="82"/>
    </row>
    <row r="10" spans="2:33" x14ac:dyDescent="0.25">
      <c r="B10" s="81" t="s">
        <v>176</v>
      </c>
      <c r="C10" s="82" t="s">
        <v>280</v>
      </c>
      <c r="E10" s="81"/>
      <c r="G10" s="77" t="s">
        <v>49</v>
      </c>
      <c r="H10" s="82"/>
      <c r="J10" s="81" t="s">
        <v>281</v>
      </c>
      <c r="K10" s="77" t="s">
        <v>268</v>
      </c>
      <c r="L10" s="82"/>
      <c r="N10" s="81" t="s">
        <v>282</v>
      </c>
      <c r="P10" s="77" t="s">
        <v>253</v>
      </c>
      <c r="Q10" s="82"/>
      <c r="S10" s="81"/>
      <c r="U10" s="77" t="s">
        <v>283</v>
      </c>
      <c r="V10" s="82"/>
      <c r="X10" s="81" t="s">
        <v>276</v>
      </c>
      <c r="Y10" s="77" t="s">
        <v>284</v>
      </c>
      <c r="Z10" s="77" t="s">
        <v>270</v>
      </c>
      <c r="AA10" s="82" t="s">
        <v>278</v>
      </c>
      <c r="AC10" s="81" t="s">
        <v>285</v>
      </c>
      <c r="AD10" s="77" t="s">
        <v>286</v>
      </c>
      <c r="AE10" s="77" t="s">
        <v>261</v>
      </c>
      <c r="AF10" s="77" t="s">
        <v>262</v>
      </c>
      <c r="AG10" s="82"/>
    </row>
    <row r="11" spans="2:33" x14ac:dyDescent="0.25">
      <c r="B11" s="81" t="s">
        <v>178</v>
      </c>
      <c r="C11" s="82" t="s">
        <v>287</v>
      </c>
      <c r="E11" s="81" t="s">
        <v>288</v>
      </c>
      <c r="F11" s="77" t="s">
        <v>261</v>
      </c>
      <c r="G11" s="77" t="s">
        <v>262</v>
      </c>
      <c r="H11" s="82"/>
      <c r="J11" s="81"/>
      <c r="K11" s="77" t="s">
        <v>265</v>
      </c>
      <c r="L11" s="82"/>
      <c r="N11" s="83" t="s">
        <v>289</v>
      </c>
      <c r="O11" s="77" t="s">
        <v>290</v>
      </c>
      <c r="P11" s="77" t="s">
        <v>253</v>
      </c>
      <c r="Q11" s="82"/>
      <c r="S11" s="81" t="s">
        <v>255</v>
      </c>
      <c r="T11" s="77" t="s">
        <v>291</v>
      </c>
      <c r="U11" s="77" t="s">
        <v>283</v>
      </c>
      <c r="V11" s="82"/>
      <c r="X11" s="81" t="s">
        <v>292</v>
      </c>
      <c r="Y11" s="77" t="s">
        <v>293</v>
      </c>
      <c r="Z11" s="77" t="s">
        <v>270</v>
      </c>
      <c r="AA11" s="82"/>
      <c r="AC11" s="81"/>
      <c r="AF11" s="77" t="s">
        <v>294</v>
      </c>
      <c r="AG11" s="82"/>
    </row>
    <row r="12" spans="2:33" x14ac:dyDescent="0.25">
      <c r="B12" s="81" t="s">
        <v>180</v>
      </c>
      <c r="C12" s="82" t="s">
        <v>295</v>
      </c>
      <c r="E12" s="81"/>
      <c r="G12" s="77" t="s">
        <v>272</v>
      </c>
      <c r="H12" s="82"/>
      <c r="J12" s="81"/>
      <c r="K12" s="77" t="s">
        <v>273</v>
      </c>
      <c r="L12" s="82" t="s">
        <v>274</v>
      </c>
      <c r="N12" s="81" t="s">
        <v>296</v>
      </c>
      <c r="P12" s="77" t="s">
        <v>253</v>
      </c>
      <c r="Q12" s="82"/>
      <c r="S12" s="81"/>
      <c r="U12" s="77" t="s">
        <v>268</v>
      </c>
      <c r="V12" s="82"/>
      <c r="X12" s="81" t="s">
        <v>292</v>
      </c>
      <c r="Y12" s="77" t="s">
        <v>297</v>
      </c>
      <c r="Z12" s="77" t="s">
        <v>270</v>
      </c>
      <c r="AA12" s="82"/>
      <c r="AC12" s="81" t="s">
        <v>285</v>
      </c>
      <c r="AD12" s="77" t="s">
        <v>298</v>
      </c>
      <c r="AE12" s="77" t="s">
        <v>261</v>
      </c>
      <c r="AF12" s="77" t="s">
        <v>262</v>
      </c>
      <c r="AG12" s="82"/>
    </row>
    <row r="13" spans="2:33" x14ac:dyDescent="0.25">
      <c r="B13" s="81" t="s">
        <v>182</v>
      </c>
      <c r="C13" s="82" t="s">
        <v>299</v>
      </c>
      <c r="E13" s="81"/>
      <c r="G13" s="77" t="s">
        <v>49</v>
      </c>
      <c r="H13" s="82"/>
      <c r="J13" s="81" t="s">
        <v>300</v>
      </c>
      <c r="K13" s="77" t="s">
        <v>268</v>
      </c>
      <c r="L13" s="82"/>
      <c r="N13" s="81" t="s">
        <v>301</v>
      </c>
      <c r="P13" s="77" t="s">
        <v>253</v>
      </c>
      <c r="Q13" s="82"/>
      <c r="S13" s="81"/>
      <c r="U13" s="77" t="s">
        <v>270</v>
      </c>
      <c r="V13" s="82"/>
      <c r="X13" s="81" t="s">
        <v>302</v>
      </c>
      <c r="Y13" s="77" t="s">
        <v>303</v>
      </c>
      <c r="Z13" s="77" t="s">
        <v>270</v>
      </c>
      <c r="AA13" s="82"/>
      <c r="AC13" s="81"/>
      <c r="AF13" s="77" t="s">
        <v>294</v>
      </c>
      <c r="AG13" s="82"/>
    </row>
    <row r="14" spans="2:33" x14ac:dyDescent="0.25">
      <c r="B14" s="81" t="s">
        <v>184</v>
      </c>
      <c r="C14" s="82" t="s">
        <v>304</v>
      </c>
      <c r="E14" s="81" t="s">
        <v>305</v>
      </c>
      <c r="F14" s="77" t="s">
        <v>261</v>
      </c>
      <c r="G14" s="77" t="s">
        <v>262</v>
      </c>
      <c r="H14" s="82"/>
      <c r="J14" s="81"/>
      <c r="K14" s="77" t="s">
        <v>265</v>
      </c>
      <c r="L14" s="82"/>
      <c r="N14" s="81" t="s">
        <v>306</v>
      </c>
      <c r="O14" s="77" t="s">
        <v>307</v>
      </c>
      <c r="P14" s="77" t="s">
        <v>253</v>
      </c>
      <c r="Q14" s="82"/>
      <c r="S14" s="81"/>
      <c r="U14" s="77" t="s">
        <v>283</v>
      </c>
      <c r="V14" s="82"/>
      <c r="X14" s="81" t="s">
        <v>302</v>
      </c>
      <c r="Y14" s="77" t="s">
        <v>308</v>
      </c>
      <c r="Z14" s="77" t="s">
        <v>270</v>
      </c>
      <c r="AA14" s="82"/>
      <c r="AC14" s="81" t="s">
        <v>285</v>
      </c>
      <c r="AD14" s="77" t="s">
        <v>309</v>
      </c>
      <c r="AE14" s="77" t="s">
        <v>261</v>
      </c>
      <c r="AF14" s="77" t="s">
        <v>262</v>
      </c>
      <c r="AG14" s="82"/>
    </row>
    <row r="15" spans="2:33" x14ac:dyDescent="0.25">
      <c r="B15" s="81" t="s">
        <v>186</v>
      </c>
      <c r="C15" s="82" t="s">
        <v>310</v>
      </c>
      <c r="E15" s="81"/>
      <c r="G15" s="77" t="s">
        <v>50</v>
      </c>
      <c r="H15" s="82"/>
      <c r="J15" s="81" t="s">
        <v>311</v>
      </c>
      <c r="K15" s="77" t="s">
        <v>253</v>
      </c>
      <c r="L15" s="82"/>
      <c r="N15" s="81" t="s">
        <v>306</v>
      </c>
      <c r="O15" s="77" t="s">
        <v>312</v>
      </c>
      <c r="P15" s="77" t="s">
        <v>253</v>
      </c>
      <c r="Q15" s="82"/>
      <c r="S15" s="81" t="s">
        <v>313</v>
      </c>
      <c r="U15" s="77" t="s">
        <v>283</v>
      </c>
      <c r="V15" s="82"/>
      <c r="X15" s="81" t="s">
        <v>302</v>
      </c>
      <c r="Y15" s="77" t="s">
        <v>314</v>
      </c>
      <c r="Z15" s="77" t="s">
        <v>315</v>
      </c>
      <c r="AA15" s="82"/>
      <c r="AC15" s="81"/>
      <c r="AF15" s="77" t="s">
        <v>294</v>
      </c>
      <c r="AG15" s="82"/>
    </row>
    <row r="16" spans="2:33" x14ac:dyDescent="0.25">
      <c r="B16" s="81" t="s">
        <v>188</v>
      </c>
      <c r="C16" s="82" t="s">
        <v>316</v>
      </c>
      <c r="E16" s="81" t="s">
        <v>317</v>
      </c>
      <c r="F16" s="77" t="s">
        <v>261</v>
      </c>
      <c r="G16" s="77" t="s">
        <v>262</v>
      </c>
      <c r="H16" s="82"/>
      <c r="J16" s="84"/>
      <c r="K16" s="85" t="s">
        <v>318</v>
      </c>
      <c r="L16" s="86"/>
      <c r="N16" s="81" t="s">
        <v>319</v>
      </c>
      <c r="P16" s="77" t="s">
        <v>253</v>
      </c>
      <c r="Q16" s="82"/>
      <c r="S16" s="84" t="s">
        <v>320</v>
      </c>
      <c r="T16" s="85"/>
      <c r="U16" s="85" t="s">
        <v>48</v>
      </c>
      <c r="V16" s="86"/>
      <c r="X16" s="81" t="s">
        <v>321</v>
      </c>
      <c r="Y16" s="77" t="s">
        <v>322</v>
      </c>
      <c r="Z16" s="77" t="s">
        <v>270</v>
      </c>
      <c r="AA16" s="82"/>
      <c r="AC16" s="81" t="s">
        <v>323</v>
      </c>
      <c r="AD16" s="77" t="s">
        <v>324</v>
      </c>
      <c r="AE16" s="77" t="s">
        <v>261</v>
      </c>
      <c r="AF16" s="77" t="s">
        <v>262</v>
      </c>
      <c r="AG16" s="82"/>
    </row>
    <row r="17" spans="2:33" x14ac:dyDescent="0.25">
      <c r="B17" s="81" t="s">
        <v>190</v>
      </c>
      <c r="C17" s="82" t="s">
        <v>325</v>
      </c>
      <c r="E17" s="81"/>
      <c r="G17" s="87" t="s">
        <v>326</v>
      </c>
      <c r="H17" s="82" t="s">
        <v>327</v>
      </c>
      <c r="N17" s="81" t="s">
        <v>328</v>
      </c>
      <c r="P17" s="77" t="s">
        <v>253</v>
      </c>
      <c r="Q17" s="82"/>
      <c r="X17" s="81" t="s">
        <v>329</v>
      </c>
      <c r="Y17" s="77" t="s">
        <v>330</v>
      </c>
      <c r="Z17" s="77" t="s">
        <v>270</v>
      </c>
      <c r="AA17" s="82"/>
      <c r="AC17" s="81"/>
      <c r="AF17" s="77" t="s">
        <v>294</v>
      </c>
      <c r="AG17" s="82"/>
    </row>
    <row r="18" spans="2:33" x14ac:dyDescent="0.25">
      <c r="B18" s="88" t="s">
        <v>192</v>
      </c>
      <c r="C18" s="82"/>
      <c r="E18" s="81" t="s">
        <v>331</v>
      </c>
      <c r="F18" s="77" t="s">
        <v>261</v>
      </c>
      <c r="G18" s="77" t="s">
        <v>262</v>
      </c>
      <c r="H18" s="82"/>
      <c r="N18" s="81" t="s">
        <v>332</v>
      </c>
      <c r="P18" s="77" t="s">
        <v>253</v>
      </c>
      <c r="Q18" s="82"/>
      <c r="X18" s="81" t="s">
        <v>333</v>
      </c>
      <c r="Z18" s="77" t="s">
        <v>270</v>
      </c>
      <c r="AA18" s="82"/>
      <c r="AC18" s="81" t="s">
        <v>323</v>
      </c>
      <c r="AD18" s="77" t="s">
        <v>334</v>
      </c>
      <c r="AE18" s="77" t="s">
        <v>261</v>
      </c>
      <c r="AF18" s="77" t="s">
        <v>262</v>
      </c>
      <c r="AG18" s="82"/>
    </row>
    <row r="19" spans="2:33" x14ac:dyDescent="0.25">
      <c r="B19" s="81" t="s">
        <v>194</v>
      </c>
      <c r="C19" s="82" t="s">
        <v>335</v>
      </c>
      <c r="E19" s="81"/>
      <c r="G19" s="77" t="s">
        <v>50</v>
      </c>
      <c r="H19" s="82"/>
      <c r="N19" s="84" t="s">
        <v>336</v>
      </c>
      <c r="O19" s="85"/>
      <c r="P19" s="85" t="s">
        <v>253</v>
      </c>
      <c r="Q19" s="86"/>
      <c r="X19" s="81" t="s">
        <v>337</v>
      </c>
      <c r="Z19" s="77" t="s">
        <v>270</v>
      </c>
      <c r="AA19" s="82"/>
      <c r="AC19" s="81"/>
      <c r="AF19" s="77" t="s">
        <v>294</v>
      </c>
      <c r="AG19" s="82"/>
    </row>
    <row r="20" spans="2:33" x14ac:dyDescent="0.25">
      <c r="B20" s="81" t="s">
        <v>196</v>
      </c>
      <c r="C20" s="82" t="s">
        <v>304</v>
      </c>
      <c r="E20" s="81" t="s">
        <v>338</v>
      </c>
      <c r="F20" s="77" t="s">
        <v>261</v>
      </c>
      <c r="G20" s="77" t="s">
        <v>262</v>
      </c>
      <c r="H20" s="82"/>
      <c r="X20" s="84"/>
      <c r="Y20" s="85"/>
      <c r="Z20" s="85" t="s">
        <v>268</v>
      </c>
      <c r="AA20" s="86"/>
      <c r="AC20" s="81" t="s">
        <v>323</v>
      </c>
      <c r="AD20" s="77" t="s">
        <v>339</v>
      </c>
      <c r="AE20" s="77" t="s">
        <v>261</v>
      </c>
      <c r="AF20" s="77" t="s">
        <v>262</v>
      </c>
      <c r="AG20" s="82"/>
    </row>
    <row r="21" spans="2:33" x14ac:dyDescent="0.25">
      <c r="B21" s="81" t="s">
        <v>198</v>
      </c>
      <c r="C21" s="82" t="s">
        <v>340</v>
      </c>
      <c r="E21" s="81" t="s">
        <v>341</v>
      </c>
      <c r="F21" s="77" t="s">
        <v>261</v>
      </c>
      <c r="G21" s="77" t="s">
        <v>262</v>
      </c>
      <c r="H21" s="82"/>
      <c r="AC21" s="81"/>
      <c r="AF21" s="77" t="s">
        <v>294</v>
      </c>
      <c r="AG21" s="82"/>
    </row>
    <row r="22" spans="2:33" x14ac:dyDescent="0.25">
      <c r="B22" s="81" t="s">
        <v>200</v>
      </c>
      <c r="C22" s="82" t="s">
        <v>342</v>
      </c>
      <c r="E22" s="81"/>
      <c r="G22" s="77" t="s">
        <v>253</v>
      </c>
      <c r="H22" s="82"/>
      <c r="AC22" s="81" t="s">
        <v>323</v>
      </c>
      <c r="AD22" s="77" t="s">
        <v>343</v>
      </c>
      <c r="AE22" s="77" t="s">
        <v>261</v>
      </c>
      <c r="AF22" s="77" t="s">
        <v>262</v>
      </c>
      <c r="AG22" s="82"/>
    </row>
    <row r="23" spans="2:33" x14ac:dyDescent="0.25">
      <c r="B23" s="81" t="s">
        <v>202</v>
      </c>
      <c r="C23" s="82" t="s">
        <v>344</v>
      </c>
      <c r="E23" s="81"/>
      <c r="G23" s="77" t="s">
        <v>273</v>
      </c>
      <c r="H23" s="82"/>
      <c r="AC23" s="81"/>
      <c r="AF23" s="77" t="s">
        <v>294</v>
      </c>
      <c r="AG23" s="82"/>
    </row>
    <row r="24" spans="2:33" x14ac:dyDescent="0.25">
      <c r="B24" s="81" t="s">
        <v>204</v>
      </c>
      <c r="C24" s="82" t="s">
        <v>345</v>
      </c>
      <c r="E24" s="81" t="s">
        <v>346</v>
      </c>
      <c r="F24" s="77" t="s">
        <v>347</v>
      </c>
      <c r="G24" s="77" t="s">
        <v>251</v>
      </c>
      <c r="H24" s="82"/>
      <c r="AC24" s="81" t="s">
        <v>323</v>
      </c>
      <c r="AD24" s="77" t="s">
        <v>348</v>
      </c>
      <c r="AE24" s="77" t="s">
        <v>261</v>
      </c>
      <c r="AF24" s="77" t="s">
        <v>262</v>
      </c>
      <c r="AG24" s="82"/>
    </row>
    <row r="25" spans="2:33" x14ac:dyDescent="0.25">
      <c r="B25" s="81" t="s">
        <v>206</v>
      </c>
      <c r="C25" s="82" t="s">
        <v>349</v>
      </c>
      <c r="E25" s="81" t="s">
        <v>350</v>
      </c>
      <c r="F25" s="77" t="s">
        <v>347</v>
      </c>
      <c r="G25" s="77" t="s">
        <v>251</v>
      </c>
      <c r="H25" s="82"/>
      <c r="AC25" s="81"/>
      <c r="AF25" s="77" t="s">
        <v>294</v>
      </c>
      <c r="AG25" s="82"/>
    </row>
    <row r="26" spans="2:33" x14ac:dyDescent="0.25">
      <c r="B26" s="81" t="s">
        <v>208</v>
      </c>
      <c r="C26" s="82" t="s">
        <v>351</v>
      </c>
      <c r="E26" s="84" t="s">
        <v>352</v>
      </c>
      <c r="F26" s="85" t="s">
        <v>347</v>
      </c>
      <c r="G26" s="85" t="s">
        <v>251</v>
      </c>
      <c r="H26" s="86"/>
      <c r="AC26" s="81" t="s">
        <v>353</v>
      </c>
      <c r="AD26" s="77" t="s">
        <v>354</v>
      </c>
      <c r="AE26" s="77" t="s">
        <v>261</v>
      </c>
      <c r="AF26" s="77" t="s">
        <v>294</v>
      </c>
      <c r="AG26" s="82"/>
    </row>
    <row r="27" spans="2:33" x14ac:dyDescent="0.25">
      <c r="B27" s="81" t="s">
        <v>210</v>
      </c>
      <c r="C27" s="82" t="s">
        <v>355</v>
      </c>
      <c r="AC27" s="81"/>
      <c r="AF27" s="77" t="s">
        <v>356</v>
      </c>
      <c r="AG27" s="82"/>
    </row>
    <row r="28" spans="2:33" x14ac:dyDescent="0.25">
      <c r="B28" s="81" t="s">
        <v>212</v>
      </c>
      <c r="C28" s="82" t="s">
        <v>357</v>
      </c>
      <c r="AC28" s="81" t="s">
        <v>353</v>
      </c>
      <c r="AD28" s="77" t="s">
        <v>358</v>
      </c>
      <c r="AE28" s="77" t="s">
        <v>261</v>
      </c>
      <c r="AF28" s="77" t="s">
        <v>294</v>
      </c>
      <c r="AG28" s="82" t="s">
        <v>359</v>
      </c>
    </row>
    <row r="29" spans="2:33" x14ac:dyDescent="0.25">
      <c r="B29" s="81" t="s">
        <v>214</v>
      </c>
      <c r="C29" s="82" t="s">
        <v>360</v>
      </c>
      <c r="AC29" s="81"/>
      <c r="AF29" s="77" t="s">
        <v>356</v>
      </c>
      <c r="AG29" s="82"/>
    </row>
    <row r="30" spans="2:33" x14ac:dyDescent="0.25">
      <c r="B30" s="81" t="s">
        <v>216</v>
      </c>
      <c r="C30" s="82" t="s">
        <v>361</v>
      </c>
      <c r="AC30" s="81" t="s">
        <v>353</v>
      </c>
      <c r="AD30" s="77" t="s">
        <v>285</v>
      </c>
      <c r="AE30" s="77" t="s">
        <v>261</v>
      </c>
      <c r="AF30" s="77" t="s">
        <v>294</v>
      </c>
      <c r="AG30" s="82" t="s">
        <v>359</v>
      </c>
    </row>
    <row r="31" spans="2:33" x14ac:dyDescent="0.25">
      <c r="B31" s="81" t="s">
        <v>218</v>
      </c>
      <c r="C31" s="82" t="s">
        <v>357</v>
      </c>
      <c r="AC31" s="81"/>
      <c r="AF31" s="77" t="s">
        <v>356</v>
      </c>
      <c r="AG31" s="82"/>
    </row>
    <row r="32" spans="2:33" x14ac:dyDescent="0.25">
      <c r="B32" s="81" t="s">
        <v>220</v>
      </c>
      <c r="C32" s="82" t="s">
        <v>362</v>
      </c>
      <c r="AC32" s="81" t="s">
        <v>353</v>
      </c>
      <c r="AD32" s="77" t="s">
        <v>363</v>
      </c>
      <c r="AE32" s="77" t="s">
        <v>261</v>
      </c>
      <c r="AF32" s="77" t="s">
        <v>294</v>
      </c>
      <c r="AG32" s="82" t="s">
        <v>359</v>
      </c>
    </row>
    <row r="33" spans="2:33" x14ac:dyDescent="0.25">
      <c r="B33" s="84" t="s">
        <v>222</v>
      </c>
      <c r="C33" s="86" t="s">
        <v>364</v>
      </c>
      <c r="AC33" s="81"/>
      <c r="AF33" s="77" t="s">
        <v>356</v>
      </c>
      <c r="AG33" s="82"/>
    </row>
    <row r="34" spans="2:33" x14ac:dyDescent="0.25">
      <c r="AC34" s="81" t="s">
        <v>353</v>
      </c>
      <c r="AD34" s="77" t="s">
        <v>348</v>
      </c>
      <c r="AE34" s="77" t="s">
        <v>261</v>
      </c>
      <c r="AF34" s="77" t="s">
        <v>294</v>
      </c>
      <c r="AG34" s="82" t="s">
        <v>359</v>
      </c>
    </row>
    <row r="35" spans="2:33" x14ac:dyDescent="0.25">
      <c r="AC35" s="81"/>
      <c r="AF35" s="77" t="s">
        <v>356</v>
      </c>
      <c r="AG35" s="82"/>
    </row>
    <row r="36" spans="2:33" x14ac:dyDescent="0.25">
      <c r="AC36" s="81" t="s">
        <v>365</v>
      </c>
      <c r="AD36" s="77" t="s">
        <v>366</v>
      </c>
      <c r="AE36" s="77" t="s">
        <v>261</v>
      </c>
      <c r="AF36" s="77" t="s">
        <v>272</v>
      </c>
      <c r="AG36" s="82"/>
    </row>
    <row r="37" spans="2:33" x14ac:dyDescent="0.25">
      <c r="AC37" s="81" t="s">
        <v>365</v>
      </c>
      <c r="AD37" s="77" t="s">
        <v>367</v>
      </c>
      <c r="AE37" s="77" t="s">
        <v>261</v>
      </c>
      <c r="AF37" s="77" t="s">
        <v>272</v>
      </c>
      <c r="AG37" s="82"/>
    </row>
    <row r="38" spans="2:33" x14ac:dyDescent="0.25">
      <c r="AC38" s="81" t="s">
        <v>365</v>
      </c>
      <c r="AD38" s="77" t="s">
        <v>368</v>
      </c>
      <c r="AE38" s="77" t="s">
        <v>261</v>
      </c>
      <c r="AF38" s="77" t="s">
        <v>272</v>
      </c>
      <c r="AG38" s="82"/>
    </row>
    <row r="39" spans="2:33" x14ac:dyDescent="0.25">
      <c r="AC39" s="81" t="s">
        <v>365</v>
      </c>
      <c r="AD39" s="77" t="s">
        <v>369</v>
      </c>
      <c r="AE39" s="77" t="s">
        <v>261</v>
      </c>
      <c r="AF39" s="77" t="s">
        <v>272</v>
      </c>
      <c r="AG39" s="82"/>
    </row>
    <row r="40" spans="2:33" x14ac:dyDescent="0.25">
      <c r="AC40" s="81" t="s">
        <v>370</v>
      </c>
      <c r="AE40" s="77" t="s">
        <v>261</v>
      </c>
      <c r="AF40" s="77" t="s">
        <v>251</v>
      </c>
      <c r="AG40" s="82"/>
    </row>
    <row r="41" spans="2:33" x14ac:dyDescent="0.25">
      <c r="AC41" s="81" t="s">
        <v>371</v>
      </c>
      <c r="AE41" s="77" t="s">
        <v>261</v>
      </c>
      <c r="AF41" s="77" t="s">
        <v>272</v>
      </c>
      <c r="AG41" s="82"/>
    </row>
    <row r="42" spans="2:33" x14ac:dyDescent="0.25">
      <c r="AC42" s="81" t="s">
        <v>372</v>
      </c>
      <c r="AD42" s="77" t="s">
        <v>373</v>
      </c>
      <c r="AE42" s="77" t="s">
        <v>347</v>
      </c>
      <c r="AF42" s="77" t="s">
        <v>272</v>
      </c>
      <c r="AG42" s="82"/>
    </row>
    <row r="43" spans="2:33" x14ac:dyDescent="0.25">
      <c r="AC43" s="81" t="s">
        <v>372</v>
      </c>
      <c r="AD43" s="77" t="s">
        <v>374</v>
      </c>
      <c r="AE43" s="77" t="s">
        <v>347</v>
      </c>
      <c r="AF43" s="77" t="s">
        <v>272</v>
      </c>
      <c r="AG43" s="82"/>
    </row>
    <row r="44" spans="2:33" x14ac:dyDescent="0.25">
      <c r="AC44" s="81" t="s">
        <v>372</v>
      </c>
      <c r="AD44" s="77" t="s">
        <v>375</v>
      </c>
      <c r="AE44" s="77" t="s">
        <v>347</v>
      </c>
      <c r="AF44" s="77" t="s">
        <v>272</v>
      </c>
      <c r="AG44" s="82"/>
    </row>
    <row r="45" spans="2:33" x14ac:dyDescent="0.25">
      <c r="AC45" s="81" t="s">
        <v>372</v>
      </c>
      <c r="AD45" s="77" t="s">
        <v>376</v>
      </c>
      <c r="AE45" s="77" t="s">
        <v>347</v>
      </c>
      <c r="AF45" s="77" t="s">
        <v>272</v>
      </c>
      <c r="AG45" s="82"/>
    </row>
    <row r="46" spans="2:33" x14ac:dyDescent="0.25">
      <c r="AC46" s="81" t="s">
        <v>372</v>
      </c>
      <c r="AD46" s="77" t="s">
        <v>377</v>
      </c>
      <c r="AE46" s="77" t="s">
        <v>347</v>
      </c>
      <c r="AF46" s="77" t="s">
        <v>272</v>
      </c>
      <c r="AG46" s="82"/>
    </row>
    <row r="47" spans="2:33" x14ac:dyDescent="0.25">
      <c r="AC47" s="81" t="s">
        <v>378</v>
      </c>
      <c r="AD47" s="77" t="s">
        <v>379</v>
      </c>
      <c r="AE47" s="77" t="s">
        <v>347</v>
      </c>
      <c r="AF47" s="77" t="s">
        <v>272</v>
      </c>
      <c r="AG47" s="82"/>
    </row>
    <row r="48" spans="2:33" x14ac:dyDescent="0.25">
      <c r="AC48" s="81" t="s">
        <v>378</v>
      </c>
      <c r="AD48" s="77" t="s">
        <v>380</v>
      </c>
      <c r="AE48" s="77" t="s">
        <v>347</v>
      </c>
      <c r="AF48" s="77" t="s">
        <v>272</v>
      </c>
      <c r="AG48" s="82"/>
    </row>
    <row r="49" spans="29:33" x14ac:dyDescent="0.25">
      <c r="AC49" s="84" t="s">
        <v>381</v>
      </c>
      <c r="AD49" s="85" t="s">
        <v>379</v>
      </c>
      <c r="AE49" s="85" t="s">
        <v>347</v>
      </c>
      <c r="AF49" s="85" t="s">
        <v>272</v>
      </c>
      <c r="AG49" s="86"/>
    </row>
  </sheetData>
  <phoneticPr fontId="1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7336F9-942E-4263-90AB-19E036EC5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B1A985-4E3A-417E-9A69-802E3198C712}">
  <ds:schemaRefs>
    <ds:schemaRef ds:uri="http://schemas.microsoft.com/office/2006/metadata/properties"/>
    <ds:schemaRef ds:uri="http://purl.org/dc/elements/1.1/"/>
    <ds:schemaRef ds:uri="http://purl.org/dc/terms/"/>
    <ds:schemaRef ds:uri="e85bf11c-610f-4c75-b4c1-3f2e492bcdf6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55b7a9d6-bcaa-4a9d-b1c7-8801531a7bf3"/>
  </ds:schemaRefs>
</ds:datastoreItem>
</file>

<file path=customXml/itemProps3.xml><?xml version="1.0" encoding="utf-8"?>
<ds:datastoreItem xmlns:ds="http://schemas.openxmlformats.org/officeDocument/2006/customXml" ds:itemID="{9E998F5D-343C-4A6D-B60D-6BA06DCAA0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7</vt:i4>
      </vt:variant>
    </vt:vector>
  </HeadingPairs>
  <TitlesOfParts>
    <vt:vector size="15" baseType="lpstr">
      <vt:lpstr>ST仕様書表紙</vt:lpstr>
      <vt:lpstr>トラン実績連携機能</vt:lpstr>
      <vt:lpstr>クレジット明細突合データ</vt:lpstr>
      <vt:lpstr>精算確定報</vt:lpstr>
      <vt:lpstr>全トラン抽出(d払い)</vt:lpstr>
      <vt:lpstr>集配信インターフェースファイル</vt:lpstr>
      <vt:lpstr>レポート機能</vt:lpstr>
      <vt:lpstr>パターン</vt:lpstr>
      <vt:lpstr>ST仕様書表紙!Print_Area</vt:lpstr>
      <vt:lpstr>クレジット明細突合データ!Print_Area</vt:lpstr>
      <vt:lpstr>トラン実績連携機能!Print_Area</vt:lpstr>
      <vt:lpstr>レポート機能!Print_Area</vt:lpstr>
      <vt:lpstr>集配信インターフェースファイル!Print_Area</vt:lpstr>
      <vt:lpstr>精算確定報!Print_Area</vt:lpstr>
      <vt:lpstr>'全トラン抽出(d払い)'!Print_Area</vt:lpstr>
    </vt:vector>
  </TitlesOfParts>
  <Manager/>
  <Company>FJTS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ST仕様書兼完了報告書</dc:title>
  <dc:subject/>
  <dc:creator>namikoebara</dc:creator>
  <cp:keywords/>
  <dc:description/>
  <cp:lastModifiedBy>Ozawa, Risako/小澤 りさ子</cp:lastModifiedBy>
  <cp:revision/>
  <dcterms:created xsi:type="dcterms:W3CDTF">1997-07-11T07:53:19Z</dcterms:created>
  <dcterms:modified xsi:type="dcterms:W3CDTF">2025-02-13T08:19:16Z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92ef73-0ad1-40c5-ad55-46de3396802f_SiteId">
    <vt:lpwstr>a19f121d-81e1-4858-a9d8-736e267fd4c7</vt:lpwstr>
  </property>
  <property fmtid="{D5CDD505-2E9C-101B-9397-08002B2CF9AE}" pid="3" name="MSIP_Label_1e92ef73-0ad1-40c5-ad55-46de3396802f_SetDate">
    <vt:lpwstr>2022-04-14T09:02:45Z</vt:lpwstr>
  </property>
  <property fmtid="{D5CDD505-2E9C-101B-9397-08002B2CF9AE}" pid="4" name="MSIP_Label_1e92ef73-0ad1-40c5-ad55-46de3396802f_Name">
    <vt:lpwstr/>
  </property>
  <property fmtid="{D5CDD505-2E9C-101B-9397-08002B2CF9AE}" pid="5" name="MSIP_Label_1e92ef73-0ad1-40c5-ad55-46de3396802f_Method">
    <vt:lpwstr>Privileged</vt:lpwstr>
  </property>
  <property fmtid="{D5CDD505-2E9C-101B-9397-08002B2CF9AE}" pid="6" name="MSIP_Label_1e92ef73-0ad1-40c5-ad55-46de3396802f_Enabled">
    <vt:lpwstr>true</vt:lpwstr>
  </property>
  <property fmtid="{D5CDD505-2E9C-101B-9397-08002B2CF9AE}" pid="7" name="MSIP_Label_1e92ef73-0ad1-40c5-ad55-46de3396802f_ContentBits">
    <vt:lpwstr>0</vt:lpwstr>
  </property>
  <property fmtid="{D5CDD505-2E9C-101B-9397-08002B2CF9AE}" pid="8" name="MSIP_Label_1e92ef73-0ad1-40c5-ad55-46de3396802f_ActionId">
    <vt:lpwstr>6fad91d2-ea3c-48d7-83e9-10beb0c66980</vt:lpwstr>
  </property>
  <property fmtid="{D5CDD505-2E9C-101B-9397-08002B2CF9AE}" pid="9" name="ContentTypeId">
    <vt:lpwstr>0x010100E9C9A0A944670C40B3577B9A3C159E6D</vt:lpwstr>
  </property>
  <property fmtid="{D5CDD505-2E9C-101B-9397-08002B2CF9AE}" pid="10" name="MediaServiceImageTags">
    <vt:lpwstr/>
  </property>
</Properties>
</file>