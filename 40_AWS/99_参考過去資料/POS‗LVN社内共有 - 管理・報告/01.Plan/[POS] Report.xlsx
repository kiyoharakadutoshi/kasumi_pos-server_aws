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2"/>
  <workbookPr/>
  <xr:revisionPtr revIDLastSave="356" documentId="11_FA59065C04E9493B722F08375D3D308CB1C3DFA2" xr6:coauthVersionLast="47" xr6:coauthVersionMax="47" xr10:uidLastSave="{4F43C718-E084-40CD-97AA-2B6D65DD3F27}"/>
  <bookViews>
    <workbookView xWindow="0" yWindow="0" windowWidth="22260" windowHeight="12645" xr2:uid="{00000000-000D-0000-FFFF-FFFF00000000}"/>
  </bookViews>
  <sheets>
    <sheet name="Master Report" sheetId="8" r:id="rId1"/>
    <sheet name="Report_20250617" sheetId="7" r:id="rId2"/>
    <sheet name="Report_20250609" sheetId="6" r:id="rId3"/>
    <sheet name="Report_20250602" sheetId="2" r:id="rId4"/>
    <sheet name="Report_20250526" sheetId="3" r:id="rId5"/>
    <sheet name="config" sheetId="5" r:id="rId6"/>
  </sheets>
  <definedNames>
    <definedName name="_xlnm._FilterDatabase" localSheetId="0" hidden="1">'Master Report'!$B$2:$N$2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8" l="1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B3" i="8"/>
</calcChain>
</file>

<file path=xl/sharedStrings.xml><?xml version="1.0" encoding="utf-8"?>
<sst xmlns="http://schemas.openxmlformats.org/spreadsheetml/2006/main" count="201" uniqueCount="128">
  <si>
    <t>#</t>
  </si>
  <si>
    <t>Ngày ghi nhận</t>
  </si>
  <si>
    <t>Team</t>
  </si>
  <si>
    <t>Category</t>
  </si>
  <si>
    <t>Vấn đề</t>
  </si>
  <si>
    <t>Nguyên nhân</t>
  </si>
  <si>
    <t>Effect</t>
  </si>
  <si>
    <t>Phân tích</t>
  </si>
  <si>
    <t>Action</t>
  </si>
  <si>
    <t>Đánh giá hệ quả/hiệu quả</t>
  </si>
  <si>
    <t>Remark</t>
  </si>
  <si>
    <t>Deadline</t>
  </si>
  <si>
    <t>Status</t>
  </si>
  <si>
    <t>All</t>
  </si>
  <si>
    <t>Communication</t>
  </si>
  <si>
    <t>Sau khi demo KH không có feedback nhưng có nhận thấy có sự nhận thức khác nhau về phương hướng phát triển của các bên phía KH	
-Đã trao đổi với a Lương để nhờ bác Yamamoto xử lý</t>
  </si>
  <si>
    <t xml:space="preserve">
</t>
  </si>
  <si>
    <t xml:space="preserve">6/23 Hiện tại chưa có action
6/17 A lương sẽ hẹn MTG riêng và add chị Xoa &amp; Hải
6/10 A Lương đưa nhận định chị Xoa, Hải nên tham gia MNG meeting định kì với bác Yamamoto (A Lương sẽ tham gia những MTG đầu) </t>
  </si>
  <si>
    <t>In-Progress</t>
  </si>
  <si>
    <t>Mr. K</t>
  </si>
  <si>
    <t>A Lương, chị Xoa nói chuyện về cách làm việc của bác K</t>
  </si>
  <si>
    <t>6/17 Catchup tình hình status phía a Lương</t>
  </si>
  <si>
    <t>Server 3</t>
  </si>
  <si>
    <t>Requirement</t>
  </si>
  <si>
    <t xml:space="preserve">Yêu cầu bên Ishida đưa ra có nhiều sai khác, chưa thống nhất với bác K, yêu cầu tạo ĐNYC thì bác K đang phản hồi thiếu effort </t>
  </si>
  <si>
    <t>6/17 Về yêu cầu có sự thay đổi thường xuyên từ phía KH, trong tháng 6 phía LVN commit thực hiện được với các thay đổi trong tháng 6 (cụ thể hết 20/6)</t>
  </si>
  <si>
    <t>Done</t>
  </si>
  <si>
    <t>Effort</t>
  </si>
  <si>
    <t>Vấn đề PM có nhiều task, chưa có effort xử lý các task</t>
  </si>
  <si>
    <t>6/30 Phần khối lượng công việc đã giảm xuống, khối lượng task ít đi, có thể cover được</t>
  </si>
  <si>
    <t>Chiến lược dự án</t>
  </si>
  <si>
    <t>-Thông tin nhận từ KH 6/19, thu lại còn phần phát triển Ishida (5MM)
-Hải trao đổi với chị Xoa: Tiếp nhận phần việc từ 1/7, chị Xoa bố trí người để HO công việc của Hiệp</t>
  </si>
  <si>
    <t>-Phía KH có sự thay đổi về giám đốc, chuyển hướng phát triển
sử dụng hệ thống khác
-&gt; Tạm dừng phần phát triển Inageya, phần Kasumi hiện tại chưa có kế hoạch bắt đầu</t>
  </si>
  <si>
    <r>
      <rPr>
        <sz val="11"/>
        <color rgb="FFFF0000"/>
        <rFont val="Calibri"/>
        <scheme val="minor"/>
      </rPr>
      <t xml:space="preserve">6/30 Qua ý kiến đóng góp của a Lương, tạm dừng việc chuyển giao DEV3-&gt; DEV1, DEV1 tham gia phát triển cùng với DEV3, trước mắt hết tháng 7
</t>
    </r>
    <r>
      <rPr>
        <sz val="11"/>
        <color rgb="FF000000"/>
        <rFont val="Calibri"/>
        <scheme val="minor"/>
      </rPr>
      <t xml:space="preserve">
'-Kế hoạch chuyển giao giữa DEV3-&gt; DEV1
   -Các task đang làm listup
   -Các task cần làm thì cần thực hiện xong để bàn giao
-Tổng kết dự án: 
   -Tổ tổng kết: DEV 1 vs DEV3</t>
    </r>
  </si>
  <si>
    <t>Thông tin nhận được sau trao đổi giữa LVN vs USMH
-Phần công việc Ishida kế hoạch tới hết tháng 9
-Khả năng sẽ có thể tiếp tục phát triển KSM từ tháng 10
-Phần scope công việc tháng 6 hiện tại vẫn chưa đòi được
-Bác K đang mong muốn (Từ tháng 7)
    -Tăng khối lượng công việc Ishida (11-12MM)
    -Giữ lại 1 phần nhân sự Team App (3~4 người)
           Đưa ra các task liên quan đến vận hành cho phần đang hoạt động PRD (3 cửa hàng)
    -Suggest các function team Server có thể thực hiện 
           Dự kiến 6-7MM</t>
  </si>
  <si>
    <r>
      <rPr>
        <sz val="11"/>
        <color rgb="FFFF0000"/>
        <rFont val="Calibri"/>
        <scheme val="minor"/>
      </rPr>
      <t xml:space="preserve">6/30 Thống nhất DEV1,DEV3 chia 2 phương án 
-Chỉ vùng công việc Ishida &amp; AWS: DEV3 làm ishida, Đạt làm PM dự án
-Khối lượng công việc tăng hơn 26MM (không bao gồm phần AWS) thì có thể keep thể chế với Hiệp là PM tổng
Hiệp đã làm xong report, bác K dự kiến 1/7 sẽ trao đổi với USMH, tới ngày 4/7 USMH cần trả lời, nếu không LVN sẽ làm theo phương án với thể chế nhỏ
</t>
    </r>
    <r>
      <rPr>
        <sz val="11"/>
        <color rgb="FF000000"/>
        <rFont val="Calibri"/>
        <scheme val="minor"/>
      </rPr>
      <t xml:space="preserve">
'-Confirm với phía chị Xoa vs a Lương về nội dung đường hướng của bác K (Phương hướng của LVN có đầu tư hay không)</t>
    </r>
  </si>
  <si>
    <t>Cần đánh giá tổng kết các action tới hiện tại đã giải quyết được vấn đề hay chưa?</t>
  </si>
  <si>
    <r>
      <rPr>
        <sz val="11"/>
        <color rgb="FF000000"/>
        <rFont val="Calibri"/>
        <scheme val="minor"/>
      </rPr>
      <t xml:space="preserve">-Đánh giá hiệu quả của việc đưa PM tiếng nhật, giảm công việc của bác K
K
-Giao tiếp giữa các bên smooth hơn
P
-Kiến thức đang ở phía bác K, chưa chốt được yêu cầu
T
-Đưa ra cách làm với dự án quy mô lớn &amp; nhỏ?
</t>
    </r>
    <r>
      <rPr>
        <sz val="11"/>
        <color rgb="FFFF0000"/>
        <rFont val="Calibri"/>
        <scheme val="minor"/>
      </rPr>
      <t xml:space="preserve">*Tổng kết phía các team, sau đó tổng hợp và KPT giữa các cấp trên
</t>
    </r>
  </si>
  <si>
    <t>Trao đổi thêm</t>
  </si>
  <si>
    <t>Phương pháp quản trị nội dung từ PM -&gt; TL -&gt; Break có đủ hay thiếu thông tin</t>
  </si>
  <si>
    <t>Từ phía Hiệp cần có phương pháp đánh giá năng suất của các team</t>
  </si>
  <si>
    <t>Action tuần trước</t>
  </si>
  <si>
    <t>Tạo WBS (Done)</t>
  </si>
  <si>
    <t>Đang trao đổi hàng ngày với bác K để update dần</t>
  </si>
  <si>
    <t>Đã update các milestone liên quan tới dự án</t>
  </si>
  <si>
    <t>Nộp hàng tháng 5</t>
  </si>
  <si>
    <t>Đã demo vào MTG t5 tuần trước</t>
  </si>
  <si>
    <t>KH không có feedback nhưng có nhận thấy có sự nhận thức khác nhau về phương hướng phát triển của các bên phía KH</t>
  </si>
  <si>
    <t>-Đã trao đổi với a Lương để nhờ bác Yamamoto xử lý</t>
  </si>
  <si>
    <t xml:space="preserve">-Action: A Lương đưa nhận định chị Xoa, Hải nên tham gia MNG meeting định kì với bác Yamamoto (A Lương sẽ tham gia những MTG đầu) </t>
  </si>
  <si>
    <t>-&gt; A lương sẽ hẹn MTG riêng và add chị Xoa &amp; Hải</t>
  </si>
  <si>
    <t>-Hiện tại chưa có action</t>
  </si>
  <si>
    <t>Hợp đồng</t>
  </si>
  <si>
    <t>Đã gửi KH báo giá phần Ishida &amp; Infra</t>
  </si>
  <si>
    <t>Phía bác Ando trao đổi về kế hoạch sắp tới, cần est 3 phương án trình giám đốc mới để chốt</t>
  </si>
  <si>
    <t>-Tiếp tục sử dụng LVN (Phương án release có thể kéo dài tới đầu năm sau)</t>
  </si>
  <si>
    <t>-Sử dụng POS Fujitsu</t>
  </si>
  <si>
    <t>-Sử dụng POS bên AEON</t>
  </si>
  <si>
    <t>-&gt; Thứ 5 tuần này 19/6 phía USMH sẽ trả lời (1 là dừng, 2 là chuyển từ inageya -&gt; kasumi bao giờ bắt đầu)</t>
  </si>
  <si>
    <t>Chuẩn bị kịch bản giả định (tăng, giảm)</t>
  </si>
  <si>
    <t>T4 tuần trước nói chuyện với a Lương, chị Xoa về cách làm việc của bác K</t>
  </si>
  <si>
    <t>-Catchup tình hình status phía a Lương</t>
  </si>
  <si>
    <t>KickOff</t>
  </si>
  <si>
    <t>Đã gửi nội dung file KO tới các TL, tuy nhiên cần đợi xem thay đổi của bác K để update nội dung mới nhất</t>
  </si>
  <si>
    <t>-Hiệp sẽ check lại các nội dung liên quan đến bác K, rồi update lại file KickOff</t>
  </si>
  <si>
    <t>Yêu cầu</t>
  </si>
  <si>
    <t>-Hiệp tham gia làm tài liệu cùng với bác K</t>
  </si>
  <si>
    <t>-Về yêu cầu có sự thay đổi thường xuyên từ phía KH, trong tháng 6 phía LVN commit thực hiện được với các thay đổi trong tháng 6 (cụ thể hết 20/6)</t>
  </si>
  <si>
    <t>-Assign thêm task a Hoài Sơn support task bác K</t>
  </si>
  <si>
    <t>Confirm về output của a Sơn</t>
  </si>
  <si>
    <t>Schedule tổng</t>
  </si>
  <si>
    <t>Do phía KH đang chưa thống nhất cách làm, các chức năng phía LVN làm xong demo nhưng vẫn nhận rất nhiều ý kiến thay đổi</t>
  </si>
  <si>
    <t>-LVN đã warning KH về việc nếu tiếp tục sẽ vận hành với không có mốc end</t>
  </si>
  <si>
    <t>Hạ tầng</t>
  </si>
  <si>
    <t xml:space="preserve">Xảy ra sự cố liên quan tới server: </t>
  </si>
  <si>
    <t>-Phía KH raise trong MTG thứ 5 tuần trước</t>
  </si>
  <si>
    <t>-Bác K hiện tại hàng ngày đang report status của Server cho KH</t>
  </si>
  <si>
    <t>-Team đang trao đổi với bên bác Ô và CVN để lên plan di chuyển</t>
  </si>
  <si>
    <t>-Dự kiến trong tuần này</t>
  </si>
  <si>
    <t>Est tháng 6 Bác K do chưa thống nhất với Mr Ando nên chưa gửi đi được</t>
  </si>
  <si>
    <t>-Push thêm phía Thắng tham gia cùng để phân tích yêu cầu</t>
  </si>
  <si>
    <t>-&gt; Đưa vấn đề ra trong MTG với KH</t>
  </si>
  <si>
    <t>Bác K thái độ làm việc không chuyên nghiệp, đã raise với anh Lương</t>
  </si>
  <si>
    <t>-Các task điều tra flow xử lý đã assign về các team cùng phân tích</t>
  </si>
  <si>
    <t>Task</t>
  </si>
  <si>
    <t>Làm báo cáo report tháng 5, plan tháng 6</t>
  </si>
  <si>
    <t>Est các task tới tháng 9</t>
  </si>
  <si>
    <t>App</t>
  </si>
  <si>
    <t>POS Server</t>
  </si>
  <si>
    <t>Infra</t>
  </si>
  <si>
    <t>-Confirm với bác K đang thiếu bao nhiêu effort</t>
  </si>
  <si>
    <t>-Confirm thêm Dự, Sơn, Đạt có support phần DNYC này không?</t>
  </si>
  <si>
    <t>-Dự án push HR tìm thêm ứng viên</t>
  </si>
  <si>
    <t>Xảy ra sự cố liên quan tới server</t>
  </si>
  <si>
    <t>Kế hoạch monitoring, xử lý backup</t>
  </si>
  <si>
    <t>Có sự thay đổi về nội dung thực hiện, cuối tháng 1 số đầu task bị chậm</t>
  </si>
  <si>
    <t>Phía bác K đã giải thích cho KH và hẹn MTG vào 6/5</t>
  </si>
  <si>
    <t>Phương pháp làm việc của bác K</t>
  </si>
  <si>
    <t>Flow làm việc của bác đang k tốt, Team phải tự hiểu những nội dung bác viết ra -&gt; tốn effort confirm</t>
  </si>
  <si>
    <t>Anh Lương nhận định</t>
  </si>
  <si>
    <t>-Khối công việc liên quan tới Thiết kế của Luvina</t>
  </si>
  <si>
    <t>2 Phương án</t>
  </si>
  <si>
    <t>1/ Giảm nhân sự phát triển (dev &amp; test)</t>
  </si>
  <si>
    <t>2/ Tăng số lượng người có thể đảm nhiệm thiết kế</t>
  </si>
  <si>
    <t>Vấn đề về phương hướng phát triển</t>
  </si>
  <si>
    <t>Dự kiến phát triển cho KSM nhưng đang thay đổi thành cho Inageya</t>
  </si>
  <si>
    <t>Rủi ro liên quan tới yêu cầu</t>
  </si>
  <si>
    <t>Ảnh hưởng tới tốc độ phát triển từ tháng 6</t>
  </si>
  <si>
    <t>-&gt; Cần thể hiện thời điểm nào cần xong trong yêu cầu</t>
  </si>
  <si>
    <t>-&gt; Trao đổi với bác K để đưa ra phương hướng chốt với KH về các mốc phát triển</t>
  </si>
  <si>
    <t>-&gt; Set MTG về tiến độ với KH</t>
  </si>
  <si>
    <t>Tiến độ</t>
  </si>
  <si>
    <t>Các nội dung phát triển cho Inageya đang vừa tạo tài liệu vừa tiến hành</t>
  </si>
  <si>
    <t xml:space="preserve">Vừa confirm vừa tiến hành implement </t>
  </si>
  <si>
    <t>-&gt; Quản lý các nội dung yêu cầu chưa chốt, ai sẽ là người chốt</t>
  </si>
  <si>
    <t>Next Action</t>
  </si>
  <si>
    <t>Confirm các nội dung về schedule bác K đã trao đổi với KH -&gt; Phản ánh vào WBS</t>
  </si>
  <si>
    <t>Cần họp hàng tuần về tiến độ với KH</t>
  </si>
  <si>
    <t>Start from 2/6</t>
  </si>
  <si>
    <t>Làm file quản lý kadai với KH</t>
  </si>
  <si>
    <t>New</t>
  </si>
  <si>
    <t>Server 1</t>
  </si>
  <si>
    <t>Server 2</t>
  </si>
  <si>
    <t>Cancel</t>
  </si>
  <si>
    <t xml:space="preserve">Schedule </t>
  </si>
  <si>
    <t>BrSE</t>
  </si>
  <si>
    <t>BA</t>
  </si>
  <si>
    <t>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</si>
</sst>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000000"/>
      <name val="Arial"/>
    </font>
    <font>
      <sz val="11"/>
      <color rgb="FFFF0000"/>
      <name val="Calibri"/>
      <scheme val="minor"/>
    </font>
    <font>
      <sz val="11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2" fillId="2" borderId="0" xfId="0" quotePrefix="1" applyFont="1" applyFill="1"/>
    <xf numFmtId="0" fontId="2" fillId="0" borderId="0" xfId="0" quotePrefix="1" applyFont="1"/>
    <xf numFmtId="0" fontId="0" fillId="0" borderId="1" xfId="0" applyBorder="1"/>
    <xf numFmtId="0" fontId="0" fillId="3" borderId="1" xfId="0" applyFill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2" fillId="4" borderId="0" xfId="0" quotePrefix="1" applyFont="1" applyFill="1"/>
    <xf numFmtId="0" fontId="2" fillId="2" borderId="0" xfId="0" applyFont="1" applyFill="1"/>
    <xf numFmtId="14" fontId="2" fillId="0" borderId="0" xfId="0" quotePrefix="1" applyNumberFormat="1" applyFont="1"/>
    <xf numFmtId="0" fontId="0" fillId="3" borderId="1" xfId="0" applyFill="1" applyBorder="1" applyAlignment="1">
      <alignment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quotePrefix="1" applyBorder="1" applyAlignment="1">
      <alignment vertical="top" wrapText="1"/>
    </xf>
    <xf numFmtId="14" fontId="0" fillId="0" borderId="1" xfId="0" applyNumberFormat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vertical="top" wrapText="1"/>
    </xf>
    <xf numFmtId="0" fontId="1" fillId="0" borderId="1" xfId="0" quotePrefix="1" applyFont="1" applyBorder="1" applyAlignment="1">
      <alignment vertical="top" wrapText="1"/>
    </xf>
  </cellXfs>
  <cellStyles count="1">
    <cellStyle name="Normal" xfId="0" builtinId="0"/>
  </cellStyles>
  <dxfs count="4">
    <dxf>
      <font>
        <color rgb="FF9C0006"/>
      </font>
      <fill>
        <patternFill patternType="solid">
          <bgColor theme="2" tint="-9.9978637043366805E-2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theme="9"/>
        </patternFill>
      </fill>
    </dxf>
    <dxf>
      <font>
        <color rgb="FF9C0006"/>
      </font>
      <fill>
        <patternFill patternType="solid"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799DE-A1ED-4B49-8A1E-D739312B5C42}">
  <sheetPr filterMode="1"/>
  <dimension ref="B2:N22"/>
  <sheetViews>
    <sheetView tabSelected="1" topLeftCell="A7" workbookViewId="0">
      <selection activeCell="H9" sqref="H9"/>
    </sheetView>
  </sheetViews>
  <sheetFormatPr defaultRowHeight="15"/>
  <cols>
    <col min="1" max="1" width="5.42578125" customWidth="1"/>
    <col min="2" max="2" width="4.7109375" customWidth="1"/>
    <col min="3" max="3" width="10.85546875" customWidth="1"/>
    <col min="4" max="4" width="11" customWidth="1"/>
    <col min="5" max="5" width="18.5703125" customWidth="1"/>
    <col min="6" max="6" width="67.42578125" style="19" customWidth="1"/>
    <col min="7" max="7" width="68.7109375" customWidth="1"/>
    <col min="8" max="8" width="19.5703125" customWidth="1"/>
    <col min="9" max="9" width="17.42578125" customWidth="1"/>
    <col min="10" max="10" width="49.28515625" style="19" customWidth="1"/>
    <col min="11" max="12" width="35" customWidth="1"/>
    <col min="13" max="13" width="26.85546875" customWidth="1"/>
    <col min="14" max="14" width="20.85546875" customWidth="1"/>
  </cols>
  <sheetData>
    <row r="2" spans="2:14">
      <c r="B2" s="12" t="s">
        <v>0</v>
      </c>
      <c r="C2" s="12" t="s">
        <v>1</v>
      </c>
      <c r="D2" s="12" t="s">
        <v>2</v>
      </c>
      <c r="E2" s="12" t="s">
        <v>3</v>
      </c>
      <c r="F2" s="18" t="s">
        <v>4</v>
      </c>
      <c r="G2" s="12" t="s">
        <v>5</v>
      </c>
      <c r="H2" s="12" t="s">
        <v>6</v>
      </c>
      <c r="I2" s="12" t="s">
        <v>7</v>
      </c>
      <c r="J2" s="18" t="s">
        <v>8</v>
      </c>
      <c r="K2" s="12" t="s">
        <v>9</v>
      </c>
      <c r="L2" s="12" t="s">
        <v>10</v>
      </c>
      <c r="M2" s="12" t="s">
        <v>11</v>
      </c>
      <c r="N2" s="12" t="s">
        <v>12</v>
      </c>
    </row>
    <row r="3" spans="2:14" ht="76.5">
      <c r="B3" s="13">
        <f>ROW()-2</f>
        <v>1</v>
      </c>
      <c r="C3" s="17">
        <v>45825</v>
      </c>
      <c r="D3" s="14" t="s">
        <v>13</v>
      </c>
      <c r="E3" s="13" t="s">
        <v>14</v>
      </c>
      <c r="F3" s="15" t="s">
        <v>15</v>
      </c>
      <c r="G3" s="16" t="s">
        <v>16</v>
      </c>
      <c r="H3" s="15"/>
      <c r="I3" s="14"/>
      <c r="J3" s="16" t="s">
        <v>17</v>
      </c>
      <c r="K3" s="16" t="s">
        <v>16</v>
      </c>
      <c r="L3" s="16"/>
      <c r="M3" s="14"/>
      <c r="N3" s="14" t="s">
        <v>18</v>
      </c>
    </row>
    <row r="4" spans="2:14">
      <c r="B4" s="13">
        <f t="shared" ref="B4:B22" si="0">ROW()-2</f>
        <v>2</v>
      </c>
      <c r="C4" s="17">
        <v>45825</v>
      </c>
      <c r="D4" s="14" t="s">
        <v>19</v>
      </c>
      <c r="E4" s="13" t="s">
        <v>14</v>
      </c>
      <c r="F4" s="15" t="s">
        <v>20</v>
      </c>
      <c r="G4" s="14"/>
      <c r="H4" s="14"/>
      <c r="I4" s="14"/>
      <c r="J4" s="15" t="s">
        <v>21</v>
      </c>
      <c r="K4" s="14"/>
      <c r="L4" s="14"/>
      <c r="M4" s="14"/>
      <c r="N4" s="14" t="s">
        <v>18</v>
      </c>
    </row>
    <row r="5" spans="2:14" ht="45.75" hidden="1">
      <c r="B5" s="13">
        <f t="shared" si="0"/>
        <v>3</v>
      </c>
      <c r="C5" s="17">
        <v>45825</v>
      </c>
      <c r="D5" s="14" t="s">
        <v>22</v>
      </c>
      <c r="E5" s="13" t="s">
        <v>23</v>
      </c>
      <c r="F5" s="15" t="s">
        <v>24</v>
      </c>
      <c r="G5" s="14"/>
      <c r="H5" s="14"/>
      <c r="I5" s="14"/>
      <c r="J5" s="15" t="s">
        <v>25</v>
      </c>
      <c r="K5" s="14"/>
      <c r="L5" s="14"/>
      <c r="M5" s="14"/>
      <c r="N5" s="14" t="s">
        <v>26</v>
      </c>
    </row>
    <row r="6" spans="2:14" ht="30.75">
      <c r="B6" s="13">
        <f t="shared" si="0"/>
        <v>4</v>
      </c>
      <c r="C6" s="17">
        <v>45825</v>
      </c>
      <c r="D6" s="14" t="s">
        <v>13</v>
      </c>
      <c r="E6" s="13" t="s">
        <v>27</v>
      </c>
      <c r="F6" s="15" t="s">
        <v>28</v>
      </c>
      <c r="G6" s="14"/>
      <c r="H6" s="14"/>
      <c r="I6" s="14"/>
      <c r="J6" s="20" t="s">
        <v>29</v>
      </c>
      <c r="K6" s="14"/>
      <c r="L6" s="14"/>
      <c r="M6" s="14"/>
      <c r="N6" s="14" t="s">
        <v>18</v>
      </c>
    </row>
    <row r="7" spans="2:14" ht="137.25">
      <c r="B7" s="13">
        <f t="shared" si="0"/>
        <v>5</v>
      </c>
      <c r="C7" s="17">
        <v>45825</v>
      </c>
      <c r="D7" s="14" t="s">
        <v>13</v>
      </c>
      <c r="E7" s="13" t="s">
        <v>30</v>
      </c>
      <c r="F7" s="16" t="s">
        <v>31</v>
      </c>
      <c r="G7" s="16" t="s">
        <v>32</v>
      </c>
      <c r="H7" s="14"/>
      <c r="I7" s="14"/>
      <c r="J7" s="21" t="s">
        <v>33</v>
      </c>
      <c r="K7" s="14"/>
      <c r="L7" s="14"/>
      <c r="M7" s="14"/>
      <c r="N7" s="14"/>
    </row>
    <row r="8" spans="2:14" ht="183">
      <c r="B8" s="13">
        <f t="shared" si="0"/>
        <v>6</v>
      </c>
      <c r="C8" s="17">
        <v>45831</v>
      </c>
      <c r="D8" s="14" t="s">
        <v>13</v>
      </c>
      <c r="E8" s="13" t="s">
        <v>30</v>
      </c>
      <c r="F8" s="15" t="s">
        <v>34</v>
      </c>
      <c r="G8" s="14"/>
      <c r="H8" s="14"/>
      <c r="I8" s="14"/>
      <c r="J8" s="21" t="s">
        <v>35</v>
      </c>
      <c r="K8" s="14"/>
      <c r="L8" s="14"/>
      <c r="M8" s="14"/>
      <c r="N8" s="14"/>
    </row>
    <row r="9" spans="2:14" ht="229.5">
      <c r="B9" s="13">
        <f t="shared" si="0"/>
        <v>7</v>
      </c>
      <c r="C9" s="17">
        <v>45838</v>
      </c>
      <c r="D9" s="14" t="s">
        <v>13</v>
      </c>
      <c r="E9" s="13" t="s">
        <v>30</v>
      </c>
      <c r="F9" s="15" t="s">
        <v>36</v>
      </c>
      <c r="G9" s="14"/>
      <c r="H9" s="14"/>
      <c r="I9" s="14"/>
      <c r="J9" s="21" t="s">
        <v>37</v>
      </c>
      <c r="K9" s="14"/>
      <c r="L9" s="14"/>
      <c r="M9" s="14"/>
      <c r="N9" s="14"/>
    </row>
    <row r="10" spans="2:14">
      <c r="B10" s="13">
        <f t="shared" si="0"/>
        <v>8</v>
      </c>
      <c r="C10" s="17"/>
      <c r="D10" s="14"/>
      <c r="E10" s="13"/>
      <c r="F10" s="15"/>
      <c r="G10" s="14"/>
      <c r="H10" s="14"/>
      <c r="I10" s="14"/>
      <c r="J10" s="15"/>
      <c r="K10" s="14"/>
      <c r="L10" s="14"/>
      <c r="M10" s="14"/>
      <c r="N10" s="14"/>
    </row>
    <row r="11" spans="2:14">
      <c r="B11" s="13">
        <f t="shared" si="0"/>
        <v>9</v>
      </c>
      <c r="C11" s="17"/>
      <c r="D11" s="14"/>
      <c r="E11" s="13"/>
      <c r="F11" s="15"/>
      <c r="G11" s="14"/>
      <c r="H11" s="14"/>
      <c r="I11" s="14"/>
      <c r="J11" s="15"/>
      <c r="K11" s="14"/>
      <c r="L11" s="14"/>
      <c r="M11" s="14"/>
      <c r="N11" s="14"/>
    </row>
    <row r="12" spans="2:14">
      <c r="B12" s="13">
        <f t="shared" si="0"/>
        <v>10</v>
      </c>
      <c r="C12" s="17"/>
      <c r="D12" s="14"/>
      <c r="E12" s="13"/>
      <c r="F12" s="15"/>
      <c r="G12" s="14"/>
      <c r="H12" s="14"/>
      <c r="I12" s="14"/>
      <c r="J12" s="15"/>
      <c r="K12" s="14"/>
      <c r="L12" s="14"/>
      <c r="M12" s="14"/>
      <c r="N12" s="14"/>
    </row>
    <row r="13" spans="2:14">
      <c r="B13" s="13">
        <f t="shared" si="0"/>
        <v>11</v>
      </c>
      <c r="C13" s="14"/>
      <c r="D13" s="14"/>
      <c r="E13" s="13"/>
      <c r="F13" s="15"/>
      <c r="G13" s="14"/>
      <c r="H13" s="14"/>
      <c r="I13" s="14"/>
      <c r="J13" s="15"/>
      <c r="K13" s="14"/>
      <c r="L13" s="14"/>
      <c r="M13" s="14"/>
      <c r="N13" s="14"/>
    </row>
    <row r="14" spans="2:14">
      <c r="B14" s="13">
        <f t="shared" si="0"/>
        <v>12</v>
      </c>
      <c r="C14" s="14"/>
      <c r="D14" s="14"/>
      <c r="E14" s="13"/>
      <c r="F14" s="15"/>
      <c r="G14" s="14"/>
      <c r="H14" s="14"/>
      <c r="I14" s="14"/>
      <c r="J14" s="15"/>
      <c r="K14" s="14"/>
      <c r="L14" s="14"/>
      <c r="M14" s="14"/>
      <c r="N14" s="14"/>
    </row>
    <row r="15" spans="2:14">
      <c r="B15" s="13">
        <f t="shared" si="0"/>
        <v>13</v>
      </c>
      <c r="C15" s="14"/>
      <c r="D15" s="14"/>
      <c r="E15" s="13"/>
      <c r="F15" s="15"/>
      <c r="G15" s="14"/>
      <c r="H15" s="14"/>
      <c r="I15" s="14"/>
      <c r="J15" s="15"/>
      <c r="K15" s="14"/>
      <c r="L15" s="14"/>
      <c r="M15" s="14"/>
      <c r="N15" s="14"/>
    </row>
    <row r="16" spans="2:14">
      <c r="B16" s="13">
        <f t="shared" si="0"/>
        <v>14</v>
      </c>
      <c r="C16" s="14"/>
      <c r="D16" s="14"/>
      <c r="E16" s="13"/>
      <c r="F16" s="15"/>
      <c r="G16" s="14"/>
      <c r="H16" s="14"/>
      <c r="I16" s="14"/>
      <c r="J16" s="15"/>
      <c r="K16" s="14"/>
      <c r="L16" s="14"/>
      <c r="M16" s="14"/>
      <c r="N16" s="14"/>
    </row>
    <row r="17" spans="2:14">
      <c r="B17" s="13">
        <f t="shared" si="0"/>
        <v>15</v>
      </c>
      <c r="C17" s="14"/>
      <c r="D17" s="14"/>
      <c r="E17" s="13"/>
      <c r="F17" s="15"/>
      <c r="G17" s="14"/>
      <c r="H17" s="14"/>
      <c r="I17" s="14"/>
      <c r="J17" s="15"/>
      <c r="K17" s="14"/>
      <c r="L17" s="14"/>
      <c r="M17" s="14"/>
      <c r="N17" s="14"/>
    </row>
    <row r="18" spans="2:14">
      <c r="B18" s="13">
        <f t="shared" si="0"/>
        <v>16</v>
      </c>
      <c r="C18" s="14"/>
      <c r="D18" s="14"/>
      <c r="E18" s="13"/>
      <c r="F18" s="15"/>
      <c r="G18" s="14"/>
      <c r="H18" s="14"/>
      <c r="I18" s="14"/>
      <c r="J18" s="15"/>
      <c r="K18" s="14"/>
      <c r="L18" s="14"/>
      <c r="M18" s="14"/>
      <c r="N18" s="14"/>
    </row>
    <row r="19" spans="2:14">
      <c r="B19" s="13">
        <f t="shared" si="0"/>
        <v>17</v>
      </c>
      <c r="C19" s="14"/>
      <c r="D19" s="14"/>
      <c r="E19" s="13"/>
      <c r="F19" s="15"/>
      <c r="G19" s="14"/>
      <c r="H19" s="14"/>
      <c r="I19" s="14"/>
      <c r="J19" s="15"/>
      <c r="K19" s="14"/>
      <c r="L19" s="14"/>
      <c r="M19" s="14"/>
      <c r="N19" s="14"/>
    </row>
    <row r="20" spans="2:14">
      <c r="B20" s="13">
        <f t="shared" si="0"/>
        <v>18</v>
      </c>
      <c r="C20" s="14"/>
      <c r="D20" s="14"/>
      <c r="E20" s="13"/>
      <c r="F20" s="15"/>
      <c r="G20" s="14"/>
      <c r="H20" s="14"/>
      <c r="I20" s="14"/>
      <c r="J20" s="15"/>
      <c r="K20" s="14"/>
      <c r="L20" s="14"/>
      <c r="M20" s="14"/>
      <c r="N20" s="14"/>
    </row>
    <row r="21" spans="2:14">
      <c r="B21" s="13">
        <f t="shared" si="0"/>
        <v>19</v>
      </c>
      <c r="C21" s="14"/>
      <c r="D21" s="14"/>
      <c r="E21" s="13"/>
      <c r="F21" s="15"/>
      <c r="G21" s="14"/>
      <c r="H21" s="14"/>
      <c r="I21" s="14"/>
      <c r="J21" s="15"/>
      <c r="K21" s="14"/>
      <c r="L21" s="14"/>
      <c r="M21" s="14"/>
      <c r="N21" s="14"/>
    </row>
    <row r="22" spans="2:14">
      <c r="B22" s="13">
        <f t="shared" si="0"/>
        <v>20</v>
      </c>
      <c r="C22" s="14"/>
      <c r="D22" s="14"/>
      <c r="E22" s="13"/>
      <c r="F22" s="15"/>
      <c r="G22" s="14"/>
      <c r="H22" s="14"/>
      <c r="I22" s="14"/>
      <c r="J22" s="15"/>
      <c r="K22" s="14"/>
      <c r="L22" s="14"/>
      <c r="M22" s="14"/>
      <c r="N22" s="14"/>
    </row>
  </sheetData>
  <autoFilter ref="B2:N22" xr:uid="{DAB799DE-A1ED-4B49-8A1E-D739312B5C42}">
    <filterColumn colId="12">
      <filters blank="1">
        <filter val="In-Progress"/>
      </filters>
    </filterColumn>
  </autoFilter>
  <conditionalFormatting sqref="N3:N22">
    <cfRule type="containsText" dxfId="3" priority="1" operator="containsText" text="Pending">
      <formula>NOT(ISERROR(SEARCH("Pending",N3)))</formula>
    </cfRule>
    <cfRule type="containsText" dxfId="2" priority="2" operator="containsText" text="In-Progress">
      <formula>NOT(ISERROR(SEARCH("In-Progress",N3)))</formula>
    </cfRule>
    <cfRule type="containsText" dxfId="1" priority="3" operator="containsText" text="Open">
      <formula>NOT(ISERROR(SEARCH("Open",N3)))</formula>
    </cfRule>
    <cfRule type="containsText" dxfId="0" priority="4" operator="containsText" text="Done">
      <formula>NOT(ISERROR(SEARCH("Done",N3)))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D84C288-93F6-489C-8AEE-B979516B257A}">
          <x14:formula1>
            <xm:f>config!$A$2:$A$10</xm:f>
          </x14:formula1>
          <xm:sqref>D3:D22</xm:sqref>
        </x14:dataValidation>
        <x14:dataValidation type="list" allowBlank="1" showInputMessage="1" showErrorMessage="1" xr:uid="{0CADC54F-AF36-489E-99C7-F81BA48DD0D9}">
          <x14:formula1>
            <xm:f>config!$C$2:$C$11</xm:f>
          </x14:formula1>
          <xm:sqref>N3:N22</xm:sqref>
        </x14:dataValidation>
        <x14:dataValidation type="list" allowBlank="1" showInputMessage="1" showErrorMessage="1" xr:uid="{AFA61D21-DE99-437F-82C4-D3CCE3F1EF12}">
          <x14:formula1>
            <xm:f>config!$B$2:$B$11</xm:f>
          </x14:formula1>
          <xm:sqref>E3:E22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E7F9C-754E-4269-A377-A0B162127B10}">
  <dimension ref="B1:I51"/>
  <sheetViews>
    <sheetView topLeftCell="A27" workbookViewId="0">
      <selection activeCell="B51" sqref="B51"/>
    </sheetView>
  </sheetViews>
  <sheetFormatPr defaultRowHeight="14.25"/>
  <cols>
    <col min="1" max="1" width="9.140625" style="1"/>
    <col min="2" max="2" width="22.5703125" style="1" customWidth="1"/>
    <col min="3" max="3" width="9.5703125" style="1" customWidth="1"/>
    <col min="4" max="4" width="22" style="1" customWidth="1"/>
    <col min="5" max="5" width="38.140625" style="1" customWidth="1"/>
    <col min="6" max="6" width="23.85546875" style="1" customWidth="1"/>
    <col min="7" max="16384" width="9.140625" style="1"/>
  </cols>
  <sheetData>
    <row r="1" spans="2:7">
      <c r="B1" s="1" t="s">
        <v>38</v>
      </c>
    </row>
    <row r="2" spans="2:7">
      <c r="B2" s="1">
        <v>1</v>
      </c>
      <c r="C2" s="1" t="s">
        <v>39</v>
      </c>
    </row>
    <row r="3" spans="2:7">
      <c r="B3" s="1">
        <v>2</v>
      </c>
      <c r="C3" s="1" t="s">
        <v>40</v>
      </c>
    </row>
    <row r="4" spans="2:7">
      <c r="B4" s="4"/>
    </row>
    <row r="5" spans="2:7">
      <c r="B5" s="10" t="s">
        <v>41</v>
      </c>
    </row>
    <row r="6" spans="2:7">
      <c r="B6" s="1">
        <v>1</v>
      </c>
      <c r="C6" s="1" t="s">
        <v>42</v>
      </c>
    </row>
    <row r="7" spans="2:7">
      <c r="D7" s="1" t="s">
        <v>43</v>
      </c>
      <c r="F7" s="1" t="s">
        <v>44</v>
      </c>
    </row>
    <row r="9" spans="2:7">
      <c r="B9" s="1" t="s">
        <v>45</v>
      </c>
    </row>
    <row r="10" spans="2:7">
      <c r="B10" s="1">
        <v>1</v>
      </c>
      <c r="C10" s="1" t="s">
        <v>46</v>
      </c>
    </row>
    <row r="11" spans="2:7">
      <c r="B11" s="1">
        <v>2</v>
      </c>
      <c r="C11" s="1" t="s">
        <v>47</v>
      </c>
      <c r="E11" s="4"/>
    </row>
    <row r="12" spans="2:7">
      <c r="D12" s="4" t="s">
        <v>48</v>
      </c>
    </row>
    <row r="13" spans="2:7">
      <c r="D13" s="1" t="s">
        <v>49</v>
      </c>
    </row>
    <row r="14" spans="2:7">
      <c r="D14" s="1" t="s">
        <v>50</v>
      </c>
      <c r="G14" s="3" t="s">
        <v>51</v>
      </c>
    </row>
    <row r="15" spans="2:7">
      <c r="B15" s="1" t="s">
        <v>52</v>
      </c>
    </row>
    <row r="16" spans="2:7">
      <c r="B16" s="1">
        <v>1</v>
      </c>
      <c r="C16" s="1" t="s">
        <v>53</v>
      </c>
      <c r="D16" s="2"/>
    </row>
    <row r="17" spans="2:9">
      <c r="B17" s="1">
        <v>2</v>
      </c>
      <c r="C17" s="1" t="s">
        <v>54</v>
      </c>
      <c r="D17" s="2"/>
    </row>
    <row r="18" spans="2:9">
      <c r="D18" s="11" t="s">
        <v>55</v>
      </c>
    </row>
    <row r="19" spans="2:9">
      <c r="D19" s="11" t="s">
        <v>56</v>
      </c>
    </row>
    <row r="20" spans="2:9">
      <c r="D20" s="11" t="s">
        <v>57</v>
      </c>
    </row>
    <row r="21" spans="2:9">
      <c r="C21" s="3" t="s">
        <v>58</v>
      </c>
      <c r="D21" s="11"/>
    </row>
    <row r="22" spans="2:9">
      <c r="C22" s="3" t="s">
        <v>59</v>
      </c>
      <c r="D22" s="11"/>
    </row>
    <row r="23" spans="2:9">
      <c r="B23" s="1" t="s">
        <v>14</v>
      </c>
      <c r="D23" s="2"/>
    </row>
    <row r="24" spans="2:9">
      <c r="B24" s="1">
        <v>1</v>
      </c>
      <c r="C24" s="1" t="s">
        <v>60</v>
      </c>
      <c r="D24" s="2"/>
      <c r="G24" s="3" t="s">
        <v>61</v>
      </c>
    </row>
    <row r="25" spans="2:9">
      <c r="D25" s="2"/>
    </row>
    <row r="26" spans="2:9">
      <c r="B26" s="1" t="s">
        <v>62</v>
      </c>
      <c r="E26" s="4"/>
    </row>
    <row r="27" spans="2:9">
      <c r="B27" s="1">
        <v>1</v>
      </c>
      <c r="C27" s="1" t="s">
        <v>63</v>
      </c>
      <c r="E27" s="4"/>
      <c r="I27" s="3" t="s">
        <v>64</v>
      </c>
    </row>
    <row r="28" spans="2:9">
      <c r="E28" s="4"/>
    </row>
    <row r="29" spans="2:9">
      <c r="B29" s="1" t="s">
        <v>65</v>
      </c>
    </row>
    <row r="30" spans="2:9">
      <c r="B30" s="1">
        <v>1</v>
      </c>
      <c r="C30" s="1" t="s">
        <v>24</v>
      </c>
    </row>
    <row r="31" spans="2:9">
      <c r="D31" s="4" t="s">
        <v>66</v>
      </c>
    </row>
    <row r="32" spans="2:9">
      <c r="D32" s="3" t="s">
        <v>67</v>
      </c>
    </row>
    <row r="35" spans="2:4">
      <c r="B35" s="1">
        <v>2</v>
      </c>
      <c r="C35" s="4" t="s">
        <v>68</v>
      </c>
    </row>
    <row r="36" spans="2:4">
      <c r="D36" s="1" t="s">
        <v>69</v>
      </c>
    </row>
    <row r="38" spans="2:4">
      <c r="B38" s="1" t="s">
        <v>27</v>
      </c>
    </row>
    <row r="39" spans="2:4">
      <c r="B39" s="1">
        <v>1</v>
      </c>
      <c r="C39" s="10" t="s">
        <v>28</v>
      </c>
    </row>
    <row r="41" spans="2:4">
      <c r="B41" s="1" t="s">
        <v>70</v>
      </c>
    </row>
    <row r="42" spans="2:4">
      <c r="B42" s="1">
        <v>1</v>
      </c>
      <c r="C42" s="1" t="s">
        <v>71</v>
      </c>
    </row>
    <row r="43" spans="2:4">
      <c r="D43" s="4" t="s">
        <v>72</v>
      </c>
    </row>
    <row r="44" spans="2:4">
      <c r="D44" s="4"/>
    </row>
    <row r="45" spans="2:4">
      <c r="B45" s="1" t="s">
        <v>73</v>
      </c>
    </row>
    <row r="46" spans="2:4">
      <c r="B46" s="1">
        <v>1</v>
      </c>
      <c r="C46" s="1" t="s">
        <v>74</v>
      </c>
    </row>
    <row r="47" spans="2:4">
      <c r="D47" s="4" t="s">
        <v>75</v>
      </c>
    </row>
    <row r="48" spans="2:4">
      <c r="D48" s="4" t="s">
        <v>76</v>
      </c>
    </row>
    <row r="49" spans="4:5">
      <c r="D49" s="4" t="s">
        <v>77</v>
      </c>
      <c r="E49" s="4"/>
    </row>
    <row r="50" spans="4:5">
      <c r="D50" s="4"/>
      <c r="E50" s="4" t="s">
        <v>78</v>
      </c>
    </row>
    <row r="51" spans="4:5">
      <c r="D5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710F6-1BD0-4858-8CFA-1CDBDEF7A7D5}">
  <dimension ref="B1:E46"/>
  <sheetViews>
    <sheetView workbookViewId="0">
      <selection activeCell="C7" sqref="C7:D8"/>
    </sheetView>
  </sheetViews>
  <sheetFormatPr defaultRowHeight="14.25"/>
  <cols>
    <col min="1" max="1" width="9.140625" style="1"/>
    <col min="2" max="2" width="22.5703125" style="1" customWidth="1"/>
    <col min="3" max="3" width="9.5703125" style="1" customWidth="1"/>
    <col min="4" max="4" width="22" style="1" customWidth="1"/>
    <col min="5" max="5" width="38.140625" style="1" customWidth="1"/>
    <col min="6" max="6" width="23.85546875" style="1" customWidth="1"/>
    <col min="7" max="16384" width="9.140625" style="1"/>
  </cols>
  <sheetData>
    <row r="1" spans="2:5">
      <c r="B1" s="10" t="s">
        <v>41</v>
      </c>
    </row>
    <row r="2" spans="2:5">
      <c r="B2" s="1">
        <v>1</v>
      </c>
      <c r="C2" s="1" t="s">
        <v>42</v>
      </c>
    </row>
    <row r="3" spans="2:5">
      <c r="D3" s="1" t="s">
        <v>43</v>
      </c>
    </row>
    <row r="5" spans="2:5">
      <c r="B5" s="1" t="s">
        <v>45</v>
      </c>
    </row>
    <row r="6" spans="2:5">
      <c r="B6" s="1">
        <v>1</v>
      </c>
      <c r="C6" s="1" t="s">
        <v>46</v>
      </c>
    </row>
    <row r="7" spans="2:5">
      <c r="B7" s="1">
        <v>2</v>
      </c>
      <c r="C7" s="1" t="s">
        <v>47</v>
      </c>
      <c r="E7" s="4"/>
    </row>
    <row r="8" spans="2:5">
      <c r="D8" s="4" t="s">
        <v>48</v>
      </c>
    </row>
    <row r="9" spans="2:5">
      <c r="D9" s="3" t="s">
        <v>49</v>
      </c>
    </row>
    <row r="10" spans="2:5">
      <c r="D10" s="3" t="s">
        <v>50</v>
      </c>
    </row>
    <row r="11" spans="2:5">
      <c r="B11" s="1" t="s">
        <v>52</v>
      </c>
    </row>
    <row r="12" spans="2:5">
      <c r="B12" s="1">
        <v>1</v>
      </c>
      <c r="C12" s="1" t="s">
        <v>79</v>
      </c>
      <c r="D12" s="2"/>
    </row>
    <row r="13" spans="2:5">
      <c r="B13" s="1">
        <v>2</v>
      </c>
      <c r="C13" s="1" t="s">
        <v>54</v>
      </c>
      <c r="D13" s="2"/>
    </row>
    <row r="14" spans="2:5">
      <c r="D14" s="11" t="s">
        <v>55</v>
      </c>
    </row>
    <row r="15" spans="2:5">
      <c r="D15" s="11" t="s">
        <v>56</v>
      </c>
    </row>
    <row r="16" spans="2:5">
      <c r="D16" s="11" t="s">
        <v>57</v>
      </c>
    </row>
    <row r="17" spans="2:5">
      <c r="D17" s="11"/>
    </row>
    <row r="18" spans="2:5">
      <c r="B18" s="1" t="s">
        <v>14</v>
      </c>
      <c r="D18" s="2"/>
    </row>
    <row r="19" spans="2:5">
      <c r="B19" s="1">
        <v>1</v>
      </c>
      <c r="C19" s="1" t="s">
        <v>60</v>
      </c>
      <c r="D19" s="2"/>
    </row>
    <row r="20" spans="2:5">
      <c r="D20" s="2"/>
    </row>
    <row r="21" spans="2:5">
      <c r="B21" s="1" t="s">
        <v>62</v>
      </c>
      <c r="E21" s="4"/>
    </row>
    <row r="22" spans="2:5">
      <c r="B22" s="1">
        <v>1</v>
      </c>
      <c r="C22" s="1" t="s">
        <v>63</v>
      </c>
      <c r="E22" s="4"/>
    </row>
    <row r="23" spans="2:5">
      <c r="E23" s="4"/>
    </row>
    <row r="24" spans="2:5">
      <c r="B24" s="1" t="s">
        <v>65</v>
      </c>
    </row>
    <row r="25" spans="2:5">
      <c r="B25" s="1">
        <v>1</v>
      </c>
      <c r="C25" s="1" t="s">
        <v>24</v>
      </c>
    </row>
    <row r="26" spans="2:5">
      <c r="D26" s="4" t="s">
        <v>80</v>
      </c>
    </row>
    <row r="27" spans="2:5">
      <c r="D27" s="3" t="s">
        <v>81</v>
      </c>
    </row>
    <row r="29" spans="2:5">
      <c r="B29" s="1">
        <v>2</v>
      </c>
      <c r="C29" s="1" t="s">
        <v>82</v>
      </c>
    </row>
    <row r="30" spans="2:5">
      <c r="D30" s="9" t="s">
        <v>68</v>
      </c>
    </row>
    <row r="31" spans="2:5">
      <c r="D31" s="9" t="s">
        <v>83</v>
      </c>
    </row>
    <row r="33" spans="2:5">
      <c r="B33" s="1" t="s">
        <v>70</v>
      </c>
    </row>
    <row r="34" spans="2:5">
      <c r="B34" s="1">
        <v>1</v>
      </c>
      <c r="C34" s="1" t="s">
        <v>71</v>
      </c>
    </row>
    <row r="35" spans="2:5">
      <c r="D35" s="4" t="s">
        <v>72</v>
      </c>
    </row>
    <row r="36" spans="2:5">
      <c r="D36" s="4"/>
    </row>
    <row r="37" spans="2:5">
      <c r="B37" s="1" t="s">
        <v>73</v>
      </c>
    </row>
    <row r="38" spans="2:5">
      <c r="B38" s="1">
        <v>1</v>
      </c>
      <c r="C38" s="1" t="s">
        <v>74</v>
      </c>
    </row>
    <row r="39" spans="2:5">
      <c r="D39" s="4" t="s">
        <v>75</v>
      </c>
    </row>
    <row r="40" spans="2:5">
      <c r="D40" s="4" t="s">
        <v>76</v>
      </c>
    </row>
    <row r="41" spans="2:5">
      <c r="D41" s="4" t="s">
        <v>77</v>
      </c>
      <c r="E41" s="4"/>
    </row>
    <row r="42" spans="2:5">
      <c r="D42" s="4"/>
      <c r="E42" s="4" t="s">
        <v>78</v>
      </c>
    </row>
    <row r="43" spans="2:5">
      <c r="D43" s="2"/>
    </row>
    <row r="46" spans="2:5">
      <c r="B46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A97D8-5C6B-4EE5-8528-DCA5875BA1FB}">
  <dimension ref="B2:F35"/>
  <sheetViews>
    <sheetView workbookViewId="0">
      <selection activeCell="E32" sqref="E32"/>
    </sheetView>
  </sheetViews>
  <sheetFormatPr defaultRowHeight="14.25"/>
  <cols>
    <col min="1" max="1" width="9.140625" style="1"/>
    <col min="2" max="2" width="35" style="1" customWidth="1"/>
    <col min="3" max="3" width="47.28515625" style="1" customWidth="1"/>
    <col min="4" max="4" width="15.140625" style="1" customWidth="1"/>
    <col min="5" max="5" width="38.140625" style="1" customWidth="1"/>
    <col min="6" max="6" width="44.28515625" style="1" customWidth="1"/>
    <col min="7" max="16384" width="9.140625" style="1"/>
  </cols>
  <sheetData>
    <row r="2" spans="2:6">
      <c r="B2" s="1" t="s">
        <v>84</v>
      </c>
      <c r="D2" s="1" t="s">
        <v>11</v>
      </c>
    </row>
    <row r="3" spans="2:6">
      <c r="B3" s="1">
        <v>1</v>
      </c>
      <c r="C3" s="1" t="s">
        <v>85</v>
      </c>
      <c r="D3" s="2">
        <v>45805</v>
      </c>
      <c r="E3" s="1" t="s">
        <v>26</v>
      </c>
    </row>
    <row r="4" spans="2:6">
      <c r="D4" s="2"/>
      <c r="E4" s="1" t="s">
        <v>79</v>
      </c>
    </row>
    <row r="5" spans="2:6">
      <c r="D5" s="2"/>
    </row>
    <row r="6" spans="2:6">
      <c r="B6" s="1">
        <v>2</v>
      </c>
      <c r="C6" s="1" t="s">
        <v>86</v>
      </c>
      <c r="D6" s="2">
        <v>45807</v>
      </c>
      <c r="E6" s="1" t="s">
        <v>26</v>
      </c>
    </row>
    <row r="7" spans="2:6">
      <c r="E7" s="1" t="s">
        <v>87</v>
      </c>
      <c r="F7" s="1">
        <v>16</v>
      </c>
    </row>
    <row r="8" spans="2:6">
      <c r="E8" s="1" t="s">
        <v>88</v>
      </c>
      <c r="F8" s="1">
        <v>25</v>
      </c>
    </row>
    <row r="9" spans="2:6">
      <c r="E9" s="1" t="s">
        <v>89</v>
      </c>
      <c r="F9" s="1">
        <v>3</v>
      </c>
    </row>
    <row r="12" spans="2:6">
      <c r="B12" s="1" t="s">
        <v>65</v>
      </c>
    </row>
    <row r="13" spans="2:6">
      <c r="B13" s="1">
        <v>1</v>
      </c>
      <c r="C13" s="1" t="s">
        <v>82</v>
      </c>
    </row>
    <row r="14" spans="2:6">
      <c r="C14" s="1" t="s">
        <v>24</v>
      </c>
    </row>
    <row r="15" spans="2:6">
      <c r="D15" s="3" t="s">
        <v>90</v>
      </c>
    </row>
    <row r="16" spans="2:6">
      <c r="D16" s="3" t="s">
        <v>91</v>
      </c>
    </row>
    <row r="17" spans="2:5">
      <c r="D17" s="3" t="s">
        <v>68</v>
      </c>
    </row>
    <row r="18" spans="2:5">
      <c r="D18" s="3" t="s">
        <v>92</v>
      </c>
    </row>
    <row r="20" spans="2:5">
      <c r="B20" s="1" t="s">
        <v>73</v>
      </c>
      <c r="C20" s="1" t="s">
        <v>93</v>
      </c>
    </row>
    <row r="21" spans="2:5">
      <c r="D21" s="1" t="s">
        <v>94</v>
      </c>
      <c r="E21" s="4"/>
    </row>
    <row r="22" spans="2:5">
      <c r="E22" s="4"/>
    </row>
    <row r="23" spans="2:5">
      <c r="B23" s="1" t="s">
        <v>45</v>
      </c>
      <c r="C23" s="1" t="s">
        <v>95</v>
      </c>
    </row>
    <row r="24" spans="2:5">
      <c r="C24" s="1" t="s">
        <v>96</v>
      </c>
    </row>
    <row r="25" spans="2:5">
      <c r="E25" s="4"/>
    </row>
    <row r="26" spans="2:5">
      <c r="B26" s="1" t="s">
        <v>97</v>
      </c>
      <c r="C26" s="1" t="s">
        <v>98</v>
      </c>
    </row>
    <row r="27" spans="2:5">
      <c r="D27" s="2"/>
    </row>
    <row r="29" spans="2:5">
      <c r="B29" s="1" t="s">
        <v>99</v>
      </c>
    </row>
    <row r="30" spans="2:5">
      <c r="B30" s="4" t="s">
        <v>100</v>
      </c>
    </row>
    <row r="33" spans="2:2">
      <c r="B33" s="1" t="s">
        <v>101</v>
      </c>
    </row>
    <row r="34" spans="2:2">
      <c r="B34" s="1" t="s">
        <v>102</v>
      </c>
    </row>
    <row r="35" spans="2:2">
      <c r="B35" s="1" t="s">
        <v>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7ED17-FA5B-422C-9EA3-CC3919E18502}">
  <dimension ref="B2:F18"/>
  <sheetViews>
    <sheetView workbookViewId="0">
      <selection activeCell="C28" sqref="C28"/>
    </sheetView>
  </sheetViews>
  <sheetFormatPr defaultRowHeight="14.25"/>
  <cols>
    <col min="1" max="1" width="9.140625" style="1"/>
    <col min="2" max="2" width="11.28515625" style="1" customWidth="1"/>
    <col min="3" max="3" width="81.7109375" style="1" customWidth="1"/>
    <col min="4" max="4" width="15.140625" style="1" customWidth="1"/>
    <col min="5" max="5" width="38.140625" style="1" customWidth="1"/>
    <col min="6" max="6" width="44.28515625" style="1" customWidth="1"/>
    <col min="7" max="16384" width="9.140625" style="1"/>
  </cols>
  <sheetData>
    <row r="2" spans="2:6">
      <c r="B2" s="1" t="s">
        <v>84</v>
      </c>
      <c r="D2" s="1" t="s">
        <v>11</v>
      </c>
    </row>
    <row r="3" spans="2:6">
      <c r="B3" s="1">
        <v>1</v>
      </c>
      <c r="C3" s="1" t="s">
        <v>85</v>
      </c>
      <c r="D3" s="2">
        <v>45805</v>
      </c>
    </row>
    <row r="4" spans="2:6">
      <c r="B4" s="1">
        <v>2</v>
      </c>
      <c r="C4" s="1" t="s">
        <v>86</v>
      </c>
      <c r="D4" s="2">
        <v>45807</v>
      </c>
    </row>
    <row r="6" spans="2:6">
      <c r="B6" s="1" t="s">
        <v>65</v>
      </c>
    </row>
    <row r="7" spans="2:6">
      <c r="B7" s="1">
        <v>1</v>
      </c>
      <c r="C7" s="1" t="s">
        <v>104</v>
      </c>
    </row>
    <row r="8" spans="2:6">
      <c r="C8" s="1" t="s">
        <v>105</v>
      </c>
      <c r="E8" s="1" t="s">
        <v>106</v>
      </c>
      <c r="F8" s="1" t="s">
        <v>107</v>
      </c>
    </row>
    <row r="9" spans="2:6">
      <c r="E9" s="4" t="s">
        <v>108</v>
      </c>
    </row>
    <row r="10" spans="2:6">
      <c r="E10" s="4" t="s">
        <v>109</v>
      </c>
    </row>
    <row r="11" spans="2:6">
      <c r="E11" s="4" t="s">
        <v>110</v>
      </c>
    </row>
    <row r="12" spans="2:6">
      <c r="B12" s="1" t="s">
        <v>111</v>
      </c>
    </row>
    <row r="13" spans="2:6">
      <c r="B13" s="1">
        <v>1</v>
      </c>
      <c r="C13" s="1" t="s">
        <v>112</v>
      </c>
      <c r="E13" s="1" t="s">
        <v>113</v>
      </c>
    </row>
    <row r="14" spans="2:6">
      <c r="E14" s="4" t="s">
        <v>114</v>
      </c>
    </row>
    <row r="15" spans="2:6">
      <c r="B15" s="1" t="s">
        <v>115</v>
      </c>
    </row>
    <row r="16" spans="2:6">
      <c r="B16" s="1">
        <v>1</v>
      </c>
      <c r="C16" s="1" t="s">
        <v>116</v>
      </c>
      <c r="D16" s="2">
        <v>45807</v>
      </c>
    </row>
    <row r="17" spans="2:4">
      <c r="B17" s="1">
        <v>2</v>
      </c>
      <c r="C17" s="1" t="s">
        <v>117</v>
      </c>
      <c r="D17" s="1" t="s">
        <v>118</v>
      </c>
    </row>
    <row r="18" spans="2:4">
      <c r="B18" s="1">
        <v>3</v>
      </c>
      <c r="C18" s="1" t="s">
        <v>119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A090C-F385-4767-9719-D66E9424B939}">
  <dimension ref="A1:C11"/>
  <sheetViews>
    <sheetView workbookViewId="0">
      <selection activeCell="B8" sqref="B8"/>
    </sheetView>
  </sheetViews>
  <sheetFormatPr defaultRowHeight="15"/>
  <cols>
    <col min="1" max="1" width="15.5703125" customWidth="1"/>
    <col min="2" max="2" width="24" customWidth="1"/>
    <col min="3" max="3" width="21.85546875" customWidth="1"/>
    <col min="4" max="4" width="27.28515625" customWidth="1"/>
    <col min="5" max="5" width="26.5703125" customWidth="1"/>
  </cols>
  <sheetData>
    <row r="1" spans="1:3">
      <c r="A1" s="6" t="s">
        <v>2</v>
      </c>
      <c r="B1" s="6" t="s">
        <v>3</v>
      </c>
      <c r="C1" s="6" t="s">
        <v>12</v>
      </c>
    </row>
    <row r="2" spans="1:3">
      <c r="A2" s="5" t="s">
        <v>87</v>
      </c>
      <c r="B2" s="5" t="s">
        <v>14</v>
      </c>
      <c r="C2" s="5" t="s">
        <v>120</v>
      </c>
    </row>
    <row r="3" spans="1:3">
      <c r="A3" s="5" t="s">
        <v>121</v>
      </c>
      <c r="B3" s="5" t="s">
        <v>23</v>
      </c>
      <c r="C3" s="5" t="s">
        <v>18</v>
      </c>
    </row>
    <row r="4" spans="1:3">
      <c r="A4" s="5" t="s">
        <v>122</v>
      </c>
      <c r="B4" s="7" t="s">
        <v>27</v>
      </c>
      <c r="C4" s="7" t="s">
        <v>123</v>
      </c>
    </row>
    <row r="5" spans="1:3">
      <c r="A5" s="5" t="s">
        <v>22</v>
      </c>
      <c r="B5" s="5" t="s">
        <v>124</v>
      </c>
      <c r="C5" s="5" t="s">
        <v>26</v>
      </c>
    </row>
    <row r="6" spans="1:3">
      <c r="A6" s="5" t="s">
        <v>89</v>
      </c>
      <c r="B6" s="5" t="s">
        <v>30</v>
      </c>
      <c r="C6" s="5"/>
    </row>
    <row r="7" spans="1:3">
      <c r="A7" s="5" t="s">
        <v>19</v>
      </c>
      <c r="B7" s="5"/>
      <c r="C7" s="5"/>
    </row>
    <row r="8" spans="1:3">
      <c r="A8" s="7" t="s">
        <v>125</v>
      </c>
      <c r="B8" s="5"/>
      <c r="C8" s="5"/>
    </row>
    <row r="9" spans="1:3">
      <c r="A9" s="5" t="s">
        <v>126</v>
      </c>
      <c r="B9" s="5"/>
      <c r="C9" s="5"/>
    </row>
    <row r="10" spans="1:3">
      <c r="A10" s="8" t="s">
        <v>13</v>
      </c>
      <c r="B10" s="5"/>
      <c r="C10" s="5"/>
    </row>
    <row r="11" spans="1:3">
      <c r="A11" s="8" t="s">
        <v>127</v>
      </c>
      <c r="B11" s="5"/>
      <c r="C11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D6F6BF9-60E0-43DF-89F5-77D537EA4A7E}"/>
</file>

<file path=customXml/itemProps2.xml><?xml version="1.0" encoding="utf-8"?>
<ds:datastoreItem xmlns:ds="http://schemas.openxmlformats.org/officeDocument/2006/customXml" ds:itemID="{28D6DD63-E4D3-4893-8614-222CB98D2CE0}"/>
</file>

<file path=customXml/itemProps3.xml><?xml version="1.0" encoding="utf-8"?>
<ds:datastoreItem xmlns:ds="http://schemas.openxmlformats.org/officeDocument/2006/customXml" ds:itemID="{43DFECBF-E4F9-458B-ABB3-80501C3FFB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Phan Dai Hiep</dc:creator>
  <cp:keywords/>
  <dc:description/>
  <cp:lastModifiedBy>Phan Dai Hiep</cp:lastModifiedBy>
  <cp:revision/>
  <dcterms:created xsi:type="dcterms:W3CDTF">2015-06-05T18:17:20Z</dcterms:created>
  <dcterms:modified xsi:type="dcterms:W3CDTF">2025-06-30T09:51:39Z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