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mc:AlternateContent xmlns:mc="http://schemas.openxmlformats.org/markup-compatibility/2006">
    <mc:Choice Requires="x15">
      <x15ac:absPath xmlns:x15ac="http://schemas.microsoft.com/office/spreadsheetml/2010/11/ac" url="D:\Download\"/>
    </mc:Choice>
  </mc:AlternateContent>
  <xr:revisionPtr revIDLastSave="313" documentId="13_ncr:1_{4AC70692-5AA4-45EA-82A6-13F7F7FA2F27}" xr6:coauthVersionLast="47" xr6:coauthVersionMax="47" xr10:uidLastSave="{EF28CC1F-2517-433D-8AB4-80BDEB4F22FF}"/>
  <bookViews>
    <workbookView xWindow="-120" yWindow="-120" windowWidth="29040" windowHeight="15720" firstSheet="5" activeTab="5" xr2:uid="{41597F7A-9990-46E2-96B3-211643ADD53E}"/>
  </bookViews>
  <sheets>
    <sheet name="Overview" sheetId="3" r:id="rId1"/>
    <sheet name="Reports_JP" sheetId="5" r:id="rId2"/>
    <sheet name="Reports_VN" sheetId="1" r:id="rId3"/>
    <sheet name="HopKH" sheetId="6" r:id="rId4"/>
    <sheet name="Memo" sheetId="7" r:id="rId5"/>
    <sheet name="Sheet1" sheetId="8"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0" i="5" l="1"/>
  <c r="L19" i="5"/>
  <c r="L18" i="5"/>
  <c r="L17" i="5"/>
  <c r="L16" i="5"/>
  <c r="L15" i="5"/>
  <c r="L13" i="5"/>
  <c r="L11" i="5"/>
  <c r="L10" i="5"/>
  <c r="L9" i="5"/>
  <c r="L8" i="5"/>
  <c r="L7" i="5"/>
  <c r="L6" i="5"/>
  <c r="L5" i="5"/>
  <c r="L4" i="5"/>
  <c r="L3" i="5"/>
  <c r="L2" i="5"/>
  <c r="A4" i="5"/>
  <c r="A5" i="5"/>
  <c r="A6" i="5"/>
  <c r="A7" i="5"/>
  <c r="A8" i="5"/>
  <c r="A9" i="5"/>
  <c r="N9" i="5"/>
  <c r="A10" i="5"/>
  <c r="A11" i="5"/>
  <c r="A13" i="5"/>
  <c r="A14" i="5" s="1"/>
  <c r="A15" i="5" s="1"/>
  <c r="A16" i="5"/>
  <c r="A17" i="5"/>
  <c r="A18" i="5"/>
  <c r="A19" i="5"/>
  <c r="A20" i="5"/>
  <c r="N9" i="1"/>
  <c r="A4" i="1"/>
  <c r="A5" i="1" s="1"/>
  <c r="A6" i="1" s="1"/>
  <c r="A7" i="1" s="1"/>
  <c r="A8" i="1" s="1"/>
  <c r="A9" i="1" s="1"/>
  <c r="A10" i="1" s="1"/>
  <c r="A11" i="1" l="1"/>
  <c r="A14" i="1" l="1"/>
  <c r="A15" i="1" l="1"/>
  <c r="A16" i="1" s="1"/>
  <c r="A17" i="1" s="1"/>
  <c r="A18" i="1" s="1"/>
  <c r="A19" i="1" s="1"/>
  <c r="A20" i="1" s="1"/>
  <c r="A21" i="1" s="1"/>
</calcChain>
</file>

<file path=xl/sharedStrings.xml><?xml version="1.0" encoding="utf-8"?>
<sst xmlns="http://schemas.openxmlformats.org/spreadsheetml/2006/main" count="263" uniqueCount="192">
  <si>
    <t>ステータス</t>
  </si>
  <si>
    <t>Mô tả trạng thái của task・タスクの状態</t>
  </si>
  <si>
    <t>Backlog</t>
  </si>
  <si>
    <t>対応準備中</t>
  </si>
  <si>
    <t>Chuẩn bị bị làm</t>
  </si>
  <si>
    <t>Doing</t>
  </si>
  <si>
    <t>対応中</t>
  </si>
  <si>
    <t>Đang thực hiện làm</t>
  </si>
  <si>
    <t>Review</t>
  </si>
  <si>
    <t>レビュー中</t>
  </si>
  <si>
    <t>Reviewer đang thực hiện review</t>
  </si>
  <si>
    <t>レビュー中（レビュアー対応中）</t>
  </si>
  <si>
    <t>Test</t>
  </si>
  <si>
    <t>テスト中</t>
  </si>
  <si>
    <t>Tester đang thực hiện test</t>
  </si>
  <si>
    <t>テスト中（テスター対応中）</t>
  </si>
  <si>
    <t>Spike</t>
  </si>
  <si>
    <t>開発環境にデプロイ済み</t>
  </si>
  <si>
    <t>Chức năng được triển khai trên môi trường nội bộ</t>
  </si>
  <si>
    <t>Staging</t>
  </si>
  <si>
    <t>Staging環境にデプロイ済み</t>
  </si>
  <si>
    <t>Chức năng được triển khai trên môi trường kiểm thử staging</t>
  </si>
  <si>
    <t>Product</t>
  </si>
  <si>
    <t>本番環境にデプロイ済み</t>
  </si>
  <si>
    <t>Chức năng được triển khai trên môi trường sản xuất production</t>
  </si>
  <si>
    <t>Confirm</t>
  </si>
  <si>
    <t>確認</t>
  </si>
  <si>
    <t>Nhận xác nhận từ khách hàng hoặc Mr.K</t>
  </si>
  <si>
    <t>顧客またはMr.Kからの確認取得済み</t>
  </si>
  <si>
    <t>Done</t>
  </si>
  <si>
    <t>完了</t>
  </si>
  <si>
    <t>Task được hoàn thành đã qua code, test, review, qua Mr.K</t>
  </si>
  <si>
    <t>コード・テスト・レビュー・Mr.K確認まで完了済み</t>
  </si>
  <si>
    <t>No</t>
  </si>
  <si>
    <t>Weekly</t>
  </si>
  <si>
    <t>Environment</t>
  </si>
  <si>
    <t>Category</t>
  </si>
  <si>
    <t>Task</t>
  </si>
  <si>
    <t>Status</t>
  </si>
  <si>
    <t>%Done</t>
  </si>
  <si>
    <t>Effort
MD</t>
  </si>
  <si>
    <t>Start Date</t>
  </si>
  <si>
    <t>End Date</t>
  </si>
  <si>
    <t>Note</t>
  </si>
  <si>
    <t>2025/09/15 ~ 09/19</t>
  </si>
  <si>
    <t>Ishida</t>
  </si>
  <si>
    <t>新開発</t>
  </si>
  <si>
    <t>【Design】価格変更機能の開発</t>
  </si>
  <si>
    <t>設計の修正およびレビューを実施</t>
  </si>
  <si>
    <t>【Web】価格変更機能の開発</t>
  </si>
  <si>
    <t>今週、Mr.Kのレイアウトを確認・修正</t>
  </si>
  <si>
    <t>【Server】価格変更機能の開発</t>
  </si>
  <si>
    <t>今週、各種不具合の確認とレビューを実施</t>
  </si>
  <si>
    <t>【Deploy】価格変更機能の開発</t>
  </si>
  <si>
    <t>Spike環境へのデプロイ：完了（Done）
　Staging環境でのテストを実施中</t>
  </si>
  <si>
    <t>モニタリング</t>
  </si>
  <si>
    <t>【モニタリング】毎日システムを確認
　今週はシステムに関する問題は発生しませんでした。</t>
  </si>
  <si>
    <t>インポート／エクスポートされたレコードの確認、処理速度やシステムの動作速度を検証
　→ 本番運用中に発生し得る問題を早期に検知することが目的</t>
  </si>
  <si>
    <t>調査</t>
  </si>
  <si>
    <t>【調査】システムの統計を監視・調査、目的：システムの状態を監視できるようにする
　- No45: 統計方法の修正：完
　- システム監視に関する資料：レビュー中</t>
  </si>
  <si>
    <t>【調査】Ishidaシステムの割引種類（Mix-Match、Category）の調査</t>
  </si>
  <si>
    <t>サポート</t>
  </si>
  <si>
    <t>店舗にてお客様サポート対応（An2NBおよびMaiTTTが対応）</t>
  </si>
  <si>
    <t>日本での出張</t>
  </si>
  <si>
    <t>フィードバック</t>
  </si>
  <si>
    <t>毎週、顧客からの発生事項（Issue、QAなど）に対応
　QA対応：No83、No85、No86 → 対応済</t>
  </si>
  <si>
    <t>POS-Android</t>
  </si>
  <si>
    <t>【調査】現在稼働中のPOS-Androidアプリのサーバー調査（AWSへの展開準備）</t>
  </si>
  <si>
    <t>旧サーバーをAWSへ移行する目的</t>
  </si>
  <si>
    <t>2025/09/22 ~ 09/26</t>
  </si>
  <si>
    <t>Không xuất data special_del</t>
  </si>
  <si>
    <t>Spike環境およびStaging環境へのデプロイは完了。
現在、Staging環境でテストを実施中。</t>
  </si>
  <si>
    <t>Phát triển chức năng đăng ký user</t>
  </si>
  <si>
    <t>【モニタリング】毎日システムを確認</t>
  </si>
  <si>
    <t>検証用の調査を実施しました：完了
インポート／エクスポートされたレコードの確認、処理速度およびシステムの稼働速度を検証中。
→ システム稼働中に発生する問題を早期に検出することを目的とする。</t>
  </si>
  <si>
    <t>【調査】Ishidaシステムの価格種類（Mix-Match、Category）の調査</t>
  </si>
  <si>
    <t>顧客からの発生事項（Issue、QAなど）への対応</t>
  </si>
  <si>
    <t>【Web】No45に関連する統計機能の開発</t>
  </si>
  <si>
    <t>【Server】No45に関連する統計機能の開発</t>
  </si>
  <si>
    <t>Phát triển mới</t>
  </si>
  <si>
    <t>[Design]Phát triển chức năng thay đổi giá</t>
  </si>
  <si>
    <t>Chỉnh sửa và rà soát lại thiết kế</t>
  </si>
  <si>
    <t>[Web]Phát triển chức năng thay đổi giá</t>
  </si>
  <si>
    <t>Trong tuần kiểm tra và sửa layout của Mr.K</t>
  </si>
  <si>
    <t>[Server]Phát triển chức năng thay đổi giá</t>
  </si>
  <si>
    <t>Trong tuần kiểm tra và rà soát các lỗi</t>
  </si>
  <si>
    <t>[Deploy]Phát triển chức năng thay đổi giá</t>
  </si>
  <si>
    <t>Đã triển khai lên môi trường spike : Done
Đang thực hiện test trên môi trường staging</t>
  </si>
  <si>
    <t>Monitoring</t>
  </si>
  <si>
    <t>[Monitoring] Hàng ngày kiểm tra hệ thống
Trong tuần không phát hiện các vấn đề về hệ thống</t>
  </si>
  <si>
    <t>Kiểm tra các bản ghi import/ export, tốc độ xử lý các bản ghi, tốc độ chạy của hệ thống -&gt; mục đích để phát hiện sớm các vấn đề của hệ thống khi đang chạy</t>
  </si>
  <si>
    <t>Điều tra</t>
  </si>
  <si>
    <t>Điều tra giám sát thống kê hệ thống, mục đích để có thể giám sát hệ thống
- No45: Chỉnh sửa cách thức thống kê: Done
- Tài liệu điều tra giám sát hệ thống: Review</t>
  </si>
  <si>
    <t>Điều tra các loại giảm giá của hệ thống ishida (Mix-Match, Category)</t>
  </si>
  <si>
    <t>Support</t>
  </si>
  <si>
    <t>Hỗi trợ khách hàng ở tại cửa hàng, có An2NB và MaiTTT</t>
  </si>
  <si>
    <t>Công tác ở Nhật Bản</t>
  </si>
  <si>
    <t>Feedbacks</t>
  </si>
  <si>
    <t>Hàng tuần đối ứng các phát sinh từ khách hàng như là các issues, QA
Trả lời QA từ khách hàng No83, No85, No86: Đã closed</t>
  </si>
  <si>
    <t>Điều tra các server app pos-android đang chạy để triển khai lên AWS</t>
  </si>
  <si>
    <t>Mục đích để triển khai server cũ lên AWS</t>
  </si>
  <si>
    <t>CR</t>
  </si>
  <si>
    <t>Input giá không có thì không export giá</t>
  </si>
  <si>
    <t>4h báo cáo lại kết quả cho Mr.K
Nếu không có gì thay đổi thì lịch 25/9 xong môi trường spike</t>
  </si>
  <si>
    <t>FixBug</t>
  </si>
  <si>
    <t>No 77. Trạng thái bản ghi là xóa đang chưa gửi đúng trạng thái</t>
  </si>
  <si>
    <t>Đã tạo evidence môi trường spke
Sau khi  trao đổi export giá gửi lại giải pháp</t>
  </si>
  <si>
    <t>Đã triển khai lên môi trường spike và staging
Đang thực hiện test trên môi trường staging</t>
  </si>
  <si>
    <t>[Monitoring] Hàng ngày kiểm tra hệ thống</t>
  </si>
  <si>
    <t>Điều tra để tạo chương trình kiểm tra gia tự động</t>
  </si>
  <si>
    <t>Đối ứng các phát sinh từ khách hàng như là các issues, QA</t>
  </si>
  <si>
    <t>Sửa để chỉ sử dụng DB Kasumi</t>
  </si>
  <si>
    <t>Ngày họp</t>
  </si>
  <si>
    <t>Tên cuộc họp</t>
  </si>
  <si>
    <t>Thành viên tham gia họp</t>
  </si>
  <si>
    <t>Chi tiết về cuộc họp</t>
  </si>
  <si>
    <t>Đánh giá</t>
  </si>
  <si>
    <t>Họp hàng tuần thứ 3,5</t>
  </si>
  <si>
    <t>1. 電子棚札</t>
  </si>
  <si>
    <r>
      <t xml:space="preserve">• </t>
    </r>
    <r>
      <rPr>
        <b/>
        <sz val="11"/>
        <color theme="1"/>
        <rFont val="Aptos Narrow"/>
        <family val="2"/>
        <scheme val="minor"/>
      </rPr>
      <t>Tài liệu yêu cầu &amp; thiết kế</t>
    </r>
    <r>
      <rPr>
        <sz val="11"/>
        <color theme="1"/>
        <rFont val="Aptos Narrow"/>
        <family val="2"/>
        <scheme val="minor"/>
      </rPr>
      <t xml:space="preserve">: thời hạn lùi từ </t>
    </r>
    <r>
      <rPr>
        <b/>
        <sz val="11"/>
        <color theme="1"/>
        <rFont val="Aptos Narrow"/>
        <family val="2"/>
        <scheme val="minor"/>
      </rPr>
      <t>30/9 → 3/10</t>
    </r>
    <r>
      <rPr>
        <sz val="11"/>
        <color theme="1"/>
        <rFont val="Aptos Narrow"/>
        <family val="2"/>
        <scheme val="minor"/>
      </rPr>
      <t>.</t>
    </r>
  </si>
  <si>
    <t>BK làm</t>
  </si>
  <si>
    <r>
      <t xml:space="preserve">• </t>
    </r>
    <r>
      <rPr>
        <b/>
        <sz val="11"/>
        <color theme="1"/>
        <rFont val="Aptos Narrow"/>
        <family val="2"/>
        <scheme val="minor"/>
      </rPr>
      <t>File P001 (200MB)</t>
    </r>
    <r>
      <rPr>
        <sz val="11"/>
        <color theme="1"/>
        <rFont val="Aptos Narrow"/>
        <family val="2"/>
        <scheme val="minor"/>
      </rPr>
      <t xml:space="preserve">: gửi thất bại → Tanaka-san xác nhận </t>
    </r>
    <r>
      <rPr>
        <b/>
        <sz val="11"/>
        <color theme="1"/>
        <rFont val="Aptos Narrow"/>
        <family val="2"/>
        <scheme val="minor"/>
      </rPr>
      <t>không ảnh hưởng production</t>
    </r>
    <r>
      <rPr>
        <sz val="11"/>
        <color theme="1"/>
        <rFont val="Aptos Narrow"/>
        <family val="2"/>
        <scheme val="minor"/>
      </rPr>
      <t>.</t>
    </r>
  </si>
  <si>
    <r>
      <t xml:space="preserve">• </t>
    </r>
    <r>
      <rPr>
        <b/>
        <sz val="11"/>
        <color theme="1"/>
        <rFont val="Aptos Narrow"/>
        <family val="2"/>
        <scheme val="minor"/>
      </rPr>
      <t>Lỗi hiển thị tên sản phẩm (文字化け)</t>
    </r>
    <r>
      <rPr>
        <sz val="11"/>
        <color theme="1"/>
        <rFont val="Aptos Narrow"/>
        <family val="2"/>
        <scheme val="minor"/>
      </rPr>
      <t>: nguyên nhân do “tên sản phẩm Kana” → Tanaka-san đang xác nhận.</t>
    </r>
  </si>
  <si>
    <r>
      <t xml:space="preserve">• </t>
    </r>
    <r>
      <rPr>
        <b/>
        <sz val="11"/>
        <color theme="1"/>
        <rFont val="Aptos Narrow"/>
        <family val="2"/>
        <scheme val="minor"/>
      </rPr>
      <t>Thay đổi layout</t>
    </r>
    <r>
      <rPr>
        <sz val="11"/>
        <color theme="1"/>
        <rFont val="Aptos Narrow"/>
        <family val="2"/>
        <scheme val="minor"/>
      </rPr>
      <t xml:space="preserve"> (dự kiến họp 3/10 với các bên liên quan):</t>
    </r>
  </si>
  <si>
    <t>Chưa chốt để làm, mới chỉ trao đổi</t>
  </si>
  <si>
    <r>
      <t xml:space="preserve">1. Góc trái dưới: hiển thị </t>
    </r>
    <r>
      <rPr>
        <b/>
        <sz val="11"/>
        <color theme="1"/>
        <rFont val="Aptos Narrow"/>
        <family val="2"/>
        <scheme val="minor"/>
      </rPr>
      <t>JAN code</t>
    </r>
    <r>
      <rPr>
        <sz val="11"/>
        <color theme="1"/>
        <rFont val="Aptos Narrow"/>
        <family val="2"/>
        <scheme val="minor"/>
      </rPr>
      <t xml:space="preserve"> thay cho Product code.</t>
    </r>
  </si>
  <si>
    <r>
      <t xml:space="preserve">2. Thêm hiển thị </t>
    </r>
    <r>
      <rPr>
        <b/>
        <sz val="11"/>
        <color theme="1"/>
        <rFont val="Aptos Narrow"/>
        <family val="2"/>
        <scheme val="minor"/>
      </rPr>
      <t>số kệ (棚番号)</t>
    </r>
    <r>
      <rPr>
        <sz val="11"/>
        <color theme="1"/>
        <rFont val="Aptos Narrow"/>
        <family val="2"/>
        <scheme val="minor"/>
      </rPr>
      <t>.</t>
    </r>
  </si>
  <si>
    <r>
      <t xml:space="preserve">3. Góc phải dưới: thay </t>
    </r>
    <r>
      <rPr>
        <b/>
        <sz val="11"/>
        <color theme="1"/>
        <rFont val="Aptos Narrow"/>
        <family val="2"/>
        <scheme val="minor"/>
      </rPr>
      <t>部門–部門</t>
    </r>
    <r>
      <rPr>
        <sz val="11"/>
        <color theme="1"/>
        <rFont val="Aptos Narrow"/>
        <family val="2"/>
        <scheme val="minor"/>
      </rPr>
      <t xml:space="preserve"> cho format hiện tại (</t>
    </r>
    <r>
      <rPr>
        <b/>
        <sz val="11"/>
        <color theme="1"/>
        <rFont val="Aptos Narrow"/>
        <family val="2"/>
        <scheme val="minor"/>
      </rPr>
      <t>部門–8桁商品コード</t>
    </r>
    <r>
      <rPr>
        <sz val="11"/>
        <color theme="1"/>
        <rFont val="Aptos Narrow"/>
        <family val="2"/>
        <scheme val="minor"/>
      </rPr>
      <t>).</t>
    </r>
  </si>
  <si>
    <r>
      <t xml:space="preserve">• </t>
    </r>
    <r>
      <rPr>
        <b/>
        <sz val="11"/>
        <color theme="1"/>
        <rFont val="Aptos Narrow"/>
        <family val="2"/>
        <scheme val="minor"/>
      </rPr>
      <t>Tự động kiểm tra master</t>
    </r>
    <r>
      <rPr>
        <sz val="11"/>
        <color theme="1"/>
        <rFont val="Aptos Narrow"/>
        <family val="2"/>
        <scheme val="minor"/>
      </rPr>
      <t>: đang phát triển, cần điều chỉnh lịch.</t>
    </r>
  </si>
  <si>
    <t>BK Báo cho KH đang phát triển</t>
  </si>
  <si>
    <r>
      <t xml:space="preserve">• </t>
    </r>
    <r>
      <rPr>
        <b/>
        <sz val="11"/>
        <color theme="1"/>
        <rFont val="Aptos Narrow"/>
        <family val="2"/>
        <scheme val="minor"/>
      </rPr>
      <t>Alert mail khi có lỗi</t>
    </r>
    <r>
      <rPr>
        <sz val="11"/>
        <color theme="1"/>
        <rFont val="Aptos Narrow"/>
        <family val="2"/>
        <scheme val="minor"/>
      </rPr>
      <t>: đang phát triển, cần điều chỉnh lịch.</t>
    </r>
  </si>
  <si>
    <t>2. Gift Card</t>
  </si>
  <si>
    <r>
      <t xml:space="preserve">• Yêu cầu phải qua </t>
    </r>
    <r>
      <rPr>
        <b/>
        <sz val="11"/>
        <color theme="1"/>
        <rFont val="Aptos Narrow"/>
        <family val="2"/>
        <scheme val="minor"/>
      </rPr>
      <t>credit server của AFS</t>
    </r>
    <r>
      <rPr>
        <sz val="11"/>
        <color theme="1"/>
        <rFont val="Aptos Narrow"/>
        <family val="2"/>
        <scheme val="minor"/>
      </rPr>
      <t xml:space="preserve"> → Ando-san đang xác nhận.</t>
    </r>
  </si>
  <si>
    <r>
      <t xml:space="preserve">• </t>
    </r>
    <r>
      <rPr>
        <b/>
        <sz val="11"/>
        <color theme="1"/>
        <rFont val="Aptos Narrow"/>
        <family val="2"/>
        <scheme val="minor"/>
      </rPr>
      <t>Estimate</t>
    </r>
    <r>
      <rPr>
        <sz val="11"/>
        <color theme="1"/>
        <rFont val="Aptos Narrow"/>
        <family val="2"/>
        <scheme val="minor"/>
      </rPr>
      <t>: chưa nộp vì thiếu spec (server ban ngày chưa rõ item gửi/đích đến, chưa có tài liệu; đang chờ AFS trả lời).</t>
    </r>
  </si>
  <si>
    <r>
      <t xml:space="preserve">• </t>
    </r>
    <r>
      <rPr>
        <b/>
        <sz val="11"/>
        <color theme="1"/>
        <rFont val="Aptos Narrow"/>
        <family val="2"/>
        <scheme val="minor"/>
      </rPr>
      <t>Communication method</t>
    </r>
    <r>
      <rPr>
        <sz val="11"/>
        <color theme="1"/>
        <rFont val="Aptos Narrow"/>
        <family val="2"/>
        <scheme val="minor"/>
      </rPr>
      <t>: chưa rõ, đã gửi mail cho AFS từ 16/9 → vẫn chờ phản hồi.</t>
    </r>
  </si>
  <si>
    <r>
      <t xml:space="preserve">• </t>
    </r>
    <r>
      <rPr>
        <b/>
        <sz val="11"/>
        <color theme="1"/>
        <rFont val="Aptos Narrow"/>
        <family val="2"/>
        <scheme val="minor"/>
      </rPr>
      <t>Phát triển màn hình terminal Gift Card</t>
    </r>
    <r>
      <rPr>
        <sz val="11"/>
        <color theme="1"/>
        <rFont val="Aptos Narrow"/>
        <family val="2"/>
        <scheme val="minor"/>
      </rPr>
      <t>: cần xác nhận với Aoyagi-san về việc có thể tiến hành hay không (màn hình gồm chức năng đăng ký số thẻ &amp; nhập số tiền sử dụng).</t>
    </r>
  </si>
  <si>
    <t>Hop định kỳ Ishida</t>
  </si>
  <si>
    <t>■Nội dung chính</t>
  </si>
  <si>
    <t>- Cuộc họp hôm nay xem lại tình hình vận hành 1 tháng của cửa hàng 253, </t>
  </si>
  <si>
    <t>xác định vấn đề và bàn kế hoạch triển khai tiếp theo.</t>
  </si>
  <si>
    <t>- Có 1 vài sự cố như nhãn hỏng, thiếu nhãn,..</t>
  </si>
  <si>
    <t>- Yêu cầu hiển thị mã JAN trên ESL để quét đặt hàng. Sau khi hoàn tất giải pháp ở cửa hàng này</t>
  </si>
  <si>
    <t>sẽ nhân rộng sang cửa hàng khác.</t>
  </si>
  <si>
    <t>- Ngoài ra bác Sasaki có trình bày 1 vài chức năng dự kiến mong muốn phát triển trong tương lai.</t>
  </si>
  <si>
    <t>👉️Em có tổng hợp ở file bên dưới:</t>
  </si>
  <si>
    <t>https://svn.luvina.net/svn/prjs_pos_system/40_management/44_meeting/Biên bản họp KH/MM_20251003.xlsx</t>
  </si>
  <si>
    <t> </t>
  </si>
  <si>
    <t>■Action: ※ Phía Luvina chưa nhận được thông báo chính thức phần việc cần làm</t>
  </si>
  <si>
    <t>- Murai (Ishida): Thăm cửa hàng, kiểm tra ESL &amp; vấn đề phát sinh.</t>
  </si>
  <si>
    <t>- Team Hệ thống &amp; Ishida: Thay mã OCR → JAN trên ESL.</t>
  </si>
  <si>
    <t>- Aoyagi: Xác nhận phê duyệt từ bộ phận hàng hóa; thiết lập họp định kỳ hàng tháng. (1 lần/ tháng)</t>
  </si>
  <si>
    <t>- Chiba &amp; Team Hệ thống: Họp về liên kết ESL – thông tin khuyến mãi.</t>
  </si>
  <si>
    <t>- Murai &amp; Layout: Tham gia họp layout thông tin khuyến mãi.</t>
  </si>
  <si>
    <t>- Team Hệ thống: Đồng bộ hiển thị mã sản phẩm với nhãn tại trung tâm.</t>
  </si>
  <si>
    <t>✅ Nhãn kệ điện tử (ESL)</t>
  </si>
  <si>
    <t>- Tài liệu yêu cầu/thiết kế: Đang cập nhật, dự kiến hoàn tất lại vào 07/10 (đã qua 2 lần sửa). -&gt; Mr.K gửi cho Mr.Sasaki confirm</t>
  </si>
  <si>
    <t>- Lỗi gửi file P001 (200MB): Gửi thất bại → cần xác nhận lại với anh Tanaka xem có ảnh hưởng hệ thống chính không.</t>
  </si>
  <si>
    <t>- Lỗi hiển thị tên sản phẩm: Nghi ngờ do trường Kana → chờ xác nhận từ BiProj Tanaka, có thể cần sửa logic chương trình.</t>
  </si>
  <si>
    <t>- Mã sản phẩm: Đã thêm JAN code. Cần bổ sung mã định danh sản phẩm và chuyển sang mã 8 ký tự → chờ báo giá từ team Ishida.</t>
  </si>
  <si>
    <t>- Tự động xác nhận master + gửi mail lỗi: Đang phát triển, cần cập nhật lại timeline.</t>
  </si>
  <si>
    <t>- List bug: </t>
  </si>
  <si>
    <t>+ 1&amp;2: gửi lại scenario cho Mr.Sasaki để xác nhận</t>
  </si>
  <si>
    <t>+ 3: Mr.Sasaki cần confirm lại với Mr.Ando</t>
  </si>
  <si>
    <t>🎁 Gift Card</t>
  </si>
  <si>
    <t>- Route thanh toán: Xác nhận giống credit card → đã xác nhận với AFS và INES.</t>
  </si>
  <si>
    <t>- Dữ liệu giao nhận: File layout đã có nhưng thiếu nội dung truyền, địa chỉ nhận, không có spec → Đang chờ phản hồi từ AFS</t>
  </si>
  <si>
    <t>- Server giao dịch (Authorization server): Thiếu thông tin kỹ thuật → cần xác nhận trong tuần 7/10 với USMH</t>
  </si>
  <si>
    <t>※Authorization server (ban ngày) thì chưa có spec, còn Gift server (ban đêm) thì có spec rồi</t>
  </si>
  <si>
    <t>- Địa chỉ gửi dữ liệu chưa rõ: → Đã gửi mail cho AEON Financial (Yamaguchi) ngày 16/9 → chờ AFS phản hồi.</t>
  </si>
  <si>
    <t>- 7/10 Mr.Aoyagi xác nhận bên mình có thể start phát triển màn hình đăng ký mã hội viên（会員番号登録画面））, API, và cần phát triển màn hình search lịch sử giao dịch(ジャーナル検索画面).</t>
  </si>
  <si>
    <t>🗓️ Cuộc họp tiếp theo</t>
  </si>
  <si>
    <t>Thời gian: Thứ Ba, 14/10, lúc 10:00 sáng</t>
  </si>
  <si>
    <t>✅ Bảng điện tử ESL</t>
  </si>
  <si>
    <t>- Tạo tài liệu yêu cầu / thiết kế (đang chỉnh sửa theo comment 10/7) -&gt; Bác K</t>
  </si>
  <si>
    <t>- Thay đổi layout hiển thị (商品コード→JANコード, 棚番号, 右下コード表示) → chờ báo giá Ishida / Sharp.</t>
  </si>
  <si>
    <t>- Tự động xác nhận Master → đang phát triển.</t>
  </si>
  <si>
    <t>- Gửi mail alert lỗi → đang phát triển.</t>
  </si>
  <si>
    <t>■List bug (xếp theo thứ tự ưu tiên)</t>
  </si>
  <si>
    <t>- Gửi dữ liệu theo thứ tự: 商品マスタ6:00 → 売価変更6:30.</t>
  </si>
  <si>
    <t>- Kiểm chứng giá 178 ưu tiên giá nào hiển thị (本部指示価格 vs 店舗価格) → phối hợp VINX, Mr.Osaka. (Status: chờ Khách hàng chốt spec)</t>
  </si>
  <si>
    <t>- Xử lý logic giá Special (Status: chờ phía Luvina, phía mình đã tạo scenario chờ Bác K xác nhận)</t>
  </si>
  <si>
    <t>- Luvina đối ứng cho cửa hàng khác: Giá khẩn cấp, Giá Special → dự kiến hoàn thành phát triển trong 2 tuần.</t>
  </si>
  <si>
    <t>🎁Gift card: thảo luận ở cuộc họp riêng.</t>
  </si>
  <si>
    <t>🗓️ Họp tiếp theo: 10/21 (Thứ Ba) 10:00~.</t>
  </si>
  <si>
    <t>1. No87 (issue 178) vẫn đang chờ bên khách xác nhận</t>
  </si>
  <si>
    <t>2. No90 (SHOUHIN gửi 6h, ESL data gửi 6h30) ưu tiên đối ứng để chuyển khách hàng test trong tuần này, dự kiến test trên cửa hàng 9176.</t>
  </si>
  <si>
    <t>3. Sau đó test No72, No92 (issue liên quan giá bán Special) -&gt; dự kiến test chung với No87</t>
  </si>
  <si>
    <t>4. Gift card chờ bác Ando xác nhận sẽ đối ứng phần nào, họp ở cuộc họp khác</t>
  </si>
  <si>
    <t>Cuộc họp tiếp theo 10/28 (Thứ ba) 10:00~</t>
  </si>
  <si>
    <t>Date</t>
  </si>
  <si>
    <t>Contents</t>
  </si>
  <si>
    <t>Ngày 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</si>
</sst>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font>
      <sz val="11"/>
      <color theme="1"/>
      <name val="Aptos Narrow"/>
      <family val="2"/>
      <scheme val="minor"/>
    </font>
    <font>
      <sz val="11"/>
      <color theme="1"/>
      <name val="Aptos Narrow"/>
      <family val="2"/>
      <scheme val="minor"/>
    </font>
    <font>
      <sz val="11"/>
      <color theme="1"/>
      <name val="Times New Roman"/>
      <family val="1"/>
    </font>
    <font>
      <b/>
      <sz val="11"/>
      <name val="Times New Roman"/>
      <family val="1"/>
    </font>
    <font>
      <sz val="11"/>
      <color rgb="FF000000"/>
      <name val="Times New Roman"/>
    </font>
    <font>
      <sz val="11"/>
      <color rgb="FF000000"/>
      <name val="Times New Roman"/>
      <family val="1"/>
    </font>
    <font>
      <b/>
      <sz val="11"/>
      <color theme="1"/>
      <name val="Aptos Narrow"/>
      <family val="2"/>
      <scheme val="minor"/>
    </font>
    <font>
      <u/>
      <sz val="11"/>
      <color theme="10"/>
      <name val="Aptos Narrow"/>
      <family val="2"/>
      <scheme val="minor"/>
    </font>
  </fonts>
  <fills count="9">
    <fill>
      <patternFill patternType="none"/>
    </fill>
    <fill>
      <patternFill patternType="gray125"/>
    </fill>
    <fill>
      <patternFill patternType="solid">
        <fgColor rgb="FF92D050"/>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3" tint="0.749992370372631"/>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rgb="FFFCC9AF"/>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3">
    <xf numFmtId="0" fontId="0" fillId="0" borderId="0"/>
    <xf numFmtId="9" fontId="1" fillId="0" borderId="0" applyFont="0" applyFill="0" applyBorder="0" applyAlignment="0" applyProtection="0"/>
    <xf numFmtId="0" fontId="7" fillId="0" borderId="0" applyNumberFormat="0" applyFill="0" applyBorder="0" applyAlignment="0" applyProtection="0"/>
  </cellStyleXfs>
  <cellXfs count="58">
    <xf numFmtId="0" fontId="0" fillId="0" borderId="0" xfId="0"/>
    <xf numFmtId="0" fontId="0" fillId="0" borderId="1" xfId="0" applyBorder="1"/>
    <xf numFmtId="0" fontId="2" fillId="0" borderId="2" xfId="0" applyFont="1" applyBorder="1" applyAlignment="1">
      <alignment vertical="center"/>
    </xf>
    <xf numFmtId="9" fontId="2" fillId="0" borderId="2" xfId="1" applyFont="1" applyBorder="1" applyAlignment="1">
      <alignment vertical="center"/>
    </xf>
    <xf numFmtId="164" fontId="2" fillId="0" borderId="2" xfId="0" applyNumberFormat="1" applyFont="1" applyBorder="1" applyAlignment="1">
      <alignment vertical="center"/>
    </xf>
    <xf numFmtId="0" fontId="2" fillId="0" borderId="2" xfId="0" applyFont="1" applyBorder="1" applyAlignment="1">
      <alignment vertical="center" wrapText="1"/>
    </xf>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left" vertical="center"/>
    </xf>
    <xf numFmtId="0" fontId="2" fillId="0" borderId="2" xfId="1" applyNumberFormat="1" applyFont="1" applyBorder="1" applyAlignment="1">
      <alignment vertical="center"/>
    </xf>
    <xf numFmtId="0" fontId="0" fillId="0" borderId="3" xfId="0" applyBorder="1" applyAlignment="1">
      <alignment horizontal="center" vertical="center"/>
    </xf>
    <xf numFmtId="0" fontId="0" fillId="0" borderId="4" xfId="0" applyBorder="1" applyAlignment="1">
      <alignment horizontal="center" vertical="center"/>
    </xf>
    <xf numFmtId="0" fontId="5" fillId="0" borderId="2" xfId="0" applyFont="1" applyBorder="1" applyAlignment="1">
      <alignment vertical="center" wrapText="1"/>
    </xf>
    <xf numFmtId="0" fontId="0" fillId="0" borderId="2" xfId="0" applyBorder="1" applyAlignment="1">
      <alignment horizontal="center"/>
    </xf>
    <xf numFmtId="0" fontId="0" fillId="0" borderId="0" xfId="0" applyAlignment="1">
      <alignment horizontal="center"/>
    </xf>
    <xf numFmtId="0" fontId="4" fillId="0" borderId="2" xfId="0" applyFont="1" applyBorder="1" applyAlignment="1">
      <alignment vertical="center" wrapText="1"/>
    </xf>
    <xf numFmtId="0" fontId="2" fillId="0" borderId="6" xfId="0" applyFont="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0" fontId="0" fillId="5" borderId="1" xfId="0" applyFill="1" applyBorder="1"/>
    <xf numFmtId="0" fontId="6" fillId="0" borderId="0" xfId="0" applyFont="1"/>
    <xf numFmtId="14" fontId="0" fillId="0" borderId="0" xfId="0" applyNumberFormat="1"/>
    <xf numFmtId="0" fontId="6" fillId="6" borderId="0" xfId="0" applyFont="1" applyFill="1"/>
    <xf numFmtId="0" fontId="0" fillId="0" borderId="0" xfId="0" quotePrefix="1"/>
    <xf numFmtId="0" fontId="7" fillId="0" borderId="0" xfId="2"/>
    <xf numFmtId="0" fontId="0" fillId="0" borderId="0" xfId="0" applyAlignment="1">
      <alignment vertical="center"/>
    </xf>
    <xf numFmtId="0" fontId="0" fillId="7" borderId="0" xfId="0" applyFill="1"/>
    <xf numFmtId="0" fontId="6" fillId="7" borderId="0" xfId="0" applyFont="1" applyFill="1"/>
    <xf numFmtId="14" fontId="6" fillId="7" borderId="0" xfId="0" applyNumberFormat="1" applyFont="1" applyFill="1"/>
    <xf numFmtId="0" fontId="2" fillId="0" borderId="6"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2" fillId="0" borderId="6" xfId="0" applyFont="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0" fontId="0" fillId="4" borderId="3" xfId="0" applyFill="1" applyBorder="1" applyAlignment="1">
      <alignment horizontal="center" vertical="center"/>
    </xf>
    <xf numFmtId="0" fontId="0" fillId="4" borderId="5" xfId="0" applyFill="1" applyBorder="1" applyAlignment="1">
      <alignment horizontal="center" vertical="center"/>
    </xf>
    <xf numFmtId="0" fontId="0" fillId="4" borderId="4" xfId="0" applyFill="1"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2" fillId="0" borderId="2" xfId="0" applyFont="1" applyBorder="1" applyAlignment="1">
      <alignment vertical="center"/>
    </xf>
    <xf numFmtId="0" fontId="3" fillId="2" borderId="2" xfId="0" applyFont="1" applyFill="1" applyBorder="1" applyAlignment="1">
      <alignment horizontal="center" vertical="center"/>
    </xf>
    <xf numFmtId="0" fontId="0" fillId="3" borderId="2" xfId="0"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left" vertical="center"/>
    </xf>
    <xf numFmtId="0" fontId="0" fillId="0" borderId="5" xfId="0" applyBorder="1" applyAlignment="1">
      <alignment horizontal="left" vertical="center"/>
    </xf>
    <xf numFmtId="0" fontId="0" fillId="0" borderId="4" xfId="0"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0" fillId="0" borderId="2" xfId="0" applyBorder="1" applyAlignment="1">
      <alignment horizontal="left" vertical="center"/>
    </xf>
    <xf numFmtId="0" fontId="2" fillId="0" borderId="2" xfId="0" applyFont="1" applyBorder="1" applyAlignment="1">
      <alignment vertical="center" wrapText="1"/>
    </xf>
    <xf numFmtId="0" fontId="0" fillId="0" borderId="0" xfId="0" applyAlignment="1">
      <alignment horizontal="left" vertical="center"/>
    </xf>
    <xf numFmtId="0" fontId="0" fillId="0" borderId="0" xfId="0" applyAlignment="1">
      <alignment vertical="center"/>
    </xf>
    <xf numFmtId="0" fontId="0" fillId="0" borderId="0" xfId="0" applyAlignment="1">
      <alignment horizontal="center" vertical="center"/>
    </xf>
    <xf numFmtId="0" fontId="0" fillId="8" borderId="0" xfId="0" applyFill="1"/>
  </cellXfs>
  <cellStyles count="3">
    <cellStyle name="Hyperlink" xfId="2" builtinId="8"/>
    <cellStyle name="Normal" xfId="0" builtinId="0"/>
    <cellStyle name="Percent" xfId="1" builtinId="5"/>
  </cellStyles>
  <dxfs count="13">
    <dxf>
      <fill>
        <patternFill>
          <bgColor theme="0" tint="-0.24994659260841701"/>
        </patternFill>
      </fill>
    </dxf>
    <dxf>
      <fill>
        <patternFill patternType="solid">
          <bgColor theme="3" tint="0.749961851863155"/>
        </patternFill>
      </fill>
    </dxf>
    <dxf>
      <fill>
        <patternFill>
          <bgColor theme="0" tint="-0.24994659260841701"/>
        </patternFill>
      </fill>
    </dxf>
    <dxf>
      <fill>
        <patternFill patternType="solid">
          <bgColor theme="3" tint="0.749961851863155"/>
        </patternFill>
      </fill>
    </dxf>
    <dxf>
      <fill>
        <patternFill patternType="solid">
          <bgColor theme="5" tint="0.79998168889431442"/>
        </patternFill>
      </fill>
    </dxf>
    <dxf>
      <fill>
        <patternFill>
          <bgColor theme="0" tint="-0.24994659260841701"/>
        </patternFill>
      </fill>
    </dxf>
    <dxf>
      <fill>
        <patternFill>
          <bgColor theme="0" tint="-0.24994659260841701"/>
        </patternFill>
      </fill>
    </dxf>
    <dxf>
      <fill>
        <patternFill patternType="solid">
          <bgColor theme="3" tint="0.749961851863155"/>
        </patternFill>
      </fill>
    </dxf>
    <dxf>
      <fill>
        <patternFill patternType="solid">
          <bgColor theme="5" tint="0.79998168889431442"/>
        </patternFill>
      </fill>
    </dxf>
    <dxf>
      <fill>
        <patternFill>
          <bgColor theme="0" tint="-0.24994659260841701"/>
        </patternFill>
      </fill>
    </dxf>
    <dxf>
      <fill>
        <patternFill patternType="solid">
          <bgColor theme="3" tint="0.749961851863155"/>
        </patternFill>
      </fill>
    </dxf>
    <dxf>
      <fill>
        <patternFill patternType="solid">
          <bgColor theme="3" tint="0.749961851863155"/>
        </patternFill>
      </fill>
    </dxf>
    <dxf>
      <fill>
        <patternFill patternType="solid">
          <bgColor theme="5" tint="0.79998168889431442"/>
        </patternFill>
      </fill>
    </dxf>
  </dxfs>
  <tableStyles count="0" defaultTableStyle="TableStyleMedium2" defaultPivotStyle="PivotStyleLight16"/>
  <colors>
    <mruColors>
      <color rgb="FFFCC9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svn.luvina.net/svn/prjs_pos_system/40_management/44_meeting/Bi&#234;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628F2-A3B7-4986-AD76-1E779E904A8B}">
  <dimension ref="A2:D11"/>
  <sheetViews>
    <sheetView workbookViewId="0">
      <selection activeCell="B3" sqref="B3"/>
    </sheetView>
  </sheetViews>
  <sheetFormatPr defaultRowHeight="15"/>
  <cols>
    <col min="2" max="2" width="24.140625" bestFit="1" customWidth="1"/>
    <col min="3" max="3" width="53.7109375" customWidth="1"/>
  </cols>
  <sheetData>
    <row r="2" spans="1:4">
      <c r="A2" s="20" t="s">
        <v>0</v>
      </c>
      <c r="B2" s="20"/>
      <c r="C2" s="20" t="s">
        <v>1</v>
      </c>
    </row>
    <row r="3" spans="1:4">
      <c r="A3" s="1" t="s">
        <v>2</v>
      </c>
      <c r="B3" s="1" t="s">
        <v>3</v>
      </c>
      <c r="C3" s="1" t="s">
        <v>4</v>
      </c>
      <c r="D3" t="s">
        <v>3</v>
      </c>
    </row>
    <row r="4" spans="1:4">
      <c r="A4" s="1" t="s">
        <v>5</v>
      </c>
      <c r="B4" s="1" t="s">
        <v>6</v>
      </c>
      <c r="C4" s="1" t="s">
        <v>7</v>
      </c>
      <c r="D4" t="s">
        <v>6</v>
      </c>
    </row>
    <row r="5" spans="1:4">
      <c r="A5" s="1" t="s">
        <v>8</v>
      </c>
      <c r="B5" s="1" t="s">
        <v>9</v>
      </c>
      <c r="C5" s="1" t="s">
        <v>10</v>
      </c>
      <c r="D5" t="s">
        <v>11</v>
      </c>
    </row>
    <row r="6" spans="1:4">
      <c r="A6" s="1" t="s">
        <v>12</v>
      </c>
      <c r="B6" s="1" t="s">
        <v>13</v>
      </c>
      <c r="C6" s="1" t="s">
        <v>14</v>
      </c>
      <c r="D6" t="s">
        <v>15</v>
      </c>
    </row>
    <row r="7" spans="1:4">
      <c r="A7" s="1" t="s">
        <v>16</v>
      </c>
      <c r="B7" s="1" t="s">
        <v>17</v>
      </c>
      <c r="C7" s="1" t="s">
        <v>18</v>
      </c>
      <c r="D7" t="s">
        <v>17</v>
      </c>
    </row>
    <row r="8" spans="1:4">
      <c r="A8" s="1" t="s">
        <v>19</v>
      </c>
      <c r="B8" s="1" t="s">
        <v>20</v>
      </c>
      <c r="C8" s="1" t="s">
        <v>21</v>
      </c>
      <c r="D8" t="s">
        <v>20</v>
      </c>
    </row>
    <row r="9" spans="1:4">
      <c r="A9" s="1" t="s">
        <v>22</v>
      </c>
      <c r="B9" s="1" t="s">
        <v>23</v>
      </c>
      <c r="C9" s="1" t="s">
        <v>24</v>
      </c>
      <c r="D9" t="s">
        <v>23</v>
      </c>
    </row>
    <row r="10" spans="1:4">
      <c r="A10" s="1" t="s">
        <v>25</v>
      </c>
      <c r="B10" s="1" t="s">
        <v>26</v>
      </c>
      <c r="C10" s="1" t="s">
        <v>27</v>
      </c>
      <c r="D10" t="s">
        <v>28</v>
      </c>
    </row>
    <row r="11" spans="1:4">
      <c r="A11" s="1" t="s">
        <v>29</v>
      </c>
      <c r="B11" s="1" t="s">
        <v>30</v>
      </c>
      <c r="C11" s="1" t="s">
        <v>31</v>
      </c>
      <c r="D11"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4F3D8-836D-409B-A66E-AC52823FBA2C}">
  <dimension ref="A1:Q20"/>
  <sheetViews>
    <sheetView showGridLines="0" workbookViewId="0">
      <pane ySplit="1" topLeftCell="D2" activePane="bottomLeft" state="frozen"/>
      <selection pane="bottomLeft" activeCell="D25" sqref="D25"/>
    </sheetView>
  </sheetViews>
  <sheetFormatPr defaultRowHeight="15"/>
  <cols>
    <col min="1" max="1" width="5.28515625" style="15" customWidth="1"/>
    <col min="2" max="2" width="17.7109375" customWidth="1"/>
    <col min="3" max="3" width="12.5703125" customWidth="1"/>
    <col min="4" max="4" width="13.140625" customWidth="1"/>
    <col min="5" max="5" width="7.5703125" customWidth="1"/>
    <col min="6" max="6" width="12" customWidth="1"/>
    <col min="7" max="7" width="9.5703125" customWidth="1"/>
    <col min="8" max="8" width="9.42578125" customWidth="1"/>
    <col min="9" max="9" width="15.42578125" customWidth="1"/>
    <col min="10" max="10" width="10" customWidth="1"/>
    <col min="11" max="11" width="10.28515625" customWidth="1"/>
    <col min="12" max="12" width="24.28515625" bestFit="1" customWidth="1"/>
    <col min="13" max="13" width="8" bestFit="1" customWidth="1"/>
    <col min="14" max="14" width="7.85546875" customWidth="1"/>
    <col min="15" max="15" width="11.42578125" customWidth="1"/>
    <col min="16" max="16" width="12.42578125" customWidth="1"/>
    <col min="17" max="17" width="118" customWidth="1"/>
  </cols>
  <sheetData>
    <row r="1" spans="1:17" ht="30.75" customHeight="1">
      <c r="A1" s="6" t="s">
        <v>33</v>
      </c>
      <c r="B1" s="6" t="s">
        <v>34</v>
      </c>
      <c r="C1" s="6" t="s">
        <v>35</v>
      </c>
      <c r="D1" s="6" t="s">
        <v>36</v>
      </c>
      <c r="E1" s="43" t="s">
        <v>37</v>
      </c>
      <c r="F1" s="43"/>
      <c r="G1" s="43"/>
      <c r="H1" s="43"/>
      <c r="I1" s="43"/>
      <c r="J1" s="43"/>
      <c r="K1" s="43"/>
      <c r="L1" s="6" t="s">
        <v>38</v>
      </c>
      <c r="M1" s="6" t="s">
        <v>39</v>
      </c>
      <c r="N1" s="7" t="s">
        <v>40</v>
      </c>
      <c r="O1" s="6" t="s">
        <v>41</v>
      </c>
      <c r="P1" s="6" t="s">
        <v>42</v>
      </c>
      <c r="Q1" s="6" t="s">
        <v>43</v>
      </c>
    </row>
    <row r="2" spans="1:17" ht="19.5" customHeight="1">
      <c r="A2" s="14">
        <v>1</v>
      </c>
      <c r="B2" s="44" t="s">
        <v>44</v>
      </c>
      <c r="C2" s="45" t="s">
        <v>45</v>
      </c>
      <c r="D2" s="46" t="s">
        <v>46</v>
      </c>
      <c r="E2" s="33" t="s">
        <v>47</v>
      </c>
      <c r="F2" s="34"/>
      <c r="G2" s="34"/>
      <c r="H2" s="34"/>
      <c r="I2" s="34"/>
      <c r="J2" s="34"/>
      <c r="K2" s="35"/>
      <c r="L2" s="2" t="str">
        <f>INDEX(Overview!$B$3:$B$11,MATCH(Reports_VN!L2,Overview!$A$3:$A$11,0))</f>
        <v>完了</v>
      </c>
      <c r="M2" s="3">
        <v>1</v>
      </c>
      <c r="N2" s="2">
        <v>5</v>
      </c>
      <c r="O2" s="4">
        <v>45905</v>
      </c>
      <c r="P2" s="4">
        <v>45916</v>
      </c>
      <c r="Q2" s="2" t="s">
        <v>48</v>
      </c>
    </row>
    <row r="3" spans="1:17">
      <c r="A3" s="14">
        <v>2</v>
      </c>
      <c r="B3" s="44"/>
      <c r="C3" s="45"/>
      <c r="D3" s="47"/>
      <c r="E3" s="33" t="s">
        <v>49</v>
      </c>
      <c r="F3" s="34"/>
      <c r="G3" s="34"/>
      <c r="H3" s="34"/>
      <c r="I3" s="34"/>
      <c r="J3" s="34"/>
      <c r="K3" s="35"/>
      <c r="L3" s="2" t="str">
        <f>INDEX(Overview!$B$3:$B$11,MATCH(Reports_VN!L3,Overview!$A$3:$A$11,0))</f>
        <v>完了</v>
      </c>
      <c r="M3" s="3">
        <v>1</v>
      </c>
      <c r="N3" s="10">
        <v>10</v>
      </c>
      <c r="O3" s="4">
        <v>45908</v>
      </c>
      <c r="P3" s="4">
        <v>45918</v>
      </c>
      <c r="Q3" s="2" t="s">
        <v>50</v>
      </c>
    </row>
    <row r="4" spans="1:17">
      <c r="A4" s="14">
        <f>A3+1</f>
        <v>3</v>
      </c>
      <c r="B4" s="44"/>
      <c r="C4" s="45"/>
      <c r="D4" s="47"/>
      <c r="E4" s="33" t="s">
        <v>51</v>
      </c>
      <c r="F4" s="34"/>
      <c r="G4" s="34"/>
      <c r="H4" s="34"/>
      <c r="I4" s="34"/>
      <c r="J4" s="34"/>
      <c r="K4" s="35"/>
      <c r="L4" s="2" t="str">
        <f>INDEX(Overview!$B$3:$B$11,MATCH(Reports_VN!L4,Overview!$A$3:$A$11,0))</f>
        <v>完了</v>
      </c>
      <c r="M4" s="3">
        <v>1</v>
      </c>
      <c r="N4" s="10">
        <v>10</v>
      </c>
      <c r="O4" s="4">
        <v>45908</v>
      </c>
      <c r="P4" s="4">
        <v>45917</v>
      </c>
      <c r="Q4" s="2" t="s">
        <v>52</v>
      </c>
    </row>
    <row r="5" spans="1:17" ht="30" customHeight="1">
      <c r="A5" s="14">
        <f>A4+1</f>
        <v>4</v>
      </c>
      <c r="B5" s="44"/>
      <c r="C5" s="45"/>
      <c r="D5" s="48"/>
      <c r="E5" s="33" t="s">
        <v>53</v>
      </c>
      <c r="F5" s="34"/>
      <c r="G5" s="34"/>
      <c r="H5" s="34"/>
      <c r="I5" s="34"/>
      <c r="J5" s="34"/>
      <c r="K5" s="35"/>
      <c r="L5" s="2" t="str">
        <f>INDEX(Overview!$B$3:$B$11,MATCH(Reports_VN!L5,Overview!$A$3:$A$11,0))</f>
        <v>Staging環境にデプロイ済み</v>
      </c>
      <c r="M5" s="3">
        <v>0.8</v>
      </c>
      <c r="N5" s="10">
        <v>6</v>
      </c>
      <c r="O5" s="4">
        <v>45917</v>
      </c>
      <c r="P5" s="4">
        <v>45922</v>
      </c>
      <c r="Q5" s="5" t="s">
        <v>54</v>
      </c>
    </row>
    <row r="6" spans="1:17" ht="44.25" customHeight="1">
      <c r="A6" s="14">
        <f>A5+1</f>
        <v>5</v>
      </c>
      <c r="B6" s="44"/>
      <c r="C6" s="45"/>
      <c r="D6" s="9" t="s">
        <v>55</v>
      </c>
      <c r="E6" s="30" t="s">
        <v>56</v>
      </c>
      <c r="F6" s="31"/>
      <c r="G6" s="31"/>
      <c r="H6" s="31"/>
      <c r="I6" s="31"/>
      <c r="J6" s="31"/>
      <c r="K6" s="32"/>
      <c r="L6" s="2" t="str">
        <f>INDEX(Overview!$B$3:$B$11,MATCH(Reports_VN!L6,Overview!$A$3:$A$11,0))</f>
        <v>完了</v>
      </c>
      <c r="M6" s="3"/>
      <c r="N6" s="10">
        <v>5</v>
      </c>
      <c r="O6" s="4">
        <v>45915</v>
      </c>
      <c r="P6" s="4">
        <v>45919</v>
      </c>
      <c r="Q6" s="16" t="s">
        <v>57</v>
      </c>
    </row>
    <row r="7" spans="1:17" ht="60.75" customHeight="1">
      <c r="A7" s="14">
        <f>A6+1</f>
        <v>6</v>
      </c>
      <c r="B7" s="44"/>
      <c r="C7" s="45"/>
      <c r="D7" s="9" t="s">
        <v>58</v>
      </c>
      <c r="E7" s="30" t="s">
        <v>59</v>
      </c>
      <c r="F7" s="31"/>
      <c r="G7" s="31"/>
      <c r="H7" s="31"/>
      <c r="I7" s="31"/>
      <c r="J7" s="31"/>
      <c r="K7" s="32"/>
      <c r="L7" s="2" t="str">
        <f>INDEX(Overview!$B$3:$B$11,MATCH(Reports_VN!L7,Overview!$A$3:$A$11,0))</f>
        <v>レビュー中</v>
      </c>
      <c r="M7" s="3">
        <v>0.9</v>
      </c>
      <c r="N7" s="10">
        <v>3</v>
      </c>
      <c r="O7" s="4">
        <v>45915</v>
      </c>
      <c r="P7" s="4">
        <v>45919</v>
      </c>
      <c r="Q7" s="5"/>
    </row>
    <row r="8" spans="1:17">
      <c r="A8" s="14">
        <f>A7+1</f>
        <v>7</v>
      </c>
      <c r="B8" s="44"/>
      <c r="C8" s="45"/>
      <c r="D8" s="9" t="s">
        <v>58</v>
      </c>
      <c r="E8" s="33" t="s">
        <v>60</v>
      </c>
      <c r="F8" s="34"/>
      <c r="G8" s="34"/>
      <c r="H8" s="34"/>
      <c r="I8" s="34"/>
      <c r="J8" s="34"/>
      <c r="K8" s="35"/>
      <c r="L8" s="2" t="str">
        <f>INDEX(Overview!$B$3:$B$11,MATCH(Reports_VN!L8,Overview!$A$3:$A$11,0))</f>
        <v>対応中</v>
      </c>
      <c r="M8" s="3">
        <v>0.2</v>
      </c>
      <c r="N8" s="10">
        <v>7</v>
      </c>
      <c r="O8" s="4">
        <v>45917</v>
      </c>
      <c r="P8" s="4">
        <v>45926</v>
      </c>
      <c r="Q8" s="2"/>
    </row>
    <row r="9" spans="1:17">
      <c r="A9" s="14">
        <f>A8+1</f>
        <v>8</v>
      </c>
      <c r="B9" s="44"/>
      <c r="C9" s="45"/>
      <c r="D9" s="9" t="s">
        <v>61</v>
      </c>
      <c r="E9" s="33" t="s">
        <v>62</v>
      </c>
      <c r="F9" s="34"/>
      <c r="G9" s="34"/>
      <c r="H9" s="34"/>
      <c r="I9" s="34"/>
      <c r="J9" s="34"/>
      <c r="K9" s="35"/>
      <c r="L9" s="2" t="str">
        <f>INDEX(Overview!$B$3:$B$11,MATCH(Reports_VN!L9,Overview!$A$3:$A$11,0))</f>
        <v>完了</v>
      </c>
      <c r="M9" s="3">
        <v>1</v>
      </c>
      <c r="N9" s="10">
        <f>6*2</f>
        <v>12</v>
      </c>
      <c r="O9" s="4">
        <v>45910</v>
      </c>
      <c r="P9" s="4">
        <v>45915</v>
      </c>
      <c r="Q9" s="2" t="s">
        <v>63</v>
      </c>
    </row>
    <row r="10" spans="1:17" ht="35.25" customHeight="1">
      <c r="A10" s="14">
        <f>A9+1</f>
        <v>9</v>
      </c>
      <c r="B10" s="44"/>
      <c r="C10" s="45"/>
      <c r="D10" s="9" t="s">
        <v>64</v>
      </c>
      <c r="E10" s="30" t="s">
        <v>65</v>
      </c>
      <c r="F10" s="31"/>
      <c r="G10" s="31"/>
      <c r="H10" s="31"/>
      <c r="I10" s="31"/>
      <c r="J10" s="31"/>
      <c r="K10" s="32"/>
      <c r="L10" s="2" t="str">
        <f>INDEX(Overview!$B$3:$B$11,MATCH(Reports_VN!L10,Overview!$A$3:$A$11,0))</f>
        <v>完了</v>
      </c>
      <c r="M10" s="3"/>
      <c r="N10" s="10">
        <v>7</v>
      </c>
      <c r="O10" s="4">
        <v>45915</v>
      </c>
      <c r="P10" s="4">
        <v>45919</v>
      </c>
      <c r="Q10" s="2"/>
    </row>
    <row r="11" spans="1:17">
      <c r="A11" s="14">
        <f>A10+1</f>
        <v>10</v>
      </c>
      <c r="B11" s="44"/>
      <c r="C11" s="8" t="s">
        <v>66</v>
      </c>
      <c r="D11" s="9" t="s">
        <v>66</v>
      </c>
      <c r="E11" s="33" t="s">
        <v>67</v>
      </c>
      <c r="F11" s="34"/>
      <c r="G11" s="34"/>
      <c r="H11" s="34"/>
      <c r="I11" s="34"/>
      <c r="J11" s="34"/>
      <c r="K11" s="35"/>
      <c r="L11" s="2" t="str">
        <f>INDEX(Overview!$B$3:$B$11,MATCH(Reports_VN!L11,Overview!$A$3:$A$11,0))</f>
        <v>対応中</v>
      </c>
      <c r="M11" s="3">
        <v>0.5</v>
      </c>
      <c r="N11" s="10">
        <v>5</v>
      </c>
      <c r="O11" s="4">
        <v>45917</v>
      </c>
      <c r="P11" s="4">
        <v>45924</v>
      </c>
      <c r="Q11" s="2" t="s">
        <v>68</v>
      </c>
    </row>
    <row r="12" spans="1:17">
      <c r="A12" s="14"/>
      <c r="B12" s="36" t="s">
        <v>69</v>
      </c>
      <c r="C12" s="11"/>
      <c r="D12" s="9"/>
      <c r="E12" s="17" t="s">
        <v>70</v>
      </c>
      <c r="F12" s="18"/>
      <c r="G12" s="18"/>
      <c r="H12" s="18"/>
      <c r="I12" s="18"/>
      <c r="J12" s="18"/>
      <c r="K12" s="19"/>
      <c r="L12" s="2"/>
      <c r="M12" s="3"/>
      <c r="N12" s="10"/>
      <c r="O12" s="4">
        <v>45919</v>
      </c>
      <c r="P12" s="4"/>
      <c r="Q12" s="2"/>
    </row>
    <row r="13" spans="1:17" ht="35.25">
      <c r="A13" s="14">
        <f>A11+1</f>
        <v>11</v>
      </c>
      <c r="B13" s="37"/>
      <c r="C13" s="39" t="s">
        <v>45</v>
      </c>
      <c r="D13" s="9" t="s">
        <v>46</v>
      </c>
      <c r="E13" s="17" t="s">
        <v>53</v>
      </c>
      <c r="F13" s="18"/>
      <c r="G13" s="18"/>
      <c r="H13" s="18"/>
      <c r="I13" s="18"/>
      <c r="J13" s="18"/>
      <c r="K13" s="19"/>
      <c r="L13" s="2" t="str">
        <f>INDEX(Overview!$B$3:$B$11,MATCH(Reports_VN!L14,Overview!$A$3:$A$11,0))</f>
        <v>Staging環境にデプロイ済み</v>
      </c>
      <c r="M13" s="3">
        <v>0.8</v>
      </c>
      <c r="N13" s="10">
        <v>6</v>
      </c>
      <c r="O13" s="4">
        <v>45917</v>
      </c>
      <c r="P13" s="4">
        <v>45922</v>
      </c>
      <c r="Q13" s="5" t="s">
        <v>71</v>
      </c>
    </row>
    <row r="14" spans="1:17">
      <c r="A14" s="14">
        <f t="shared" ref="A14:A15" si="0">A13+1</f>
        <v>12</v>
      </c>
      <c r="B14" s="37"/>
      <c r="C14" s="40"/>
      <c r="D14" s="9" t="s">
        <v>46</v>
      </c>
      <c r="E14" s="42" t="s">
        <v>72</v>
      </c>
      <c r="F14" s="42"/>
      <c r="G14" s="42"/>
      <c r="H14" s="42"/>
      <c r="I14" s="42"/>
      <c r="J14" s="42"/>
      <c r="K14" s="42"/>
      <c r="L14" s="2" t="s">
        <v>2</v>
      </c>
      <c r="M14" s="3"/>
      <c r="N14" s="10">
        <v>10</v>
      </c>
      <c r="O14" s="4">
        <v>45922</v>
      </c>
      <c r="P14" s="4">
        <v>45925</v>
      </c>
      <c r="Q14" s="5"/>
    </row>
    <row r="15" spans="1:17" ht="53.25">
      <c r="A15" s="14">
        <f t="shared" si="0"/>
        <v>13</v>
      </c>
      <c r="B15" s="37"/>
      <c r="C15" s="40"/>
      <c r="D15" s="9" t="s">
        <v>55</v>
      </c>
      <c r="E15" s="17" t="s">
        <v>73</v>
      </c>
      <c r="F15" s="18"/>
      <c r="G15" s="18"/>
      <c r="H15" s="18"/>
      <c r="I15" s="18"/>
      <c r="J15" s="18"/>
      <c r="K15" s="19"/>
      <c r="L15" s="2" t="str">
        <f>INDEX(Overview!$B$3:$B$11,MATCH(Reports_VN!L16,Overview!$A$3:$A$11,0))</f>
        <v>対応準備中</v>
      </c>
      <c r="M15" s="3"/>
      <c r="N15" s="10">
        <v>5</v>
      </c>
      <c r="O15" s="4">
        <v>45922</v>
      </c>
      <c r="P15" s="4">
        <v>45926</v>
      </c>
      <c r="Q15" s="5" t="s">
        <v>74</v>
      </c>
    </row>
    <row r="16" spans="1:17">
      <c r="A16" s="14">
        <f>A15+1</f>
        <v>14</v>
      </c>
      <c r="B16" s="37"/>
      <c r="C16" s="40"/>
      <c r="D16" s="9" t="s">
        <v>58</v>
      </c>
      <c r="E16" s="17" t="s">
        <v>75</v>
      </c>
      <c r="F16" s="18"/>
      <c r="G16" s="18"/>
      <c r="H16" s="18"/>
      <c r="I16" s="18"/>
      <c r="J16" s="18"/>
      <c r="K16" s="19"/>
      <c r="L16" s="2" t="str">
        <f>INDEX(Overview!$B$3:$B$11,MATCH(Reports_VN!L17,Overview!$A$3:$A$11,0))</f>
        <v>対応中</v>
      </c>
      <c r="M16" s="3">
        <v>0.2</v>
      </c>
      <c r="N16" s="10">
        <v>7</v>
      </c>
      <c r="O16" s="4">
        <v>45917</v>
      </c>
      <c r="P16" s="4">
        <v>45926</v>
      </c>
      <c r="Q16" s="2"/>
    </row>
    <row r="17" spans="1:17">
      <c r="A17" s="14">
        <f>A16+1</f>
        <v>15</v>
      </c>
      <c r="B17" s="37"/>
      <c r="C17" s="40"/>
      <c r="D17" s="9" t="s">
        <v>64</v>
      </c>
      <c r="E17" s="17" t="s">
        <v>76</v>
      </c>
      <c r="F17" s="18"/>
      <c r="G17" s="18"/>
      <c r="H17" s="18"/>
      <c r="I17" s="18"/>
      <c r="J17" s="18"/>
      <c r="K17" s="19"/>
      <c r="L17" s="2" t="str">
        <f>INDEX(Overview!$B$3:$B$11,MATCH(Reports_VN!L18,Overview!$A$3:$A$11,0))</f>
        <v>対応準備中</v>
      </c>
      <c r="M17" s="3"/>
      <c r="N17" s="10">
        <v>7</v>
      </c>
      <c r="O17" s="4">
        <v>45922</v>
      </c>
      <c r="P17" s="4">
        <v>45926</v>
      </c>
      <c r="Q17" s="2"/>
    </row>
    <row r="18" spans="1:17">
      <c r="A18" s="14">
        <f>A17+1</f>
        <v>16</v>
      </c>
      <c r="B18" s="37"/>
      <c r="C18" s="40"/>
      <c r="D18" s="11" t="s">
        <v>46</v>
      </c>
      <c r="E18" s="17" t="s">
        <v>77</v>
      </c>
      <c r="F18" s="18"/>
      <c r="G18" s="18"/>
      <c r="H18" s="18"/>
      <c r="I18" s="18"/>
      <c r="J18" s="18"/>
      <c r="K18" s="19"/>
      <c r="L18" s="2" t="e">
        <f>INDEX(Overview!$B$3:$B$11,MATCH(Reports_VN!L19,Overview!$A$3:$A$11,0))</f>
        <v>#N/A</v>
      </c>
      <c r="M18" s="3"/>
      <c r="N18" s="10"/>
      <c r="O18" s="4">
        <v>45922</v>
      </c>
      <c r="P18" s="4">
        <v>45926</v>
      </c>
      <c r="Q18" s="2"/>
    </row>
    <row r="19" spans="1:17">
      <c r="A19" s="14">
        <f>A18+1</f>
        <v>17</v>
      </c>
      <c r="B19" s="37"/>
      <c r="C19" s="41"/>
      <c r="D19" s="12"/>
      <c r="E19" s="17" t="s">
        <v>78</v>
      </c>
      <c r="F19" s="18"/>
      <c r="G19" s="18"/>
      <c r="H19" s="18"/>
      <c r="I19" s="18"/>
      <c r="J19" s="18"/>
      <c r="K19" s="19"/>
      <c r="L19" s="2" t="e">
        <f>INDEX(Overview!$B$3:$B$11,MATCH(Reports_VN!L20,Overview!$A$3:$A$11,0))</f>
        <v>#N/A</v>
      </c>
      <c r="M19" s="3"/>
      <c r="N19" s="10"/>
      <c r="O19" s="4">
        <v>45922</v>
      </c>
      <c r="P19" s="4">
        <v>45926</v>
      </c>
      <c r="Q19" s="2"/>
    </row>
    <row r="20" spans="1:17">
      <c r="A20" s="14">
        <f>A19+1</f>
        <v>18</v>
      </c>
      <c r="B20" s="38"/>
      <c r="C20" s="8" t="s">
        <v>66</v>
      </c>
      <c r="D20" s="9" t="s">
        <v>66</v>
      </c>
      <c r="E20" s="17" t="s">
        <v>67</v>
      </c>
      <c r="F20" s="18"/>
      <c r="G20" s="18"/>
      <c r="H20" s="18"/>
      <c r="I20" s="18"/>
      <c r="J20" s="18"/>
      <c r="K20" s="19"/>
      <c r="L20" s="2" t="str">
        <f>INDEX(Overview!$B$3:$B$11,MATCH(Reports_VN!L21,Overview!$A$3:$A$11,0))</f>
        <v>対応中</v>
      </c>
      <c r="M20" s="3">
        <v>0.5</v>
      </c>
      <c r="N20" s="10">
        <v>5</v>
      </c>
      <c r="O20" s="4">
        <v>45917</v>
      </c>
      <c r="P20" s="4">
        <v>45925</v>
      </c>
      <c r="Q20" s="2" t="s">
        <v>68</v>
      </c>
    </row>
  </sheetData>
  <mergeCells count="17">
    <mergeCell ref="E1:K1"/>
    <mergeCell ref="B2:B11"/>
    <mergeCell ref="C2:C10"/>
    <mergeCell ref="D2:D5"/>
    <mergeCell ref="E2:K2"/>
    <mergeCell ref="E3:K3"/>
    <mergeCell ref="E4:K4"/>
    <mergeCell ref="E5:K5"/>
    <mergeCell ref="E6:K6"/>
    <mergeCell ref="E7:K7"/>
    <mergeCell ref="E8:K8"/>
    <mergeCell ref="E9:K9"/>
    <mergeCell ref="E10:K10"/>
    <mergeCell ref="E11:K11"/>
    <mergeCell ref="B12:B20"/>
    <mergeCell ref="C13:C19"/>
    <mergeCell ref="E14:K14"/>
  </mergeCells>
  <conditionalFormatting sqref="L1:N1 L2:M2 L3:N13 L15:N1048576">
    <cfRule type="cellIs" dxfId="12" priority="7" operator="equal">
      <formula>"Doing"</formula>
    </cfRule>
  </conditionalFormatting>
  <conditionalFormatting sqref="L2:M2 L3:N13 L15:N19">
    <cfRule type="cellIs" dxfId="11" priority="8" operator="equal">
      <formula>"Review"</formula>
    </cfRule>
  </conditionalFormatting>
  <conditionalFormatting sqref="L20:N20">
    <cfRule type="cellIs" dxfId="10" priority="5" operator="equal">
      <formula>"Review"</formula>
    </cfRule>
  </conditionalFormatting>
  <conditionalFormatting sqref="E20:Q20">
    <cfRule type="expression" dxfId="9" priority="4">
      <formula>$L20="Done"</formula>
    </cfRule>
  </conditionalFormatting>
  <conditionalFormatting sqref="L14:N14">
    <cfRule type="cellIs" dxfId="8" priority="2" operator="equal">
      <formula>"Doing"</formula>
    </cfRule>
  </conditionalFormatting>
  <conditionalFormatting sqref="L14:N14">
    <cfRule type="cellIs" dxfId="7" priority="3" operator="equal">
      <formula>"Review"</formula>
    </cfRule>
  </conditionalFormatting>
  <conditionalFormatting sqref="E14:Q14">
    <cfRule type="expression" dxfId="6" priority="1">
      <formula>$L14="Done"</formula>
    </cfRule>
  </conditionalFormatting>
  <dataValidations count="1">
    <dataValidation allowBlank="1" showInputMessage="1" showErrorMessage="1" sqref="L2:L13 L15:L20" xr:uid="{44D4CBB7-2725-4A5D-8C9D-C1AF0E2A5303}"/>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6" id="{00000000-000E-0000-0200-000003000000}">
            <xm:f>$L2=Overview!$B$11</xm:f>
            <x14:dxf>
              <fill>
                <patternFill>
                  <bgColor theme="0" tint="-0.24994659260841701"/>
                </patternFill>
              </fill>
            </x14:dxf>
          </x14:cfRule>
          <xm:sqref>E15:Q19 E2:Q13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AD6226BF-84FD-4B17-8E3F-96EF7930087E}">
          <x14:formula1>
            <xm:f>Overview!$A$3:$A$11</xm:f>
          </x14:formula1>
          <xm:sqref>L14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19DB1-6BF7-4779-BB6F-1010418F8DAE}">
  <dimension ref="A1:Q21"/>
  <sheetViews>
    <sheetView showGridLines="0" workbookViewId="0">
      <pane ySplit="1" topLeftCell="E2" activePane="bottomLeft" state="frozen"/>
      <selection pane="bottomLeft" activeCell="E13" sqref="E13:K13"/>
    </sheetView>
  </sheetViews>
  <sheetFormatPr defaultRowHeight="15"/>
  <cols>
    <col min="1" max="1" width="5.28515625" style="15" customWidth="1"/>
    <col min="2" max="2" width="17.7109375" customWidth="1"/>
    <col min="3" max="3" width="12.5703125" customWidth="1"/>
    <col min="4" max="4" width="13.140625" customWidth="1"/>
    <col min="5" max="5" width="7.5703125" customWidth="1"/>
    <col min="6" max="6" width="12" customWidth="1"/>
    <col min="7" max="7" width="9.5703125" customWidth="1"/>
    <col min="8" max="8" width="9.42578125" customWidth="1"/>
    <col min="9" max="9" width="15.42578125" customWidth="1"/>
    <col min="10" max="10" width="10" customWidth="1"/>
    <col min="11" max="11" width="10.28515625" customWidth="1"/>
    <col min="12" max="12" width="9.5703125" customWidth="1"/>
    <col min="13" max="13" width="8" bestFit="1" customWidth="1"/>
    <col min="14" max="14" width="7.85546875" customWidth="1"/>
    <col min="15" max="15" width="11.42578125" customWidth="1"/>
    <col min="16" max="16" width="12.42578125" customWidth="1"/>
    <col min="17" max="17" width="118" customWidth="1"/>
  </cols>
  <sheetData>
    <row r="1" spans="1:17" ht="30.75" customHeight="1">
      <c r="A1" s="6" t="s">
        <v>33</v>
      </c>
      <c r="B1" s="6" t="s">
        <v>34</v>
      </c>
      <c r="C1" s="6" t="s">
        <v>35</v>
      </c>
      <c r="D1" s="6" t="s">
        <v>36</v>
      </c>
      <c r="E1" s="43" t="s">
        <v>37</v>
      </c>
      <c r="F1" s="43"/>
      <c r="G1" s="43"/>
      <c r="H1" s="43"/>
      <c r="I1" s="43"/>
      <c r="J1" s="43"/>
      <c r="K1" s="43"/>
      <c r="L1" s="6" t="s">
        <v>38</v>
      </c>
      <c r="M1" s="6" t="s">
        <v>39</v>
      </c>
      <c r="N1" s="7" t="s">
        <v>40</v>
      </c>
      <c r="O1" s="6" t="s">
        <v>41</v>
      </c>
      <c r="P1" s="6" t="s">
        <v>42</v>
      </c>
      <c r="Q1" s="6" t="s">
        <v>43</v>
      </c>
    </row>
    <row r="2" spans="1:17" ht="19.5" customHeight="1">
      <c r="A2" s="14">
        <v>1</v>
      </c>
      <c r="B2" s="44" t="s">
        <v>44</v>
      </c>
      <c r="C2" s="45" t="s">
        <v>45</v>
      </c>
      <c r="D2" s="52" t="s">
        <v>79</v>
      </c>
      <c r="E2" s="42" t="s">
        <v>80</v>
      </c>
      <c r="F2" s="42"/>
      <c r="G2" s="42"/>
      <c r="H2" s="42"/>
      <c r="I2" s="42"/>
      <c r="J2" s="42"/>
      <c r="K2" s="42"/>
      <c r="L2" s="2" t="s">
        <v>29</v>
      </c>
      <c r="M2" s="3">
        <v>1</v>
      </c>
      <c r="N2" s="2">
        <v>5</v>
      </c>
      <c r="O2" s="4">
        <v>45905</v>
      </c>
      <c r="P2" s="4">
        <v>45916</v>
      </c>
      <c r="Q2" s="2" t="s">
        <v>81</v>
      </c>
    </row>
    <row r="3" spans="1:17">
      <c r="A3" s="14">
        <v>2</v>
      </c>
      <c r="B3" s="44"/>
      <c r="C3" s="45"/>
      <c r="D3" s="52"/>
      <c r="E3" s="42" t="s">
        <v>82</v>
      </c>
      <c r="F3" s="42"/>
      <c r="G3" s="42"/>
      <c r="H3" s="42"/>
      <c r="I3" s="42"/>
      <c r="J3" s="42"/>
      <c r="K3" s="42"/>
      <c r="L3" s="2" t="s">
        <v>29</v>
      </c>
      <c r="M3" s="3">
        <v>1</v>
      </c>
      <c r="N3" s="10">
        <v>10</v>
      </c>
      <c r="O3" s="4">
        <v>45908</v>
      </c>
      <c r="P3" s="4">
        <v>45918</v>
      </c>
      <c r="Q3" s="2" t="s">
        <v>83</v>
      </c>
    </row>
    <row r="4" spans="1:17">
      <c r="A4" s="14">
        <f>A3+1</f>
        <v>3</v>
      </c>
      <c r="B4" s="44"/>
      <c r="C4" s="45"/>
      <c r="D4" s="52"/>
      <c r="E4" s="42" t="s">
        <v>84</v>
      </c>
      <c r="F4" s="42"/>
      <c r="G4" s="42"/>
      <c r="H4" s="42"/>
      <c r="I4" s="42"/>
      <c r="J4" s="42"/>
      <c r="K4" s="42"/>
      <c r="L4" s="2" t="s">
        <v>29</v>
      </c>
      <c r="M4" s="3">
        <v>1</v>
      </c>
      <c r="N4" s="10">
        <v>10</v>
      </c>
      <c r="O4" s="4">
        <v>45908</v>
      </c>
      <c r="P4" s="4">
        <v>45917</v>
      </c>
      <c r="Q4" s="2" t="s">
        <v>85</v>
      </c>
    </row>
    <row r="5" spans="1:17" ht="30" customHeight="1">
      <c r="A5" s="14">
        <f t="shared" ref="A5:A21" si="0">A4+1</f>
        <v>4</v>
      </c>
      <c r="B5" s="44"/>
      <c r="C5" s="45"/>
      <c r="D5" s="52"/>
      <c r="E5" s="42" t="s">
        <v>86</v>
      </c>
      <c r="F5" s="42"/>
      <c r="G5" s="42"/>
      <c r="H5" s="42"/>
      <c r="I5" s="42"/>
      <c r="J5" s="42"/>
      <c r="K5" s="42"/>
      <c r="L5" s="2" t="s">
        <v>19</v>
      </c>
      <c r="M5" s="3">
        <v>0.8</v>
      </c>
      <c r="N5" s="10">
        <v>6</v>
      </c>
      <c r="O5" s="4">
        <v>45917</v>
      </c>
      <c r="P5" s="4">
        <v>45922</v>
      </c>
      <c r="Q5" s="5" t="s">
        <v>87</v>
      </c>
    </row>
    <row r="6" spans="1:17" ht="44.25" customHeight="1">
      <c r="A6" s="14">
        <f t="shared" si="0"/>
        <v>5</v>
      </c>
      <c r="B6" s="44"/>
      <c r="C6" s="45"/>
      <c r="D6" s="9" t="s">
        <v>88</v>
      </c>
      <c r="E6" s="53" t="s">
        <v>89</v>
      </c>
      <c r="F6" s="42"/>
      <c r="G6" s="42"/>
      <c r="H6" s="42"/>
      <c r="I6" s="42"/>
      <c r="J6" s="42"/>
      <c r="K6" s="42"/>
      <c r="L6" s="2" t="s">
        <v>29</v>
      </c>
      <c r="M6" s="3"/>
      <c r="N6" s="10">
        <v>5</v>
      </c>
      <c r="O6" s="4">
        <v>45915</v>
      </c>
      <c r="P6" s="4">
        <v>45919</v>
      </c>
      <c r="Q6" s="13" t="s">
        <v>90</v>
      </c>
    </row>
    <row r="7" spans="1:17" ht="48" customHeight="1">
      <c r="A7" s="14">
        <f t="shared" si="0"/>
        <v>6</v>
      </c>
      <c r="B7" s="44"/>
      <c r="C7" s="45"/>
      <c r="D7" s="9" t="s">
        <v>91</v>
      </c>
      <c r="E7" s="53" t="s">
        <v>92</v>
      </c>
      <c r="F7" s="42"/>
      <c r="G7" s="42"/>
      <c r="H7" s="42"/>
      <c r="I7" s="42"/>
      <c r="J7" s="42"/>
      <c r="K7" s="42"/>
      <c r="L7" s="2" t="s">
        <v>8</v>
      </c>
      <c r="M7" s="3">
        <v>0.9</v>
      </c>
      <c r="N7" s="10">
        <v>3</v>
      </c>
      <c r="O7" s="4">
        <v>45915</v>
      </c>
      <c r="P7" s="4">
        <v>45919</v>
      </c>
      <c r="Q7" s="5"/>
    </row>
    <row r="8" spans="1:17">
      <c r="A8" s="14">
        <f t="shared" si="0"/>
        <v>7</v>
      </c>
      <c r="B8" s="44"/>
      <c r="C8" s="45"/>
      <c r="D8" s="9" t="s">
        <v>91</v>
      </c>
      <c r="E8" s="42" t="s">
        <v>93</v>
      </c>
      <c r="F8" s="42"/>
      <c r="G8" s="42"/>
      <c r="H8" s="42"/>
      <c r="I8" s="42"/>
      <c r="J8" s="42"/>
      <c r="K8" s="42"/>
      <c r="L8" s="2" t="s">
        <v>5</v>
      </c>
      <c r="M8" s="3">
        <v>0.2</v>
      </c>
      <c r="N8" s="10">
        <v>7</v>
      </c>
      <c r="O8" s="4">
        <v>45917</v>
      </c>
      <c r="P8" s="4">
        <v>45926</v>
      </c>
      <c r="Q8" s="2"/>
    </row>
    <row r="9" spans="1:17">
      <c r="A9" s="14">
        <f t="shared" si="0"/>
        <v>8</v>
      </c>
      <c r="B9" s="44"/>
      <c r="C9" s="45"/>
      <c r="D9" s="9" t="s">
        <v>94</v>
      </c>
      <c r="E9" s="42" t="s">
        <v>95</v>
      </c>
      <c r="F9" s="42"/>
      <c r="G9" s="42"/>
      <c r="H9" s="42"/>
      <c r="I9" s="42"/>
      <c r="J9" s="42"/>
      <c r="K9" s="42"/>
      <c r="L9" s="2" t="s">
        <v>29</v>
      </c>
      <c r="M9" s="3">
        <v>1</v>
      </c>
      <c r="N9" s="10">
        <f>6*2</f>
        <v>12</v>
      </c>
      <c r="O9" s="4">
        <v>45910</v>
      </c>
      <c r="P9" s="4">
        <v>45915</v>
      </c>
      <c r="Q9" s="2" t="s">
        <v>96</v>
      </c>
    </row>
    <row r="10" spans="1:17" ht="35.25" customHeight="1">
      <c r="A10" s="14">
        <f t="shared" si="0"/>
        <v>9</v>
      </c>
      <c r="B10" s="44"/>
      <c r="C10" s="45"/>
      <c r="D10" s="9" t="s">
        <v>97</v>
      </c>
      <c r="E10" s="53" t="s">
        <v>98</v>
      </c>
      <c r="F10" s="42"/>
      <c r="G10" s="42"/>
      <c r="H10" s="42"/>
      <c r="I10" s="42"/>
      <c r="J10" s="42"/>
      <c r="K10" s="42"/>
      <c r="L10" s="2" t="s">
        <v>29</v>
      </c>
      <c r="M10" s="3"/>
      <c r="N10" s="10">
        <v>7</v>
      </c>
      <c r="O10" s="4">
        <v>45915</v>
      </c>
      <c r="P10" s="4">
        <v>45919</v>
      </c>
      <c r="Q10" s="2"/>
    </row>
    <row r="11" spans="1:17">
      <c r="A11" s="14">
        <f t="shared" ref="A11" si="1">A10+1</f>
        <v>10</v>
      </c>
      <c r="B11" s="44"/>
      <c r="C11" s="8" t="s">
        <v>66</v>
      </c>
      <c r="D11" s="9" t="s">
        <v>66</v>
      </c>
      <c r="E11" s="42" t="s">
        <v>99</v>
      </c>
      <c r="F11" s="42"/>
      <c r="G11" s="42"/>
      <c r="H11" s="42"/>
      <c r="I11" s="42"/>
      <c r="J11" s="42"/>
      <c r="K11" s="42"/>
      <c r="L11" s="2" t="s">
        <v>5</v>
      </c>
      <c r="M11" s="3">
        <v>0.5</v>
      </c>
      <c r="N11" s="10">
        <v>5</v>
      </c>
      <c r="O11" s="4">
        <v>45917</v>
      </c>
      <c r="P11" s="4">
        <v>45924</v>
      </c>
      <c r="Q11" s="2" t="s">
        <v>100</v>
      </c>
    </row>
    <row r="12" spans="1:17" ht="29.25">
      <c r="A12" s="14"/>
      <c r="B12" s="36" t="s">
        <v>69</v>
      </c>
      <c r="C12" s="39" t="s">
        <v>45</v>
      </c>
      <c r="D12" s="9" t="s">
        <v>101</v>
      </c>
      <c r="E12" s="17" t="s">
        <v>102</v>
      </c>
      <c r="F12" s="18"/>
      <c r="G12" s="18"/>
      <c r="H12" s="18"/>
      <c r="I12" s="18"/>
      <c r="J12" s="18"/>
      <c r="K12" s="19"/>
      <c r="L12" s="2" t="s">
        <v>12</v>
      </c>
      <c r="M12" s="3">
        <v>0.75</v>
      </c>
      <c r="N12" s="10"/>
      <c r="O12" s="4"/>
      <c r="P12" s="4">
        <v>45925</v>
      </c>
      <c r="Q12" s="5" t="s">
        <v>103</v>
      </c>
    </row>
    <row r="13" spans="1:17" ht="29.25">
      <c r="A13" s="14"/>
      <c r="B13" s="37"/>
      <c r="C13" s="40"/>
      <c r="D13" s="9" t="s">
        <v>104</v>
      </c>
      <c r="E13" s="49" t="s">
        <v>105</v>
      </c>
      <c r="F13" s="50"/>
      <c r="G13" s="50"/>
      <c r="H13" s="50"/>
      <c r="I13" s="50"/>
      <c r="J13" s="50"/>
      <c r="K13" s="51"/>
      <c r="L13" s="2" t="s">
        <v>16</v>
      </c>
      <c r="M13" s="3">
        <v>1</v>
      </c>
      <c r="N13" s="10"/>
      <c r="O13" s="4"/>
      <c r="P13" s="4"/>
      <c r="Q13" s="5" t="s">
        <v>106</v>
      </c>
    </row>
    <row r="14" spans="1:17" ht="29.25">
      <c r="A14" s="14">
        <f>A11+1</f>
        <v>11</v>
      </c>
      <c r="B14" s="37"/>
      <c r="C14" s="40"/>
      <c r="D14" s="9" t="s">
        <v>79</v>
      </c>
      <c r="E14" s="42" t="s">
        <v>86</v>
      </c>
      <c r="F14" s="42"/>
      <c r="G14" s="42"/>
      <c r="H14" s="42"/>
      <c r="I14" s="42"/>
      <c r="J14" s="42"/>
      <c r="K14" s="42"/>
      <c r="L14" s="2" t="s">
        <v>19</v>
      </c>
      <c r="M14" s="3">
        <v>1</v>
      </c>
      <c r="N14" s="10">
        <v>6</v>
      </c>
      <c r="O14" s="4">
        <v>45917</v>
      </c>
      <c r="P14" s="4">
        <v>45922</v>
      </c>
      <c r="Q14" s="5" t="s">
        <v>107</v>
      </c>
    </row>
    <row r="15" spans="1:17">
      <c r="A15" s="14">
        <f t="shared" si="0"/>
        <v>12</v>
      </c>
      <c r="B15" s="37"/>
      <c r="C15" s="40"/>
      <c r="D15" s="9" t="s">
        <v>79</v>
      </c>
      <c r="E15" s="42" t="s">
        <v>72</v>
      </c>
      <c r="F15" s="42"/>
      <c r="G15" s="42"/>
      <c r="H15" s="42"/>
      <c r="I15" s="42"/>
      <c r="J15" s="42"/>
      <c r="K15" s="42"/>
      <c r="L15" s="2" t="s">
        <v>16</v>
      </c>
      <c r="M15" s="3">
        <v>1</v>
      </c>
      <c r="N15" s="10">
        <v>10</v>
      </c>
      <c r="O15" s="4">
        <v>45922</v>
      </c>
      <c r="P15" s="4">
        <v>45925</v>
      </c>
      <c r="Q15" s="5"/>
    </row>
    <row r="16" spans="1:17">
      <c r="A16" s="14">
        <f t="shared" si="0"/>
        <v>13</v>
      </c>
      <c r="B16" s="37"/>
      <c r="C16" s="40"/>
      <c r="D16" s="9" t="s">
        <v>88</v>
      </c>
      <c r="E16" s="42" t="s">
        <v>108</v>
      </c>
      <c r="F16" s="42"/>
      <c r="G16" s="42"/>
      <c r="H16" s="42"/>
      <c r="I16" s="42"/>
      <c r="J16" s="42"/>
      <c r="K16" s="42"/>
      <c r="L16" s="2" t="s">
        <v>2</v>
      </c>
      <c r="M16" s="3"/>
      <c r="N16" s="10">
        <v>5</v>
      </c>
      <c r="O16" s="4">
        <v>45922</v>
      </c>
      <c r="P16" s="4">
        <v>45926</v>
      </c>
      <c r="Q16" s="5"/>
    </row>
    <row r="17" spans="1:17">
      <c r="A17" s="14">
        <f>A16+1</f>
        <v>14</v>
      </c>
      <c r="B17" s="37"/>
      <c r="C17" s="40"/>
      <c r="D17" s="9" t="s">
        <v>91</v>
      </c>
      <c r="E17" s="42" t="s">
        <v>109</v>
      </c>
      <c r="F17" s="42"/>
      <c r="G17" s="42"/>
      <c r="H17" s="42"/>
      <c r="I17" s="42"/>
      <c r="J17" s="42"/>
      <c r="K17" s="42"/>
      <c r="L17" s="2" t="s">
        <v>5</v>
      </c>
      <c r="M17" s="3">
        <v>0.5</v>
      </c>
      <c r="N17" s="10">
        <v>7</v>
      </c>
      <c r="O17" s="4">
        <v>45917</v>
      </c>
      <c r="P17" s="4">
        <v>45926</v>
      </c>
      <c r="Q17" s="2"/>
    </row>
    <row r="18" spans="1:17">
      <c r="A18" s="14">
        <f>A17+1</f>
        <v>15</v>
      </c>
      <c r="B18" s="37"/>
      <c r="C18" s="40"/>
      <c r="D18" s="9" t="s">
        <v>97</v>
      </c>
      <c r="E18" s="42" t="s">
        <v>110</v>
      </c>
      <c r="F18" s="42"/>
      <c r="G18" s="42"/>
      <c r="H18" s="42"/>
      <c r="I18" s="42"/>
      <c r="J18" s="42"/>
      <c r="K18" s="42"/>
      <c r="L18" s="2" t="s">
        <v>2</v>
      </c>
      <c r="M18" s="3"/>
      <c r="N18" s="10">
        <v>7</v>
      </c>
      <c r="O18" s="4">
        <v>45922</v>
      </c>
      <c r="P18" s="4">
        <v>45926</v>
      </c>
      <c r="Q18" s="2"/>
    </row>
    <row r="19" spans="1:17">
      <c r="A19" s="14">
        <f t="shared" si="0"/>
        <v>16</v>
      </c>
      <c r="B19" s="37"/>
      <c r="C19" s="40"/>
      <c r="D19" s="46"/>
      <c r="E19" s="42" t="s">
        <v>111</v>
      </c>
      <c r="F19" s="42"/>
      <c r="G19" s="42"/>
      <c r="H19" s="42"/>
      <c r="I19" s="42"/>
      <c r="J19" s="42"/>
      <c r="K19" s="42"/>
      <c r="L19" s="2"/>
      <c r="M19" s="3"/>
      <c r="N19" s="10"/>
      <c r="O19" s="4"/>
      <c r="P19" s="4"/>
      <c r="Q19" s="2"/>
    </row>
    <row r="20" spans="1:17">
      <c r="A20" s="14">
        <f t="shared" si="0"/>
        <v>17</v>
      </c>
      <c r="B20" s="37"/>
      <c r="C20" s="41"/>
      <c r="D20" s="48"/>
      <c r="E20" s="42"/>
      <c r="F20" s="42"/>
      <c r="G20" s="42"/>
      <c r="H20" s="42"/>
      <c r="I20" s="42"/>
      <c r="J20" s="42"/>
      <c r="K20" s="42"/>
      <c r="L20" s="2"/>
      <c r="M20" s="3"/>
      <c r="N20" s="10"/>
      <c r="O20" s="4"/>
      <c r="P20" s="4"/>
      <c r="Q20" s="2"/>
    </row>
    <row r="21" spans="1:17">
      <c r="A21" s="14">
        <f t="shared" si="0"/>
        <v>18</v>
      </c>
      <c r="B21" s="38"/>
      <c r="C21" s="8" t="s">
        <v>66</v>
      </c>
      <c r="D21" s="9" t="s">
        <v>66</v>
      </c>
      <c r="E21" s="42" t="s">
        <v>99</v>
      </c>
      <c r="F21" s="42"/>
      <c r="G21" s="42"/>
      <c r="H21" s="42"/>
      <c r="I21" s="42"/>
      <c r="J21" s="42"/>
      <c r="K21" s="42"/>
      <c r="L21" s="2" t="s">
        <v>5</v>
      </c>
      <c r="M21" s="3">
        <v>0.5</v>
      </c>
      <c r="N21" s="10">
        <v>5</v>
      </c>
      <c r="O21" s="4">
        <v>45917</v>
      </c>
      <c r="P21" s="4">
        <v>45924</v>
      </c>
      <c r="Q21" s="2" t="s">
        <v>100</v>
      </c>
    </row>
  </sheetData>
  <mergeCells count="26">
    <mergeCell ref="B2:B11"/>
    <mergeCell ref="C2:C10"/>
    <mergeCell ref="E1:K1"/>
    <mergeCell ref="D2:D5"/>
    <mergeCell ref="E2:K2"/>
    <mergeCell ref="E3:K3"/>
    <mergeCell ref="E4:K4"/>
    <mergeCell ref="E5:K5"/>
    <mergeCell ref="E6:K6"/>
    <mergeCell ref="E7:K7"/>
    <mergeCell ref="E8:K8"/>
    <mergeCell ref="E9:K9"/>
    <mergeCell ref="E10:K10"/>
    <mergeCell ref="E11:K11"/>
    <mergeCell ref="E13:K13"/>
    <mergeCell ref="C12:C20"/>
    <mergeCell ref="B12:B21"/>
    <mergeCell ref="E19:K19"/>
    <mergeCell ref="E20:K20"/>
    <mergeCell ref="D19:D20"/>
    <mergeCell ref="E21:K21"/>
    <mergeCell ref="E14:K14"/>
    <mergeCell ref="E16:K16"/>
    <mergeCell ref="E17:K17"/>
    <mergeCell ref="E18:K18"/>
    <mergeCell ref="E15:K15"/>
  </mergeCells>
  <conditionalFormatting sqref="L1:N1 L2:M2 L3:N1048576">
    <cfRule type="cellIs" dxfId="4" priority="4" operator="equal">
      <formula>"Doing"</formula>
    </cfRule>
  </conditionalFormatting>
  <conditionalFormatting sqref="L2:M2 L3:N20">
    <cfRule type="cellIs" dxfId="3" priority="5" operator="equal">
      <formula>"Review"</formula>
    </cfRule>
  </conditionalFormatting>
  <conditionalFormatting sqref="E14:Q20 E13 L13:Q13 E2:Q12">
    <cfRule type="expression" dxfId="2" priority="3">
      <formula>$L2="Done"</formula>
    </cfRule>
  </conditionalFormatting>
  <conditionalFormatting sqref="L21:N21">
    <cfRule type="cellIs" dxfId="1" priority="2" operator="equal">
      <formula>"Review"</formula>
    </cfRule>
  </conditionalFormatting>
  <conditionalFormatting sqref="E21:Q21">
    <cfRule type="expression" dxfId="0" priority="1">
      <formula>$L21="Done"</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C4A93AC-B865-4FDC-9460-344948AFC40A}">
          <x14:formula1>
            <xm:f>Overview!$A$3:$A$11</xm:f>
          </x14:formula1>
          <xm:sqref>L2:L21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98CCD-BAC7-402F-AED9-1699B0053585}">
  <dimension ref="A1:E77"/>
  <sheetViews>
    <sheetView workbookViewId="0">
      <pane ySplit="1" topLeftCell="A80" activePane="bottomLeft" state="frozen"/>
      <selection pane="bottomLeft" activeCell="D76" sqref="D76"/>
    </sheetView>
  </sheetViews>
  <sheetFormatPr defaultRowHeight="15"/>
  <cols>
    <col min="1" max="1" width="11.28515625" bestFit="1" customWidth="1"/>
    <col min="2" max="2" width="38.85546875" customWidth="1"/>
    <col min="3" max="3" width="15" customWidth="1"/>
    <col min="4" max="4" width="121" customWidth="1"/>
    <col min="5" max="5" width="46.42578125" customWidth="1"/>
  </cols>
  <sheetData>
    <row r="1" spans="1:5" ht="21" customHeight="1">
      <c r="A1" s="23" t="s">
        <v>112</v>
      </c>
      <c r="B1" s="23" t="s">
        <v>113</v>
      </c>
      <c r="C1" s="23" t="s">
        <v>114</v>
      </c>
      <c r="D1" s="23" t="s">
        <v>115</v>
      </c>
      <c r="E1" s="23" t="s">
        <v>116</v>
      </c>
    </row>
    <row r="2" spans="1:5">
      <c r="A2" s="29">
        <v>45930</v>
      </c>
      <c r="B2" s="28" t="s">
        <v>117</v>
      </c>
      <c r="C2" s="27"/>
      <c r="D2" s="28" t="s">
        <v>118</v>
      </c>
      <c r="E2" s="28"/>
    </row>
    <row r="3" spans="1:5">
      <c r="D3" t="s">
        <v>119</v>
      </c>
      <c r="E3" t="s">
        <v>120</v>
      </c>
    </row>
    <row r="4" spans="1:5">
      <c r="D4" t="s">
        <v>121</v>
      </c>
    </row>
    <row r="5" spans="1:5">
      <c r="D5" t="s">
        <v>122</v>
      </c>
    </row>
    <row r="6" spans="1:5">
      <c r="D6" t="s">
        <v>123</v>
      </c>
      <c r="E6" s="54" t="s">
        <v>124</v>
      </c>
    </row>
    <row r="7" spans="1:5">
      <c r="D7" t="s">
        <v>125</v>
      </c>
      <c r="E7" s="54"/>
    </row>
    <row r="8" spans="1:5">
      <c r="D8" t="s">
        <v>126</v>
      </c>
      <c r="E8" s="54"/>
    </row>
    <row r="9" spans="1:5">
      <c r="D9" t="s">
        <v>127</v>
      </c>
      <c r="E9" s="54"/>
    </row>
    <row r="10" spans="1:5">
      <c r="D10" t="s">
        <v>128</v>
      </c>
      <c r="E10" s="55" t="s">
        <v>129</v>
      </c>
    </row>
    <row r="11" spans="1:5">
      <c r="D11" t="s">
        <v>130</v>
      </c>
      <c r="E11" s="55"/>
    </row>
    <row r="13" spans="1:5">
      <c r="D13" s="21" t="s">
        <v>131</v>
      </c>
      <c r="E13" s="21"/>
    </row>
    <row r="14" spans="1:5">
      <c r="D14" t="s">
        <v>132</v>
      </c>
    </row>
    <row r="15" spans="1:5">
      <c r="D15" t="s">
        <v>133</v>
      </c>
    </row>
    <row r="16" spans="1:5">
      <c r="D16" t="s">
        <v>134</v>
      </c>
    </row>
    <row r="17" spans="1:5">
      <c r="D17" t="s">
        <v>135</v>
      </c>
    </row>
    <row r="19" spans="1:5">
      <c r="A19" s="29">
        <v>45933</v>
      </c>
      <c r="B19" s="28" t="s">
        <v>136</v>
      </c>
      <c r="C19" s="27"/>
      <c r="D19" s="27" t="s">
        <v>137</v>
      </c>
      <c r="E19" s="27"/>
    </row>
    <row r="20" spans="1:5">
      <c r="D20" s="24" t="s">
        <v>138</v>
      </c>
    </row>
    <row r="21" spans="1:5">
      <c r="D21" t="s">
        <v>139</v>
      </c>
    </row>
    <row r="22" spans="1:5">
      <c r="D22" s="24" t="s">
        <v>140</v>
      </c>
    </row>
    <row r="23" spans="1:5">
      <c r="D23" s="24" t="s">
        <v>141</v>
      </c>
    </row>
    <row r="24" spans="1:5">
      <c r="D24" t="s">
        <v>142</v>
      </c>
    </row>
    <row r="25" spans="1:5">
      <c r="D25" s="24" t="s">
        <v>143</v>
      </c>
    </row>
    <row r="26" spans="1:5">
      <c r="D26" t="s">
        <v>144</v>
      </c>
    </row>
    <row r="27" spans="1:5">
      <c r="D27" s="25" t="s">
        <v>145</v>
      </c>
    </row>
    <row r="28" spans="1:5">
      <c r="D28" t="s">
        <v>146</v>
      </c>
    </row>
    <row r="29" spans="1:5">
      <c r="D29" t="s">
        <v>147</v>
      </c>
    </row>
    <row r="30" spans="1:5">
      <c r="D30" s="24" t="s">
        <v>148</v>
      </c>
    </row>
    <row r="31" spans="1:5">
      <c r="D31" s="24" t="s">
        <v>149</v>
      </c>
    </row>
    <row r="32" spans="1:5">
      <c r="D32" s="24" t="s">
        <v>150</v>
      </c>
    </row>
    <row r="33" spans="1:5">
      <c r="D33" s="24" t="s">
        <v>151</v>
      </c>
    </row>
    <row r="34" spans="1:5">
      <c r="D34" s="24" t="s">
        <v>152</v>
      </c>
    </row>
    <row r="35" spans="1:5">
      <c r="D35" s="24" t="s">
        <v>153</v>
      </c>
    </row>
    <row r="37" spans="1:5">
      <c r="A37" s="29">
        <v>45937</v>
      </c>
      <c r="B37" s="28" t="s">
        <v>117</v>
      </c>
      <c r="C37" s="27"/>
      <c r="D37" s="27" t="s">
        <v>154</v>
      </c>
      <c r="E37" s="28"/>
    </row>
    <row r="38" spans="1:5">
      <c r="D38" s="24" t="s">
        <v>155</v>
      </c>
    </row>
    <row r="39" spans="1:5">
      <c r="D39" s="24" t="s">
        <v>156</v>
      </c>
    </row>
    <row r="40" spans="1:5">
      <c r="D40" s="24" t="s">
        <v>157</v>
      </c>
    </row>
    <row r="41" spans="1:5">
      <c r="D41" s="24" t="s">
        <v>158</v>
      </c>
    </row>
    <row r="42" spans="1:5">
      <c r="D42" s="24" t="s">
        <v>159</v>
      </c>
    </row>
    <row r="43" spans="1:5">
      <c r="D43" s="24" t="s">
        <v>160</v>
      </c>
    </row>
    <row r="44" spans="1:5">
      <c r="D44" s="24" t="s">
        <v>161</v>
      </c>
    </row>
    <row r="45" spans="1:5">
      <c r="D45" s="24" t="s">
        <v>162</v>
      </c>
    </row>
    <row r="47" spans="1:5">
      <c r="D47" t="s">
        <v>163</v>
      </c>
    </row>
    <row r="48" spans="1:5">
      <c r="D48" s="24" t="s">
        <v>164</v>
      </c>
    </row>
    <row r="49" spans="1:5">
      <c r="D49" s="24" t="s">
        <v>165</v>
      </c>
    </row>
    <row r="50" spans="1:5">
      <c r="D50" s="24" t="s">
        <v>166</v>
      </c>
    </row>
    <row r="51" spans="1:5">
      <c r="D51" t="s">
        <v>167</v>
      </c>
    </row>
    <row r="52" spans="1:5">
      <c r="D52" s="24" t="s">
        <v>168</v>
      </c>
    </row>
    <row r="53" spans="1:5">
      <c r="D53" s="24" t="s">
        <v>169</v>
      </c>
    </row>
    <row r="55" spans="1:5">
      <c r="D55" t="s">
        <v>170</v>
      </c>
    </row>
    <row r="56" spans="1:5">
      <c r="D56" t="s">
        <v>171</v>
      </c>
    </row>
    <row r="58" spans="1:5">
      <c r="A58" s="29">
        <v>45944</v>
      </c>
      <c r="B58" s="28" t="s">
        <v>117</v>
      </c>
      <c r="C58" s="27"/>
      <c r="D58" s="27" t="s">
        <v>172</v>
      </c>
      <c r="E58" s="28"/>
    </row>
    <row r="59" spans="1:5">
      <c r="D59" s="24" t="s">
        <v>173</v>
      </c>
    </row>
    <row r="60" spans="1:5">
      <c r="D60" s="24" t="s">
        <v>174</v>
      </c>
    </row>
    <row r="61" spans="1:5">
      <c r="D61" s="24" t="s">
        <v>175</v>
      </c>
    </row>
    <row r="62" spans="1:5">
      <c r="D62" s="24" t="s">
        <v>176</v>
      </c>
    </row>
    <row r="63" spans="1:5">
      <c r="D63" t="s">
        <v>177</v>
      </c>
    </row>
    <row r="64" spans="1:5">
      <c r="D64" s="24" t="s">
        <v>178</v>
      </c>
    </row>
    <row r="65" spans="1:5">
      <c r="D65" s="24" t="s">
        <v>179</v>
      </c>
    </row>
    <row r="66" spans="1:5">
      <c r="D66" s="24" t="s">
        <v>180</v>
      </c>
    </row>
    <row r="67" spans="1:5">
      <c r="D67" s="24" t="s">
        <v>181</v>
      </c>
    </row>
    <row r="68" spans="1:5">
      <c r="D68" t="s">
        <v>182</v>
      </c>
    </row>
    <row r="70" spans="1:5">
      <c r="D70" t="s">
        <v>183</v>
      </c>
    </row>
    <row r="72" spans="1:5">
      <c r="A72" s="29">
        <v>45951</v>
      </c>
      <c r="B72" s="28" t="s">
        <v>117</v>
      </c>
      <c r="C72" s="27"/>
      <c r="D72" s="57" t="s">
        <v>184</v>
      </c>
      <c r="E72" s="28"/>
    </row>
    <row r="73" spans="1:5">
      <c r="D73" t="s">
        <v>185</v>
      </c>
    </row>
    <row r="74" spans="1:5">
      <c r="D74" t="s">
        <v>186</v>
      </c>
    </row>
    <row r="75" spans="1:5">
      <c r="D75" t="s">
        <v>187</v>
      </c>
    </row>
    <row r="76" spans="1:5">
      <c r="D76" t="s">
        <v>146</v>
      </c>
    </row>
    <row r="77" spans="1:5">
      <c r="D77" t="s">
        <v>188</v>
      </c>
    </row>
  </sheetData>
  <mergeCells count="2">
    <mergeCell ref="E6:E9"/>
    <mergeCell ref="E10:E11"/>
  </mergeCells>
  <hyperlinks>
    <hyperlink ref="D27" r:id="rId1" xr:uid="{EA61A683-DF41-42E4-8F0D-F77DA86A220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6B20B-42B6-4F8D-AA37-9112854F57F8}">
  <dimension ref="A1:B2"/>
  <sheetViews>
    <sheetView workbookViewId="0">
      <selection activeCell="D6" sqref="D6"/>
    </sheetView>
  </sheetViews>
  <sheetFormatPr defaultRowHeight="15"/>
  <cols>
    <col min="1" max="1" width="21.5703125" customWidth="1"/>
    <col min="2" max="2" width="107.85546875" customWidth="1"/>
  </cols>
  <sheetData>
    <row r="1" spans="1:2">
      <c r="A1" s="21" t="s">
        <v>189</v>
      </c>
      <c r="B1" s="21" t="s">
        <v>190</v>
      </c>
    </row>
    <row r="2" spans="1:2" ht="39.75" customHeight="1">
      <c r="A2" s="22">
        <v>45931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2908D-D7B8-42AA-BDB8-8CEB7F2766DC}">
  <dimension ref="A1:A3"/>
  <sheetViews>
    <sheetView tabSelected="1" workbookViewId="0">
      <selection sqref="A1:A1048576"/>
    </sheetView>
  </sheetViews>
  <sheetFormatPr defaultRowHeight="15"/>
  <cols>
    <col min="1" max="1" width="9.140625" style="26"/>
  </cols>
  <sheetData>
    <row r="1" spans="1:1">
      <c r="A1" s="56" t="s">
        <v>191</v>
      </c>
    </row>
    <row r="2" spans="1:1">
      <c r="A2" s="56"/>
    </row>
    <row r="3" spans="1:1">
      <c r="A3" s="56"/>
    </row>
  </sheetData>
  <mergeCells count="1">
    <mergeCell ref="A1:A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99BC8C-682C-41CE-BDB7-ABB3EFC5F3BE}"/>
</file>

<file path=customXml/itemProps2.xml><?xml version="1.0" encoding="utf-8"?>
<ds:datastoreItem xmlns:ds="http://schemas.openxmlformats.org/officeDocument/2006/customXml" ds:itemID="{3D1157D0-968D-462D-85D8-CD865519964F}"/>
</file>

<file path=customXml/itemProps3.xml><?xml version="1.0" encoding="utf-8"?>
<ds:datastoreItem xmlns:ds="http://schemas.openxmlformats.org/officeDocument/2006/customXml" ds:itemID="{64DB62AE-4256-46EC-B1C3-AC1D0F6E385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Tran Van Dat</dc:creator>
  <cp:keywords/>
  <dc:description/>
  <cp:lastModifiedBy>Tran Thi Thanh Mai</cp:lastModifiedBy>
  <cp:revision/>
  <dcterms:created xsi:type="dcterms:W3CDTF">2025-07-16T09:07:45Z</dcterms:created>
  <dcterms:modified xsi:type="dcterms:W3CDTF">2025-10-21T03:37:24Z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