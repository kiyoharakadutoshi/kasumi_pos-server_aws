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defaultThemeVersion="166925"/>
  <mc:AlternateContent xmlns:mc="http://schemas.openxmlformats.org/markup-compatibility/2006">
    <mc:Choice Requires="x15">
      <x15ac:absPath xmlns:x15ac="http://schemas.microsoft.com/office/spreadsheetml/2010/11/ac" url="https://usmh.sharepoint.com/sites/AndroidPOS208/Shared Documents/General/Luvinaより/02_機能一覧/"/>
    </mc:Choice>
  </mc:AlternateContent>
  <xr:revisionPtr revIDLastSave="4404" documentId="13_ncr:1_{06F1CDA7-CB59-4A94-B199-6BE6702BBF10}" xr6:coauthVersionLast="47" xr6:coauthVersionMax="47" xr10:uidLastSave="{48EEBAB8-1C4F-4ACD-A045-F3D436B712A2}"/>
  <bookViews>
    <workbookView minimized="1" xWindow="1020" yWindow="4710" windowWidth="28770" windowHeight="16170" firstSheet="3" activeTab="3" xr2:uid="{FF44C074-428D-4F77-9546-032FEA3131B3}"/>
    <workbookView minimized="1" xWindow="5385" yWindow="4815" windowWidth="28770" windowHeight="16170" firstSheet="3" activeTab="3" xr2:uid="{6314FB8E-775F-424D-B305-C43E49D084D4}"/>
  </bookViews>
  <sheets>
    <sheet name="表紙" sheetId="8" r:id="rId1"/>
    <sheet name="改廃履歴" sheetId="7" r:id="rId2"/>
    <sheet name="全体構成" sheetId="12" r:id="rId3"/>
    <sheet name="機能一覧（POSサーバ2.0）" sheetId="11" r:id="rId4"/>
    <sheet name="データ連携先" sheetId="14" r:id="rId5"/>
    <sheet name="マスタ" sheetId="13" r:id="rId6"/>
    <sheet name="機能一覧（POSサーバー）" sheetId="10" r:id="rId7"/>
    <sheet name="テンプレート" sheetId="6" r:id="rId8"/>
  </sheets>
  <definedNames>
    <definedName name="_xlnm._FilterDatabase" localSheetId="3" hidden="1">'機能一覧（POSサーバ2.0）'!$A$7:$AF$7</definedName>
    <definedName name="_xlnm._FilterDatabase" localSheetId="6" hidden="1">'機能一覧（POSサーバー）'!$A$7:$U$7</definedName>
    <definedName name="_xlnm.Print_Area" localSheetId="1">改廃履歴!$A$1:$BK$55</definedName>
    <definedName name="_xlnm.Print_Area" localSheetId="0">表紙!$A$1:$BK$55</definedName>
    <definedName name="_xlnm.Print_Titles" localSheetId="7">テンプレート!$1:$5</definedName>
    <definedName name="_xlnm.Print_Titles" localSheetId="1">改廃履歴!$1:$5</definedName>
    <definedName name="_xlnm.Print_Titles" localSheetId="2">全体構成!$1:$5</definedName>
    <definedName name="_xlnm.Print_Titles" localSheetId="0">表紙!$1:$5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12" i="11" l="1"/>
  <c r="AB212" i="11"/>
  <c r="AA212" i="11"/>
  <c r="Z212" i="11"/>
  <c r="Y212" i="11"/>
  <c r="X212" i="11"/>
  <c r="AC211" i="11"/>
  <c r="AB211" i="11"/>
  <c r="AA211" i="11"/>
  <c r="Z211" i="11"/>
  <c r="Y211" i="11"/>
  <c r="X211" i="11"/>
  <c r="AC210" i="11"/>
  <c r="AB210" i="11"/>
  <c r="AA210" i="11"/>
  <c r="Z210" i="11"/>
  <c r="Y210" i="11"/>
  <c r="X210" i="11"/>
  <c r="AC209" i="11"/>
  <c r="AB209" i="11"/>
  <c r="AA209" i="11"/>
  <c r="Z209" i="11"/>
  <c r="Y209" i="11"/>
  <c r="X209" i="11"/>
  <c r="AC208" i="11"/>
  <c r="AB208" i="11"/>
  <c r="AA208" i="11"/>
  <c r="Z208" i="11"/>
  <c r="Y208" i="11"/>
  <c r="X208" i="11"/>
  <c r="AC207" i="11"/>
  <c r="AB207" i="11"/>
  <c r="AA207" i="11"/>
  <c r="Z207" i="11"/>
  <c r="Y207" i="11"/>
  <c r="X207" i="11"/>
  <c r="AC206" i="11"/>
  <c r="AB206" i="11"/>
  <c r="AA206" i="11"/>
  <c r="Z206" i="11"/>
  <c r="Y206" i="11"/>
  <c r="X206" i="11"/>
  <c r="AC205" i="11"/>
  <c r="AB205" i="11"/>
  <c r="AA205" i="11"/>
  <c r="Z205" i="11"/>
  <c r="Y205" i="11"/>
  <c r="X205" i="11"/>
  <c r="AC204" i="11"/>
  <c r="AB204" i="11"/>
  <c r="AA204" i="11"/>
  <c r="Z204" i="11"/>
  <c r="Y204" i="11"/>
  <c r="X204" i="11"/>
  <c r="AC203" i="11"/>
  <c r="AB203" i="11"/>
  <c r="AA203" i="11"/>
  <c r="Z203" i="11"/>
  <c r="Y203" i="11"/>
  <c r="X203" i="11"/>
  <c r="AC202" i="11"/>
  <c r="AB202" i="11"/>
  <c r="AA202" i="11"/>
  <c r="Z202" i="11"/>
  <c r="Y202" i="11"/>
  <c r="X202" i="11"/>
  <c r="AC201" i="11"/>
  <c r="AB201" i="11"/>
  <c r="AA201" i="11"/>
  <c r="Z201" i="11"/>
  <c r="Y201" i="11"/>
  <c r="X201" i="11"/>
  <c r="AC200" i="11"/>
  <c r="AB200" i="11"/>
  <c r="AA200" i="11"/>
  <c r="Z200" i="11"/>
  <c r="Y200" i="11"/>
  <c r="X200" i="11"/>
  <c r="AC199" i="11"/>
  <c r="AB199" i="11"/>
  <c r="AA199" i="11"/>
  <c r="Z199" i="11"/>
  <c r="Y199" i="11"/>
  <c r="X199" i="11"/>
  <c r="AD204" i="11" l="1"/>
  <c r="AD205" i="11"/>
  <c r="AD199" i="11"/>
  <c r="AD203" i="11"/>
  <c r="AD207" i="11"/>
  <c r="AD211" i="11"/>
  <c r="AD209" i="11"/>
  <c r="AD208" i="11"/>
  <c r="AD212" i="11"/>
  <c r="AD202" i="11"/>
  <c r="AD200" i="11"/>
  <c r="AD206" i="11"/>
  <c r="AD210" i="11"/>
  <c r="AD201" i="11"/>
  <c r="AC44" i="11" l="1"/>
  <c r="AB44" i="11"/>
  <c r="AA44" i="11"/>
  <c r="Z44" i="11"/>
  <c r="Y44" i="11"/>
  <c r="X44" i="11"/>
  <c r="AC43" i="11"/>
  <c r="AB43" i="11"/>
  <c r="AA43" i="11"/>
  <c r="Z43" i="11"/>
  <c r="Y43" i="11"/>
  <c r="X43" i="11"/>
  <c r="AD44" i="11" l="1"/>
  <c r="AD43" i="11"/>
  <c r="AC406" i="11" l="1"/>
  <c r="AB406" i="11"/>
  <c r="AA406" i="11"/>
  <c r="Z406" i="11"/>
  <c r="Y406" i="11"/>
  <c r="X406" i="11"/>
  <c r="AC405" i="11"/>
  <c r="AB405" i="11"/>
  <c r="AA405" i="11"/>
  <c r="Z405" i="11"/>
  <c r="Y405" i="11"/>
  <c r="X405" i="11"/>
  <c r="AC404" i="11"/>
  <c r="AB404" i="11"/>
  <c r="AA404" i="11"/>
  <c r="Z404" i="11"/>
  <c r="Y404" i="11"/>
  <c r="X404" i="11"/>
  <c r="AC403" i="11"/>
  <c r="AB403" i="11"/>
  <c r="AA403" i="11"/>
  <c r="Z403" i="11"/>
  <c r="Y403" i="11"/>
  <c r="X403" i="11"/>
  <c r="AC402" i="11"/>
  <c r="AB402" i="11"/>
  <c r="AA402" i="11"/>
  <c r="Z402" i="11"/>
  <c r="Y402" i="11"/>
  <c r="X402" i="11"/>
  <c r="AC401" i="11"/>
  <c r="AB401" i="11"/>
  <c r="AA401" i="11"/>
  <c r="Z401" i="11"/>
  <c r="Y401" i="11"/>
  <c r="X401" i="11"/>
  <c r="AC400" i="11"/>
  <c r="AB400" i="11"/>
  <c r="AA400" i="11"/>
  <c r="Z400" i="11"/>
  <c r="Y400" i="11"/>
  <c r="X400" i="11"/>
  <c r="AC399" i="11"/>
  <c r="AB399" i="11"/>
  <c r="AA399" i="11"/>
  <c r="Z399" i="11"/>
  <c r="Y399" i="11"/>
  <c r="X399" i="11"/>
  <c r="AC398" i="11"/>
  <c r="AB398" i="11"/>
  <c r="AA398" i="11"/>
  <c r="Z398" i="11"/>
  <c r="Y398" i="11"/>
  <c r="X398" i="11"/>
  <c r="AC397" i="11"/>
  <c r="AB397" i="11"/>
  <c r="AA397" i="11"/>
  <c r="Z397" i="11"/>
  <c r="Y397" i="11"/>
  <c r="X397" i="11"/>
  <c r="AC396" i="11"/>
  <c r="AB396" i="11"/>
  <c r="AA396" i="11"/>
  <c r="Z396" i="11"/>
  <c r="Y396" i="11"/>
  <c r="X396" i="11"/>
  <c r="AC395" i="11"/>
  <c r="AB395" i="11"/>
  <c r="AA395" i="11"/>
  <c r="Z395" i="11"/>
  <c r="Y395" i="11"/>
  <c r="X395" i="11"/>
  <c r="X408" i="11"/>
  <c r="Y408" i="11"/>
  <c r="Z408" i="11"/>
  <c r="AA408" i="11"/>
  <c r="AB408" i="11"/>
  <c r="AC408" i="11"/>
  <c r="X409" i="11"/>
  <c r="Y409" i="11"/>
  <c r="Z409" i="11"/>
  <c r="AA409" i="11"/>
  <c r="AB409" i="11"/>
  <c r="AC409" i="11"/>
  <c r="X410" i="11"/>
  <c r="Y410" i="11"/>
  <c r="Z410" i="11"/>
  <c r="AA410" i="11"/>
  <c r="AB410" i="11"/>
  <c r="AC410" i="11"/>
  <c r="X411" i="11"/>
  <c r="Y411" i="11"/>
  <c r="Z411" i="11"/>
  <c r="AA411" i="11"/>
  <c r="AB411" i="11"/>
  <c r="AC411" i="11"/>
  <c r="X412" i="11"/>
  <c r="Y412" i="11"/>
  <c r="Z412" i="11"/>
  <c r="AA412" i="11"/>
  <c r="AB412" i="11"/>
  <c r="AC412" i="11"/>
  <c r="X413" i="11"/>
  <c r="Y413" i="11"/>
  <c r="Z413" i="11"/>
  <c r="AA413" i="11"/>
  <c r="AB413" i="11"/>
  <c r="AC413" i="11"/>
  <c r="X414" i="11"/>
  <c r="Y414" i="11"/>
  <c r="Z414" i="11"/>
  <c r="AA414" i="11"/>
  <c r="AB414" i="11"/>
  <c r="AC414" i="11"/>
  <c r="X415" i="11"/>
  <c r="Y415" i="11"/>
  <c r="Z415" i="11"/>
  <c r="AA415" i="11"/>
  <c r="AB415" i="11"/>
  <c r="AC415" i="11"/>
  <c r="X416" i="11"/>
  <c r="Y416" i="11"/>
  <c r="Z416" i="11"/>
  <c r="AA416" i="11"/>
  <c r="AB416" i="11"/>
  <c r="AC416" i="11"/>
  <c r="X417" i="11"/>
  <c r="Y417" i="11"/>
  <c r="Z417" i="11"/>
  <c r="AA417" i="11"/>
  <c r="AB417" i="11"/>
  <c r="AC417" i="11"/>
  <c r="X418" i="11"/>
  <c r="Y418" i="11"/>
  <c r="Z418" i="11"/>
  <c r="AA418" i="11"/>
  <c r="AB418" i="11"/>
  <c r="AC418" i="11"/>
  <c r="AC97" i="11"/>
  <c r="AB97" i="11"/>
  <c r="AA97" i="11"/>
  <c r="Z97" i="11"/>
  <c r="Y97" i="11"/>
  <c r="X97" i="11"/>
  <c r="AC96" i="11"/>
  <c r="AB96" i="11"/>
  <c r="AA96" i="11"/>
  <c r="Z96" i="11"/>
  <c r="Y96" i="11"/>
  <c r="X96" i="11"/>
  <c r="AC95" i="11"/>
  <c r="AB95" i="11"/>
  <c r="AA95" i="11"/>
  <c r="Z95" i="11"/>
  <c r="Y95" i="11"/>
  <c r="X95" i="11"/>
  <c r="AC94" i="11"/>
  <c r="AB94" i="11"/>
  <c r="AA94" i="11"/>
  <c r="Z94" i="11"/>
  <c r="Y94" i="11"/>
  <c r="X94" i="11"/>
  <c r="AC93" i="11"/>
  <c r="AB93" i="11"/>
  <c r="AA93" i="11"/>
  <c r="Z93" i="11"/>
  <c r="Y93" i="11"/>
  <c r="X93" i="11"/>
  <c r="AC92" i="11"/>
  <c r="AB92" i="11"/>
  <c r="AA92" i="11"/>
  <c r="Z92" i="11"/>
  <c r="Y92" i="11"/>
  <c r="X92" i="11"/>
  <c r="AC91" i="11"/>
  <c r="AB91" i="11"/>
  <c r="AA91" i="11"/>
  <c r="Z91" i="11"/>
  <c r="Y91" i="11"/>
  <c r="X91" i="11"/>
  <c r="AC90" i="11"/>
  <c r="AB90" i="11"/>
  <c r="AA90" i="11"/>
  <c r="Z90" i="11"/>
  <c r="Y90" i="11"/>
  <c r="X90" i="11"/>
  <c r="AC89" i="11"/>
  <c r="AB89" i="11"/>
  <c r="AA89" i="11"/>
  <c r="Z89" i="11"/>
  <c r="Y89" i="11"/>
  <c r="X89" i="11"/>
  <c r="AC88" i="11"/>
  <c r="AB88" i="11"/>
  <c r="AA88" i="11"/>
  <c r="Z88" i="11"/>
  <c r="Y88" i="11"/>
  <c r="X88" i="11"/>
  <c r="AC87" i="11"/>
  <c r="AB87" i="11"/>
  <c r="AA87" i="11"/>
  <c r="Z87" i="11"/>
  <c r="Y87" i="11"/>
  <c r="X87" i="11"/>
  <c r="AC86" i="11"/>
  <c r="AB86" i="11"/>
  <c r="AA86" i="11"/>
  <c r="Z86" i="11"/>
  <c r="Y86" i="11"/>
  <c r="X86" i="11"/>
  <c r="AC85" i="11"/>
  <c r="AB85" i="11"/>
  <c r="AA85" i="11"/>
  <c r="Z85" i="11"/>
  <c r="Y85" i="11"/>
  <c r="X85" i="11"/>
  <c r="AC84" i="11"/>
  <c r="AB84" i="11"/>
  <c r="AA84" i="11"/>
  <c r="Z84" i="11"/>
  <c r="Y84" i="11"/>
  <c r="X84" i="11"/>
  <c r="AC83" i="11"/>
  <c r="AB83" i="11"/>
  <c r="AA83" i="11"/>
  <c r="Z83" i="11"/>
  <c r="Y83" i="11"/>
  <c r="X83" i="11"/>
  <c r="AC82" i="11"/>
  <c r="AB82" i="11"/>
  <c r="AA82" i="11"/>
  <c r="Z82" i="11"/>
  <c r="Y82" i="11"/>
  <c r="X82" i="11"/>
  <c r="AC81" i="11"/>
  <c r="AB81" i="11"/>
  <c r="AA81" i="11"/>
  <c r="Z81" i="11"/>
  <c r="Y81" i="11"/>
  <c r="X81" i="11"/>
  <c r="AC80" i="11"/>
  <c r="AB80" i="11"/>
  <c r="AA80" i="11"/>
  <c r="Z80" i="11"/>
  <c r="Y80" i="11"/>
  <c r="X80" i="11"/>
  <c r="AC79" i="11"/>
  <c r="AB79" i="11"/>
  <c r="AA79" i="11"/>
  <c r="Z79" i="11"/>
  <c r="Y79" i="11"/>
  <c r="X79" i="11"/>
  <c r="AC78" i="11"/>
  <c r="AB78" i="11"/>
  <c r="AA78" i="11"/>
  <c r="Z78" i="11"/>
  <c r="Y78" i="11"/>
  <c r="X78" i="11"/>
  <c r="AC77" i="11"/>
  <c r="AB77" i="11"/>
  <c r="AA77" i="11"/>
  <c r="Z77" i="11"/>
  <c r="Y77" i="11"/>
  <c r="X77" i="11"/>
  <c r="AC76" i="11"/>
  <c r="AB76" i="11"/>
  <c r="AA76" i="11"/>
  <c r="Z76" i="11"/>
  <c r="Y76" i="11"/>
  <c r="X76" i="11"/>
  <c r="AC75" i="11"/>
  <c r="AB75" i="11"/>
  <c r="AA75" i="11"/>
  <c r="Z75" i="11"/>
  <c r="Y75" i="11"/>
  <c r="X75" i="11"/>
  <c r="AC213" i="11"/>
  <c r="AB213" i="11"/>
  <c r="AA213" i="11"/>
  <c r="Z213" i="11"/>
  <c r="Y213" i="11"/>
  <c r="X213" i="11"/>
  <c r="AC170" i="11"/>
  <c r="AB170" i="11"/>
  <c r="AA170" i="11"/>
  <c r="Z170" i="11"/>
  <c r="Y170" i="11"/>
  <c r="X170" i="11"/>
  <c r="AC197" i="11"/>
  <c r="AB197" i="11"/>
  <c r="AA197" i="11"/>
  <c r="Z197" i="11"/>
  <c r="Y197" i="11"/>
  <c r="X197" i="11"/>
  <c r="AC196" i="11"/>
  <c r="AB196" i="11"/>
  <c r="AA196" i="11"/>
  <c r="Z196" i="11"/>
  <c r="Y196" i="11"/>
  <c r="X196" i="11"/>
  <c r="AC195" i="11"/>
  <c r="AB195" i="11"/>
  <c r="AA195" i="11"/>
  <c r="Z195" i="11"/>
  <c r="Y195" i="11"/>
  <c r="X195" i="11"/>
  <c r="AC194" i="11"/>
  <c r="AB194" i="11"/>
  <c r="AA194" i="11"/>
  <c r="Z194" i="11"/>
  <c r="Y194" i="11"/>
  <c r="X194" i="11"/>
  <c r="AC193" i="11"/>
  <c r="AB193" i="11"/>
  <c r="AA193" i="11"/>
  <c r="Z193" i="11"/>
  <c r="Y193" i="11"/>
  <c r="X193" i="11"/>
  <c r="AC192" i="11"/>
  <c r="AB192" i="11"/>
  <c r="AA192" i="11"/>
  <c r="Z192" i="11"/>
  <c r="Y192" i="11"/>
  <c r="X192" i="11"/>
  <c r="AC191" i="11"/>
  <c r="AB191" i="11"/>
  <c r="AA191" i="11"/>
  <c r="Z191" i="11"/>
  <c r="Y191" i="11"/>
  <c r="X191" i="11"/>
  <c r="AC190" i="11"/>
  <c r="AB190" i="11"/>
  <c r="AA190" i="11"/>
  <c r="Z190" i="11"/>
  <c r="Y190" i="11"/>
  <c r="X190" i="11"/>
  <c r="AC189" i="11"/>
  <c r="AB189" i="11"/>
  <c r="AA189" i="11"/>
  <c r="Z189" i="11"/>
  <c r="Y189" i="11"/>
  <c r="X189" i="11"/>
  <c r="AC188" i="11"/>
  <c r="AB188" i="11"/>
  <c r="AA188" i="11"/>
  <c r="Z188" i="11"/>
  <c r="Y188" i="11"/>
  <c r="X188" i="11"/>
  <c r="AC187" i="11"/>
  <c r="AB187" i="11"/>
  <c r="AA187" i="11"/>
  <c r="Z187" i="11"/>
  <c r="Y187" i="11"/>
  <c r="X187" i="11"/>
  <c r="AC186" i="11"/>
  <c r="AB186" i="11"/>
  <c r="AA186" i="11"/>
  <c r="Z186" i="11"/>
  <c r="Y186" i="11"/>
  <c r="X186" i="11"/>
  <c r="AC185" i="11"/>
  <c r="AB185" i="11"/>
  <c r="AA185" i="11"/>
  <c r="Z185" i="11"/>
  <c r="Y185" i="11"/>
  <c r="X185" i="11"/>
  <c r="AC184" i="11"/>
  <c r="AB184" i="11"/>
  <c r="AA184" i="11"/>
  <c r="Z184" i="11"/>
  <c r="Y184" i="11"/>
  <c r="X184" i="11"/>
  <c r="AC183" i="11"/>
  <c r="AB183" i="11"/>
  <c r="AA183" i="11"/>
  <c r="Z183" i="11"/>
  <c r="Y183" i="11"/>
  <c r="X183" i="11"/>
  <c r="AC182" i="11"/>
  <c r="AB182" i="11"/>
  <c r="AA182" i="11"/>
  <c r="Z182" i="11"/>
  <c r="Y182" i="11"/>
  <c r="X182" i="11"/>
  <c r="AC181" i="11"/>
  <c r="AB181" i="11"/>
  <c r="AA181" i="11"/>
  <c r="Z181" i="11"/>
  <c r="Y181" i="11"/>
  <c r="X181" i="11"/>
  <c r="AC180" i="11"/>
  <c r="AB180" i="11"/>
  <c r="AA180" i="11"/>
  <c r="Z180" i="11"/>
  <c r="Y180" i="11"/>
  <c r="X180" i="11"/>
  <c r="AC179" i="11"/>
  <c r="AB179" i="11"/>
  <c r="AA179" i="11"/>
  <c r="Z179" i="11"/>
  <c r="Y179" i="11"/>
  <c r="X179" i="11"/>
  <c r="AC178" i="11"/>
  <c r="AB178" i="11"/>
  <c r="AA178" i="11"/>
  <c r="Z178" i="11"/>
  <c r="Y178" i="11"/>
  <c r="X178" i="11"/>
  <c r="AC177" i="11"/>
  <c r="AB177" i="11"/>
  <c r="AA177" i="11"/>
  <c r="Z177" i="11"/>
  <c r="Y177" i="11"/>
  <c r="X177" i="11"/>
  <c r="AC176" i="11"/>
  <c r="AB176" i="11"/>
  <c r="AA176" i="11"/>
  <c r="Z176" i="11"/>
  <c r="Y176" i="11"/>
  <c r="X176" i="11"/>
  <c r="AC175" i="11"/>
  <c r="AB175" i="11"/>
  <c r="AA175" i="11"/>
  <c r="Z175" i="11"/>
  <c r="Y175" i="11"/>
  <c r="X175" i="11"/>
  <c r="AC174" i="11"/>
  <c r="AB174" i="11"/>
  <c r="AA174" i="11"/>
  <c r="Z174" i="11"/>
  <c r="Y174" i="11"/>
  <c r="X174" i="11"/>
  <c r="AC173" i="11"/>
  <c r="AB173" i="11"/>
  <c r="AA173" i="11"/>
  <c r="Z173" i="11"/>
  <c r="Y173" i="11"/>
  <c r="X173" i="11"/>
  <c r="AC172" i="11"/>
  <c r="AB172" i="11"/>
  <c r="AA172" i="11"/>
  <c r="Z172" i="11"/>
  <c r="Y172" i="11"/>
  <c r="X172" i="11"/>
  <c r="AC316" i="11"/>
  <c r="AB316" i="11"/>
  <c r="AA316" i="11"/>
  <c r="Z316" i="11"/>
  <c r="Y316" i="11"/>
  <c r="X316" i="11"/>
  <c r="AC331" i="11"/>
  <c r="AB331" i="11"/>
  <c r="AA331" i="11"/>
  <c r="Z331" i="11"/>
  <c r="Y331" i="11"/>
  <c r="X331" i="11"/>
  <c r="AC327" i="11"/>
  <c r="AB327" i="11"/>
  <c r="AA327" i="11"/>
  <c r="Z327" i="11"/>
  <c r="Y327" i="11"/>
  <c r="X327" i="11"/>
  <c r="AC326" i="11"/>
  <c r="AB326" i="11"/>
  <c r="AA326" i="11"/>
  <c r="Z326" i="11"/>
  <c r="Y326" i="11"/>
  <c r="X326" i="11"/>
  <c r="AC325" i="11"/>
  <c r="AB325" i="11"/>
  <c r="AA325" i="11"/>
  <c r="Z325" i="11"/>
  <c r="Y325" i="11"/>
  <c r="X325" i="11"/>
  <c r="G338" i="11"/>
  <c r="G510" i="11"/>
  <c r="AC293" i="11"/>
  <c r="AB293" i="11"/>
  <c r="AA293" i="11"/>
  <c r="Z293" i="11"/>
  <c r="Y293" i="11"/>
  <c r="X293" i="11"/>
  <c r="AC336" i="11"/>
  <c r="AB336" i="11"/>
  <c r="AA336" i="11"/>
  <c r="Z336" i="11"/>
  <c r="Y336" i="11"/>
  <c r="X336" i="11"/>
  <c r="AC335" i="11"/>
  <c r="AB335" i="11"/>
  <c r="AA335" i="11"/>
  <c r="Z335" i="11"/>
  <c r="Y335" i="11"/>
  <c r="X335" i="11"/>
  <c r="AC324" i="11"/>
  <c r="AB324" i="11"/>
  <c r="AA324" i="11"/>
  <c r="Z324" i="11"/>
  <c r="Y324" i="11"/>
  <c r="X324" i="11"/>
  <c r="AC323" i="11"/>
  <c r="AB323" i="11"/>
  <c r="AA323" i="11"/>
  <c r="Z323" i="11"/>
  <c r="Y323" i="11"/>
  <c r="X323" i="11"/>
  <c r="AC322" i="11"/>
  <c r="AB322" i="11"/>
  <c r="AA322" i="11"/>
  <c r="Z322" i="11"/>
  <c r="Y322" i="11"/>
  <c r="X322" i="11"/>
  <c r="AC321" i="11"/>
  <c r="AB321" i="11"/>
  <c r="AA321" i="11"/>
  <c r="Z321" i="11"/>
  <c r="Y321" i="11"/>
  <c r="X321" i="11"/>
  <c r="AC320" i="11"/>
  <c r="AB320" i="11"/>
  <c r="AA320" i="11"/>
  <c r="Z320" i="11"/>
  <c r="Y320" i="11"/>
  <c r="X320" i="11"/>
  <c r="AC296" i="11"/>
  <c r="AB296" i="11"/>
  <c r="AA296" i="11"/>
  <c r="Z296" i="11"/>
  <c r="Y296" i="11"/>
  <c r="X296" i="11"/>
  <c r="AC295" i="11"/>
  <c r="AB295" i="11"/>
  <c r="AA295" i="11"/>
  <c r="Z295" i="11"/>
  <c r="Y295" i="11"/>
  <c r="X295" i="11"/>
  <c r="AC294" i="11"/>
  <c r="AB294" i="11"/>
  <c r="AA294" i="11"/>
  <c r="Z294" i="11"/>
  <c r="Y294" i="11"/>
  <c r="X294" i="11"/>
  <c r="AC315" i="11"/>
  <c r="AB315" i="11"/>
  <c r="AA315" i="11"/>
  <c r="Z315" i="11"/>
  <c r="Y315" i="11"/>
  <c r="X315" i="11"/>
  <c r="AC314" i="11"/>
  <c r="AB314" i="11"/>
  <c r="AA314" i="11"/>
  <c r="Z314" i="11"/>
  <c r="Y314" i="11"/>
  <c r="X314" i="11"/>
  <c r="AC311" i="11"/>
  <c r="AB311" i="11"/>
  <c r="AA311" i="11"/>
  <c r="Z311" i="11"/>
  <c r="Y311" i="11"/>
  <c r="X311" i="11"/>
  <c r="AC330" i="11"/>
  <c r="AB330" i="11"/>
  <c r="AA330" i="11"/>
  <c r="Z330" i="11"/>
  <c r="Y330" i="11"/>
  <c r="X330" i="11"/>
  <c r="AC329" i="11"/>
  <c r="AB329" i="11"/>
  <c r="AA329" i="11"/>
  <c r="Z329" i="11"/>
  <c r="Y329" i="11"/>
  <c r="X329" i="11"/>
  <c r="AC328" i="11"/>
  <c r="AB328" i="11"/>
  <c r="AA328" i="11"/>
  <c r="Z328" i="11"/>
  <c r="Y328" i="11"/>
  <c r="X328" i="11"/>
  <c r="AC268" i="11"/>
  <c r="AB268" i="11"/>
  <c r="AA268" i="11"/>
  <c r="Z268" i="11"/>
  <c r="Y268" i="11"/>
  <c r="X268" i="11"/>
  <c r="AC267" i="11"/>
  <c r="AB267" i="11"/>
  <c r="AA267" i="11"/>
  <c r="Z267" i="11"/>
  <c r="Y267" i="11"/>
  <c r="X267" i="11"/>
  <c r="AC266" i="11"/>
  <c r="AB266" i="11"/>
  <c r="AA266" i="11"/>
  <c r="Z266" i="11"/>
  <c r="Y266" i="11"/>
  <c r="X266" i="11"/>
  <c r="AC265" i="11"/>
  <c r="AB265" i="11"/>
  <c r="AA265" i="11"/>
  <c r="Z265" i="11"/>
  <c r="Y265" i="11"/>
  <c r="X265" i="11"/>
  <c r="AC264" i="11"/>
  <c r="AB264" i="11"/>
  <c r="AA264" i="11"/>
  <c r="Z264" i="11"/>
  <c r="Y264" i="11"/>
  <c r="X264" i="11"/>
  <c r="AC263" i="11"/>
  <c r="AB263" i="11"/>
  <c r="AA263" i="11"/>
  <c r="Z263" i="11"/>
  <c r="Y263" i="11"/>
  <c r="X263" i="11"/>
  <c r="AC262" i="11"/>
  <c r="AB262" i="11"/>
  <c r="AA262" i="11"/>
  <c r="Z262" i="11"/>
  <c r="Y262" i="11"/>
  <c r="X262" i="11"/>
  <c r="AC269" i="11"/>
  <c r="AB269" i="11"/>
  <c r="AA269" i="11"/>
  <c r="Z269" i="11"/>
  <c r="Y269" i="11"/>
  <c r="X269" i="11"/>
  <c r="AC309" i="11"/>
  <c r="AB309" i="11"/>
  <c r="AA309" i="11"/>
  <c r="Z309" i="11"/>
  <c r="Y309" i="11"/>
  <c r="X309" i="11"/>
  <c r="AC308" i="11"/>
  <c r="AB308" i="11"/>
  <c r="AA308" i="11"/>
  <c r="Z308" i="11"/>
  <c r="Y308" i="11"/>
  <c r="X308" i="11"/>
  <c r="AC307" i="11"/>
  <c r="AB307" i="11"/>
  <c r="AA307" i="11"/>
  <c r="Z307" i="11"/>
  <c r="Y307" i="11"/>
  <c r="X307" i="11"/>
  <c r="AC306" i="11"/>
  <c r="AB306" i="11"/>
  <c r="AA306" i="11"/>
  <c r="Z306" i="11"/>
  <c r="Y306" i="11"/>
  <c r="X306" i="11"/>
  <c r="AC298" i="11"/>
  <c r="AB298" i="11"/>
  <c r="AA298" i="11"/>
  <c r="Z298" i="11"/>
  <c r="Y298" i="11"/>
  <c r="X298" i="11"/>
  <c r="AC297" i="11"/>
  <c r="AB297" i="11"/>
  <c r="AA297" i="11"/>
  <c r="Z297" i="11"/>
  <c r="Y297" i="11"/>
  <c r="X297" i="11"/>
  <c r="AC270" i="11"/>
  <c r="AB270" i="11"/>
  <c r="AA270" i="11"/>
  <c r="Z270" i="11"/>
  <c r="Y270" i="11"/>
  <c r="X270" i="11"/>
  <c r="AC303" i="11"/>
  <c r="AB303" i="11"/>
  <c r="AA303" i="11"/>
  <c r="Z303" i="11"/>
  <c r="Y303" i="11"/>
  <c r="X303" i="11"/>
  <c r="AC302" i="11"/>
  <c r="AB302" i="11"/>
  <c r="AA302" i="11"/>
  <c r="Z302" i="11"/>
  <c r="Y302" i="11"/>
  <c r="X302" i="11"/>
  <c r="AC301" i="11"/>
  <c r="AB301" i="11"/>
  <c r="AA301" i="11"/>
  <c r="Z301" i="11"/>
  <c r="Y301" i="11"/>
  <c r="X301" i="11"/>
  <c r="AC300" i="11"/>
  <c r="AB300" i="11"/>
  <c r="AA300" i="11"/>
  <c r="Z300" i="11"/>
  <c r="Y300" i="11"/>
  <c r="X300" i="11"/>
  <c r="AC292" i="11"/>
  <c r="AB292" i="11"/>
  <c r="AA292" i="11"/>
  <c r="Z292" i="11"/>
  <c r="Y292" i="11"/>
  <c r="X292" i="11"/>
  <c r="AC291" i="11"/>
  <c r="AB291" i="11"/>
  <c r="AA291" i="11"/>
  <c r="Z291" i="11"/>
  <c r="Y291" i="11"/>
  <c r="X291" i="11"/>
  <c r="AC290" i="11"/>
  <c r="AB290" i="11"/>
  <c r="AA290" i="11"/>
  <c r="Z290" i="11"/>
  <c r="Y290" i="11"/>
  <c r="X290" i="11"/>
  <c r="AC289" i="11"/>
  <c r="AB289" i="11"/>
  <c r="AA289" i="11"/>
  <c r="Z289" i="11"/>
  <c r="Y289" i="11"/>
  <c r="X289" i="11"/>
  <c r="AC288" i="11"/>
  <c r="AB288" i="11"/>
  <c r="AA288" i="11"/>
  <c r="Z288" i="11"/>
  <c r="Y288" i="11"/>
  <c r="X288" i="11"/>
  <c r="AC287" i="11"/>
  <c r="AB287" i="11"/>
  <c r="AA287" i="11"/>
  <c r="Z287" i="11"/>
  <c r="Y287" i="11"/>
  <c r="X287" i="11"/>
  <c r="AC286" i="11"/>
  <c r="AB286" i="11"/>
  <c r="AA286" i="11"/>
  <c r="Z286" i="11"/>
  <c r="Y286" i="11"/>
  <c r="X286" i="11"/>
  <c r="AC285" i="11"/>
  <c r="AB285" i="11"/>
  <c r="AA285" i="11"/>
  <c r="Z285" i="11"/>
  <c r="Y285" i="11"/>
  <c r="X285" i="11"/>
  <c r="AC284" i="11"/>
  <c r="AB284" i="11"/>
  <c r="AA284" i="11"/>
  <c r="Z284" i="11"/>
  <c r="Y284" i="11"/>
  <c r="X284" i="11"/>
  <c r="AC283" i="11"/>
  <c r="AB283" i="11"/>
  <c r="AA283" i="11"/>
  <c r="Z283" i="11"/>
  <c r="Y283" i="11"/>
  <c r="X283" i="11"/>
  <c r="AC282" i="11"/>
  <c r="AB282" i="11"/>
  <c r="AA282" i="11"/>
  <c r="Z282" i="11"/>
  <c r="Y282" i="11"/>
  <c r="X282" i="11"/>
  <c r="AC281" i="11"/>
  <c r="AB281" i="11"/>
  <c r="AA281" i="11"/>
  <c r="Z281" i="11"/>
  <c r="Y281" i="11"/>
  <c r="X281" i="11"/>
  <c r="AC280" i="11"/>
  <c r="AB280" i="11"/>
  <c r="AA280" i="11"/>
  <c r="Z280" i="11"/>
  <c r="Y280" i="11"/>
  <c r="X280" i="11"/>
  <c r="AC279" i="11"/>
  <c r="AB279" i="11"/>
  <c r="AA279" i="11"/>
  <c r="Z279" i="11"/>
  <c r="Y279" i="11"/>
  <c r="X279" i="11"/>
  <c r="AC278" i="11"/>
  <c r="AB278" i="11"/>
  <c r="AA278" i="11"/>
  <c r="Z278" i="11"/>
  <c r="Y278" i="11"/>
  <c r="X278" i="11"/>
  <c r="AC277" i="11"/>
  <c r="AB277" i="11"/>
  <c r="AA277" i="11"/>
  <c r="Z277" i="11"/>
  <c r="Y277" i="11"/>
  <c r="X277" i="11"/>
  <c r="AC276" i="11"/>
  <c r="AB276" i="11"/>
  <c r="AA276" i="11"/>
  <c r="Z276" i="11"/>
  <c r="Y276" i="11"/>
  <c r="X276" i="11"/>
  <c r="AC275" i="11"/>
  <c r="AB275" i="11"/>
  <c r="AA275" i="11"/>
  <c r="Z275" i="11"/>
  <c r="Y275" i="11"/>
  <c r="X275" i="11"/>
  <c r="AC274" i="11"/>
  <c r="AB274" i="11"/>
  <c r="AA274" i="11"/>
  <c r="Z274" i="11"/>
  <c r="Y274" i="11"/>
  <c r="X274" i="11"/>
  <c r="AC273" i="11"/>
  <c r="AB273" i="11"/>
  <c r="AA273" i="11"/>
  <c r="Z273" i="11"/>
  <c r="Y273" i="11"/>
  <c r="X273" i="11"/>
  <c r="AC272" i="11"/>
  <c r="AB272" i="11"/>
  <c r="AA272" i="11"/>
  <c r="Z272" i="11"/>
  <c r="Y272" i="11"/>
  <c r="X272" i="11"/>
  <c r="AC271" i="11"/>
  <c r="AB271" i="11"/>
  <c r="AA271" i="11"/>
  <c r="Z271" i="11"/>
  <c r="Y271" i="11"/>
  <c r="X271" i="11"/>
  <c r="AC259" i="11"/>
  <c r="AB259" i="11"/>
  <c r="AA259" i="11"/>
  <c r="Z259" i="11"/>
  <c r="Y259" i="11"/>
  <c r="X259" i="11"/>
  <c r="AC258" i="11"/>
  <c r="AB258" i="11"/>
  <c r="AA258" i="11"/>
  <c r="Z258" i="11"/>
  <c r="Y258" i="11"/>
  <c r="X258" i="11"/>
  <c r="AC255" i="11"/>
  <c r="AB255" i="11"/>
  <c r="AA255" i="11"/>
  <c r="Z255" i="11"/>
  <c r="Y255" i="11"/>
  <c r="X255" i="11"/>
  <c r="AC254" i="11"/>
  <c r="AB254" i="11"/>
  <c r="AA254" i="11"/>
  <c r="Z254" i="11"/>
  <c r="Y254" i="11"/>
  <c r="X254" i="11"/>
  <c r="AC253" i="11"/>
  <c r="AB253" i="11"/>
  <c r="AA253" i="11"/>
  <c r="Z253" i="11"/>
  <c r="Y253" i="11"/>
  <c r="X253" i="11"/>
  <c r="AC252" i="11"/>
  <c r="AB252" i="11"/>
  <c r="AA252" i="11"/>
  <c r="Z252" i="11"/>
  <c r="Y252" i="11"/>
  <c r="X252" i="11"/>
  <c r="AC251" i="11"/>
  <c r="AB251" i="11"/>
  <c r="AA251" i="11"/>
  <c r="Z251" i="11"/>
  <c r="Y251" i="11"/>
  <c r="X251" i="11"/>
  <c r="AC250" i="11"/>
  <c r="AB250" i="11"/>
  <c r="AA250" i="11"/>
  <c r="Z250" i="11"/>
  <c r="Y250" i="11"/>
  <c r="X250" i="11"/>
  <c r="AC249" i="11"/>
  <c r="AB249" i="11"/>
  <c r="AA249" i="11"/>
  <c r="Z249" i="11"/>
  <c r="Y249" i="11"/>
  <c r="X249" i="11"/>
  <c r="AC248" i="11"/>
  <c r="AB248" i="11"/>
  <c r="AA248" i="11"/>
  <c r="Z248" i="11"/>
  <c r="Y248" i="11"/>
  <c r="X248" i="11"/>
  <c r="AC247" i="11"/>
  <c r="AB247" i="11"/>
  <c r="AA247" i="11"/>
  <c r="Z247" i="11"/>
  <c r="Y247" i="11"/>
  <c r="X247" i="11"/>
  <c r="AC246" i="11"/>
  <c r="AB246" i="11"/>
  <c r="AA246" i="11"/>
  <c r="Z246" i="11"/>
  <c r="Y246" i="11"/>
  <c r="X246" i="11"/>
  <c r="AC245" i="11"/>
  <c r="AB245" i="11"/>
  <c r="AA245" i="11"/>
  <c r="Z245" i="11"/>
  <c r="Y245" i="11"/>
  <c r="X245" i="11"/>
  <c r="AC244" i="11"/>
  <c r="AB244" i="11"/>
  <c r="AA244" i="11"/>
  <c r="Z244" i="11"/>
  <c r="Y244" i="11"/>
  <c r="X244" i="11"/>
  <c r="AC243" i="11"/>
  <c r="AB243" i="11"/>
  <c r="AA243" i="11"/>
  <c r="Z243" i="11"/>
  <c r="Y243" i="11"/>
  <c r="X243" i="11"/>
  <c r="AC242" i="11"/>
  <c r="AB242" i="11"/>
  <c r="AA242" i="11"/>
  <c r="Z242" i="11"/>
  <c r="Y242" i="11"/>
  <c r="X242" i="11"/>
  <c r="AC394" i="11"/>
  <c r="AB394" i="11"/>
  <c r="AA394" i="11"/>
  <c r="Z394" i="11"/>
  <c r="Y394" i="11"/>
  <c r="X394" i="11"/>
  <c r="AC393" i="11"/>
  <c r="AB393" i="11"/>
  <c r="AA393" i="11"/>
  <c r="Z393" i="11"/>
  <c r="Y393" i="11"/>
  <c r="X393" i="11"/>
  <c r="AC392" i="11"/>
  <c r="AB392" i="11"/>
  <c r="AA392" i="11"/>
  <c r="Z392" i="11"/>
  <c r="Y392" i="11"/>
  <c r="X392" i="11"/>
  <c r="AC391" i="11"/>
  <c r="AB391" i="11"/>
  <c r="AA391" i="11"/>
  <c r="Z391" i="11"/>
  <c r="Y391" i="11"/>
  <c r="X391" i="11"/>
  <c r="AC390" i="11"/>
  <c r="AB390" i="11"/>
  <c r="AA390" i="11"/>
  <c r="Z390" i="11"/>
  <c r="Y390" i="11"/>
  <c r="X390" i="11"/>
  <c r="AC389" i="11"/>
  <c r="AB389" i="11"/>
  <c r="AA389" i="11"/>
  <c r="Z389" i="11"/>
  <c r="Y389" i="11"/>
  <c r="X389" i="11"/>
  <c r="AC388" i="11"/>
  <c r="AB388" i="11"/>
  <c r="AA388" i="11"/>
  <c r="Z388" i="11"/>
  <c r="Y388" i="11"/>
  <c r="X388" i="11"/>
  <c r="AC387" i="11"/>
  <c r="AB387" i="11"/>
  <c r="AA387" i="11"/>
  <c r="Z387" i="11"/>
  <c r="Y387" i="11"/>
  <c r="X387" i="11"/>
  <c r="AC386" i="11"/>
  <c r="AB386" i="11"/>
  <c r="AA386" i="11"/>
  <c r="Z386" i="11"/>
  <c r="Y386" i="11"/>
  <c r="X386" i="11"/>
  <c r="AC385" i="11"/>
  <c r="AB385" i="11"/>
  <c r="AA385" i="11"/>
  <c r="Z385" i="11"/>
  <c r="Y385" i="11"/>
  <c r="X385" i="11"/>
  <c r="AC384" i="11"/>
  <c r="AB384" i="11"/>
  <c r="AA384" i="11"/>
  <c r="Z384" i="11"/>
  <c r="Y384" i="11"/>
  <c r="X384" i="11"/>
  <c r="AC383" i="11"/>
  <c r="AB383" i="11"/>
  <c r="AA383" i="11"/>
  <c r="Z383" i="11"/>
  <c r="Y383" i="11"/>
  <c r="X383" i="11"/>
  <c r="AD396" i="11" l="1"/>
  <c r="AD401" i="11"/>
  <c r="AD405" i="11"/>
  <c r="AD406" i="11"/>
  <c r="AD413" i="11"/>
  <c r="AD411" i="11"/>
  <c r="AD397" i="11"/>
  <c r="AD402" i="11"/>
  <c r="AD404" i="11"/>
  <c r="AD91" i="11"/>
  <c r="AD395" i="11"/>
  <c r="AD400" i="11"/>
  <c r="AD416" i="11"/>
  <c r="AD398" i="11"/>
  <c r="AD86" i="11"/>
  <c r="AD90" i="11"/>
  <c r="AD399" i="11"/>
  <c r="AD403" i="11"/>
  <c r="AD82" i="11"/>
  <c r="AD81" i="11"/>
  <c r="AD94" i="11"/>
  <c r="AD417" i="11"/>
  <c r="AD412" i="11"/>
  <c r="AD77" i="11"/>
  <c r="AD89" i="11"/>
  <c r="AD414" i="11"/>
  <c r="AD409" i="11"/>
  <c r="AD76" i="11"/>
  <c r="AD85" i="11"/>
  <c r="AD97" i="11"/>
  <c r="AD80" i="11"/>
  <c r="AD84" i="11"/>
  <c r="AD93" i="11"/>
  <c r="AD79" i="11"/>
  <c r="AD88" i="11"/>
  <c r="AD92" i="11"/>
  <c r="AD418" i="11"/>
  <c r="AD408" i="11"/>
  <c r="AD75" i="11"/>
  <c r="AD87" i="11"/>
  <c r="AD96" i="11"/>
  <c r="AD410" i="11"/>
  <c r="AD78" i="11"/>
  <c r="AD83" i="11"/>
  <c r="AD95" i="11"/>
  <c r="AD415" i="11"/>
  <c r="AD213" i="11"/>
  <c r="AD187" i="11"/>
  <c r="AD195" i="11"/>
  <c r="AD181" i="11"/>
  <c r="AD185" i="11"/>
  <c r="AD189" i="11"/>
  <c r="AD193" i="11"/>
  <c r="AD197" i="11"/>
  <c r="AD179" i="11"/>
  <c r="AD172" i="11"/>
  <c r="AD170" i="11"/>
  <c r="AD178" i="11"/>
  <c r="AD180" i="11"/>
  <c r="AD186" i="11"/>
  <c r="AD188" i="11"/>
  <c r="AD176" i="11"/>
  <c r="AD194" i="11"/>
  <c r="AD196" i="11"/>
  <c r="AD174" i="11"/>
  <c r="AD175" i="11"/>
  <c r="AD184" i="11"/>
  <c r="AD182" i="11"/>
  <c r="AD183" i="11"/>
  <c r="AD192" i="11"/>
  <c r="AD173" i="11"/>
  <c r="AD177" i="11"/>
  <c r="AD190" i="11"/>
  <c r="AD191" i="11"/>
  <c r="AD316" i="11"/>
  <c r="AD325" i="11"/>
  <c r="AD326" i="11"/>
  <c r="AD327" i="11"/>
  <c r="AD331" i="11"/>
  <c r="AD249" i="11"/>
  <c r="AD259" i="11"/>
  <c r="AD279" i="11"/>
  <c r="AD283" i="11"/>
  <c r="AD287" i="11"/>
  <c r="AD291" i="11"/>
  <c r="AD323" i="11"/>
  <c r="AD258" i="11"/>
  <c r="AD248" i="11"/>
  <c r="AD300" i="11"/>
  <c r="AD307" i="11"/>
  <c r="AD311" i="11"/>
  <c r="AD322" i="11"/>
  <c r="AD277" i="11"/>
  <c r="AD282" i="11"/>
  <c r="AD285" i="11"/>
  <c r="AD263" i="11"/>
  <c r="AD266" i="11"/>
  <c r="AD306" i="11"/>
  <c r="AD265" i="11"/>
  <c r="AD288" i="11"/>
  <c r="AD250" i="11"/>
  <c r="AD254" i="11"/>
  <c r="AD272" i="11"/>
  <c r="AD284" i="11"/>
  <c r="AD290" i="11"/>
  <c r="AD270" i="11"/>
  <c r="AD267" i="11"/>
  <c r="AD324" i="11"/>
  <c r="AD328" i="11"/>
  <c r="AD271" i="11"/>
  <c r="AD275" i="11"/>
  <c r="AD280" i="11"/>
  <c r="AD292" i="11"/>
  <c r="AD297" i="11"/>
  <c r="AD262" i="11"/>
  <c r="AD314" i="11"/>
  <c r="AD303" i="11"/>
  <c r="AD245" i="11"/>
  <c r="AD278" i="11"/>
  <c r="AD302" i="11"/>
  <c r="AD298" i="11"/>
  <c r="AD269" i="11"/>
  <c r="AD330" i="11"/>
  <c r="AD296" i="11"/>
  <c r="AD336" i="11"/>
  <c r="AD244" i="11"/>
  <c r="AD247" i="11"/>
  <c r="AD253" i="11"/>
  <c r="AD286" i="11"/>
  <c r="AD309" i="11"/>
  <c r="AD264" i="11"/>
  <c r="AD295" i="11"/>
  <c r="AD321" i="11"/>
  <c r="AD243" i="11"/>
  <c r="AD252" i="11"/>
  <c r="AD255" i="11"/>
  <c r="AD274" i="11"/>
  <c r="AD281" i="11"/>
  <c r="AD301" i="11"/>
  <c r="AD268" i="11"/>
  <c r="AD329" i="11"/>
  <c r="AD294" i="11"/>
  <c r="AD335" i="11"/>
  <c r="AD242" i="11"/>
  <c r="AD246" i="11"/>
  <c r="AD251" i="11"/>
  <c r="AD273" i="11"/>
  <c r="AD276" i="11"/>
  <c r="AD289" i="11"/>
  <c r="AD308" i="11"/>
  <c r="AD315" i="11"/>
  <c r="AD320" i="11"/>
  <c r="AD293" i="11"/>
  <c r="AD391" i="11"/>
  <c r="AD390" i="11"/>
  <c r="AD388" i="11"/>
  <c r="AD383" i="11"/>
  <c r="AD387" i="11"/>
  <c r="AD389" i="11"/>
  <c r="AD384" i="11"/>
  <c r="AD386" i="11"/>
  <c r="AD385" i="11"/>
  <c r="AD394" i="11"/>
  <c r="AD393" i="11"/>
  <c r="AD392" i="11"/>
  <c r="AC382" i="11"/>
  <c r="AB382" i="11"/>
  <c r="AA382" i="11"/>
  <c r="Z382" i="11"/>
  <c r="Y382" i="11"/>
  <c r="X382" i="11"/>
  <c r="AC381" i="11"/>
  <c r="AB381" i="11"/>
  <c r="AA381" i="11"/>
  <c r="Z381" i="11"/>
  <c r="Y381" i="11"/>
  <c r="X381" i="11"/>
  <c r="AC380" i="11"/>
  <c r="AB380" i="11"/>
  <c r="AA380" i="11"/>
  <c r="Z380" i="11"/>
  <c r="Y380" i="11"/>
  <c r="X380" i="11"/>
  <c r="AC379" i="11"/>
  <c r="AB379" i="11"/>
  <c r="AA379" i="11"/>
  <c r="Z379" i="11"/>
  <c r="Y379" i="11"/>
  <c r="X379" i="11"/>
  <c r="AC378" i="11"/>
  <c r="AB378" i="11"/>
  <c r="AA378" i="11"/>
  <c r="Z378" i="11"/>
  <c r="Y378" i="11"/>
  <c r="X378" i="11"/>
  <c r="AC377" i="11"/>
  <c r="AB377" i="11"/>
  <c r="AA377" i="11"/>
  <c r="Z377" i="11"/>
  <c r="Y377" i="11"/>
  <c r="X377" i="11"/>
  <c r="AC376" i="11"/>
  <c r="AB376" i="11"/>
  <c r="AA376" i="11"/>
  <c r="Z376" i="11"/>
  <c r="Y376" i="11"/>
  <c r="X376" i="11"/>
  <c r="AC375" i="11"/>
  <c r="AB375" i="11"/>
  <c r="AA375" i="11"/>
  <c r="Z375" i="11"/>
  <c r="Y375" i="11"/>
  <c r="X375" i="11"/>
  <c r="AC374" i="11"/>
  <c r="AB374" i="11"/>
  <c r="AA374" i="11"/>
  <c r="Z374" i="11"/>
  <c r="Y374" i="11"/>
  <c r="X374" i="11"/>
  <c r="AC373" i="11"/>
  <c r="AB373" i="11"/>
  <c r="AA373" i="11"/>
  <c r="Z373" i="11"/>
  <c r="Y373" i="11"/>
  <c r="X373" i="11"/>
  <c r="AC372" i="11"/>
  <c r="AB372" i="11"/>
  <c r="AA372" i="11"/>
  <c r="Z372" i="11"/>
  <c r="Y372" i="11"/>
  <c r="X372" i="11"/>
  <c r="AC371" i="11"/>
  <c r="AB371" i="11"/>
  <c r="AA371" i="11"/>
  <c r="Z371" i="11"/>
  <c r="Y371" i="11"/>
  <c r="X371" i="11"/>
  <c r="AC370" i="11"/>
  <c r="AB370" i="11"/>
  <c r="AA370" i="11"/>
  <c r="Z370" i="11"/>
  <c r="Y370" i="11"/>
  <c r="X370" i="11"/>
  <c r="AC369" i="11"/>
  <c r="AB369" i="11"/>
  <c r="AA369" i="11"/>
  <c r="Z369" i="11"/>
  <c r="Y369" i="11"/>
  <c r="X369" i="11"/>
  <c r="AC368" i="11"/>
  <c r="AB368" i="11"/>
  <c r="AA368" i="11"/>
  <c r="Z368" i="11"/>
  <c r="Y368" i="11"/>
  <c r="X368" i="11"/>
  <c r="AC367" i="11"/>
  <c r="AB367" i="11"/>
  <c r="AA367" i="11"/>
  <c r="Z367" i="11"/>
  <c r="Y367" i="11"/>
  <c r="X367" i="11"/>
  <c r="AC366" i="11"/>
  <c r="AB366" i="11"/>
  <c r="AA366" i="11"/>
  <c r="Z366" i="11"/>
  <c r="Y366" i="11"/>
  <c r="X366" i="11"/>
  <c r="AC365" i="11"/>
  <c r="AB365" i="11"/>
  <c r="AA365" i="11"/>
  <c r="Z365" i="11"/>
  <c r="Y365" i="11"/>
  <c r="X365" i="11"/>
  <c r="AD373" i="11" l="1"/>
  <c r="AD366" i="11"/>
  <c r="AD381" i="11"/>
  <c r="AD374" i="11"/>
  <c r="AD365" i="11"/>
  <c r="AD372" i="11"/>
  <c r="AD371" i="11"/>
  <c r="AD370" i="11"/>
  <c r="AD379" i="11"/>
  <c r="AD369" i="11"/>
  <c r="AD377" i="11"/>
  <c r="AD367" i="11"/>
  <c r="AD368" i="11"/>
  <c r="AD380" i="11"/>
  <c r="AD382" i="11"/>
  <c r="AD378" i="11"/>
  <c r="AD376" i="11"/>
  <c r="AD375" i="11"/>
  <c r="AC489" i="11"/>
  <c r="AB489" i="11"/>
  <c r="AA489" i="11"/>
  <c r="Z489" i="11"/>
  <c r="Y489" i="11"/>
  <c r="X489" i="11"/>
  <c r="AC488" i="11"/>
  <c r="AB488" i="11"/>
  <c r="AA488" i="11"/>
  <c r="Z488" i="11"/>
  <c r="Y488" i="11"/>
  <c r="X488" i="11"/>
  <c r="AC487" i="11"/>
  <c r="AB487" i="11"/>
  <c r="AA487" i="11"/>
  <c r="Z487" i="11"/>
  <c r="Y487" i="11"/>
  <c r="X487" i="11"/>
  <c r="AC486" i="11"/>
  <c r="AB486" i="11"/>
  <c r="AA486" i="11"/>
  <c r="Z486" i="11"/>
  <c r="Y486" i="11"/>
  <c r="X486" i="11"/>
  <c r="AC485" i="11"/>
  <c r="AB485" i="11"/>
  <c r="AA485" i="11"/>
  <c r="Z485" i="11"/>
  <c r="Y485" i="11"/>
  <c r="X485" i="11"/>
  <c r="AC484" i="11"/>
  <c r="AB484" i="11"/>
  <c r="AA484" i="11"/>
  <c r="Z484" i="11"/>
  <c r="Y484" i="11"/>
  <c r="X484" i="11"/>
  <c r="AC483" i="11" l="1"/>
  <c r="AB483" i="11"/>
  <c r="X483" i="11"/>
  <c r="AD488" i="11"/>
  <c r="Y483" i="11"/>
  <c r="AD487" i="11"/>
  <c r="Z483" i="11"/>
  <c r="AA483" i="11"/>
  <c r="AD486" i="11"/>
  <c r="AD485" i="11"/>
  <c r="AD489" i="11"/>
  <c r="AD484" i="11"/>
  <c r="X457" i="11"/>
  <c r="Y457" i="11"/>
  <c r="Z457" i="11"/>
  <c r="AA457" i="11"/>
  <c r="AB457" i="11"/>
  <c r="AC457" i="11"/>
  <c r="X458" i="11"/>
  <c r="Y458" i="11"/>
  <c r="Z458" i="11"/>
  <c r="AA458" i="11"/>
  <c r="AB458" i="11"/>
  <c r="AC458" i="11"/>
  <c r="X459" i="11"/>
  <c r="Y459" i="11"/>
  <c r="Z459" i="11"/>
  <c r="AA459" i="11"/>
  <c r="AB459" i="11"/>
  <c r="AC459" i="11"/>
  <c r="X460" i="11"/>
  <c r="Y460" i="11"/>
  <c r="Z460" i="11"/>
  <c r="AA460" i="11"/>
  <c r="AB460" i="11"/>
  <c r="AC460" i="11"/>
  <c r="X461" i="11"/>
  <c r="Y461" i="11"/>
  <c r="Z461" i="11"/>
  <c r="AA461" i="11"/>
  <c r="AB461" i="11"/>
  <c r="AC461" i="11"/>
  <c r="X462" i="11"/>
  <c r="Y462" i="11"/>
  <c r="Z462" i="11"/>
  <c r="AA462" i="11"/>
  <c r="AB462" i="11"/>
  <c r="AC462" i="11"/>
  <c r="X463" i="11"/>
  <c r="Y463" i="11"/>
  <c r="Z463" i="11"/>
  <c r="AA463" i="11"/>
  <c r="AB463" i="11"/>
  <c r="AC463" i="11"/>
  <c r="X464" i="11"/>
  <c r="Y464" i="11"/>
  <c r="Z464" i="11"/>
  <c r="AA464" i="11"/>
  <c r="AB464" i="11"/>
  <c r="AC464" i="11"/>
  <c r="X465" i="11"/>
  <c r="Y465" i="11"/>
  <c r="Z465" i="11"/>
  <c r="AA465" i="11"/>
  <c r="AB465" i="11"/>
  <c r="AC465" i="11"/>
  <c r="X466" i="11"/>
  <c r="Y466" i="11"/>
  <c r="Z466" i="11"/>
  <c r="AA466" i="11"/>
  <c r="AB466" i="11"/>
  <c r="AC466" i="11"/>
  <c r="X467" i="11"/>
  <c r="Y467" i="11"/>
  <c r="Z467" i="11"/>
  <c r="AA467" i="11"/>
  <c r="AB467" i="11"/>
  <c r="AC467" i="11"/>
  <c r="X468" i="11"/>
  <c r="Y468" i="11"/>
  <c r="Z468" i="11"/>
  <c r="AA468" i="11"/>
  <c r="AB468" i="11"/>
  <c r="AC468" i="11"/>
  <c r="X469" i="11"/>
  <c r="Y469" i="11"/>
  <c r="Z469" i="11"/>
  <c r="AA469" i="11"/>
  <c r="AB469" i="11"/>
  <c r="AC469" i="11"/>
  <c r="X470" i="11"/>
  <c r="Y470" i="11"/>
  <c r="Z470" i="11"/>
  <c r="AA470" i="11"/>
  <c r="AB470" i="11"/>
  <c r="AC470" i="11"/>
  <c r="X471" i="11"/>
  <c r="Y471" i="11"/>
  <c r="Z471" i="11"/>
  <c r="AA471" i="11"/>
  <c r="AB471" i="11"/>
  <c r="AC471" i="11"/>
  <c r="AB456" i="11" l="1"/>
  <c r="AA456" i="11"/>
  <c r="AD483" i="11"/>
  <c r="AE483" i="11" s="1"/>
  <c r="AF483" i="11" s="1"/>
  <c r="AC456" i="11"/>
  <c r="AD457" i="11"/>
  <c r="Y456" i="11"/>
  <c r="X456" i="11"/>
  <c r="AD464" i="11"/>
  <c r="AD462" i="11"/>
  <c r="Z456" i="11"/>
  <c r="AD471" i="11"/>
  <c r="AD470" i="11"/>
  <c r="AD469" i="11"/>
  <c r="AD468" i="11"/>
  <c r="AD465" i="11"/>
  <c r="AD458" i="11"/>
  <c r="AD467" i="11"/>
  <c r="AD466" i="11"/>
  <c r="AD463" i="11"/>
  <c r="AD461" i="11"/>
  <c r="AD460" i="11"/>
  <c r="AD459" i="11"/>
  <c r="AD456" i="11" l="1"/>
  <c r="AE456" i="11" s="1"/>
  <c r="AF456" i="11" s="1"/>
  <c r="AC41" i="11"/>
  <c r="AB41" i="11"/>
  <c r="AA41" i="11"/>
  <c r="Z41" i="11"/>
  <c r="Y41" i="11"/>
  <c r="X41" i="11"/>
  <c r="AC40" i="11"/>
  <c r="AB40" i="11"/>
  <c r="AA40" i="11"/>
  <c r="Z40" i="11"/>
  <c r="Y40" i="11"/>
  <c r="X40" i="11"/>
  <c r="AC162" i="11"/>
  <c r="AB162" i="11"/>
  <c r="AA162" i="11"/>
  <c r="Z162" i="11"/>
  <c r="Y162" i="11"/>
  <c r="X162" i="11"/>
  <c r="AC74" i="11"/>
  <c r="AB74" i="11"/>
  <c r="AA74" i="11"/>
  <c r="Z74" i="11"/>
  <c r="Y74" i="11"/>
  <c r="X74" i="11"/>
  <c r="AC161" i="11"/>
  <c r="AB161" i="11"/>
  <c r="AA161" i="11"/>
  <c r="Z161" i="11"/>
  <c r="Y161" i="11"/>
  <c r="X161" i="11"/>
  <c r="X163" i="11"/>
  <c r="Y163" i="11"/>
  <c r="Z163" i="11"/>
  <c r="AA163" i="11"/>
  <c r="AB163" i="11"/>
  <c r="AC163" i="11"/>
  <c r="AC138" i="11"/>
  <c r="AB138" i="11"/>
  <c r="AA138" i="11"/>
  <c r="Z138" i="11"/>
  <c r="Y138" i="11"/>
  <c r="X138" i="11"/>
  <c r="Y529" i="11"/>
  <c r="Y528" i="11"/>
  <c r="Y527" i="11"/>
  <c r="Y319" i="11"/>
  <c r="Y334" i="11"/>
  <c r="Y333" i="11"/>
  <c r="Y526" i="11"/>
  <c r="Y525" i="11"/>
  <c r="Y524" i="11"/>
  <c r="Y523" i="11"/>
  <c r="Y261" i="11"/>
  <c r="Y522" i="11"/>
  <c r="Y521" i="11"/>
  <c r="Y520" i="11"/>
  <c r="Y519" i="11"/>
  <c r="Y518" i="11"/>
  <c r="Y517" i="11"/>
  <c r="Y516" i="11"/>
  <c r="Y515" i="11"/>
  <c r="Y514" i="11"/>
  <c r="Y513" i="11"/>
  <c r="Y512" i="11"/>
  <c r="Y511" i="11"/>
  <c r="Y318" i="11"/>
  <c r="Y332" i="11"/>
  <c r="Y338" i="11"/>
  <c r="Y257" i="11"/>
  <c r="Y256" i="11"/>
  <c r="Y510" i="11"/>
  <c r="Y260" i="11"/>
  <c r="Y358" i="11"/>
  <c r="Y357" i="11"/>
  <c r="Y356" i="11"/>
  <c r="Y355" i="11"/>
  <c r="Y354" i="11"/>
  <c r="Y353" i="11"/>
  <c r="Y352" i="11"/>
  <c r="Y313" i="11"/>
  <c r="Y312" i="11"/>
  <c r="Y310" i="11"/>
  <c r="Y304" i="11"/>
  <c r="Y305" i="11"/>
  <c r="Y317" i="11"/>
  <c r="Y500" i="11"/>
  <c r="Y499" i="11"/>
  <c r="Y498" i="11"/>
  <c r="Y497" i="11"/>
  <c r="Y496" i="11"/>
  <c r="Y495" i="11"/>
  <c r="Y494" i="11"/>
  <c r="Y493" i="11"/>
  <c r="Y492" i="11"/>
  <c r="Y491" i="11"/>
  <c r="Y490" i="11"/>
  <c r="Y482" i="11"/>
  <c r="Y481" i="11"/>
  <c r="Y480" i="11"/>
  <c r="Y479" i="11"/>
  <c r="Y478" i="11"/>
  <c r="Y477" i="11"/>
  <c r="Y475" i="11"/>
  <c r="Y474" i="11"/>
  <c r="Y473" i="11"/>
  <c r="Y455" i="11"/>
  <c r="Y454" i="11"/>
  <c r="Y453" i="11"/>
  <c r="Y452" i="11"/>
  <c r="Y451" i="11"/>
  <c r="Y450" i="11"/>
  <c r="Y449" i="11"/>
  <c r="Y448" i="11"/>
  <c r="Y447" i="11"/>
  <c r="Y446" i="11"/>
  <c r="Y445" i="11"/>
  <c r="Y444" i="11"/>
  <c r="Y443" i="11"/>
  <c r="Y442" i="11"/>
  <c r="Y441" i="11"/>
  <c r="Y440" i="11"/>
  <c r="Y439" i="11"/>
  <c r="Y438" i="11"/>
  <c r="Y437" i="11"/>
  <c r="Y436" i="11"/>
  <c r="Y435" i="11"/>
  <c r="Y434" i="11"/>
  <c r="Y433" i="11"/>
  <c r="Y432" i="11"/>
  <c r="Y431" i="11"/>
  <c r="Y430" i="11"/>
  <c r="Y429" i="11"/>
  <c r="Y428" i="11"/>
  <c r="Y427" i="11"/>
  <c r="Y426" i="11"/>
  <c r="Y423" i="11"/>
  <c r="Y422" i="11"/>
  <c r="Y421" i="11"/>
  <c r="Y420" i="11"/>
  <c r="Y419" i="11"/>
  <c r="Y364" i="11"/>
  <c r="Y363" i="11" s="1"/>
  <c r="Y362" i="11"/>
  <c r="Y361" i="11"/>
  <c r="Y360" i="11"/>
  <c r="Y359" i="11"/>
  <c r="Y351" i="11"/>
  <c r="Y350" i="11"/>
  <c r="Y349" i="11"/>
  <c r="Y348" i="11"/>
  <c r="Y347" i="11"/>
  <c r="Y346" i="11"/>
  <c r="Y345" i="11"/>
  <c r="Y344" i="11"/>
  <c r="Y343" i="11"/>
  <c r="Y342" i="11"/>
  <c r="Y341" i="11"/>
  <c r="Y340" i="11"/>
  <c r="Y339" i="11"/>
  <c r="Y337" i="11"/>
  <c r="Y241" i="11"/>
  <c r="Y239" i="11"/>
  <c r="Y238" i="11"/>
  <c r="Y237" i="11"/>
  <c r="Y236" i="11"/>
  <c r="Y235" i="11"/>
  <c r="Y234" i="11"/>
  <c r="Y233" i="11"/>
  <c r="Y232" i="11"/>
  <c r="Y231" i="11"/>
  <c r="Y230" i="11"/>
  <c r="Y229" i="11"/>
  <c r="Y228" i="11"/>
  <c r="Y227" i="11"/>
  <c r="Y226" i="11"/>
  <c r="Y225" i="11"/>
  <c r="Y224" i="11"/>
  <c r="Y223" i="11"/>
  <c r="Y222" i="11"/>
  <c r="Y221" i="11"/>
  <c r="Y220" i="11"/>
  <c r="Y219" i="11"/>
  <c r="Y218" i="11"/>
  <c r="Y217" i="11"/>
  <c r="Y216" i="11"/>
  <c r="Y215" i="11"/>
  <c r="Y214" i="11"/>
  <c r="Y168" i="11"/>
  <c r="Y167" i="11"/>
  <c r="Y166" i="11"/>
  <c r="Y165" i="11"/>
  <c r="Y164" i="11"/>
  <c r="Y160" i="11"/>
  <c r="Y159" i="11"/>
  <c r="Y158" i="11"/>
  <c r="Y157" i="11"/>
  <c r="Y156" i="11"/>
  <c r="Y155" i="11"/>
  <c r="Y154" i="11"/>
  <c r="Y153" i="11"/>
  <c r="Y152" i="11"/>
  <c r="Y151" i="11"/>
  <c r="Y150" i="11"/>
  <c r="Y149" i="11"/>
  <c r="Y148" i="11"/>
  <c r="Y147" i="11"/>
  <c r="Y146" i="11"/>
  <c r="Y145" i="11"/>
  <c r="Y144" i="11"/>
  <c r="Y143" i="11"/>
  <c r="Y142" i="11"/>
  <c r="Y141" i="11"/>
  <c r="Y140" i="11"/>
  <c r="Y139" i="11"/>
  <c r="Y137" i="11"/>
  <c r="Y136" i="11"/>
  <c r="Y135" i="11"/>
  <c r="Y134" i="11"/>
  <c r="Y133" i="11"/>
  <c r="Y132" i="11"/>
  <c r="Y131" i="11"/>
  <c r="Y130" i="11"/>
  <c r="Y129" i="11"/>
  <c r="Y128" i="11"/>
  <c r="Y127" i="11"/>
  <c r="Y126" i="11"/>
  <c r="Y125" i="11"/>
  <c r="Y124" i="11"/>
  <c r="Y123" i="11"/>
  <c r="Y122" i="11"/>
  <c r="Y121" i="11"/>
  <c r="Y120" i="11"/>
  <c r="Y119" i="11"/>
  <c r="Y118" i="11"/>
  <c r="Y117" i="11"/>
  <c r="Y116" i="11"/>
  <c r="Y115" i="11"/>
  <c r="Y114" i="11"/>
  <c r="Y113" i="11"/>
  <c r="Y112" i="11"/>
  <c r="Y111" i="11"/>
  <c r="Y110" i="11"/>
  <c r="Y109" i="11"/>
  <c r="Y108" i="11"/>
  <c r="Y107" i="11"/>
  <c r="Y106" i="11"/>
  <c r="Y105" i="11"/>
  <c r="Y104" i="11"/>
  <c r="Y103" i="11"/>
  <c r="Y102" i="11"/>
  <c r="Y101" i="11"/>
  <c r="Y100" i="11"/>
  <c r="Y99" i="11"/>
  <c r="Y98" i="11"/>
  <c r="Y73" i="11"/>
  <c r="Y72" i="11"/>
  <c r="Y71" i="11"/>
  <c r="Y70" i="11"/>
  <c r="Y69" i="11"/>
  <c r="Y68" i="11"/>
  <c r="Y67" i="11"/>
  <c r="Y66" i="11"/>
  <c r="Y65" i="11"/>
  <c r="Y64" i="11"/>
  <c r="Y63" i="11"/>
  <c r="Y62" i="11"/>
  <c r="Y61" i="11"/>
  <c r="Y60" i="11"/>
  <c r="Y59" i="11"/>
  <c r="Y58" i="11"/>
  <c r="Y57" i="11"/>
  <c r="Y56" i="11"/>
  <c r="Y55" i="11"/>
  <c r="Y54" i="11"/>
  <c r="Y53" i="11"/>
  <c r="Y52" i="11"/>
  <c r="Y51" i="11"/>
  <c r="Y50" i="11"/>
  <c r="Y49" i="11"/>
  <c r="Y48" i="11"/>
  <c r="Y47" i="11"/>
  <c r="Y46" i="11"/>
  <c r="Y45" i="11"/>
  <c r="Y38" i="11"/>
  <c r="Y37" i="11"/>
  <c r="Y35" i="11"/>
  <c r="Y33" i="11"/>
  <c r="Y32" i="11"/>
  <c r="Y30" i="11"/>
  <c r="Y29" i="11"/>
  <c r="Y28" i="11"/>
  <c r="Y27" i="11"/>
  <c r="Y26" i="11"/>
  <c r="Y25" i="11"/>
  <c r="Y24" i="11"/>
  <c r="Y23" i="11"/>
  <c r="Y22" i="11"/>
  <c r="Y21" i="11"/>
  <c r="Y20" i="11"/>
  <c r="Y19" i="11"/>
  <c r="Y18" i="11"/>
  <c r="Y17" i="11"/>
  <c r="Y16" i="11"/>
  <c r="Y15" i="11"/>
  <c r="Y14" i="11"/>
  <c r="Y13" i="11"/>
  <c r="Y12" i="11"/>
  <c r="Y11" i="11"/>
  <c r="Y10" i="11"/>
  <c r="Y9" i="11"/>
  <c r="AC529" i="11"/>
  <c r="AB529" i="11"/>
  <c r="AA529" i="11"/>
  <c r="Z529" i="11"/>
  <c r="X529" i="11"/>
  <c r="AC528" i="11"/>
  <c r="AB528" i="11"/>
  <c r="AA528" i="11"/>
  <c r="Z528" i="11"/>
  <c r="X528" i="11"/>
  <c r="AC527" i="11"/>
  <c r="AB527" i="11"/>
  <c r="AA527" i="11"/>
  <c r="Z527" i="11"/>
  <c r="X527" i="11"/>
  <c r="AC319" i="11"/>
  <c r="AB319" i="11"/>
  <c r="AA319" i="11"/>
  <c r="Z319" i="11"/>
  <c r="X319" i="11"/>
  <c r="AC334" i="11"/>
  <c r="AB334" i="11"/>
  <c r="AA334" i="11"/>
  <c r="Z334" i="11"/>
  <c r="X334" i="11"/>
  <c r="AC333" i="11"/>
  <c r="AB333" i="11"/>
  <c r="AA333" i="11"/>
  <c r="Z333" i="11"/>
  <c r="X333" i="11"/>
  <c r="AC526" i="11"/>
  <c r="AB526" i="11"/>
  <c r="AA526" i="11"/>
  <c r="Z526" i="11"/>
  <c r="X526" i="11"/>
  <c r="AC525" i="11"/>
  <c r="AB525" i="11"/>
  <c r="AA525" i="11"/>
  <c r="Z525" i="11"/>
  <c r="X525" i="11"/>
  <c r="AC524" i="11"/>
  <c r="AB524" i="11"/>
  <c r="AA524" i="11"/>
  <c r="Z524" i="11"/>
  <c r="X524" i="11"/>
  <c r="AC523" i="11"/>
  <c r="AB523" i="11"/>
  <c r="AA523" i="11"/>
  <c r="Z523" i="11"/>
  <c r="X523" i="11"/>
  <c r="AC261" i="11"/>
  <c r="AB261" i="11"/>
  <c r="AA261" i="11"/>
  <c r="Z261" i="11"/>
  <c r="X261" i="11"/>
  <c r="AC522" i="11"/>
  <c r="AB522" i="11"/>
  <c r="AA522" i="11"/>
  <c r="Z522" i="11"/>
  <c r="X522" i="11"/>
  <c r="AC521" i="11"/>
  <c r="AB521" i="11"/>
  <c r="AA521" i="11"/>
  <c r="Z521" i="11"/>
  <c r="X521" i="11"/>
  <c r="AC520" i="11"/>
  <c r="AB520" i="11"/>
  <c r="AA520" i="11"/>
  <c r="Z520" i="11"/>
  <c r="X520" i="11"/>
  <c r="AC519" i="11"/>
  <c r="AB519" i="11"/>
  <c r="AA519" i="11"/>
  <c r="Z519" i="11"/>
  <c r="X519" i="11"/>
  <c r="AC518" i="11"/>
  <c r="AB518" i="11"/>
  <c r="AA518" i="11"/>
  <c r="Z518" i="11"/>
  <c r="X518" i="11"/>
  <c r="AC517" i="11"/>
  <c r="AB517" i="11"/>
  <c r="AA517" i="11"/>
  <c r="Z517" i="11"/>
  <c r="X517" i="11"/>
  <c r="AC516" i="11"/>
  <c r="AB516" i="11"/>
  <c r="AA516" i="11"/>
  <c r="Z516" i="11"/>
  <c r="X516" i="11"/>
  <c r="AC515" i="11"/>
  <c r="AB515" i="11"/>
  <c r="AA515" i="11"/>
  <c r="Z515" i="11"/>
  <c r="X515" i="11"/>
  <c r="AC514" i="11"/>
  <c r="AB514" i="11"/>
  <c r="AA514" i="11"/>
  <c r="Z514" i="11"/>
  <c r="X514" i="11"/>
  <c r="AC513" i="11"/>
  <c r="AB513" i="11"/>
  <c r="AA513" i="11"/>
  <c r="Z513" i="11"/>
  <c r="X513" i="11"/>
  <c r="AC512" i="11"/>
  <c r="AB512" i="11"/>
  <c r="AA512" i="11"/>
  <c r="Z512" i="11"/>
  <c r="X512" i="11"/>
  <c r="AC511" i="11"/>
  <c r="AB511" i="11"/>
  <c r="AA511" i="11"/>
  <c r="Z511" i="11"/>
  <c r="X511" i="11"/>
  <c r="AC318" i="11"/>
  <c r="AB318" i="11"/>
  <c r="AA318" i="11"/>
  <c r="Z318" i="11"/>
  <c r="X318" i="11"/>
  <c r="AC332" i="11"/>
  <c r="AB332" i="11"/>
  <c r="AA332" i="11"/>
  <c r="Z332" i="11"/>
  <c r="X332" i="11"/>
  <c r="AC338" i="11"/>
  <c r="AB338" i="11"/>
  <c r="AA338" i="11"/>
  <c r="Z338" i="11"/>
  <c r="X338" i="11"/>
  <c r="AC257" i="11"/>
  <c r="AB257" i="11"/>
  <c r="AA257" i="11"/>
  <c r="Z257" i="11"/>
  <c r="X257" i="11"/>
  <c r="AC256" i="11"/>
  <c r="AB256" i="11"/>
  <c r="AA256" i="11"/>
  <c r="Z256" i="11"/>
  <c r="X256" i="11"/>
  <c r="AC510" i="11"/>
  <c r="AB510" i="11"/>
  <c r="AA510" i="11"/>
  <c r="Z510" i="11"/>
  <c r="X510" i="11"/>
  <c r="AC260" i="11"/>
  <c r="AB260" i="11"/>
  <c r="AA260" i="11"/>
  <c r="Z260" i="11"/>
  <c r="X260" i="11"/>
  <c r="AC358" i="11"/>
  <c r="AB358" i="11"/>
  <c r="AA358" i="11"/>
  <c r="Z358" i="11"/>
  <c r="X358" i="11"/>
  <c r="AC357" i="11"/>
  <c r="AB357" i="11"/>
  <c r="AA357" i="11"/>
  <c r="Z357" i="11"/>
  <c r="X357" i="11"/>
  <c r="AC356" i="11"/>
  <c r="AB356" i="11"/>
  <c r="AA356" i="11"/>
  <c r="Z356" i="11"/>
  <c r="X356" i="11"/>
  <c r="AC355" i="11"/>
  <c r="AB355" i="11"/>
  <c r="AA355" i="11"/>
  <c r="Z355" i="11"/>
  <c r="X355" i="11"/>
  <c r="AC354" i="11"/>
  <c r="AB354" i="11"/>
  <c r="AA354" i="11"/>
  <c r="Z354" i="11"/>
  <c r="X354" i="11"/>
  <c r="AC353" i="11"/>
  <c r="AB353" i="11"/>
  <c r="AA353" i="11"/>
  <c r="Z353" i="11"/>
  <c r="X353" i="11"/>
  <c r="AC352" i="11"/>
  <c r="AB352" i="11"/>
  <c r="AA352" i="11"/>
  <c r="Z352" i="11"/>
  <c r="X352" i="11"/>
  <c r="AC313" i="11"/>
  <c r="AB313" i="11"/>
  <c r="AA313" i="11"/>
  <c r="Z313" i="11"/>
  <c r="X313" i="11"/>
  <c r="AC312" i="11"/>
  <c r="AB312" i="11"/>
  <c r="AA312" i="11"/>
  <c r="Z312" i="11"/>
  <c r="X312" i="11"/>
  <c r="AC310" i="11"/>
  <c r="AB310" i="11"/>
  <c r="AA310" i="11"/>
  <c r="Z310" i="11"/>
  <c r="X310" i="11"/>
  <c r="AC304" i="11"/>
  <c r="AB304" i="11"/>
  <c r="AA304" i="11"/>
  <c r="Z304" i="11"/>
  <c r="X304" i="11"/>
  <c r="AC305" i="11"/>
  <c r="AB305" i="11"/>
  <c r="AA305" i="11"/>
  <c r="Z305" i="11"/>
  <c r="X305" i="11"/>
  <c r="AC317" i="11"/>
  <c r="AB317" i="11"/>
  <c r="AA317" i="11"/>
  <c r="Z317" i="11"/>
  <c r="X317" i="11"/>
  <c r="AC500" i="11"/>
  <c r="AB500" i="11"/>
  <c r="AA500" i="11"/>
  <c r="Z500" i="11"/>
  <c r="X500" i="11"/>
  <c r="AC499" i="11"/>
  <c r="AB499" i="11"/>
  <c r="AA499" i="11"/>
  <c r="Z499" i="11"/>
  <c r="X499" i="11"/>
  <c r="AC498" i="11"/>
  <c r="AB498" i="11"/>
  <c r="AA498" i="11"/>
  <c r="Z498" i="11"/>
  <c r="X498" i="11"/>
  <c r="AC497" i="11"/>
  <c r="AB497" i="11"/>
  <c r="AA497" i="11"/>
  <c r="Z497" i="11"/>
  <c r="X497" i="11"/>
  <c r="AC496" i="11"/>
  <c r="AB496" i="11"/>
  <c r="AA496" i="11"/>
  <c r="Z496" i="11"/>
  <c r="X496" i="11"/>
  <c r="AC495" i="11"/>
  <c r="AB495" i="11"/>
  <c r="AA495" i="11"/>
  <c r="Z495" i="11"/>
  <c r="X495" i="11"/>
  <c r="AC494" i="11"/>
  <c r="AB494" i="11"/>
  <c r="AA494" i="11"/>
  <c r="Z494" i="11"/>
  <c r="X494" i="11"/>
  <c r="AC493" i="11"/>
  <c r="AB493" i="11"/>
  <c r="AA493" i="11"/>
  <c r="Z493" i="11"/>
  <c r="X493" i="11"/>
  <c r="AC492" i="11"/>
  <c r="AB492" i="11"/>
  <c r="AA492" i="11"/>
  <c r="Z492" i="11"/>
  <c r="X492" i="11"/>
  <c r="AC491" i="11"/>
  <c r="AB491" i="11"/>
  <c r="AA491" i="11"/>
  <c r="Z491" i="11"/>
  <c r="X491" i="11"/>
  <c r="AC490" i="11"/>
  <c r="AB490" i="11"/>
  <c r="AA490" i="11"/>
  <c r="Z490" i="11"/>
  <c r="X490" i="11"/>
  <c r="AC482" i="11"/>
  <c r="AB482" i="11"/>
  <c r="AA482" i="11"/>
  <c r="Z482" i="11"/>
  <c r="X482" i="11"/>
  <c r="AC481" i="11"/>
  <c r="AB481" i="11"/>
  <c r="AA481" i="11"/>
  <c r="Z481" i="11"/>
  <c r="X481" i="11"/>
  <c r="AC480" i="11"/>
  <c r="AB480" i="11"/>
  <c r="AA480" i="11"/>
  <c r="Z480" i="11"/>
  <c r="X480" i="11"/>
  <c r="AC479" i="11"/>
  <c r="AB479" i="11"/>
  <c r="AA479" i="11"/>
  <c r="Z479" i="11"/>
  <c r="X479" i="11"/>
  <c r="AC478" i="11"/>
  <c r="AB478" i="11"/>
  <c r="AA478" i="11"/>
  <c r="Z478" i="11"/>
  <c r="X478" i="11"/>
  <c r="AC477" i="11"/>
  <c r="AB477" i="11"/>
  <c r="AA477" i="11"/>
  <c r="Z477" i="11"/>
  <c r="X477" i="11"/>
  <c r="AC475" i="11"/>
  <c r="AB475" i="11"/>
  <c r="AA475" i="11"/>
  <c r="Z475" i="11"/>
  <c r="X475" i="11"/>
  <c r="AC474" i="11"/>
  <c r="AB474" i="11"/>
  <c r="AA474" i="11"/>
  <c r="Z474" i="11"/>
  <c r="X474" i="11"/>
  <c r="AC473" i="11"/>
  <c r="AB473" i="11"/>
  <c r="AA473" i="11"/>
  <c r="Z473" i="11"/>
  <c r="X473" i="11"/>
  <c r="AC455" i="11"/>
  <c r="AB455" i="11"/>
  <c r="AA455" i="11"/>
  <c r="Z455" i="11"/>
  <c r="X455" i="11"/>
  <c r="AC454" i="11"/>
  <c r="AB454" i="11"/>
  <c r="AA454" i="11"/>
  <c r="Z454" i="11"/>
  <c r="X454" i="11"/>
  <c r="AC453" i="11"/>
  <c r="AB453" i="11"/>
  <c r="AA453" i="11"/>
  <c r="Z453" i="11"/>
  <c r="X453" i="11"/>
  <c r="AC452" i="11"/>
  <c r="AB452" i="11"/>
  <c r="AA452" i="11"/>
  <c r="Z452" i="11"/>
  <c r="X452" i="11"/>
  <c r="AC451" i="11"/>
  <c r="AB451" i="11"/>
  <c r="AA451" i="11"/>
  <c r="Z451" i="11"/>
  <c r="X451" i="11"/>
  <c r="AC450" i="11"/>
  <c r="AB450" i="11"/>
  <c r="AA450" i="11"/>
  <c r="Z450" i="11"/>
  <c r="X450" i="11"/>
  <c r="AC449" i="11"/>
  <c r="AB449" i="11"/>
  <c r="AA449" i="11"/>
  <c r="Z449" i="11"/>
  <c r="X449" i="11"/>
  <c r="AC448" i="11"/>
  <c r="AB448" i="11"/>
  <c r="AA448" i="11"/>
  <c r="Z448" i="11"/>
  <c r="X448" i="11"/>
  <c r="AC447" i="11"/>
  <c r="AB447" i="11"/>
  <c r="AA447" i="11"/>
  <c r="Z447" i="11"/>
  <c r="X447" i="11"/>
  <c r="AC446" i="11"/>
  <c r="AB446" i="11"/>
  <c r="AA446" i="11"/>
  <c r="Z446" i="11"/>
  <c r="X446" i="11"/>
  <c r="AC445" i="11"/>
  <c r="AB445" i="11"/>
  <c r="AA445" i="11"/>
  <c r="Z445" i="11"/>
  <c r="X445" i="11"/>
  <c r="AC444" i="11"/>
  <c r="AB444" i="11"/>
  <c r="AA444" i="11"/>
  <c r="Z444" i="11"/>
  <c r="X444" i="11"/>
  <c r="AC443" i="11"/>
  <c r="AB443" i="11"/>
  <c r="AA443" i="11"/>
  <c r="Z443" i="11"/>
  <c r="X443" i="11"/>
  <c r="AC442" i="11"/>
  <c r="AB442" i="11"/>
  <c r="AA442" i="11"/>
  <c r="Z442" i="11"/>
  <c r="X442" i="11"/>
  <c r="AC441" i="11"/>
  <c r="AB441" i="11"/>
  <c r="AA441" i="11"/>
  <c r="Z441" i="11"/>
  <c r="X441" i="11"/>
  <c r="AC440" i="11"/>
  <c r="AB440" i="11"/>
  <c r="AA440" i="11"/>
  <c r="Z440" i="11"/>
  <c r="X440" i="11"/>
  <c r="AC439" i="11"/>
  <c r="AB439" i="11"/>
  <c r="AA439" i="11"/>
  <c r="Z439" i="11"/>
  <c r="X439" i="11"/>
  <c r="AC438" i="11"/>
  <c r="AB438" i="11"/>
  <c r="AA438" i="11"/>
  <c r="Z438" i="11"/>
  <c r="X438" i="11"/>
  <c r="AC437" i="11"/>
  <c r="AB437" i="11"/>
  <c r="AA437" i="11"/>
  <c r="Z437" i="11"/>
  <c r="X437" i="11"/>
  <c r="AC436" i="11"/>
  <c r="AB436" i="11"/>
  <c r="AA436" i="11"/>
  <c r="Z436" i="11"/>
  <c r="X436" i="11"/>
  <c r="AC435" i="11"/>
  <c r="AB435" i="11"/>
  <c r="AA435" i="11"/>
  <c r="Z435" i="11"/>
  <c r="X435" i="11"/>
  <c r="AC434" i="11"/>
  <c r="AB434" i="11"/>
  <c r="AA434" i="11"/>
  <c r="Z434" i="11"/>
  <c r="X434" i="11"/>
  <c r="AC433" i="11"/>
  <c r="AB433" i="11"/>
  <c r="AA433" i="11"/>
  <c r="Z433" i="11"/>
  <c r="X433" i="11"/>
  <c r="AC432" i="11"/>
  <c r="AB432" i="11"/>
  <c r="AA432" i="11"/>
  <c r="Z432" i="11"/>
  <c r="X432" i="11"/>
  <c r="AC431" i="11"/>
  <c r="AB431" i="11"/>
  <c r="AA431" i="11"/>
  <c r="Z431" i="11"/>
  <c r="X431" i="11"/>
  <c r="AC430" i="11"/>
  <c r="AB430" i="11"/>
  <c r="AA430" i="11"/>
  <c r="Z430" i="11"/>
  <c r="X430" i="11"/>
  <c r="AC429" i="11"/>
  <c r="AB429" i="11"/>
  <c r="AA429" i="11"/>
  <c r="Z429" i="11"/>
  <c r="X429" i="11"/>
  <c r="AC428" i="11"/>
  <c r="AB428" i="11"/>
  <c r="AA428" i="11"/>
  <c r="Z428" i="11"/>
  <c r="X428" i="11"/>
  <c r="AC427" i="11"/>
  <c r="AB427" i="11"/>
  <c r="AA427" i="11"/>
  <c r="Z427" i="11"/>
  <c r="X427" i="11"/>
  <c r="AC426" i="11"/>
  <c r="AB426" i="11"/>
  <c r="AA426" i="11"/>
  <c r="Z426" i="11"/>
  <c r="X426" i="11"/>
  <c r="AC423" i="11"/>
  <c r="AB423" i="11"/>
  <c r="AA423" i="11"/>
  <c r="Z423" i="11"/>
  <c r="X423" i="11"/>
  <c r="AC422" i="11"/>
  <c r="AB422" i="11"/>
  <c r="AA422" i="11"/>
  <c r="Z422" i="11"/>
  <c r="X422" i="11"/>
  <c r="AC421" i="11"/>
  <c r="AB421" i="11"/>
  <c r="AA421" i="11"/>
  <c r="Z421" i="11"/>
  <c r="X421" i="11"/>
  <c r="AC420" i="11"/>
  <c r="AB420" i="11"/>
  <c r="AA420" i="11"/>
  <c r="Z420" i="11"/>
  <c r="X420" i="11"/>
  <c r="AC419" i="11"/>
  <c r="AB419" i="11"/>
  <c r="AA419" i="11"/>
  <c r="Z419" i="11"/>
  <c r="X419" i="11"/>
  <c r="AC364" i="11"/>
  <c r="AC363" i="11" s="1"/>
  <c r="AB364" i="11"/>
  <c r="AB363" i="11" s="1"/>
  <c r="AA364" i="11"/>
  <c r="AA363" i="11" s="1"/>
  <c r="Z364" i="11"/>
  <c r="Z363" i="11" s="1"/>
  <c r="X364" i="11"/>
  <c r="X363" i="11" s="1"/>
  <c r="AC362" i="11"/>
  <c r="AB362" i="11"/>
  <c r="AA362" i="11"/>
  <c r="Z362" i="11"/>
  <c r="X362" i="11"/>
  <c r="AC361" i="11"/>
  <c r="AB361" i="11"/>
  <c r="AA361" i="11"/>
  <c r="Z361" i="11"/>
  <c r="X361" i="11"/>
  <c r="AC360" i="11"/>
  <c r="AB360" i="11"/>
  <c r="AA360" i="11"/>
  <c r="Z360" i="11"/>
  <c r="X360" i="11"/>
  <c r="AC359" i="11"/>
  <c r="AB359" i="11"/>
  <c r="AA359" i="11"/>
  <c r="Z359" i="11"/>
  <c r="X359" i="11"/>
  <c r="AC351" i="11"/>
  <c r="AB351" i="11"/>
  <c r="AA351" i="11"/>
  <c r="Z351" i="11"/>
  <c r="X351" i="11"/>
  <c r="AC350" i="11"/>
  <c r="AB350" i="11"/>
  <c r="AA350" i="11"/>
  <c r="Z350" i="11"/>
  <c r="X350" i="11"/>
  <c r="AC349" i="11"/>
  <c r="AB349" i="11"/>
  <c r="AA349" i="11"/>
  <c r="Z349" i="11"/>
  <c r="X349" i="11"/>
  <c r="AC348" i="11"/>
  <c r="AB348" i="11"/>
  <c r="AA348" i="11"/>
  <c r="Z348" i="11"/>
  <c r="X348" i="11"/>
  <c r="AC347" i="11"/>
  <c r="AB347" i="11"/>
  <c r="AA347" i="11"/>
  <c r="Z347" i="11"/>
  <c r="X347" i="11"/>
  <c r="AC346" i="11"/>
  <c r="AB346" i="11"/>
  <c r="AA346" i="11"/>
  <c r="Z346" i="11"/>
  <c r="X346" i="11"/>
  <c r="AC345" i="11"/>
  <c r="AB345" i="11"/>
  <c r="AA345" i="11"/>
  <c r="Z345" i="11"/>
  <c r="X345" i="11"/>
  <c r="AC344" i="11"/>
  <c r="AB344" i="11"/>
  <c r="AA344" i="11"/>
  <c r="Z344" i="11"/>
  <c r="X344" i="11"/>
  <c r="AC343" i="11"/>
  <c r="AB343" i="11"/>
  <c r="AA343" i="11"/>
  <c r="Z343" i="11"/>
  <c r="X343" i="11"/>
  <c r="AC342" i="11"/>
  <c r="AB342" i="11"/>
  <c r="AA342" i="11"/>
  <c r="Z342" i="11"/>
  <c r="X342" i="11"/>
  <c r="AC341" i="11"/>
  <c r="AB341" i="11"/>
  <c r="AA341" i="11"/>
  <c r="Z341" i="11"/>
  <c r="X341" i="11"/>
  <c r="AC340" i="11"/>
  <c r="AB340" i="11"/>
  <c r="AA340" i="11"/>
  <c r="Z340" i="11"/>
  <c r="X340" i="11"/>
  <c r="AC339" i="11"/>
  <c r="AB339" i="11"/>
  <c r="AA339" i="11"/>
  <c r="Z339" i="11"/>
  <c r="X339" i="11"/>
  <c r="AC337" i="11"/>
  <c r="AB337" i="11"/>
  <c r="AA337" i="11"/>
  <c r="Z337" i="11"/>
  <c r="X337" i="11"/>
  <c r="AC241" i="11"/>
  <c r="AB241" i="11"/>
  <c r="AA241" i="11"/>
  <c r="Z241" i="11"/>
  <c r="X241" i="11"/>
  <c r="AC239" i="11"/>
  <c r="AB239" i="11"/>
  <c r="AA239" i="11"/>
  <c r="Z239" i="11"/>
  <c r="X239" i="11"/>
  <c r="AC238" i="11"/>
  <c r="AB238" i="11"/>
  <c r="AA238" i="11"/>
  <c r="Z238" i="11"/>
  <c r="X238" i="11"/>
  <c r="AC237" i="11"/>
  <c r="AB237" i="11"/>
  <c r="AA237" i="11"/>
  <c r="Z237" i="11"/>
  <c r="X237" i="11"/>
  <c r="AC236" i="11"/>
  <c r="AB236" i="11"/>
  <c r="AA236" i="11"/>
  <c r="Z236" i="11"/>
  <c r="X236" i="11"/>
  <c r="AC235" i="11"/>
  <c r="AB235" i="11"/>
  <c r="AA235" i="11"/>
  <c r="Z235" i="11"/>
  <c r="X235" i="11"/>
  <c r="AC234" i="11"/>
  <c r="AB234" i="11"/>
  <c r="AA234" i="11"/>
  <c r="Z234" i="11"/>
  <c r="X234" i="11"/>
  <c r="AC233" i="11"/>
  <c r="AB233" i="11"/>
  <c r="AA233" i="11"/>
  <c r="Z233" i="11"/>
  <c r="X233" i="11"/>
  <c r="AC232" i="11"/>
  <c r="AB232" i="11"/>
  <c r="AA232" i="11"/>
  <c r="Z232" i="11"/>
  <c r="X232" i="11"/>
  <c r="AC231" i="11"/>
  <c r="AB231" i="11"/>
  <c r="AA231" i="11"/>
  <c r="Z231" i="11"/>
  <c r="X231" i="11"/>
  <c r="AC230" i="11"/>
  <c r="AB230" i="11"/>
  <c r="AA230" i="11"/>
  <c r="Z230" i="11"/>
  <c r="X230" i="11"/>
  <c r="AC229" i="11"/>
  <c r="AB229" i="11"/>
  <c r="AA229" i="11"/>
  <c r="Z229" i="11"/>
  <c r="X229" i="11"/>
  <c r="AC228" i="11"/>
  <c r="AB228" i="11"/>
  <c r="AA228" i="11"/>
  <c r="Z228" i="11"/>
  <c r="X228" i="11"/>
  <c r="AC227" i="11"/>
  <c r="AB227" i="11"/>
  <c r="AA227" i="11"/>
  <c r="Z227" i="11"/>
  <c r="X227" i="11"/>
  <c r="AC226" i="11"/>
  <c r="AB226" i="11"/>
  <c r="AA226" i="11"/>
  <c r="Z226" i="11"/>
  <c r="X226" i="11"/>
  <c r="AC225" i="11"/>
  <c r="AB225" i="11"/>
  <c r="AA225" i="11"/>
  <c r="Z225" i="11"/>
  <c r="X225" i="11"/>
  <c r="AC224" i="11"/>
  <c r="AB224" i="11"/>
  <c r="AA224" i="11"/>
  <c r="Z224" i="11"/>
  <c r="X224" i="11"/>
  <c r="AC223" i="11"/>
  <c r="AB223" i="11"/>
  <c r="AA223" i="11"/>
  <c r="Z223" i="11"/>
  <c r="X223" i="11"/>
  <c r="AC222" i="11"/>
  <c r="AB222" i="11"/>
  <c r="AA222" i="11"/>
  <c r="Z222" i="11"/>
  <c r="X222" i="11"/>
  <c r="AC221" i="11"/>
  <c r="AB221" i="11"/>
  <c r="AA221" i="11"/>
  <c r="Z221" i="11"/>
  <c r="X221" i="11"/>
  <c r="AC220" i="11"/>
  <c r="AB220" i="11"/>
  <c r="AA220" i="11"/>
  <c r="Z220" i="11"/>
  <c r="X220" i="11"/>
  <c r="AC219" i="11"/>
  <c r="AB219" i="11"/>
  <c r="AA219" i="11"/>
  <c r="Z219" i="11"/>
  <c r="X219" i="11"/>
  <c r="AC218" i="11"/>
  <c r="AB218" i="11"/>
  <c r="AA218" i="11"/>
  <c r="Z218" i="11"/>
  <c r="X218" i="11"/>
  <c r="AC217" i="11"/>
  <c r="AB217" i="11"/>
  <c r="AA217" i="11"/>
  <c r="Z217" i="11"/>
  <c r="X217" i="11"/>
  <c r="AC216" i="11"/>
  <c r="AB216" i="11"/>
  <c r="AA216" i="11"/>
  <c r="Z216" i="11"/>
  <c r="X216" i="11"/>
  <c r="AC215" i="11"/>
  <c r="AB215" i="11"/>
  <c r="AA215" i="11"/>
  <c r="Z215" i="11"/>
  <c r="X215" i="11"/>
  <c r="AC214" i="11"/>
  <c r="AB214" i="11"/>
  <c r="AA214" i="11"/>
  <c r="Z214" i="11"/>
  <c r="X214" i="11"/>
  <c r="AC168" i="11"/>
  <c r="AB168" i="11"/>
  <c r="AA168" i="11"/>
  <c r="Z168" i="11"/>
  <c r="X168" i="11"/>
  <c r="AC167" i="11"/>
  <c r="AB167" i="11"/>
  <c r="AA167" i="11"/>
  <c r="Z167" i="11"/>
  <c r="X167" i="11"/>
  <c r="AC166" i="11"/>
  <c r="AB166" i="11"/>
  <c r="AA166" i="11"/>
  <c r="Z166" i="11"/>
  <c r="X166" i="11"/>
  <c r="AC165" i="11"/>
  <c r="AB165" i="11"/>
  <c r="AA165" i="11"/>
  <c r="Z165" i="11"/>
  <c r="X165" i="11"/>
  <c r="AC164" i="11"/>
  <c r="AB164" i="11"/>
  <c r="AA164" i="11"/>
  <c r="Z164" i="11"/>
  <c r="X164" i="11"/>
  <c r="AC160" i="11"/>
  <c r="AB160" i="11"/>
  <c r="AA160" i="11"/>
  <c r="Z160" i="11"/>
  <c r="X160" i="11"/>
  <c r="AC159" i="11"/>
  <c r="AB159" i="11"/>
  <c r="AA159" i="11"/>
  <c r="Z159" i="11"/>
  <c r="X159" i="11"/>
  <c r="AC158" i="11"/>
  <c r="AB158" i="11"/>
  <c r="AA158" i="11"/>
  <c r="Z158" i="11"/>
  <c r="X158" i="11"/>
  <c r="AC157" i="11"/>
  <c r="AB157" i="11"/>
  <c r="AA157" i="11"/>
  <c r="Z157" i="11"/>
  <c r="X157" i="11"/>
  <c r="AC156" i="11"/>
  <c r="AB156" i="11"/>
  <c r="AA156" i="11"/>
  <c r="Z156" i="11"/>
  <c r="X156" i="11"/>
  <c r="AC155" i="11"/>
  <c r="AB155" i="11"/>
  <c r="AA155" i="11"/>
  <c r="Z155" i="11"/>
  <c r="X155" i="11"/>
  <c r="AC154" i="11"/>
  <c r="AB154" i="11"/>
  <c r="AA154" i="11"/>
  <c r="Z154" i="11"/>
  <c r="X154" i="11"/>
  <c r="AC153" i="11"/>
  <c r="AB153" i="11"/>
  <c r="AA153" i="11"/>
  <c r="Z153" i="11"/>
  <c r="X153" i="11"/>
  <c r="AC152" i="11"/>
  <c r="AB152" i="11"/>
  <c r="AA152" i="11"/>
  <c r="Z152" i="11"/>
  <c r="X152" i="11"/>
  <c r="AC151" i="11"/>
  <c r="AB151" i="11"/>
  <c r="AA151" i="11"/>
  <c r="Z151" i="11"/>
  <c r="X151" i="11"/>
  <c r="AC150" i="11"/>
  <c r="AB150" i="11"/>
  <c r="AA150" i="11"/>
  <c r="Z150" i="11"/>
  <c r="X150" i="11"/>
  <c r="AC149" i="11"/>
  <c r="AB149" i="11"/>
  <c r="AA149" i="11"/>
  <c r="Z149" i="11"/>
  <c r="X149" i="11"/>
  <c r="AC148" i="11"/>
  <c r="AB148" i="11"/>
  <c r="AA148" i="11"/>
  <c r="Z148" i="11"/>
  <c r="X148" i="11"/>
  <c r="AC147" i="11"/>
  <c r="AB147" i="11"/>
  <c r="AA147" i="11"/>
  <c r="Z147" i="11"/>
  <c r="X147" i="11"/>
  <c r="AC146" i="11"/>
  <c r="AB146" i="11"/>
  <c r="AA146" i="11"/>
  <c r="Z146" i="11"/>
  <c r="X146" i="11"/>
  <c r="AC145" i="11"/>
  <c r="AB145" i="11"/>
  <c r="AA145" i="11"/>
  <c r="Z145" i="11"/>
  <c r="X145" i="11"/>
  <c r="AC144" i="11"/>
  <c r="AB144" i="11"/>
  <c r="AA144" i="11"/>
  <c r="Z144" i="11"/>
  <c r="X144" i="11"/>
  <c r="AC143" i="11"/>
  <c r="AB143" i="11"/>
  <c r="AA143" i="11"/>
  <c r="Z143" i="11"/>
  <c r="X143" i="11"/>
  <c r="AC142" i="11"/>
  <c r="AB142" i="11"/>
  <c r="AA142" i="11"/>
  <c r="Z142" i="11"/>
  <c r="X142" i="11"/>
  <c r="AC141" i="11"/>
  <c r="AB141" i="11"/>
  <c r="AA141" i="11"/>
  <c r="Z141" i="11"/>
  <c r="X141" i="11"/>
  <c r="AC140" i="11"/>
  <c r="AB140" i="11"/>
  <c r="AA140" i="11"/>
  <c r="Z140" i="11"/>
  <c r="X140" i="11"/>
  <c r="AC139" i="11"/>
  <c r="AB139" i="11"/>
  <c r="AA139" i="11"/>
  <c r="Z139" i="11"/>
  <c r="X139" i="11"/>
  <c r="AC137" i="11"/>
  <c r="AB137" i="11"/>
  <c r="AA137" i="11"/>
  <c r="Z137" i="11"/>
  <c r="X137" i="11"/>
  <c r="AC136" i="11"/>
  <c r="AB136" i="11"/>
  <c r="AA136" i="11"/>
  <c r="Z136" i="11"/>
  <c r="X136" i="11"/>
  <c r="AC135" i="11"/>
  <c r="AB135" i="11"/>
  <c r="AA135" i="11"/>
  <c r="Z135" i="11"/>
  <c r="X135" i="11"/>
  <c r="AC134" i="11"/>
  <c r="AB134" i="11"/>
  <c r="AA134" i="11"/>
  <c r="Z134" i="11"/>
  <c r="X134" i="11"/>
  <c r="AC133" i="11"/>
  <c r="AB133" i="11"/>
  <c r="AA133" i="11"/>
  <c r="Z133" i="11"/>
  <c r="X133" i="11"/>
  <c r="AC132" i="11"/>
  <c r="AB132" i="11"/>
  <c r="AA132" i="11"/>
  <c r="Z132" i="11"/>
  <c r="X132" i="11"/>
  <c r="AC131" i="11"/>
  <c r="AB131" i="11"/>
  <c r="AA131" i="11"/>
  <c r="Z131" i="11"/>
  <c r="X131" i="11"/>
  <c r="AC130" i="11"/>
  <c r="AB130" i="11"/>
  <c r="AA130" i="11"/>
  <c r="Z130" i="11"/>
  <c r="X130" i="11"/>
  <c r="AC129" i="11"/>
  <c r="AB129" i="11"/>
  <c r="AA129" i="11"/>
  <c r="Z129" i="11"/>
  <c r="X129" i="11"/>
  <c r="AC128" i="11"/>
  <c r="AB128" i="11"/>
  <c r="AA128" i="11"/>
  <c r="Z128" i="11"/>
  <c r="X128" i="11"/>
  <c r="AC127" i="11"/>
  <c r="AB127" i="11"/>
  <c r="AA127" i="11"/>
  <c r="Z127" i="11"/>
  <c r="X127" i="11"/>
  <c r="AC126" i="11"/>
  <c r="AB126" i="11"/>
  <c r="AA126" i="11"/>
  <c r="Z126" i="11"/>
  <c r="X126" i="11"/>
  <c r="AC125" i="11"/>
  <c r="AB125" i="11"/>
  <c r="AA125" i="11"/>
  <c r="Z125" i="11"/>
  <c r="X125" i="11"/>
  <c r="AC124" i="11"/>
  <c r="AB124" i="11"/>
  <c r="AA124" i="11"/>
  <c r="Z124" i="11"/>
  <c r="X124" i="11"/>
  <c r="AC123" i="11"/>
  <c r="AB123" i="11"/>
  <c r="AA123" i="11"/>
  <c r="Z123" i="11"/>
  <c r="X123" i="11"/>
  <c r="AC122" i="11"/>
  <c r="AB122" i="11"/>
  <c r="AA122" i="11"/>
  <c r="Z122" i="11"/>
  <c r="X122" i="11"/>
  <c r="AC121" i="11"/>
  <c r="AB121" i="11"/>
  <c r="AA121" i="11"/>
  <c r="Z121" i="11"/>
  <c r="X121" i="11"/>
  <c r="AC120" i="11"/>
  <c r="AB120" i="11"/>
  <c r="AA120" i="11"/>
  <c r="Z120" i="11"/>
  <c r="X120" i="11"/>
  <c r="AC119" i="11"/>
  <c r="AB119" i="11"/>
  <c r="AA119" i="11"/>
  <c r="Z119" i="11"/>
  <c r="X119" i="11"/>
  <c r="AC118" i="11"/>
  <c r="AB118" i="11"/>
  <c r="AA118" i="11"/>
  <c r="Z118" i="11"/>
  <c r="X118" i="11"/>
  <c r="AC117" i="11"/>
  <c r="AB117" i="11"/>
  <c r="AA117" i="11"/>
  <c r="Z117" i="11"/>
  <c r="X117" i="11"/>
  <c r="AC116" i="11"/>
  <c r="AB116" i="11"/>
  <c r="AA116" i="11"/>
  <c r="Z116" i="11"/>
  <c r="X116" i="11"/>
  <c r="AC115" i="11"/>
  <c r="AB115" i="11"/>
  <c r="AA115" i="11"/>
  <c r="Z115" i="11"/>
  <c r="X115" i="11"/>
  <c r="AC114" i="11"/>
  <c r="AB114" i="11"/>
  <c r="AA114" i="11"/>
  <c r="Z114" i="11"/>
  <c r="X114" i="11"/>
  <c r="AC113" i="11"/>
  <c r="AB113" i="11"/>
  <c r="AA113" i="11"/>
  <c r="Z113" i="11"/>
  <c r="X113" i="11"/>
  <c r="AC112" i="11"/>
  <c r="AB112" i="11"/>
  <c r="AA112" i="11"/>
  <c r="Z112" i="11"/>
  <c r="X112" i="11"/>
  <c r="AC111" i="11"/>
  <c r="AB111" i="11"/>
  <c r="AA111" i="11"/>
  <c r="Z111" i="11"/>
  <c r="X111" i="11"/>
  <c r="AC110" i="11"/>
  <c r="AB110" i="11"/>
  <c r="AA110" i="11"/>
  <c r="Z110" i="11"/>
  <c r="X110" i="11"/>
  <c r="AC109" i="11"/>
  <c r="AB109" i="11"/>
  <c r="AA109" i="11"/>
  <c r="Z109" i="11"/>
  <c r="X109" i="11"/>
  <c r="AC108" i="11"/>
  <c r="AB108" i="11"/>
  <c r="AA108" i="11"/>
  <c r="Z108" i="11"/>
  <c r="X108" i="11"/>
  <c r="AC107" i="11"/>
  <c r="AB107" i="11"/>
  <c r="AA107" i="11"/>
  <c r="Z107" i="11"/>
  <c r="X107" i="11"/>
  <c r="AC106" i="11"/>
  <c r="AB106" i="11"/>
  <c r="AA106" i="11"/>
  <c r="Z106" i="11"/>
  <c r="X106" i="11"/>
  <c r="AC105" i="11"/>
  <c r="AB105" i="11"/>
  <c r="AA105" i="11"/>
  <c r="Z105" i="11"/>
  <c r="X105" i="11"/>
  <c r="AC104" i="11"/>
  <c r="AB104" i="11"/>
  <c r="AA104" i="11"/>
  <c r="Z104" i="11"/>
  <c r="X104" i="11"/>
  <c r="AC103" i="11"/>
  <c r="AB103" i="11"/>
  <c r="AA103" i="11"/>
  <c r="Z103" i="11"/>
  <c r="X103" i="11"/>
  <c r="AC102" i="11"/>
  <c r="AB102" i="11"/>
  <c r="AA102" i="11"/>
  <c r="Z102" i="11"/>
  <c r="X102" i="11"/>
  <c r="AC101" i="11"/>
  <c r="AB101" i="11"/>
  <c r="AA101" i="11"/>
  <c r="Z101" i="11"/>
  <c r="X101" i="11"/>
  <c r="AC100" i="11"/>
  <c r="AB100" i="11"/>
  <c r="AA100" i="11"/>
  <c r="Z100" i="11"/>
  <c r="X100" i="11"/>
  <c r="AC99" i="11"/>
  <c r="AB99" i="11"/>
  <c r="AA99" i="11"/>
  <c r="Z99" i="11"/>
  <c r="X99" i="11"/>
  <c r="AC98" i="11"/>
  <c r="AB98" i="11"/>
  <c r="AA98" i="11"/>
  <c r="Z98" i="11"/>
  <c r="X98" i="11"/>
  <c r="AC73" i="11"/>
  <c r="AB73" i="11"/>
  <c r="AA73" i="11"/>
  <c r="Z73" i="11"/>
  <c r="X73" i="11"/>
  <c r="AC72" i="11"/>
  <c r="AB72" i="11"/>
  <c r="AA72" i="11"/>
  <c r="Z72" i="11"/>
  <c r="X72" i="11"/>
  <c r="AC71" i="11"/>
  <c r="AB71" i="11"/>
  <c r="AA71" i="11"/>
  <c r="Z71" i="11"/>
  <c r="X71" i="11"/>
  <c r="AC70" i="11"/>
  <c r="AB70" i="11"/>
  <c r="AA70" i="11"/>
  <c r="Z70" i="11"/>
  <c r="X70" i="11"/>
  <c r="AC69" i="11"/>
  <c r="AB69" i="11"/>
  <c r="AA69" i="11"/>
  <c r="Z69" i="11"/>
  <c r="X69" i="11"/>
  <c r="AC68" i="11"/>
  <c r="AB68" i="11"/>
  <c r="AA68" i="11"/>
  <c r="Z68" i="11"/>
  <c r="X68" i="11"/>
  <c r="AC67" i="11"/>
  <c r="AB67" i="11"/>
  <c r="AA67" i="11"/>
  <c r="Z67" i="11"/>
  <c r="X67" i="11"/>
  <c r="AC66" i="11"/>
  <c r="AB66" i="11"/>
  <c r="AA66" i="11"/>
  <c r="Z66" i="11"/>
  <c r="X66" i="11"/>
  <c r="AC65" i="11"/>
  <c r="AB65" i="11"/>
  <c r="AA65" i="11"/>
  <c r="Z65" i="11"/>
  <c r="X65" i="11"/>
  <c r="AC64" i="11"/>
  <c r="AB64" i="11"/>
  <c r="AA64" i="11"/>
  <c r="Z64" i="11"/>
  <c r="X64" i="11"/>
  <c r="AC63" i="11"/>
  <c r="AB63" i="11"/>
  <c r="AA63" i="11"/>
  <c r="Z63" i="11"/>
  <c r="X63" i="11"/>
  <c r="AC62" i="11"/>
  <c r="AB62" i="11"/>
  <c r="AA62" i="11"/>
  <c r="Z62" i="11"/>
  <c r="X62" i="11"/>
  <c r="AC61" i="11"/>
  <c r="AB61" i="11"/>
  <c r="AA61" i="11"/>
  <c r="Z61" i="11"/>
  <c r="X61" i="11"/>
  <c r="AC60" i="11"/>
  <c r="AB60" i="11"/>
  <c r="AA60" i="11"/>
  <c r="Z60" i="11"/>
  <c r="X60" i="11"/>
  <c r="AC59" i="11"/>
  <c r="AB59" i="11"/>
  <c r="AA59" i="11"/>
  <c r="Z59" i="11"/>
  <c r="X59" i="11"/>
  <c r="AC58" i="11"/>
  <c r="AB58" i="11"/>
  <c r="AA58" i="11"/>
  <c r="Z58" i="11"/>
  <c r="X58" i="11"/>
  <c r="AC57" i="11"/>
  <c r="AB57" i="11"/>
  <c r="AA57" i="11"/>
  <c r="Z57" i="11"/>
  <c r="X57" i="11"/>
  <c r="AC56" i="11"/>
  <c r="AB56" i="11"/>
  <c r="AA56" i="11"/>
  <c r="Z56" i="11"/>
  <c r="X56" i="11"/>
  <c r="AC55" i="11"/>
  <c r="AB55" i="11"/>
  <c r="AA55" i="11"/>
  <c r="Z55" i="11"/>
  <c r="X55" i="11"/>
  <c r="AC54" i="11"/>
  <c r="AB54" i="11"/>
  <c r="AA54" i="11"/>
  <c r="Z54" i="11"/>
  <c r="X54" i="11"/>
  <c r="AC53" i="11"/>
  <c r="AB53" i="11"/>
  <c r="AA53" i="11"/>
  <c r="Z53" i="11"/>
  <c r="X53" i="11"/>
  <c r="AC52" i="11"/>
  <c r="AB52" i="11"/>
  <c r="AA52" i="11"/>
  <c r="Z52" i="11"/>
  <c r="X52" i="11"/>
  <c r="AC51" i="11"/>
  <c r="AB51" i="11"/>
  <c r="AA51" i="11"/>
  <c r="Z51" i="11"/>
  <c r="X51" i="11"/>
  <c r="AC50" i="11"/>
  <c r="AB50" i="11"/>
  <c r="AA50" i="11"/>
  <c r="Z50" i="11"/>
  <c r="X50" i="11"/>
  <c r="AC49" i="11"/>
  <c r="AB49" i="11"/>
  <c r="AA49" i="11"/>
  <c r="Z49" i="11"/>
  <c r="X49" i="11"/>
  <c r="AC48" i="11"/>
  <c r="AB48" i="11"/>
  <c r="AA48" i="11"/>
  <c r="Z48" i="11"/>
  <c r="X48" i="11"/>
  <c r="AC47" i="11"/>
  <c r="AB47" i="11"/>
  <c r="AA47" i="11"/>
  <c r="Z47" i="11"/>
  <c r="X47" i="11"/>
  <c r="AC46" i="11"/>
  <c r="AB46" i="11"/>
  <c r="AA46" i="11"/>
  <c r="Z46" i="11"/>
  <c r="X46" i="11"/>
  <c r="AC45" i="11"/>
  <c r="AB45" i="11"/>
  <c r="AA45" i="11"/>
  <c r="Z45" i="11"/>
  <c r="X45" i="11"/>
  <c r="AC38" i="11"/>
  <c r="AB38" i="11"/>
  <c r="AA38" i="11"/>
  <c r="Z38" i="11"/>
  <c r="X38" i="11"/>
  <c r="AC37" i="11"/>
  <c r="AB37" i="11"/>
  <c r="AA37" i="11"/>
  <c r="Z37" i="11"/>
  <c r="X37" i="11"/>
  <c r="AC35" i="11"/>
  <c r="AB35" i="11"/>
  <c r="AA35" i="11"/>
  <c r="Z35" i="11"/>
  <c r="X35" i="11"/>
  <c r="AC33" i="11"/>
  <c r="AB33" i="11"/>
  <c r="AA33" i="11"/>
  <c r="Z33" i="11"/>
  <c r="X33" i="11"/>
  <c r="AC32" i="11"/>
  <c r="AB32" i="11"/>
  <c r="AA32" i="11"/>
  <c r="Z32" i="11"/>
  <c r="X32" i="11"/>
  <c r="AC30" i="11"/>
  <c r="AB30" i="11"/>
  <c r="AA30" i="11"/>
  <c r="Z30" i="11"/>
  <c r="X30" i="11"/>
  <c r="AC29" i="11"/>
  <c r="AB29" i="11"/>
  <c r="AA29" i="11"/>
  <c r="Z29" i="11"/>
  <c r="X29" i="11"/>
  <c r="AC28" i="11"/>
  <c r="AB28" i="11"/>
  <c r="AA28" i="11"/>
  <c r="Z28" i="11"/>
  <c r="X28" i="11"/>
  <c r="AC27" i="11"/>
  <c r="AB27" i="11"/>
  <c r="AA27" i="11"/>
  <c r="Z27" i="11"/>
  <c r="X27" i="11"/>
  <c r="AC26" i="11"/>
  <c r="AB26" i="11"/>
  <c r="AA26" i="11"/>
  <c r="Z26" i="11"/>
  <c r="X26" i="11"/>
  <c r="AC25" i="11"/>
  <c r="AB25" i="11"/>
  <c r="AA25" i="11"/>
  <c r="Z25" i="11"/>
  <c r="X25" i="11"/>
  <c r="AC24" i="11"/>
  <c r="AB24" i="11"/>
  <c r="AA24" i="11"/>
  <c r="Z24" i="11"/>
  <c r="X24" i="11"/>
  <c r="AC23" i="11"/>
  <c r="AB23" i="11"/>
  <c r="AA23" i="11"/>
  <c r="Z23" i="11"/>
  <c r="X23" i="11"/>
  <c r="AC22" i="11"/>
  <c r="AB22" i="11"/>
  <c r="AA22" i="11"/>
  <c r="Z22" i="11"/>
  <c r="X22" i="11"/>
  <c r="AC21" i="11"/>
  <c r="AB21" i="11"/>
  <c r="AA21" i="11"/>
  <c r="Z21" i="11"/>
  <c r="X21" i="11"/>
  <c r="AC20" i="11"/>
  <c r="AB20" i="11"/>
  <c r="AA20" i="11"/>
  <c r="Z20" i="11"/>
  <c r="X20" i="11"/>
  <c r="AC19" i="11"/>
  <c r="AB19" i="11"/>
  <c r="AA19" i="11"/>
  <c r="Z19" i="11"/>
  <c r="X19" i="11"/>
  <c r="AC18" i="11"/>
  <c r="AB18" i="11"/>
  <c r="AA18" i="11"/>
  <c r="Z18" i="11"/>
  <c r="X18" i="11"/>
  <c r="AC17" i="11"/>
  <c r="AB17" i="11"/>
  <c r="AA17" i="11"/>
  <c r="Z17" i="11"/>
  <c r="X17" i="11"/>
  <c r="AC16" i="11"/>
  <c r="AB16" i="11"/>
  <c r="AA16" i="11"/>
  <c r="Z16" i="11"/>
  <c r="X16" i="11"/>
  <c r="AC15" i="11"/>
  <c r="AB15" i="11"/>
  <c r="AA15" i="11"/>
  <c r="Z15" i="11"/>
  <c r="X15" i="11"/>
  <c r="AC14" i="11"/>
  <c r="AB14" i="11"/>
  <c r="AA14" i="11"/>
  <c r="Z14" i="11"/>
  <c r="X14" i="11"/>
  <c r="AC13" i="11"/>
  <c r="AB13" i="11"/>
  <c r="AA13" i="11"/>
  <c r="Z13" i="11"/>
  <c r="X13" i="11"/>
  <c r="AC12" i="11"/>
  <c r="AB12" i="11"/>
  <c r="AA12" i="11"/>
  <c r="Z12" i="11"/>
  <c r="X12" i="11"/>
  <c r="AC11" i="11"/>
  <c r="AB11" i="11"/>
  <c r="AA11" i="11"/>
  <c r="Z11" i="11"/>
  <c r="X11" i="11"/>
  <c r="AC10" i="11"/>
  <c r="AB10" i="11"/>
  <c r="AA10" i="11"/>
  <c r="Z10" i="11"/>
  <c r="X10" i="11"/>
  <c r="AC9" i="11"/>
  <c r="AB9" i="11"/>
  <c r="AA9" i="11"/>
  <c r="Z9" i="11"/>
  <c r="X9" i="11"/>
  <c r="AB407" i="11" l="1"/>
  <c r="Y407" i="11"/>
  <c r="X407" i="11"/>
  <c r="Z407" i="11"/>
  <c r="AA407" i="11"/>
  <c r="AC407" i="11"/>
  <c r="Y424" i="11"/>
  <c r="AC424" i="11"/>
  <c r="X424" i="11"/>
  <c r="Z424" i="11"/>
  <c r="AA424" i="11"/>
  <c r="AC472" i="11"/>
  <c r="Y472" i="11"/>
  <c r="AB424" i="11"/>
  <c r="AA472" i="11"/>
  <c r="X472" i="11"/>
  <c r="Z472" i="11"/>
  <c r="AB472" i="11"/>
  <c r="X476" i="11"/>
  <c r="Y240" i="11"/>
  <c r="Y476" i="11"/>
  <c r="Z240" i="11"/>
  <c r="Z476" i="11"/>
  <c r="AA240" i="11"/>
  <c r="AA476" i="11"/>
  <c r="AB240" i="11"/>
  <c r="AB476" i="11"/>
  <c r="X240" i="11"/>
  <c r="AC240" i="11"/>
  <c r="AC476" i="11"/>
  <c r="AD41" i="11"/>
  <c r="AD40" i="11"/>
  <c r="AD162" i="11"/>
  <c r="AD74" i="11"/>
  <c r="AD161" i="11"/>
  <c r="AD163" i="11"/>
  <c r="Y6" i="11"/>
  <c r="Y5" i="11" s="1"/>
  <c r="X6" i="11"/>
  <c r="X5" i="11" s="1"/>
  <c r="AA6" i="11"/>
  <c r="AA5" i="11" s="1"/>
  <c r="AB6" i="11"/>
  <c r="AB5" i="11" s="1"/>
  <c r="AC6" i="11"/>
  <c r="AC5" i="11" s="1"/>
  <c r="Z6" i="11"/>
  <c r="Z5" i="11" s="1"/>
  <c r="AD455" i="11"/>
  <c r="AC169" i="11"/>
  <c r="X31" i="11"/>
  <c r="X169" i="11"/>
  <c r="Z169" i="11"/>
  <c r="AA169" i="11"/>
  <c r="Z31" i="11"/>
  <c r="AB169" i="11"/>
  <c r="Y169" i="11"/>
  <c r="AD528" i="11"/>
  <c r="AD260" i="11"/>
  <c r="AD304" i="11"/>
  <c r="AD496" i="11"/>
  <c r="AC31" i="11"/>
  <c r="AD448" i="11"/>
  <c r="AD445" i="11"/>
  <c r="AD218" i="11"/>
  <c r="AD434" i="11"/>
  <c r="AD343" i="11"/>
  <c r="AD351" i="11"/>
  <c r="AD439" i="11"/>
  <c r="AD98" i="11"/>
  <c r="AD421" i="11"/>
  <c r="AD422" i="11"/>
  <c r="AD431" i="11"/>
  <c r="X8" i="11"/>
  <c r="AA31" i="11"/>
  <c r="AD35" i="11"/>
  <c r="AD447" i="11"/>
  <c r="AD473" i="11"/>
  <c r="AD480" i="11"/>
  <c r="AD491" i="11"/>
  <c r="AD495" i="11"/>
  <c r="AD27" i="11"/>
  <c r="Z8" i="11"/>
  <c r="AD10" i="11"/>
  <c r="AD22" i="11"/>
  <c r="AD26" i="11"/>
  <c r="AB31" i="11"/>
  <c r="AD474" i="11"/>
  <c r="AD481" i="11"/>
  <c r="AA8" i="11"/>
  <c r="AD11" i="11"/>
  <c r="AC8" i="11"/>
  <c r="AD19" i="11"/>
  <c r="AD223" i="11"/>
  <c r="AD235" i="11"/>
  <c r="AD239" i="11"/>
  <c r="AD478" i="11"/>
  <c r="AD317" i="11"/>
  <c r="AD338" i="11"/>
  <c r="AD515" i="11"/>
  <c r="AD526" i="11"/>
  <c r="AD527" i="11"/>
  <c r="AB8" i="11"/>
  <c r="AD216" i="11"/>
  <c r="AD224" i="11"/>
  <c r="AD230" i="11"/>
  <c r="AD232" i="11"/>
  <c r="AD364" i="11"/>
  <c r="AD363" i="11" s="1"/>
  <c r="AD355" i="11"/>
  <c r="AD332" i="11"/>
  <c r="AD516" i="11"/>
  <c r="AD523" i="11"/>
  <c r="AD438" i="11"/>
  <c r="AD346" i="11"/>
  <c r="AD350" i="11"/>
  <c r="AD362" i="11"/>
  <c r="AD513" i="11"/>
  <c r="AD165" i="11"/>
  <c r="AD155" i="11"/>
  <c r="AD145" i="11"/>
  <c r="AD148" i="11"/>
  <c r="AD159" i="11"/>
  <c r="AD147" i="11"/>
  <c r="AD138" i="11"/>
  <c r="AD30" i="11"/>
  <c r="AD133" i="11"/>
  <c r="AD137" i="11"/>
  <c r="AD142" i="11"/>
  <c r="AD146" i="11"/>
  <c r="AD153" i="11"/>
  <c r="AD156" i="11"/>
  <c r="AD221" i="11"/>
  <c r="AD359" i="11"/>
  <c r="AD428" i="11"/>
  <c r="AD442" i="11"/>
  <c r="AD446" i="11"/>
  <c r="AD453" i="11"/>
  <c r="AD499" i="11"/>
  <c r="AD310" i="11"/>
  <c r="AD521" i="11"/>
  <c r="AD13" i="11"/>
  <c r="AD114" i="11"/>
  <c r="AD122" i="11"/>
  <c r="AD130" i="11"/>
  <c r="AD154" i="11"/>
  <c r="AD166" i="11"/>
  <c r="AD220" i="11"/>
  <c r="AD229" i="11"/>
  <c r="AD436" i="11"/>
  <c r="AD454" i="11"/>
  <c r="AD493" i="11"/>
  <c r="AD353" i="11"/>
  <c r="AD356" i="11"/>
  <c r="AD510" i="11"/>
  <c r="AD334" i="11"/>
  <c r="AD16" i="11"/>
  <c r="AD21" i="11"/>
  <c r="AD139" i="11"/>
  <c r="AD164" i="11"/>
  <c r="AD214" i="11"/>
  <c r="AD217" i="11"/>
  <c r="AD228" i="11"/>
  <c r="AD341" i="11"/>
  <c r="AD444" i="11"/>
  <c r="AD477" i="11"/>
  <c r="AD354" i="11"/>
  <c r="AD512" i="11"/>
  <c r="AD15" i="11"/>
  <c r="AD24" i="11"/>
  <c r="AD29" i="11"/>
  <c r="AD108" i="11"/>
  <c r="AD215" i="11"/>
  <c r="AD222" i="11"/>
  <c r="AD225" i="11"/>
  <c r="AD237" i="11"/>
  <c r="AD340" i="11"/>
  <c r="AD348" i="11"/>
  <c r="AD420" i="11"/>
  <c r="AD423" i="11"/>
  <c r="AD427" i="11"/>
  <c r="AD452" i="11"/>
  <c r="AD475" i="11"/>
  <c r="AD305" i="11"/>
  <c r="AD257" i="11"/>
  <c r="AD318" i="11"/>
  <c r="AD520" i="11"/>
  <c r="Y8" i="11"/>
  <c r="Y31" i="11"/>
  <c r="AD12" i="11"/>
  <c r="AD103" i="11"/>
  <c r="AD106" i="11"/>
  <c r="AD144" i="11"/>
  <c r="AD236" i="11"/>
  <c r="AD337" i="11"/>
  <c r="AD347" i="11"/>
  <c r="AD361" i="11"/>
  <c r="AD435" i="11"/>
  <c r="AD479" i="11"/>
  <c r="AD482" i="11"/>
  <c r="AD492" i="11"/>
  <c r="AD352" i="11"/>
  <c r="AD514" i="11"/>
  <c r="AD517" i="11"/>
  <c r="AD333" i="11"/>
  <c r="AD20" i="11"/>
  <c r="AD102" i="11"/>
  <c r="AD118" i="11"/>
  <c r="AD143" i="11"/>
  <c r="AD152" i="11"/>
  <c r="AD233" i="11"/>
  <c r="AD344" i="11"/>
  <c r="AD360" i="11"/>
  <c r="AD429" i="11"/>
  <c r="AD432" i="11"/>
  <c r="AD443" i="11"/>
  <c r="AD500" i="11"/>
  <c r="AD522" i="11"/>
  <c r="AD524" i="11"/>
  <c r="AD14" i="11"/>
  <c r="AD18" i="11"/>
  <c r="AD28" i="11"/>
  <c r="AD48" i="11"/>
  <c r="AD99" i="11"/>
  <c r="AD123" i="11"/>
  <c r="AD140" i="11"/>
  <c r="AD151" i="11"/>
  <c r="AD160" i="11"/>
  <c r="AD231" i="11"/>
  <c r="AD238" i="11"/>
  <c r="AD342" i="11"/>
  <c r="AD349" i="11"/>
  <c r="AD419" i="11"/>
  <c r="AD430" i="11"/>
  <c r="AD437" i="11"/>
  <c r="AD440" i="11"/>
  <c r="AD451" i="11"/>
  <c r="AD494" i="11"/>
  <c r="AD497" i="11"/>
  <c r="AD256" i="11"/>
  <c r="AD261" i="11"/>
  <c r="AD319" i="11"/>
  <c r="AD529" i="11"/>
  <c r="AD136" i="11"/>
  <c r="AD135" i="11"/>
  <c r="AD134" i="11"/>
  <c r="AD131" i="11"/>
  <c r="AD127" i="11"/>
  <c r="AD128" i="11"/>
  <c r="AD129" i="11"/>
  <c r="AD126" i="11"/>
  <c r="AD121" i="11"/>
  <c r="AD119" i="11"/>
  <c r="AD120" i="11"/>
  <c r="AD115" i="11"/>
  <c r="AD112" i="11"/>
  <c r="AD113" i="11"/>
  <c r="AD111" i="11"/>
  <c r="AD110" i="11"/>
  <c r="AD107" i="11"/>
  <c r="AD104" i="11"/>
  <c r="AD105" i="11"/>
  <c r="AD66" i="11"/>
  <c r="AD73" i="11"/>
  <c r="AD72" i="11"/>
  <c r="AD50" i="11"/>
  <c r="AD58" i="11"/>
  <c r="AD57" i="11"/>
  <c r="AD49" i="11"/>
  <c r="AD47" i="11"/>
  <c r="AD63" i="11"/>
  <c r="AD65" i="11"/>
  <c r="AD46" i="11"/>
  <c r="AD45" i="11"/>
  <c r="AD71" i="11"/>
  <c r="AD70" i="11"/>
  <c r="AD67" i="11"/>
  <c r="AD64" i="11"/>
  <c r="X34" i="11"/>
  <c r="AD62" i="11"/>
  <c r="AD59" i="11"/>
  <c r="AD55" i="11"/>
  <c r="AD56" i="11"/>
  <c r="Y34" i="11"/>
  <c r="Z34" i="11"/>
  <c r="AD54" i="11"/>
  <c r="AA34" i="11"/>
  <c r="AB34" i="11"/>
  <c r="AD53" i="11"/>
  <c r="AC34" i="11"/>
  <c r="AD51" i="11"/>
  <c r="AD116" i="11"/>
  <c r="AD61" i="11"/>
  <c r="AD124" i="11"/>
  <c r="AD150" i="11"/>
  <c r="AD450" i="11"/>
  <c r="AD518" i="11"/>
  <c r="AD69" i="11"/>
  <c r="AD132" i="11"/>
  <c r="AD158" i="11"/>
  <c r="AD234" i="11"/>
  <c r="AD345" i="11"/>
  <c r="AD433" i="11"/>
  <c r="AD490" i="11"/>
  <c r="AD313" i="11"/>
  <c r="AD525" i="11"/>
  <c r="AD226" i="11"/>
  <c r="AD52" i="11"/>
  <c r="AD101" i="11"/>
  <c r="AD141" i="11"/>
  <c r="AD168" i="11"/>
  <c r="AD241" i="11"/>
  <c r="AD441" i="11"/>
  <c r="AD498" i="11"/>
  <c r="AD358" i="11"/>
  <c r="AD60" i="11"/>
  <c r="AD109" i="11"/>
  <c r="AD149" i="11"/>
  <c r="AD219" i="11"/>
  <c r="AD449" i="11"/>
  <c r="AD68" i="11"/>
  <c r="AD117" i="11"/>
  <c r="AD157" i="11"/>
  <c r="AD227" i="11"/>
  <c r="AD312" i="11"/>
  <c r="AD511" i="11"/>
  <c r="AD100" i="11"/>
  <c r="AD125" i="11"/>
  <c r="AD167" i="11"/>
  <c r="AD339" i="11"/>
  <c r="AD426" i="11"/>
  <c r="AD357" i="11"/>
  <c r="AD519" i="11"/>
  <c r="AD23" i="11"/>
  <c r="AD17" i="11"/>
  <c r="AD25" i="11"/>
  <c r="AD38" i="11"/>
  <c r="AD37" i="11"/>
  <c r="AD33" i="11"/>
  <c r="AD32" i="11"/>
  <c r="AD9" i="11"/>
  <c r="AD407" i="11" l="1"/>
  <c r="AE407" i="11" s="1"/>
  <c r="AF407" i="11" s="1"/>
  <c r="AD424" i="11"/>
  <c r="AE424" i="11" s="1"/>
  <c r="AF424" i="11" s="1"/>
  <c r="AD472" i="11"/>
  <c r="AE472" i="11" s="1"/>
  <c r="AF472" i="11" s="1"/>
  <c r="AE363" i="11"/>
  <c r="AF363" i="11" s="1"/>
  <c r="AD476" i="11"/>
  <c r="AE476" i="11" s="1"/>
  <c r="AF476" i="11" s="1"/>
  <c r="AD240" i="11"/>
  <c r="AE240" i="11" s="1"/>
  <c r="AF240" i="11" s="1"/>
  <c r="AD6" i="11"/>
  <c r="AD5" i="11" s="1"/>
  <c r="AE5" i="11" s="1"/>
  <c r="AF5" i="11" s="1"/>
  <c r="AD169" i="11"/>
  <c r="AE169" i="11" s="1"/>
  <c r="AF169" i="11" s="1"/>
  <c r="AD31" i="11"/>
  <c r="AE31" i="11" s="1"/>
  <c r="AF31" i="11" s="1"/>
  <c r="AD8" i="11"/>
  <c r="AE8" i="11" s="1"/>
  <c r="AF8" i="11" s="1"/>
  <c r="AD34" i="11"/>
  <c r="AE34" i="11" s="1"/>
  <c r="AF34" i="11" s="1"/>
  <c r="W1" i="7" l="1"/>
  <c r="AP4" i="12" a="1"/>
  <c r="AP4" i="12" s="1"/>
  <c r="Z4" i="12"/>
  <c r="H4" i="12"/>
  <c r="BC2" i="12"/>
  <c r="AY2" i="12"/>
  <c r="AT2" i="12"/>
  <c r="AP2" i="12"/>
  <c r="K2" i="12"/>
  <c r="A2" i="12"/>
  <c r="W1" i="12"/>
  <c r="L24" i="8"/>
  <c r="AT2" i="8"/>
  <c r="AP2" i="7"/>
  <c r="U14" i="10" l="1"/>
  <c r="U13" i="10"/>
  <c r="U12" i="10"/>
  <c r="U11" i="10"/>
  <c r="U10" i="10"/>
  <c r="U8" i="10"/>
  <c r="U162" i="10" l="1"/>
  <c r="U161" i="10"/>
  <c r="U160" i="10"/>
  <c r="U159" i="10"/>
  <c r="U158" i="10"/>
  <c r="U157" i="10"/>
  <c r="U156" i="10"/>
  <c r="U126" i="10"/>
  <c r="U125" i="10"/>
  <c r="U84" i="10"/>
  <c r="U83" i="10"/>
  <c r="U82" i="10"/>
  <c r="U81" i="10"/>
  <c r="U80" i="10"/>
  <c r="U79" i="10"/>
  <c r="U78" i="10"/>
  <c r="U70" i="10"/>
  <c r="U69" i="10"/>
  <c r="U68" i="10"/>
  <c r="U67" i="10"/>
  <c r="U66" i="10"/>
  <c r="U65" i="10"/>
  <c r="U64" i="10"/>
  <c r="U63" i="10"/>
  <c r="U62" i="10"/>
  <c r="U61" i="10"/>
  <c r="U60" i="10"/>
  <c r="U59" i="10"/>
  <c r="U58" i="10"/>
  <c r="U57" i="10"/>
  <c r="U56" i="10"/>
  <c r="U55" i="10"/>
  <c r="U54" i="10"/>
  <c r="U53" i="10"/>
  <c r="U52" i="10"/>
  <c r="U51" i="10"/>
  <c r="U50" i="10"/>
  <c r="U49" i="10"/>
  <c r="U48" i="10"/>
  <c r="U47" i="10"/>
  <c r="U46" i="10"/>
  <c r="U45" i="10"/>
  <c r="U44" i="10"/>
  <c r="U43" i="10"/>
  <c r="U42" i="10"/>
  <c r="U41" i="10"/>
  <c r="U40" i="10"/>
  <c r="U39" i="10"/>
  <c r="U38" i="10"/>
  <c r="U36" i="10"/>
  <c r="U35" i="10"/>
  <c r="U34" i="10"/>
  <c r="U33" i="10"/>
  <c r="U32" i="10"/>
  <c r="U31" i="10"/>
  <c r="U30" i="10"/>
  <c r="U29" i="10"/>
  <c r="U28" i="10"/>
  <c r="U27" i="10"/>
  <c r="U26" i="10"/>
  <c r="U25" i="10"/>
  <c r="U24" i="10"/>
  <c r="U23" i="10"/>
  <c r="U22" i="10"/>
  <c r="U21" i="10"/>
  <c r="U20" i="10"/>
  <c r="U17" i="10"/>
  <c r="U16" i="10"/>
  <c r="U15" i="10"/>
  <c r="U19" i="10"/>
  <c r="U18" i="10"/>
  <c r="AP4" i="6" l="1" a="1"/>
  <c r="AP4" i="6" s="1"/>
  <c r="AT2" i="6"/>
  <c r="Z4" i="6"/>
  <c r="W1" i="6"/>
  <c r="K2" i="6"/>
  <c r="H4" i="6"/>
  <c r="A2" i="6"/>
  <c r="AP4" i="8" a="1"/>
  <c r="AP4" i="8" s="1"/>
  <c r="BH2" i="8"/>
  <c r="BC2" i="7"/>
  <c r="AY2" i="7"/>
  <c r="AP4" i="7" a="1"/>
  <c r="AP4" i="7" s="1"/>
  <c r="AT2" i="7"/>
  <c r="Z4" i="7"/>
  <c r="K2" i="7"/>
  <c r="H4" i="7"/>
  <c r="A2" i="7"/>
  <c r="BH2" i="7" l="1"/>
  <c r="BH2" i="12"/>
  <c r="BH2" i="6"/>
  <c r="AP2" i="6"/>
  <c r="AY2" i="6"/>
  <c r="BC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<sst xmlns="http://schemas.openxmlformats.org/spreadsheetml/2006/main" count="5077" uniqueCount="1037">
  <si>
    <t>システム名</t>
  </si>
  <si>
    <t>システム種別</t>
  </si>
  <si>
    <t>概要設計</t>
    <rPh sb="0" eb="2">
      <t>ガイヨウ</t>
    </rPh>
    <rPh sb="2" eb="4">
      <t>セッケイ</t>
    </rPh>
    <phoneticPr fontId="7"/>
  </si>
  <si>
    <t>作成者</t>
  </si>
  <si>
    <t>作成日</t>
  </si>
  <si>
    <t>更新者</t>
  </si>
  <si>
    <t>更新日</t>
  </si>
  <si>
    <t>版数</t>
  </si>
  <si>
    <t>POSサーバ</t>
  </si>
  <si>
    <t>全般</t>
    <rPh sb="0" eb="2">
      <t>ゼンパン</t>
    </rPh>
    <phoneticPr fontId="7"/>
  </si>
  <si>
    <t>Huy Nguyen</t>
  </si>
  <si>
    <t>機能カテゴリ</t>
  </si>
  <si>
    <t>機能一覧</t>
    <rPh sb="0" eb="2">
      <t>キノウ</t>
    </rPh>
    <rPh sb="2" eb="4">
      <t>イチラン</t>
    </rPh>
    <phoneticPr fontId="7"/>
  </si>
  <si>
    <t>項目</t>
  </si>
  <si>
    <t>いなげや様向け</t>
    <rPh sb="4" eb="6">
      <t>サマム</t>
    </rPh>
    <phoneticPr fontId="7"/>
  </si>
  <si>
    <t>現金専用簡易セルフPOS 基本設計書</t>
  </si>
  <si>
    <t>承認日</t>
  </si>
  <si>
    <t>承認者</t>
  </si>
  <si>
    <t>■改廃履歴</t>
  </si>
  <si>
    <t>更新日付</t>
  </si>
  <si>
    <t>変更内容</t>
  </si>
  <si>
    <t>承認日付</t>
  </si>
  <si>
    <t>初版作成</t>
    <rPh sb="0" eb="4">
      <t>ショハンサクセイ</t>
    </rPh>
    <phoneticPr fontId="7"/>
  </si>
  <si>
    <t>Thanh Nguyên</t>
    <phoneticPr fontId="7"/>
  </si>
  <si>
    <t>機能一覧（POSサーバ2.0）シートを大幅更新</t>
    <rPh sb="19" eb="23">
      <t>オオハバコウシン</t>
    </rPh>
    <phoneticPr fontId="7"/>
  </si>
  <si>
    <t>追記</t>
    <rPh sb="0" eb="2">
      <t>ツイキ</t>
    </rPh>
    <phoneticPr fontId="7"/>
  </si>
  <si>
    <t>〇：対象　△：開発中　-：未着手　×：想定外　　</t>
  </si>
  <si>
    <t>MM</t>
    <phoneticPr fontId="7"/>
  </si>
  <si>
    <t>機能概要</t>
    <phoneticPr fontId="7"/>
  </si>
  <si>
    <t>説明</t>
    <rPh sb="0" eb="2">
      <t>セツメイ</t>
    </rPh>
    <phoneticPr fontId="7"/>
  </si>
  <si>
    <t>いなげや</t>
    <phoneticPr fontId="7"/>
  </si>
  <si>
    <t>カスミ</t>
    <phoneticPr fontId="7"/>
  </si>
  <si>
    <t>重複</t>
  </si>
  <si>
    <t>20_画面設計</t>
    <rPh sb="3" eb="5">
      <t>ガメン</t>
    </rPh>
    <rPh sb="5" eb="7">
      <t>セッケイ</t>
    </rPh>
    <phoneticPr fontId="7"/>
  </si>
  <si>
    <t>画面ID</t>
    <rPh sb="0" eb="2">
      <t>ガメン</t>
    </rPh>
    <phoneticPr fontId="7"/>
  </si>
  <si>
    <t>30_機能設計</t>
    <rPh sb="3" eb="5">
      <t>キノウ</t>
    </rPh>
    <rPh sb="5" eb="7">
      <t>セッケイ</t>
    </rPh>
    <phoneticPr fontId="7"/>
  </si>
  <si>
    <t>機能ID</t>
    <rPh sb="0" eb="2">
      <t>キノウ</t>
    </rPh>
    <phoneticPr fontId="7"/>
  </si>
  <si>
    <t>40_API設計</t>
    <rPh sb="6" eb="8">
      <t>セッケイ</t>
    </rPh>
    <phoneticPr fontId="7"/>
  </si>
  <si>
    <t>APIID</t>
    <phoneticPr fontId="7"/>
  </si>
  <si>
    <t>DB設計</t>
    <rPh sb="2" eb="4">
      <t>セッケイ</t>
    </rPh>
    <phoneticPr fontId="7"/>
  </si>
  <si>
    <t>DB_ID</t>
    <phoneticPr fontId="7"/>
  </si>
  <si>
    <t>MD</t>
    <phoneticPr fontId="7"/>
  </si>
  <si>
    <t>電子棚札</t>
    <rPh sb="0" eb="2">
      <t>デンシ</t>
    </rPh>
    <rPh sb="2" eb="4">
      <t>タナフダ</t>
    </rPh>
    <phoneticPr fontId="7"/>
  </si>
  <si>
    <t>LABO</t>
    <phoneticPr fontId="7"/>
  </si>
  <si>
    <t>筑波大学</t>
    <rPh sb="0" eb="2">
      <t>ツクバ</t>
    </rPh>
    <rPh sb="2" eb="4">
      <t>ダイガク</t>
    </rPh>
    <phoneticPr fontId="7"/>
  </si>
  <si>
    <t>難易度</t>
    <phoneticPr fontId="22"/>
  </si>
  <si>
    <t>設計</t>
    <phoneticPr fontId="22"/>
  </si>
  <si>
    <t>モック</t>
    <phoneticPr fontId="22"/>
  </si>
  <si>
    <t xml:space="preserve">Code </t>
    <phoneticPr fontId="22"/>
  </si>
  <si>
    <t>FT</t>
    <phoneticPr fontId="22"/>
  </si>
  <si>
    <t>IT</t>
    <phoneticPr fontId="22"/>
  </si>
  <si>
    <t>PT</t>
    <phoneticPr fontId="22"/>
  </si>
  <si>
    <t>合計</t>
    <rPh sb="0" eb="2">
      <t>ゴウケイ</t>
    </rPh>
    <phoneticPr fontId="22"/>
  </si>
  <si>
    <t>00_インフラ</t>
    <phoneticPr fontId="7"/>
  </si>
  <si>
    <t>AWS構築</t>
    <phoneticPr fontId="7"/>
  </si>
  <si>
    <t>ステージング環境構築</t>
  </si>
  <si>
    <t>フェーズ１：外部連携(マスタ)</t>
    <rPh sb="6" eb="8">
      <t>ガイブ</t>
    </rPh>
    <rPh sb="8" eb="10">
      <t>レンケイ</t>
    </rPh>
    <phoneticPr fontId="7"/>
  </si>
  <si>
    <t>〇</t>
    <phoneticPr fontId="7"/>
  </si>
  <si>
    <t>〇</t>
  </si>
  <si>
    <t>複雑</t>
  </si>
  <si>
    <t>フェーズ２：POSアプリ反映</t>
    <rPh sb="12" eb="14">
      <t>ハンエイ</t>
    </rPh>
    <phoneticPr fontId="7"/>
  </si>
  <si>
    <t>より複雑</t>
  </si>
  <si>
    <t>フェーズ３：POSアプリ実績連携</t>
    <rPh sb="12" eb="14">
      <t>ジッセキ</t>
    </rPh>
    <rPh sb="14" eb="16">
      <t>レンケイ</t>
    </rPh>
    <phoneticPr fontId="7"/>
  </si>
  <si>
    <t>フェーズ４：各種集計</t>
    <rPh sb="6" eb="8">
      <t>カクシュ</t>
    </rPh>
    <rPh sb="8" eb="10">
      <t>シュウケイ</t>
    </rPh>
    <phoneticPr fontId="7"/>
  </si>
  <si>
    <t>フェーズ５：外部連携(実績)</t>
    <rPh sb="6" eb="8">
      <t>ガイブ</t>
    </rPh>
    <rPh sb="8" eb="10">
      <t>レンケイ</t>
    </rPh>
    <rPh sb="11" eb="13">
      <t>ジッセキ</t>
    </rPh>
    <phoneticPr fontId="7"/>
  </si>
  <si>
    <t>フェーズ６：監視環境構築</t>
    <rPh sb="6" eb="8">
      <t>カンシ</t>
    </rPh>
    <rPh sb="8" eb="10">
      <t>カンキョウ</t>
    </rPh>
    <rPh sb="10" eb="12">
      <t>コウチク</t>
    </rPh>
    <phoneticPr fontId="7"/>
  </si>
  <si>
    <t>フェーズ７：負荷試験</t>
    <rPh sb="6" eb="10">
      <t>フカシケン</t>
    </rPh>
    <phoneticPr fontId="7"/>
  </si>
  <si>
    <t>本番環境構築</t>
  </si>
  <si>
    <t>フェーズ１：01_外部連携(マスタ)</t>
    <rPh sb="9" eb="11">
      <t>ガイブ</t>
    </rPh>
    <rPh sb="11" eb="13">
      <t>レンケイ</t>
    </rPh>
    <phoneticPr fontId="7"/>
  </si>
  <si>
    <t>ネットワーク構築</t>
    <rPh sb="6" eb="8">
      <t>コウチク</t>
    </rPh>
    <phoneticPr fontId="7"/>
  </si>
  <si>
    <t>カスミ→いなげや</t>
    <phoneticPr fontId="7"/>
  </si>
  <si>
    <t>いなげやPOSをKTCでのテストのため（Satsfa,カード決済など。）</t>
    <phoneticPr fontId="7"/>
  </si>
  <si>
    <t>△</t>
    <phoneticPr fontId="7"/>
  </si>
  <si>
    <t>ー</t>
  </si>
  <si>
    <t>ー</t>
    <phoneticPr fontId="7"/>
  </si>
  <si>
    <t>いなげや→AFS</t>
    <phoneticPr fontId="7"/>
  </si>
  <si>
    <t>いなげや様でのWAONチャージ、決済のため</t>
    <rPh sb="4" eb="5">
      <t>サマ</t>
    </rPh>
    <rPh sb="16" eb="18">
      <t>ケッサイ</t>
    </rPh>
    <phoneticPr fontId="7"/>
  </si>
  <si>
    <t>Luvina→AFS</t>
    <phoneticPr fontId="7"/>
  </si>
  <si>
    <t>カスミ様カード決済、WAONチャージ等</t>
    <phoneticPr fontId="7"/>
  </si>
  <si>
    <t>Luvina→VD</t>
    <phoneticPr fontId="7"/>
  </si>
  <si>
    <t>ignicaPOINTチャージ、決済</t>
    <phoneticPr fontId="7"/>
  </si>
  <si>
    <t>01_ファイルコピー</t>
    <phoneticPr fontId="7"/>
  </si>
  <si>
    <t>Scan&amp;GoServerより、いなげやマスタ連携</t>
  </si>
  <si>
    <t>01_BIPROGY様により、マスタファイルの送信先追加</t>
  </si>
  <si>
    <t>02_外部連携(マスタ)</t>
  </si>
  <si>
    <t>00_sftpサーバー設定</t>
    <rPh sb="11" eb="13">
      <t>セッテイ</t>
    </rPh>
    <phoneticPr fontId="7"/>
  </si>
  <si>
    <t>ファイル受信用にSFTPサーバーの構築</t>
    <phoneticPr fontId="7"/>
  </si>
  <si>
    <t>01_BIPROGY</t>
    <phoneticPr fontId="7"/>
  </si>
  <si>
    <t>ディレクトリ作成</t>
    <rPh sb="6" eb="8">
      <t>サクセイ</t>
    </rPh>
    <phoneticPr fontId="7"/>
  </si>
  <si>
    <t>簡単</t>
  </si>
  <si>
    <t>アカウント作成(秘密キー含む)</t>
    <rPh sb="5" eb="7">
      <t>サクセイ</t>
    </rPh>
    <rPh sb="8" eb="10">
      <t>ヒミツ</t>
    </rPh>
    <rPh sb="12" eb="13">
      <t>フク</t>
    </rPh>
    <phoneticPr fontId="7"/>
  </si>
  <si>
    <t>31_Scan&amp;Go(カスミ)</t>
    <phoneticPr fontId="7"/>
  </si>
  <si>
    <t>32_Scan&amp;Go(いなげや)</t>
    <phoneticPr fontId="7"/>
  </si>
  <si>
    <t>BIPROGY様用、基本バッチ処理作成</t>
    <phoneticPr fontId="7"/>
  </si>
  <si>
    <t xml:space="preserve">ＰＬＵメンテ </t>
  </si>
  <si>
    <t>サブバッチ作成</t>
    <rPh sb="5" eb="7">
      <t>サクセイ</t>
    </rPh>
    <phoneticPr fontId="7"/>
  </si>
  <si>
    <t>データチェック機能</t>
    <phoneticPr fontId="7"/>
  </si>
  <si>
    <t>企画メンテ</t>
  </si>
  <si>
    <t>サブバッチ作成</t>
    <phoneticPr fontId="7"/>
  </si>
  <si>
    <t xml:space="preserve">組合せメンテ </t>
  </si>
  <si>
    <t>特売メンテ</t>
  </si>
  <si>
    <t>商品階層メンテデータ</t>
  </si>
  <si>
    <t>商品ポイント加算</t>
  </si>
  <si>
    <t>POP商品マスター</t>
  </si>
  <si>
    <t>予算</t>
  </si>
  <si>
    <t>POP棚番マスタ</t>
  </si>
  <si>
    <t>マスタ手動取込</t>
    <phoneticPr fontId="7"/>
  </si>
  <si>
    <t>エラー時などのイレギュラー対応時に、手動でファイルを更新し、アップロードできるようにする。</t>
    <phoneticPr fontId="7"/>
  </si>
  <si>
    <t>マスタ取込(手動)
OC取込マスタ</t>
  </si>
  <si>
    <t>SC9401</t>
  </si>
  <si>
    <t>10日以前データのアーカーイブ機能</t>
    <rPh sb="2" eb="3">
      <t>ニチ</t>
    </rPh>
    <rPh sb="3" eb="5">
      <t>イゼン</t>
    </rPh>
    <rPh sb="15" eb="17">
      <t>キノウ</t>
    </rPh>
    <phoneticPr fontId="7"/>
  </si>
  <si>
    <t>10日より以前に連携されたデータは、アーカイブ領域に移行する。
１日一回、決められた時間に稼働する。</t>
    <rPh sb="2" eb="3">
      <t>ニチ</t>
    </rPh>
    <rPh sb="5" eb="7">
      <t>イゼン</t>
    </rPh>
    <rPh sb="8" eb="10">
      <t>レンケイ</t>
    </rPh>
    <rPh sb="23" eb="25">
      <t>リョウイキ</t>
    </rPh>
    <rPh sb="26" eb="28">
      <t>イコウ</t>
    </rPh>
    <rPh sb="33" eb="34">
      <t>ニチ</t>
    </rPh>
    <rPh sb="34" eb="36">
      <t>イッカイ</t>
    </rPh>
    <rPh sb="37" eb="38">
      <t>キ</t>
    </rPh>
    <rPh sb="42" eb="44">
      <t>ジカン</t>
    </rPh>
    <rPh sb="45" eb="47">
      <t>カドウ</t>
    </rPh>
    <phoneticPr fontId="7"/>
  </si>
  <si>
    <t>？</t>
    <phoneticPr fontId="7"/>
  </si>
  <si>
    <t>全件</t>
  </si>
  <si>
    <t>いなげやPOSServer用、全件バッチ処理作成</t>
  </si>
  <si>
    <t>商品マスタ</t>
    <phoneticPr fontId="7"/>
  </si>
  <si>
    <t>ItemMaster_YYYYMMDDHHMMSS.csv</t>
    <phoneticPr fontId="7"/>
  </si>
  <si>
    <t>商品拡張マスタ</t>
    <rPh sb="0" eb="2">
      <t>ショウヒン</t>
    </rPh>
    <rPh sb="2" eb="4">
      <t>カクチョウ</t>
    </rPh>
    <phoneticPr fontId="9"/>
  </si>
  <si>
    <t>ItemExMvkMaster_YYYYMMDDHHMMSS.csv</t>
    <phoneticPr fontId="7"/>
  </si>
  <si>
    <t>MMマスタ</t>
    <phoneticPr fontId="7"/>
  </si>
  <si>
    <t>CombinationKsmMaster_YYYYMMDDHHMMSS.csv</t>
    <phoneticPr fontId="7"/>
  </si>
  <si>
    <t>MM商品マスタ</t>
    <rPh sb="2" eb="4">
      <t>ショウヒン</t>
    </rPh>
    <phoneticPr fontId="9"/>
  </si>
  <si>
    <t>CombinationItemKsmMaster_YYYYMMDDHHMMSS.csv</t>
    <phoneticPr fontId="7"/>
  </si>
  <si>
    <t>MD階層値引マスタ</t>
    <phoneticPr fontId="7"/>
  </si>
  <si>
    <t>DiscountMDHierarchyMVKMaster_YYYYMMDDHHMMSS.csv</t>
    <phoneticPr fontId="7"/>
  </si>
  <si>
    <t>特売マスタ</t>
    <phoneticPr fontId="7"/>
  </si>
  <si>
    <t>SpecialPriceKsmMaster_YYYYMMDDHHMMSS.csv</t>
    <phoneticPr fontId="7"/>
  </si>
  <si>
    <t>分類マスタ</t>
    <phoneticPr fontId="7"/>
  </si>
  <si>
    <t>MDHierarchyMaster_YYYYMMDDHHMMSS.csv</t>
    <phoneticPr fontId="7"/>
  </si>
  <si>
    <t>商品階層マスタ</t>
  </si>
  <si>
    <t>商品マスタ</t>
    <rPh sb="0" eb="2">
      <t>ショウヒン</t>
    </rPh>
    <phoneticPr fontId="9"/>
  </si>
  <si>
    <t>企画マスタ</t>
  </si>
  <si>
    <t>特売マスタ</t>
    <rPh sb="0" eb="2">
      <t>トクバイ</t>
    </rPh>
    <phoneticPr fontId="9"/>
  </si>
  <si>
    <t>組合せマスタ</t>
    <rPh sb="0" eb="2">
      <t>クミアワ</t>
    </rPh>
    <phoneticPr fontId="9"/>
  </si>
  <si>
    <t>商品階層自動値引きマスタ</t>
    <rPh sb="0" eb="2">
      <t>ショウヒン</t>
    </rPh>
    <rPh sb="2" eb="4">
      <t>カイソウ</t>
    </rPh>
    <rPh sb="4" eb="6">
      <t>ジドウ</t>
    </rPh>
    <rPh sb="6" eb="8">
      <t>ネビ</t>
    </rPh>
    <phoneticPr fontId="9"/>
  </si>
  <si>
    <t>さんにち割データ</t>
    <rPh sb="4" eb="5">
      <t>ワリ</t>
    </rPh>
    <phoneticPr fontId="9"/>
  </si>
  <si>
    <t>営業日マスタ</t>
    <rPh sb="0" eb="3">
      <t>エイギョウビ</t>
    </rPh>
    <phoneticPr fontId="9"/>
  </si>
  <si>
    <t>担当者マスタ</t>
    <rPh sb="0" eb="3">
      <t>タントウシャ</t>
    </rPh>
    <phoneticPr fontId="9"/>
  </si>
  <si>
    <t>入出金マスタ</t>
    <rPh sb="0" eb="3">
      <t>ニュウシュッキン</t>
    </rPh>
    <phoneticPr fontId="9"/>
  </si>
  <si>
    <t>現外設定マスタ</t>
    <rPh sb="0" eb="2">
      <t>ゲンガイ</t>
    </rPh>
    <rPh sb="2" eb="4">
      <t>セッテイ</t>
    </rPh>
    <phoneticPr fontId="9"/>
  </si>
  <si>
    <t>緊急登録マスタ</t>
    <rPh sb="0" eb="4">
      <t>キンキュウトウロク</t>
    </rPh>
    <phoneticPr fontId="9"/>
  </si>
  <si>
    <t>商品券バーコードマスタ</t>
    <rPh sb="0" eb="3">
      <t>ショウヒンケン</t>
    </rPh>
    <phoneticPr fontId="9"/>
  </si>
  <si>
    <t>差分</t>
    <rPh sb="0" eb="2">
      <t>サブン</t>
    </rPh>
    <phoneticPr fontId="7"/>
  </si>
  <si>
    <t>いなげやPOSServer用、差分バッチ処理作成</t>
    <rPh sb="15" eb="17">
      <t>サブン</t>
    </rPh>
    <phoneticPr fontId="7"/>
  </si>
  <si>
    <t>商品マスタ(差分)</t>
    <rPh sb="0" eb="2">
      <t>ショウヒン</t>
    </rPh>
    <rPh sb="6" eb="8">
      <t>サブン</t>
    </rPh>
    <phoneticPr fontId="9"/>
  </si>
  <si>
    <t>企画マスタ(差分)</t>
    <rPh sb="6" eb="8">
      <t>サブン</t>
    </rPh>
    <phoneticPr fontId="9"/>
  </si>
  <si>
    <t>特売マスタ(差分)</t>
    <rPh sb="0" eb="2">
      <t>トクバイ</t>
    </rPh>
    <rPh sb="6" eb="8">
      <t>サブン</t>
    </rPh>
    <phoneticPr fontId="9"/>
  </si>
  <si>
    <t>組合せマスタ(差分)</t>
    <rPh sb="0" eb="2">
      <t>クミアワ</t>
    </rPh>
    <rPh sb="7" eb="9">
      <t>サブン</t>
    </rPh>
    <phoneticPr fontId="9"/>
  </si>
  <si>
    <t>商品階層自動値引きマスタ(差分)</t>
    <rPh sb="0" eb="2">
      <t>ショウヒン</t>
    </rPh>
    <rPh sb="2" eb="4">
      <t>カイソウ</t>
    </rPh>
    <rPh sb="4" eb="6">
      <t>ジドウ</t>
    </rPh>
    <rPh sb="6" eb="8">
      <t>ネビ</t>
    </rPh>
    <rPh sb="13" eb="15">
      <t>サブン</t>
    </rPh>
    <phoneticPr fontId="9"/>
  </si>
  <si>
    <t>担当者マスタ(差分)</t>
    <rPh sb="0" eb="3">
      <t>タントウシャ</t>
    </rPh>
    <rPh sb="7" eb="9">
      <t>サブン</t>
    </rPh>
    <phoneticPr fontId="9"/>
  </si>
  <si>
    <t>緊急登録マスタ(差分)</t>
    <rPh sb="0" eb="4">
      <t>キンキュウトウロク</t>
    </rPh>
    <rPh sb="8" eb="10">
      <t>サブン</t>
    </rPh>
    <phoneticPr fontId="9"/>
  </si>
  <si>
    <t>エラー時などのイレギュラー対応時に、手動でファイルを更新し、アップロードできるようにする。</t>
    <rPh sb="3" eb="4">
      <t>ジ</t>
    </rPh>
    <rPh sb="13" eb="15">
      <t>タイオウ</t>
    </rPh>
    <rPh sb="15" eb="16">
      <t>ジ</t>
    </rPh>
    <rPh sb="18" eb="20">
      <t>シュドウ</t>
    </rPh>
    <rPh sb="26" eb="28">
      <t>コウシン</t>
    </rPh>
    <phoneticPr fontId="7"/>
  </si>
  <si>
    <t>マスタ取込(手動)
OC取込マスタ設定</t>
  </si>
  <si>
    <t>10日より以前に連携されたデータは、アーカイブ領域に移行する。
１日一回、決められた時間に稼働する。</t>
    <phoneticPr fontId="7"/>
  </si>
  <si>
    <t>04_ログ照会機能</t>
    <phoneticPr fontId="7"/>
  </si>
  <si>
    <t>各マスタへの更新完了日時、追加、更新、削除、合計の件数を表示</t>
  </si>
  <si>
    <t>取込ログ照会画面</t>
    <rPh sb="0" eb="2">
      <t>トリコミ</t>
    </rPh>
    <rPh sb="4" eb="6">
      <t>ショウカイ</t>
    </rPh>
    <rPh sb="6" eb="8">
      <t>ガメン</t>
    </rPh>
    <phoneticPr fontId="7"/>
  </si>
  <si>
    <t>SCXXXX</t>
  </si>
  <si>
    <t>普通</t>
  </si>
  <si>
    <t>05_異常検知機能</t>
    <phoneticPr fontId="7"/>
  </si>
  <si>
    <t>取込み時に、エラーが発生した場合、メール、Teams等で通知を行う</t>
  </si>
  <si>
    <t>通知一覧照会画面</t>
    <rPh sb="0" eb="2">
      <t>ツウチ</t>
    </rPh>
    <rPh sb="2" eb="4">
      <t>イチラン</t>
    </rPh>
    <rPh sb="4" eb="6">
      <t>ショウカイ</t>
    </rPh>
    <rPh sb="6" eb="8">
      <t>ガメン</t>
    </rPh>
    <phoneticPr fontId="7"/>
  </si>
  <si>
    <t>06_リカバリー機能</t>
    <phoneticPr fontId="7"/>
  </si>
  <si>
    <t>エラー発生時に、リカバリ処理を行う。また、エラーになった連携ファイルをダウンロードし、</t>
    <rPh sb="3" eb="5">
      <t>ハッセイ</t>
    </rPh>
    <rPh sb="5" eb="6">
      <t>ジ</t>
    </rPh>
    <rPh sb="12" eb="14">
      <t>ショリ</t>
    </rPh>
    <rPh sb="15" eb="16">
      <t>オコナ</t>
    </rPh>
    <rPh sb="28" eb="30">
      <t>レンケイ</t>
    </rPh>
    <phoneticPr fontId="7"/>
  </si>
  <si>
    <t>修正後、手動アップロードも可能とする。</t>
    <rPh sb="0" eb="3">
      <t>シュウセイゴ</t>
    </rPh>
    <rPh sb="4" eb="6">
      <t>シュドウ</t>
    </rPh>
    <rPh sb="13" eb="15">
      <t>カノウ</t>
    </rPh>
    <phoneticPr fontId="7"/>
  </si>
  <si>
    <t>連携リカバリ画面</t>
    <rPh sb="0" eb="2">
      <t>レンケイ</t>
    </rPh>
    <rPh sb="6" eb="8">
      <t>ガメン</t>
    </rPh>
    <phoneticPr fontId="7"/>
  </si>
  <si>
    <t>03_マスタコンバート</t>
    <phoneticPr fontId="7"/>
  </si>
  <si>
    <t>100_カスミ</t>
    <phoneticPr fontId="7"/>
  </si>
  <si>
    <t>01_BIPROGY　→　マスタ</t>
    <phoneticPr fontId="7"/>
  </si>
  <si>
    <t>コンバートバッチプログラム作成</t>
    <rPh sb="13" eb="15">
      <t>サクセイ</t>
    </rPh>
    <phoneticPr fontId="7"/>
  </si>
  <si>
    <t>商品階層マスタ</t>
    <phoneticPr fontId="7"/>
  </si>
  <si>
    <t>企画マスタ</t>
    <phoneticPr fontId="7"/>
  </si>
  <si>
    <t>特売マスタ</t>
    <rPh sb="0" eb="2">
      <t>トクバイ</t>
    </rPh>
    <phoneticPr fontId="7"/>
  </si>
  <si>
    <t>組合せマスタ</t>
    <phoneticPr fontId="7"/>
  </si>
  <si>
    <t>商品階層自動値引きマスタ</t>
    <phoneticPr fontId="7"/>
  </si>
  <si>
    <t>さんにち割データ</t>
    <phoneticPr fontId="7"/>
  </si>
  <si>
    <t>営業日マスタ</t>
    <phoneticPr fontId="7"/>
  </si>
  <si>
    <t>担当者マスタ</t>
    <phoneticPr fontId="7"/>
  </si>
  <si>
    <t>入出金マスタ</t>
    <phoneticPr fontId="7"/>
  </si>
  <si>
    <t>現外設定マスタ</t>
    <phoneticPr fontId="7"/>
  </si>
  <si>
    <t>緊急登録マスタ</t>
    <phoneticPr fontId="7"/>
  </si>
  <si>
    <t>商品券バーコードマスタ</t>
    <rPh sb="0" eb="3">
      <t>ショウヒンケン</t>
    </rPh>
    <phoneticPr fontId="7"/>
  </si>
  <si>
    <t>31_Scan&amp;Go(カスミ)　→　電子棚札</t>
    <rPh sb="18" eb="20">
      <t>デンシ</t>
    </rPh>
    <rPh sb="20" eb="22">
      <t>タナフダ</t>
    </rPh>
    <phoneticPr fontId="7"/>
  </si>
  <si>
    <t>商品拡張マスタ</t>
    <phoneticPr fontId="7"/>
  </si>
  <si>
    <t>MM商品マスタ</t>
    <phoneticPr fontId="7"/>
  </si>
  <si>
    <t>800_いなげや</t>
    <phoneticPr fontId="7"/>
  </si>
  <si>
    <t>04_POSマスタ作成</t>
    <phoneticPr fontId="7"/>
  </si>
  <si>
    <t>基本マスタ作成</t>
    <rPh sb="0" eb="2">
      <t>キホン</t>
    </rPh>
    <rPh sb="5" eb="7">
      <t>サクセイ</t>
    </rPh>
    <phoneticPr fontId="7"/>
  </si>
  <si>
    <t>会社マスタ作成</t>
    <rPh sb="0" eb="2">
      <t>カイシャ</t>
    </rPh>
    <rPh sb="5" eb="7">
      <t>サクセイ</t>
    </rPh>
    <phoneticPr fontId="7"/>
  </si>
  <si>
    <t>会社一覧画面</t>
    <rPh sb="2" eb="4">
      <t>イチラン</t>
    </rPh>
    <rPh sb="4" eb="6">
      <t>ガメン</t>
    </rPh>
    <phoneticPr fontId="7"/>
  </si>
  <si>
    <t>より簡単</t>
  </si>
  <si>
    <t>会社設定画面</t>
    <phoneticPr fontId="7"/>
  </si>
  <si>
    <t>店舗マスタ作成</t>
    <rPh sb="0" eb="2">
      <t>テンポ</t>
    </rPh>
    <rPh sb="5" eb="7">
      <t>サクセイ</t>
    </rPh>
    <phoneticPr fontId="7"/>
  </si>
  <si>
    <t>店舗のマスタ情報を設定する</t>
    <rPh sb="0" eb="2">
      <t>テンポ</t>
    </rPh>
    <rPh sb="6" eb="8">
      <t>ジョウホウ</t>
    </rPh>
    <rPh sb="9" eb="11">
      <t>セッテイ</t>
    </rPh>
    <phoneticPr fontId="7"/>
  </si>
  <si>
    <t>店舗一覧画面</t>
    <rPh sb="2" eb="4">
      <t>イチラン</t>
    </rPh>
    <rPh sb="4" eb="6">
      <t>ガメン</t>
    </rPh>
    <phoneticPr fontId="7"/>
  </si>
  <si>
    <t>SC8201</t>
  </si>
  <si>
    <t>店舗マスタ設定画面</t>
    <phoneticPr fontId="7"/>
  </si>
  <si>
    <t>店舗新規・編集・コピー</t>
  </si>
  <si>
    <t>MD8201</t>
  </si>
  <si>
    <t>レジマスタ作成</t>
    <rPh sb="5" eb="7">
      <t>サクセイ</t>
    </rPh>
    <phoneticPr fontId="7"/>
  </si>
  <si>
    <t>レジマスタ設定機能では次のことが可能になる。
・レジのマスタ情報を表示する。
・レジのマスタ情報を追加・編集・削除する。
・レジのマスタ情報をCSVファイルで取込・出力。
・パパPOS、ママPOSの指定も行う。</t>
    <rPh sb="99" eb="101">
      <t>シテイ</t>
    </rPh>
    <rPh sb="102" eb="103">
      <t>オコナ</t>
    </rPh>
    <phoneticPr fontId="7"/>
  </si>
  <si>
    <t>レジ一覧画面</t>
    <rPh sb="2" eb="4">
      <t>イチラン</t>
    </rPh>
    <rPh sb="4" eb="6">
      <t>ガメン</t>
    </rPh>
    <phoneticPr fontId="7"/>
  </si>
  <si>
    <t>SC7101</t>
  </si>
  <si>
    <t>レジ設定画面</t>
    <phoneticPr fontId="7"/>
  </si>
  <si>
    <t>SC701</t>
  </si>
  <si>
    <t>レジ種別追加</t>
  </si>
  <si>
    <t>SC7102</t>
  </si>
  <si>
    <t>レジ新規・編集・コピー画面</t>
  </si>
  <si>
    <t>MD7101</t>
  </si>
  <si>
    <t>商品階層マスタメンテナンス機能</t>
    <rPh sb="0" eb="2">
      <t>ショウヒン</t>
    </rPh>
    <rPh sb="2" eb="4">
      <t>カイソウ</t>
    </rPh>
    <rPh sb="13" eb="15">
      <t>キノウ</t>
    </rPh>
    <phoneticPr fontId="7"/>
  </si>
  <si>
    <t>階層一覧画面</t>
    <rPh sb="0" eb="2">
      <t>カイソウ</t>
    </rPh>
    <rPh sb="2" eb="4">
      <t>イチラン</t>
    </rPh>
    <rPh sb="4" eb="6">
      <t>ガメン</t>
    </rPh>
    <phoneticPr fontId="7"/>
  </si>
  <si>
    <t>階層設定画面</t>
    <rPh sb="0" eb="2">
      <t>カイソウ</t>
    </rPh>
    <rPh sb="2" eb="4">
      <t>セッテイ</t>
    </rPh>
    <rPh sb="4" eb="6">
      <t>ガメン</t>
    </rPh>
    <phoneticPr fontId="7"/>
  </si>
  <si>
    <t>営業日マスタメンテナンス機能</t>
    <rPh sb="12" eb="14">
      <t>キノウ</t>
    </rPh>
    <phoneticPr fontId="7"/>
  </si>
  <si>
    <t>営業日設定画面</t>
    <rPh sb="0" eb="3">
      <t>エイギョウビ</t>
    </rPh>
    <rPh sb="3" eb="5">
      <t>セッテイ</t>
    </rPh>
    <rPh sb="5" eb="7">
      <t>ガメン</t>
    </rPh>
    <phoneticPr fontId="7"/>
  </si>
  <si>
    <t>担当者マスタメンテナンス機能</t>
    <rPh sb="12" eb="14">
      <t>キノウ</t>
    </rPh>
    <phoneticPr fontId="7"/>
  </si>
  <si>
    <t>・従業員一覧の検索・表示を行う</t>
    <phoneticPr fontId="7"/>
  </si>
  <si>
    <t>担当者一覧画面</t>
    <rPh sb="0" eb="3">
      <t>タントウシャ</t>
    </rPh>
    <rPh sb="3" eb="5">
      <t>イチラン</t>
    </rPh>
    <rPh sb="5" eb="7">
      <t>ガメン</t>
    </rPh>
    <phoneticPr fontId="7"/>
  </si>
  <si>
    <t>・従業員情報の追加・編集・削除などを行う。</t>
    <phoneticPr fontId="7"/>
  </si>
  <si>
    <t>担当者設定画面</t>
    <rPh sb="0" eb="3">
      <t>タントウシャ</t>
    </rPh>
    <rPh sb="3" eb="5">
      <t>セッテイ</t>
    </rPh>
    <rPh sb="5" eb="7">
      <t>ガメン</t>
    </rPh>
    <phoneticPr fontId="7"/>
  </si>
  <si>
    <t>サイトログインユーザマスタ設定</t>
  </si>
  <si>
    <t>ログインユーザのマスタ情報を表示する。
以下を含むログインユーザーのマスタ情報を追加・編集・削除する。
・ユーザーの基本情報・ユーザー権限・連携店舗</t>
    <phoneticPr fontId="7"/>
  </si>
  <si>
    <t>SC6801</t>
  </si>
  <si>
    <t>パスワード変更</t>
    <phoneticPr fontId="7"/>
  </si>
  <si>
    <t>・ログインしているユーザーのパスワード情報を変更する。</t>
    <phoneticPr fontId="7"/>
  </si>
  <si>
    <t>パスワード変更画面</t>
  </si>
  <si>
    <t>SC7201</t>
  </si>
  <si>
    <t>入出金マスタ</t>
    <rPh sb="0" eb="3">
      <t>ニュウシュッキン</t>
    </rPh>
    <phoneticPr fontId="7"/>
  </si>
  <si>
    <t>入金種別設定画面</t>
    <rPh sb="0" eb="2">
      <t>ニュウキン</t>
    </rPh>
    <rPh sb="2" eb="4">
      <t>シュベツ</t>
    </rPh>
    <rPh sb="4" eb="6">
      <t>セッテイ</t>
    </rPh>
    <rPh sb="6" eb="8">
      <t>ガメン</t>
    </rPh>
    <phoneticPr fontId="7"/>
  </si>
  <si>
    <t>出金種別設定画面</t>
    <rPh sb="0" eb="2">
      <t>シュッキン</t>
    </rPh>
    <rPh sb="2" eb="4">
      <t>シュベツ</t>
    </rPh>
    <rPh sb="4" eb="6">
      <t>セッテイ</t>
    </rPh>
    <rPh sb="6" eb="8">
      <t>ガメン</t>
    </rPh>
    <phoneticPr fontId="7"/>
  </si>
  <si>
    <t>予算登録</t>
    <phoneticPr fontId="7"/>
  </si>
  <si>
    <t>予算登録機能では次のことが可能になる。
当月と来月の部門ごとの予算額を登録・編集する。
月別または部門別の合計予算を日付ごとに表示する。</t>
    <phoneticPr fontId="7"/>
  </si>
  <si>
    <t>予算登録画面</t>
  </si>
  <si>
    <t>SC7401</t>
  </si>
  <si>
    <t>新規_キーレイアウト・小計プリセット設定</t>
  </si>
  <si>
    <t>・係員用商品登録画面にて、右側のファンクションボタンを並び替え可能とする。
・お会計画面での、各種ファンクションボタンの並び替えを可能とする。</t>
    <rPh sb="1" eb="4">
      <t>カカリインヨウ</t>
    </rPh>
    <rPh sb="4" eb="10">
      <t>ショウヒントウロクガメン</t>
    </rPh>
    <rPh sb="13" eb="15">
      <t>ミギガワ</t>
    </rPh>
    <rPh sb="27" eb="28">
      <t>ナラ</t>
    </rPh>
    <rPh sb="29" eb="30">
      <t>カ</t>
    </rPh>
    <rPh sb="31" eb="33">
      <t>カノウ</t>
    </rPh>
    <rPh sb="40" eb="42">
      <t>カイケイ</t>
    </rPh>
    <rPh sb="42" eb="44">
      <t>ガメン</t>
    </rPh>
    <rPh sb="47" eb="49">
      <t>カクシュ</t>
    </rPh>
    <rPh sb="60" eb="61">
      <t>ナラ</t>
    </rPh>
    <rPh sb="62" eb="63">
      <t>カ</t>
    </rPh>
    <rPh sb="65" eb="67">
      <t>カノウ</t>
    </rPh>
    <phoneticPr fontId="7"/>
  </si>
  <si>
    <t>キーレイアウト・小計プリセット設定</t>
  </si>
  <si>
    <t>SC1801</t>
  </si>
  <si>
    <t>プリセットメニューメンテナンス機能</t>
    <phoneticPr fontId="7"/>
  </si>
  <si>
    <t>タッチメニュー設定機能により、次のことが可能になる。
・店舗のレイアウトプリセットを管理する。
‣ビジネスレイアウト一覧を見る。	
‣1種類のビジネスレイアウトの詳細を見る。
‣ビジネスレイアウトを検索する。
・店舗のビジネスレイアウトを設定する。	
‣新規作成
‣編集‣削除‣コピー
・1種類のビジネスレイアウトの詳細を設定する。
‣ ビジネスレイアウトのレイアウトプリセットの変更：名称、色など
‣ボタンレイアウトプリセットを変更する。
●色、イメージ、名称、サイズ、有効・無効など	
●ボタンレイアウトプリセットの機能：商品、クーポン、割引など</t>
    <phoneticPr fontId="7"/>
  </si>
  <si>
    <t>プリセット設定</t>
  </si>
  <si>
    <t>SC1501</t>
  </si>
  <si>
    <t>プリセットレイアウトコード新規・編集画面</t>
  </si>
  <si>
    <t>MD1508</t>
  </si>
  <si>
    <t>プリセットレイアウトコードコピー</t>
  </si>
  <si>
    <t>MD1506</t>
  </si>
  <si>
    <t>コピー機能</t>
  </si>
  <si>
    <t>MD1507</t>
  </si>
  <si>
    <t>プリセット設定（タブ編集）画面</t>
  </si>
  <si>
    <t>SC1502</t>
  </si>
  <si>
    <t>プリセット画像アップロード</t>
  </si>
  <si>
    <t>MD1502</t>
  </si>
  <si>
    <t>画像アップロード</t>
    <phoneticPr fontId="7"/>
  </si>
  <si>
    <t>画像アップロード機能では次のことが可能になる。
店舗のプリセット画像、レシートロゴを説明する画像を管理する。
・現存説明画像の一覧を閲覧する。
・説明画像を追加する。
・現存説明画像を削除する。</t>
    <phoneticPr fontId="7"/>
  </si>
  <si>
    <t>画像アップロード</t>
  </si>
  <si>
    <t>SC6201</t>
  </si>
  <si>
    <t>商品登録メンテナンス機能</t>
    <rPh sb="0" eb="2">
      <t>ショウヒン</t>
    </rPh>
    <rPh sb="2" eb="4">
      <t>トウロク</t>
    </rPh>
    <rPh sb="10" eb="12">
      <t>キノウ</t>
    </rPh>
    <phoneticPr fontId="7"/>
  </si>
  <si>
    <t>緊急登録マスタメンテナンス機能</t>
    <rPh sb="0" eb="2">
      <t>キンキュウ</t>
    </rPh>
    <rPh sb="2" eb="4">
      <t>トウロク</t>
    </rPh>
    <rPh sb="13" eb="15">
      <t>キノウ</t>
    </rPh>
    <phoneticPr fontId="7"/>
  </si>
  <si>
    <t>商品管理（新規）画面</t>
  </si>
  <si>
    <t>SC4501</t>
  </si>
  <si>
    <t>売価メンテナンス機能</t>
    <rPh sb="0" eb="2">
      <t>バイカ</t>
    </rPh>
    <rPh sb="8" eb="10">
      <t>キノウ</t>
    </rPh>
    <phoneticPr fontId="7"/>
  </si>
  <si>
    <t>商品マスタメンテナンス機能</t>
    <rPh sb="0" eb="2">
      <t>ショウヒン</t>
    </rPh>
    <rPh sb="11" eb="13">
      <t>キノウ</t>
    </rPh>
    <phoneticPr fontId="7"/>
  </si>
  <si>
    <t>商品管理機能は、
・商品情報詳細をビューする。
・1, 7, 8 定番売価変更が可能
・当日の緊急売価を変更する。
・特売売価設定を新規作成・編集する
・ミックスマッチ新規・編集機能</t>
    <phoneticPr fontId="7"/>
  </si>
  <si>
    <t>01_商品管理</t>
  </si>
  <si>
    <t>・商品コード、またはPLUコードで商品情報を検索する。</t>
  </si>
  <si>
    <t xml:space="preserve">商品管理
</t>
  </si>
  <si>
    <t xml:space="preserve">SC0101
</t>
  </si>
  <si>
    <t>・商品情報の編集・削除などを行う</t>
  </si>
  <si>
    <t>商品管理（詳細）画面</t>
  </si>
  <si>
    <t>SC0102</t>
  </si>
  <si>
    <t>・その商品の緊急売価の新規・編集などを行う</t>
    <phoneticPr fontId="7"/>
  </si>
  <si>
    <t>緊急売価変更画面（商品管理より）</t>
  </si>
  <si>
    <t>SC0103</t>
  </si>
  <si>
    <t>・その商品の特売売価の新規・編集などを行う</t>
    <phoneticPr fontId="7"/>
  </si>
  <si>
    <t>特売売価設定画面（商品管理より）</t>
  </si>
  <si>
    <t>SC0104</t>
  </si>
  <si>
    <t>・その商品のミックスマッチ売価の新規・編集などを行う</t>
    <phoneticPr fontId="7"/>
  </si>
  <si>
    <t>ミックスマッチ設定画面（商品管理より）</t>
  </si>
  <si>
    <t>SC0105</t>
  </si>
  <si>
    <t>・プロモーションコードの検索を行う</t>
  </si>
  <si>
    <t>プロモーション検索</t>
  </si>
  <si>
    <t>MD0102</t>
  </si>
  <si>
    <t>02_緊急売価変更</t>
  </si>
  <si>
    <t>緊急売価変更機能により、次のことが可能になる。
・複数商品の緊急売価を同時に変更する。（変更日のみ店舗適用）</t>
    <phoneticPr fontId="7"/>
  </si>
  <si>
    <t>緊急売価変更画面（メインメニューより）</t>
  </si>
  <si>
    <t>SC0201</t>
  </si>
  <si>
    <t>02_緊急売価変更リセット機能</t>
  </si>
  <si>
    <t>・変更日が過ぎると、緊急売価が無効になり、クリアする必要がある。</t>
    <phoneticPr fontId="7"/>
  </si>
  <si>
    <t>夜間バッチで有効期限切れた緊急売価を削除するため、画面はなし</t>
  </si>
  <si>
    <t>06_1，7，8定番変更</t>
  </si>
  <si>
    <t>1, 7, 8 定番変更機能により次のことが可能になる。
・1、7、8部門の各商品の定番売価を毎日変更する。売価は当日以降のみ変更可能。
・定番売価変更履歴を日付・部門別に検索する。
・ 売価変更金額は当日のみ有効、売価変更が最優先になる。
・毎日バッチを実行して定番売価を更新する。</t>
    <phoneticPr fontId="7"/>
  </si>
  <si>
    <t>1，7，8定番変更</t>
  </si>
  <si>
    <t>SC0601</t>
  </si>
  <si>
    <t>特売マスタメンテナンス機能</t>
    <rPh sb="0" eb="2">
      <t>トクバイ</t>
    </rPh>
    <rPh sb="11" eb="13">
      <t>キノウ</t>
    </rPh>
    <phoneticPr fontId="7"/>
  </si>
  <si>
    <t>特売マスタ売価設定機能
・商品コード、PLU入力を行い、登録情報の閲覧や、特売売価の変更を行う。
・商品の特売売価設定または割引設定を行う。
・夜間バッチを使用して特売売価を削除し、過去の特売割引を行う。
・終了日が7日以前の特売情報を削除する。
・当日の商品情報がない特売マスタを削除する。
・当日の商品情報がないプロモーション情報を削除する。</t>
    <phoneticPr fontId="7"/>
  </si>
  <si>
    <t>03_店舗特売入力</t>
  </si>
  <si>
    <t>特売売価設定画面（メインメニューより）</t>
  </si>
  <si>
    <t>SC0301</t>
  </si>
  <si>
    <t>組合せマスタメンテナンス機能</t>
    <rPh sb="0" eb="2">
      <t>クミアワ</t>
    </rPh>
    <rPh sb="12" eb="14">
      <t>キノウ</t>
    </rPh>
    <phoneticPr fontId="7"/>
  </si>
  <si>
    <t>05_ミックスマッチ設定</t>
  </si>
  <si>
    <t>・ミックスマッチ情報を設定する。
‣新規作成　‣修正
‣削除：夜間バッチを使用して過去のミックスマッチ情報を削除する。
●終了日が7日前のミックスマッチ情報を削除する。
●現時点での商品情報がないミックスマッチ情報を削除する。
●現時点でのプロモーション情報がないミックスマッチ情報を削除する。
・商品コード、PLU入力を行い、登録情報の閲覧や、売価の変更を行う。
・プロモーションコードに紐づけられたミックスマッチコードに従って商品を設定する。1 つのミックスマッチコードで複数の商品設定が可能	
・ミックスマッチの有効期間はプロモーション期間内のみ設定可能
・ミックスマッチ設定を行う場合、商品の数量と売価を入力する必要がある。10つのミックスマッチオプション設定可能
・売価、割引、値引によるミックスマッチ設定可能</t>
    <phoneticPr fontId="7"/>
  </si>
  <si>
    <t>ミックスマッチ設定（メインメニューより</t>
  </si>
  <si>
    <t>SC0501</t>
  </si>
  <si>
    <t>・ミックスマッチコード、部門コード、期間の条件で検索する</t>
  </si>
  <si>
    <t>ミックスマッチ検索</t>
  </si>
  <si>
    <t>MD0501</t>
  </si>
  <si>
    <t>セットマッチ設定</t>
    <phoneticPr fontId="7"/>
  </si>
  <si>
    <t>セットマッチ設定機能
・セットマッチ情報を設定する。
　‣新規作成	‣修正
・削除：夜間実行セットマッチを削除するバッチ、または画面上で削除するバッチがある。
・プロモーションコードに紐づけられたセットマッチコードに従って商品を設定する。1つのセットマッチコードで複数の設定が可能。
・セットマッチの有効期間はプロモーション期間内のみ設定可能。
・セットマッチ設定時にセットマッチの1つ製品グループの購入対象商品数を入力する必要がある。	
・売価、割引、値引によるセットマッチ設定可能。</t>
    <phoneticPr fontId="7"/>
  </si>
  <si>
    <t>セットマッチ設定</t>
  </si>
  <si>
    <t>SC0701</t>
  </si>
  <si>
    <t>企画マスタメンテナンス機能</t>
    <rPh sb="0" eb="2">
      <t>キカク</t>
    </rPh>
    <rPh sb="11" eb="13">
      <t>キノウ</t>
    </rPh>
    <phoneticPr fontId="7"/>
  </si>
  <si>
    <t>プロモーションメンテには次のことが可能になる。
・プロモーション検索
・プロモーション情報表示
・プロモーション設定編集
・プロモーション新規作成
・プロモーション削除
・毎晩バッチ処理により、終了日が現在日より7日以上前のプロモーションコードを削除する。</t>
    <phoneticPr fontId="7"/>
  </si>
  <si>
    <t>10_プロモーションメンテ</t>
  </si>
  <si>
    <t>プロモーションメンテ</t>
  </si>
  <si>
    <t>SC1001</t>
  </si>
  <si>
    <t>商品階層自動値引マスタ機能</t>
    <rPh sb="0" eb="2">
      <t>ショウヒン</t>
    </rPh>
    <rPh sb="2" eb="4">
      <t>カイソウ</t>
    </rPh>
    <rPh sb="4" eb="6">
      <t>ジドウ</t>
    </rPh>
    <rPh sb="6" eb="8">
      <t>ネビキ</t>
    </rPh>
    <rPh sb="11" eb="13">
      <t>キノウ</t>
    </rPh>
    <phoneticPr fontId="7"/>
  </si>
  <si>
    <t>カテゴリ値引/割引設定機能によりカテゴリ値引・割引の新規作成・更新・削除が可能
カテゴリ階層は次の通りである。
カスミ：01:部門/02:品群/03:品種/04:分類
いなげや：01:部門/02:大分類/03:中分類/04:ー</t>
    <rPh sb="98" eb="101">
      <t>ダイブンルイ</t>
    </rPh>
    <rPh sb="105" eb="108">
      <t>チュウブンルイ</t>
    </rPh>
    <phoneticPr fontId="7"/>
  </si>
  <si>
    <t>カテゴリ値引／割引設定</t>
    <phoneticPr fontId="7"/>
  </si>
  <si>
    <t>カテゴリ値引割引</t>
  </si>
  <si>
    <t>SC0801</t>
  </si>
  <si>
    <t>カテゴリ値引割引情報</t>
  </si>
  <si>
    <t>MD0801</t>
  </si>
  <si>
    <t>保留_保留解除</t>
    <phoneticPr fontId="7"/>
  </si>
  <si>
    <t>レジ操作で、保留_保留解除作業を行う。</t>
    <phoneticPr fontId="7"/>
  </si>
  <si>
    <t>期限切れマスタ削除</t>
    <phoneticPr fontId="7"/>
  </si>
  <si>
    <t>特売マスタ　終了日から7日経過マスタ削除</t>
  </si>
  <si>
    <t>ミックスマッチマスタ　終了日から7日経過マスタ削除</t>
  </si>
  <si>
    <t>商品採用店舗確認</t>
    <phoneticPr fontId="7"/>
  </si>
  <si>
    <t>商品採用店舗確認機能では次のことが可能になる。
・PLUコード*を入力して、どのスーパーに商品があるか確認する。
・「カスミ」又は「ウエルシア」の売上計算が必要な情報は編集可能。</t>
    <phoneticPr fontId="7"/>
  </si>
  <si>
    <t>04_商品採用店舗確認</t>
    <phoneticPr fontId="7"/>
  </si>
  <si>
    <t>商品採用店舗確認</t>
  </si>
  <si>
    <t>SC0401</t>
  </si>
  <si>
    <t>小計値引メンテナンス</t>
    <rPh sb="0" eb="2">
      <t>ショウケイ</t>
    </rPh>
    <rPh sb="2" eb="4">
      <t>ネビキ</t>
    </rPh>
    <phoneticPr fontId="7"/>
  </si>
  <si>
    <t>クレジット小計割引設定</t>
    <phoneticPr fontId="7"/>
  </si>
  <si>
    <t>クレジット小計割引設定機能では次のことが可能になる。
・クレジットカードで支払う時の毎週又は毎月の割引を閲覧、設定する。
・その後の全ての月に適用される。
・バッチを実行してクレジット小計割引日を設定する。	
・会社のクレジットカードを使用してその会社の店舗で購入した顧客に直接割引を適用する。</t>
    <phoneticPr fontId="7"/>
  </si>
  <si>
    <t>さんにち割データ作成機能</t>
    <rPh sb="4" eb="5">
      <t>ワリ</t>
    </rPh>
    <rPh sb="8" eb="10">
      <t>サクセイ</t>
    </rPh>
    <rPh sb="10" eb="12">
      <t>キノウ</t>
    </rPh>
    <phoneticPr fontId="7"/>
  </si>
  <si>
    <t>さんにち割設定画面</t>
  </si>
  <si>
    <t>22_クレジット小計割引設定</t>
    <rPh sb="8" eb="10">
      <t>ショウケイ</t>
    </rPh>
    <rPh sb="10" eb="12">
      <t>ワリビキ</t>
    </rPh>
    <rPh sb="12" eb="14">
      <t>セッテイ</t>
    </rPh>
    <phoneticPr fontId="7"/>
  </si>
  <si>
    <t>クレジット小計割引設定</t>
  </si>
  <si>
    <t>SC2201</t>
  </si>
  <si>
    <t>割引日一覧CSVファイル出力</t>
  </si>
  <si>
    <t>KNXXXX</t>
  </si>
  <si>
    <t>カテゴリ割引レシートクーポン設定</t>
  </si>
  <si>
    <t>カテゴリ割引レシートクーポン設定機能では次のことが可能になる。
・1つ又は複数の店舗のカテゴリのレシートクーポンを閲覧、追加、編集、削除する。
・カテゴリ割引レシートクーポンは、ユーザーが発券期間内にお買い物をした場合にお買い上げレシートの後に印刷されるカテゴリのクーポン券である。
・また、クーポン券に印字されている期間内でのお買い物時に使用できるものとなる。</t>
    <phoneticPr fontId="7"/>
  </si>
  <si>
    <t>SC9601</t>
  </si>
  <si>
    <t>レシートクーポン設定</t>
    <phoneticPr fontId="7"/>
  </si>
  <si>
    <t>レシートクーポン設定機能は次のことが可能になる。
・1つ以上の店舗のレシートクーポンの閲覧、追加、編集、削除	
・レシートクーポンは、ユーザーが発券期間内にお買い物をした場合にお買い上げレシートの後に印刷されるクーポン券である。
・また、クーポン券に印字されている期間内でのお買い物時に使用できるものとなる。</t>
    <phoneticPr fontId="7"/>
  </si>
  <si>
    <t>SC2801</t>
  </si>
  <si>
    <t>メガ割設定</t>
  </si>
  <si>
    <t>メガ割設定機能では次のことが可能になる。
・曜日、日で商品部門の割引率を閲覧、設定する。
・割引は終日適用され、毎週及び毎月繰り返される。
・フローには編集モードのみがある。</t>
    <phoneticPr fontId="7"/>
  </si>
  <si>
    <t>37_メガ割設定</t>
    <phoneticPr fontId="7"/>
  </si>
  <si>
    <t>メガ割設定画面</t>
  </si>
  <si>
    <t>SC3701</t>
  </si>
  <si>
    <t>朝割設定</t>
  </si>
  <si>
    <t>朝割設定機能では次のことが可能になる。	
・部門の曜日別の朝割の時間帯、割引率を閲覧、設定する。
・適用が毎週及び毎月繰り返される。
・朝割プログラムを解除する。</t>
    <phoneticPr fontId="7"/>
  </si>
  <si>
    <t>38_朝割設定</t>
    <phoneticPr fontId="7"/>
  </si>
  <si>
    <t>SC3801</t>
  </si>
  <si>
    <t>ポイント系</t>
  </si>
  <si>
    <t>ignicaPOINTマスタ</t>
    <phoneticPr fontId="7"/>
  </si>
  <si>
    <t>ignicaポイントマスタ</t>
    <phoneticPr fontId="7"/>
  </si>
  <si>
    <t>ポイント単位使用設定</t>
  </si>
  <si>
    <t>店舗ID別、利用期限別のポイント単位一覧を表示する。
店舗別、適用期間別のポイント単位を追加・編集・削除する。</t>
    <phoneticPr fontId="7"/>
  </si>
  <si>
    <t>SC2301</t>
  </si>
  <si>
    <t>WAONポイントN倍設定</t>
  </si>
  <si>
    <t>システム権限を持つアカウントのみがこの機能を使用する権利を持っている。
WAONカード利用200円(税込)ごとにWAONポイントN倍設定</t>
    <phoneticPr fontId="7"/>
  </si>
  <si>
    <t>SC3901</t>
  </si>
  <si>
    <t>ジャーナル検索</t>
    <rPh sb="5" eb="7">
      <t>ケンサク</t>
    </rPh>
    <phoneticPr fontId="7"/>
  </si>
  <si>
    <t>ジャーナル検索機能</t>
    <phoneticPr fontId="7"/>
  </si>
  <si>
    <t>開始・終了日、開始・終了時刻の時間帯、最大検索件数によりジャーナル一覧を検索する。
また、レシートNo.、担当者、任意文字列（キーワード）からも検索できる。
検索結果取得後、選択されたレシートのイメージ一覧を表示でき、印刷できる。</t>
    <phoneticPr fontId="7"/>
  </si>
  <si>
    <t>ジャーナル検索</t>
  </si>
  <si>
    <t>SC2101</t>
  </si>
  <si>
    <t>閉め業務</t>
    <rPh sb="0" eb="1">
      <t>シ</t>
    </rPh>
    <rPh sb="2" eb="4">
      <t>ギョウム</t>
    </rPh>
    <phoneticPr fontId="7"/>
  </si>
  <si>
    <t>レジ精算入力</t>
  </si>
  <si>
    <t>レジ精算入力機能では次のことが可能になる。
・店舗のレジの状態を表示する。
・選択した日付ごとにより店舗全体の売上が出力可能  
  ‣ログインユーザーが管理者ユーザーの場合、62日以内選択可能  ‣ログインユーザーが管理者ユーザーではない場合、当日から直近3日選択可能
・レジごとの詳細売上を表示して実際で金額が編集可能
・レジが精算を忘れた場合、POSサーバーがバッチを使用して自動的に精算する。</t>
    <phoneticPr fontId="7"/>
  </si>
  <si>
    <t>SC2001</t>
  </si>
  <si>
    <t>店舗強制閉店</t>
  </si>
  <si>
    <t>レジ精算項目設定</t>
  </si>
  <si>
    <t>システム機能</t>
    <rPh sb="4" eb="6">
      <t>キノウ</t>
    </rPh>
    <phoneticPr fontId="7"/>
  </si>
  <si>
    <t>ログイン機能</t>
    <rPh sb="4" eb="6">
      <t>キノウ</t>
    </rPh>
    <phoneticPr fontId="7"/>
  </si>
  <si>
    <t>アカウントID、パスワードでシステムにログインを行う。</t>
    <phoneticPr fontId="7"/>
  </si>
  <si>
    <t>ログイン画面</t>
  </si>
  <si>
    <t>SCX001</t>
  </si>
  <si>
    <t>接続元により接続先のWEBアドレス変換機能</t>
    <phoneticPr fontId="7"/>
  </si>
  <si>
    <t>担当者マスタ＋権限照会機能</t>
    <phoneticPr fontId="7"/>
  </si>
  <si>
    <t>メインメニュー機能</t>
    <rPh sb="7" eb="9">
      <t>キノウ</t>
    </rPh>
    <phoneticPr fontId="7"/>
  </si>
  <si>
    <t>メインメニュー</t>
  </si>
  <si>
    <t>SCX101</t>
  </si>
  <si>
    <t>マスタ設定</t>
  </si>
  <si>
    <t>取扱設定マスタ設定(KSM)</t>
  </si>
  <si>
    <t>取扱設定マスタ設定(KSM)では次のことが可能になる。
・各レベルに分類された商品部門を閲覧する。
・商品部門の取扱有無を設定: 有、無
・部門の一括取扱有無を設定する。
・この設定は商品部門に関連する画面、機能に適用される。
・カスミ様の店舗のみ適用</t>
    <phoneticPr fontId="7"/>
  </si>
  <si>
    <t>SC2501</t>
  </si>
  <si>
    <t>取扱設定マスタ設定(Welcia)</t>
  </si>
  <si>
    <t>取扱設定マスタ設定(Welcia)では次のことが可能になる。
・各レベルに分類された分類一覧を閲覧する。
・以下のように分類の取扱有無を設定する。 有、無・以下のように分類の医薬品有無を設定する。 有、無
・この設定は分類に関連する画面、機能に適用される。
・Welcia連携店舗のみが対象となる。</t>
    <phoneticPr fontId="7"/>
  </si>
  <si>
    <t>SC2601</t>
  </si>
  <si>
    <t>商品券のバーコードメンテナンスを行う</t>
    <rPh sb="0" eb="3">
      <t>ショウヒンケン</t>
    </rPh>
    <rPh sb="16" eb="17">
      <t>オコナ</t>
    </rPh>
    <phoneticPr fontId="7"/>
  </si>
  <si>
    <t>消費税率メンテナンス機能</t>
    <rPh sb="0" eb="3">
      <t>ショウヒゼイ</t>
    </rPh>
    <rPh sb="3" eb="4">
      <t>リツ</t>
    </rPh>
    <rPh sb="10" eb="12">
      <t>キノウ</t>
    </rPh>
    <phoneticPr fontId="7"/>
  </si>
  <si>
    <t>消費税率のマスタメンテナンスを行う。</t>
    <rPh sb="0" eb="3">
      <t>ショウヒゼイ</t>
    </rPh>
    <rPh sb="3" eb="4">
      <t>リツ</t>
    </rPh>
    <rPh sb="15" eb="16">
      <t>オコナ</t>
    </rPh>
    <phoneticPr fontId="7"/>
  </si>
  <si>
    <t>コード決済マスタ</t>
    <rPh sb="3" eb="5">
      <t>ケッサイ</t>
    </rPh>
    <phoneticPr fontId="7"/>
  </si>
  <si>
    <t>コード決済のマスタメンテナンスを行う。（加盟店番号など）</t>
    <rPh sb="3" eb="5">
      <t>ケッサイ</t>
    </rPh>
    <rPh sb="16" eb="17">
      <t>オコナ</t>
    </rPh>
    <rPh sb="20" eb="23">
      <t>カメイテン</t>
    </rPh>
    <rPh sb="23" eb="25">
      <t>バンゴウ</t>
    </rPh>
    <phoneticPr fontId="7"/>
  </si>
  <si>
    <t>券マスタ設定</t>
  </si>
  <si>
    <t>券マスタ設定機能では次のことが可能になる。
・フローはシステム権限を持つアカウントのみが使用可能
・支払券、値引券の一覧を表示する。
・支払券、値引券を券名称で検索する。
・支払券又は値引券を新規追加・編集・削除する。
・作成した値引券が28_レシートクーポン設定のフローで使用される。
・支払券が15_タッチメニュー設定のフローで使用される。</t>
    <phoneticPr fontId="7"/>
  </si>
  <si>
    <t>SC6601</t>
  </si>
  <si>
    <t>メッセージマスタ設定</t>
  </si>
  <si>
    <t>メッセージマスタ設定機能では次のことが可能になる。
・種類、メッセージコード、メッセージ種別、メッセージに従って1つ又は複数の店舗のメッセージマスタリストを検索して表示する。
・1つ又は複数の店舗のメッセージマスタを設定する。
‣新規作成‣編集‣削除‣コピー・種類をレシート、ラインディスプレイとしてメッセージマスタを新規作成する。
・28_レシートクーポン設定のフローでレシートが使用される。</t>
    <phoneticPr fontId="7"/>
  </si>
  <si>
    <t>店舗マスタに集合</t>
  </si>
  <si>
    <t>新規_汎用設定（名称）</t>
  </si>
  <si>
    <t>SC4101</t>
  </si>
  <si>
    <t>新規_汎用設定（アプリ）</t>
  </si>
  <si>
    <t>SC4201</t>
  </si>
  <si>
    <t>マスタ再配信</t>
    <phoneticPr fontId="7"/>
  </si>
  <si>
    <t>マスタの再配信を行う。</t>
    <rPh sb="4" eb="7">
      <t>サイハイシン</t>
    </rPh>
    <rPh sb="8" eb="9">
      <t>オコナ</t>
    </rPh>
    <phoneticPr fontId="7"/>
  </si>
  <si>
    <t>商品単品再送信機能</t>
    <rPh sb="0" eb="2">
      <t>ショウヒン</t>
    </rPh>
    <rPh sb="2" eb="4">
      <t>タンピン</t>
    </rPh>
    <rPh sb="4" eb="7">
      <t>サイソウシン</t>
    </rPh>
    <rPh sb="7" eb="9">
      <t>キノウ</t>
    </rPh>
    <phoneticPr fontId="7"/>
  </si>
  <si>
    <t>Scan＆Go商品マスタ再配信</t>
  </si>
  <si>
    <t>SC8001</t>
  </si>
  <si>
    <t>企画(値引)再配信機能</t>
    <rPh sb="0" eb="2">
      <t>キカク</t>
    </rPh>
    <rPh sb="3" eb="5">
      <t>ネビキ</t>
    </rPh>
    <rPh sb="6" eb="9">
      <t>サイハイシン</t>
    </rPh>
    <rPh sb="9" eb="11">
      <t>キノウ</t>
    </rPh>
    <phoneticPr fontId="7"/>
  </si>
  <si>
    <t>企画マスタ関連の再配信を行う。</t>
    <rPh sb="0" eb="2">
      <t>キカク</t>
    </rPh>
    <rPh sb="5" eb="7">
      <t>カンレン</t>
    </rPh>
    <rPh sb="8" eb="11">
      <t>サイハイシン</t>
    </rPh>
    <rPh sb="12" eb="13">
      <t>オコナ</t>
    </rPh>
    <phoneticPr fontId="7"/>
  </si>
  <si>
    <t>Scan&amp;Go商品マスタ再配信</t>
  </si>
  <si>
    <t>システム権限を持つアカウントのみがこの機能を使用できる。
・各商品の売価をScan&amp;Goサーバーに再配信してScan&amp;Goに提供する。
・それぞれのScan&amp;Go店舗に適用する。
・バッチを実行して売価をScan&amp;Goサーバーに配信する。</t>
    <phoneticPr fontId="7"/>
  </si>
  <si>
    <t>05_POSアプリ連携</t>
    <phoneticPr fontId="7"/>
  </si>
  <si>
    <t>ファイルのパパPOSへの送信機能</t>
    <rPh sb="12" eb="14">
      <t>ソウシン</t>
    </rPh>
    <rPh sb="14" eb="16">
      <t>キノウ</t>
    </rPh>
    <phoneticPr fontId="7"/>
  </si>
  <si>
    <t>POSサーバー側で作成完了した連携マスタファイルを、随時、各店のパパPOSへ送信する機能</t>
    <rPh sb="7" eb="8">
      <t>ガワ</t>
    </rPh>
    <rPh sb="9" eb="11">
      <t>サクセイ</t>
    </rPh>
    <rPh sb="11" eb="13">
      <t>カンリョウ</t>
    </rPh>
    <rPh sb="15" eb="17">
      <t>レンケイ</t>
    </rPh>
    <rPh sb="26" eb="28">
      <t>ズイジ</t>
    </rPh>
    <rPh sb="29" eb="31">
      <t>カクテン</t>
    </rPh>
    <rPh sb="38" eb="40">
      <t>ソウシン</t>
    </rPh>
    <rPh sb="42" eb="44">
      <t>キノウ</t>
    </rPh>
    <phoneticPr fontId="7"/>
  </si>
  <si>
    <t>パパPOSから、ママPOS、子POSへのファイル送信機能</t>
    <rPh sb="14" eb="15">
      <t>コ</t>
    </rPh>
    <rPh sb="24" eb="26">
      <t>ソウシン</t>
    </rPh>
    <rPh sb="26" eb="28">
      <t>キノウ</t>
    </rPh>
    <phoneticPr fontId="7"/>
  </si>
  <si>
    <t>06_売価生成</t>
    <phoneticPr fontId="7"/>
  </si>
  <si>
    <t>商品スキャンより、売価を表示する。</t>
    <rPh sb="0" eb="2">
      <t>ショウヒン</t>
    </rPh>
    <rPh sb="9" eb="11">
      <t>バイカ</t>
    </rPh>
    <rPh sb="12" eb="14">
      <t>ヒョウジ</t>
    </rPh>
    <phoneticPr fontId="7"/>
  </si>
  <si>
    <t>07_売上生成</t>
    <phoneticPr fontId="7"/>
  </si>
  <si>
    <t>お会計処理を行う。</t>
    <rPh sb="1" eb="3">
      <t>カイケイ</t>
    </rPh>
    <rPh sb="3" eb="5">
      <t>ショリ</t>
    </rPh>
    <rPh sb="6" eb="7">
      <t>オコナ</t>
    </rPh>
    <phoneticPr fontId="7"/>
  </si>
  <si>
    <t>08_実績送信(POSServer)</t>
    <phoneticPr fontId="7"/>
  </si>
  <si>
    <t>レジ精算データ作成</t>
  </si>
  <si>
    <t>未閉設レジの精算データ作成</t>
    <phoneticPr fontId="7"/>
  </si>
  <si>
    <t>09_実績集計機能</t>
    <phoneticPr fontId="7"/>
  </si>
  <si>
    <t>部門別売上速報・日報</t>
  </si>
  <si>
    <t>・部門別売上速報を作成する。　
   ‣売上速報を印刷する。　
   ‣商品部門レベルの拡大と絞り込みを行う。
・商品部門と日報のオプションにより売上日報を作成する。　
   ‣売上日報を印刷する。　
   ‣商品部門レベルの拡大と絞り込みを行う。
・時間帯と日報のオプションにより売上レポートを作成する。　
    ‣売上レポートを印刷する。</t>
    <phoneticPr fontId="7"/>
  </si>
  <si>
    <t>SC1101</t>
  </si>
  <si>
    <t>単品速報・日報</t>
  </si>
  <si>
    <t>・商品又は部門～分類を指定して売上等を単品別と時間帯別に表示する。
・速報又は日報別売上情報を選択して表示可能
・商品又はカテゴリ指定単品速報/日報をPDFで出力可能。</t>
    <phoneticPr fontId="7"/>
  </si>
  <si>
    <t>SC1201</t>
  </si>
  <si>
    <t>テナント売上速報・日報</t>
  </si>
  <si>
    <t>テナント売上速報/日報では次のことが可能になる。
・店舗内のテナントの売上速報（現在日）を作成する。アクションを追加で実行できる。
‣売上速報を印刷する。
・店舗内のテナントの売上日報を作成する。アクションを追加で実行できる。
‣レポートの出力日を選択する。
‣売上日報を印刷する。</t>
    <phoneticPr fontId="7"/>
  </si>
  <si>
    <t>SC1401</t>
  </si>
  <si>
    <t>売価変更勧告リスト</t>
  </si>
  <si>
    <t>変更売価リストが印刷可能になる。
・対象日・変更区分 (以下の区分から1つの区分を選択する。）全部、緊急売価戻、特売開始、特売開始T、区分変更、特売終了、売価変更、緊急売価
・同一売価（出力しない・出力する）
・NON-PLUコード（出力しない・出力する）変更売価リストはユーザーが選択した順序で表示される
。・分類構成順 ・変更区分順</t>
    <phoneticPr fontId="7"/>
  </si>
  <si>
    <t>SC1901</t>
  </si>
  <si>
    <t>レジ別時間帯別点検</t>
  </si>
  <si>
    <t>・各時間帯に従って店舗の各レジの日報を印刷する。
レポート情報には以下が含まれている。
‣営業日の各時間帯に従う各レジの客数、点数、金額
‣各レジの1営業日の総客数、総点数、総金額</t>
    <phoneticPr fontId="7"/>
  </si>
  <si>
    <t>SC2901</t>
  </si>
  <si>
    <t>レジ別速報・日報</t>
  </si>
  <si>
    <t>レジ別速報/日報機能では次のことが可能になる。
・現在日の速報と日報により各レジのレポート一覧を検索する。
・全てレジの合計レポートを統計する。
・各レジのレポート詳細を速報、日報、月報の形式で閲覧する。
・レポート詳細情報：売上部門、税・決済、入金・出、在高・値引、操作
 ・レジのレポートを印刷する。</t>
    <phoneticPr fontId="7"/>
  </si>
  <si>
    <t>SC3101</t>
  </si>
  <si>
    <t>レジ別単品別売上点検</t>
  </si>
  <si>
    <t>レジ別単品別売上点検機能では次のことが可能になる。
・レジ別商品売上を検索する。
・レジ別時間帯別売上を表示する。</t>
    <phoneticPr fontId="7"/>
  </si>
  <si>
    <t>SC3201</t>
  </si>
  <si>
    <t>10_POS状況確認機能</t>
    <phoneticPr fontId="7"/>
  </si>
  <si>
    <t>釣銭機状況照会</t>
    <phoneticPr fontId="7"/>
  </si>
  <si>
    <t>釣銭機状況照会機能では次のことが可能になる。
・¥1, ¥5, ¥10, ¥50, ¥100, ¥500, ¥1000, ¥2000, ¥5000, ¥10000の金種の保留枚数に応じて各レジの残額と補充額を閲覧する
・各レジの補充金額情報をpdfファイルで出力する。</t>
    <phoneticPr fontId="7"/>
  </si>
  <si>
    <t>SC3301</t>
  </si>
  <si>
    <t>釣銭機警告設定</t>
    <phoneticPr fontId="7"/>
  </si>
  <si>
    <t>釣銭機警告設定機能では次のことが可能になる。
・釣銭機の補充警告を設定する。
・釣銭機の回収警告を設定する。</t>
    <phoneticPr fontId="7"/>
  </si>
  <si>
    <t>SC8101</t>
  </si>
  <si>
    <t>レジ状況照会</t>
    <phoneticPr fontId="7"/>
  </si>
  <si>
    <t xml:space="preserve">レジ状況照会機能では次のことが可能になる。
・日別（過去・未来の日も選択可能）に1つ又は複数の店舗のレジ状況照会一覧とステータス(全通常と全異常）を検索して表示する。
・各レジの状況詳細を以下のように閲覧する。状態, 営業日、営業回数、開設回数、担当者、ダウンロードマスターバージョン、反映済マスターパージョンなど </t>
    <phoneticPr fontId="7"/>
  </si>
  <si>
    <t>SC7301</t>
  </si>
  <si>
    <t>11_外部連携(実績)</t>
    <phoneticPr fontId="7"/>
  </si>
  <si>
    <t>11_BIPROGY</t>
    <phoneticPr fontId="7"/>
  </si>
  <si>
    <t xml:space="preserve">単品別売上合計 </t>
  </si>
  <si>
    <t xml:space="preserve">単品別売上値引  </t>
  </si>
  <si>
    <t>特売実施実績</t>
  </si>
  <si>
    <t>廃棄実施実績</t>
  </si>
  <si>
    <t>レジ精算データ</t>
  </si>
  <si>
    <t>店内使用（経費）</t>
  </si>
  <si>
    <t>情報系時間帯実績</t>
    <phoneticPr fontId="7"/>
  </si>
  <si>
    <t>12_アイネス</t>
    <phoneticPr fontId="7"/>
  </si>
  <si>
    <t>ＰＯＳ分析(YYYYMMDD_店番前ゼロ6桁_ts.tar.gz)</t>
    <phoneticPr fontId="7"/>
  </si>
  <si>
    <t>3時00分受信開始</t>
    <phoneticPr fontId="7"/>
  </si>
  <si>
    <t>POSデータ(ｲｸﾞﾆｶﾏﾈｰ支払情報アリ）</t>
    <phoneticPr fontId="7"/>
  </si>
  <si>
    <t>POSデータ(ｲｸﾞﾆｶﾏﾈｰ支払情報ナシ）</t>
    <phoneticPr fontId="7"/>
  </si>
  <si>
    <t>WAONポイントデータ</t>
    <phoneticPr fontId="7"/>
  </si>
  <si>
    <t>スーパーストリーム(00100_店番前ゼロ4桁+00_YYYYMMDDHHMMSS.CSV)</t>
    <phoneticPr fontId="7"/>
  </si>
  <si>
    <t>スマートPOSクレジット対応_IFファイル</t>
    <phoneticPr fontId="7"/>
  </si>
  <si>
    <t>13_ソフテック</t>
    <phoneticPr fontId="7"/>
  </si>
  <si>
    <t>生産者実績</t>
    <phoneticPr fontId="7"/>
  </si>
  <si>
    <t>14_GC企画</t>
    <phoneticPr fontId="7"/>
  </si>
  <si>
    <t>売上確定累積データ</t>
    <phoneticPr fontId="7"/>
  </si>
  <si>
    <t>31_POS→Scan&amp;Go(カスミ)</t>
    <phoneticPr fontId="7"/>
  </si>
  <si>
    <t>取引情報</t>
  </si>
  <si>
    <t>取引明細のリンク情報</t>
  </si>
  <si>
    <t>商品明細情報</t>
  </si>
  <si>
    <t>値引情報</t>
  </si>
  <si>
    <t>取引の税情報</t>
  </si>
  <si>
    <t>取引の支払情報</t>
  </si>
  <si>
    <t>現外支払情報</t>
  </si>
  <si>
    <t>ポイント情報</t>
    <rPh sb="4" eb="6">
      <t>ジョウホウ</t>
    </rPh>
    <phoneticPr fontId="4"/>
  </si>
  <si>
    <t>価格変更情報</t>
  </si>
  <si>
    <t>支払情報</t>
  </si>
  <si>
    <t>入出金情報</t>
  </si>
  <si>
    <t>32_POS→Scan&amp;Go(いなげや)</t>
    <phoneticPr fontId="7"/>
  </si>
  <si>
    <t>12_外部連携(POS→Scan＆Go)</t>
    <phoneticPr fontId="7"/>
  </si>
  <si>
    <t>マスター連携</t>
    <rPh sb="4" eb="6">
      <t>レンケイ</t>
    </rPh>
    <phoneticPr fontId="7"/>
  </si>
  <si>
    <t>商品マスタ</t>
  </si>
  <si>
    <t>強制売価マスタ</t>
  </si>
  <si>
    <t>特売マスタ</t>
  </si>
  <si>
    <t>ＭＭマスタ</t>
  </si>
  <si>
    <t>ＭＭ商品マスタ</t>
  </si>
  <si>
    <t>税コードマスタ</t>
  </si>
  <si>
    <t>税グループ詳細マスタ</t>
  </si>
  <si>
    <t>税グループマスタ</t>
  </si>
  <si>
    <t>税タイプマスタ</t>
  </si>
  <si>
    <t>軽減税率マスタ</t>
  </si>
  <si>
    <t>取引LOG</t>
    <rPh sb="0" eb="2">
      <t>トリヒキ</t>
    </rPh>
    <phoneticPr fontId="2"/>
  </si>
  <si>
    <t>トラン連携</t>
    <rPh sb="3" eb="5">
      <t>レンケイ</t>
    </rPh>
    <phoneticPr fontId="7"/>
  </si>
  <si>
    <t>取引LOG</t>
    <phoneticPr fontId="7"/>
  </si>
  <si>
    <t>スマートPOS精算データ作成</t>
    <phoneticPr fontId="7"/>
  </si>
  <si>
    <t>スマートPOS連携ログより精算データ作成</t>
    <phoneticPr fontId="7"/>
  </si>
  <si>
    <t>13：PDA連携(●●●●)</t>
    <rPh sb="6" eb="8">
      <t>レンケイ</t>
    </rPh>
    <phoneticPr fontId="7"/>
  </si>
  <si>
    <t>API処理</t>
    <phoneticPr fontId="7"/>
  </si>
  <si>
    <t>ログイン認証</t>
  </si>
  <si>
    <t>ログイン画面で認証を行う。</t>
  </si>
  <si>
    <t>ログアウト</t>
  </si>
  <si>
    <t>ログアウトを行う。</t>
  </si>
  <si>
    <t>売価情報取得</t>
  </si>
  <si>
    <t>PLUスキャン後の売価情報を取得する</t>
  </si>
  <si>
    <t>定番売価更新</t>
  </si>
  <si>
    <t>定番売価の変更を行う。</t>
  </si>
  <si>
    <t>企画区分取得</t>
  </si>
  <si>
    <t>企画区分のリストを取得する。</t>
  </si>
  <si>
    <t>単品特売取得</t>
  </si>
  <si>
    <t>単品特売一覧を取得する。</t>
  </si>
  <si>
    <t>単品特売更新</t>
  </si>
  <si>
    <t>単品特売設定の新規登録・更新を行う。</t>
  </si>
  <si>
    <t>緊急売価更新</t>
  </si>
  <si>
    <t>緊急売価の変更を行う。</t>
  </si>
  <si>
    <t>グループ取得</t>
  </si>
  <si>
    <t>グループのリストを取得する。</t>
  </si>
  <si>
    <t>プリセット商品取得</t>
  </si>
  <si>
    <t>プリセット商品一覧を取得する。</t>
  </si>
  <si>
    <t>部門速報取得</t>
  </si>
  <si>
    <t>部門速報を取得する。</t>
  </si>
  <si>
    <t>品群速報取得</t>
  </si>
  <si>
    <t>品群速報を取得する。</t>
  </si>
  <si>
    <t>品種速報取得</t>
  </si>
  <si>
    <t>品種速報を取得する。</t>
  </si>
  <si>
    <t>分類速報取得</t>
  </si>
  <si>
    <t>分類速報を取得する。</t>
  </si>
  <si>
    <t>単品速報取得</t>
  </si>
  <si>
    <t>単品速報を取得する。</t>
  </si>
  <si>
    <t>店舗時間帯速報取得</t>
  </si>
  <si>
    <t>店舗時間帯速報を取得する。</t>
  </si>
  <si>
    <t>部門時間帯速報取得</t>
  </si>
  <si>
    <t>部門時間帯速報を取得する。</t>
  </si>
  <si>
    <t>品群時間帯速報取得</t>
  </si>
  <si>
    <t>品群時間帯速報を取得する。</t>
  </si>
  <si>
    <t>品種時間帯速報取得</t>
  </si>
  <si>
    <t>品種時間帯速報を取得する。</t>
  </si>
  <si>
    <t>分類時間帯速報取得</t>
  </si>
  <si>
    <t>分類時間帯速報を取得する。</t>
  </si>
  <si>
    <t>単品時間帯速報取得</t>
  </si>
  <si>
    <t>単品時間帯速報を取得する。</t>
  </si>
  <si>
    <t>単品速報取得(PLU指定)</t>
  </si>
  <si>
    <t>単品速報（月・週・日・時間帯）を取得する。</t>
  </si>
  <si>
    <t>廃棄情報取得</t>
  </si>
  <si>
    <t>入力済の廃棄情報を取得する。（新規登録時は当APIはCallしない）</t>
  </si>
  <si>
    <t>廃棄更新</t>
  </si>
  <si>
    <t>廃棄商品の登録を行う。</t>
  </si>
  <si>
    <t>廃棄部門別一覧取得</t>
  </si>
  <si>
    <t>部門別の廃棄一覧を取得する。</t>
  </si>
  <si>
    <t>廃棄商品別一覧取得</t>
  </si>
  <si>
    <t>商品別の廃棄一覧を取得する。</t>
  </si>
  <si>
    <t>レジグループ取得</t>
  </si>
  <si>
    <t>タブ取得</t>
  </si>
  <si>
    <t>レジグループのタブリストを取得する。</t>
  </si>
  <si>
    <t>プリセット廃棄一覧取得</t>
  </si>
  <si>
    <t>プリセット廃棄一覧を取得する。</t>
  </si>
  <si>
    <t>切替処理</t>
    <phoneticPr fontId="7"/>
  </si>
  <si>
    <t>14：POP連携(シャープ POP)</t>
    <phoneticPr fontId="7"/>
  </si>
  <si>
    <t>API処理 POSで使用している現在売価および特売売価を含む商品情報を、API経由でSHARPOPで利用します。</t>
    <phoneticPr fontId="7"/>
  </si>
  <si>
    <t>商品情報取得</t>
  </si>
  <si>
    <t>商品検索機能で使用　'検索キーに該当する商品の情報を取得</t>
    <phoneticPr fontId="7"/>
  </si>
  <si>
    <t>売価変更勧告リスト機能で使用　条件に合致する商品の情報を取得</t>
    <phoneticPr fontId="7"/>
  </si>
  <si>
    <t>ログイン</t>
  </si>
  <si>
    <t>セッションIDの取得　疎通確認を兼ねる　(PDAと兼用)</t>
    <phoneticPr fontId="7"/>
  </si>
  <si>
    <t>セッションIDの破棄 (PDAと兼用)</t>
    <phoneticPr fontId="7"/>
  </si>
  <si>
    <t>マスタ連携</t>
    <phoneticPr fontId="7"/>
  </si>
  <si>
    <t>店舗マスター</t>
  </si>
  <si>
    <t>メイン画面上部の店舗名の表示に使用</t>
    <phoneticPr fontId="7"/>
  </si>
  <si>
    <t>大分類（部門）マスター</t>
  </si>
  <si>
    <t>部門検索画面(部門検索)に使用</t>
    <phoneticPr fontId="7"/>
  </si>
  <si>
    <t>中分類（品群）マスター</t>
  </si>
  <si>
    <t>部門検索画面(品群検索)に使用</t>
    <phoneticPr fontId="7"/>
  </si>
  <si>
    <t>小分類（品種）マスター</t>
  </si>
  <si>
    <t>部門検索画面(品種検索)に使用</t>
    <phoneticPr fontId="7"/>
  </si>
  <si>
    <t>分類マスター</t>
  </si>
  <si>
    <t>分類検索での使用を想定</t>
    <phoneticPr fontId="7"/>
  </si>
  <si>
    <t>消費税率マスター（手動連携？おいおい）</t>
    <phoneticPr fontId="7"/>
  </si>
  <si>
    <r>
      <t>POP印刷画面の消費税率選択に使用</t>
    </r>
    <r>
      <rPr>
        <b/>
        <sz val="10"/>
        <color rgb="FFFF0000"/>
        <rFont val="Meiryo UI"/>
        <family val="3"/>
        <charset val="128"/>
      </rPr>
      <t xml:space="preserve"> ※本部PCより送信なので不要？</t>
    </r>
    <rPh sb="25" eb="27">
      <t>ソウシン</t>
    </rPh>
    <rPh sb="30" eb="32">
      <t>フヨウ</t>
    </rPh>
    <phoneticPr fontId="7"/>
  </si>
  <si>
    <t>大分類（部門）別消費税率マスター（手動連携？おいおい）</t>
    <phoneticPr fontId="7"/>
  </si>
  <si>
    <r>
      <t xml:space="preserve">POP印刷画面の消費税率選択に使用 </t>
    </r>
    <r>
      <rPr>
        <b/>
        <sz val="10"/>
        <color rgb="FFFF0000"/>
        <rFont val="Meiryo UI"/>
        <family val="3"/>
        <charset val="128"/>
      </rPr>
      <t>※本部PCより送信なので不要？</t>
    </r>
    <phoneticPr fontId="7"/>
  </si>
  <si>
    <t>産地マスター（手動連携？おいおい）</t>
    <phoneticPr fontId="7"/>
  </si>
  <si>
    <r>
      <t xml:space="preserve">産地一覧画面からの産地選択に使用 </t>
    </r>
    <r>
      <rPr>
        <b/>
        <sz val="10"/>
        <color rgb="FFFF0000"/>
        <rFont val="Meiryo UI"/>
        <family val="3"/>
        <charset val="128"/>
      </rPr>
      <t>※本部PCより送信なので不要？</t>
    </r>
    <phoneticPr fontId="7"/>
  </si>
  <si>
    <t>PDAに対して、POSSver2.0へ向け先変更</t>
    <rPh sb="4" eb="5">
      <t>タイ</t>
    </rPh>
    <rPh sb="19" eb="20">
      <t>ム</t>
    </rPh>
    <rPh sb="21" eb="22">
      <t>サキ</t>
    </rPh>
    <rPh sb="22" eb="24">
      <t>ヘンコウ</t>
    </rPh>
    <phoneticPr fontId="7"/>
  </si>
  <si>
    <t>15：ESL連携(イシダ様)</t>
    <rPh sb="6" eb="8">
      <t>レンケイ</t>
    </rPh>
    <rPh sb="12" eb="13">
      <t>サマ</t>
    </rPh>
    <phoneticPr fontId="7"/>
  </si>
  <si>
    <t>商品マスタ送信</t>
    <rPh sb="0" eb="2">
      <t>ショウヒン</t>
    </rPh>
    <rPh sb="5" eb="7">
      <t>ソウシン</t>
    </rPh>
    <phoneticPr fontId="7"/>
  </si>
  <si>
    <t>売価送信(一括)</t>
    <rPh sb="0" eb="2">
      <t>バイカ</t>
    </rPh>
    <rPh sb="2" eb="4">
      <t>ソウシン</t>
    </rPh>
    <rPh sb="5" eb="7">
      <t>イッカツ</t>
    </rPh>
    <phoneticPr fontId="7"/>
  </si>
  <si>
    <t>売価送信(更新)</t>
    <rPh sb="0" eb="2">
      <t>バイカ</t>
    </rPh>
    <rPh sb="2" eb="4">
      <t>ソウシン</t>
    </rPh>
    <rPh sb="5" eb="7">
      <t>コウシン</t>
    </rPh>
    <phoneticPr fontId="7"/>
  </si>
  <si>
    <t>売価反映タイミングで送信（セット可能時間を指定するか？）</t>
    <rPh sb="0" eb="2">
      <t>バイカ</t>
    </rPh>
    <rPh sb="2" eb="4">
      <t>ハンエイ</t>
    </rPh>
    <rPh sb="10" eb="12">
      <t>ソウシン</t>
    </rPh>
    <rPh sb="16" eb="18">
      <t>カノウ</t>
    </rPh>
    <rPh sb="18" eb="20">
      <t>ジカン</t>
    </rPh>
    <rPh sb="21" eb="23">
      <t>シテイ</t>
    </rPh>
    <phoneticPr fontId="7"/>
  </si>
  <si>
    <t>21_ダイソー連携</t>
    <rPh sb="7" eb="9">
      <t>レンケイ</t>
    </rPh>
    <phoneticPr fontId="7"/>
  </si>
  <si>
    <t>01_マスタ連携</t>
    <rPh sb="6" eb="8">
      <t>レンケイ</t>
    </rPh>
    <phoneticPr fontId="7"/>
  </si>
  <si>
    <t>商品マスタDB連携を行う</t>
    <rPh sb="0" eb="2">
      <t>ショウヒン</t>
    </rPh>
    <rPh sb="7" eb="9">
      <t>レンケイ</t>
    </rPh>
    <rPh sb="10" eb="11">
      <t>オコナ</t>
    </rPh>
    <phoneticPr fontId="7"/>
  </si>
  <si>
    <t>分類マスタ</t>
  </si>
  <si>
    <t>EXCELファイルのインポートを実施</t>
    <rPh sb="16" eb="18">
      <t>ジッシ</t>
    </rPh>
    <phoneticPr fontId="7"/>
  </si>
  <si>
    <t>02_実績連携</t>
    <rPh sb="3" eb="5">
      <t>ジッセキ</t>
    </rPh>
    <rPh sb="5" eb="7">
      <t>レンケイ</t>
    </rPh>
    <phoneticPr fontId="7"/>
  </si>
  <si>
    <t>売上実績</t>
    <phoneticPr fontId="7"/>
  </si>
  <si>
    <t>売上実績を、日次で21:30までに作成し連携する。
・売上データは21時迄で締める。（送信は21時迄）
・21時以降の売上データは翌日の売上データと一緒に送信する。</t>
    <rPh sb="0" eb="2">
      <t>ウリアゲ</t>
    </rPh>
    <rPh sb="2" eb="4">
      <t>ジッセキ</t>
    </rPh>
    <rPh sb="6" eb="8">
      <t>ニチジ</t>
    </rPh>
    <rPh sb="17" eb="19">
      <t>サクセイ</t>
    </rPh>
    <rPh sb="20" eb="22">
      <t>レンケイ</t>
    </rPh>
    <phoneticPr fontId="7"/>
  </si>
  <si>
    <t>22_ウエルシア連携</t>
    <rPh sb="8" eb="10">
      <t>レンケイ</t>
    </rPh>
    <phoneticPr fontId="7"/>
  </si>
  <si>
    <t>売上実績を、日次で21:30までに作成し連携する。</t>
    <rPh sb="0" eb="2">
      <t>ウリアゲ</t>
    </rPh>
    <rPh sb="2" eb="4">
      <t>ジッセキ</t>
    </rPh>
    <rPh sb="6" eb="8">
      <t>ニチジ</t>
    </rPh>
    <rPh sb="17" eb="19">
      <t>サクセイ</t>
    </rPh>
    <rPh sb="20" eb="22">
      <t>レンケイ</t>
    </rPh>
    <phoneticPr fontId="7"/>
  </si>
  <si>
    <t>80_アプリアップデート機能</t>
    <phoneticPr fontId="7"/>
  </si>
  <si>
    <t>81_アプリログ管理機能</t>
    <phoneticPr fontId="7"/>
  </si>
  <si>
    <t>82_アプリリモートアクセス機能</t>
    <phoneticPr fontId="7"/>
  </si>
  <si>
    <t>起動時間</t>
    <rPh sb="0" eb="2">
      <t>キドウ</t>
    </rPh>
    <rPh sb="2" eb="4">
      <t>ジカン</t>
    </rPh>
    <phoneticPr fontId="7"/>
  </si>
  <si>
    <t>再起動</t>
    <rPh sb="0" eb="3">
      <t>サイキドウ</t>
    </rPh>
    <phoneticPr fontId="7"/>
  </si>
  <si>
    <t>アクセス</t>
    <phoneticPr fontId="7"/>
  </si>
  <si>
    <t>その他</t>
  </si>
  <si>
    <t/>
  </si>
  <si>
    <t>87</t>
  </si>
  <si>
    <t>実績クリア</t>
  </si>
  <si>
    <t>89</t>
  </si>
  <si>
    <t>店舗実績再集計</t>
  </si>
  <si>
    <t>90</t>
  </si>
  <si>
    <t>スマホマスタ再配信</t>
  </si>
  <si>
    <t>91</t>
  </si>
  <si>
    <t>SS向け実績連携</t>
  </si>
  <si>
    <t>92</t>
  </si>
  <si>
    <t>ユニシスロボット再配信</t>
  </si>
  <si>
    <t>94</t>
  </si>
  <si>
    <t>OCマスタ取り込み</t>
  </si>
  <si>
    <t>SQL接続</t>
  </si>
  <si>
    <t>X_新規_ログ確認（夜間バッチエラー確認他）</t>
  </si>
  <si>
    <t>X_新規_レジクーポン発券設定ヘッダー（概要文言期間金額設定）</t>
  </si>
  <si>
    <t>新規_レジクーポン発券設定明細（対象店舗レジ設定）</t>
  </si>
  <si>
    <t>X_新規_マスタダウンロード</t>
  </si>
  <si>
    <t>X_新規_レシートクーポン商品設定</t>
  </si>
  <si>
    <t>X_グループ売価</t>
  </si>
  <si>
    <t>新規_画面設定（権限別設定）</t>
  </si>
  <si>
    <t>新規_商品マスタ登録（新規、更新、削除）</t>
  </si>
  <si>
    <t>新規_商品管理(詳細)</t>
  </si>
  <si>
    <t>※カスミ</t>
    <phoneticPr fontId="28"/>
  </si>
  <si>
    <t>ID</t>
    <phoneticPr fontId="28"/>
  </si>
  <si>
    <t>PASS</t>
    <phoneticPr fontId="28"/>
  </si>
  <si>
    <t>転送手段</t>
    <rPh sb="0" eb="2">
      <t>テンソウ</t>
    </rPh>
    <rPh sb="2" eb="4">
      <t>シュダン</t>
    </rPh>
    <phoneticPr fontId="28"/>
  </si>
  <si>
    <t>ディレクトリ</t>
    <phoneticPr fontId="28"/>
  </si>
  <si>
    <t>ファイル名</t>
    <rPh sb="4" eb="5">
      <t>メイ</t>
    </rPh>
    <phoneticPr fontId="28"/>
  </si>
  <si>
    <t>タイミング</t>
    <phoneticPr fontId="28"/>
  </si>
  <si>
    <t>ステータス</t>
    <phoneticPr fontId="28"/>
  </si>
  <si>
    <t>11</t>
    <phoneticPr fontId="28"/>
  </si>
  <si>
    <t>BIPROGY株式会社</t>
    <phoneticPr fontId="28"/>
  </si>
  <si>
    <t>INPUT</t>
    <phoneticPr fontId="28"/>
  </si>
  <si>
    <t>/IN_BIPROGY/Master/GHPLUM/</t>
  </si>
  <si>
    <t>GHPLUM.CSV</t>
    <phoneticPr fontId="28"/>
  </si>
  <si>
    <t>日次マスタ：21時30分</t>
    <phoneticPr fontId="28"/>
  </si>
  <si>
    <t>青柳さんにお願い</t>
    <rPh sb="0" eb="2">
      <t>アオヤギ</t>
    </rPh>
    <rPh sb="6" eb="7">
      <t>ネガ</t>
    </rPh>
    <phoneticPr fontId="7"/>
  </si>
  <si>
    <t>GHEVENTM.CSV</t>
  </si>
  <si>
    <t>GHBUNDLEM.CSV</t>
  </si>
  <si>
    <t>GHDISCOUNTM.CSV</t>
  </si>
  <si>
    <t>GMMDSEM.CSV</t>
  </si>
  <si>
    <t>GHPLUPOINT.CSV</t>
  </si>
  <si>
    <t>POPマスター(商品情報)</t>
  </si>
  <si>
    <t>P001</t>
    <phoneticPr fontId="28"/>
  </si>
  <si>
    <t>棚番マスタ(P003)(出力もとはシャープどうする？)</t>
    <rPh sb="0" eb="1">
      <t>タナ</t>
    </rPh>
    <rPh sb="1" eb="2">
      <t>バン</t>
    </rPh>
    <rPh sb="12" eb="14">
      <t>シュツリョク</t>
    </rPh>
    <phoneticPr fontId="28"/>
  </si>
  <si>
    <t>P003</t>
    <phoneticPr fontId="28"/>
  </si>
  <si>
    <t>日次マスタ：22時</t>
    <phoneticPr fontId="28"/>
  </si>
  <si>
    <t>予算</t>
    <phoneticPr fontId="28"/>
  </si>
  <si>
    <t>plbc9176.s01</t>
    <phoneticPr fontId="28"/>
  </si>
  <si>
    <t>月次マスタ（予算マスタ）：18時00分　月末日マイナス+5</t>
    <rPh sb="20" eb="23">
      <t>ガツマツヒ</t>
    </rPh>
    <phoneticPr fontId="28"/>
  </si>
  <si>
    <t>OUTPU</t>
    <phoneticPr fontId="28"/>
  </si>
  <si>
    <t>/OUT_BIPROGY/Result/{店舗番号}</t>
    <rPh sb="21" eb="23">
      <t>テンポ</t>
    </rPh>
    <rPh sb="23" eb="25">
      <t>バンゴウ</t>
    </rPh>
    <phoneticPr fontId="28"/>
  </si>
  <si>
    <t>情報系時間帯実績</t>
    <phoneticPr fontId="28"/>
  </si>
  <si>
    <t>PLUFLASH_YYYYMMDD.CSV</t>
    <phoneticPr fontId="28"/>
  </si>
  <si>
    <t>・前日分：AM７時５分にGETする。※過去７日分まで取込可能</t>
    <phoneticPr fontId="28"/>
  </si>
  <si>
    <t>・毎時：９時～２４時に毎時５分にGETする。</t>
    <phoneticPr fontId="28"/>
  </si>
  <si>
    <t>/OUT_BIPROGY/Result/</t>
    <phoneticPr fontId="28"/>
  </si>
  <si>
    <t>GHPLUSUM.CSV</t>
  </si>
  <si>
    <t xml:space="preserve">日次データは [テーブル名].CSVを作成する。2時00分迄
日次データは  [テーブル名].CSVを作成する。2時15分　受信開始
レジ精算は、2時に間に合わなかった場合は7時に差分だけ送る。
</t>
    <rPh sb="70" eb="72">
      <t>セイサン</t>
    </rPh>
    <rPh sb="75" eb="76">
      <t>ジ</t>
    </rPh>
    <rPh sb="77" eb="78">
      <t>マ</t>
    </rPh>
    <rPh sb="79" eb="80">
      <t>ア</t>
    </rPh>
    <rPh sb="85" eb="87">
      <t>バアイ</t>
    </rPh>
    <rPh sb="89" eb="90">
      <t>ジ</t>
    </rPh>
    <rPh sb="91" eb="93">
      <t>サブン</t>
    </rPh>
    <rPh sb="95" eb="96">
      <t>オク</t>
    </rPh>
    <phoneticPr fontId="28"/>
  </si>
  <si>
    <t>GHPLUDISC.CSV</t>
  </si>
  <si>
    <t>KDISCRESULT.CSV</t>
  </si>
  <si>
    <t>KSCRAPSND.CSV</t>
  </si>
  <si>
    <t>KSTORECLOSE.CSV</t>
  </si>
  <si>
    <t>GHPLUTASTE.CSV</t>
  </si>
  <si>
    <t>12</t>
    <phoneticPr fontId="28"/>
  </si>
  <si>
    <t>株式会社アイネス</t>
    <phoneticPr fontId="28"/>
  </si>
  <si>
    <t>ー</t>
    <phoneticPr fontId="28"/>
  </si>
  <si>
    <t>PUT</t>
    <phoneticPr fontId="28"/>
  </si>
  <si>
    <t>スマートPOSクレジット対応_IFファイル
(スーパーストリーム)</t>
    <phoneticPr fontId="28"/>
  </si>
  <si>
    <t>00100_店番前ゼロ4桁+00_YYYYMMDDHHMMSS.CSV</t>
    <phoneticPr fontId="28"/>
  </si>
  <si>
    <t>3時00分受信開始</t>
    <phoneticPr fontId="28"/>
  </si>
  <si>
    <t>{アイネス様FTPサーバー}/posvinx</t>
    <phoneticPr fontId="28"/>
  </si>
  <si>
    <t>POS分析：POSデータ(ｲｸﾞﾆｶﾏﾈｰ支払情報アリ）タイトル</t>
    <phoneticPr fontId="28"/>
  </si>
  <si>
    <t>YYYYMMDD_店番前ゼロ6桁_ts.tar.gz</t>
    <phoneticPr fontId="28"/>
  </si>
  <si>
    <r>
      <t>POS分析：POSデータ(ｲｸﾞﾆｶﾏﾈｰ支払情報ナシ）</t>
    </r>
    <r>
      <rPr>
        <sz val="10"/>
        <color theme="1"/>
        <rFont val="Meiryo UI"/>
        <family val="3"/>
        <charset val="128"/>
      </rPr>
      <t>明細この中にWAONポイント</t>
    </r>
    <rPh sb="28" eb="30">
      <t>メイサイ</t>
    </rPh>
    <rPh sb="32" eb="33">
      <t>ナカ</t>
    </rPh>
    <phoneticPr fontId="28"/>
  </si>
  <si>
    <r>
      <t>POS分析：WAONポイントデータ</t>
    </r>
    <r>
      <rPr>
        <sz val="10"/>
        <color theme="1"/>
        <rFont val="Meiryo UI"/>
        <family val="3"/>
        <charset val="128"/>
      </rPr>
      <t>クレジット</t>
    </r>
    <phoneticPr fontId="28"/>
  </si>
  <si>
    <t>圧縮</t>
    <rPh sb="0" eb="2">
      <t>アッシュク</t>
    </rPh>
    <phoneticPr fontId="7"/>
  </si>
  <si>
    <t>13</t>
    <phoneticPr fontId="28"/>
  </si>
  <si>
    <t>株式会社ソフテック</t>
    <phoneticPr fontId="28"/>
  </si>
  <si>
    <t>14</t>
    <phoneticPr fontId="28"/>
  </si>
  <si>
    <t>イオンフィナンシャルサービス株式会社　(GC企画)</t>
    <rPh sb="22" eb="24">
      <t>キカク</t>
    </rPh>
    <phoneticPr fontId="28"/>
  </si>
  <si>
    <t>売上確定累積データ(IC対応)</t>
    <phoneticPr fontId="28"/>
  </si>
  <si>
    <t>Ruriic.dat</t>
    <phoneticPr fontId="28"/>
  </si>
  <si>
    <t>15</t>
    <phoneticPr fontId="28"/>
  </si>
  <si>
    <t>シャープマーケティングジャパン株式会社</t>
    <phoneticPr fontId="28"/>
  </si>
  <si>
    <t>棚番マスタ(P003)</t>
    <rPh sb="0" eb="1">
      <t>タナ</t>
    </rPh>
    <rPh sb="1" eb="2">
      <t>バン</t>
    </rPh>
    <phoneticPr fontId="28"/>
  </si>
  <si>
    <t>店舗マスタ</t>
    <rPh sb="0" eb="2">
      <t>テンポ</t>
    </rPh>
    <phoneticPr fontId="28"/>
  </si>
  <si>
    <t>RM_STRMyyyyMMddHHmmsssss.tsv</t>
    <phoneticPr fontId="28"/>
  </si>
  <si>
    <t>マスター更新は、日中の差分更新、夜間のメンテナンス処理時の２通りあります。
AM 03:00 ～ 06:00 は メンテナンス時間帯となります。SHARPOPサーバーの再起動を行うため、差分更新用のファイルの配置をしないようにお願いいたします。</t>
    <phoneticPr fontId="28"/>
  </si>
  <si>
    <t>大分類(部門)マスタ</t>
    <rPh sb="0" eb="3">
      <t>ダイブンルイ</t>
    </rPh>
    <rPh sb="4" eb="6">
      <t>ブモン</t>
    </rPh>
    <phoneticPr fontId="28"/>
  </si>
  <si>
    <t>RM_MGRMyyyyMMddHHmmsssss.tsv</t>
    <phoneticPr fontId="28"/>
  </si>
  <si>
    <t>中分類(品群)マスタ</t>
    <rPh sb="0" eb="1">
      <t>チュウ</t>
    </rPh>
    <rPh sb="4" eb="6">
      <t>ヒングン</t>
    </rPh>
    <phoneticPr fontId="28"/>
  </si>
  <si>
    <t>RM_MIDMyyyyMMddHHmmsssss.tsv</t>
    <phoneticPr fontId="28"/>
  </si>
  <si>
    <t>小分類(品種)マスタ</t>
    <rPh sb="0" eb="1">
      <t>ショウ</t>
    </rPh>
    <rPh sb="4" eb="6">
      <t>ヒンシュ</t>
    </rPh>
    <phoneticPr fontId="28"/>
  </si>
  <si>
    <t>RM_MNRMyyyyMMddHHmmsssss.tsv</t>
    <phoneticPr fontId="28"/>
  </si>
  <si>
    <t>分類マスタ</t>
    <rPh sb="0" eb="2">
      <t>ブンルイ</t>
    </rPh>
    <phoneticPr fontId="28"/>
  </si>
  <si>
    <t>RM_DIVMyyyyMMddHHmmsssss.tsv</t>
    <phoneticPr fontId="28"/>
  </si>
  <si>
    <t>消費税率マスタ</t>
    <rPh sb="0" eb="3">
      <t>ショウヒゼイ</t>
    </rPh>
    <rPh sb="3" eb="4">
      <t>リツ</t>
    </rPh>
    <phoneticPr fontId="28"/>
  </si>
  <si>
    <t>RM_SZEIyyyyMMddHHmmsssss.txt</t>
    <phoneticPr fontId="28"/>
  </si>
  <si>
    <t>大分類別消費税率マスタ</t>
    <rPh sb="0" eb="3">
      <t>ダイブンルイ</t>
    </rPh>
    <rPh sb="3" eb="4">
      <t>ベツ</t>
    </rPh>
    <rPh sb="4" eb="6">
      <t>ショウヒ</t>
    </rPh>
    <rPh sb="6" eb="8">
      <t>ゼイリツ</t>
    </rPh>
    <phoneticPr fontId="28"/>
  </si>
  <si>
    <t>RM_DAIZyyyyMMddHHmmsssss.tsv</t>
    <phoneticPr fontId="28"/>
  </si>
  <si>
    <t>産地マスタ</t>
    <phoneticPr fontId="28"/>
  </si>
  <si>
    <t>RM_SANMyyyyMMddHHmmsssss.tsv</t>
    <phoneticPr fontId="28"/>
  </si>
  <si>
    <t>16</t>
    <phoneticPr fontId="28"/>
  </si>
  <si>
    <t>株式会社 イシダ</t>
    <phoneticPr fontId="28"/>
  </si>
  <si>
    <t>？</t>
    <phoneticPr fontId="28"/>
  </si>
  <si>
    <t>/OUT_ISHIDA/{店舗番号}</t>
    <phoneticPr fontId="28"/>
  </si>
  <si>
    <t>商品マスタ送信</t>
    <rPh sb="0" eb="2">
      <t>ショウヒン</t>
    </rPh>
    <rPh sb="5" eb="7">
      <t>ソウシン</t>
    </rPh>
    <phoneticPr fontId="26"/>
  </si>
  <si>
    <t>[店舗番号下3桁]＋[固定 "000"3桁]＋[年月日8桁]＋[時刻6桁]SHOHIN.TXT</t>
    <phoneticPr fontId="28"/>
  </si>
  <si>
    <t>■全件 新店時のみ　■差分 毎朝5:00頃</t>
    <phoneticPr fontId="28"/>
  </si>
  <si>
    <t>売価送信(一括)</t>
    <rPh sb="0" eb="2">
      <t>バイカ</t>
    </rPh>
    <rPh sb="2" eb="4">
      <t>ソウシン</t>
    </rPh>
    <rPh sb="5" eb="7">
      <t>イッカツ</t>
    </rPh>
    <phoneticPr fontId="26"/>
  </si>
  <si>
    <t>[店舗番号下3桁]＋[固定 "000"3桁]＋[年月日8桁]＋[時刻6桁]ESLDATA.TXT</t>
    <phoneticPr fontId="28"/>
  </si>
  <si>
    <t>■全件 毎朝5:30頃　■差分 日中</t>
    <phoneticPr fontId="28"/>
  </si>
  <si>
    <t>売価送信(更新)</t>
    <rPh sb="0" eb="2">
      <t>バイカ</t>
    </rPh>
    <rPh sb="2" eb="4">
      <t>ソウシン</t>
    </rPh>
    <rPh sb="5" eb="7">
      <t>コウシン</t>
    </rPh>
    <phoneticPr fontId="26"/>
  </si>
  <si>
    <t>21</t>
    <phoneticPr fontId="28"/>
  </si>
  <si>
    <t>ダイソー連携</t>
    <phoneticPr fontId="28"/>
  </si>
  <si>
    <t>GET</t>
    <phoneticPr fontId="28"/>
  </si>
  <si>
    <t>商品マスタ(共通フォーマット)</t>
    <rPh sb="0" eb="2">
      <t>ショウヒン</t>
    </rPh>
    <rPh sb="6" eb="8">
      <t>キョウツウ</t>
    </rPh>
    <phoneticPr fontId="28"/>
  </si>
  <si>
    <t>md_md_mst_sku_companynae_yyyymmddhhmmssmm.csv</t>
    <phoneticPr fontId="28"/>
  </si>
  <si>
    <t>日次：21時30分</t>
    <rPh sb="0" eb="2">
      <t>ニチジ</t>
    </rPh>
    <rPh sb="5" eb="6">
      <t>ジ</t>
    </rPh>
    <rPh sb="8" eb="9">
      <t>フン</t>
    </rPh>
    <phoneticPr fontId="28"/>
  </si>
  <si>
    <t>標準売上サマリデータ</t>
    <rPh sb="0" eb="2">
      <t>ヒョウジュン</t>
    </rPh>
    <rPh sb="2" eb="4">
      <t>ウリアゲ</t>
    </rPh>
    <phoneticPr fontId="28"/>
  </si>
  <si>
    <t>大創店舗コード(6桁)_YYYYMMDD_HHMMSS_SUMMARY.CSV</t>
    <rPh sb="0" eb="2">
      <t>ダイソウ</t>
    </rPh>
    <rPh sb="2" eb="4">
      <t>テンポ</t>
    </rPh>
    <rPh sb="9" eb="10">
      <t>ケタ</t>
    </rPh>
    <phoneticPr fontId="28"/>
  </si>
  <si>
    <t>日次：０時</t>
    <rPh sb="0" eb="2">
      <t>ニチジ</t>
    </rPh>
    <rPh sb="4" eb="5">
      <t>ジ</t>
    </rPh>
    <phoneticPr fontId="28"/>
  </si>
  <si>
    <t>22</t>
    <phoneticPr fontId="28"/>
  </si>
  <si>
    <t>ウエルシア</t>
    <phoneticPr fontId="28"/>
  </si>
  <si>
    <t>31</t>
    <phoneticPr fontId="28"/>
  </si>
  <si>
    <t>POS→Scan&amp;Go(カスミ)</t>
    <phoneticPr fontId="28"/>
  </si>
  <si>
    <t>32</t>
    <phoneticPr fontId="7"/>
  </si>
  <si>
    <t>POS→Scan&amp;Go(いなげや)</t>
    <phoneticPr fontId="7"/>
  </si>
  <si>
    <t>※いなげや</t>
    <phoneticPr fontId="28"/>
  </si>
  <si>
    <t>81</t>
    <phoneticPr fontId="28"/>
  </si>
  <si>
    <t>Scan＆Go(富士通＆VTI)</t>
    <rPh sb="8" eb="11">
      <t>フジツウ</t>
    </rPh>
    <phoneticPr fontId="28"/>
  </si>
  <si>
    <t>設計</t>
  </si>
  <si>
    <t>モック</t>
  </si>
  <si>
    <t xml:space="preserve">Code </t>
  </si>
  <si>
    <t>FT</t>
  </si>
  <si>
    <t>IT</t>
  </si>
  <si>
    <t>PT</t>
  </si>
  <si>
    <t>より簡単</t>
    <rPh sb="2" eb="4">
      <t>カンタン</t>
    </rPh>
    <phoneticPr fontId="3"/>
  </si>
  <si>
    <t>Rất Dễ</t>
  </si>
  <si>
    <t>簡単</t>
    <rPh sb="0" eb="2">
      <t>カンタン</t>
    </rPh>
    <phoneticPr fontId="3"/>
  </si>
  <si>
    <t>Dễ</t>
  </si>
  <si>
    <t>普通</t>
    <rPh sb="0" eb="2">
      <t>フツウ</t>
    </rPh>
    <phoneticPr fontId="3"/>
  </si>
  <si>
    <t>Trung bình</t>
  </si>
  <si>
    <t>複雑</t>
    <rPh sb="0" eb="2">
      <t>フクザツ</t>
    </rPh>
    <phoneticPr fontId="3"/>
  </si>
  <si>
    <t>Khó</t>
  </si>
  <si>
    <t>より複雑</t>
    <rPh sb="2" eb="4">
      <t>フクザツ</t>
    </rPh>
    <phoneticPr fontId="3"/>
  </si>
  <si>
    <t>Rất khó</t>
  </si>
  <si>
    <t>【重複】より簡単</t>
    <rPh sb="6" eb="8">
      <t>カンタン</t>
    </rPh>
    <phoneticPr fontId="3"/>
  </si>
  <si>
    <t>【重複】簡単</t>
    <rPh sb="4" eb="6">
      <t>カンタン</t>
    </rPh>
    <phoneticPr fontId="3"/>
  </si>
  <si>
    <t>【重複】普通</t>
    <rPh sb="4" eb="6">
      <t>フツウ</t>
    </rPh>
    <phoneticPr fontId="3"/>
  </si>
  <si>
    <t>【重複】複雑</t>
    <rPh sb="4" eb="6">
      <t>フクザツ</t>
    </rPh>
    <phoneticPr fontId="3"/>
  </si>
  <si>
    <t>【重複】より複雑</t>
    <rPh sb="6" eb="8">
      <t>フクザツ</t>
    </rPh>
    <phoneticPr fontId="3"/>
  </si>
  <si>
    <t>行高さ調整</t>
    <rPh sb="0" eb="2">
      <t>ギョウタカ</t>
    </rPh>
    <rPh sb="3" eb="5">
      <t>チョウセイ</t>
    </rPh>
    <phoneticPr fontId="5"/>
  </si>
  <si>
    <t>機能概要</t>
  </si>
  <si>
    <t>残工数
（人月）</t>
  </si>
  <si>
    <t>進捗</t>
  </si>
  <si>
    <t>1.5
いなげや</t>
  </si>
  <si>
    <t>2.0
カスミ・いなげや</t>
  </si>
  <si>
    <t>製造</t>
  </si>
  <si>
    <t>試験</t>
  </si>
  <si>
    <t>修正・
調整</t>
  </si>
  <si>
    <t>完了予定</t>
  </si>
  <si>
    <t>完了実績</t>
  </si>
  <si>
    <t>基本</t>
  </si>
  <si>
    <t>詳細</t>
  </si>
  <si>
    <t>インフラ</t>
  </si>
  <si>
    <t>AWS構築</t>
  </si>
  <si>
    <t>〇
8/14</t>
  </si>
  <si>
    <t>〇
8/21</t>
  </si>
  <si>
    <t>2024年9月</t>
  </si>
  <si>
    <t>構築済み・9月第1週までに検証作業を完成させる
10月中からS＆Gのマスタと同じようデータベースの構成を見直し</t>
  </si>
  <si>
    <t>-</t>
  </si>
  <si>
    <t>構築作業未着手</t>
  </si>
  <si>
    <t>ログイン・ログアウト</t>
  </si>
  <si>
    <t>X0</t>
  </si>
  <si>
    <t>ログイン機能</t>
  </si>
  <si>
    <t>アカウントID、パスワードでシステムにログインを行う。</t>
  </si>
  <si>
    <t>〇
6/11</t>
  </si>
  <si>
    <t>△
12月</t>
  </si>
  <si>
    <t>〇
8/16</t>
  </si>
  <si>
    <t>△</t>
  </si>
  <si>
    <t>詳細設計指摘対応中</t>
  </si>
  <si>
    <t>メニュー</t>
  </si>
  <si>
    <t>X1</t>
  </si>
  <si>
    <t>メニュー機能</t>
  </si>
  <si>
    <t>機能一覧を表示する。</t>
  </si>
  <si>
    <t>〇
7/26</t>
  </si>
  <si>
    <t>△
11/14</t>
  </si>
  <si>
    <t>〇
９/13</t>
  </si>
  <si>
    <t>自社での詳細設計が完了。カスミ様確認待ち</t>
  </si>
  <si>
    <t>プリセット系</t>
  </si>
  <si>
    <t>タッチメニュー設定</t>
    <phoneticPr fontId="5"/>
  </si>
  <si>
    <t xml:space="preserve">タッチメニュー設定機能により、次のことが可能になる。									
	・店舗のレイアウトプリセットを管理する。								
		　‣ビジネスレイアウト一覧を見る。							
		　‣1種類のビジネスレイアウトの詳細を見る。							
		　‣ビジネスレイアウトを検索する。							
	・店舗のビジネスレイアウトを設定する。								
		　‣新規作成							
		　‣編集							
		　‣削除							
		　‣コピー							
	・1種類のビジネスレイアウトの詳細を設定する。								
		　‣ ビジネスレイアウトのレイアウトプリセットの変更：名称、色など							
		　‣ボタンレイアウトプリセットを変更する。							
			　　●色、イメージ、名称、サイズ、有効・無効など						
			　　●ボタンレイアウトプリセットの機能：商品、クーポン、割引など	</t>
  </si>
  <si>
    <t>△
7/19</t>
  </si>
  <si>
    <t>△
11/9</t>
  </si>
  <si>
    <t>△
　11/19</t>
  </si>
  <si>
    <t>画像アップロード</t>
    <phoneticPr fontId="5"/>
  </si>
  <si>
    <t xml:space="preserve">画像アップロード機能では次のことが可能になる。					
	店舗のプリセット画像、レシートロゴを説明する画像を管理する。				
		・現存説明画像の一覧を閲覧する。			
		・説明画像を追加する。			
		・現存説明画像を削除する。	</t>
  </si>
  <si>
    <t>×</t>
  </si>
  <si>
    <t>基本設計指摘対応中</t>
  </si>
  <si>
    <t>ジャーナル系</t>
  </si>
  <si>
    <t>開始・終了日、開始・終了時刻の時間帯、最大検索件数によりジャーナル一覧を検索する。
また、レシートNo.、担当者、任意文字列（キーワード）からも検索できる。
検索結果取得後、選択されたレシートのイメージ一覧を表示でき、印刷できる。</t>
  </si>
  <si>
    <t>〇
10/01</t>
  </si>
  <si>
    <t>〇
11/15</t>
  </si>
  <si>
    <t>△
8/23</t>
  </si>
  <si>
    <t>レジ系・釣銭機関連</t>
  </si>
  <si>
    <t>釣銭機状況照会</t>
  </si>
  <si>
    <t xml:space="preserve">釣銭機状況照会機能では次のことが可能になる。		
	・¥1, ¥5, ¥10, ¥50, ¥100, ¥500, ¥1000, ¥2000, ¥5000, ¥10000の金種の保留枚数に応じて各レジの残額と補充額を閲覧する	
	・各レジの補充金額情報をpdfファイルで出力する。	</t>
  </si>
  <si>
    <t>△
8/19</t>
  </si>
  <si>
    <t>`</t>
  </si>
  <si>
    <t>レジマスタ設定</t>
  </si>
  <si>
    <t xml:space="preserve">レジマスタ設定機能では次のことが可能になる。				
	レジのマスタ情報を表示する。			
	レジのマスタ情報を追加・編集・削除する。			
	レジのマスタ情報をCSVファイルで取込・出力。	</t>
  </si>
  <si>
    <t>△
11/6</t>
  </si>
  <si>
    <t>仕様変更により基本設計・詳細設計更新中</t>
  </si>
  <si>
    <t>取引系</t>
  </si>
  <si>
    <t>保留_保留解除</t>
  </si>
  <si>
    <t>レジ操作で、保留_保留解除作業を行う。</t>
  </si>
  <si>
    <t>未定</t>
  </si>
  <si>
    <t>商品系</t>
  </si>
  <si>
    <t>商品マスタの登録内容が不明</t>
    <rPh sb="0" eb="2">
      <t>ショウヒン</t>
    </rPh>
    <rPh sb="6" eb="10">
      <t>トウロクナイヨウ</t>
    </rPh>
    <rPh sb="11" eb="13">
      <t>フメイ</t>
    </rPh>
    <phoneticPr fontId="5"/>
  </si>
  <si>
    <t>01</t>
  </si>
  <si>
    <t>商品管理</t>
  </si>
  <si>
    <t>商品管理機能は、					
	・商品情報詳細をビューする。				
	・1, 7, 8 定番売価変更が可能				
	・当日の緊急売価を変更する。				
	・特売売価設定を新規作成・編集する 				
	・ミックスマッチ新規・編集機能</t>
  </si>
  <si>
    <t>△
09/25</t>
  </si>
  <si>
    <t>〇
7/24</t>
  </si>
  <si>
    <t>12月</t>
  </si>
  <si>
    <t>削除機能についてカスミ様は検討中</t>
  </si>
  <si>
    <t>02</t>
  </si>
  <si>
    <t>緊急売価変更</t>
  </si>
  <si>
    <t xml:space="preserve">緊急売価変更機能により、次のことが可能になる。				
	・複数商品の緊急売価を同時に変更する。（変更日のみ店舗適用）			
	・変更日が過ぎると、緊急売価が無効になり、クリアする必要がある。	</t>
  </si>
  <si>
    <t>〇
7/29</t>
  </si>
  <si>
    <t>03</t>
  </si>
  <si>
    <t>店舗特売入力</t>
  </si>
  <si>
    <t>特売マスタ売価設定機能				
	・商品コード、PLU入力を行い、登録情報の閲覧や、特売売価の変更を行う。			
	・商品の特売売価設定または割引設定を行う。			
	・夜間バッチを使用して特売売価を削除し、過去の特売割引を行う。			
		・終了日が7日以前の特売情報を削除する。		
		・当日の商品情報がない特売マスタを削除する。		
		・当日の商品情報がないプロモーション情報を削除する。</t>
  </si>
  <si>
    <t>〇
10/6</t>
  </si>
  <si>
    <t>04</t>
  </si>
  <si>
    <t xml:space="preserve">商品採用店舗確認機能では次のことが可能になる。					
	・PLUコード*を入力して、どのスーパーに商品があるか確認する。				
	・「カスミ」又は「ウエルシア」の売上計算が必要な情報は編集可能。	</t>
  </si>
  <si>
    <t>〇
5/30</t>
  </si>
  <si>
    <t>05</t>
  </si>
  <si>
    <t>ミックスマッチ設定</t>
    <phoneticPr fontId="5"/>
  </si>
  <si>
    <t xml:space="preserve">ミックスマッチ設定機能					
	・ミックスマッチ情報を設定する。				
		‣新規作成			
		‣修正			
		‣削除：夜間バッチを使用して過去のミックスマッチ情報を削除する。			
			●終了日が7日前のミックスマッチ情報を削除する。		
			●現時点での商品情報がないミックスマッチ情報を削除する。		
			●現時点でのプロモーション情報がないミックスマッチ情報を削除する。		
	・商品コード、PLU入力を行い、登録情報の閲覧や、売価の変更を行う。				
	・プロモーションコードに紐づけられたミックスマッチコードに従って商品を設定する。1 つのミックスマッチコードで複数の商品設定が可能				
	・ミックスマッチの有効期間はプロモーション期間内のみ設定可能				
	・ミックスマッチ設定を行う場合、商品の数量と売価を入力する必要がある。10つのミックスマッチオプション設定可能				
	・売価、割引、値引によるミックスマッチ設定可能	</t>
  </si>
  <si>
    <t>△
8/2</t>
  </si>
  <si>
    <t>06</t>
  </si>
  <si>
    <t>1, 7, 8 定番売価変更</t>
  </si>
  <si>
    <t xml:space="preserve">1, 7, 8 定番変更機能により次のことが可能になる。			
	・1、7、8部門の各商品の定番売価を毎日変更する。売価は当日以降のみ変更可能。		
	・定番売価変更履歴を日付・部門別に検索する。		
	・ 売価変更金額は当日のみ有効、売価変更が最優先になる。		
	・毎日バッチを実行して定番売価を更新する。	</t>
  </si>
  <si>
    <t>〇
10/14</t>
  </si>
  <si>
    <t>詳細設計指摘あり</t>
  </si>
  <si>
    <t>07</t>
  </si>
  <si>
    <t xml:space="preserve">セットマッチ設定機能						
	・セットマッチ情報を設定する。					
		‣新規作成				
		‣修正				
		・削除：夜間実行セットマッチを削除するバッチ、または画面上で削除するバッチがある。				
	・プロモーションコードに紐づけられたセットマッチコードに従って商品を設定する。1つのセットマッチコードで複数の設定が可能。					
	・セットマッチの有効期間はプロモーション期間内のみ設定可能。					
	・セットマッチ設定時にセットマッチの1つ製品グループの購入対象商品数を入力する必要がある。					
	・売価、割引、値引によるセットマッチ設定可能。	</t>
  </si>
  <si>
    <t>〇
8/8</t>
  </si>
  <si>
    <t>6月</t>
  </si>
  <si>
    <t>小計タッチメニュー設定</t>
  </si>
  <si>
    <t>2月</t>
  </si>
  <si>
    <r>
      <t>自社での基本設計が完了。</t>
    </r>
    <r>
      <rPr>
        <b/>
        <sz val="10"/>
        <color rgb="FFFF0000"/>
        <rFont val="Meiryo UI"/>
        <family val="3"/>
        <charset val="128"/>
      </rPr>
      <t>カスミ様確認待ち</t>
    </r>
  </si>
  <si>
    <t xml:space="preserve">レジ精算入力機能では次のことが可能になる。										
	・店舗のレジの状態を表示する。									
	・選択した日付ごとにより店舗全体の売上が出力可能									
		‣ログインユーザーが管理者ユーザーの場合、62日以内選択可能								
		‣ログインユーザーが管理者ユーザーではない場合、当日から直近3日選択可能								
	・レジごとの詳細売上を表示して実際で金額が編集可能									
	・レジが精算を忘れた場合、POSサーバーがバッチを使用して自動的に精算する。	</t>
  </si>
  <si>
    <t>〇
11/28</t>
  </si>
  <si>
    <t>4月</t>
  </si>
  <si>
    <t>釣銭機警告設定</t>
  </si>
  <si>
    <t xml:space="preserve">釣銭機警告設定機能では次のことが可能になる。			
	・釣銭機の補充警告を設定する。		
	・釣銭機の回収警告を設定する。	</t>
  </si>
  <si>
    <t>〇
7/23</t>
  </si>
  <si>
    <t>1月</t>
  </si>
  <si>
    <t>2025年2月</t>
  </si>
  <si>
    <t>レジ状況照会</t>
  </si>
  <si>
    <t xml:space="preserve">レジ状況照会機能では次のことが可能になる。				
	・日別（過去・未来の日も選択可能）に1つ又は複数の店舗のレジ状況照会一覧			
		とステータス(全通常と全異常）を検索して表示する。		
	・各レジの状況詳細を以下のように閲覧する。状態, 営業日、営業回数、開設回数、担当者、ダウンロードマスターバージョン、反映済マスターパージョンなど 			</t>
  </si>
  <si>
    <t>基本設計指摘あり</t>
  </si>
  <si>
    <t>08</t>
  </si>
  <si>
    <t>カテゴリ値引・割引設定</t>
  </si>
  <si>
    <t xml:space="preserve">カテゴリ値引/割引設定機能によりカテゴリ値引・割引の新規作成・更新・削除が可能					
カテゴリ階層は次の通りである。					
	01:部門				
		02.品群			
			03.品種		
				04.分類	</t>
  </si>
  <si>
    <t>〇
10/22</t>
  </si>
  <si>
    <t xml:space="preserve">プロモーションメンテには次のことが可能になる。					
	・プロモーション検索				
	・プロモーション情報表示				
	・プロモーション設定編集				
	・プロモーション新規作成				
	・プロモーション削除				
	・毎晩バッチ処理により、終了日が現在日より7日以上前のプロモーションコードを削除する。	</t>
  </si>
  <si>
    <t>〇
7/31</t>
  </si>
  <si>
    <t xml:space="preserve">クレジット小計割引設定機能では次のことが可能になる。				
	・クレジットカードで支払う時の毎週又は毎月の割引を閲覧、設定する。			
	・その後の全ての月に適用される。			
	・バッチを実行してクレジット小計割引日を設定する。			
	・会社のクレジットカードを使用してその会社の店舗で購入した顧客に直接割引を適用する。	</t>
  </si>
  <si>
    <t>〇
6/13</t>
  </si>
  <si>
    <t>レシートクーポン設定</t>
  </si>
  <si>
    <t>レシートクーポン設定機能は次のことが可能になる。					
	・1つ以上の店舗のレシートクーポンの閲覧、追加、編集、削除				
	・レシートクーポンは、ユーザーが発券期間内にお買い物をした場合にお買い上げレシートの後に印刷されるクーポン券である。				
	・また、クーポン券に印字されている期間内でのお買い物時に使用できるものとなる。</t>
  </si>
  <si>
    <t>△
11/19</t>
  </si>
  <si>
    <t>コピー機能追加</t>
  </si>
  <si>
    <t>メガ割設定機能では次のことが可能になる。				
	・曜日、日で商品部門の割引率を閲覧、設定する。			
	・割引は終日適用され、毎週及び毎月繰り返される。			
	・フローには編集モードのみがある。</t>
  </si>
  <si>
    <t>〇
8/13</t>
  </si>
  <si>
    <t>朝割設定機能では次のことが可能になる。			
	・部門の曜日別の朝割の時間帯、割引率を閲覧、設定する。		
	・適用が毎週及び毎月繰り返される。		
	・朝割プログラムを解除する。</t>
  </si>
  <si>
    <t>カテゴリ割引レシートクーポン設定機能では次のことが可能になる。				
	・1つ又は複数の店舗のカテゴリのレシートクーポンを閲覧、追加、編集、削除する。			
	・カテゴリ割引レシートクーポンは、ユーザーが発券期間内にお買い物をした場合にお買い上げレシートの後に印刷されるカテゴリのクーポン券である。			
	・また、クーポン券に印字されている期間内でのお買い物時に使用できるものとなる。</t>
  </si>
  <si>
    <t>△
10/29</t>
  </si>
  <si>
    <t>ポイント単位使用設定機能では次のことが可能になる。			
	店舗ID別、利用期限別のポイント単位一覧を表示する。		
	店舗別、適用期間別のポイント単位を追加・編集・削除する。</t>
  </si>
  <si>
    <t>指摘により基本設計更新中</t>
  </si>
  <si>
    <t xml:space="preserve">システム権限を持つアカウントのみがこの機能を使用する権利を持っている。	
WAONカード利用200円(税込)ごとにWAONポイントN倍設定	</t>
  </si>
  <si>
    <t>〇
11/03</t>
  </si>
  <si>
    <t>レポート</t>
  </si>
  <si>
    <t xml:space="preserve">本機能では次のことが可能になる。					
	・部門別売上速報を作成する。				
		　‣売上速報を印刷する。			
		　‣商品部門レベルの拡大と絞り込みを行う。			
	・商品部門と日報のオプションにより売上日報を作成する。				
		　‣売上日報を印刷する。			
		　‣商品部門レベルの拡大と絞り込みを行う。			
	・時間帯と日報のオプションにより売上レポートを作成する。				
		　‣売上レポートを印刷する。	</t>
  </si>
  <si>
    <t>〇
10/1</t>
  </si>
  <si>
    <t>3月</t>
  </si>
  <si>
    <t xml:space="preserve">単品速報/日報				
	・商品又は部門～分類を指定して売上等を単品別と時間帯別に表示する。			
		・速報又は日報別売上情報を選択して表示可能		
		・商品又はカテゴリ指定単品速報/日報をPDFで出力可能。	</t>
  </si>
  <si>
    <t xml:space="preserve">テナント売上速報/日報では次のことが可能になる。						
	・店舗内のテナントの売上速報（現在日）を作成する。アクションを追加で実行できる。					
		‣売上速報を印刷する。				
	・店舗内のテナントの売上日報を作成する。アクションを追加で実行できる。					
		‣レポートの出力日を選択する。				
		‣売上日報を印刷する。	</t>
  </si>
  <si>
    <t>〇
9/1</t>
  </si>
  <si>
    <t>19</t>
  </si>
  <si>
    <t xml:space="preserve">19_売価変更勧告リスト機能では以下の検索条件で変更売価リストが印刷可能になる。			
	・対象日		
	・変更区分 (以下の区分から1つの区分を選択する。）全部、緊急売価戻、特売開始、特売開始T、		
	区分変更、特売終了、売価変更、緊急売価		
	・同一売価（出力しない・出力する）		
	・NON-PLUコード（出力しない・出力する）		
変更売価リストはユーザーが選択した順序で表示される。			
	・分類構成順 		
	・変更区分順	</t>
  </si>
  <si>
    <t>〇
11/18</t>
  </si>
  <si>
    <t>29</t>
  </si>
  <si>
    <t xml:space="preserve">レジ別時間帯別点検機能では次のことが可能になる。					
	・各時間帯に従って店舗の各レジの日報を印刷する。レポート情報には以下が含まれている。				
		‣営業日の各時間帯に従う各レジの客数、点数、金額			
		‣各レジの1営業日の総客数、総点数、総金額		</t>
  </si>
  <si>
    <t>31</t>
  </si>
  <si>
    <t xml:space="preserve">レジ別速報/日報機能では次のことが可能になる。				
	・現在日の速報と日報により各レジのレポート一覧を検索する。			
	・全てレジの合計レポートを統計する。			
	・各レジのレポート詳細を速報、日報、月報の形式で閲覧する。			
	・レポート詳細情報：売上部門、税・決済、入金・出、在高・値引、操作 			
	・レジのレポートを印刷する。		</t>
  </si>
  <si>
    <t>〇
10/29</t>
  </si>
  <si>
    <t>32</t>
  </si>
  <si>
    <t xml:space="preserve">レジ別単品別売上点検機能では次のことが可能になる。			
	・レジ別商品売上を検索する。		
	・レジ別時間帯別売上を表示する。	</t>
  </si>
  <si>
    <t>〇
9/11</t>
  </si>
  <si>
    <t>25</t>
  </si>
  <si>
    <t xml:space="preserve">取扱設定マスタ設定(KSM)では次のことが可能になる。					
		・各レベルに分類された商品部門を閲覧する。				
		・商品部門の取扱有無を設定: 有、無				
		・部門の一括取扱有無を設定する。				
		・この設定は商品部門に関連する画面、機能に適用される。				
		・カスミ様の店舗のみ適用	</t>
  </si>
  <si>
    <t>〇
10/08</t>
  </si>
  <si>
    <t>7月</t>
  </si>
  <si>
    <t>26</t>
  </si>
  <si>
    <t xml:space="preserve">取扱設定マスタ設定(Welcia)では次のことが可能になる。						
	・各レベルに分類された分類一覧を閲覧する。					
	・以下のように分類の取扱有無を設定する。 有、無					
	・以下のように分類の医薬品有無を設定する。 有、無					
	・この設定は分類に関連する画面、機能に適用される。					
	・Welcia連携店舗のみが対象となる。	</t>
  </si>
  <si>
    <t>66</t>
  </si>
  <si>
    <t>券マスタ設定機能では次のことが可能になる。						
	・フローはシステム権限を持つアカウントのみが使用可能					
	・支払券、値引券の一覧を表示する。					
	・支払券、値引券を券名称で検索する。					
	・支払券又は値引券を新規追加・編集・削除する。					
	・作成した値引券が28_レシートクーポン設定のフローで使用される。					
	・支払券が15_タッチメニュー設定のフローで使用される。</t>
  </si>
  <si>
    <t>Q＆Aにより基本設計更新中</t>
  </si>
  <si>
    <t>店舗系</t>
  </si>
  <si>
    <t>従業員設定</t>
  </si>
  <si>
    <t xml:space="preserve">この機能は、			
	・従業員一覧の検索・表示を行う。		
	・従業員情報の追加・編集・削除などを行う。	</t>
  </si>
  <si>
    <t>〇
10/21</t>
  </si>
  <si>
    <t>予算登録</t>
  </si>
  <si>
    <t xml:space="preserve">予算登録機能では次のことが可能になる。			
	当月と来月の部門ごとの予算額を登録・編集する。		
	月別または部門別の合計予算を日付ごとに表示する。	</t>
  </si>
  <si>
    <t>5月</t>
  </si>
  <si>
    <t>店舗マスタ設定</t>
  </si>
  <si>
    <t xml:space="preserve">店舗マスタ設定機能では次のことが可能になる。				
	・店舗マスタを新規作成する。			
	・店舗マスタ情報を更新する。			
	・店舗マスタを削除する。			
	・既存の店舗から店舗の新規作成をコピーする。	</t>
  </si>
  <si>
    <t>68</t>
  </si>
  <si>
    <t>サイトログインユーザマスタ設定機能では次のことが可能になる。					
	ログインユーザのマスタ情報を表示する。				
	以下を含むログインユーザーのマスタ情報を追加・編集・削除する。				
		・ユーザーの基本情報			
		・ユーザー権限			
		・連携店舗</t>
  </si>
  <si>
    <t>72</t>
  </si>
  <si>
    <t>パスワード変更</t>
  </si>
  <si>
    <t xml:space="preserve">パスワード変更機能では次のことが可能になる。		
	・ログインしているユーザーのパスワード情報を変更する。	</t>
  </si>
  <si>
    <t>80</t>
  </si>
  <si>
    <t>Scan&amp;Go商品マスタ再配信機能では次のことが可能になる。				
	システム権限を持つアカウントのみがこの機能を使用できる。			
	・各商品の売価をScan&amp;Goサーバーに再配信してScan&amp;Goに提供する。			
	・それぞれのScan&amp;Go店舗に適用する。			
	・バッチを実行して売価をScan&amp;Goサーバーに配信する。</t>
  </si>
  <si>
    <t>〇
8/15</t>
  </si>
  <si>
    <t xml:space="preserve">メッセージマスタ設定機能では次のことが可能になる。					
	・種類、メッセージコード、メッセージ種別、メッセージに従って1つ又は複数の店舗のメッセージマスタリストを検索して表示する。				
	・1つ又は複数の店舗のメッセージマスタを設定する。				
		‣新規作成			
		‣編集			
		‣削除			
		‣コピー			
	・種類をレシート、ラインディスプレイとしてメッセージマスタを新規作成する。				
		・28_レシートクーポン設定のフローでレシートが使用される。			
		・ラインディスプレイはどの機能で使用されますが、分かりませんのでご教示お願い致します。	</t>
  </si>
  <si>
    <t>除外対象</t>
  </si>
  <si>
    <t>8月</t>
  </si>
  <si>
    <t>9月</t>
  </si>
  <si>
    <t>●バッチ処理向け</t>
  </si>
  <si>
    <t>基幹システムよりマスタ交換・取込み</t>
  </si>
  <si>
    <t>店舗マスタ</t>
  </si>
  <si>
    <t>緊急売価マスタ</t>
  </si>
  <si>
    <t>ミックスマッチマスタ</t>
  </si>
  <si>
    <t>商品階層値引マスタ</t>
  </si>
  <si>
    <t>券マスタ</t>
  </si>
  <si>
    <t>メガ割・朝割マスタ</t>
  </si>
  <si>
    <t>営業日マスタ（開設）</t>
  </si>
  <si>
    <t>プロモーションマスタ</t>
  </si>
  <si>
    <t>従業員マスタ</t>
  </si>
  <si>
    <t>WAONポイント</t>
  </si>
  <si>
    <t>商品ﾏｽﾀｰｲﾆｼｬﾙﾃﾞｰﾀ</t>
  </si>
  <si>
    <t>新店</t>
  </si>
  <si>
    <t>部門ﾏｽﾀｰｲﾆｼｬﾙﾃﾞｰﾀ</t>
  </si>
  <si>
    <t>大分類ﾏｽﾀｰｲﾆｼｬﾙﾃﾞｰﾀ</t>
  </si>
  <si>
    <t>中分類ﾏｽﾀｰｲﾆｼｬﾙﾃﾞｰﾀ</t>
  </si>
  <si>
    <t>小分類ﾏｽﾀｰｲﾆｼｬﾙﾃﾞｰﾀ</t>
  </si>
  <si>
    <t>大分類構成比ﾏｽﾀｰｲﾆｼｬﾙﾃﾞｰﾀ</t>
  </si>
  <si>
    <t>商品マスターメンテデータ</t>
  </si>
  <si>
    <t>日次</t>
  </si>
  <si>
    <t>部門マスターメンテデータ</t>
  </si>
  <si>
    <t>大分類マスターメンテデータ</t>
  </si>
  <si>
    <t>中分類マスターメンテデータ</t>
  </si>
  <si>
    <t>小分類マスターメンテデータ</t>
  </si>
  <si>
    <t>ＰＯＳ用ＰＬＵｲﾆｼｬﾙﾃﾞｰﾀ</t>
  </si>
  <si>
    <t>催しﾏｽﾀｰｲﾆｼｬﾙﾃﾞｰﾀ</t>
  </si>
  <si>
    <t>ＰＯＳ用ＰＬＵメンテデータ</t>
  </si>
  <si>
    <t>催しマスターメンテデータ</t>
  </si>
  <si>
    <t>レギュラー売変メンテデータ（通常）</t>
  </si>
  <si>
    <t>レギュラー売変評価替用データ</t>
  </si>
  <si>
    <t>ESL商品ﾏｽﾀｲﾆｼｬﾙﾃﾞｰﾀ</t>
  </si>
  <si>
    <t>新店･臨時</t>
  </si>
  <si>
    <t>ESL商品ﾏｽﾀﾃﾞｰﾀ（ﾏｯﾁﾝｸﾞ用）</t>
  </si>
  <si>
    <t>ESL構成ｲﾆｼｬﾙﾃﾞｰﾀ</t>
  </si>
  <si>
    <t>ESL陳列情報ｲﾆｼｬﾙﾃﾞｰﾀ</t>
  </si>
  <si>
    <t>ESL陳列情報ｲﾆｼｬﾙﾃﾞｰﾀ(再送信）</t>
  </si>
  <si>
    <t>構成ﾏｽﾀｰｲﾆｼｬﾙﾃﾞｰﾀ(ﾍｯﾀﾞ)</t>
  </si>
  <si>
    <t>構成明細ﾏｽﾀｰｲﾆｼｬﾙﾃﾞｰﾀ</t>
  </si>
  <si>
    <t>ESL商品マスタメンテデータ</t>
  </si>
  <si>
    <t>ESL構成マスタメンテデータ</t>
  </si>
  <si>
    <t>営業日ﾏｽﾀｰｲﾆｼｬﾙﾃﾞｰﾀ</t>
  </si>
  <si>
    <t>社員ﾏｽﾀｰｲﾆｼｬﾙﾃﾞｰﾀ</t>
  </si>
  <si>
    <t>営業日マスターメンテデータ</t>
  </si>
  <si>
    <t>社員マスターメンテデータ</t>
  </si>
  <si>
    <t>日別予算</t>
  </si>
  <si>
    <t>部門別労働割合データ</t>
  </si>
  <si>
    <t>担当者マスタメンテデータ(HSV用)</t>
  </si>
  <si>
    <t>親WindowsPOSへのマスタ配信</t>
  </si>
  <si>
    <t>商品拡張マスタ</t>
  </si>
  <si>
    <t>分類拡張マスタ</t>
  </si>
  <si>
    <t>MMマスタ</t>
  </si>
  <si>
    <t>MM商品マスタ</t>
  </si>
  <si>
    <t>MD階層値引マスタ（TBP用）</t>
  </si>
  <si>
    <t>従業員拡張マスタ</t>
  </si>
  <si>
    <t>プリセットマスタ</t>
  </si>
  <si>
    <t>プリセットメニューマスタ</t>
  </si>
  <si>
    <t>釣銭機回収設定マスタ</t>
  </si>
  <si>
    <t>レシートクーポン発券マスタ</t>
  </si>
  <si>
    <t>開店処理を開始しました(20231023)</t>
  </si>
  <si>
    <t>単品別特売</t>
  </si>
  <si>
    <t>小計割引スケジュール</t>
  </si>
  <si>
    <t>ｸﾚｼﾞｯﾄ小計割引スケジュール</t>
  </si>
  <si>
    <t>分類ポイント割増スケジュール</t>
  </si>
  <si>
    <t>マークダウン・当日売価反映</t>
  </si>
  <si>
    <t>商品メンテ取込予約</t>
  </si>
  <si>
    <t>小計割引-除外設定反映</t>
  </si>
  <si>
    <t>ポイント割増設定</t>
  </si>
  <si>
    <t>SGC使用ポイントマスタ</t>
    <phoneticPr fontId="5"/>
  </si>
  <si>
    <t>親POSよりトランザクション収集</t>
  </si>
  <si>
    <t>取引トランザクション</t>
  </si>
  <si>
    <t>レジ開設情報</t>
  </si>
  <si>
    <t>開設情報（閉店処理）</t>
  </si>
  <si>
    <t>釣銭機状況情報</t>
  </si>
  <si>
    <t>10月</t>
  </si>
  <si>
    <t>レジ状況情報</t>
  </si>
  <si>
    <t>POSサーバよりS＆Gサーバまでのデータ連携</t>
  </si>
  <si>
    <t>ミックスマッチ商品マスタ</t>
  </si>
  <si>
    <t>小計割引（朝）マスタ</t>
  </si>
  <si>
    <t>小計割引（メガ）マスタ</t>
  </si>
  <si>
    <t>※残りの作業</t>
  </si>
  <si>
    <t>親POSが元気ではない場合、子POSが親POSになるために、何を準備すればよいかは別途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</si>
</sst>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_);[Red]\(0.0\)"/>
    <numFmt numFmtId="166" formatCode="#,##0.0;[Red]\-#,##0.0"/>
  </numFmts>
  <fonts count="30">
    <font>
      <sz val="11"/>
      <name val="Meiryo UI"/>
      <family val="3"/>
      <charset val="128"/>
    </font>
    <font>
      <sz val="11"/>
      <color theme="1"/>
      <name val="游ゴシック"/>
      <family val="2"/>
      <charset val="128"/>
      <scheme val="minor"/>
    </font>
    <font>
      <sz val="10"/>
      <name val="Meiryo UI"/>
      <family val="3"/>
      <charset val="128"/>
    </font>
    <font>
      <b/>
      <u/>
      <sz val="10"/>
      <name val="Meiryo UI"/>
      <family val="3"/>
      <charset val="128"/>
    </font>
    <font>
      <sz val="10"/>
      <color theme="2"/>
      <name val="Meiryo UI"/>
      <family val="3"/>
      <charset val="128"/>
    </font>
    <font>
      <u/>
      <sz val="10"/>
      <color rgb="FFFF0000"/>
      <name val="Meiryo UI"/>
      <family val="3"/>
      <charset val="128"/>
    </font>
    <font>
      <sz val="10"/>
      <color rgb="FFFF0000"/>
      <name val="Meiryo UI"/>
      <family val="3"/>
      <charset val="128"/>
    </font>
    <font>
      <sz val="6"/>
      <name val="Meiryo UI"/>
      <family val="3"/>
      <charset val="128"/>
    </font>
    <font>
      <sz val="11"/>
      <color theme="0"/>
      <name val="Meiryo UI"/>
      <family val="3"/>
      <charset val="128"/>
    </font>
    <font>
      <sz val="18"/>
      <name val="Meiryo UI"/>
      <family val="3"/>
      <charset val="128"/>
    </font>
    <font>
      <b/>
      <sz val="24"/>
      <name val="Meiryo UI"/>
      <family val="3"/>
      <charset val="128"/>
    </font>
    <font>
      <sz val="11"/>
      <name val="Meiryo UI"/>
      <family val="3"/>
      <charset val="128"/>
    </font>
    <font>
      <sz val="10"/>
      <name val="HG丸ｺﾞｼｯｸM-PRO"/>
      <family val="3"/>
      <charset val="128"/>
    </font>
    <font>
      <sz val="10"/>
      <name val="Meiryo UI"/>
      <family val="2"/>
    </font>
    <font>
      <sz val="10"/>
      <color theme="2"/>
      <name val="Meiryo UI"/>
      <family val="2"/>
    </font>
    <font>
      <sz val="10"/>
      <color rgb="FFFF0000"/>
      <name val="Meiryo UI"/>
      <family val="2"/>
    </font>
    <font>
      <sz val="10"/>
      <color theme="1"/>
      <name val="Meiryo UI"/>
      <family val="2"/>
    </font>
    <font>
      <b/>
      <sz val="10"/>
      <color rgb="FFFF0000"/>
      <name val="Meiryo UI"/>
      <family val="3"/>
      <charset val="128"/>
    </font>
    <font>
      <u/>
      <sz val="11"/>
      <color theme="10"/>
      <name val="Meiryo UI"/>
      <family val="3"/>
      <charset val="128"/>
    </font>
    <font>
      <u/>
      <sz val="10"/>
      <color theme="10"/>
      <name val="Meiryo UI"/>
      <family val="3"/>
      <charset val="128"/>
    </font>
    <font>
      <sz val="10"/>
      <color theme="0"/>
      <name val="Meiryo UI"/>
      <family val="3"/>
      <charset val="128"/>
    </font>
    <font>
      <sz val="10"/>
      <color theme="1"/>
      <name val="Meiryo UI"/>
      <family val="3"/>
      <charset val="128"/>
    </font>
    <font>
      <sz val="6"/>
      <name val="游ゴシック"/>
      <family val="2"/>
      <charset val="128"/>
      <scheme val="minor"/>
    </font>
    <font>
      <sz val="11"/>
      <color rgb="FF000000"/>
      <name val="MS PGothic"/>
      <family val="3"/>
      <charset val="128"/>
    </font>
    <font>
      <sz val="10"/>
      <color rgb="FF000000"/>
      <name val="Meiryo UI"/>
      <family val="3"/>
      <charset val="128"/>
    </font>
    <font>
      <sz val="10"/>
      <color rgb="FF000000"/>
      <name val="Meiryo UI"/>
      <family val="3"/>
      <charset val="1"/>
    </font>
    <font>
      <sz val="10"/>
      <color rgb="FF9C0006"/>
      <name val="Meiryo UI"/>
      <family val="2"/>
      <charset val="128"/>
    </font>
    <font>
      <sz val="11"/>
      <name val="Meiryo UI"/>
      <family val="2"/>
      <charset val="128"/>
    </font>
    <font>
      <sz val="6"/>
      <name val="Meiryo UI"/>
      <family val="2"/>
      <charset val="128"/>
    </font>
    <font>
      <strike/>
      <sz val="10"/>
      <color theme="1"/>
      <name val="Meiryo UI"/>
      <family val="3"/>
      <charset val="128"/>
    </font>
  </fonts>
  <fills count="12">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rgb="FF333399"/>
        <bgColor indexed="64"/>
      </patternFill>
    </fill>
    <fill>
      <patternFill patternType="solid">
        <fgColor rgb="FFD9E1F2"/>
        <bgColor indexed="64"/>
      </patternFill>
    </fill>
    <fill>
      <patternFill patternType="solid">
        <fgColor rgb="FFFFFF00"/>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2"/>
        <bgColor indexed="64"/>
      </patternFill>
    </fill>
  </fills>
  <borders count="173">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hair">
        <color indexed="64"/>
      </top>
      <bottom style="thin">
        <color indexed="64"/>
      </bottom>
      <diagonal/>
    </border>
    <border>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right style="hair">
        <color indexed="64"/>
      </right>
      <top style="hair">
        <color indexed="64"/>
      </top>
      <bottom/>
      <diagonal/>
    </border>
    <border>
      <left/>
      <right/>
      <top/>
      <bottom style="hair">
        <color indexed="64"/>
      </bottom>
      <diagonal/>
    </border>
    <border>
      <left/>
      <right style="thin">
        <color indexed="64"/>
      </right>
      <top/>
      <bottom style="hair">
        <color indexed="64"/>
      </bottom>
      <diagonal/>
    </border>
    <border>
      <left style="hair">
        <color indexed="64"/>
      </left>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indexed="64"/>
      </left>
      <right style="thin">
        <color indexed="64"/>
      </right>
      <top/>
      <bottom style="thin">
        <color indexed="64"/>
      </bottom>
      <diagonal/>
    </border>
    <border>
      <left style="thin">
        <color indexed="64"/>
      </left>
      <right style="hair">
        <color indexed="64"/>
      </right>
      <top/>
      <bottom style="hair">
        <color indexed="64"/>
      </bottom>
      <diagonal/>
    </border>
    <border>
      <left/>
      <right/>
      <top style="hair">
        <color indexed="64"/>
      </top>
      <bottom/>
      <diagonal/>
    </border>
    <border>
      <left style="hair">
        <color indexed="64"/>
      </left>
      <right style="thin">
        <color indexed="64"/>
      </right>
      <top/>
      <bottom style="hair">
        <color indexed="64"/>
      </bottom>
      <diagonal/>
    </border>
    <border>
      <left/>
      <right style="hair">
        <color indexed="64"/>
      </right>
      <top/>
      <bottom style="hair">
        <color indexed="64"/>
      </bottom>
      <diagonal/>
    </border>
    <border>
      <left style="dotted">
        <color rgb="FF000000"/>
      </left>
      <right/>
      <top style="thin">
        <color indexed="64"/>
      </top>
      <bottom/>
      <diagonal/>
    </border>
    <border>
      <left style="dotted">
        <color rgb="FF000000"/>
      </left>
      <right style="dotted">
        <color rgb="FF000000"/>
      </right>
      <top style="thin">
        <color indexed="64"/>
      </top>
      <bottom/>
      <diagonal/>
    </border>
    <border>
      <left style="thin">
        <color rgb="FF000000"/>
      </left>
      <right/>
      <top style="thin">
        <color indexed="64"/>
      </top>
      <bottom/>
      <diagonal/>
    </border>
    <border>
      <left/>
      <right style="dotted">
        <color rgb="FF000000"/>
      </right>
      <top style="thin">
        <color indexed="64"/>
      </top>
      <bottom/>
      <diagonal/>
    </border>
    <border>
      <left/>
      <right style="dotted">
        <color rgb="FF000000"/>
      </right>
      <top/>
      <bottom style="thin">
        <color indexed="64"/>
      </bottom>
      <diagonal/>
    </border>
    <border>
      <left/>
      <right style="thin">
        <color rgb="FF000000"/>
      </right>
      <top style="thin">
        <color indexed="64"/>
      </top>
      <bottom/>
      <diagonal/>
    </border>
    <border>
      <left/>
      <right style="thin">
        <color rgb="FF000000"/>
      </right>
      <top/>
      <bottom style="thin">
        <color indexed="64"/>
      </bottom>
      <diagonal/>
    </border>
    <border>
      <left style="thin">
        <color indexed="64"/>
      </left>
      <right/>
      <top style="thin">
        <color indexed="64"/>
      </top>
      <bottom style="dotted">
        <color rgb="FF000000"/>
      </bottom>
      <diagonal/>
    </border>
    <border>
      <left/>
      <right style="hair">
        <color indexed="64"/>
      </right>
      <top style="thin">
        <color indexed="64"/>
      </top>
      <bottom style="dotted">
        <color rgb="FF000000"/>
      </bottom>
      <diagonal/>
    </border>
    <border>
      <left style="thin">
        <color rgb="FF000000"/>
      </left>
      <right/>
      <top/>
      <bottom/>
      <diagonal/>
    </border>
    <border>
      <left style="dotted">
        <color rgb="FF000000"/>
      </left>
      <right style="dotted">
        <color rgb="FF000000"/>
      </right>
      <top/>
      <bottom/>
      <diagonal/>
    </border>
    <border>
      <left style="thin">
        <color indexed="64"/>
      </left>
      <right/>
      <top style="hair">
        <color indexed="64"/>
      </top>
      <bottom style="hair">
        <color indexed="64"/>
      </bottom>
      <diagonal/>
    </border>
    <border>
      <left style="thin">
        <color rgb="FF000000"/>
      </left>
      <right/>
      <top/>
      <bottom style="thin">
        <color indexed="64"/>
      </bottom>
      <diagonal/>
    </border>
    <border>
      <left/>
      <right style="thin">
        <color rgb="FF000000"/>
      </right>
      <top style="thin">
        <color indexed="64"/>
      </top>
      <bottom style="thin">
        <color indexed="64"/>
      </bottom>
      <diagonal/>
    </border>
    <border>
      <left style="dotted">
        <color rgb="FF000000"/>
      </left>
      <right style="dotted">
        <color rgb="FF000000"/>
      </right>
      <top/>
      <bottom style="thin">
        <color indexed="64"/>
      </bottom>
      <diagonal/>
    </border>
    <border>
      <left style="dotted">
        <color rgb="FF000000"/>
      </left>
      <right style="thin">
        <color rgb="FF000000"/>
      </right>
      <top style="thin">
        <color indexed="64"/>
      </top>
      <bottom/>
      <diagonal/>
    </border>
    <border>
      <left style="dotted">
        <color rgb="FF000000"/>
      </left>
      <right style="thin">
        <color rgb="FF000000"/>
      </right>
      <top/>
      <bottom style="thin">
        <color indexed="64"/>
      </bottom>
      <diagonal/>
    </border>
    <border>
      <left/>
      <right/>
      <top style="thin">
        <color indexed="64"/>
      </top>
      <bottom style="dotted">
        <color rgb="FF000000"/>
      </bottom>
      <diagonal/>
    </border>
    <border>
      <left/>
      <right style="dotted">
        <color rgb="FF000000"/>
      </right>
      <top/>
      <bottom/>
      <diagonal/>
    </border>
    <border>
      <left/>
      <right/>
      <top style="hair">
        <color indexed="64"/>
      </top>
      <bottom style="hair">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hair">
        <color theme="0" tint="-0.499984740745262"/>
      </right>
      <top style="thin">
        <color theme="0" tint="-0.499984740745262"/>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thin">
        <color theme="0" tint="-0.499984740745262"/>
      </right>
      <top style="thin">
        <color theme="0" tint="-0.499984740745262"/>
      </top>
      <bottom/>
      <diagonal/>
    </border>
    <border>
      <left style="thin">
        <color theme="0" tint="-0.499984740745262"/>
      </left>
      <right style="hair">
        <color theme="0" tint="-0.499984740745262"/>
      </right>
      <top/>
      <bottom style="thin">
        <color theme="0" tint="-0.499984740745262"/>
      </bottom>
      <diagonal/>
    </border>
    <border>
      <left style="hair">
        <color theme="0" tint="-0.499984740745262"/>
      </left>
      <right style="hair">
        <color theme="0" tint="-0.499984740745262"/>
      </right>
      <top/>
      <bottom style="thin">
        <color theme="0" tint="-0.499984740745262"/>
      </bottom>
      <diagonal/>
    </border>
    <border>
      <left style="hair">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style="thin">
        <color theme="0" tint="-0.499984740745262"/>
      </left>
      <right/>
      <top style="hair">
        <color theme="0" tint="-0.499984740745262"/>
      </top>
      <bottom style="hair">
        <color theme="0" tint="-0.499984740745262"/>
      </bottom>
      <diagonal/>
    </border>
    <border>
      <left/>
      <right/>
      <top style="hair">
        <color theme="0" tint="-0.499984740745262"/>
      </top>
      <bottom style="hair">
        <color theme="0" tint="-0.499984740745262"/>
      </bottom>
      <diagonal/>
    </border>
    <border>
      <left style="thin">
        <color theme="0" tint="-0.499984740745262"/>
      </left>
      <right/>
      <top style="hair">
        <color theme="0" tint="-0.499984740745262"/>
      </top>
      <bottom style="thin">
        <color theme="0" tint="-0.499984740745262"/>
      </bottom>
      <diagonal/>
    </border>
    <border>
      <left/>
      <right/>
      <top style="hair">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style="thin">
        <color theme="0" tint="-0.499984740745262"/>
      </left>
      <right/>
      <top/>
      <bottom style="thin">
        <color theme="0" tint="-0.499984740745262"/>
      </bottom>
      <diagonal/>
    </border>
    <border>
      <left style="thin">
        <color theme="0" tint="-0.499984740745262"/>
      </left>
      <right/>
      <top style="hair">
        <color theme="0" tint="-0.499984740745262"/>
      </top>
      <bottom/>
      <diagonal/>
    </border>
    <border>
      <left/>
      <right/>
      <top style="hair">
        <color theme="0" tint="-0.499984740745262"/>
      </top>
      <bottom/>
      <diagonal/>
    </border>
    <border>
      <left style="hair">
        <color theme="0" tint="-0.499984740745262"/>
      </left>
      <right style="thin">
        <color theme="0" tint="-0.499984740745262"/>
      </right>
      <top style="thin">
        <color indexed="64"/>
      </top>
      <bottom/>
      <diagonal/>
    </border>
    <border>
      <left style="hair">
        <color theme="0" tint="-0.499984740745262"/>
      </left>
      <right style="thin">
        <color theme="0" tint="-0.499984740745262"/>
      </right>
      <top style="thin">
        <color theme="0" tint="-0.499984740745262"/>
      </top>
      <bottom style="hair">
        <color theme="0" tint="-0.499984740745262"/>
      </bottom>
      <diagonal/>
    </border>
    <border>
      <left style="hair">
        <color theme="0" tint="-0.499984740745262"/>
      </left>
      <right style="thin">
        <color theme="0" tint="-0.499984740745262"/>
      </right>
      <top style="hair">
        <color theme="0" tint="-0.499984740745262"/>
      </top>
      <bottom style="hair">
        <color theme="0" tint="-0.499984740745262"/>
      </bottom>
      <diagonal/>
    </border>
    <border>
      <left style="hair">
        <color theme="0" tint="-0.499984740745262"/>
      </left>
      <right style="thin">
        <color theme="0" tint="-0.499984740745262"/>
      </right>
      <top style="hair">
        <color theme="0" tint="-0.499984740745262"/>
      </top>
      <bottom style="thin">
        <color theme="0" tint="-0.499984740745262"/>
      </bottom>
      <diagonal/>
    </border>
    <border>
      <left style="hair">
        <color theme="0" tint="-0.499984740745262"/>
      </left>
      <right style="thin">
        <color theme="0" tint="-0.499984740745262"/>
      </right>
      <top style="hair">
        <color theme="0" tint="-0.499984740745262"/>
      </top>
      <bottom/>
      <diagonal/>
    </border>
    <border>
      <left style="hair">
        <color theme="0" tint="-0.499984740745262"/>
      </left>
      <right/>
      <top style="thin">
        <color indexed="64"/>
      </top>
      <bottom/>
      <diagonal/>
    </border>
    <border>
      <left style="hair">
        <color theme="0" tint="-0.499984740745262"/>
      </left>
      <right/>
      <top style="thin">
        <color theme="0" tint="-0.499984740745262"/>
      </top>
      <bottom/>
      <diagonal/>
    </border>
    <border>
      <left style="hair">
        <color theme="0" tint="-0.499984740745262"/>
      </left>
      <right/>
      <top style="thin">
        <color theme="0" tint="-0.499984740745262"/>
      </top>
      <bottom style="hair">
        <color theme="0" tint="-0.499984740745262"/>
      </bottom>
      <diagonal/>
    </border>
    <border>
      <left style="hair">
        <color theme="0" tint="-0.499984740745262"/>
      </left>
      <right/>
      <top style="hair">
        <color theme="0" tint="-0.499984740745262"/>
      </top>
      <bottom style="hair">
        <color theme="0" tint="-0.499984740745262"/>
      </bottom>
      <diagonal/>
    </border>
    <border>
      <left style="hair">
        <color theme="0" tint="-0.499984740745262"/>
      </left>
      <right/>
      <top style="hair">
        <color theme="0" tint="-0.499984740745262"/>
      </top>
      <bottom style="thin">
        <color theme="0" tint="-0.499984740745262"/>
      </bottom>
      <diagonal/>
    </border>
    <border>
      <left style="hair">
        <color theme="0" tint="-0.499984740745262"/>
      </left>
      <right/>
      <top style="hair">
        <color theme="0" tint="-0.499984740745262"/>
      </top>
      <bottom/>
      <diagonal/>
    </border>
    <border>
      <left style="thin">
        <color theme="0" tint="-0.499984740745262"/>
      </left>
      <right style="hair">
        <color theme="0" tint="-0.499984740745262"/>
      </right>
      <top style="thin">
        <color indexed="64"/>
      </top>
      <bottom/>
      <diagonal/>
    </border>
    <border>
      <left style="hair">
        <color theme="0" tint="-0.499984740745262"/>
      </left>
      <right style="hair">
        <color theme="0" tint="-0.499984740745262"/>
      </right>
      <top style="thin">
        <color indexed="64"/>
      </top>
      <bottom/>
      <diagonal/>
    </border>
    <border>
      <left style="thin">
        <color theme="0" tint="-0.499984740745262"/>
      </left>
      <right style="hair">
        <color theme="0" tint="-0.499984740745262"/>
      </right>
      <top style="thin">
        <color theme="0" tint="-0.499984740745262"/>
      </top>
      <bottom style="hair">
        <color theme="0" tint="-0.499984740745262"/>
      </bottom>
      <diagonal/>
    </border>
    <border>
      <left style="hair">
        <color theme="0" tint="-0.499984740745262"/>
      </left>
      <right style="hair">
        <color theme="0" tint="-0.499984740745262"/>
      </right>
      <top style="thin">
        <color theme="0" tint="-0.499984740745262"/>
      </top>
      <bottom style="hair">
        <color theme="0" tint="-0.499984740745262"/>
      </bottom>
      <diagonal/>
    </border>
    <border>
      <left style="thin">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thin">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hair">
        <color theme="0" tint="-0.499984740745262"/>
      </right>
      <top style="hair">
        <color theme="0" tint="-0.499984740745262"/>
      </top>
      <bottom style="thin">
        <color theme="0" tint="-0.499984740745262"/>
      </bottom>
      <diagonal/>
    </border>
    <border>
      <left style="thin">
        <color theme="0" tint="-0.499984740745262"/>
      </left>
      <right style="hair">
        <color theme="0" tint="-0.499984740745262"/>
      </right>
      <top style="hair">
        <color theme="0" tint="-0.499984740745262"/>
      </top>
      <bottom/>
      <diagonal/>
    </border>
    <border>
      <left style="hair">
        <color theme="0" tint="-0.499984740745262"/>
      </left>
      <right style="hair">
        <color theme="0" tint="-0.499984740745262"/>
      </right>
      <top style="hair">
        <color theme="0" tint="-0.499984740745262"/>
      </top>
      <bottom/>
      <diagonal/>
    </border>
    <border>
      <left style="hair">
        <color theme="0" tint="-0.499984740745262"/>
      </left>
      <right/>
      <top/>
      <bottom style="thin">
        <color theme="0" tint="-0.499984740745262"/>
      </bottom>
      <diagonal/>
    </border>
    <border>
      <left style="thin">
        <color theme="0" tint="-0.499984740745262"/>
      </left>
      <right/>
      <top/>
      <bottom style="hair">
        <color theme="0" tint="-0.499984740745262"/>
      </bottom>
      <diagonal/>
    </border>
    <border>
      <left/>
      <right/>
      <top/>
      <bottom style="hair">
        <color theme="0" tint="-0.499984740745262"/>
      </bottom>
      <diagonal/>
    </border>
    <border>
      <left style="hair">
        <color theme="0" tint="-0.499984740745262"/>
      </left>
      <right/>
      <top/>
      <bottom style="hair">
        <color theme="0" tint="-0.499984740745262"/>
      </bottom>
      <diagonal/>
    </border>
    <border>
      <left style="thin">
        <color theme="0" tint="-0.499984740745262"/>
      </left>
      <right style="hair">
        <color theme="0" tint="-0.499984740745262"/>
      </right>
      <top/>
      <bottom style="hair">
        <color theme="0" tint="-0.499984740745262"/>
      </bottom>
      <diagonal/>
    </border>
    <border>
      <left style="hair">
        <color theme="0" tint="-0.499984740745262"/>
      </left>
      <right style="hair">
        <color theme="0" tint="-0.499984740745262"/>
      </right>
      <top/>
      <bottom style="hair">
        <color theme="0" tint="-0.499984740745262"/>
      </bottom>
      <diagonal/>
    </border>
    <border>
      <left style="hair">
        <color theme="0" tint="-0.499984740745262"/>
      </left>
      <right style="thin">
        <color theme="0" tint="-0.499984740745262"/>
      </right>
      <top/>
      <bottom style="hair">
        <color theme="0" tint="-0.499984740745262"/>
      </bottom>
      <diagonal/>
    </border>
    <border>
      <left style="thin">
        <color theme="0" tint="-0.499984740745262"/>
      </left>
      <right style="thin">
        <color theme="0" tint="-0.499984740745262"/>
      </right>
      <top style="thin">
        <color theme="0" tint="-0.499984740745262"/>
      </top>
      <bottom style="hair">
        <color theme="0" tint="-0.499984740745262"/>
      </bottom>
      <diagonal/>
    </border>
    <border>
      <left style="thin">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style="thin">
        <color theme="0" tint="-0.499984740745262"/>
      </right>
      <top style="hair">
        <color theme="0" tint="-0.499984740745262"/>
      </top>
      <bottom style="thin">
        <color theme="0" tint="-0.499984740745262"/>
      </bottom>
      <diagonal/>
    </border>
    <border>
      <left style="thin">
        <color theme="0" tint="-0.499984740745262"/>
      </left>
      <right style="hair">
        <color theme="0" tint="-0.499984740745262"/>
      </right>
      <top style="thin">
        <color theme="0" tint="-0.499984740745262"/>
      </top>
      <bottom style="thin">
        <color theme="0" tint="-0.499984740745262"/>
      </bottom>
      <diagonal/>
    </border>
    <border>
      <left/>
      <right style="hair">
        <color theme="0" tint="-0.499984740745262"/>
      </right>
      <top style="thin">
        <color theme="0" tint="-0.499984740745262"/>
      </top>
      <bottom style="hair">
        <color theme="0" tint="-0.499984740745262"/>
      </bottom>
      <diagonal/>
    </border>
    <border>
      <left/>
      <right style="hair">
        <color theme="0" tint="-0.499984740745262"/>
      </right>
      <top style="hair">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hair">
        <color theme="0" tint="-0.499984740745262"/>
      </bottom>
      <diagonal/>
    </border>
    <border>
      <left/>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hair">
        <color theme="0" tint="-0.499984740745262"/>
      </right>
      <top/>
      <bottom/>
      <diagonal/>
    </border>
    <border>
      <left style="hair">
        <color theme="0" tint="-0.499984740745262"/>
      </left>
      <right style="hair">
        <color theme="0" tint="-0.499984740745262"/>
      </right>
      <top/>
      <bottom/>
      <diagonal/>
    </border>
    <border>
      <left style="hair">
        <color theme="0" tint="-0.499984740745262"/>
      </left>
      <right style="thin">
        <color theme="0" tint="-0.499984740745262"/>
      </right>
      <top/>
      <bottom/>
      <diagonal/>
    </border>
    <border>
      <left/>
      <right/>
      <top style="thin">
        <color theme="0" tint="-0.499984740745262"/>
      </top>
      <bottom style="hair">
        <color indexed="64"/>
      </bottom>
      <diagonal/>
    </border>
    <border>
      <left style="thin">
        <color theme="0" tint="-0.499984740745262"/>
      </left>
      <right style="thin">
        <color theme="0" tint="-0.499984740745262"/>
      </right>
      <top style="thin">
        <color theme="0" tint="-0.499984740745262"/>
      </top>
      <bottom style="hair">
        <color indexed="64"/>
      </bottom>
      <diagonal/>
    </border>
    <border>
      <left style="thin">
        <color theme="0" tint="-0.499984740745262"/>
      </left>
      <right style="hair">
        <color theme="0" tint="-0.499984740745262"/>
      </right>
      <top style="thin">
        <color theme="0" tint="-0.499984740745262"/>
      </top>
      <bottom style="hair">
        <color indexed="64"/>
      </bottom>
      <diagonal/>
    </border>
    <border>
      <left style="hair">
        <color theme="0" tint="-0.499984740745262"/>
      </left>
      <right style="hair">
        <color theme="0" tint="-0.499984740745262"/>
      </right>
      <top style="thin">
        <color theme="0" tint="-0.499984740745262"/>
      </top>
      <bottom style="hair">
        <color indexed="64"/>
      </bottom>
      <diagonal/>
    </border>
    <border>
      <left style="hair">
        <color theme="0" tint="-0.499984740745262"/>
      </left>
      <right style="thin">
        <color theme="0" tint="-0.499984740745262"/>
      </right>
      <top style="thin">
        <color theme="0" tint="-0.499984740745262"/>
      </top>
      <bottom style="hair">
        <color indexed="64"/>
      </bottom>
      <diagonal/>
    </border>
    <border>
      <left style="hair">
        <color indexed="64"/>
      </left>
      <right/>
      <top style="hair">
        <color indexed="64"/>
      </top>
      <bottom style="thin">
        <color theme="0" tint="-0.499984740745262"/>
      </bottom>
      <diagonal/>
    </border>
    <border>
      <left/>
      <right/>
      <top style="hair">
        <color indexed="64"/>
      </top>
      <bottom style="thin">
        <color theme="0" tint="-0.499984740745262"/>
      </bottom>
      <diagonal/>
    </border>
    <border>
      <left style="thin">
        <color theme="0" tint="-0.499984740745262"/>
      </left>
      <right style="thin">
        <color theme="0" tint="-0.499984740745262"/>
      </right>
      <top style="hair">
        <color indexed="64"/>
      </top>
      <bottom style="thin">
        <color theme="0" tint="-0.499984740745262"/>
      </bottom>
      <diagonal/>
    </border>
    <border>
      <left style="thin">
        <color theme="0" tint="-0.499984740745262"/>
      </left>
      <right style="hair">
        <color theme="0" tint="-0.499984740745262"/>
      </right>
      <top style="hair">
        <color indexed="64"/>
      </top>
      <bottom style="thin">
        <color theme="0" tint="-0.499984740745262"/>
      </bottom>
      <diagonal/>
    </border>
    <border>
      <left style="hair">
        <color theme="0" tint="-0.499984740745262"/>
      </left>
      <right style="hair">
        <color theme="0" tint="-0.499984740745262"/>
      </right>
      <top style="hair">
        <color indexed="64"/>
      </top>
      <bottom style="thin">
        <color theme="0" tint="-0.499984740745262"/>
      </bottom>
      <diagonal/>
    </border>
    <border>
      <left style="hair">
        <color theme="0" tint="-0.499984740745262"/>
      </left>
      <right style="thin">
        <color theme="0" tint="-0.499984740745262"/>
      </right>
      <top style="hair">
        <color indexed="64"/>
      </top>
      <bottom style="thin">
        <color theme="0" tint="-0.499984740745262"/>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style="thin">
        <color theme="0" tint="-0.499984740745262"/>
      </right>
      <top/>
      <bottom/>
      <diagonal/>
    </border>
    <border>
      <left/>
      <right style="thin">
        <color theme="0" tint="-0.499984740745262"/>
      </right>
      <top style="hair">
        <color theme="0" tint="-0.499984740745262"/>
      </top>
      <bottom style="thin">
        <color theme="0" tint="-0.499984740745262"/>
      </bottom>
      <diagonal/>
    </border>
    <border>
      <left/>
      <right style="hair">
        <color theme="0" tint="-0.499984740745262"/>
      </right>
      <top style="hair">
        <color theme="0" tint="-0.499984740745262"/>
      </top>
      <bottom style="hair">
        <color theme="0" tint="-0.499984740745262"/>
      </bottom>
      <diagonal/>
    </border>
    <border>
      <left/>
      <right style="hair">
        <color theme="0" tint="-0.499984740745262"/>
      </right>
      <top style="hair">
        <color theme="0" tint="-0.499984740745262"/>
      </top>
      <bottom/>
      <diagonal/>
    </border>
    <border>
      <left/>
      <right style="hair">
        <color theme="0" tint="-0.499984740745262"/>
      </right>
      <top style="thin">
        <color theme="0" tint="-0.499984740745262"/>
      </top>
      <bottom/>
      <diagonal/>
    </border>
    <border>
      <left/>
      <right style="hair">
        <color theme="0" tint="-0.499984740745262"/>
      </right>
      <top style="thin">
        <color theme="0" tint="-0.499984740745262"/>
      </top>
      <bottom style="thin">
        <color theme="0" tint="-0.499984740745262"/>
      </bottom>
      <diagonal/>
    </border>
    <border>
      <left/>
      <right style="hair">
        <color theme="0" tint="-0.499984740745262"/>
      </right>
      <top/>
      <bottom style="thin">
        <color theme="0" tint="-0.499984740745262"/>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bottom/>
      <diagonal/>
    </border>
    <border>
      <left/>
      <right style="hair">
        <color theme="0" tint="-0.499984740745262"/>
      </right>
      <top/>
      <bottom/>
      <diagonal/>
    </border>
    <border>
      <left/>
      <right style="thin">
        <color theme="0" tint="-0.499984740745262"/>
      </right>
      <top style="thin">
        <color theme="0" tint="-0.499984740745262"/>
      </top>
      <bottom style="hair">
        <color theme="0" tint="-0.499984740745262"/>
      </bottom>
      <diagonal/>
    </border>
    <border>
      <left/>
      <right style="hair">
        <color theme="0" tint="-0.499984740745262"/>
      </right>
      <top/>
      <bottom style="hair">
        <color theme="0" tint="-0.499984740745262"/>
      </bottom>
      <diagonal/>
    </border>
    <border>
      <left style="thin">
        <color theme="0" tint="-0.499984740745262"/>
      </left>
      <right style="hair">
        <color theme="0" tint="-0.499984740745262"/>
      </right>
      <top/>
      <bottom style="dotted">
        <color rgb="FF000000"/>
      </bottom>
      <diagonal/>
    </border>
    <border>
      <left style="hair">
        <color theme="0" tint="-0.499984740745262"/>
      </left>
      <right style="dotted">
        <color rgb="FF000000"/>
      </right>
      <top/>
      <bottom style="dotted">
        <color rgb="FF000000"/>
      </bottom>
      <diagonal/>
    </border>
    <border>
      <left style="dotted">
        <color rgb="FF000000"/>
      </left>
      <right style="hair">
        <color theme="0" tint="-0.499984740745262"/>
      </right>
      <top style="hair">
        <color theme="0" tint="-0.499984740745262"/>
      </top>
      <bottom style="hair">
        <color theme="0" tint="-0.499984740745262"/>
      </bottom>
      <diagonal/>
    </border>
    <border>
      <left style="thin">
        <color theme="0" tint="-0.499984740745262"/>
      </left>
      <right style="dotted">
        <color rgb="FF000000"/>
      </right>
      <top style="hair">
        <color theme="0" tint="-0.499984740745262"/>
      </top>
      <bottom style="hair">
        <color theme="0" tint="-0.499984740745262"/>
      </bottom>
      <diagonal/>
    </border>
    <border>
      <left/>
      <right style="thin">
        <color theme="0" tint="-0.499984740745262"/>
      </right>
      <top style="hair">
        <color theme="0" tint="-0.499984740745262"/>
      </top>
      <bottom style="hair">
        <color theme="0" tint="-0.499984740745262"/>
      </bottom>
      <diagonal/>
    </border>
    <border>
      <left/>
      <right style="hair">
        <color theme="0" tint="-0.499984740745262"/>
      </right>
      <top style="thin">
        <color indexed="64"/>
      </top>
      <bottom/>
      <diagonal/>
    </border>
    <border>
      <left/>
      <right style="hair">
        <color theme="0" tint="-0.499984740745262"/>
      </right>
      <top style="thin">
        <color theme="0" tint="-0.499984740745262"/>
      </top>
      <bottom style="hair">
        <color indexed="64"/>
      </bottom>
      <diagonal/>
    </border>
    <border>
      <left/>
      <right style="hair">
        <color theme="0" tint="-0.499984740745262"/>
      </right>
      <top style="hair">
        <color indexed="64"/>
      </top>
      <bottom style="thin">
        <color theme="0" tint="-0.499984740745262"/>
      </bottom>
      <diagonal/>
    </border>
  </borders>
  <cellStyleXfs count="8">
    <xf numFmtId="0" fontId="0" fillId="0" borderId="0">
      <alignment vertical="center"/>
    </xf>
    <xf numFmtId="0" fontId="11" fillId="0" borderId="0">
      <alignment vertical="center"/>
    </xf>
    <xf numFmtId="0" fontId="12" fillId="0" borderId="0">
      <alignment vertical="center"/>
    </xf>
    <xf numFmtId="0" fontId="18" fillId="0" borderId="0" applyNumberFormat="0" applyFill="0" applyBorder="0" applyAlignment="0" applyProtection="0">
      <alignment vertical="center"/>
    </xf>
    <xf numFmtId="38" fontId="11" fillId="0" borderId="0" applyFont="0" applyFill="0" applyBorder="0" applyAlignment="0" applyProtection="0">
      <alignment vertical="center"/>
    </xf>
    <xf numFmtId="0" fontId="23" fillId="0" borderId="0"/>
    <xf numFmtId="0" fontId="1" fillId="0" borderId="0">
      <alignment vertical="center"/>
    </xf>
    <xf numFmtId="0" fontId="27" fillId="0" borderId="0">
      <alignment vertical="center"/>
    </xf>
  </cellStyleXfs>
  <cellXfs count="732">
    <xf numFmtId="0" fontId="0" fillId="0" borderId="0" xfId="0">
      <alignment vertical="center"/>
    </xf>
    <xf numFmtId="0" fontId="0" fillId="0" borderId="3" xfId="0" applyBorder="1">
      <alignment vertical="center"/>
    </xf>
    <xf numFmtId="0" fontId="0" fillId="0" borderId="5" xfId="0" applyBorder="1">
      <alignment vertical="center"/>
    </xf>
    <xf numFmtId="0" fontId="0" fillId="0" borderId="27" xfId="0" applyBorder="1">
      <alignment vertical="center"/>
    </xf>
    <xf numFmtId="0" fontId="0" fillId="0" borderId="7" xfId="0" applyBorder="1">
      <alignment vertical="center"/>
    </xf>
    <xf numFmtId="0" fontId="0" fillId="0" borderId="6" xfId="0" applyBorder="1">
      <alignment vertical="center"/>
    </xf>
    <xf numFmtId="0" fontId="0" fillId="0" borderId="39" xfId="0" applyBorder="1">
      <alignment vertical="center"/>
    </xf>
    <xf numFmtId="0" fontId="0" fillId="0" borderId="40" xfId="0" applyBorder="1">
      <alignment vertical="center"/>
    </xf>
    <xf numFmtId="0" fontId="0" fillId="0" borderId="41" xfId="0" applyBorder="1">
      <alignment vertical="center"/>
    </xf>
    <xf numFmtId="0" fontId="0" fillId="0" borderId="42" xfId="0" applyBorder="1">
      <alignment vertical="center"/>
    </xf>
    <xf numFmtId="0" fontId="0" fillId="0" borderId="43" xfId="0" applyBorder="1">
      <alignment vertical="center"/>
    </xf>
    <xf numFmtId="0" fontId="0" fillId="0" borderId="44" xfId="0" applyBorder="1">
      <alignment vertical="center"/>
    </xf>
    <xf numFmtId="0" fontId="0" fillId="0" borderId="45" xfId="0" applyBorder="1">
      <alignment vertical="center"/>
    </xf>
    <xf numFmtId="0" fontId="0" fillId="0" borderId="46" xfId="0" applyBorder="1">
      <alignment vertical="center"/>
    </xf>
    <xf numFmtId="0" fontId="0" fillId="0" borderId="47" xfId="0" applyBorder="1">
      <alignment vertical="center"/>
    </xf>
    <xf numFmtId="0" fontId="0" fillId="0" borderId="48" xfId="0" applyBorder="1">
      <alignment vertical="center"/>
    </xf>
    <xf numFmtId="0" fontId="2" fillId="2" borderId="3" xfId="2" applyFont="1" applyFill="1" applyBorder="1">
      <alignment vertical="center"/>
    </xf>
    <xf numFmtId="0" fontId="3" fillId="0" borderId="0" xfId="2" applyFont="1">
      <alignment vertical="center"/>
    </xf>
    <xf numFmtId="0" fontId="2" fillId="0" borderId="0" xfId="2" applyFont="1" applyAlignment="1">
      <alignment vertical="center" wrapText="1"/>
    </xf>
    <xf numFmtId="0" fontId="4" fillId="0" borderId="0" xfId="2" applyFont="1" applyAlignment="1">
      <alignment vertical="center" wrapText="1"/>
    </xf>
    <xf numFmtId="0" fontId="2" fillId="0" borderId="0" xfId="2" applyFont="1">
      <alignment vertical="center"/>
    </xf>
    <xf numFmtId="0" fontId="14" fillId="0" borderId="0" xfId="2" applyFont="1" applyAlignment="1">
      <alignment vertical="center" wrapText="1"/>
    </xf>
    <xf numFmtId="0" fontId="13" fillId="0" borderId="5" xfId="2" applyFont="1" applyBorder="1" applyAlignment="1">
      <alignment horizontal="left" vertical="center"/>
    </xf>
    <xf numFmtId="0" fontId="13" fillId="0" borderId="19" xfId="2" applyFont="1" applyBorder="1" applyAlignment="1">
      <alignment horizontal="left" vertical="center"/>
    </xf>
    <xf numFmtId="0" fontId="13" fillId="0" borderId="11" xfId="2" applyFont="1" applyBorder="1" applyAlignment="1">
      <alignment horizontal="center" vertical="center" wrapText="1"/>
    </xf>
    <xf numFmtId="0" fontId="13" fillId="0" borderId="15" xfId="2" applyFont="1" applyBorder="1" applyAlignment="1">
      <alignment vertical="center" wrapText="1"/>
    </xf>
    <xf numFmtId="0" fontId="13" fillId="2" borderId="3" xfId="2" applyFont="1" applyFill="1" applyBorder="1" applyAlignment="1">
      <alignment horizontal="left" vertical="center"/>
    </xf>
    <xf numFmtId="0" fontId="13" fillId="0" borderId="17" xfId="2" applyFont="1" applyBorder="1" applyAlignment="1">
      <alignment horizontal="left" vertical="center"/>
    </xf>
    <xf numFmtId="0" fontId="13" fillId="0" borderId="8" xfId="2" applyFont="1" applyBorder="1" applyAlignment="1">
      <alignment horizontal="center" vertical="center" wrapText="1"/>
    </xf>
    <xf numFmtId="0" fontId="13" fillId="0" borderId="9" xfId="2" applyFont="1" applyBorder="1" applyAlignment="1">
      <alignment horizontal="center" vertical="center"/>
    </xf>
    <xf numFmtId="0" fontId="13" fillId="0" borderId="13" xfId="2" applyFont="1" applyBorder="1" applyAlignment="1">
      <alignment vertical="center" wrapText="1"/>
    </xf>
    <xf numFmtId="0" fontId="13" fillId="0" borderId="31" xfId="2" applyFont="1" applyBorder="1" applyAlignment="1">
      <alignment horizontal="left" vertical="center"/>
    </xf>
    <xf numFmtId="0" fontId="13" fillId="0" borderId="30" xfId="2" applyFont="1" applyBorder="1" applyAlignment="1">
      <alignment horizontal="center" vertical="center" wrapText="1"/>
    </xf>
    <xf numFmtId="0" fontId="13" fillId="0" borderId="29" xfId="2" applyFont="1" applyBorder="1" applyAlignment="1">
      <alignment vertical="center" wrapText="1"/>
    </xf>
    <xf numFmtId="0" fontId="13" fillId="2" borderId="18" xfId="2" applyFont="1" applyFill="1" applyBorder="1" applyAlignment="1">
      <alignment horizontal="left" vertical="center"/>
    </xf>
    <xf numFmtId="0" fontId="13" fillId="0" borderId="13" xfId="2" applyFont="1" applyBorder="1" applyAlignment="1">
      <alignment horizontal="left" vertical="center"/>
    </xf>
    <xf numFmtId="0" fontId="13" fillId="2" borderId="20" xfId="2" applyFont="1" applyFill="1" applyBorder="1" applyAlignment="1">
      <alignment horizontal="left" vertical="center"/>
    </xf>
    <xf numFmtId="0" fontId="13" fillId="0" borderId="15" xfId="2" applyFont="1" applyBorder="1" applyAlignment="1">
      <alignment horizontal="left" vertical="center"/>
    </xf>
    <xf numFmtId="0" fontId="13" fillId="0" borderId="20" xfId="2" applyFont="1" applyBorder="1" applyAlignment="1">
      <alignment horizontal="left" vertical="center"/>
    </xf>
    <xf numFmtId="0" fontId="16" fillId="0" borderId="17" xfId="2" applyFont="1" applyBorder="1">
      <alignment vertical="center"/>
    </xf>
    <xf numFmtId="0" fontId="16" fillId="0" borderId="19" xfId="2" applyFont="1" applyBorder="1">
      <alignment vertical="center"/>
    </xf>
    <xf numFmtId="0" fontId="13" fillId="2" borderId="5" xfId="2" applyFont="1" applyFill="1" applyBorder="1" applyAlignment="1">
      <alignment horizontal="left" vertical="center"/>
    </xf>
    <xf numFmtId="0" fontId="13" fillId="2" borderId="19" xfId="2" applyFont="1" applyFill="1" applyBorder="1" applyAlignment="1">
      <alignment horizontal="left"/>
    </xf>
    <xf numFmtId="0" fontId="13" fillId="2" borderId="10" xfId="2" applyFont="1" applyFill="1" applyBorder="1" applyAlignment="1">
      <alignment horizontal="center" vertical="center" wrapText="1"/>
    </xf>
    <xf numFmtId="0" fontId="13" fillId="2" borderId="11" xfId="2" applyFont="1" applyFill="1" applyBorder="1" applyAlignment="1">
      <alignment horizontal="center" vertical="center" wrapText="1"/>
    </xf>
    <xf numFmtId="0" fontId="13" fillId="2" borderId="15" xfId="2" applyFont="1" applyFill="1" applyBorder="1" applyAlignment="1">
      <alignment vertical="center" wrapText="1"/>
    </xf>
    <xf numFmtId="0" fontId="13" fillId="0" borderId="34" xfId="2" applyFont="1" applyBorder="1" applyAlignment="1">
      <alignment horizontal="left" vertical="center"/>
    </xf>
    <xf numFmtId="0" fontId="13" fillId="0" borderId="34" xfId="2" applyFont="1" applyBorder="1" applyAlignment="1">
      <alignment vertical="center" wrapText="1"/>
    </xf>
    <xf numFmtId="0" fontId="13" fillId="0" borderId="19" xfId="2" applyFont="1" applyBorder="1">
      <alignment vertical="center"/>
    </xf>
    <xf numFmtId="0" fontId="16" fillId="2" borderId="17" xfId="2" applyFont="1" applyFill="1" applyBorder="1">
      <alignment vertical="center"/>
    </xf>
    <xf numFmtId="0" fontId="13" fillId="2" borderId="9" xfId="2" applyFont="1" applyFill="1" applyBorder="1" applyAlignment="1">
      <alignment horizontal="center" vertical="center" wrapText="1"/>
    </xf>
    <xf numFmtId="0" fontId="13" fillId="2" borderId="34" xfId="2" applyFont="1" applyFill="1" applyBorder="1" applyAlignment="1">
      <alignment vertical="center" wrapText="1"/>
    </xf>
    <xf numFmtId="0" fontId="16" fillId="2" borderId="19" xfId="2" applyFont="1" applyFill="1" applyBorder="1">
      <alignment vertical="center"/>
    </xf>
    <xf numFmtId="0" fontId="13" fillId="2" borderId="13" xfId="2" applyFont="1" applyFill="1" applyBorder="1" applyAlignment="1">
      <alignment vertical="center" wrapText="1"/>
    </xf>
    <xf numFmtId="0" fontId="14" fillId="2" borderId="0" xfId="2" applyFont="1" applyFill="1" applyAlignment="1">
      <alignment vertical="center" wrapText="1"/>
    </xf>
    <xf numFmtId="0" fontId="2" fillId="2" borderId="0" xfId="2" applyFont="1" applyFill="1">
      <alignment vertical="center"/>
    </xf>
    <xf numFmtId="49" fontId="16" fillId="2" borderId="18" xfId="2" applyNumberFormat="1" applyFont="1" applyFill="1" applyBorder="1" applyAlignment="1">
      <alignment horizontal="right"/>
    </xf>
    <xf numFmtId="0" fontId="13" fillId="2" borderId="17" xfId="2" applyFont="1" applyFill="1" applyBorder="1" applyAlignment="1">
      <alignment vertical="center" wrapText="1"/>
    </xf>
    <xf numFmtId="0" fontId="13" fillId="2" borderId="31" xfId="2" applyFont="1" applyFill="1" applyBorder="1" applyAlignment="1">
      <alignment vertical="center" wrapText="1"/>
    </xf>
    <xf numFmtId="49" fontId="16" fillId="0" borderId="51" xfId="2" applyNumberFormat="1" applyFont="1" applyBorder="1" applyAlignment="1">
      <alignment horizontal="left"/>
    </xf>
    <xf numFmtId="0" fontId="16" fillId="0" borderId="51" xfId="2" applyFont="1" applyBorder="1" applyAlignment="1"/>
    <xf numFmtId="0" fontId="13" fillId="2" borderId="51" xfId="2" applyFont="1" applyFill="1" applyBorder="1" applyAlignment="1">
      <alignment horizontal="center" vertical="center"/>
    </xf>
    <xf numFmtId="0" fontId="13" fillId="2" borderId="29" xfId="2" applyFont="1" applyFill="1" applyBorder="1" applyAlignment="1">
      <alignment vertical="center" wrapText="1"/>
    </xf>
    <xf numFmtId="0" fontId="13" fillId="0" borderId="52" xfId="2" applyFont="1" applyBorder="1">
      <alignment vertical="center"/>
    </xf>
    <xf numFmtId="0" fontId="13" fillId="0" borderId="50" xfId="2" applyFont="1" applyBorder="1" applyAlignment="1">
      <alignment horizontal="center" vertical="center"/>
    </xf>
    <xf numFmtId="0" fontId="13" fillId="0" borderId="52" xfId="2" applyFont="1" applyBorder="1" applyAlignment="1">
      <alignment vertical="center" wrapText="1"/>
    </xf>
    <xf numFmtId="0" fontId="13" fillId="0" borderId="17" xfId="2" applyFont="1" applyBorder="1">
      <alignment vertical="center"/>
    </xf>
    <xf numFmtId="0" fontId="13" fillId="0" borderId="17" xfId="2" applyFont="1" applyBorder="1" applyAlignment="1">
      <alignment vertical="center" wrapText="1"/>
    </xf>
    <xf numFmtId="0" fontId="13" fillId="2" borderId="18" xfId="2" applyFont="1" applyFill="1" applyBorder="1">
      <alignment vertical="center"/>
    </xf>
    <xf numFmtId="0" fontId="13" fillId="0" borderId="21" xfId="2" applyFont="1" applyBorder="1" applyAlignment="1">
      <alignment vertical="center" wrapText="1"/>
    </xf>
    <xf numFmtId="0" fontId="13" fillId="0" borderId="31" xfId="2" applyFont="1" applyBorder="1">
      <alignment vertical="center"/>
    </xf>
    <xf numFmtId="0" fontId="13" fillId="2" borderId="3" xfId="2" applyFont="1" applyFill="1" applyBorder="1">
      <alignment vertical="center"/>
    </xf>
    <xf numFmtId="0" fontId="13" fillId="0" borderId="12" xfId="2" applyFont="1" applyBorder="1">
      <alignment vertical="center"/>
    </xf>
    <xf numFmtId="0" fontId="13" fillId="2" borderId="16" xfId="2" applyFont="1" applyFill="1" applyBorder="1">
      <alignment vertical="center"/>
    </xf>
    <xf numFmtId="49" fontId="16" fillId="2" borderId="50" xfId="2" applyNumberFormat="1" applyFont="1" applyFill="1" applyBorder="1" applyAlignment="1">
      <alignment horizontal="right"/>
    </xf>
    <xf numFmtId="0" fontId="13" fillId="2" borderId="12" xfId="2" applyFont="1" applyFill="1" applyBorder="1" applyAlignment="1">
      <alignment horizontal="left" vertical="center"/>
    </xf>
    <xf numFmtId="0" fontId="13" fillId="2" borderId="34" xfId="2" applyFont="1" applyFill="1" applyBorder="1" applyAlignment="1">
      <alignment horizontal="left" vertical="center"/>
    </xf>
    <xf numFmtId="0" fontId="13" fillId="2" borderId="13" xfId="2" applyFont="1" applyFill="1" applyBorder="1" applyAlignment="1">
      <alignment horizontal="left" vertical="center"/>
    </xf>
    <xf numFmtId="0" fontId="2" fillId="2" borderId="5" xfId="2" applyFont="1" applyFill="1" applyBorder="1">
      <alignment vertical="center"/>
    </xf>
    <xf numFmtId="0" fontId="13" fillId="2" borderId="35" xfId="2" applyFont="1" applyFill="1" applyBorder="1" applyAlignment="1">
      <alignment horizontal="left" vertical="center"/>
    </xf>
    <xf numFmtId="0" fontId="13" fillId="2" borderId="15" xfId="2" applyFont="1" applyFill="1" applyBorder="1" applyAlignment="1">
      <alignment horizontal="left" vertical="center"/>
    </xf>
    <xf numFmtId="0" fontId="13" fillId="0" borderId="0" xfId="2" applyFont="1">
      <alignment vertical="center"/>
    </xf>
    <xf numFmtId="0" fontId="13" fillId="0" borderId="0" xfId="2" applyFont="1" applyAlignment="1">
      <alignment vertical="center" wrapText="1"/>
    </xf>
    <xf numFmtId="0" fontId="13" fillId="0" borderId="22" xfId="2" applyFont="1" applyBorder="1" applyAlignment="1">
      <alignment horizontal="center" vertical="center" wrapText="1"/>
    </xf>
    <xf numFmtId="0" fontId="13" fillId="0" borderId="32" xfId="2" applyFont="1" applyBorder="1" applyAlignment="1">
      <alignment horizontal="center" vertical="center" wrapText="1"/>
    </xf>
    <xf numFmtId="0" fontId="13" fillId="2" borderId="23" xfId="2" applyFont="1" applyFill="1" applyBorder="1" applyAlignment="1">
      <alignment horizontal="center" vertical="center" wrapText="1"/>
    </xf>
    <xf numFmtId="0" fontId="13" fillId="2" borderId="22" xfId="2" applyFont="1" applyFill="1" applyBorder="1" applyAlignment="1">
      <alignment horizontal="center" vertical="center" wrapText="1"/>
    </xf>
    <xf numFmtId="0" fontId="13" fillId="0" borderId="53" xfId="2" applyFont="1" applyBorder="1" applyAlignment="1">
      <alignment horizontal="center" vertical="center"/>
    </xf>
    <xf numFmtId="0" fontId="13" fillId="2" borderId="7" xfId="2" applyFont="1" applyFill="1" applyBorder="1" applyAlignment="1">
      <alignment vertical="center" wrapText="1"/>
    </xf>
    <xf numFmtId="0" fontId="6" fillId="0" borderId="15" xfId="2" applyFont="1" applyBorder="1" applyAlignment="1">
      <alignment vertical="center" wrapText="1"/>
    </xf>
    <xf numFmtId="0" fontId="2" fillId="0" borderId="15" xfId="2" applyFont="1" applyBorder="1" applyAlignment="1">
      <alignment vertical="center" wrapText="1"/>
    </xf>
    <xf numFmtId="0" fontId="6" fillId="0" borderId="13" xfId="2" applyFont="1" applyBorder="1" applyAlignment="1">
      <alignment vertical="center" wrapText="1"/>
    </xf>
    <xf numFmtId="0" fontId="15" fillId="0" borderId="13" xfId="2" applyFont="1" applyBorder="1" applyAlignment="1">
      <alignment vertical="center" wrapText="1"/>
    </xf>
    <xf numFmtId="0" fontId="15" fillId="2" borderId="15" xfId="2" applyFont="1" applyFill="1" applyBorder="1" applyAlignment="1">
      <alignment vertical="center" wrapText="1"/>
    </xf>
    <xf numFmtId="0" fontId="13" fillId="0" borderId="10" xfId="2" applyFont="1" applyBorder="1" applyAlignment="1">
      <alignment horizontal="center" vertical="center"/>
    </xf>
    <xf numFmtId="0" fontId="13" fillId="0" borderId="23" xfId="2" applyFont="1" applyBorder="1" applyAlignment="1">
      <alignment horizontal="center" vertical="center"/>
    </xf>
    <xf numFmtId="0" fontId="19" fillId="0" borderId="8" xfId="3" applyFont="1" applyBorder="1" applyAlignment="1">
      <alignment horizontal="center" vertical="center" wrapText="1"/>
    </xf>
    <xf numFmtId="0" fontId="2" fillId="0" borderId="22" xfId="2" applyFont="1" applyBorder="1" applyAlignment="1">
      <alignment horizontal="center" vertical="center" wrapText="1"/>
    </xf>
    <xf numFmtId="0" fontId="19" fillId="0" borderId="22" xfId="3" applyFont="1" applyBorder="1" applyAlignment="1">
      <alignment horizontal="center" vertical="center" wrapText="1"/>
    </xf>
    <xf numFmtId="0" fontId="13" fillId="3" borderId="63" xfId="2" quotePrefix="1" applyFont="1" applyFill="1" applyBorder="1" applyAlignment="1">
      <alignment horizontal="center" vertical="center"/>
    </xf>
    <xf numFmtId="0" fontId="13" fillId="3" borderId="64" xfId="2" quotePrefix="1" applyFont="1" applyFill="1" applyBorder="1" applyAlignment="1">
      <alignment horizontal="center" vertical="center"/>
    </xf>
    <xf numFmtId="14" fontId="13" fillId="0" borderId="22" xfId="2" applyNumberFormat="1" applyFont="1" applyBorder="1" applyAlignment="1">
      <alignment horizontal="center" vertical="center" wrapText="1"/>
    </xf>
    <xf numFmtId="0" fontId="15" fillId="6" borderId="22" xfId="2" applyFont="1" applyFill="1" applyBorder="1" applyAlignment="1">
      <alignment horizontal="center" vertical="center" wrapText="1"/>
    </xf>
    <xf numFmtId="0" fontId="13" fillId="3" borderId="72" xfId="2" quotePrefix="1" applyFont="1" applyFill="1" applyBorder="1" applyAlignment="1">
      <alignment horizontal="center" vertical="center"/>
    </xf>
    <xf numFmtId="14" fontId="15" fillId="0" borderId="22" xfId="2" applyNumberFormat="1" applyFont="1" applyBorder="1" applyAlignment="1">
      <alignment horizontal="center" vertical="center" wrapText="1"/>
    </xf>
    <xf numFmtId="14" fontId="13" fillId="0" borderId="8" xfId="2" applyNumberFormat="1" applyFont="1" applyBorder="1" applyAlignment="1">
      <alignment horizontal="center" vertical="center" wrapText="1"/>
    </xf>
    <xf numFmtId="0" fontId="16" fillId="7" borderId="17" xfId="2" applyFont="1" applyFill="1" applyBorder="1">
      <alignment vertical="center"/>
    </xf>
    <xf numFmtId="0" fontId="13" fillId="7" borderId="17" xfId="2" applyFont="1" applyFill="1" applyBorder="1" applyAlignment="1">
      <alignment vertical="center" wrapText="1"/>
    </xf>
    <xf numFmtId="0" fontId="13" fillId="7" borderId="8" xfId="2" applyFont="1" applyFill="1" applyBorder="1" applyAlignment="1">
      <alignment horizontal="center" vertical="center" wrapText="1"/>
    </xf>
    <xf numFmtId="0" fontId="13" fillId="7" borderId="22" xfId="2" applyFont="1" applyFill="1" applyBorder="1" applyAlignment="1">
      <alignment horizontal="center" vertical="center" wrapText="1"/>
    </xf>
    <xf numFmtId="0" fontId="13" fillId="7" borderId="9" xfId="2" applyFont="1" applyFill="1" applyBorder="1" applyAlignment="1">
      <alignment horizontal="center" vertical="center" wrapText="1"/>
    </xf>
    <xf numFmtId="0" fontId="15" fillId="7" borderId="13" xfId="2" applyFont="1" applyFill="1" applyBorder="1" applyAlignment="1">
      <alignment vertical="center" wrapText="1"/>
    </xf>
    <xf numFmtId="14" fontId="15" fillId="0" borderId="9" xfId="2" applyNumberFormat="1" applyFont="1" applyBorder="1" applyAlignment="1">
      <alignment horizontal="center" vertical="center"/>
    </xf>
    <xf numFmtId="0" fontId="13" fillId="2" borderId="18" xfId="2" quotePrefix="1" applyFont="1" applyFill="1" applyBorder="1" applyAlignment="1">
      <alignment horizontal="left" vertical="center"/>
    </xf>
    <xf numFmtId="0" fontId="15" fillId="0" borderId="22" xfId="2" applyFont="1" applyBorder="1" applyAlignment="1">
      <alignment horizontal="center" vertical="center" wrapText="1"/>
    </xf>
    <xf numFmtId="0" fontId="15" fillId="2" borderId="9" xfId="2" applyFont="1" applyFill="1" applyBorder="1" applyAlignment="1">
      <alignment horizontal="center" vertical="center" wrapText="1"/>
    </xf>
    <xf numFmtId="14" fontId="15" fillId="2" borderId="11" xfId="2" applyNumberFormat="1" applyFont="1" applyFill="1" applyBorder="1" applyAlignment="1">
      <alignment horizontal="center" vertical="center" wrapText="1"/>
    </xf>
    <xf numFmtId="0" fontId="15" fillId="2" borderId="11" xfId="2" applyFont="1" applyFill="1" applyBorder="1" applyAlignment="1">
      <alignment horizontal="center" vertical="center" wrapText="1"/>
    </xf>
    <xf numFmtId="0" fontId="13" fillId="2" borderId="20" xfId="2" quotePrefix="1" applyFont="1" applyFill="1" applyBorder="1" applyAlignment="1">
      <alignment horizontal="left" vertical="center"/>
    </xf>
    <xf numFmtId="49" fontId="16" fillId="2" borderId="20" xfId="2" applyNumberFormat="1" applyFont="1" applyFill="1" applyBorder="1" applyAlignment="1">
      <alignment horizontal="left" vertical="center"/>
    </xf>
    <xf numFmtId="49" fontId="16" fillId="2" borderId="18" xfId="2" applyNumberFormat="1" applyFont="1" applyFill="1" applyBorder="1" applyAlignment="1">
      <alignment horizontal="left" vertical="center"/>
    </xf>
    <xf numFmtId="0" fontId="15" fillId="0" borderId="9" xfId="2" applyFont="1" applyBorder="1" applyAlignment="1">
      <alignment horizontal="center" vertical="center"/>
    </xf>
    <xf numFmtId="0" fontId="15" fillId="0" borderId="9" xfId="2" applyFont="1" applyBorder="1" applyAlignment="1">
      <alignment horizontal="center" vertical="center" wrapText="1"/>
    </xf>
    <xf numFmtId="49" fontId="16" fillId="2" borderId="18" xfId="2" applyNumberFormat="1" applyFont="1" applyFill="1" applyBorder="1">
      <alignment vertical="center"/>
    </xf>
    <xf numFmtId="0" fontId="16" fillId="0" borderId="17" xfId="2" applyFont="1" applyBorder="1" applyAlignment="1">
      <alignment vertical="center" wrapText="1"/>
    </xf>
    <xf numFmtId="14" fontId="15" fillId="0" borderId="53" xfId="2" applyNumberFormat="1" applyFont="1" applyBorder="1" applyAlignment="1">
      <alignment horizontal="center" vertical="center"/>
    </xf>
    <xf numFmtId="0" fontId="15" fillId="0" borderId="53" xfId="2" applyFont="1" applyBorder="1" applyAlignment="1">
      <alignment horizontal="center" vertical="center"/>
    </xf>
    <xf numFmtId="0" fontId="15" fillId="0" borderId="53" xfId="0" applyFont="1" applyBorder="1" applyAlignment="1">
      <alignment horizontal="center" vertical="center"/>
    </xf>
    <xf numFmtId="0" fontId="13" fillId="0" borderId="53" xfId="0" quotePrefix="1" applyFont="1" applyBorder="1" applyAlignment="1">
      <alignment horizontal="center" vertical="center"/>
    </xf>
    <xf numFmtId="14" fontId="15" fillId="0" borderId="53" xfId="0" applyNumberFormat="1" applyFont="1" applyBorder="1" applyAlignment="1">
      <alignment horizontal="center" vertical="center"/>
    </xf>
    <xf numFmtId="0" fontId="13" fillId="0" borderId="73" xfId="2" applyFont="1" applyBorder="1" applyAlignment="1">
      <alignment vertical="center" wrapText="1"/>
    </xf>
    <xf numFmtId="0" fontId="2" fillId="0" borderId="28" xfId="2" applyFont="1" applyBorder="1" applyAlignment="1">
      <alignment vertical="center" wrapText="1"/>
    </xf>
    <xf numFmtId="0" fontId="13" fillId="0" borderId="51" xfId="2" applyFont="1" applyBorder="1" applyAlignment="1">
      <alignment vertical="center" wrapText="1"/>
    </xf>
    <xf numFmtId="0" fontId="13" fillId="2" borderId="51" xfId="2" applyFont="1" applyFill="1" applyBorder="1" applyAlignment="1">
      <alignment vertical="center" wrapText="1"/>
    </xf>
    <xf numFmtId="0" fontId="13" fillId="0" borderId="33" xfId="2" applyFont="1" applyBorder="1" applyAlignment="1">
      <alignment vertical="center" wrapText="1"/>
    </xf>
    <xf numFmtId="0" fontId="13" fillId="2" borderId="33" xfId="2" applyFont="1" applyFill="1" applyBorder="1" applyAlignment="1">
      <alignment vertical="center" wrapText="1"/>
    </xf>
    <xf numFmtId="0" fontId="13" fillId="2" borderId="73" xfId="2" applyFont="1" applyFill="1" applyBorder="1" applyAlignment="1">
      <alignment vertical="center" wrapText="1"/>
    </xf>
    <xf numFmtId="0" fontId="13" fillId="2" borderId="28" xfId="2" applyFont="1" applyFill="1" applyBorder="1" applyAlignment="1">
      <alignment vertical="center" wrapText="1"/>
    </xf>
    <xf numFmtId="0" fontId="13" fillId="7" borderId="73" xfId="2" applyFont="1" applyFill="1" applyBorder="1" applyAlignment="1">
      <alignment vertical="center" wrapText="1"/>
    </xf>
    <xf numFmtId="0" fontId="13" fillId="0" borderId="16" xfId="2" applyFont="1" applyBorder="1" applyAlignment="1">
      <alignment vertical="center" wrapText="1"/>
    </xf>
    <xf numFmtId="0" fontId="13" fillId="2" borderId="33" xfId="2" applyFont="1" applyFill="1" applyBorder="1" applyAlignment="1">
      <alignment horizontal="left" vertical="center"/>
    </xf>
    <xf numFmtId="0" fontId="13" fillId="2" borderId="28" xfId="2" applyFont="1" applyFill="1" applyBorder="1" applyAlignment="1">
      <alignment horizontal="left" vertical="center"/>
    </xf>
    <xf numFmtId="0" fontId="19" fillId="0" borderId="22" xfId="3" applyFont="1" applyFill="1" applyBorder="1" applyAlignment="1">
      <alignment horizontal="center" vertical="center" wrapText="1"/>
    </xf>
    <xf numFmtId="0" fontId="15" fillId="0" borderId="15" xfId="2" applyFont="1" applyBorder="1" applyAlignment="1">
      <alignment vertical="center" wrapText="1"/>
    </xf>
    <xf numFmtId="0" fontId="2" fillId="4" borderId="0" xfId="2" applyFont="1" applyFill="1">
      <alignment vertical="center"/>
    </xf>
    <xf numFmtId="0" fontId="2" fillId="0" borderId="3" xfId="2" applyFont="1" applyBorder="1">
      <alignment vertical="center"/>
    </xf>
    <xf numFmtId="0" fontId="2" fillId="0" borderId="0" xfId="2" applyFont="1" applyAlignment="1">
      <alignment horizontal="left" vertical="top"/>
    </xf>
    <xf numFmtId="0" fontId="2" fillId="2" borderId="3" xfId="2" applyFont="1" applyFill="1" applyBorder="1" applyAlignment="1">
      <alignment horizontal="left" vertical="top"/>
    </xf>
    <xf numFmtId="0" fontId="20" fillId="4" borderId="3" xfId="2" applyFont="1" applyFill="1" applyBorder="1" applyAlignment="1">
      <alignment horizontal="left" vertical="top"/>
    </xf>
    <xf numFmtId="0" fontId="2" fillId="4" borderId="0" xfId="2" applyFont="1" applyFill="1" applyAlignment="1">
      <alignment horizontal="left" vertical="top"/>
    </xf>
    <xf numFmtId="0" fontId="2" fillId="0" borderId="3" xfId="2" applyFont="1" applyBorder="1" applyAlignment="1">
      <alignment horizontal="left" vertical="top"/>
    </xf>
    <xf numFmtId="0" fontId="20" fillId="0" borderId="3" xfId="2" applyFont="1" applyBorder="1" applyAlignment="1">
      <alignment horizontal="left" vertical="top"/>
    </xf>
    <xf numFmtId="0" fontId="2" fillId="0" borderId="0" xfId="2" applyFont="1" applyAlignment="1">
      <alignment horizontal="left" vertical="top" wrapText="1"/>
    </xf>
    <xf numFmtId="0" fontId="21" fillId="0" borderId="0" xfId="2" applyFont="1" applyAlignment="1">
      <alignment horizontal="left" vertical="top"/>
    </xf>
    <xf numFmtId="49" fontId="21" fillId="0" borderId="3" xfId="2" applyNumberFormat="1" applyFont="1" applyBorder="1" applyAlignment="1">
      <alignment horizontal="left" vertical="top"/>
    </xf>
    <xf numFmtId="0" fontId="2" fillId="2" borderId="0" xfId="2" applyFont="1" applyFill="1" applyAlignment="1">
      <alignment horizontal="left" vertical="top"/>
    </xf>
    <xf numFmtId="0" fontId="3" fillId="0" borderId="3" xfId="2" applyFont="1" applyBorder="1" applyAlignment="1">
      <alignment horizontal="left" vertical="top"/>
    </xf>
    <xf numFmtId="0" fontId="3" fillId="0" borderId="0" xfId="2" applyFont="1" applyAlignment="1">
      <alignment horizontal="left" vertical="top"/>
    </xf>
    <xf numFmtId="0" fontId="2" fillId="0" borderId="1" xfId="2" applyFont="1" applyBorder="1" applyAlignment="1">
      <alignment horizontal="left" vertical="top"/>
    </xf>
    <xf numFmtId="0" fontId="2" fillId="0" borderId="2" xfId="2" applyFont="1" applyBorder="1" applyAlignment="1">
      <alignment horizontal="left" vertical="top"/>
    </xf>
    <xf numFmtId="0" fontId="2" fillId="2" borderId="87" xfId="2" applyFont="1" applyFill="1" applyBorder="1" applyAlignment="1">
      <alignment horizontal="left" vertical="top"/>
    </xf>
    <xf numFmtId="0" fontId="2" fillId="2" borderId="88" xfId="2" applyFont="1" applyFill="1" applyBorder="1" applyAlignment="1">
      <alignment horizontal="left" vertical="top"/>
    </xf>
    <xf numFmtId="0" fontId="2" fillId="2" borderId="90" xfId="2" applyFont="1" applyFill="1" applyBorder="1" applyAlignment="1">
      <alignment horizontal="left" vertical="top"/>
    </xf>
    <xf numFmtId="0" fontId="2" fillId="2" borderId="81" xfId="2" applyFont="1" applyFill="1" applyBorder="1" applyAlignment="1">
      <alignment horizontal="left" vertical="top"/>
    </xf>
    <xf numFmtId="0" fontId="2" fillId="2" borderId="82" xfId="2" applyFont="1" applyFill="1" applyBorder="1" applyAlignment="1">
      <alignment horizontal="left" vertical="top"/>
    </xf>
    <xf numFmtId="0" fontId="2" fillId="2" borderId="83" xfId="2" applyFont="1" applyFill="1" applyBorder="1" applyAlignment="1">
      <alignment horizontal="left" vertical="top"/>
    </xf>
    <xf numFmtId="0" fontId="2" fillId="2" borderId="84" xfId="2" applyFont="1" applyFill="1" applyBorder="1" applyAlignment="1">
      <alignment horizontal="left" vertical="top"/>
    </xf>
    <xf numFmtId="0" fontId="2" fillId="2" borderId="91" xfId="2" applyFont="1" applyFill="1" applyBorder="1" applyAlignment="1">
      <alignment horizontal="left" vertical="top"/>
    </xf>
    <xf numFmtId="0" fontId="2" fillId="2" borderId="85" xfId="2" applyFont="1" applyFill="1" applyBorder="1" applyAlignment="1">
      <alignment horizontal="left" vertical="top"/>
    </xf>
    <xf numFmtId="0" fontId="2" fillId="2" borderId="86" xfId="2" applyFont="1" applyFill="1" applyBorder="1" applyAlignment="1">
      <alignment horizontal="left" vertical="top"/>
    </xf>
    <xf numFmtId="0" fontId="2" fillId="2" borderId="92" xfId="2" applyFont="1" applyFill="1" applyBorder="1" applyAlignment="1">
      <alignment horizontal="left" vertical="top"/>
    </xf>
    <xf numFmtId="0" fontId="2" fillId="2" borderId="93" xfId="2" applyFont="1" applyFill="1" applyBorder="1" applyAlignment="1">
      <alignment horizontal="left" vertical="top"/>
    </xf>
    <xf numFmtId="0" fontId="2" fillId="2" borderId="100" xfId="2" applyFont="1" applyFill="1" applyBorder="1" applyAlignment="1">
      <alignment horizontal="left" vertical="top"/>
    </xf>
    <xf numFmtId="0" fontId="2" fillId="2" borderId="101" xfId="2" applyFont="1" applyFill="1" applyBorder="1" applyAlignment="1">
      <alignment horizontal="left" vertical="top"/>
    </xf>
    <xf numFmtId="0" fontId="2" fillId="2" borderId="102" xfId="2" applyFont="1" applyFill="1" applyBorder="1" applyAlignment="1">
      <alignment horizontal="left" vertical="top"/>
    </xf>
    <xf numFmtId="0" fontId="2" fillId="2" borderId="103" xfId="2" applyFont="1" applyFill="1" applyBorder="1" applyAlignment="1">
      <alignment horizontal="left" vertical="top"/>
    </xf>
    <xf numFmtId="0" fontId="2" fillId="2" borderId="104" xfId="2" applyFont="1" applyFill="1" applyBorder="1" applyAlignment="1">
      <alignment horizontal="left" vertical="top"/>
    </xf>
    <xf numFmtId="0" fontId="2" fillId="2" borderId="75" xfId="2" applyFont="1" applyFill="1" applyBorder="1">
      <alignment vertical="center"/>
    </xf>
    <xf numFmtId="0" fontId="2" fillId="2" borderId="77" xfId="2" applyFont="1" applyFill="1" applyBorder="1">
      <alignment vertical="center"/>
    </xf>
    <xf numFmtId="0" fontId="2" fillId="2" borderId="107" xfId="2" applyFont="1" applyFill="1" applyBorder="1">
      <alignment vertical="center"/>
    </xf>
    <xf numFmtId="0" fontId="2" fillId="2" borderId="95" xfId="2" applyFont="1" applyFill="1" applyBorder="1">
      <alignment vertical="center"/>
    </xf>
    <xf numFmtId="0" fontId="2" fillId="2" borderId="109" xfId="2" applyFont="1" applyFill="1" applyBorder="1">
      <alignment vertical="center"/>
    </xf>
    <xf numFmtId="0" fontId="2" fillId="2" borderId="96" xfId="2" applyFont="1" applyFill="1" applyBorder="1">
      <alignment vertical="center"/>
    </xf>
    <xf numFmtId="0" fontId="2" fillId="2" borderId="111" xfId="2" applyFont="1" applyFill="1" applyBorder="1">
      <alignment vertical="center"/>
    </xf>
    <xf numFmtId="0" fontId="2" fillId="2" borderId="97" xfId="2" applyFont="1" applyFill="1" applyBorder="1">
      <alignment vertical="center"/>
    </xf>
    <xf numFmtId="0" fontId="2" fillId="2" borderId="113" xfId="2" applyFont="1" applyFill="1" applyBorder="1">
      <alignment vertical="center"/>
    </xf>
    <xf numFmtId="0" fontId="2" fillId="2" borderId="98" xfId="2" applyFont="1" applyFill="1" applyBorder="1">
      <alignment vertical="center"/>
    </xf>
    <xf numFmtId="0" fontId="2" fillId="3" borderId="112" xfId="2" applyFont="1" applyFill="1" applyBorder="1" applyAlignment="1">
      <alignment horizontal="center" vertical="center"/>
    </xf>
    <xf numFmtId="0" fontId="2" fillId="2" borderId="116" xfId="2" applyFont="1" applyFill="1" applyBorder="1" applyAlignment="1">
      <alignment horizontal="left" vertical="top"/>
    </xf>
    <xf numFmtId="0" fontId="2" fillId="2" borderId="117" xfId="2" applyFont="1" applyFill="1" applyBorder="1" applyAlignment="1">
      <alignment horizontal="left" vertical="top"/>
    </xf>
    <xf numFmtId="0" fontId="2" fillId="2" borderId="118" xfId="2" applyFont="1" applyFill="1" applyBorder="1" applyAlignment="1">
      <alignment horizontal="left" vertical="top"/>
    </xf>
    <xf numFmtId="0" fontId="2" fillId="2" borderId="119" xfId="2" applyFont="1" applyFill="1" applyBorder="1">
      <alignment vertical="center"/>
    </xf>
    <xf numFmtId="0" fontId="2" fillId="2" borderId="121" xfId="2" applyFont="1" applyFill="1" applyBorder="1">
      <alignment vertical="center"/>
    </xf>
    <xf numFmtId="0" fontId="2" fillId="8" borderId="1" xfId="2" applyFont="1" applyFill="1" applyBorder="1" applyAlignment="1">
      <alignment horizontal="left" vertical="top"/>
    </xf>
    <xf numFmtId="0" fontId="2" fillId="8" borderId="2" xfId="2" applyFont="1" applyFill="1" applyBorder="1" applyAlignment="1">
      <alignment horizontal="left" vertical="top"/>
    </xf>
    <xf numFmtId="0" fontId="2" fillId="8" borderId="99" xfId="2" applyFont="1" applyFill="1" applyBorder="1" applyAlignment="1">
      <alignment horizontal="left" vertical="top"/>
    </xf>
    <xf numFmtId="0" fontId="2" fillId="8" borderId="105" xfId="2" applyFont="1" applyFill="1" applyBorder="1">
      <alignment vertical="center"/>
    </xf>
    <xf numFmtId="0" fontId="2" fillId="8" borderId="94" xfId="2" applyFont="1" applyFill="1" applyBorder="1">
      <alignment vertical="center"/>
    </xf>
    <xf numFmtId="0" fontId="2" fillId="9" borderId="87" xfId="2" applyFont="1" applyFill="1" applyBorder="1" applyAlignment="1">
      <alignment horizontal="left" vertical="top"/>
    </xf>
    <xf numFmtId="0" fontId="2" fillId="9" borderId="88" xfId="2" applyFont="1" applyFill="1" applyBorder="1" applyAlignment="1">
      <alignment horizontal="left" vertical="top"/>
    </xf>
    <xf numFmtId="0" fontId="2" fillId="9" borderId="100" xfId="2" applyFont="1" applyFill="1" applyBorder="1" applyAlignment="1">
      <alignment horizontal="left" vertical="top"/>
    </xf>
    <xf numFmtId="0" fontId="2" fillId="9" borderId="75" xfId="2" applyFont="1" applyFill="1" applyBorder="1">
      <alignment vertical="center"/>
    </xf>
    <xf numFmtId="0" fontId="2" fillId="9" borderId="77" xfId="2" applyFont="1" applyFill="1" applyBorder="1">
      <alignment vertical="center"/>
    </xf>
    <xf numFmtId="0" fontId="2" fillId="0" borderId="0" xfId="0" applyFont="1">
      <alignment vertical="center"/>
    </xf>
    <xf numFmtId="38" fontId="2" fillId="0" borderId="0" xfId="4" applyFont="1">
      <alignment vertical="center"/>
    </xf>
    <xf numFmtId="40" fontId="2" fillId="0" borderId="0" xfId="4" applyNumberFormat="1" applyFont="1">
      <alignment vertical="center"/>
    </xf>
    <xf numFmtId="0" fontId="21" fillId="5" borderId="122" xfId="0" applyFont="1" applyFill="1" applyBorder="1" applyAlignment="1">
      <alignment horizontal="left" vertical="center"/>
    </xf>
    <xf numFmtId="0" fontId="20" fillId="4" borderId="123" xfId="5" applyFont="1" applyFill="1" applyBorder="1" applyAlignment="1">
      <alignment horizontal="left" vertical="center" wrapText="1"/>
    </xf>
    <xf numFmtId="0" fontId="2" fillId="2" borderId="123" xfId="5" applyFont="1" applyFill="1" applyBorder="1" applyAlignment="1">
      <alignment horizontal="left" vertical="center" wrapText="1"/>
    </xf>
    <xf numFmtId="0" fontId="2" fillId="2" borderId="124" xfId="5" applyFont="1" applyFill="1" applyBorder="1" applyAlignment="1">
      <alignment horizontal="left" vertical="center" wrapText="1"/>
    </xf>
    <xf numFmtId="165" fontId="21" fillId="5" borderId="107" xfId="0" applyNumberFormat="1" applyFont="1" applyFill="1" applyBorder="1" applyAlignment="1">
      <alignment horizontal="left" vertical="center"/>
    </xf>
    <xf numFmtId="165" fontId="21" fillId="5" borderId="108" xfId="0" applyNumberFormat="1" applyFont="1" applyFill="1" applyBorder="1" applyAlignment="1">
      <alignment horizontal="left" vertical="center"/>
    </xf>
    <xf numFmtId="165" fontId="21" fillId="5" borderId="95" xfId="0" applyNumberFormat="1" applyFont="1" applyFill="1" applyBorder="1" applyAlignment="1">
      <alignment horizontal="left" vertical="center"/>
    </xf>
    <xf numFmtId="165" fontId="20" fillId="4" borderId="109" xfId="5" applyNumberFormat="1" applyFont="1" applyFill="1" applyBorder="1" applyAlignment="1">
      <alignment horizontal="right" vertical="center" wrapText="1"/>
    </xf>
    <xf numFmtId="165" fontId="20" fillId="4" borderId="110" xfId="5" applyNumberFormat="1" applyFont="1" applyFill="1" applyBorder="1" applyAlignment="1">
      <alignment horizontal="right" vertical="center" wrapText="1"/>
    </xf>
    <xf numFmtId="165" fontId="20" fillId="4" borderId="110" xfId="6" applyNumberFormat="1" applyFont="1" applyFill="1" applyBorder="1" applyAlignment="1">
      <alignment horizontal="right" vertical="center"/>
    </xf>
    <xf numFmtId="165" fontId="20" fillId="4" borderId="96" xfId="6" applyNumberFormat="1" applyFont="1" applyFill="1" applyBorder="1" applyAlignment="1">
      <alignment horizontal="right" vertical="center"/>
    </xf>
    <xf numFmtId="40" fontId="2" fillId="2" borderId="109" xfId="4" applyNumberFormat="1" applyFont="1" applyFill="1" applyBorder="1" applyAlignment="1">
      <alignment horizontal="right" vertical="center" wrapText="1"/>
    </xf>
    <xf numFmtId="40" fontId="2" fillId="2" borderId="110" xfId="4" applyNumberFormat="1" applyFont="1" applyFill="1" applyBorder="1" applyAlignment="1">
      <alignment horizontal="right" vertical="center" wrapText="1"/>
    </xf>
    <xf numFmtId="40" fontId="21" fillId="2" borderId="110" xfId="4" applyNumberFormat="1" applyFont="1" applyFill="1" applyBorder="1" applyAlignment="1">
      <alignment horizontal="right" vertical="center"/>
    </xf>
    <xf numFmtId="40" fontId="21" fillId="2" borderId="96" xfId="4" applyNumberFormat="1" applyFont="1" applyFill="1" applyBorder="1" applyAlignment="1">
      <alignment horizontal="right" vertical="center"/>
    </xf>
    <xf numFmtId="40" fontId="2" fillId="2" borderId="111" xfId="4" applyNumberFormat="1" applyFont="1" applyFill="1" applyBorder="1" applyAlignment="1">
      <alignment horizontal="right" vertical="center" wrapText="1"/>
    </xf>
    <xf numFmtId="40" fontId="2" fillId="2" borderId="112" xfId="4" applyNumberFormat="1" applyFont="1" applyFill="1" applyBorder="1" applyAlignment="1">
      <alignment horizontal="right" vertical="center" wrapText="1"/>
    </xf>
    <xf numFmtId="40" fontId="21" fillId="2" borderId="112" xfId="4" applyNumberFormat="1" applyFont="1" applyFill="1" applyBorder="1" applyAlignment="1">
      <alignment horizontal="right" vertical="center"/>
    </xf>
    <xf numFmtId="40" fontId="21" fillId="2" borderId="97" xfId="4" applyNumberFormat="1" applyFont="1" applyFill="1" applyBorder="1" applyAlignment="1">
      <alignment horizontal="right" vertical="center"/>
    </xf>
    <xf numFmtId="166" fontId="21" fillId="5" borderId="122" xfId="4" applyNumberFormat="1" applyFont="1" applyFill="1" applyBorder="1" applyAlignment="1">
      <alignment horizontal="left" vertical="center"/>
    </xf>
    <xf numFmtId="166" fontId="20" fillId="4" borderId="123" xfId="4" applyNumberFormat="1" applyFont="1" applyFill="1" applyBorder="1" applyAlignment="1">
      <alignment horizontal="right" vertical="center"/>
    </xf>
    <xf numFmtId="40" fontId="21" fillId="2" borderId="123" xfId="4" applyNumberFormat="1" applyFont="1" applyFill="1" applyBorder="1" applyAlignment="1">
      <alignment horizontal="right" vertical="center"/>
    </xf>
    <xf numFmtId="40" fontId="21" fillId="2" borderId="124" xfId="4" applyNumberFormat="1" applyFont="1" applyFill="1" applyBorder="1" applyAlignment="1">
      <alignment horizontal="right" vertical="center"/>
    </xf>
    <xf numFmtId="38" fontId="2" fillId="0" borderId="0" xfId="4" applyFont="1" applyFill="1">
      <alignment vertical="center"/>
    </xf>
    <xf numFmtId="0" fontId="2" fillId="0" borderId="107" xfId="2" applyFont="1" applyBorder="1">
      <alignment vertical="center"/>
    </xf>
    <xf numFmtId="0" fontId="2" fillId="0" borderId="95" xfId="2" applyFont="1" applyBorder="1">
      <alignment vertical="center"/>
    </xf>
    <xf numFmtId="0" fontId="2" fillId="0" borderId="111" xfId="2" applyFont="1" applyBorder="1">
      <alignment vertical="center"/>
    </xf>
    <xf numFmtId="0" fontId="2" fillId="0" borderId="97" xfId="2" applyFont="1" applyBorder="1">
      <alignment vertical="center"/>
    </xf>
    <xf numFmtId="0" fontId="2" fillId="2" borderId="126" xfId="2" applyFont="1" applyFill="1" applyBorder="1" applyAlignment="1">
      <alignment horizontal="left" vertical="top"/>
    </xf>
    <xf numFmtId="0" fontId="2" fillId="2" borderId="127" xfId="2" applyFont="1" applyFill="1" applyBorder="1" applyAlignment="1">
      <alignment horizontal="left" vertical="top"/>
    </xf>
    <xf numFmtId="0" fontId="2" fillId="2" borderId="122" xfId="2" applyFont="1" applyFill="1" applyBorder="1" applyAlignment="1">
      <alignment horizontal="left" vertical="top"/>
    </xf>
    <xf numFmtId="0" fontId="2" fillId="2" borderId="123" xfId="2" applyFont="1" applyFill="1" applyBorder="1" applyAlignment="1">
      <alignment horizontal="left" vertical="top"/>
    </xf>
    <xf numFmtId="0" fontId="2" fillId="2" borderId="130" xfId="2" applyFont="1" applyFill="1" applyBorder="1" applyAlignment="1">
      <alignment horizontal="left" vertical="top"/>
    </xf>
    <xf numFmtId="0" fontId="2" fillId="2" borderId="124" xfId="2" applyFont="1" applyFill="1" applyBorder="1" applyAlignment="1">
      <alignment horizontal="left" vertical="top"/>
    </xf>
    <xf numFmtId="0" fontId="2" fillId="2" borderId="131" xfId="2" applyFont="1" applyFill="1" applyBorder="1" applyAlignment="1">
      <alignment horizontal="left" vertical="top"/>
    </xf>
    <xf numFmtId="0" fontId="2" fillId="2" borderId="129" xfId="2" applyFont="1" applyFill="1" applyBorder="1" applyAlignment="1">
      <alignment horizontal="left" vertical="top"/>
    </xf>
    <xf numFmtId="0" fontId="2" fillId="2" borderId="132" xfId="2" applyFont="1" applyFill="1" applyBorder="1" applyAlignment="1">
      <alignment horizontal="left" vertical="top"/>
    </xf>
    <xf numFmtId="0" fontId="2" fillId="2" borderId="133" xfId="2" applyFont="1" applyFill="1" applyBorder="1" applyAlignment="1">
      <alignment horizontal="left" vertical="top"/>
    </xf>
    <xf numFmtId="0" fontId="2" fillId="2" borderId="74" xfId="2" applyFont="1" applyFill="1" applyBorder="1" applyAlignment="1">
      <alignment horizontal="left" vertical="top"/>
    </xf>
    <xf numFmtId="0" fontId="2" fillId="2" borderId="125" xfId="2" applyFont="1" applyFill="1" applyBorder="1">
      <alignment vertical="center"/>
    </xf>
    <xf numFmtId="0" fontId="2" fillId="2" borderId="135" xfId="2" applyFont="1" applyFill="1" applyBorder="1">
      <alignment vertical="center"/>
    </xf>
    <xf numFmtId="0" fontId="2" fillId="2" borderId="128" xfId="2" applyFont="1" applyFill="1" applyBorder="1" applyAlignment="1">
      <alignment horizontal="left" vertical="top"/>
    </xf>
    <xf numFmtId="0" fontId="2" fillId="2" borderId="136" xfId="2" applyFont="1" applyFill="1" applyBorder="1">
      <alignment vertical="center"/>
    </xf>
    <xf numFmtId="0" fontId="2" fillId="2" borderId="138" xfId="2" applyFont="1" applyFill="1" applyBorder="1">
      <alignment vertical="center"/>
    </xf>
    <xf numFmtId="40" fontId="2" fillId="0" borderId="0" xfId="4" applyNumberFormat="1" applyFont="1" applyFill="1">
      <alignment vertical="center"/>
    </xf>
    <xf numFmtId="0" fontId="2" fillId="2" borderId="139" xfId="2" applyFont="1" applyFill="1" applyBorder="1" applyAlignment="1">
      <alignment horizontal="left" vertical="top"/>
    </xf>
    <xf numFmtId="0" fontId="2" fillId="2" borderId="140" xfId="2" applyFont="1" applyFill="1" applyBorder="1" applyAlignment="1">
      <alignment horizontal="left" vertical="top"/>
    </xf>
    <xf numFmtId="0" fontId="2" fillId="2" borderId="141" xfId="2" applyFont="1" applyFill="1" applyBorder="1">
      <alignment vertical="center"/>
    </xf>
    <xf numFmtId="0" fontId="2" fillId="2" borderId="143" xfId="2" applyFont="1" applyFill="1" applyBorder="1">
      <alignment vertical="center"/>
    </xf>
    <xf numFmtId="0" fontId="2" fillId="2" borderId="144" xfId="2" applyFont="1" applyFill="1" applyBorder="1" applyAlignment="1">
      <alignment horizontal="left" vertical="top"/>
    </xf>
    <xf numFmtId="0" fontId="2" fillId="2" borderId="145" xfId="2" applyFont="1" applyFill="1" applyBorder="1" applyAlignment="1">
      <alignment horizontal="left" vertical="top"/>
    </xf>
    <xf numFmtId="0" fontId="2" fillId="2" borderId="146" xfId="2" applyFont="1" applyFill="1" applyBorder="1" applyAlignment="1">
      <alignment horizontal="left" vertical="top"/>
    </xf>
    <xf numFmtId="0" fontId="2" fillId="2" borderId="147" xfId="2" applyFont="1" applyFill="1" applyBorder="1">
      <alignment vertical="center"/>
    </xf>
    <xf numFmtId="0" fontId="2" fillId="2" borderId="149" xfId="2" applyFont="1" applyFill="1" applyBorder="1">
      <alignment vertical="center"/>
    </xf>
    <xf numFmtId="0" fontId="2" fillId="2" borderId="89" xfId="2" applyFont="1" applyFill="1" applyBorder="1" applyAlignment="1">
      <alignment horizontal="left" vertical="top"/>
    </xf>
    <xf numFmtId="0" fontId="2" fillId="2" borderId="150" xfId="2" applyFont="1" applyFill="1" applyBorder="1" applyAlignment="1">
      <alignment horizontal="left" vertical="top"/>
    </xf>
    <xf numFmtId="0" fontId="2" fillId="2" borderId="151" xfId="2" applyFont="1" applyFill="1" applyBorder="1" applyAlignment="1">
      <alignment horizontal="left" vertical="top"/>
    </xf>
    <xf numFmtId="0" fontId="2" fillId="2" borderId="152" xfId="2" applyFont="1" applyFill="1" applyBorder="1" applyAlignment="1">
      <alignment horizontal="left" vertical="top"/>
    </xf>
    <xf numFmtId="0" fontId="2" fillId="2" borderId="74" xfId="2" applyFont="1" applyFill="1" applyBorder="1" applyAlignment="1">
      <alignment horizontal="left" vertical="top" wrapText="1"/>
    </xf>
    <xf numFmtId="0" fontId="2" fillId="2" borderId="90" xfId="2" applyFont="1" applyFill="1" applyBorder="1">
      <alignment vertical="center"/>
    </xf>
    <xf numFmtId="0" fontId="2" fillId="2" borderId="91" xfId="2" applyFont="1" applyFill="1" applyBorder="1">
      <alignment vertical="center"/>
    </xf>
    <xf numFmtId="0" fontId="2" fillId="2" borderId="153" xfId="2" applyFont="1" applyFill="1" applyBorder="1" applyAlignment="1">
      <alignment horizontal="left" vertical="top"/>
    </xf>
    <xf numFmtId="0" fontId="2" fillId="2" borderId="126" xfId="2" applyFont="1" applyFill="1" applyBorder="1">
      <alignment vertical="center"/>
    </xf>
    <xf numFmtId="0" fontId="2" fillId="2" borderId="88" xfId="2" applyFont="1" applyFill="1" applyBorder="1">
      <alignment vertical="center"/>
    </xf>
    <xf numFmtId="0" fontId="2" fillId="2" borderId="89" xfId="2" applyFont="1" applyFill="1" applyBorder="1">
      <alignment vertical="center"/>
    </xf>
    <xf numFmtId="0" fontId="2" fillId="2" borderId="82" xfId="2" applyFont="1" applyFill="1" applyBorder="1">
      <alignment vertical="center"/>
    </xf>
    <xf numFmtId="0" fontId="2" fillId="2" borderId="108" xfId="2" applyFont="1" applyFill="1" applyBorder="1" applyAlignment="1">
      <alignment horizontal="left" vertical="top"/>
    </xf>
    <xf numFmtId="0" fontId="2" fillId="2" borderId="108" xfId="2" applyFont="1" applyFill="1" applyBorder="1">
      <alignment vertical="center"/>
    </xf>
    <xf numFmtId="0" fontId="2" fillId="2" borderId="84" xfId="2" applyFont="1" applyFill="1" applyBorder="1">
      <alignment vertical="center"/>
    </xf>
    <xf numFmtId="0" fontId="2" fillId="2" borderId="155" xfId="2" applyFont="1" applyFill="1" applyBorder="1" applyAlignment="1">
      <alignment horizontal="left" vertical="top"/>
    </xf>
    <xf numFmtId="0" fontId="2" fillId="2" borderId="110" xfId="2" applyFont="1" applyFill="1" applyBorder="1">
      <alignment vertical="center"/>
    </xf>
    <xf numFmtId="0" fontId="2" fillId="2" borderId="86" xfId="2" applyFont="1" applyFill="1" applyBorder="1">
      <alignment vertical="center"/>
    </xf>
    <xf numFmtId="0" fontId="2" fillId="2" borderId="112" xfId="2" applyFont="1" applyFill="1" applyBorder="1">
      <alignment vertical="center"/>
    </xf>
    <xf numFmtId="0" fontId="2" fillId="2" borderId="153" xfId="2" applyFont="1" applyFill="1" applyBorder="1">
      <alignment vertical="center"/>
    </xf>
    <xf numFmtId="0" fontId="2" fillId="2" borderId="110" xfId="2" applyFont="1" applyFill="1" applyBorder="1" applyAlignment="1">
      <alignment horizontal="left" vertical="top"/>
    </xf>
    <xf numFmtId="0" fontId="2" fillId="2" borderId="114" xfId="2" applyFont="1" applyFill="1" applyBorder="1" applyAlignment="1">
      <alignment horizontal="left" vertical="top"/>
    </xf>
    <xf numFmtId="0" fontId="2" fillId="2" borderId="102" xfId="2" quotePrefix="1" applyFont="1" applyFill="1" applyBorder="1" applyAlignment="1">
      <alignment horizontal="left" vertical="top"/>
    </xf>
    <xf numFmtId="0" fontId="2" fillId="2" borderId="103" xfId="2" quotePrefix="1" applyFont="1" applyFill="1" applyBorder="1" applyAlignment="1">
      <alignment horizontal="left" vertical="top"/>
    </xf>
    <xf numFmtId="0" fontId="2" fillId="2" borderId="155" xfId="2" applyFont="1" applyFill="1" applyBorder="1">
      <alignment vertical="center"/>
    </xf>
    <xf numFmtId="0" fontId="2" fillId="2" borderId="156" xfId="2" applyFont="1" applyFill="1" applyBorder="1">
      <alignment vertical="center"/>
    </xf>
    <xf numFmtId="0" fontId="2" fillId="2" borderId="135" xfId="2" applyFont="1" applyFill="1" applyBorder="1" applyAlignment="1">
      <alignment horizontal="left" vertical="top"/>
    </xf>
    <xf numFmtId="0" fontId="2" fillId="2" borderId="136" xfId="2" applyFont="1" applyFill="1" applyBorder="1" applyAlignment="1">
      <alignment horizontal="left" vertical="top"/>
    </xf>
    <xf numFmtId="0" fontId="2" fillId="2" borderId="78" xfId="2" applyFont="1" applyFill="1" applyBorder="1" applyAlignment="1">
      <alignment horizontal="left" vertical="top"/>
    </xf>
    <xf numFmtId="0" fontId="2" fillId="2" borderId="112" xfId="2" applyFont="1" applyFill="1" applyBorder="1" applyAlignment="1">
      <alignment horizontal="left" vertical="top"/>
    </xf>
    <xf numFmtId="0" fontId="2" fillId="2" borderId="93" xfId="2" applyFont="1" applyFill="1" applyBorder="1">
      <alignment vertical="center"/>
    </xf>
    <xf numFmtId="0" fontId="2" fillId="2" borderId="101" xfId="2" applyFont="1" applyFill="1" applyBorder="1" applyAlignment="1">
      <alignment horizontal="left" vertical="top" wrapText="1"/>
    </xf>
    <xf numFmtId="0" fontId="2" fillId="2" borderId="111" xfId="2" applyFont="1" applyFill="1" applyBorder="1" applyAlignment="1">
      <alignment horizontal="left" vertical="top"/>
    </xf>
    <xf numFmtId="0" fontId="2" fillId="2" borderId="75" xfId="2" applyFont="1" applyFill="1" applyBorder="1" applyAlignment="1">
      <alignment horizontal="left" vertical="top"/>
    </xf>
    <xf numFmtId="0" fontId="2" fillId="2" borderId="95" xfId="2" applyFont="1" applyFill="1" applyBorder="1" applyAlignment="1">
      <alignment horizontal="left" vertical="top"/>
    </xf>
    <xf numFmtId="0" fontId="2" fillId="2" borderId="96" xfId="2" applyFont="1" applyFill="1" applyBorder="1" applyAlignment="1">
      <alignment horizontal="left" vertical="top"/>
    </xf>
    <xf numFmtId="0" fontId="2" fillId="2" borderId="156" xfId="2" applyFont="1" applyFill="1" applyBorder="1" applyAlignment="1">
      <alignment horizontal="left" vertical="top"/>
    </xf>
    <xf numFmtId="0" fontId="2" fillId="2" borderId="157" xfId="2" applyFont="1" applyFill="1" applyBorder="1" applyAlignment="1">
      <alignment horizontal="left" vertical="top"/>
    </xf>
    <xf numFmtId="0" fontId="2" fillId="2" borderId="77" xfId="2" applyFont="1" applyFill="1" applyBorder="1" applyAlignment="1">
      <alignment horizontal="left" vertical="top"/>
    </xf>
    <xf numFmtId="0" fontId="2" fillId="2" borderId="158" xfId="2" applyFont="1" applyFill="1" applyBorder="1" applyAlignment="1">
      <alignment horizontal="left" vertical="top"/>
    </xf>
    <xf numFmtId="40" fontId="2" fillId="2" borderId="110" xfId="4" applyNumberFormat="1" applyFont="1" applyFill="1" applyBorder="1" applyAlignment="1">
      <alignment horizontal="right" vertical="center"/>
    </xf>
    <xf numFmtId="40" fontId="2" fillId="2" borderId="96" xfId="4" applyNumberFormat="1" applyFont="1" applyFill="1" applyBorder="1" applyAlignment="1">
      <alignment horizontal="right" vertical="center"/>
    </xf>
    <xf numFmtId="40" fontId="2" fillId="2" borderId="123" xfId="4" applyNumberFormat="1" applyFont="1" applyFill="1" applyBorder="1" applyAlignment="1">
      <alignment horizontal="right" vertical="center"/>
    </xf>
    <xf numFmtId="0" fontId="2" fillId="2" borderId="76" xfId="2" applyFont="1" applyFill="1" applyBorder="1" applyAlignment="1">
      <alignment horizontal="left" vertical="top"/>
    </xf>
    <xf numFmtId="0" fontId="2" fillId="2" borderId="76" xfId="2" applyFont="1" applyFill="1" applyBorder="1">
      <alignment vertical="center"/>
    </xf>
    <xf numFmtId="0" fontId="2" fillId="2" borderId="79" xfId="2" applyFont="1" applyFill="1" applyBorder="1" applyAlignment="1">
      <alignment horizontal="left" vertical="top"/>
    </xf>
    <xf numFmtId="0" fontId="2" fillId="2" borderId="79" xfId="2" applyFont="1" applyFill="1" applyBorder="1">
      <alignment vertical="center"/>
    </xf>
    <xf numFmtId="0" fontId="2" fillId="2" borderId="80" xfId="2" applyFont="1" applyFill="1" applyBorder="1">
      <alignment vertical="center"/>
    </xf>
    <xf numFmtId="0" fontId="20" fillId="2" borderId="90" xfId="2" applyFont="1" applyFill="1" applyBorder="1" applyAlignment="1">
      <alignment horizontal="left" vertical="top"/>
    </xf>
    <xf numFmtId="0" fontId="2" fillId="2" borderId="159" xfId="2" applyFont="1" applyFill="1" applyBorder="1" applyAlignment="1">
      <alignment horizontal="left" vertical="top"/>
    </xf>
    <xf numFmtId="0" fontId="2" fillId="2" borderId="134" xfId="2" applyFont="1" applyFill="1" applyBorder="1" applyAlignment="1">
      <alignment horizontal="left" vertical="top"/>
    </xf>
    <xf numFmtId="0" fontId="2" fillId="2" borderId="158" xfId="2" applyFont="1" applyFill="1" applyBorder="1">
      <alignment vertical="center"/>
    </xf>
    <xf numFmtId="0" fontId="2" fillId="2" borderId="137" xfId="2" applyFont="1" applyFill="1" applyBorder="1" applyAlignment="1">
      <alignment horizontal="left" vertical="top"/>
    </xf>
    <xf numFmtId="0" fontId="2" fillId="2" borderId="137" xfId="2" applyFont="1" applyFill="1" applyBorder="1">
      <alignment vertical="center"/>
    </xf>
    <xf numFmtId="0" fontId="2" fillId="2" borderId="134" xfId="2" applyFont="1" applyFill="1" applyBorder="1">
      <alignment vertical="center"/>
    </xf>
    <xf numFmtId="0" fontId="2" fillId="2" borderId="115" xfId="2" applyFont="1" applyFill="1" applyBorder="1" applyAlignment="1">
      <alignment horizontal="left" vertical="top"/>
    </xf>
    <xf numFmtId="0" fontId="21" fillId="2" borderId="90" xfId="2" applyFont="1" applyFill="1" applyBorder="1" applyAlignment="1">
      <alignment horizontal="left" vertical="top"/>
    </xf>
    <xf numFmtId="49" fontId="21" fillId="2" borderId="90" xfId="2" applyNumberFormat="1" applyFont="1" applyFill="1" applyBorder="1" applyAlignment="1">
      <alignment horizontal="left" vertical="top"/>
    </xf>
    <xf numFmtId="0" fontId="2" fillId="2" borderId="108" xfId="2" applyFont="1" applyFill="1" applyBorder="1" applyAlignment="1">
      <alignment horizontal="left" vertical="top" wrapText="1"/>
    </xf>
    <xf numFmtId="0" fontId="2" fillId="2" borderId="112" xfId="2" applyFont="1" applyFill="1" applyBorder="1" applyAlignment="1">
      <alignment horizontal="left" vertical="top" wrapText="1"/>
    </xf>
    <xf numFmtId="0" fontId="2" fillId="2" borderId="112" xfId="2" applyFont="1" applyFill="1" applyBorder="1" applyAlignment="1">
      <alignment vertical="center" wrapText="1"/>
    </xf>
    <xf numFmtId="0" fontId="2" fillId="2" borderId="110" xfId="2" applyFont="1" applyFill="1" applyBorder="1" applyAlignment="1">
      <alignment horizontal="left" vertical="top" wrapText="1"/>
    </xf>
    <xf numFmtId="0" fontId="2" fillId="2" borderId="110" xfId="2" applyFont="1" applyFill="1" applyBorder="1" applyAlignment="1">
      <alignment vertical="center" wrapText="1"/>
    </xf>
    <xf numFmtId="0" fontId="2" fillId="2" borderId="125" xfId="2" applyFont="1" applyFill="1" applyBorder="1" applyAlignment="1">
      <alignment horizontal="left" vertical="top"/>
    </xf>
    <xf numFmtId="0" fontId="21" fillId="2" borderId="112" xfId="2" applyFont="1" applyFill="1" applyBorder="1" applyAlignment="1">
      <alignment horizontal="left" vertical="top"/>
    </xf>
    <xf numFmtId="0" fontId="21" fillId="2" borderId="75" xfId="2" applyFont="1" applyFill="1" applyBorder="1" applyAlignment="1">
      <alignment horizontal="left" vertical="top"/>
    </xf>
    <xf numFmtId="0" fontId="21" fillId="2" borderId="78" xfId="2" applyFont="1" applyFill="1" applyBorder="1" applyAlignment="1">
      <alignment horizontal="left" vertical="top"/>
    </xf>
    <xf numFmtId="0" fontId="21" fillId="2" borderId="87" xfId="2" applyFont="1" applyFill="1" applyBorder="1" applyAlignment="1">
      <alignment horizontal="left" vertical="top"/>
    </xf>
    <xf numFmtId="0" fontId="21" fillId="2" borderId="82" xfId="2" applyFont="1" applyFill="1" applyBorder="1" applyAlignment="1">
      <alignment horizontal="left" vertical="top"/>
    </xf>
    <xf numFmtId="0" fontId="21" fillId="0" borderId="0" xfId="7" applyFont="1">
      <alignment vertical="center"/>
    </xf>
    <xf numFmtId="0" fontId="21" fillId="0" borderId="0" xfId="7" applyFont="1" applyAlignment="1">
      <alignment horizontal="left" vertical="center"/>
    </xf>
    <xf numFmtId="0" fontId="21" fillId="0" borderId="0" xfId="7" applyFont="1" applyAlignment="1">
      <alignment horizontal="center" vertical="center"/>
    </xf>
    <xf numFmtId="0" fontId="24" fillId="0" borderId="0" xfId="7" applyFont="1" applyAlignment="1">
      <alignment horizontal="left" vertical="center" readingOrder="1"/>
    </xf>
    <xf numFmtId="0" fontId="21" fillId="0" borderId="0" xfId="7" quotePrefix="1" applyFont="1">
      <alignment vertical="center"/>
    </xf>
    <xf numFmtId="0" fontId="21" fillId="10" borderId="0" xfId="7" applyFont="1" applyFill="1">
      <alignment vertical="center"/>
    </xf>
    <xf numFmtId="0" fontId="21" fillId="10" borderId="0" xfId="7" applyFont="1" applyFill="1" applyAlignment="1">
      <alignment horizontal="left" vertical="center"/>
    </xf>
    <xf numFmtId="0" fontId="21" fillId="10" borderId="0" xfId="7" applyFont="1" applyFill="1" applyAlignment="1">
      <alignment horizontal="center" vertical="center"/>
    </xf>
    <xf numFmtId="0" fontId="21" fillId="0" borderId="97" xfId="7" applyFont="1" applyBorder="1">
      <alignment vertical="center"/>
    </xf>
    <xf numFmtId="0" fontId="21" fillId="0" borderId="112" xfId="7" applyFont="1" applyBorder="1">
      <alignment vertical="center"/>
    </xf>
    <xf numFmtId="0" fontId="21" fillId="0" borderId="112" xfId="7" applyFont="1" applyBorder="1" applyAlignment="1">
      <alignment horizontal="left" vertical="center"/>
    </xf>
    <xf numFmtId="0" fontId="21" fillId="0" borderId="111" xfId="7" applyFont="1" applyBorder="1" applyAlignment="1">
      <alignment horizontal="left" vertical="center"/>
    </xf>
    <xf numFmtId="0" fontId="24" fillId="0" borderId="112" xfId="7" applyFont="1" applyBorder="1" applyAlignment="1">
      <alignment horizontal="left" vertical="center" readingOrder="1"/>
    </xf>
    <xf numFmtId="0" fontId="21" fillId="0" borderId="95" xfId="7" applyFont="1" applyBorder="1">
      <alignment vertical="center"/>
    </xf>
    <xf numFmtId="0" fontId="21" fillId="0" borderId="108" xfId="7" applyFont="1" applyBorder="1">
      <alignment vertical="center"/>
    </xf>
    <xf numFmtId="0" fontId="21" fillId="0" borderId="108" xfId="7" applyFont="1" applyBorder="1" applyAlignment="1">
      <alignment horizontal="left" vertical="center"/>
    </xf>
    <xf numFmtId="0" fontId="21" fillId="0" borderId="107" xfId="7" applyFont="1" applyBorder="1" applyAlignment="1">
      <alignment horizontal="left" vertical="center"/>
    </xf>
    <xf numFmtId="0" fontId="24" fillId="0" borderId="108" xfId="7" applyFont="1" applyBorder="1" applyAlignment="1">
      <alignment horizontal="left" vertical="center" readingOrder="1"/>
    </xf>
    <xf numFmtId="0" fontId="21" fillId="0" borderId="96" xfId="7" applyFont="1" applyBorder="1">
      <alignment vertical="center"/>
    </xf>
    <xf numFmtId="0" fontId="21" fillId="0" borderId="110" xfId="7" applyFont="1" applyBorder="1">
      <alignment vertical="center"/>
    </xf>
    <xf numFmtId="0" fontId="21" fillId="0" borderId="110" xfId="7" applyFont="1" applyBorder="1" applyAlignment="1">
      <alignment horizontal="left" vertical="center"/>
    </xf>
    <xf numFmtId="0" fontId="21" fillId="11" borderId="135" xfId="7" applyFont="1" applyFill="1" applyBorder="1">
      <alignment vertical="center"/>
    </xf>
    <xf numFmtId="0" fontId="21" fillId="11" borderId="134" xfId="7" applyFont="1" applyFill="1" applyBorder="1">
      <alignment vertical="center"/>
    </xf>
    <xf numFmtId="0" fontId="21" fillId="11" borderId="134" xfId="7" applyFont="1" applyFill="1" applyBorder="1" applyAlignment="1">
      <alignment horizontal="left" vertical="center"/>
    </xf>
    <xf numFmtId="0" fontId="21" fillId="11" borderId="125" xfId="7" applyFont="1" applyFill="1" applyBorder="1" applyAlignment="1">
      <alignment horizontal="left" vertical="center"/>
    </xf>
    <xf numFmtId="0" fontId="24" fillId="11" borderId="134" xfId="7" applyFont="1" applyFill="1" applyBorder="1" applyAlignment="1">
      <alignment horizontal="left" vertical="center" readingOrder="1"/>
    </xf>
    <xf numFmtId="0" fontId="21" fillId="0" borderId="135" xfId="7" applyFont="1" applyBorder="1">
      <alignment vertical="center"/>
    </xf>
    <xf numFmtId="0" fontId="21" fillId="0" borderId="134" xfId="7" applyFont="1" applyBorder="1">
      <alignment vertical="center"/>
    </xf>
    <xf numFmtId="0" fontId="21" fillId="0" borderId="134" xfId="7" applyFont="1" applyBorder="1" applyAlignment="1">
      <alignment horizontal="left" vertical="center"/>
    </xf>
    <xf numFmtId="0" fontId="21" fillId="0" borderId="125" xfId="7" applyFont="1" applyBorder="1" applyAlignment="1">
      <alignment horizontal="left" vertical="center"/>
    </xf>
    <xf numFmtId="0" fontId="24" fillId="0" borderId="134" xfId="7" applyFont="1" applyBorder="1" applyAlignment="1">
      <alignment horizontal="left" vertical="center" readingOrder="1"/>
    </xf>
    <xf numFmtId="0" fontId="21" fillId="11" borderId="95" xfId="7" applyFont="1" applyFill="1" applyBorder="1">
      <alignment vertical="center"/>
    </xf>
    <xf numFmtId="0" fontId="21" fillId="11" borderId="108" xfId="7" applyFont="1" applyFill="1" applyBorder="1">
      <alignment vertical="center"/>
    </xf>
    <xf numFmtId="0" fontId="21" fillId="11" borderId="108" xfId="7" applyFont="1" applyFill="1" applyBorder="1" applyAlignment="1">
      <alignment horizontal="left" vertical="center"/>
    </xf>
    <xf numFmtId="0" fontId="21" fillId="11" borderId="107" xfId="7" applyFont="1" applyFill="1" applyBorder="1" applyAlignment="1">
      <alignment horizontal="left" vertical="center"/>
    </xf>
    <xf numFmtId="0" fontId="24" fillId="11" borderId="108" xfId="7" applyFont="1" applyFill="1" applyBorder="1" applyAlignment="1">
      <alignment horizontal="left" vertical="center" readingOrder="1"/>
    </xf>
    <xf numFmtId="0" fontId="21" fillId="0" borderId="108" xfId="7" applyFont="1" applyBorder="1" applyAlignment="1">
      <alignment vertical="center" wrapText="1"/>
    </xf>
    <xf numFmtId="0" fontId="21" fillId="11" borderId="125" xfId="7" applyFont="1" applyFill="1" applyBorder="1">
      <alignment vertical="center"/>
    </xf>
    <xf numFmtId="0" fontId="21" fillId="0" borderId="97" xfId="7" applyFont="1" applyBorder="1" applyAlignment="1">
      <alignment horizontal="left" vertical="center"/>
    </xf>
    <xf numFmtId="0" fontId="21" fillId="0" borderId="96" xfId="7" applyFont="1" applyBorder="1" applyAlignment="1">
      <alignment horizontal="left" vertical="center"/>
    </xf>
    <xf numFmtId="0" fontId="21" fillId="3" borderId="135" xfId="7" applyFont="1" applyFill="1" applyBorder="1">
      <alignment vertical="center"/>
    </xf>
    <xf numFmtId="0" fontId="21" fillId="3" borderId="134" xfId="7" applyFont="1" applyFill="1" applyBorder="1">
      <alignment vertical="center"/>
    </xf>
    <xf numFmtId="0" fontId="21" fillId="3" borderId="134" xfId="7" applyFont="1" applyFill="1" applyBorder="1" applyAlignment="1">
      <alignment horizontal="left" vertical="center"/>
    </xf>
    <xf numFmtId="0" fontId="21" fillId="3" borderId="125" xfId="7" applyFont="1" applyFill="1" applyBorder="1">
      <alignment vertical="center"/>
    </xf>
    <xf numFmtId="0" fontId="2" fillId="2" borderId="162" xfId="2" applyFont="1" applyFill="1" applyBorder="1" applyAlignment="1">
      <alignment horizontal="left" vertical="top"/>
    </xf>
    <xf numFmtId="0" fontId="2" fillId="9" borderId="89" xfId="2" applyFont="1" applyFill="1" applyBorder="1" applyAlignment="1">
      <alignment horizontal="left" vertical="top"/>
    </xf>
    <xf numFmtId="0" fontId="2" fillId="9" borderId="131" xfId="2" applyFont="1" applyFill="1" applyBorder="1" applyAlignment="1">
      <alignment horizontal="left" vertical="top"/>
    </xf>
    <xf numFmtId="0" fontId="2" fillId="9" borderId="88" xfId="2" applyFont="1" applyFill="1" applyBorder="1">
      <alignment vertical="center"/>
    </xf>
    <xf numFmtId="0" fontId="2" fillId="9" borderId="89" xfId="2" applyFont="1" applyFill="1" applyBorder="1">
      <alignment vertical="center"/>
    </xf>
    <xf numFmtId="0" fontId="2" fillId="9" borderId="0" xfId="2" applyFont="1" applyFill="1" applyAlignment="1">
      <alignment horizontal="left" vertical="top"/>
    </xf>
    <xf numFmtId="0" fontId="2" fillId="9" borderId="75" xfId="2" applyFont="1" applyFill="1" applyBorder="1" applyAlignment="1">
      <alignment horizontal="left" vertical="top"/>
    </xf>
    <xf numFmtId="0" fontId="2" fillId="9" borderId="108" xfId="2" applyFont="1" applyFill="1" applyBorder="1" applyAlignment="1">
      <alignment horizontal="left" vertical="top"/>
    </xf>
    <xf numFmtId="0" fontId="2" fillId="9" borderId="108" xfId="2" applyFont="1" applyFill="1" applyBorder="1">
      <alignment vertical="center"/>
    </xf>
    <xf numFmtId="0" fontId="2" fillId="9" borderId="95" xfId="2" applyFont="1" applyFill="1" applyBorder="1">
      <alignment vertical="center"/>
    </xf>
    <xf numFmtId="0" fontId="2" fillId="2" borderId="163" xfId="2" applyFont="1" applyFill="1" applyBorder="1" applyAlignment="1">
      <alignment horizontal="left" vertical="top"/>
    </xf>
    <xf numFmtId="0" fontId="2" fillId="2" borderId="154" xfId="2" applyFont="1" applyFill="1" applyBorder="1" applyAlignment="1">
      <alignment horizontal="left" vertical="top"/>
    </xf>
    <xf numFmtId="0" fontId="2" fillId="2" borderId="164" xfId="2" applyFont="1" applyFill="1" applyBorder="1" applyAlignment="1">
      <alignment horizontal="center" vertical="center"/>
    </xf>
    <xf numFmtId="0" fontId="2" fillId="2" borderId="165" xfId="2" applyFont="1" applyFill="1" applyBorder="1">
      <alignment vertical="center"/>
    </xf>
    <xf numFmtId="0" fontId="2" fillId="2" borderId="166" xfId="2" applyFont="1" applyFill="1" applyBorder="1">
      <alignment vertical="center"/>
    </xf>
    <xf numFmtId="0" fontId="2" fillId="2" borderId="164" xfId="2" applyFont="1" applyFill="1" applyBorder="1">
      <alignment vertical="center"/>
    </xf>
    <xf numFmtId="0" fontId="2" fillId="2" borderId="167" xfId="2" applyFont="1" applyFill="1" applyBorder="1">
      <alignment vertical="center"/>
    </xf>
    <xf numFmtId="0" fontId="2" fillId="2" borderId="168" xfId="2" applyFont="1" applyFill="1" applyBorder="1">
      <alignment vertical="center"/>
    </xf>
    <xf numFmtId="0" fontId="2" fillId="2" borderId="169" xfId="2" applyFont="1" applyFill="1" applyBorder="1">
      <alignment vertical="center"/>
    </xf>
    <xf numFmtId="0" fontId="24" fillId="2" borderId="110" xfId="2" applyFont="1" applyFill="1" applyBorder="1" applyAlignment="1">
      <alignment vertical="top" wrapText="1"/>
    </xf>
    <xf numFmtId="0" fontId="2" fillId="2" borderId="110" xfId="2" applyFont="1" applyFill="1" applyBorder="1" applyAlignment="1">
      <alignment vertical="top" wrapText="1"/>
    </xf>
    <xf numFmtId="0" fontId="25" fillId="2" borderId="110" xfId="0" applyFont="1" applyFill="1" applyBorder="1">
      <alignment vertical="center"/>
    </xf>
    <xf numFmtId="0" fontId="25" fillId="2" borderId="110" xfId="0" applyFont="1" applyFill="1" applyBorder="1" applyAlignment="1">
      <alignment vertical="center" wrapText="1"/>
    </xf>
    <xf numFmtId="0" fontId="2" fillId="2" borderId="114" xfId="2" applyFont="1" applyFill="1" applyBorder="1" applyAlignment="1">
      <alignment horizontal="left" vertical="top" wrapText="1"/>
    </xf>
    <xf numFmtId="0" fontId="2" fillId="2" borderId="114" xfId="2" applyFont="1" applyFill="1" applyBorder="1">
      <alignment vertical="center"/>
    </xf>
    <xf numFmtId="0" fontId="2" fillId="9" borderId="157" xfId="2" applyFont="1" applyFill="1" applyBorder="1" applyAlignment="1">
      <alignment horizontal="left" vertical="top"/>
    </xf>
    <xf numFmtId="0" fontId="2" fillId="9" borderId="76" xfId="2" applyFont="1" applyFill="1" applyBorder="1" applyAlignment="1">
      <alignment horizontal="left" vertical="top"/>
    </xf>
    <xf numFmtId="0" fontId="2" fillId="9" borderId="76" xfId="2" applyFont="1" applyFill="1" applyBorder="1">
      <alignment vertical="center"/>
    </xf>
    <xf numFmtId="0" fontId="2" fillId="0" borderId="133" xfId="2" applyFont="1" applyBorder="1" applyAlignment="1">
      <alignment horizontal="left" vertical="top"/>
    </xf>
    <xf numFmtId="0" fontId="2" fillId="2" borderId="87" xfId="2" applyFont="1" applyFill="1" applyBorder="1">
      <alignment vertical="center"/>
    </xf>
    <xf numFmtId="0" fontId="21" fillId="2" borderId="88" xfId="2" applyFont="1" applyFill="1" applyBorder="1" applyAlignment="1">
      <alignment horizontal="left" vertical="top"/>
    </xf>
    <xf numFmtId="0" fontId="21" fillId="2" borderId="132" xfId="2" applyFont="1" applyFill="1" applyBorder="1" applyAlignment="1">
      <alignment horizontal="left" vertical="top"/>
    </xf>
    <xf numFmtId="0" fontId="21" fillId="2" borderId="133" xfId="2" applyFont="1" applyFill="1" applyBorder="1" applyAlignment="1">
      <alignment horizontal="left" vertical="top"/>
    </xf>
    <xf numFmtId="0" fontId="2" fillId="2" borderId="133" xfId="2" applyFont="1" applyFill="1" applyBorder="1">
      <alignment vertical="center"/>
    </xf>
    <xf numFmtId="0" fontId="2" fillId="2" borderId="132" xfId="2" applyFont="1" applyFill="1" applyBorder="1">
      <alignment vertical="center"/>
    </xf>
    <xf numFmtId="0" fontId="21" fillId="2" borderId="128" xfId="2" applyFont="1" applyFill="1" applyBorder="1" applyAlignment="1">
      <alignment horizontal="left" vertical="top"/>
    </xf>
    <xf numFmtId="0" fontId="2" fillId="2" borderId="159" xfId="2" applyFont="1" applyFill="1" applyBorder="1">
      <alignment vertical="center"/>
    </xf>
    <xf numFmtId="0" fontId="2" fillId="2" borderId="115" xfId="2" applyFont="1" applyFill="1" applyBorder="1">
      <alignment vertical="center"/>
    </xf>
    <xf numFmtId="0" fontId="2" fillId="2" borderId="77" xfId="2" applyFont="1" applyFill="1" applyBorder="1" applyAlignment="1">
      <alignment horizontal="left" vertical="top" wrapText="1"/>
    </xf>
    <xf numFmtId="0" fontId="2" fillId="2" borderId="97" xfId="2" applyFont="1" applyFill="1" applyBorder="1" applyAlignment="1">
      <alignment horizontal="left" vertical="top"/>
    </xf>
    <xf numFmtId="0" fontId="2" fillId="2" borderId="135" xfId="2" applyFont="1" applyFill="1" applyBorder="1" applyAlignment="1">
      <alignment horizontal="left" vertical="top" wrapText="1"/>
    </xf>
    <xf numFmtId="0" fontId="2" fillId="2" borderId="95" xfId="2" applyFont="1" applyFill="1" applyBorder="1" applyAlignment="1">
      <alignment horizontal="left" vertical="top" wrapText="1"/>
    </xf>
    <xf numFmtId="0" fontId="2" fillId="2" borderId="97" xfId="2" applyFont="1" applyFill="1" applyBorder="1" applyAlignment="1">
      <alignment horizontal="left" vertical="top" wrapText="1"/>
    </xf>
    <xf numFmtId="0" fontId="2" fillId="2" borderId="88" xfId="2" applyFont="1" applyFill="1" applyBorder="1" applyAlignment="1">
      <alignment vertical="top"/>
    </xf>
    <xf numFmtId="0" fontId="2" fillId="2" borderId="89" xfId="2" applyFont="1" applyFill="1" applyBorder="1" applyAlignment="1">
      <alignment vertical="top"/>
    </xf>
    <xf numFmtId="0" fontId="2" fillId="2" borderId="0" xfId="2" applyFont="1" applyFill="1" applyAlignment="1">
      <alignment vertical="top"/>
    </xf>
    <xf numFmtId="0" fontId="2" fillId="2" borderId="153" xfId="2" applyFont="1" applyFill="1" applyBorder="1" applyAlignment="1">
      <alignment vertical="top"/>
    </xf>
    <xf numFmtId="0" fontId="2" fillId="2" borderId="134" xfId="2" applyFont="1" applyFill="1" applyBorder="1" applyAlignment="1">
      <alignment horizontal="left" vertical="top" wrapText="1"/>
    </xf>
    <xf numFmtId="0" fontId="2" fillId="2" borderId="160" xfId="2" applyFont="1" applyFill="1" applyBorder="1" applyAlignment="1">
      <alignment horizontal="left" vertical="top"/>
    </xf>
    <xf numFmtId="0" fontId="2" fillId="0" borderId="0" xfId="2" applyFont="1" applyAlignment="1">
      <alignment horizontal="center" vertical="center"/>
    </xf>
    <xf numFmtId="0" fontId="2" fillId="4" borderId="0" xfId="2" applyFont="1" applyFill="1" applyAlignment="1">
      <alignment horizontal="center" vertical="center"/>
    </xf>
    <xf numFmtId="0" fontId="2" fillId="8" borderId="105" xfId="2" applyFont="1" applyFill="1" applyBorder="1" applyAlignment="1">
      <alignment horizontal="center" vertical="center"/>
    </xf>
    <xf numFmtId="0" fontId="2" fillId="8" borderId="106" xfId="2" applyFont="1" applyFill="1" applyBorder="1" applyAlignment="1">
      <alignment horizontal="center" vertical="center"/>
    </xf>
    <xf numFmtId="0" fontId="2" fillId="8" borderId="94" xfId="2" applyFont="1" applyFill="1" applyBorder="1" applyAlignment="1">
      <alignment horizontal="center" vertical="center"/>
    </xf>
    <xf numFmtId="0" fontId="2" fillId="9" borderId="75" xfId="2" applyFont="1" applyFill="1" applyBorder="1" applyAlignment="1">
      <alignment horizontal="center" vertical="center"/>
    </xf>
    <xf numFmtId="0" fontId="2" fillId="9" borderId="76" xfId="2" applyFont="1" applyFill="1" applyBorder="1" applyAlignment="1">
      <alignment horizontal="center" vertical="center"/>
    </xf>
    <xf numFmtId="0" fontId="2" fillId="9" borderId="77" xfId="2" applyFont="1" applyFill="1" applyBorder="1" applyAlignment="1">
      <alignment horizontal="center" vertical="center"/>
    </xf>
    <xf numFmtId="0" fontId="2" fillId="2" borderId="107" xfId="2" applyFont="1" applyFill="1" applyBorder="1" applyAlignment="1">
      <alignment horizontal="center" vertical="center"/>
    </xf>
    <xf numFmtId="0" fontId="2" fillId="2" borderId="108" xfId="2" applyFont="1" applyFill="1" applyBorder="1" applyAlignment="1">
      <alignment horizontal="center" vertical="center"/>
    </xf>
    <xf numFmtId="0" fontId="2" fillId="2" borderId="95" xfId="2" applyFont="1" applyFill="1" applyBorder="1" applyAlignment="1">
      <alignment horizontal="center" vertical="center"/>
    </xf>
    <xf numFmtId="0" fontId="2" fillId="2" borderId="109" xfId="2" applyFont="1" applyFill="1" applyBorder="1" applyAlignment="1">
      <alignment horizontal="center" vertical="center"/>
    </xf>
    <xf numFmtId="0" fontId="2" fillId="2" borderId="110" xfId="2" applyFont="1" applyFill="1" applyBorder="1" applyAlignment="1">
      <alignment horizontal="center" vertical="center"/>
    </xf>
    <xf numFmtId="0" fontId="2" fillId="2" borderId="96" xfId="2" applyFont="1" applyFill="1" applyBorder="1" applyAlignment="1">
      <alignment horizontal="center" vertical="center"/>
    </xf>
    <xf numFmtId="0" fontId="2" fillId="2" borderId="111" xfId="2" applyFont="1" applyFill="1" applyBorder="1" applyAlignment="1">
      <alignment horizontal="center" vertical="center"/>
    </xf>
    <xf numFmtId="0" fontId="2" fillId="2" borderId="112" xfId="2" applyFont="1" applyFill="1" applyBorder="1" applyAlignment="1">
      <alignment horizontal="center" vertical="center"/>
    </xf>
    <xf numFmtId="0" fontId="2" fillId="2" borderId="97" xfId="2" applyFont="1" applyFill="1" applyBorder="1" applyAlignment="1">
      <alignment horizontal="center" vertical="center"/>
    </xf>
    <xf numFmtId="0" fontId="2" fillId="2" borderId="113" xfId="2" applyFont="1" applyFill="1" applyBorder="1" applyAlignment="1">
      <alignment horizontal="center" vertical="center"/>
    </xf>
    <xf numFmtId="0" fontId="2" fillId="2" borderId="114" xfId="2" applyFont="1" applyFill="1" applyBorder="1" applyAlignment="1">
      <alignment horizontal="center" vertical="center"/>
    </xf>
    <xf numFmtId="0" fontId="2" fillId="2" borderId="98" xfId="2" applyFont="1" applyFill="1" applyBorder="1" applyAlignment="1">
      <alignment horizontal="center" vertical="center"/>
    </xf>
    <xf numFmtId="0" fontId="2" fillId="2" borderId="75" xfId="2" applyFont="1" applyFill="1" applyBorder="1" applyAlignment="1">
      <alignment horizontal="center" vertical="center"/>
    </xf>
    <xf numFmtId="0" fontId="2" fillId="2" borderId="76" xfId="2" applyFont="1" applyFill="1" applyBorder="1" applyAlignment="1">
      <alignment horizontal="center" vertical="center"/>
    </xf>
    <xf numFmtId="0" fontId="2" fillId="2" borderId="77" xfId="2" applyFont="1" applyFill="1" applyBorder="1" applyAlignment="1">
      <alignment horizontal="center" vertical="center"/>
    </xf>
    <xf numFmtId="0" fontId="2" fillId="2" borderId="119" xfId="2" applyFont="1" applyFill="1" applyBorder="1" applyAlignment="1">
      <alignment horizontal="center" vertical="center"/>
    </xf>
    <xf numFmtId="0" fontId="2" fillId="2" borderId="120" xfId="2" applyFont="1" applyFill="1" applyBorder="1" applyAlignment="1">
      <alignment horizontal="center" vertical="center"/>
    </xf>
    <xf numFmtId="0" fontId="2" fillId="2" borderId="121" xfId="2" applyFont="1" applyFill="1" applyBorder="1" applyAlignment="1">
      <alignment horizontal="center" vertical="center"/>
    </xf>
    <xf numFmtId="0" fontId="2" fillId="0" borderId="107" xfId="2" applyFont="1" applyBorder="1" applyAlignment="1">
      <alignment horizontal="center" vertical="center"/>
    </xf>
    <xf numFmtId="0" fontId="2" fillId="0" borderId="108" xfId="2" applyFont="1" applyBorder="1" applyAlignment="1">
      <alignment horizontal="center" vertical="center"/>
    </xf>
    <xf numFmtId="0" fontId="2" fillId="0" borderId="95" xfId="2" applyFont="1" applyBorder="1" applyAlignment="1">
      <alignment horizontal="center" vertical="center"/>
    </xf>
    <xf numFmtId="0" fontId="2" fillId="0" borderId="111" xfId="2" applyFont="1" applyBorder="1" applyAlignment="1">
      <alignment horizontal="center" vertical="center"/>
    </xf>
    <xf numFmtId="0" fontId="2" fillId="0" borderId="112" xfId="2" applyFont="1" applyBorder="1" applyAlignment="1">
      <alignment horizontal="center" vertical="center"/>
    </xf>
    <xf numFmtId="0" fontId="2" fillId="0" borderId="97" xfId="2" applyFont="1" applyBorder="1" applyAlignment="1">
      <alignment horizontal="center" vertical="center"/>
    </xf>
    <xf numFmtId="0" fontId="2" fillId="2" borderId="125" xfId="2" applyFont="1" applyFill="1" applyBorder="1" applyAlignment="1">
      <alignment horizontal="center" vertical="center"/>
    </xf>
    <xf numFmtId="0" fontId="2" fillId="2" borderId="134" xfId="2" applyFont="1" applyFill="1" applyBorder="1" applyAlignment="1">
      <alignment horizontal="center" vertical="center"/>
    </xf>
    <xf numFmtId="0" fontId="2" fillId="2" borderId="135" xfId="2" applyFont="1" applyFill="1" applyBorder="1" applyAlignment="1">
      <alignment horizontal="center" vertical="center"/>
    </xf>
    <xf numFmtId="0" fontId="2" fillId="2" borderId="136" xfId="2" applyFont="1" applyFill="1" applyBorder="1" applyAlignment="1">
      <alignment horizontal="center" vertical="center"/>
    </xf>
    <xf numFmtId="0" fontId="2" fillId="2" borderId="137" xfId="2" applyFont="1" applyFill="1" applyBorder="1" applyAlignment="1">
      <alignment horizontal="center" vertical="center"/>
    </xf>
    <xf numFmtId="0" fontId="2" fillId="2" borderId="138" xfId="2" applyFont="1" applyFill="1" applyBorder="1" applyAlignment="1">
      <alignment horizontal="center" vertical="center"/>
    </xf>
    <xf numFmtId="0" fontId="2" fillId="2" borderId="141" xfId="2" applyFont="1" applyFill="1" applyBorder="1" applyAlignment="1">
      <alignment horizontal="center" vertical="center"/>
    </xf>
    <xf numFmtId="0" fontId="2" fillId="2" borderId="142" xfId="2" applyFont="1" applyFill="1" applyBorder="1" applyAlignment="1">
      <alignment horizontal="center" vertical="center"/>
    </xf>
    <xf numFmtId="0" fontId="2" fillId="2" borderId="143" xfId="2" applyFont="1" applyFill="1" applyBorder="1" applyAlignment="1">
      <alignment horizontal="center" vertical="center"/>
    </xf>
    <xf numFmtId="0" fontId="2" fillId="2" borderId="147" xfId="2" applyFont="1" applyFill="1" applyBorder="1" applyAlignment="1">
      <alignment horizontal="center" vertical="center"/>
    </xf>
    <xf numFmtId="0" fontId="2" fillId="2" borderId="148" xfId="2" applyFont="1" applyFill="1" applyBorder="1" applyAlignment="1">
      <alignment horizontal="center" vertical="center"/>
    </xf>
    <xf numFmtId="0" fontId="2" fillId="2" borderId="149" xfId="2" applyFont="1" applyFill="1" applyBorder="1" applyAlignment="1">
      <alignment horizontal="center" vertical="center"/>
    </xf>
    <xf numFmtId="0" fontId="2" fillId="2" borderId="102" xfId="2" applyFont="1" applyFill="1" applyBorder="1" applyAlignment="1">
      <alignment horizontal="center" vertical="center"/>
    </xf>
    <xf numFmtId="0" fontId="2" fillId="2" borderId="119" xfId="2" applyFont="1" applyFill="1" applyBorder="1" applyAlignment="1">
      <alignment horizontal="center" vertical="center" wrapText="1"/>
    </xf>
    <xf numFmtId="0" fontId="2" fillId="2" borderId="120" xfId="2" applyFont="1" applyFill="1" applyBorder="1" applyAlignment="1">
      <alignment horizontal="center" vertical="center" wrapText="1"/>
    </xf>
    <xf numFmtId="0" fontId="2" fillId="2" borderId="121" xfId="2" applyFont="1" applyFill="1" applyBorder="1" applyAlignment="1">
      <alignment horizontal="center" vertical="center" wrapText="1"/>
    </xf>
    <xf numFmtId="0" fontId="2" fillId="2" borderId="136" xfId="2" applyFont="1" applyFill="1" applyBorder="1" applyAlignment="1">
      <alignment horizontal="center" vertical="center" wrapText="1"/>
    </xf>
    <xf numFmtId="0" fontId="2" fillId="2" borderId="137" xfId="2" applyFont="1" applyFill="1" applyBorder="1" applyAlignment="1">
      <alignment horizontal="center" vertical="center" wrapText="1"/>
    </xf>
    <xf numFmtId="0" fontId="2" fillId="2" borderId="138" xfId="2" applyFont="1" applyFill="1" applyBorder="1" applyAlignment="1">
      <alignment horizontal="center" vertical="center" wrapText="1"/>
    </xf>
    <xf numFmtId="0" fontId="2" fillId="2" borderId="111" xfId="2" applyFont="1" applyFill="1" applyBorder="1" applyAlignment="1">
      <alignment horizontal="center" vertical="center" wrapText="1"/>
    </xf>
    <xf numFmtId="0" fontId="2" fillId="2" borderId="112" xfId="2" applyFont="1" applyFill="1" applyBorder="1" applyAlignment="1">
      <alignment horizontal="center" vertical="center" wrapText="1"/>
    </xf>
    <xf numFmtId="0" fontId="2" fillId="2" borderId="97" xfId="2" applyFont="1" applyFill="1" applyBorder="1" applyAlignment="1">
      <alignment horizontal="center" vertical="center" wrapText="1"/>
    </xf>
    <xf numFmtId="0" fontId="2" fillId="9" borderId="108" xfId="2" applyFont="1" applyFill="1" applyBorder="1" applyAlignment="1">
      <alignment horizontal="center" vertical="center"/>
    </xf>
    <xf numFmtId="0" fontId="2" fillId="9" borderId="88" xfId="2" applyFont="1" applyFill="1" applyBorder="1" applyAlignment="1">
      <alignment horizontal="center" vertical="center"/>
    </xf>
    <xf numFmtId="0" fontId="2" fillId="2" borderId="88" xfId="2" applyFont="1" applyFill="1" applyBorder="1" applyAlignment="1">
      <alignment horizontal="center" vertical="center" wrapText="1"/>
    </xf>
    <xf numFmtId="0" fontId="2" fillId="2" borderId="108" xfId="2" applyFont="1" applyFill="1" applyBorder="1" applyAlignment="1">
      <alignment horizontal="center" vertical="center" wrapText="1"/>
    </xf>
    <xf numFmtId="0" fontId="2" fillId="2" borderId="88" xfId="2" applyFont="1" applyFill="1" applyBorder="1" applyAlignment="1">
      <alignment horizontal="center" vertical="center"/>
    </xf>
    <xf numFmtId="0" fontId="2" fillId="2" borderId="79" xfId="2" applyFont="1" applyFill="1" applyBorder="1" applyAlignment="1">
      <alignment horizontal="center" vertical="center"/>
    </xf>
    <xf numFmtId="0" fontId="2" fillId="2" borderId="101" xfId="2" applyFont="1" applyFill="1" applyBorder="1" applyAlignment="1">
      <alignment horizontal="center" vertical="center"/>
    </xf>
    <xf numFmtId="0" fontId="2" fillId="2" borderId="104" xfId="2" applyFont="1" applyFill="1" applyBorder="1" applyAlignment="1">
      <alignment horizontal="center" vertical="center"/>
    </xf>
    <xf numFmtId="0" fontId="2" fillId="2" borderId="160" xfId="2" applyFont="1" applyFill="1" applyBorder="1" applyAlignment="1">
      <alignment horizontal="center" vertical="center"/>
    </xf>
    <xf numFmtId="0" fontId="2" fillId="2" borderId="103" xfId="2" applyFont="1" applyFill="1" applyBorder="1" applyAlignment="1">
      <alignment horizontal="center" vertical="center"/>
    </xf>
    <xf numFmtId="0" fontId="2" fillId="2" borderId="0" xfId="2" applyFont="1" applyFill="1" applyAlignment="1">
      <alignment horizontal="center" vertical="center"/>
    </xf>
    <xf numFmtId="0" fontId="21" fillId="2" borderId="83" xfId="2" applyFont="1" applyFill="1" applyBorder="1" applyAlignment="1">
      <alignment horizontal="left" vertical="top"/>
    </xf>
    <xf numFmtId="0" fontId="21" fillId="2" borderId="84" xfId="2" applyFont="1" applyFill="1" applyBorder="1" applyAlignment="1">
      <alignment horizontal="left" vertical="top"/>
    </xf>
    <xf numFmtId="0" fontId="21" fillId="2" borderId="86" xfId="2" applyFont="1" applyFill="1" applyBorder="1" applyAlignment="1">
      <alignment horizontal="left" vertical="top"/>
    </xf>
    <xf numFmtId="49" fontId="21" fillId="2" borderId="91" xfId="2" applyNumberFormat="1" applyFont="1" applyFill="1" applyBorder="1" applyAlignment="1">
      <alignment horizontal="left" vertical="top"/>
    </xf>
    <xf numFmtId="0" fontId="2" fillId="2" borderId="160" xfId="2" applyFont="1" applyFill="1" applyBorder="1" applyAlignment="1">
      <alignment horizontal="left" vertical="top" wrapText="1"/>
    </xf>
    <xf numFmtId="0" fontId="2" fillId="2" borderId="102" xfId="2" applyFont="1" applyFill="1" applyBorder="1" applyAlignment="1">
      <alignment horizontal="left" vertical="top" wrapText="1"/>
    </xf>
    <xf numFmtId="0" fontId="21" fillId="2" borderId="100" xfId="2" applyFont="1" applyFill="1" applyBorder="1" applyAlignment="1">
      <alignment horizontal="left" vertical="top"/>
    </xf>
    <xf numFmtId="0" fontId="2" fillId="2" borderId="86" xfId="2" applyFont="1" applyFill="1" applyBorder="1" applyAlignment="1">
      <alignment horizontal="left" vertical="top" wrapText="1"/>
    </xf>
    <xf numFmtId="0" fontId="2" fillId="5" borderId="87" xfId="2" applyFont="1" applyFill="1" applyBorder="1" applyAlignment="1">
      <alignment horizontal="left" vertical="top"/>
    </xf>
    <xf numFmtId="0" fontId="2" fillId="5" borderId="136" xfId="2" applyFont="1" applyFill="1" applyBorder="1" applyAlignment="1">
      <alignment horizontal="left" vertical="top"/>
    </xf>
    <xf numFmtId="0" fontId="2" fillId="5" borderId="0" xfId="2" applyFont="1" applyFill="1" applyAlignment="1">
      <alignment horizontal="left" vertical="top"/>
    </xf>
    <xf numFmtId="0" fontId="21" fillId="2" borderId="85" xfId="2" applyFont="1" applyFill="1" applyBorder="1" applyAlignment="1">
      <alignment horizontal="left" vertical="top"/>
    </xf>
    <xf numFmtId="0" fontId="2" fillId="5" borderId="161" xfId="2" applyFont="1" applyFill="1" applyBorder="1" applyAlignment="1">
      <alignment horizontal="left" vertical="top"/>
    </xf>
    <xf numFmtId="0" fontId="2" fillId="5" borderId="162" xfId="2" applyFont="1" applyFill="1" applyBorder="1" applyAlignment="1">
      <alignment horizontal="left" vertical="top"/>
    </xf>
    <xf numFmtId="0" fontId="2" fillId="5" borderId="137" xfId="2" applyFont="1" applyFill="1" applyBorder="1" applyAlignment="1">
      <alignment horizontal="left" vertical="top"/>
    </xf>
    <xf numFmtId="0" fontId="2" fillId="5" borderId="137" xfId="2" applyFont="1" applyFill="1" applyBorder="1" applyAlignment="1">
      <alignment horizontal="center" vertical="center"/>
    </xf>
    <xf numFmtId="0" fontId="2" fillId="5" borderId="137" xfId="2" applyFont="1" applyFill="1" applyBorder="1">
      <alignment vertical="center"/>
    </xf>
    <xf numFmtId="0" fontId="2" fillId="5" borderId="138" xfId="2" applyFont="1" applyFill="1" applyBorder="1">
      <alignment vertical="center"/>
    </xf>
    <xf numFmtId="0" fontId="21" fillId="2" borderId="81" xfId="2" applyFont="1" applyFill="1" applyBorder="1" applyAlignment="1">
      <alignment horizontal="left" vertical="top"/>
    </xf>
    <xf numFmtId="0" fontId="6" fillId="2" borderId="85" xfId="2" applyFont="1" applyFill="1" applyBorder="1" applyAlignment="1">
      <alignment horizontal="left" vertical="top"/>
    </xf>
    <xf numFmtId="0" fontId="29" fillId="0" borderId="110" xfId="7" applyFont="1" applyBorder="1">
      <alignment vertical="center"/>
    </xf>
    <xf numFmtId="0" fontId="29" fillId="0" borderId="112" xfId="7" applyFont="1" applyBorder="1">
      <alignment vertical="center"/>
    </xf>
    <xf numFmtId="0" fontId="2" fillId="3" borderId="75" xfId="2" applyFont="1" applyFill="1" applyBorder="1">
      <alignment vertical="center"/>
    </xf>
    <xf numFmtId="0" fontId="2" fillId="3" borderId="78" xfId="2" applyFont="1" applyFill="1" applyBorder="1">
      <alignment vertical="center"/>
    </xf>
    <xf numFmtId="0" fontId="2" fillId="8" borderId="170" xfId="2" applyFont="1" applyFill="1" applyBorder="1" applyAlignment="1">
      <alignment horizontal="center" vertical="center"/>
    </xf>
    <xf numFmtId="0" fontId="2" fillId="9" borderId="157" xfId="2" applyFont="1" applyFill="1" applyBorder="1" applyAlignment="1">
      <alignment horizontal="center" vertical="center"/>
    </xf>
    <xf numFmtId="0" fontId="2" fillId="2" borderId="126" xfId="2" applyFont="1" applyFill="1" applyBorder="1" applyAlignment="1">
      <alignment horizontal="center" vertical="center"/>
    </xf>
    <xf numFmtId="0" fontId="2" fillId="2" borderId="155" xfId="2" applyFont="1" applyFill="1" applyBorder="1" applyAlignment="1">
      <alignment horizontal="center" vertical="center"/>
    </xf>
    <xf numFmtId="0" fontId="2" fillId="2" borderId="127" xfId="2" applyFont="1" applyFill="1" applyBorder="1" applyAlignment="1">
      <alignment horizontal="center" vertical="center"/>
    </xf>
    <xf numFmtId="0" fontId="2" fillId="2" borderId="156" xfId="2" applyFont="1" applyFill="1" applyBorder="1" applyAlignment="1">
      <alignment horizontal="center" vertical="center"/>
    </xf>
    <xf numFmtId="0" fontId="2" fillId="2" borderId="157" xfId="2" applyFont="1" applyFill="1" applyBorder="1" applyAlignment="1">
      <alignment horizontal="center" vertical="center"/>
    </xf>
    <xf numFmtId="0" fontId="2" fillId="0" borderId="126" xfId="2" applyFont="1" applyBorder="1" applyAlignment="1">
      <alignment horizontal="center" vertical="center"/>
    </xf>
    <xf numFmtId="0" fontId="2" fillId="0" borderId="127" xfId="2" applyFont="1" applyBorder="1" applyAlignment="1">
      <alignment horizontal="center" vertical="center"/>
    </xf>
    <xf numFmtId="0" fontId="2" fillId="2" borderId="158" xfId="2" applyFont="1" applyFill="1" applyBorder="1" applyAlignment="1">
      <alignment horizontal="center" vertical="center"/>
    </xf>
    <xf numFmtId="0" fontId="2" fillId="2" borderId="162" xfId="2" applyFont="1" applyFill="1" applyBorder="1" applyAlignment="1">
      <alignment horizontal="center" vertical="center"/>
    </xf>
    <xf numFmtId="0" fontId="2" fillId="2" borderId="171" xfId="2" applyFont="1" applyFill="1" applyBorder="1" applyAlignment="1">
      <alignment horizontal="center" vertical="center"/>
    </xf>
    <xf numFmtId="0" fontId="2" fillId="2" borderId="172" xfId="2" applyFont="1" applyFill="1" applyBorder="1" applyAlignment="1">
      <alignment horizontal="center" vertical="center"/>
    </xf>
    <xf numFmtId="0" fontId="2" fillId="2" borderId="164" xfId="2" applyFont="1" applyFill="1" applyBorder="1" applyAlignment="1">
      <alignment horizontal="center" vertical="center" wrapText="1"/>
    </xf>
    <xf numFmtId="0" fontId="2" fillId="2" borderId="162" xfId="2" applyFont="1" applyFill="1" applyBorder="1" applyAlignment="1">
      <alignment horizontal="center" vertical="center" wrapText="1"/>
    </xf>
    <xf numFmtId="0" fontId="2" fillId="2" borderId="127" xfId="2" applyFont="1" applyFill="1" applyBorder="1" applyAlignment="1">
      <alignment horizontal="center" vertical="center" wrapText="1"/>
    </xf>
    <xf numFmtId="0" fontId="2" fillId="3" borderId="112" xfId="2" applyFont="1" applyFill="1" applyBorder="1">
      <alignment vertical="center"/>
    </xf>
    <xf numFmtId="0" fontId="2" fillId="2" borderId="128" xfId="2" applyFont="1" applyFill="1" applyBorder="1">
      <alignment vertical="center"/>
    </xf>
    <xf numFmtId="0" fontId="2" fillId="2" borderId="152" xfId="2" applyFont="1" applyFill="1" applyBorder="1">
      <alignment vertical="center"/>
    </xf>
    <xf numFmtId="0" fontId="2" fillId="2" borderId="125" xfId="2" applyFont="1" applyFill="1" applyBorder="1" applyAlignment="1">
      <alignment vertical="center" wrapText="1"/>
    </xf>
    <xf numFmtId="0" fontId="2" fillId="2" borderId="132" xfId="2" applyFont="1" applyFill="1" applyBorder="1" applyAlignment="1">
      <alignment horizontal="left" vertical="top" wrapText="1"/>
    </xf>
    <xf numFmtId="0" fontId="21" fillId="2" borderId="81" xfId="2" applyFont="1" applyFill="1" applyBorder="1" applyAlignment="1">
      <alignment horizontal="left" vertical="center"/>
    </xf>
    <xf numFmtId="0" fontId="21" fillId="2" borderId="83" xfId="2" applyFont="1" applyFill="1" applyBorder="1" applyAlignment="1">
      <alignment horizontal="left" vertical="center"/>
    </xf>
    <xf numFmtId="0" fontId="21" fillId="0" borderId="0" xfId="2" applyFont="1" applyAlignment="1">
      <alignment horizontal="left" vertical="center"/>
    </xf>
    <xf numFmtId="0" fontId="2" fillId="0" borderId="0" xfId="2" applyFont="1" applyAlignment="1">
      <alignment horizontal="left"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8" fillId="4" borderId="24" xfId="0" applyFont="1" applyFill="1" applyBorder="1" applyAlignment="1">
      <alignment horizontal="center" vertical="center"/>
    </xf>
    <xf numFmtId="0" fontId="8" fillId="4" borderId="25" xfId="0" applyFont="1" applyFill="1" applyBorder="1" applyAlignment="1">
      <alignment horizontal="center" vertical="center"/>
    </xf>
    <xf numFmtId="0" fontId="8" fillId="4" borderId="26" xfId="0" applyFont="1"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27" xfId="0" applyBorder="1" applyAlignment="1">
      <alignment horizontal="center" vertical="center"/>
    </xf>
    <xf numFmtId="0" fontId="0" fillId="0" borderId="6" xfId="0" applyBorder="1" applyAlignment="1">
      <alignment horizontal="center" vertical="center"/>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9" fillId="0" borderId="0" xfId="0" applyFont="1" applyAlignment="1">
      <alignment horizontal="center" vertical="center"/>
    </xf>
    <xf numFmtId="0" fontId="9" fillId="0" borderId="7" xfId="0" applyFont="1" applyBorder="1" applyAlignment="1">
      <alignment horizontal="center" vertical="center"/>
    </xf>
    <xf numFmtId="0" fontId="9" fillId="0" borderId="5" xfId="0" applyFont="1" applyBorder="1" applyAlignment="1">
      <alignment horizontal="center" vertical="center"/>
    </xf>
    <xf numFmtId="0" fontId="9" fillId="0" borderId="27" xfId="0" applyFont="1" applyBorder="1" applyAlignment="1">
      <alignment horizontal="center" vertical="center"/>
    </xf>
    <xf numFmtId="0" fontId="9" fillId="0" borderId="6" xfId="0" applyFont="1" applyBorder="1" applyAlignment="1">
      <alignment horizontal="center" vertical="center"/>
    </xf>
    <xf numFmtId="2" fontId="0" fillId="0" borderId="1" xfId="0" applyNumberFormat="1" applyBorder="1" applyAlignment="1">
      <alignment horizontal="center" vertical="center"/>
    </xf>
    <xf numFmtId="2" fontId="0" fillId="0" borderId="2" xfId="0" applyNumberFormat="1" applyBorder="1" applyAlignment="1">
      <alignment horizontal="center" vertical="center"/>
    </xf>
    <xf numFmtId="2" fontId="0" fillId="0" borderId="4" xfId="0" applyNumberFormat="1" applyBorder="1" applyAlignment="1">
      <alignment horizontal="center" vertical="center"/>
    </xf>
    <xf numFmtId="2" fontId="0" fillId="0" borderId="5" xfId="0" applyNumberFormat="1" applyBorder="1" applyAlignment="1">
      <alignment horizontal="center" vertical="center"/>
    </xf>
    <xf numFmtId="2" fontId="0" fillId="0" borderId="27" xfId="0" applyNumberFormat="1" applyBorder="1" applyAlignment="1">
      <alignment horizontal="center" vertical="center"/>
    </xf>
    <xf numFmtId="2" fontId="0" fillId="0" borderId="6" xfId="0" applyNumberFormat="1" applyBorder="1" applyAlignment="1">
      <alignment horizontal="center" vertical="center"/>
    </xf>
    <xf numFmtId="164" fontId="0" fillId="0" borderId="1" xfId="0" applyNumberFormat="1" applyBorder="1" applyAlignment="1">
      <alignment horizontal="center" vertical="center"/>
    </xf>
    <xf numFmtId="164" fontId="0" fillId="0" borderId="2" xfId="0" applyNumberFormat="1" applyBorder="1" applyAlignment="1">
      <alignment horizontal="center" vertical="center"/>
    </xf>
    <xf numFmtId="164" fontId="0" fillId="0" borderId="4" xfId="0" applyNumberFormat="1" applyBorder="1" applyAlignment="1">
      <alignment horizontal="center" vertical="center"/>
    </xf>
    <xf numFmtId="164" fontId="0" fillId="0" borderId="5" xfId="0" applyNumberFormat="1" applyBorder="1" applyAlignment="1">
      <alignment horizontal="center" vertical="center"/>
    </xf>
    <xf numFmtId="164" fontId="0" fillId="0" borderId="27" xfId="0" applyNumberFormat="1" applyBorder="1" applyAlignment="1">
      <alignment horizontal="center" vertical="center"/>
    </xf>
    <xf numFmtId="164" fontId="0" fillId="0" borderId="6" xfId="0" applyNumberFormat="1" applyBorder="1" applyAlignment="1">
      <alignment horizontal="center" vertical="center"/>
    </xf>
    <xf numFmtId="0" fontId="10" fillId="0" borderId="0" xfId="0" applyFont="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xf>
    <xf numFmtId="0" fontId="8" fillId="4" borderId="1" xfId="0" applyFont="1" applyFill="1" applyBorder="1" applyAlignment="1">
      <alignment horizontal="center" vertical="center"/>
    </xf>
    <xf numFmtId="0" fontId="8" fillId="4" borderId="2"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5" xfId="0" applyFont="1" applyFill="1" applyBorder="1" applyAlignment="1">
      <alignment horizontal="center" vertical="center"/>
    </xf>
    <xf numFmtId="0" fontId="8" fillId="4" borderId="27" xfId="0" applyFont="1" applyFill="1" applyBorder="1" applyAlignment="1">
      <alignment horizontal="center" vertical="center"/>
    </xf>
    <xf numFmtId="0" fontId="8" fillId="4" borderId="6" xfId="0" applyFont="1" applyFill="1" applyBorder="1" applyAlignment="1">
      <alignment horizontal="center" vertical="center"/>
    </xf>
    <xf numFmtId="14" fontId="0" fillId="0" borderId="1" xfId="0" applyNumberFormat="1" applyBorder="1" applyAlignment="1">
      <alignment horizontal="center" vertical="center"/>
    </xf>
    <xf numFmtId="0" fontId="2" fillId="2" borderId="87" xfId="2" applyFont="1" applyFill="1" applyBorder="1" applyAlignment="1">
      <alignment horizontal="left" vertical="top"/>
    </xf>
    <xf numFmtId="0" fontId="2" fillId="2" borderId="88" xfId="2" applyFont="1" applyFill="1" applyBorder="1" applyAlignment="1">
      <alignment horizontal="left" vertical="top"/>
    </xf>
    <xf numFmtId="0" fontId="2" fillId="2" borderId="89" xfId="2" applyFont="1" applyFill="1" applyBorder="1" applyAlignment="1">
      <alignment horizontal="left" vertical="top"/>
    </xf>
    <xf numFmtId="0" fontId="2" fillId="2" borderId="90" xfId="2" applyFont="1" applyFill="1" applyBorder="1" applyAlignment="1">
      <alignment horizontal="left" vertical="top"/>
    </xf>
    <xf numFmtId="0" fontId="2" fillId="2" borderId="0" xfId="2" applyFont="1" applyFill="1" applyAlignment="1">
      <alignment horizontal="left" vertical="top"/>
    </xf>
    <xf numFmtId="0" fontId="2" fillId="2" borderId="153" xfId="2" applyFont="1" applyFill="1" applyBorder="1" applyAlignment="1">
      <alignment horizontal="left" vertical="top"/>
    </xf>
    <xf numFmtId="0" fontId="2" fillId="2" borderId="91" xfId="2" applyFont="1" applyFill="1" applyBorder="1" applyAlignment="1">
      <alignment horizontal="left" vertical="top"/>
    </xf>
    <xf numFmtId="0" fontId="2" fillId="2" borderId="130" xfId="2" applyFont="1" applyFill="1" applyBorder="1" applyAlignment="1">
      <alignment horizontal="left" vertical="top"/>
    </xf>
    <xf numFmtId="0" fontId="2" fillId="2" borderId="150" xfId="2" applyFont="1" applyFill="1" applyBorder="1" applyAlignment="1">
      <alignment horizontal="left" vertical="top"/>
    </xf>
    <xf numFmtId="0" fontId="2" fillId="2" borderId="88" xfId="2" applyFont="1" applyFill="1" applyBorder="1" applyAlignment="1">
      <alignment horizontal="left" vertical="top" wrapText="1"/>
    </xf>
    <xf numFmtId="0" fontId="2" fillId="2" borderId="153" xfId="2" applyFont="1" applyFill="1" applyBorder="1" applyAlignment="1">
      <alignment horizontal="left" vertical="top" wrapText="1"/>
    </xf>
    <xf numFmtId="0" fontId="2" fillId="2" borderId="150" xfId="2" applyFont="1" applyFill="1" applyBorder="1" applyAlignment="1">
      <alignment horizontal="left" vertical="top" wrapText="1"/>
    </xf>
    <xf numFmtId="0" fontId="2" fillId="2" borderId="110" xfId="2" applyFont="1" applyFill="1" applyBorder="1" applyAlignment="1">
      <alignment horizontal="left" vertical="top"/>
    </xf>
    <xf numFmtId="0" fontId="2" fillId="2" borderId="102" xfId="2" applyFont="1" applyFill="1" applyBorder="1" applyAlignment="1">
      <alignment horizontal="left" vertical="top"/>
    </xf>
    <xf numFmtId="0" fontId="2" fillId="2" borderId="112" xfId="2" applyFont="1" applyFill="1" applyBorder="1" applyAlignment="1">
      <alignment horizontal="left" vertical="top"/>
    </xf>
    <xf numFmtId="0" fontId="2" fillId="2" borderId="103" xfId="2" applyFont="1" applyFill="1" applyBorder="1" applyAlignment="1">
      <alignment horizontal="left" vertical="top"/>
    </xf>
    <xf numFmtId="0" fontId="2" fillId="2" borderId="155" xfId="2" applyFont="1" applyFill="1" applyBorder="1" applyAlignment="1">
      <alignment horizontal="left" vertical="top" wrapText="1"/>
    </xf>
    <xf numFmtId="0" fontId="2" fillId="2" borderId="156" xfId="2" applyFont="1" applyFill="1" applyBorder="1" applyAlignment="1">
      <alignment horizontal="left" vertical="top" wrapText="1"/>
    </xf>
    <xf numFmtId="0" fontId="2" fillId="2" borderId="110" xfId="2" applyFont="1" applyFill="1" applyBorder="1" applyAlignment="1">
      <alignment horizontal="left" vertical="top" wrapText="1"/>
    </xf>
    <xf numFmtId="0" fontId="2" fillId="3" borderId="75" xfId="2" applyFont="1" applyFill="1" applyBorder="1" applyAlignment="1">
      <alignment horizontal="center" vertical="center"/>
    </xf>
    <xf numFmtId="0" fontId="2" fillId="3" borderId="78" xfId="2" applyFont="1" applyFill="1" applyBorder="1" applyAlignment="1">
      <alignment horizontal="center" vertical="center"/>
    </xf>
    <xf numFmtId="0" fontId="2" fillId="3" borderId="100" xfId="2" applyFont="1" applyFill="1" applyBorder="1" applyAlignment="1">
      <alignment horizontal="center" vertical="center"/>
    </xf>
    <xf numFmtId="0" fontId="2" fillId="3" borderId="115" xfId="2" applyFont="1" applyFill="1" applyBorder="1" applyAlignment="1">
      <alignment horizontal="center" vertical="center"/>
    </xf>
    <xf numFmtId="0" fontId="2" fillId="3" borderId="76" xfId="2" applyFont="1" applyFill="1" applyBorder="1" applyAlignment="1">
      <alignment horizontal="center" vertical="center"/>
    </xf>
    <xf numFmtId="0" fontId="2" fillId="3" borderId="79" xfId="2" applyFont="1" applyFill="1" applyBorder="1" applyAlignment="1">
      <alignment horizontal="center" vertical="center"/>
    </xf>
    <xf numFmtId="0" fontId="2" fillId="3" borderId="77" xfId="2" applyFont="1" applyFill="1" applyBorder="1" applyAlignment="1">
      <alignment horizontal="center" vertical="center"/>
    </xf>
    <xf numFmtId="0" fontId="2" fillId="3" borderId="80" xfId="2" applyFont="1" applyFill="1" applyBorder="1" applyAlignment="1">
      <alignment horizontal="center" vertical="center"/>
    </xf>
    <xf numFmtId="0" fontId="2" fillId="3" borderId="88" xfId="2" applyFont="1" applyFill="1" applyBorder="1" applyAlignment="1">
      <alignment horizontal="center" vertical="center"/>
    </xf>
    <xf numFmtId="0" fontId="2" fillId="3" borderId="157" xfId="2" applyFont="1" applyFill="1" applyBorder="1" applyAlignment="1">
      <alignment horizontal="center" vertical="center"/>
    </xf>
    <xf numFmtId="0" fontId="21" fillId="0" borderId="0" xfId="7" applyFont="1" applyAlignment="1">
      <alignment horizontal="left" vertical="center"/>
    </xf>
    <xf numFmtId="0" fontId="21" fillId="0" borderId="101" xfId="7" applyFont="1" applyBorder="1" applyAlignment="1">
      <alignment horizontal="center" vertical="center"/>
    </xf>
    <xf numFmtId="0" fontId="21" fillId="0" borderId="102" xfId="7" applyFont="1" applyBorder="1" applyAlignment="1">
      <alignment horizontal="center" vertical="center"/>
    </xf>
    <xf numFmtId="0" fontId="21" fillId="0" borderId="103" xfId="7" applyFont="1" applyBorder="1" applyAlignment="1">
      <alignment horizontal="center" vertical="center"/>
    </xf>
    <xf numFmtId="0" fontId="21" fillId="0" borderId="108" xfId="7" applyFont="1" applyBorder="1" applyAlignment="1">
      <alignment horizontal="center" vertical="center"/>
    </xf>
    <xf numFmtId="0" fontId="21" fillId="0" borderId="110" xfId="7" applyFont="1" applyBorder="1" applyAlignment="1">
      <alignment horizontal="center" vertical="center"/>
    </xf>
    <xf numFmtId="0" fontId="21" fillId="0" borderId="112" xfId="7" applyFont="1" applyBorder="1" applyAlignment="1">
      <alignment horizontal="center" vertical="center"/>
    </xf>
    <xf numFmtId="0" fontId="21" fillId="0" borderId="107" xfId="7" quotePrefix="1" applyFont="1" applyBorder="1" applyAlignment="1">
      <alignment horizontal="center" vertical="center"/>
    </xf>
    <xf numFmtId="0" fontId="21" fillId="0" borderId="109" xfId="7" quotePrefix="1" applyFont="1" applyBorder="1" applyAlignment="1">
      <alignment horizontal="center" vertical="center"/>
    </xf>
    <xf numFmtId="0" fontId="21" fillId="0" borderId="111" xfId="7" quotePrefix="1" applyFont="1" applyBorder="1" applyAlignment="1">
      <alignment horizontal="center" vertical="center"/>
    </xf>
    <xf numFmtId="0" fontId="24" fillId="0" borderId="108" xfId="7" applyFont="1" applyBorder="1" applyAlignment="1">
      <alignment horizontal="left" vertical="center" readingOrder="1"/>
    </xf>
    <xf numFmtId="0" fontId="24" fillId="0" borderId="110" xfId="7" applyFont="1" applyBorder="1" applyAlignment="1">
      <alignment horizontal="left" vertical="center" readingOrder="1"/>
    </xf>
    <xf numFmtId="0" fontId="24" fillId="0" borderId="112" xfId="7" applyFont="1" applyBorder="1" applyAlignment="1">
      <alignment horizontal="left" vertical="center" readingOrder="1"/>
    </xf>
    <xf numFmtId="0" fontId="21" fillId="0" borderId="76" xfId="7" applyFont="1" applyBorder="1" applyAlignment="1">
      <alignment horizontal="left" vertical="center"/>
    </xf>
    <xf numFmtId="0" fontId="21" fillId="0" borderId="79" xfId="7" applyFont="1" applyBorder="1" applyAlignment="1">
      <alignment horizontal="left" vertical="center"/>
    </xf>
    <xf numFmtId="0" fontId="21" fillId="0" borderId="108" xfId="7" applyFont="1" applyBorder="1" applyAlignment="1">
      <alignment horizontal="left" vertical="center"/>
    </xf>
    <xf numFmtId="0" fontId="21" fillId="0" borderId="110" xfId="7" applyFont="1" applyBorder="1" applyAlignment="1">
      <alignment horizontal="left" vertical="center"/>
    </xf>
    <xf numFmtId="0" fontId="21" fillId="0" borderId="112" xfId="7" applyFont="1" applyBorder="1" applyAlignment="1">
      <alignment horizontal="left" vertical="center"/>
    </xf>
    <xf numFmtId="0" fontId="21" fillId="0" borderId="101" xfId="7" applyFont="1" applyBorder="1" applyAlignment="1">
      <alignment horizontal="left" vertical="center"/>
    </xf>
    <xf numFmtId="0" fontId="21" fillId="0" borderId="102" xfId="7" applyFont="1" applyBorder="1" applyAlignment="1">
      <alignment horizontal="left" vertical="center"/>
    </xf>
    <xf numFmtId="0" fontId="21" fillId="0" borderId="103" xfId="7" applyFont="1" applyBorder="1" applyAlignment="1">
      <alignment horizontal="left" vertical="center"/>
    </xf>
    <xf numFmtId="0" fontId="21" fillId="0" borderId="76" xfId="7" applyFont="1" applyBorder="1" applyAlignment="1">
      <alignment vertical="center" wrapText="1"/>
    </xf>
    <xf numFmtId="0" fontId="21" fillId="0" borderId="107" xfId="7" applyFont="1" applyBorder="1" applyAlignment="1">
      <alignment horizontal="left" vertical="center"/>
    </xf>
    <xf numFmtId="0" fontId="21" fillId="0" borderId="109" xfId="7" applyFont="1" applyBorder="1" applyAlignment="1">
      <alignment horizontal="left" vertical="center"/>
    </xf>
    <xf numFmtId="0" fontId="21" fillId="0" borderId="111" xfId="7" applyFont="1" applyBorder="1" applyAlignment="1">
      <alignment horizontal="left" vertical="center"/>
    </xf>
    <xf numFmtId="0" fontId="21" fillId="0" borderId="75" xfId="7" applyFont="1" applyBorder="1" applyAlignment="1">
      <alignment horizontal="left" vertical="center"/>
    </xf>
    <xf numFmtId="0" fontId="21" fillId="0" borderId="136" xfId="7" applyFont="1" applyBorder="1" applyAlignment="1">
      <alignment horizontal="left" vertical="center"/>
    </xf>
    <xf numFmtId="0" fontId="21" fillId="0" borderId="78" xfId="7" applyFont="1" applyBorder="1" applyAlignment="1">
      <alignment horizontal="left" vertical="center"/>
    </xf>
    <xf numFmtId="0" fontId="24" fillId="0" borderId="76" xfId="7" applyFont="1" applyBorder="1" applyAlignment="1">
      <alignment horizontal="left" vertical="center" readingOrder="1"/>
    </xf>
    <xf numFmtId="0" fontId="24" fillId="0" borderId="137" xfId="7" applyFont="1" applyBorder="1" applyAlignment="1">
      <alignment horizontal="left" vertical="center" readingOrder="1"/>
    </xf>
    <xf numFmtId="0" fontId="24" fillId="0" borderId="79" xfId="7" applyFont="1" applyBorder="1" applyAlignment="1">
      <alignment horizontal="left" vertical="center" readingOrder="1"/>
    </xf>
    <xf numFmtId="0" fontId="21" fillId="0" borderId="75" xfId="7" applyFont="1" applyBorder="1" applyAlignment="1">
      <alignment horizontal="center" vertical="center"/>
    </xf>
    <xf numFmtId="0" fontId="21" fillId="0" borderId="136" xfId="7" applyFont="1" applyBorder="1" applyAlignment="1">
      <alignment horizontal="center" vertical="center"/>
    </xf>
    <xf numFmtId="0" fontId="21" fillId="0" borderId="78" xfId="7" applyFont="1" applyBorder="1" applyAlignment="1">
      <alignment horizontal="center" vertical="center"/>
    </xf>
    <xf numFmtId="0" fontId="21" fillId="0" borderId="110" xfId="7" applyFont="1" applyBorder="1" applyAlignment="1">
      <alignment horizontal="left" vertical="center" wrapText="1"/>
    </xf>
    <xf numFmtId="0" fontId="21" fillId="0" borderId="77" xfId="7" applyFont="1" applyBorder="1" applyAlignment="1">
      <alignment horizontal="left" vertical="center"/>
    </xf>
    <xf numFmtId="0" fontId="21" fillId="0" borderId="138" xfId="7" applyFont="1" applyBorder="1" applyAlignment="1">
      <alignment horizontal="left" vertical="center"/>
    </xf>
    <xf numFmtId="0" fontId="21" fillId="0" borderId="80" xfId="7" applyFont="1" applyBorder="1" applyAlignment="1">
      <alignment horizontal="left" vertical="center"/>
    </xf>
    <xf numFmtId="0" fontId="21" fillId="0" borderId="137" xfId="7" applyFont="1" applyBorder="1" applyAlignment="1">
      <alignment horizontal="left" vertical="center"/>
    </xf>
    <xf numFmtId="0" fontId="13" fillId="2" borderId="1" xfId="2" applyFont="1" applyFill="1" applyBorder="1" applyAlignment="1">
      <alignment horizontal="center" vertical="center" wrapText="1"/>
    </xf>
    <xf numFmtId="0" fontId="13" fillId="2" borderId="2" xfId="2" applyFont="1" applyFill="1" applyBorder="1" applyAlignment="1">
      <alignment horizontal="center" vertical="center" wrapText="1"/>
    </xf>
    <xf numFmtId="0" fontId="13" fillId="2" borderId="3" xfId="2" applyFont="1" applyFill="1" applyBorder="1" applyAlignment="1">
      <alignment horizontal="center" vertical="center" wrapText="1"/>
    </xf>
    <xf numFmtId="0" fontId="13" fillId="2" borderId="0" xfId="2" applyFont="1" applyFill="1" applyAlignment="1">
      <alignment horizontal="center" vertical="center" wrapText="1"/>
    </xf>
    <xf numFmtId="0" fontId="13" fillId="2" borderId="5" xfId="2" applyFont="1" applyFill="1" applyBorder="1" applyAlignment="1">
      <alignment horizontal="center" vertical="center" wrapText="1"/>
    </xf>
    <xf numFmtId="0" fontId="13" fillId="2" borderId="27" xfId="2" applyFont="1" applyFill="1" applyBorder="1" applyAlignment="1">
      <alignment horizontal="center" vertical="center" wrapText="1"/>
    </xf>
    <xf numFmtId="0" fontId="13" fillId="2" borderId="4" xfId="2" applyFont="1" applyFill="1" applyBorder="1" applyAlignment="1">
      <alignment horizontal="center" vertical="center" wrapText="1"/>
    </xf>
    <xf numFmtId="0" fontId="13" fillId="2" borderId="7" xfId="2" applyFont="1" applyFill="1" applyBorder="1" applyAlignment="1">
      <alignment horizontal="center" vertical="center" wrapText="1"/>
    </xf>
    <xf numFmtId="0" fontId="13" fillId="2" borderId="6" xfId="2" applyFont="1" applyFill="1" applyBorder="1" applyAlignment="1">
      <alignment horizontal="center" vertical="center" wrapText="1"/>
    </xf>
    <xf numFmtId="0" fontId="13" fillId="5" borderId="1" xfId="2" applyFont="1" applyFill="1" applyBorder="1" applyAlignment="1">
      <alignment horizontal="left" vertical="center"/>
    </xf>
    <xf numFmtId="0" fontId="13" fillId="5" borderId="2" xfId="2" applyFont="1" applyFill="1" applyBorder="1" applyAlignment="1">
      <alignment horizontal="left" vertical="center"/>
    </xf>
    <xf numFmtId="0" fontId="13" fillId="5" borderId="4" xfId="2" applyFont="1" applyFill="1" applyBorder="1" applyAlignment="1">
      <alignment horizontal="left" vertical="center"/>
    </xf>
    <xf numFmtId="0" fontId="13" fillId="5" borderId="37" xfId="2" applyFont="1" applyFill="1" applyBorder="1" applyAlignment="1">
      <alignment horizontal="left" vertical="center"/>
    </xf>
    <xf numFmtId="0" fontId="13" fillId="5" borderId="38" xfId="2" applyFont="1" applyFill="1" applyBorder="1" applyAlignment="1">
      <alignment horizontal="left" vertical="center"/>
    </xf>
    <xf numFmtId="0" fontId="13" fillId="0" borderId="31" xfId="2" applyFont="1" applyBorder="1" applyAlignment="1">
      <alignment horizontal="left" vertical="center"/>
    </xf>
    <xf numFmtId="0" fontId="13" fillId="0" borderId="49" xfId="2" applyFont="1" applyBorder="1" applyAlignment="1">
      <alignment horizontal="left" vertical="center"/>
    </xf>
    <xf numFmtId="0" fontId="13" fillId="3" borderId="1" xfId="2" applyFont="1" applyFill="1" applyBorder="1" applyAlignment="1">
      <alignment horizontal="center" vertical="center" wrapText="1"/>
    </xf>
    <xf numFmtId="0" fontId="13" fillId="3" borderId="2" xfId="2" applyFont="1" applyFill="1" applyBorder="1" applyAlignment="1">
      <alignment horizontal="center" vertical="center" wrapText="1"/>
    </xf>
    <xf numFmtId="0" fontId="13" fillId="3" borderId="59" xfId="2" applyFont="1" applyFill="1" applyBorder="1" applyAlignment="1">
      <alignment horizontal="center" vertical="center" wrapText="1"/>
    </xf>
    <xf numFmtId="0" fontId="13" fillId="3" borderId="5" xfId="2" applyFont="1" applyFill="1" applyBorder="1" applyAlignment="1">
      <alignment horizontal="center" vertical="center" wrapText="1"/>
    </xf>
    <xf numFmtId="0" fontId="13" fillId="3" borderId="27" xfId="2" applyFont="1" applyFill="1" applyBorder="1" applyAlignment="1">
      <alignment horizontal="center" vertical="center" wrapText="1"/>
    </xf>
    <xf numFmtId="0" fontId="13" fillId="3" borderId="60" xfId="2" applyFont="1" applyFill="1" applyBorder="1" applyAlignment="1">
      <alignment horizontal="center" vertical="center" wrapText="1"/>
    </xf>
    <xf numFmtId="0" fontId="13" fillId="3" borderId="55" xfId="2" applyFont="1" applyFill="1" applyBorder="1" applyAlignment="1">
      <alignment horizontal="center" vertical="center" wrapText="1"/>
    </xf>
    <xf numFmtId="0" fontId="13" fillId="3" borderId="68" xfId="2" applyFont="1" applyFill="1" applyBorder="1" applyAlignment="1">
      <alignment horizontal="center" vertical="center" wrapText="1"/>
    </xf>
    <xf numFmtId="0" fontId="13" fillId="3" borderId="57" xfId="2" applyFont="1" applyFill="1" applyBorder="1" applyAlignment="1">
      <alignment horizontal="center" vertical="center"/>
    </xf>
    <xf numFmtId="0" fontId="13" fillId="3" borderId="58" xfId="2" applyFont="1" applyFill="1" applyBorder="1" applyAlignment="1">
      <alignment horizontal="center" vertical="center"/>
    </xf>
    <xf numFmtId="0" fontId="13" fillId="3" borderId="55" xfId="2" applyFont="1" applyFill="1" applyBorder="1" applyAlignment="1">
      <alignment horizontal="center" vertical="center"/>
    </xf>
    <xf numFmtId="0" fontId="13" fillId="3" borderId="68" xfId="2" applyFont="1" applyFill="1" applyBorder="1" applyAlignment="1">
      <alignment horizontal="center" vertical="center"/>
    </xf>
    <xf numFmtId="0" fontId="13" fillId="3" borderId="69" xfId="2" applyFont="1" applyFill="1" applyBorder="1" applyAlignment="1">
      <alignment horizontal="center" vertical="center"/>
    </xf>
    <xf numFmtId="0" fontId="13" fillId="3" borderId="70" xfId="2" applyFont="1" applyFill="1" applyBorder="1" applyAlignment="1">
      <alignment horizontal="center" vertical="center"/>
    </xf>
    <xf numFmtId="0" fontId="13" fillId="0" borderId="65" xfId="2" applyFont="1" applyBorder="1" applyAlignment="1">
      <alignment horizontal="center" vertical="center" wrapText="1"/>
    </xf>
    <xf numFmtId="0" fontId="13" fillId="0" borderId="22" xfId="2" applyFont="1" applyBorder="1" applyAlignment="1">
      <alignment horizontal="center" vertical="center" wrapText="1"/>
    </xf>
    <xf numFmtId="0" fontId="13" fillId="0" borderId="14" xfId="2" applyFont="1" applyBorder="1" applyAlignment="1">
      <alignment horizontal="center" vertical="center" wrapText="1"/>
    </xf>
    <xf numFmtId="0" fontId="13" fillId="0" borderId="23" xfId="2" applyFont="1" applyBorder="1" applyAlignment="1">
      <alignment horizontal="center" vertical="center" wrapText="1"/>
    </xf>
    <xf numFmtId="0" fontId="13" fillId="5" borderId="54" xfId="2" applyFont="1" applyFill="1" applyBorder="1" applyAlignment="1">
      <alignment horizontal="left" vertical="center"/>
    </xf>
    <xf numFmtId="0" fontId="13" fillId="5" borderId="3" xfId="2" applyFont="1" applyFill="1" applyBorder="1" applyAlignment="1">
      <alignment horizontal="left" vertical="center"/>
    </xf>
    <xf numFmtId="0" fontId="13" fillId="5" borderId="33" xfId="2" applyFont="1" applyFill="1" applyBorder="1" applyAlignment="1">
      <alignment horizontal="left" vertical="center"/>
    </xf>
    <xf numFmtId="0" fontId="13" fillId="5" borderId="34" xfId="2" applyFont="1" applyFill="1" applyBorder="1" applyAlignment="1">
      <alignment horizontal="left" vertical="center"/>
    </xf>
    <xf numFmtId="0" fontId="13" fillId="3" borderId="71" xfId="2" applyFont="1" applyFill="1" applyBorder="1" applyAlignment="1">
      <alignment horizontal="center" vertical="center"/>
    </xf>
    <xf numFmtId="0" fontId="13" fillId="3" borderId="62" xfId="2" applyFont="1" applyFill="1" applyBorder="1" applyAlignment="1">
      <alignment horizontal="center" vertical="center"/>
    </xf>
    <xf numFmtId="0" fontId="13" fillId="2" borderId="56" xfId="2" applyFont="1" applyFill="1" applyBorder="1" applyAlignment="1">
      <alignment horizontal="center" vertical="center" wrapText="1"/>
    </xf>
    <xf numFmtId="0" fontId="13" fillId="2" borderId="63" xfId="2" applyFont="1" applyFill="1" applyBorder="1" applyAlignment="1">
      <alignment horizontal="center" vertical="center" wrapText="1"/>
    </xf>
    <xf numFmtId="0" fontId="13" fillId="2" borderId="66" xfId="2" applyFont="1" applyFill="1" applyBorder="1" applyAlignment="1">
      <alignment horizontal="center" vertical="center" wrapText="1"/>
    </xf>
    <xf numFmtId="0" fontId="13" fillId="3" borderId="56" xfId="2" applyFont="1" applyFill="1" applyBorder="1" applyAlignment="1">
      <alignment horizontal="center" vertical="center" wrapText="1"/>
    </xf>
    <xf numFmtId="0" fontId="13" fillId="3" borderId="4" xfId="2" applyFont="1" applyFill="1" applyBorder="1" applyAlignment="1">
      <alignment horizontal="center" vertical="center" wrapText="1"/>
    </xf>
    <xf numFmtId="0" fontId="13" fillId="3" borderId="66" xfId="2" applyFont="1" applyFill="1" applyBorder="1" applyAlignment="1">
      <alignment horizontal="center" vertical="center" wrapText="1"/>
    </xf>
    <xf numFmtId="0" fontId="13" fillId="3" borderId="6" xfId="2" applyFont="1" applyFill="1" applyBorder="1" applyAlignment="1">
      <alignment horizontal="center" vertical="center" wrapText="1"/>
    </xf>
    <xf numFmtId="0" fontId="13" fillId="3" borderId="24" xfId="2" applyFont="1" applyFill="1" applyBorder="1" applyAlignment="1">
      <alignment horizontal="center" vertical="center"/>
    </xf>
    <xf numFmtId="0" fontId="13" fillId="3" borderId="25" xfId="2" applyFont="1" applyFill="1" applyBorder="1" applyAlignment="1">
      <alignment horizontal="center" vertical="center"/>
    </xf>
    <xf numFmtId="0" fontId="13" fillId="3" borderId="67" xfId="2" applyFont="1" applyFill="1" applyBorder="1" applyAlignment="1">
      <alignment horizontal="center" vertical="center"/>
    </xf>
    <xf numFmtId="0" fontId="13" fillId="3" borderId="61" xfId="2" applyFont="1" applyFill="1" applyBorder="1" applyAlignment="1">
      <alignment horizontal="center" vertical="center"/>
    </xf>
    <xf numFmtId="0" fontId="8" fillId="4" borderId="0" xfId="0" applyFont="1" applyFill="1" applyAlignment="1">
      <alignment vertical="center"/>
    </xf>
    <xf numFmtId="0" fontId="0" fillId="0" borderId="36" xfId="0" applyBorder="1" applyAlignment="1">
      <alignment vertical="center"/>
    </xf>
    <xf numFmtId="0" fontId="0" fillId="0" borderId="37" xfId="0" applyBorder="1" applyAlignment="1">
      <alignment vertical="center"/>
    </xf>
    <xf numFmtId="0" fontId="0" fillId="0" borderId="38" xfId="0" applyBorder="1" applyAlignment="1">
      <alignment vertical="center"/>
    </xf>
    <xf numFmtId="0" fontId="0" fillId="0" borderId="2" xfId="0" applyBorder="1" applyAlignment="1">
      <alignment vertical="center"/>
    </xf>
    <xf numFmtId="0" fontId="0" fillId="0" borderId="4" xfId="0" applyBorder="1" applyAlignment="1">
      <alignment vertical="center"/>
    </xf>
    <xf numFmtId="0" fontId="0" fillId="0" borderId="1" xfId="0" applyBorder="1" applyAlignment="1">
      <alignment vertical="center"/>
    </xf>
    <xf numFmtId="0" fontId="0" fillId="0" borderId="14" xfId="0" applyBorder="1" applyAlignment="1">
      <alignment vertical="center"/>
    </xf>
    <xf numFmtId="0" fontId="0" fillId="0" borderId="28" xfId="0" applyBorder="1" applyAlignment="1">
      <alignment vertical="center"/>
    </xf>
    <xf numFmtId="0" fontId="0" fillId="0" borderId="15" xfId="0" applyBorder="1" applyAlignment="1">
      <alignment vertical="center"/>
    </xf>
    <xf numFmtId="0" fontId="0" fillId="0" borderId="27" xfId="0" applyBorder="1" applyAlignment="1">
      <alignment vertical="center"/>
    </xf>
    <xf numFmtId="0" fontId="0" fillId="0" borderId="6" xfId="0" applyBorder="1" applyAlignment="1">
      <alignment vertical="center"/>
    </xf>
    <xf numFmtId="0" fontId="0" fillId="0" borderId="5" xfId="0" applyBorder="1" applyAlignment="1">
      <alignment vertical="center"/>
    </xf>
    <xf numFmtId="0" fontId="21" fillId="0" borderId="108" xfId="7" applyFont="1" applyBorder="1" applyAlignment="1">
      <alignment vertical="center"/>
    </xf>
    <xf numFmtId="0" fontId="21" fillId="0" borderId="110" xfId="7" applyFont="1" applyBorder="1" applyAlignment="1">
      <alignment vertical="center"/>
    </xf>
    <xf numFmtId="0" fontId="21" fillId="0" borderId="107" xfId="7" quotePrefix="1" applyFont="1" applyBorder="1" applyAlignment="1">
      <alignment vertical="center"/>
    </xf>
    <xf numFmtId="0" fontId="21" fillId="0" borderId="109" xfId="7" quotePrefix="1" applyFont="1" applyBorder="1" applyAlignment="1">
      <alignment vertical="center"/>
    </xf>
    <xf numFmtId="0" fontId="21" fillId="0" borderId="75" xfId="7" applyFont="1" applyBorder="1" applyAlignment="1">
      <alignment vertical="center"/>
    </xf>
    <xf numFmtId="0" fontId="21" fillId="0" borderId="136" xfId="7" applyFont="1" applyBorder="1" applyAlignment="1">
      <alignment vertical="center"/>
    </xf>
    <xf numFmtId="0" fontId="21" fillId="0" borderId="111" xfId="7" quotePrefix="1" applyFont="1" applyBorder="1" applyAlignment="1">
      <alignment vertical="center"/>
    </xf>
    <xf numFmtId="0" fontId="21" fillId="0" borderId="78" xfId="7" applyFont="1" applyBorder="1" applyAlignment="1">
      <alignment vertical="center"/>
    </xf>
    <xf numFmtId="0" fontId="21" fillId="0" borderId="75" xfId="7" quotePrefix="1" applyFont="1" applyBorder="1" applyAlignment="1">
      <alignment vertical="center"/>
    </xf>
    <xf numFmtId="0" fontId="21" fillId="0" borderId="76" xfId="7" applyFont="1" applyBorder="1" applyAlignment="1">
      <alignment vertical="center"/>
    </xf>
    <xf numFmtId="0" fontId="21" fillId="0" borderId="77" xfId="7" applyFont="1" applyBorder="1" applyAlignment="1">
      <alignment vertical="center"/>
    </xf>
    <xf numFmtId="0" fontId="21" fillId="0" borderId="78" xfId="7" quotePrefix="1" applyFont="1" applyBorder="1" applyAlignment="1">
      <alignment vertical="center"/>
    </xf>
    <xf numFmtId="0" fontId="21" fillId="0" borderId="79" xfId="7" applyFont="1" applyBorder="1" applyAlignment="1">
      <alignment vertical="center"/>
    </xf>
    <xf numFmtId="0" fontId="21" fillId="0" borderId="80" xfId="7" applyFont="1" applyBorder="1" applyAlignment="1">
      <alignment vertical="center"/>
    </xf>
    <xf numFmtId="0" fontId="21" fillId="0" borderId="136" xfId="7" quotePrefix="1" applyFont="1" applyBorder="1" applyAlignment="1">
      <alignment vertical="center"/>
    </xf>
    <xf numFmtId="0" fontId="21" fillId="0" borderId="137" xfId="7" applyFont="1" applyBorder="1" applyAlignment="1">
      <alignment vertical="center"/>
    </xf>
    <xf numFmtId="0" fontId="21" fillId="0" borderId="138" xfId="7" applyFont="1" applyBorder="1" applyAlignment="1">
      <alignment vertical="center"/>
    </xf>
    <xf numFmtId="0" fontId="21" fillId="0" borderId="101" xfId="7" applyFont="1" applyBorder="1" applyAlignment="1">
      <alignment vertical="center"/>
    </xf>
    <xf numFmtId="0" fontId="21" fillId="0" borderId="112" xfId="7" applyFont="1" applyBorder="1" applyAlignment="1">
      <alignment vertical="center"/>
    </xf>
    <xf numFmtId="0" fontId="21" fillId="0" borderId="103" xfId="7" applyFont="1" applyBorder="1" applyAlignment="1">
      <alignment vertical="center"/>
    </xf>
  </cellXfs>
  <cellStyles count="8">
    <cellStyle name="Comma [0]" xfId="4" builtinId="6"/>
    <cellStyle name="Hyperlink" xfId="3" builtinId="8"/>
    <cellStyle name="Normal" xfId="0" builtinId="0" customBuiltin="1"/>
    <cellStyle name="Normal 9" xfId="6" xr:uid="{179DE12A-1191-4C18-8472-1C5A477B21D7}"/>
    <cellStyle name="標準 15" xfId="5" xr:uid="{378265A0-72BF-4A2C-83D5-5E443B70C504}"/>
    <cellStyle name="標準 2" xfId="1" xr:uid="{DC2DD0E7-330C-4F93-8C04-9786B17BDE6F}"/>
    <cellStyle name="標準 3" xfId="2" xr:uid="{BF09D621-79A2-4CC1-8548-932347031178}"/>
    <cellStyle name="標準 4" xfId="7" xr:uid="{354885F9-74ED-44B2-BB32-49D1698CE2C3}"/>
  </cellStyles>
  <dxfs count="0"/>
  <tableStyles count="0" defaultTableStyle="TableStyleMedium2" defaultPivotStyle="PivotStyleLight16"/>
  <colors>
    <mruColors>
      <color rgb="FFD9E1F2"/>
      <color rgb="FF333399"/>
      <color rgb="FFFFCC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7</xdr:col>
      <xdr:colOff>211666</xdr:colOff>
      <xdr:row>48</xdr:row>
      <xdr:rowOff>125076</xdr:rowOff>
    </xdr:from>
    <xdr:to>
      <xdr:col>7</xdr:col>
      <xdr:colOff>3377045</xdr:colOff>
      <xdr:row>57</xdr:row>
      <xdr:rowOff>67349</xdr:rowOff>
    </xdr:to>
    <xdr:sp macro="" textlink="">
      <xdr:nvSpPr>
        <xdr:cNvPr id="4" name="四角形: 角を丸くする 1">
          <a:extLst>
            <a:ext uri="{FF2B5EF4-FFF2-40B4-BE49-F238E27FC236}">
              <a16:creationId xmlns:a16="http://schemas.microsoft.com/office/drawing/2014/main" id="{2328F0F5-2C03-98CE-D8CF-D2E7EDFA84C5}"/>
            </a:ext>
          </a:extLst>
        </xdr:cNvPr>
        <xdr:cNvSpPr/>
      </xdr:nvSpPr>
      <xdr:spPr>
        <a:xfrm>
          <a:off x="4146742" y="8784167"/>
          <a:ext cx="3165379" cy="167409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インサート順</a:t>
          </a:r>
        </a:p>
      </xdr:txBody>
    </xdr:sp>
    <xdr:clientData/>
  </xdr:twoCellAnchor>
  <xdr:twoCellAnchor>
    <xdr:from>
      <xdr:col>7</xdr:col>
      <xdr:colOff>1327727</xdr:colOff>
      <xdr:row>338</xdr:row>
      <xdr:rowOff>105833</xdr:rowOff>
    </xdr:from>
    <xdr:to>
      <xdr:col>8</xdr:col>
      <xdr:colOff>0</xdr:colOff>
      <xdr:row>342</xdr:row>
      <xdr:rowOff>163560</xdr:rowOff>
    </xdr:to>
    <xdr:sp macro="" textlink="">
      <xdr:nvSpPr>
        <xdr:cNvPr id="13" name="四角形: 角を丸くする 2">
          <a:extLst>
            <a:ext uri="{FF2B5EF4-FFF2-40B4-BE49-F238E27FC236}">
              <a16:creationId xmlns:a16="http://schemas.microsoft.com/office/drawing/2014/main" id="{A327B1C6-5AF0-CADB-C322-ED07F2AD779F}"/>
            </a:ext>
          </a:extLst>
        </xdr:cNvPr>
        <xdr:cNvSpPr/>
      </xdr:nvSpPr>
      <xdr:spPr>
        <a:xfrm>
          <a:off x="5262803" y="89804394"/>
          <a:ext cx="3021061" cy="8274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SFTP</a:t>
          </a:r>
          <a:r>
            <a:rPr kumimoji="1" lang="ja-JP" altLang="en-US" sz="1100"/>
            <a:t>で、</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1142999</xdr:colOff>
      <xdr:row>20</xdr:row>
      <xdr:rowOff>66675</xdr:rowOff>
    </xdr:from>
    <xdr:to>
      <xdr:col>4</xdr:col>
      <xdr:colOff>409575</xdr:colOff>
      <xdr:row>23</xdr:row>
      <xdr:rowOff>95250</xdr:rowOff>
    </xdr:to>
    <xdr:sp macro="" textlink="">
      <xdr:nvSpPr>
        <xdr:cNvPr id="2" name="星: 32 pt 1">
          <a:extLst>
            <a:ext uri="{FF2B5EF4-FFF2-40B4-BE49-F238E27FC236}">
              <a16:creationId xmlns:a16="http://schemas.microsoft.com/office/drawing/2014/main" id="{3D072C59-914D-4185-8763-ED1D896D1323}"/>
            </a:ext>
          </a:extLst>
        </xdr:cNvPr>
        <xdr:cNvSpPr/>
      </xdr:nvSpPr>
      <xdr:spPr>
        <a:xfrm>
          <a:off x="2285999" y="4067175"/>
          <a:ext cx="1171576" cy="628650"/>
        </a:xfrm>
        <a:prstGeom prst="star32">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800">
              <a:latin typeface="Meiryo UI" panose="020B0604030504040204" pitchFamily="50" charset="-128"/>
              <a:ea typeface="Meiryo UI" panose="020B0604030504040204" pitchFamily="50" charset="-128"/>
            </a:rPr>
            <a:t>あやしい</a:t>
          </a:r>
        </a:p>
      </xdr:txBody>
    </xdr:sp>
    <xdr:clientData/>
  </xdr:twoCellAnchor>
  <xdr:twoCellAnchor>
    <xdr:from>
      <xdr:col>2</xdr:col>
      <xdr:colOff>1609724</xdr:colOff>
      <xdr:row>23</xdr:row>
      <xdr:rowOff>104775</xdr:rowOff>
    </xdr:from>
    <xdr:to>
      <xdr:col>5</xdr:col>
      <xdr:colOff>123825</xdr:colOff>
      <xdr:row>26</xdr:row>
      <xdr:rowOff>66675</xdr:rowOff>
    </xdr:to>
    <xdr:sp macro="" textlink="">
      <xdr:nvSpPr>
        <xdr:cNvPr id="3" name="星: 32 pt 2">
          <a:extLst>
            <a:ext uri="{FF2B5EF4-FFF2-40B4-BE49-F238E27FC236}">
              <a16:creationId xmlns:a16="http://schemas.microsoft.com/office/drawing/2014/main" id="{7C75F6CF-2190-458C-A4B9-A491B2407F55}"/>
            </a:ext>
          </a:extLst>
        </xdr:cNvPr>
        <xdr:cNvSpPr/>
      </xdr:nvSpPr>
      <xdr:spPr>
        <a:xfrm>
          <a:off x="2285999" y="4705350"/>
          <a:ext cx="1647826" cy="561975"/>
        </a:xfrm>
        <a:prstGeom prst="star32">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800">
              <a:latin typeface="Meiryo UI" panose="020B0604030504040204" pitchFamily="50" charset="-128"/>
              <a:ea typeface="Meiryo UI" panose="020B0604030504040204" pitchFamily="50" charset="-128"/>
            </a:rPr>
            <a:t>資料なし</a:t>
          </a:r>
        </a:p>
      </xdr:txBody>
    </xdr:sp>
    <xdr:clientData/>
  </xdr:twoCellAnchor>
  <xdr:twoCellAnchor>
    <xdr:from>
      <xdr:col>2</xdr:col>
      <xdr:colOff>209549</xdr:colOff>
      <xdr:row>12</xdr:row>
      <xdr:rowOff>114300</xdr:rowOff>
    </xdr:from>
    <xdr:to>
      <xdr:col>4</xdr:col>
      <xdr:colOff>238125</xdr:colOff>
      <xdr:row>16</xdr:row>
      <xdr:rowOff>142875</xdr:rowOff>
    </xdr:to>
    <xdr:sp macro="" textlink="">
      <xdr:nvSpPr>
        <xdr:cNvPr id="4" name="星: 32 pt 3">
          <a:extLst>
            <a:ext uri="{FF2B5EF4-FFF2-40B4-BE49-F238E27FC236}">
              <a16:creationId xmlns:a16="http://schemas.microsoft.com/office/drawing/2014/main" id="{52B5ADBC-C5A0-4917-B75C-F1C4CFFAA67A}"/>
            </a:ext>
          </a:extLst>
        </xdr:cNvPr>
        <xdr:cNvSpPr/>
      </xdr:nvSpPr>
      <xdr:spPr>
        <a:xfrm>
          <a:off x="1733549" y="2514600"/>
          <a:ext cx="1552576" cy="828675"/>
        </a:xfrm>
        <a:prstGeom prst="star32">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800">
              <a:latin typeface="Meiryo UI" panose="020B0604030504040204" pitchFamily="50" charset="-128"/>
              <a:ea typeface="Meiryo UI" panose="020B0604030504040204" pitchFamily="50" charset="-128"/>
            </a:rPr>
            <a:t>やっつけたい！</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8"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37_%E3%83%A1%E3%82%AC%E5%89%B2%E8%A8%AD%E5%AE%9A_20240813.xlsx?d=w950e92284a2e474cb85f12fd3b031fc5&amp;csf=1&amp;web=1&amp;e=HbgnY7" TargetMode="External"/><Relationship Id="rId13"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01_%E5%95%86%E5%93%81%E7%AE%A1%E7%90%86/10_%20%E6%A6%82%E8%A6%81%E6%A9%9F%E8%83%BD_%E7%94%BB%E9%9D%A2%E9%81%B7%E7%A7%BB_01_%E5%95%86%E5%93%81%E7%AE%A1%E7%90%86_20240724.xlsx?d=wf7ba40754c0e4e9095008c2f203620b5&amp;csf=1&amp;web=1&amp;e=sXppTT" TargetMode="External"/><Relationship Id="rId18"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68_%E3%82%B5%E3%82%A4%E3%83%88%E3%83%AD%E3%82%B0%E3%82%A4%E3%83%B3%E3%83%A6%E3%83%BC%E3%82%B6%E3%83%9E%E3%82%B9%E3%82%BF%E8%A8%AD%E5%AE%9A_20240723.xlsx?d=w00c62f66210f496b9a8eb1a8c9e3e75f&amp;csf=1&amp;web=1&amp;e=VaqGYP" TargetMode="External"/><Relationship Id="rId26"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38_%E6%9C%9D%E5%89%B2%E8%A8%AD%E5%AE%9A_20240813.xlsx?d=w711acf9e05084967aa023fd6b522c51e&amp;csf=1&amp;web=1&amp;e=mXk5pr" TargetMode="External"/><Relationship Id="rId3"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02_%E7%B7%8A%E6%80%A5%E5%A3%B2%E4%BE%A1%E5%A4%89%E6%9B%B4_20240729.xlsx?d=w24d90d259f7a41ceaeb506d8795c1044&amp;csf=1&amp;web=1&amp;e=bRMbvY" TargetMode="External"/><Relationship Id="rId21"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72_%E3%83%91%E3%82%B9%E3%83%AF%E3%83%BC%E3%83%89%E5%A4%89%E6%9B%B4/10_%E6%A6%82%E8%A6%81%E6%A9%9F%E8%83%BD_%E7%94%BB%E9%9D%A2%E9%81%B7%E7%A7%BB_72_%E3%83%91%E3%82%B9%E3%83%AF%E3%83%BC%E3%83%89%E5%A4%89%E6%9B%B4_20240611.xlsx?d=w8a1124260e1a4e68b963337d5a007118&amp;csf=1&amp;web=1&amp;e=mRQgXb" TargetMode="External"/><Relationship Id="rId7"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22_%E3%82%AF%E3%83%AC%E3%82%B8%E3%83%83%E3%83%88%E5%B0%8F%E8%A8%88%E5%89%B2%E5%BC%95%E8%A8%AD%E5%AE%9A/10_%E6%A6%82%E8%A6%81%E6%A9%9F%E8%83%BD_%E7%94%BB%E9%9D%A2%E9%81%B7%E7%A7%BB_22_%E3%82%AF%E3%83%AC%E3%82%B8%E3%83%83%E3%83%88%E5%B0%8F%E8%A8%88%E5%89%B2%E5%BC%95%E8%A8%AD%E5%AE%9A_20240613.xlsx?d=w7d6e3e3b305c494c862a6b1f7852d5b6&amp;csf=1&amp;web=1&amp;e=AaL29x" TargetMode="External"/><Relationship Id="rId12"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37_%E3%83%A1%E3%82%AC%E5%89%B2%E8%A8%AD%E5%AE%9A_20240813.xlsx?d=w950e92284a2e474cb85f12fd3b031fc5&amp;csf=1&amp;web=1&amp;e=HbgnY7" TargetMode="External"/><Relationship Id="rId17"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68_%E3%82%B5%E3%82%A4%E3%83%88%E3%83%AD%E3%82%B0%E3%82%A4%E3%83%B3%E3%83%A6%E3%83%BC%E3%82%B6%E3%83%9E%E3%82%B9%E3%82%BF%E8%A8%AD%E5%AE%9A_20240723.xlsx?d=w00c62f66210f496b9a8eb1a8c9e3e75f&amp;csf=1&amp;web=1&amp;e=VaqGYP" TargetMode="External"/><Relationship Id="rId25"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22_%E3%82%AF%E3%83%AC%E3%82%B8%E3%83%83%E3%83%88%E5%B0%8F%E8%A8%88%E5%89%B2%E5%BC%95%E8%A8%AD%E5%AE%9A/10_%E6%A6%82%E8%A6%81%E6%A9%9F%E8%83%BD_%E7%94%BB%E9%9D%A2%E9%81%B7%E7%A7%BB_22_%E3%82%AF%E3%83%AC%E3%82%B8%E3%83%83%E3%83%88%E5%B0%8F%E8%A8%88%E5%89%B2%E5%BC%95%E8%A8%AD%E5%AE%9A_20240613.xlsx?d=w7d6e3e3b305c494c862a6b1f7852d5b6&amp;csf=1&amp;web=1&amp;e=AaL29x" TargetMode="External"/><Relationship Id="rId2"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01_%E5%95%86%E5%93%81%E7%AE%A1%E7%90%86/10_%20%E6%A6%82%E8%A6%81%E6%A9%9F%E8%83%BD_%E7%94%BB%E9%9D%A2%E9%81%B7%E7%A7%BB_01_%E5%95%86%E5%93%81%E7%AE%A1%E7%90%86_20240724.xlsx?d=wf7ba40754c0e4e9095008c2f203620b5&amp;csf=1&amp;web=1&amp;e=sXppTT" TargetMode="External"/><Relationship Id="rId16"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X0_%E3%83%AD%E3%82%B0%E3%82%A4%E3%83%B3%E6%A9%9F%E8%83%BD_20240611.xlsx?d=w3f6bfde09e384b309dc709eab8155753&amp;csf=1&amp;web=1&amp;e=LL6cGj" TargetMode="External"/><Relationship Id="rId20"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81_%E9%87%A3%E9%8A%AD%E6%A9%9F%E8%AD%A6%E5%91%8A%E8%A8%AD%E5%AE%9A_20240723.xlsx?d=w409e5b6cc7ae422493ec559f685dbef5&amp;csf=1&amp;web=1&amp;e=afZ00G" TargetMode="External"/><Relationship Id="rId1"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X0_%E3%83%AD%E3%82%B0%E3%82%A4%E3%83%B3%E6%A9%9F%E8%83%BD_20240611.xlsx?d=w3f6bfde09e384b309dc709eab8155753&amp;csf=1&amp;web=1&amp;e=LL6cGj" TargetMode="External"/><Relationship Id="rId6"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10_%E3%83%97%E3%83%AD%E3%83%A2%E3%83%BC%E3%82%B7%E3%83%A7%E3%83%B3%E3%83%A1%E3%83%B3%E3%83%86_20240731.xlsx?d=w2831cbcfeae049b797eaf22986bac6a0&amp;csf=1&amp;web=1&amp;e=WL9uLh" TargetMode="External"/><Relationship Id="rId11"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38_%E6%9C%9D%E5%89%B2%E8%A8%AD%E5%AE%9A_20240813.xlsx?d=w711acf9e05084967aa023fd6b522c51e&amp;csf=1&amp;web=1&amp;e=mXk5pr" TargetMode="External"/><Relationship Id="rId24"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10_%E3%83%97%E3%83%AD%E3%83%A2%E3%83%BC%E3%82%B7%E3%83%A7%E3%83%B3%E3%83%A1%E3%83%B3%E3%83%86_20240731.xlsx?d=w2831cbcfeae049b797eaf22986bac6a0&amp;csf=1&amp;web=1&amp;e=WL9uLh" TargetMode="External"/><Relationship Id="rId5"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81_%E9%87%A3%E9%8A%AD%E6%A9%9F%E8%AD%A6%E5%91%8A%E8%A8%AD%E5%AE%9A_20240723.xlsx?d=w409e5b6cc7ae422493ec559f685dbef5&amp;csf=1&amp;web=1&amp;e=afZ00G" TargetMode="External"/><Relationship Id="rId15"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04_%E5%95%86%E5%93%81%E6%8E%A1%E7%94%A8%E5%BA%97%E8%88%97%E7%A2%BA%E8%AA%8D/10_%E6%A6%82%E8%A6%81%E6%A9%9F%E8%83%BD_%E7%94%BB%E9%9D%A2%E9%81%B7%E7%A7%BB_04_%E5%95%86%E5%93%81%E6%8E%A1%E7%94%A8%E5%BA%97%E8%88%97%E7%A2%BA%E8%AA%8D_20240530.xlsx?d=we05ae2b58e314116bbf9564226f8be6b&amp;csf=1&amp;web=1&amp;e=a1MMho" TargetMode="External"/><Relationship Id="rId23"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38_%E6%9C%9D%E5%89%B2%E8%A8%AD%E5%AE%9A_20240813.xlsx?d=w711acf9e05084967aa023fd6b522c51e&amp;csf=1&amp;web=1&amp;e=mXk5pr" TargetMode="External"/><Relationship Id="rId10"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38_%E6%9C%9D%E5%89%B2%E8%A8%AD%E5%AE%9A_20240813.xlsx?d=w711acf9e05084967aa023fd6b522c51e&amp;csf=1&amp;web=1&amp;e=mXk5pr" TargetMode="External"/><Relationship Id="rId19"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72_%E3%83%91%E3%82%B9%E3%83%AF%E3%83%BC%E3%83%89%E5%A4%89%E6%9B%B4/10_%E6%A6%82%E8%A6%81%E6%A9%9F%E8%83%BD_%E7%94%BB%E9%9D%A2%E9%81%B7%E7%A7%BB_72_%E3%83%91%E3%82%B9%E3%83%AF%E3%83%BC%E3%83%89%E5%A4%89%E6%9B%B4_20240611.xlsx?d=w8a1124260e1a4e68b963337d5a007118&amp;csf=1&amp;web=1&amp;e=mRQgXb" TargetMode="External"/><Relationship Id="rId4"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04_%E5%95%86%E5%93%81%E6%8E%A1%E7%94%A8%E5%BA%97%E8%88%97%E7%A2%BA%E8%AA%8D/10_%E6%A6%82%E8%A6%81%E6%A9%9F%E8%83%BD_%E7%94%BB%E9%9D%A2%E9%81%B7%E7%A7%BB_04_%E5%95%86%E5%93%81%E6%8E%A1%E7%94%A8%E5%BA%97%E8%88%97%E7%A2%BA%E8%AA%8D_20240530.xlsx?d=we05ae2b58e314116bbf9564226f8be6b&amp;csf=1&amp;web=1&amp;e=a1MMho" TargetMode="External"/><Relationship Id="rId9"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39_WAON%E3%83%9D%E3%82%A4%E3%83%B3%E3%83%88N%E5%80%8D%E8%A8%AD%E5%AE%9A/10_%E6%A6%82%E8%A6%81%E6%A9%9F%E8%83%BD_%E7%94%BB%E9%9D%A2%E9%81%B7%E7%A7%BB_39_WAON%E3%83%9D%E3%82%A4%E3%83%B3%E3%83%88N%E5%80%8D%E8%A8%AD%E5%AE%9A_20240606.xlsx?d=w29dd2eeefc7143c9858df07768364bb1&amp;csf=1&amp;web=1&amp;e=KNedc2" TargetMode="External"/><Relationship Id="rId14"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02_%E7%B7%8A%E6%80%A5%E5%A3%B2%E4%BE%A1%E5%A4%89%E6%9B%B4_20240729.xlsx?d=w24d90d259f7a41ceaeb506d8795c1044&amp;csf=1&amp;web=1&amp;e=bRMbvY" TargetMode="External"/><Relationship Id="rId22"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10_%E3%83%97%E3%83%AD%E3%83%A2%E3%83%BC%E3%82%B7%E3%83%A7%E3%83%B3%E3%83%A1%E3%83%B3%E3%83%86_20240731.xlsx?d=w2831cbcfeae049b797eaf22986bac6a0&amp;csf=1&amp;web=1&amp;e=WL9uLh" TargetMode="External"/><Relationship Id="rId27"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39_WAON%E3%83%9D%E3%82%A4%E3%83%B3%E3%83%88N%E5%80%8D%E8%A8%AD%E5%AE%9A/10_%E6%A6%82%E8%A6%81%E6%A9%9F%E8%83%BD_%E7%94%BB%E9%9D%A2%E9%81%B7%E7%A7%BB_39_WAON%E3%83%9D%E3%82%A4%E3%83%B3%E3%83%88N%E5%80%8D%E8%A8%AD%E5%AE%9A_20240606.xlsx?d=w29dd2eeefc7143c9858df07768364bb1&amp;csf=1&amp;web=1&amp;e=KNedc2"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9539F-E728-445B-8E90-E082458B427B}">
  <sheetPr>
    <pageSetUpPr fitToPage="1"/>
  </sheetPr>
  <dimension ref="A1:BK55"/>
  <sheetViews>
    <sheetView view="pageBreakPreview" zoomScale="75" zoomScaleNormal="75" zoomScaleSheetLayoutView="75" workbookViewId="0">
      <selection activeCell="G43" sqref="G43"/>
    </sheetView>
    <sheetView workbookViewId="1">
      <selection sqref="A1:J1"/>
    </sheetView>
  </sheetViews>
  <sheetFormatPr defaultColWidth="2.77734375" defaultRowHeight="15" customHeight="1"/>
  <sheetData>
    <row r="1" spans="1:63" ht="24.95" customHeight="1">
      <c r="A1" s="539" t="s">
        <v>0</v>
      </c>
      <c r="B1" s="540"/>
      <c r="C1" s="540"/>
      <c r="D1" s="540"/>
      <c r="E1" s="540"/>
      <c r="F1" s="540"/>
      <c r="G1" s="540"/>
      <c r="H1" s="540"/>
      <c r="I1" s="540"/>
      <c r="J1" s="541"/>
      <c r="K1" s="539" t="s">
        <v>1</v>
      </c>
      <c r="L1" s="540"/>
      <c r="M1" s="540"/>
      <c r="N1" s="540"/>
      <c r="O1" s="540"/>
      <c r="P1" s="540"/>
      <c r="Q1" s="540"/>
      <c r="R1" s="540"/>
      <c r="S1" s="540"/>
      <c r="T1" s="540"/>
      <c r="U1" s="540"/>
      <c r="V1" s="541"/>
      <c r="W1" s="548" t="s">
        <v>2</v>
      </c>
      <c r="X1" s="549"/>
      <c r="Y1" s="549"/>
      <c r="Z1" s="549"/>
      <c r="AA1" s="549"/>
      <c r="AB1" s="549"/>
      <c r="AC1" s="549"/>
      <c r="AD1" s="549"/>
      <c r="AE1" s="549"/>
      <c r="AF1" s="549"/>
      <c r="AG1" s="549"/>
      <c r="AH1" s="549"/>
      <c r="AI1" s="549"/>
      <c r="AJ1" s="549"/>
      <c r="AK1" s="549"/>
      <c r="AL1" s="549"/>
      <c r="AM1" s="549"/>
      <c r="AN1" s="549"/>
      <c r="AO1" s="550"/>
      <c r="AP1" s="539" t="s">
        <v>3</v>
      </c>
      <c r="AQ1" s="540"/>
      <c r="AR1" s="540"/>
      <c r="AS1" s="541"/>
      <c r="AT1" s="539" t="s">
        <v>4</v>
      </c>
      <c r="AU1" s="540"/>
      <c r="AV1" s="540"/>
      <c r="AW1" s="540"/>
      <c r="AX1" s="541"/>
      <c r="AY1" s="539" t="s">
        <v>5</v>
      </c>
      <c r="AZ1" s="540"/>
      <c r="BA1" s="540"/>
      <c r="BB1" s="541"/>
      <c r="BC1" s="539" t="s">
        <v>6</v>
      </c>
      <c r="BD1" s="540"/>
      <c r="BE1" s="540"/>
      <c r="BF1" s="540"/>
      <c r="BG1" s="541"/>
      <c r="BH1" s="539" t="s">
        <v>7</v>
      </c>
      <c r="BI1" s="540"/>
      <c r="BJ1" s="540"/>
      <c r="BK1" s="541"/>
    </row>
    <row r="2" spans="1:63" ht="15" customHeight="1">
      <c r="A2" s="542" t="s">
        <v>8</v>
      </c>
      <c r="B2" s="543"/>
      <c r="C2" s="543"/>
      <c r="D2" s="543"/>
      <c r="E2" s="543"/>
      <c r="F2" s="543"/>
      <c r="G2" s="543"/>
      <c r="H2" s="543"/>
      <c r="I2" s="543"/>
      <c r="J2" s="544"/>
      <c r="K2" s="542" t="s">
        <v>9</v>
      </c>
      <c r="L2" s="543"/>
      <c r="M2" s="543"/>
      <c r="N2" s="543"/>
      <c r="O2" s="543"/>
      <c r="P2" s="543"/>
      <c r="Q2" s="543"/>
      <c r="R2" s="543"/>
      <c r="S2" s="543"/>
      <c r="T2" s="543"/>
      <c r="U2" s="543"/>
      <c r="V2" s="544"/>
      <c r="W2" s="551"/>
      <c r="X2" s="552"/>
      <c r="Y2" s="552"/>
      <c r="Z2" s="552"/>
      <c r="AA2" s="552"/>
      <c r="AB2" s="552"/>
      <c r="AC2" s="552"/>
      <c r="AD2" s="552"/>
      <c r="AE2" s="552"/>
      <c r="AF2" s="552"/>
      <c r="AG2" s="552"/>
      <c r="AH2" s="552"/>
      <c r="AI2" s="552"/>
      <c r="AJ2" s="552"/>
      <c r="AK2" s="552"/>
      <c r="AL2" s="552"/>
      <c r="AM2" s="552"/>
      <c r="AN2" s="552"/>
      <c r="AO2" s="553"/>
      <c r="AP2" s="542" t="s">
        <v>10</v>
      </c>
      <c r="AQ2" s="543"/>
      <c r="AR2" s="543"/>
      <c r="AS2" s="544"/>
      <c r="AT2" s="563">
        <f>改廃履歴!$B$11</f>
        <v>45532</v>
      </c>
      <c r="AU2" s="564"/>
      <c r="AV2" s="564"/>
      <c r="AW2" s="564"/>
      <c r="AX2" s="565"/>
      <c r="AY2" s="542"/>
      <c r="AZ2" s="543"/>
      <c r="BA2" s="543"/>
      <c r="BB2" s="544"/>
      <c r="BC2" s="563"/>
      <c r="BD2" s="564"/>
      <c r="BE2" s="564"/>
      <c r="BF2" s="564"/>
      <c r="BG2" s="565"/>
      <c r="BH2" s="557">
        <f>LOOKUP(2,1/(改廃履歴!O11:O30000&lt;&gt;""),改廃履歴!O11:O30000)</f>
        <v>0.31</v>
      </c>
      <c r="BI2" s="558"/>
      <c r="BJ2" s="558"/>
      <c r="BK2" s="559"/>
    </row>
    <row r="3" spans="1:63" ht="15" customHeight="1">
      <c r="A3" s="545"/>
      <c r="B3" s="546"/>
      <c r="C3" s="546"/>
      <c r="D3" s="546"/>
      <c r="E3" s="546"/>
      <c r="F3" s="546"/>
      <c r="G3" s="546"/>
      <c r="H3" s="546"/>
      <c r="I3" s="546"/>
      <c r="J3" s="547"/>
      <c r="K3" s="545"/>
      <c r="L3" s="546"/>
      <c r="M3" s="546"/>
      <c r="N3" s="546"/>
      <c r="O3" s="546"/>
      <c r="P3" s="546"/>
      <c r="Q3" s="546"/>
      <c r="R3" s="546"/>
      <c r="S3" s="546"/>
      <c r="T3" s="546"/>
      <c r="U3" s="546"/>
      <c r="V3" s="547"/>
      <c r="W3" s="554"/>
      <c r="X3" s="555"/>
      <c r="Y3" s="555"/>
      <c r="Z3" s="555"/>
      <c r="AA3" s="555"/>
      <c r="AB3" s="555"/>
      <c r="AC3" s="555"/>
      <c r="AD3" s="555"/>
      <c r="AE3" s="555"/>
      <c r="AF3" s="555"/>
      <c r="AG3" s="555"/>
      <c r="AH3" s="555"/>
      <c r="AI3" s="555"/>
      <c r="AJ3" s="555"/>
      <c r="AK3" s="555"/>
      <c r="AL3" s="555"/>
      <c r="AM3" s="555"/>
      <c r="AN3" s="555"/>
      <c r="AO3" s="556"/>
      <c r="AP3" s="545"/>
      <c r="AQ3" s="546"/>
      <c r="AR3" s="546"/>
      <c r="AS3" s="547"/>
      <c r="AT3" s="566"/>
      <c r="AU3" s="567"/>
      <c r="AV3" s="567"/>
      <c r="AW3" s="567"/>
      <c r="AX3" s="568"/>
      <c r="AY3" s="545"/>
      <c r="AZ3" s="546"/>
      <c r="BA3" s="546"/>
      <c r="BB3" s="547"/>
      <c r="BC3" s="566"/>
      <c r="BD3" s="567"/>
      <c r="BE3" s="567"/>
      <c r="BF3" s="567"/>
      <c r="BG3" s="568"/>
      <c r="BH3" s="560"/>
      <c r="BI3" s="561"/>
      <c r="BJ3" s="561"/>
      <c r="BK3" s="562"/>
    </row>
    <row r="4" spans="1:63" ht="24.95" customHeight="1">
      <c r="A4" s="539" t="s">
        <v>11</v>
      </c>
      <c r="B4" s="540"/>
      <c r="C4" s="540"/>
      <c r="D4" s="540"/>
      <c r="E4" s="540"/>
      <c r="F4" s="540"/>
      <c r="G4" s="541"/>
      <c r="H4" s="536" t="s">
        <v>12</v>
      </c>
      <c r="I4" s="537"/>
      <c r="J4" s="537"/>
      <c r="K4" s="537"/>
      <c r="L4" s="537"/>
      <c r="M4" s="537"/>
      <c r="N4" s="537"/>
      <c r="O4" s="537"/>
      <c r="P4" s="537"/>
      <c r="Q4" s="537"/>
      <c r="R4" s="537"/>
      <c r="S4" s="537"/>
      <c r="T4" s="538"/>
      <c r="U4" s="539" t="s">
        <v>13</v>
      </c>
      <c r="V4" s="540"/>
      <c r="W4" s="540"/>
      <c r="X4" s="540"/>
      <c r="Y4" s="541"/>
      <c r="Z4" s="536" t="s">
        <v>14</v>
      </c>
      <c r="AA4" s="537"/>
      <c r="AB4" s="537"/>
      <c r="AC4" s="537"/>
      <c r="AD4" s="537"/>
      <c r="AE4" s="537"/>
      <c r="AF4" s="537"/>
      <c r="AG4" s="537"/>
      <c r="AH4" s="537"/>
      <c r="AI4" s="537"/>
      <c r="AJ4" s="537"/>
      <c r="AK4" s="537"/>
      <c r="AL4" s="537"/>
      <c r="AM4" s="537"/>
      <c r="AN4" s="537"/>
      <c r="AO4" s="538"/>
      <c r="AP4" s="536" t="e" cm="1">
        <f t="array" aca="1" ref="AP4" ca="1">RIGHT(CELL("filename",$A$1),LEN(CELL("filename",$A$1))-FIND("]",CELL("filename",$A$1)))</f>
        <v>#VALUE!</v>
      </c>
      <c r="AQ4" s="537"/>
      <c r="AR4" s="537"/>
      <c r="AS4" s="537"/>
      <c r="AT4" s="537"/>
      <c r="AU4" s="537"/>
      <c r="AV4" s="537"/>
      <c r="AW4" s="537"/>
      <c r="AX4" s="537"/>
      <c r="AY4" s="537"/>
      <c r="AZ4" s="537"/>
      <c r="BA4" s="537"/>
      <c r="BB4" s="537"/>
      <c r="BC4" s="537"/>
      <c r="BD4" s="537"/>
      <c r="BE4" s="537"/>
      <c r="BF4" s="537"/>
      <c r="BG4" s="537"/>
      <c r="BH4" s="537"/>
      <c r="BI4" s="537"/>
      <c r="BJ4" s="537"/>
      <c r="BK4" s="53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K8" s="4"/>
    </row>
    <row r="9" spans="1:63" ht="15" customHeight="1">
      <c r="A9" s="1"/>
      <c r="BK9" s="4"/>
    </row>
    <row r="10" spans="1:63" ht="15" customHeight="1">
      <c r="A10" s="1"/>
      <c r="BK10" s="4"/>
    </row>
    <row r="11" spans="1:63" ht="15" customHeight="1">
      <c r="A11" s="1"/>
      <c r="BK11" s="4"/>
    </row>
    <row r="12" spans="1:63" ht="15" customHeight="1">
      <c r="A12" s="1"/>
      <c r="BK12" s="4"/>
    </row>
    <row r="13" spans="1:63" ht="15" customHeight="1">
      <c r="A13" s="1"/>
      <c r="BK13" s="4"/>
    </row>
    <row r="14" spans="1:63" ht="15" customHeight="1" thickBot="1">
      <c r="A14" s="1"/>
      <c r="BK14" s="4"/>
    </row>
    <row r="15" spans="1:63" ht="15" customHeight="1" thickTop="1">
      <c r="A15" s="1"/>
      <c r="K15" s="7"/>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11"/>
      <c r="BK15" s="4"/>
    </row>
    <row r="16" spans="1:63" ht="15" customHeight="1">
      <c r="A16" s="1"/>
      <c r="K16" s="6"/>
      <c r="L16" s="569" t="s">
        <v>15</v>
      </c>
      <c r="M16" s="569"/>
      <c r="N16" s="569"/>
      <c r="O16" s="569"/>
      <c r="P16" s="569"/>
      <c r="Q16" s="569"/>
      <c r="R16" s="569"/>
      <c r="S16" s="569"/>
      <c r="T16" s="569"/>
      <c r="U16" s="569"/>
      <c r="V16" s="569"/>
      <c r="W16" s="569"/>
      <c r="X16" s="569"/>
      <c r="Y16" s="569"/>
      <c r="Z16" s="569"/>
      <c r="AA16" s="569"/>
      <c r="AB16" s="569"/>
      <c r="AC16" s="569"/>
      <c r="AD16" s="569"/>
      <c r="AE16" s="569"/>
      <c r="AF16" s="569"/>
      <c r="AG16" s="569"/>
      <c r="AH16" s="569"/>
      <c r="AI16" s="569"/>
      <c r="AJ16" s="569"/>
      <c r="AK16" s="569"/>
      <c r="AL16" s="569"/>
      <c r="AM16" s="569"/>
      <c r="AN16" s="569"/>
      <c r="AO16" s="569"/>
      <c r="AP16" s="569"/>
      <c r="AQ16" s="569"/>
      <c r="AR16" s="569"/>
      <c r="AS16" s="569"/>
      <c r="AT16" s="569"/>
      <c r="AU16" s="569"/>
      <c r="AV16" s="569"/>
      <c r="AW16" s="569"/>
      <c r="AX16" s="569"/>
      <c r="AY16" s="569"/>
      <c r="AZ16" s="569"/>
      <c r="BA16" s="12"/>
      <c r="BK16" s="4"/>
    </row>
    <row r="17" spans="1:63" ht="15" customHeight="1">
      <c r="A17" s="1"/>
      <c r="K17" s="6"/>
      <c r="L17" s="569"/>
      <c r="M17" s="569"/>
      <c r="N17" s="569"/>
      <c r="O17" s="569"/>
      <c r="P17" s="569"/>
      <c r="Q17" s="569"/>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c r="AX17" s="569"/>
      <c r="AY17" s="569"/>
      <c r="AZ17" s="569"/>
      <c r="BA17" s="12"/>
      <c r="BK17" s="4"/>
    </row>
    <row r="18" spans="1:63" ht="15" customHeight="1">
      <c r="A18" s="1"/>
      <c r="K18" s="6"/>
      <c r="L18" s="569"/>
      <c r="M18" s="569"/>
      <c r="N18" s="569"/>
      <c r="O18" s="569"/>
      <c r="P18" s="569"/>
      <c r="Q18" s="569"/>
      <c r="R18" s="569"/>
      <c r="S18" s="569"/>
      <c r="T18" s="569"/>
      <c r="U18" s="569"/>
      <c r="V18" s="569"/>
      <c r="W18" s="569"/>
      <c r="X18" s="569"/>
      <c r="Y18" s="569"/>
      <c r="Z18" s="569"/>
      <c r="AA18" s="569"/>
      <c r="AB18" s="569"/>
      <c r="AC18" s="569"/>
      <c r="AD18" s="569"/>
      <c r="AE18" s="569"/>
      <c r="AF18" s="569"/>
      <c r="AG18" s="569"/>
      <c r="AH18" s="569"/>
      <c r="AI18" s="569"/>
      <c r="AJ18" s="569"/>
      <c r="AK18" s="569"/>
      <c r="AL18" s="569"/>
      <c r="AM18" s="569"/>
      <c r="AN18" s="569"/>
      <c r="AO18" s="569"/>
      <c r="AP18" s="569"/>
      <c r="AQ18" s="569"/>
      <c r="AR18" s="569"/>
      <c r="AS18" s="569"/>
      <c r="AT18" s="569"/>
      <c r="AU18" s="569"/>
      <c r="AV18" s="569"/>
      <c r="AW18" s="569"/>
      <c r="AX18" s="569"/>
      <c r="AY18" s="569"/>
      <c r="AZ18" s="569"/>
      <c r="BA18" s="12"/>
      <c r="BK18" s="4"/>
    </row>
    <row r="19" spans="1:63" ht="15" customHeight="1">
      <c r="A19" s="1"/>
      <c r="K19" s="6"/>
      <c r="L19" s="569"/>
      <c r="M19" s="569"/>
      <c r="N19" s="569"/>
      <c r="O19" s="569"/>
      <c r="P19" s="569"/>
      <c r="Q19" s="569"/>
      <c r="R19" s="569"/>
      <c r="S19" s="569"/>
      <c r="T19" s="569"/>
      <c r="U19" s="569"/>
      <c r="V19" s="569"/>
      <c r="W19" s="569"/>
      <c r="X19" s="569"/>
      <c r="Y19" s="569"/>
      <c r="Z19" s="569"/>
      <c r="AA19" s="569"/>
      <c r="AB19" s="569"/>
      <c r="AC19" s="569"/>
      <c r="AD19" s="569"/>
      <c r="AE19" s="569"/>
      <c r="AF19" s="569"/>
      <c r="AG19" s="569"/>
      <c r="AH19" s="569"/>
      <c r="AI19" s="569"/>
      <c r="AJ19" s="569"/>
      <c r="AK19" s="569"/>
      <c r="AL19" s="569"/>
      <c r="AM19" s="569"/>
      <c r="AN19" s="569"/>
      <c r="AO19" s="569"/>
      <c r="AP19" s="569"/>
      <c r="AQ19" s="569"/>
      <c r="AR19" s="569"/>
      <c r="AS19" s="569"/>
      <c r="AT19" s="569"/>
      <c r="AU19" s="569"/>
      <c r="AV19" s="569"/>
      <c r="AW19" s="569"/>
      <c r="AX19" s="569"/>
      <c r="AY19" s="569"/>
      <c r="AZ19" s="569"/>
      <c r="BA19" s="12"/>
      <c r="BK19" s="4"/>
    </row>
    <row r="20" spans="1:63" ht="15" customHeight="1">
      <c r="A20" s="1"/>
      <c r="K20" s="6"/>
      <c r="L20" s="569"/>
      <c r="M20" s="569"/>
      <c r="N20" s="569"/>
      <c r="O20" s="569"/>
      <c r="P20" s="569"/>
      <c r="Q20" s="569"/>
      <c r="R20" s="569"/>
      <c r="S20" s="569"/>
      <c r="T20" s="569"/>
      <c r="U20" s="569"/>
      <c r="V20" s="569"/>
      <c r="W20" s="569"/>
      <c r="X20" s="569"/>
      <c r="Y20" s="569"/>
      <c r="Z20" s="569"/>
      <c r="AA20" s="569"/>
      <c r="AB20" s="569"/>
      <c r="AC20" s="569"/>
      <c r="AD20" s="569"/>
      <c r="AE20" s="569"/>
      <c r="AF20" s="569"/>
      <c r="AG20" s="569"/>
      <c r="AH20" s="569"/>
      <c r="AI20" s="569"/>
      <c r="AJ20" s="569"/>
      <c r="AK20" s="569"/>
      <c r="AL20" s="569"/>
      <c r="AM20" s="569"/>
      <c r="AN20" s="569"/>
      <c r="AO20" s="569"/>
      <c r="AP20" s="569"/>
      <c r="AQ20" s="569"/>
      <c r="AR20" s="569"/>
      <c r="AS20" s="569"/>
      <c r="AT20" s="569"/>
      <c r="AU20" s="569"/>
      <c r="AV20" s="569"/>
      <c r="AW20" s="569"/>
      <c r="AX20" s="569"/>
      <c r="AY20" s="569"/>
      <c r="AZ20" s="569"/>
      <c r="BA20" s="12"/>
      <c r="BK20" s="4"/>
    </row>
    <row r="21" spans="1:63" ht="15" customHeight="1">
      <c r="A21" s="1"/>
      <c r="K21" s="6"/>
      <c r="L21" s="569"/>
      <c r="M21" s="569"/>
      <c r="N21" s="569"/>
      <c r="O21" s="569"/>
      <c r="P21" s="569"/>
      <c r="Q21" s="569"/>
      <c r="R21" s="569"/>
      <c r="S21" s="569"/>
      <c r="T21" s="569"/>
      <c r="U21" s="569"/>
      <c r="V21" s="569"/>
      <c r="W21" s="569"/>
      <c r="X21" s="569"/>
      <c r="Y21" s="569"/>
      <c r="Z21" s="569"/>
      <c r="AA21" s="569"/>
      <c r="AB21" s="569"/>
      <c r="AC21" s="569"/>
      <c r="AD21" s="569"/>
      <c r="AE21" s="569"/>
      <c r="AF21" s="569"/>
      <c r="AG21" s="569"/>
      <c r="AH21" s="569"/>
      <c r="AI21" s="569"/>
      <c r="AJ21" s="569"/>
      <c r="AK21" s="569"/>
      <c r="AL21" s="569"/>
      <c r="AM21" s="569"/>
      <c r="AN21" s="569"/>
      <c r="AO21" s="569"/>
      <c r="AP21" s="569"/>
      <c r="AQ21" s="569"/>
      <c r="AR21" s="569"/>
      <c r="AS21" s="569"/>
      <c r="AT21" s="569"/>
      <c r="AU21" s="569"/>
      <c r="AV21" s="569"/>
      <c r="AW21" s="569"/>
      <c r="AX21" s="569"/>
      <c r="AY21" s="569"/>
      <c r="AZ21" s="569"/>
      <c r="BA21" s="12"/>
      <c r="BK21" s="4"/>
    </row>
    <row r="22" spans="1:63" ht="15" customHeight="1" thickBot="1">
      <c r="A22" s="1"/>
      <c r="K22" s="6"/>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2"/>
      <c r="BK22" s="4"/>
    </row>
    <row r="23" spans="1:63" ht="15" customHeight="1">
      <c r="A23" s="1"/>
      <c r="K23" s="6"/>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2"/>
      <c r="BK23" s="4"/>
    </row>
    <row r="24" spans="1:63" ht="15" customHeight="1">
      <c r="A24" s="1"/>
      <c r="K24" s="6"/>
      <c r="L24" s="569" t="str">
        <f>K2&amp;"/"&amp;H4&amp;"/"&amp;Z4</f>
        <v>全般/機能一覧/いなげや様向け</v>
      </c>
      <c r="M24" s="569"/>
      <c r="N24" s="569"/>
      <c r="O24" s="569"/>
      <c r="P24" s="569"/>
      <c r="Q24" s="569"/>
      <c r="R24" s="569"/>
      <c r="S24" s="569"/>
      <c r="T24" s="569"/>
      <c r="U24" s="569"/>
      <c r="V24" s="569"/>
      <c r="W24" s="569"/>
      <c r="X24" s="569"/>
      <c r="Y24" s="569"/>
      <c r="Z24" s="569"/>
      <c r="AA24" s="569"/>
      <c r="AB24" s="569"/>
      <c r="AC24" s="569"/>
      <c r="AD24" s="569"/>
      <c r="AE24" s="569"/>
      <c r="AF24" s="569"/>
      <c r="AG24" s="569"/>
      <c r="AH24" s="569"/>
      <c r="AI24" s="569"/>
      <c r="AJ24" s="569"/>
      <c r="AK24" s="569"/>
      <c r="AL24" s="569"/>
      <c r="AM24" s="569"/>
      <c r="AN24" s="569"/>
      <c r="AO24" s="569"/>
      <c r="AP24" s="569"/>
      <c r="AQ24" s="569"/>
      <c r="AR24" s="569"/>
      <c r="AS24" s="569"/>
      <c r="AT24" s="569"/>
      <c r="AU24" s="569"/>
      <c r="AV24" s="569"/>
      <c r="AW24" s="569"/>
      <c r="AX24" s="569"/>
      <c r="AY24" s="569"/>
      <c r="AZ24" s="569"/>
      <c r="BA24" s="12"/>
      <c r="BK24" s="4"/>
    </row>
    <row r="25" spans="1:63" ht="15" customHeight="1">
      <c r="A25" s="1"/>
      <c r="K25" s="6"/>
      <c r="L25" s="569"/>
      <c r="M25" s="569"/>
      <c r="N25" s="569"/>
      <c r="O25" s="569"/>
      <c r="P25" s="569"/>
      <c r="Q25" s="569"/>
      <c r="R25" s="569"/>
      <c r="S25" s="569"/>
      <c r="T25" s="569"/>
      <c r="U25" s="569"/>
      <c r="V25" s="569"/>
      <c r="W25" s="569"/>
      <c r="X25" s="569"/>
      <c r="Y25" s="569"/>
      <c r="Z25" s="569"/>
      <c r="AA25" s="569"/>
      <c r="AB25" s="569"/>
      <c r="AC25" s="569"/>
      <c r="AD25" s="569"/>
      <c r="AE25" s="569"/>
      <c r="AF25" s="569"/>
      <c r="AG25" s="569"/>
      <c r="AH25" s="569"/>
      <c r="AI25" s="569"/>
      <c r="AJ25" s="569"/>
      <c r="AK25" s="569"/>
      <c r="AL25" s="569"/>
      <c r="AM25" s="569"/>
      <c r="AN25" s="569"/>
      <c r="AO25" s="569"/>
      <c r="AP25" s="569"/>
      <c r="AQ25" s="569"/>
      <c r="AR25" s="569"/>
      <c r="AS25" s="569"/>
      <c r="AT25" s="569"/>
      <c r="AU25" s="569"/>
      <c r="AV25" s="569"/>
      <c r="AW25" s="569"/>
      <c r="AX25" s="569"/>
      <c r="AY25" s="569"/>
      <c r="AZ25" s="569"/>
      <c r="BA25" s="12"/>
      <c r="BK25" s="4"/>
    </row>
    <row r="26" spans="1:63" ht="15" customHeight="1">
      <c r="A26" s="1"/>
      <c r="K26" s="6"/>
      <c r="L26" s="569"/>
      <c r="M26" s="569"/>
      <c r="N26" s="569"/>
      <c r="O26" s="569"/>
      <c r="P26" s="569"/>
      <c r="Q26" s="569"/>
      <c r="R26" s="569"/>
      <c r="S26" s="569"/>
      <c r="T26" s="569"/>
      <c r="U26" s="569"/>
      <c r="V26" s="569"/>
      <c r="W26" s="569"/>
      <c r="X26" s="569"/>
      <c r="Y26" s="569"/>
      <c r="Z26" s="569"/>
      <c r="AA26" s="569"/>
      <c r="AB26" s="569"/>
      <c r="AC26" s="569"/>
      <c r="AD26" s="569"/>
      <c r="AE26" s="569"/>
      <c r="AF26" s="569"/>
      <c r="AG26" s="569"/>
      <c r="AH26" s="569"/>
      <c r="AI26" s="569"/>
      <c r="AJ26" s="569"/>
      <c r="AK26" s="569"/>
      <c r="AL26" s="569"/>
      <c r="AM26" s="569"/>
      <c r="AN26" s="569"/>
      <c r="AO26" s="569"/>
      <c r="AP26" s="569"/>
      <c r="AQ26" s="569"/>
      <c r="AR26" s="569"/>
      <c r="AS26" s="569"/>
      <c r="AT26" s="569"/>
      <c r="AU26" s="569"/>
      <c r="AV26" s="569"/>
      <c r="AW26" s="569"/>
      <c r="AX26" s="569"/>
      <c r="AY26" s="569"/>
      <c r="AZ26" s="569"/>
      <c r="BA26" s="12"/>
      <c r="BK26" s="4"/>
    </row>
    <row r="27" spans="1:63" ht="15" customHeight="1">
      <c r="A27" s="1"/>
      <c r="K27" s="6"/>
      <c r="L27" s="569"/>
      <c r="M27" s="569"/>
      <c r="N27" s="569"/>
      <c r="O27" s="569"/>
      <c r="P27" s="569"/>
      <c r="Q27" s="569"/>
      <c r="R27" s="569"/>
      <c r="S27" s="569"/>
      <c r="T27" s="569"/>
      <c r="U27" s="569"/>
      <c r="V27" s="569"/>
      <c r="W27" s="569"/>
      <c r="X27" s="569"/>
      <c r="Y27" s="569"/>
      <c r="Z27" s="569"/>
      <c r="AA27" s="569"/>
      <c r="AB27" s="569"/>
      <c r="AC27" s="569"/>
      <c r="AD27" s="569"/>
      <c r="AE27" s="569"/>
      <c r="AF27" s="569"/>
      <c r="AG27" s="569"/>
      <c r="AH27" s="569"/>
      <c r="AI27" s="569"/>
      <c r="AJ27" s="569"/>
      <c r="AK27" s="569"/>
      <c r="AL27" s="569"/>
      <c r="AM27" s="569"/>
      <c r="AN27" s="569"/>
      <c r="AO27" s="569"/>
      <c r="AP27" s="569"/>
      <c r="AQ27" s="569"/>
      <c r="AR27" s="569"/>
      <c r="AS27" s="569"/>
      <c r="AT27" s="569"/>
      <c r="AU27" s="569"/>
      <c r="AV27" s="569"/>
      <c r="AW27" s="569"/>
      <c r="AX27" s="569"/>
      <c r="AY27" s="569"/>
      <c r="AZ27" s="569"/>
      <c r="BA27" s="12"/>
      <c r="BK27" s="4"/>
    </row>
    <row r="28" spans="1:63" ht="15" customHeight="1">
      <c r="A28" s="1"/>
      <c r="K28" s="6"/>
      <c r="L28" s="569"/>
      <c r="M28" s="569"/>
      <c r="N28" s="569"/>
      <c r="O28" s="569"/>
      <c r="P28" s="569"/>
      <c r="Q28" s="569"/>
      <c r="R28" s="569"/>
      <c r="S28" s="569"/>
      <c r="T28" s="569"/>
      <c r="U28" s="569"/>
      <c r="V28" s="569"/>
      <c r="W28" s="569"/>
      <c r="X28" s="569"/>
      <c r="Y28" s="569"/>
      <c r="Z28" s="569"/>
      <c r="AA28" s="569"/>
      <c r="AB28" s="569"/>
      <c r="AC28" s="569"/>
      <c r="AD28" s="569"/>
      <c r="AE28" s="569"/>
      <c r="AF28" s="569"/>
      <c r="AG28" s="569"/>
      <c r="AH28" s="569"/>
      <c r="AI28" s="569"/>
      <c r="AJ28" s="569"/>
      <c r="AK28" s="569"/>
      <c r="AL28" s="569"/>
      <c r="AM28" s="569"/>
      <c r="AN28" s="569"/>
      <c r="AO28" s="569"/>
      <c r="AP28" s="569"/>
      <c r="AQ28" s="569"/>
      <c r="AR28" s="569"/>
      <c r="AS28" s="569"/>
      <c r="AT28" s="569"/>
      <c r="AU28" s="569"/>
      <c r="AV28" s="569"/>
      <c r="AW28" s="569"/>
      <c r="AX28" s="569"/>
      <c r="AY28" s="569"/>
      <c r="AZ28" s="569"/>
      <c r="BA28" s="12"/>
      <c r="BK28" s="4"/>
    </row>
    <row r="29" spans="1:63" ht="15" customHeight="1">
      <c r="A29" s="1"/>
      <c r="K29" s="6"/>
      <c r="L29" s="569"/>
      <c r="M29" s="569"/>
      <c r="N29" s="569"/>
      <c r="O29" s="569"/>
      <c r="P29" s="569"/>
      <c r="Q29" s="569"/>
      <c r="R29" s="569"/>
      <c r="S29" s="569"/>
      <c r="T29" s="569"/>
      <c r="U29" s="569"/>
      <c r="V29" s="569"/>
      <c r="W29" s="569"/>
      <c r="X29" s="569"/>
      <c r="Y29" s="569"/>
      <c r="Z29" s="569"/>
      <c r="AA29" s="569"/>
      <c r="AB29" s="569"/>
      <c r="AC29" s="569"/>
      <c r="AD29" s="569"/>
      <c r="AE29" s="569"/>
      <c r="AF29" s="569"/>
      <c r="AG29" s="569"/>
      <c r="AH29" s="569"/>
      <c r="AI29" s="569"/>
      <c r="AJ29" s="569"/>
      <c r="AK29" s="569"/>
      <c r="AL29" s="569"/>
      <c r="AM29" s="569"/>
      <c r="AN29" s="569"/>
      <c r="AO29" s="569"/>
      <c r="AP29" s="569"/>
      <c r="AQ29" s="569"/>
      <c r="AR29" s="569"/>
      <c r="AS29" s="569"/>
      <c r="AT29" s="569"/>
      <c r="AU29" s="569"/>
      <c r="AV29" s="569"/>
      <c r="AW29" s="569"/>
      <c r="AX29" s="569"/>
      <c r="AY29" s="569"/>
      <c r="AZ29" s="569"/>
      <c r="BA29" s="12"/>
      <c r="BK29" s="4"/>
    </row>
    <row r="30" spans="1:63" ht="15" customHeight="1">
      <c r="A30" s="1"/>
      <c r="K30" s="6"/>
      <c r="L30" s="569"/>
      <c r="M30" s="569"/>
      <c r="N30" s="569"/>
      <c r="O30" s="569"/>
      <c r="P30" s="569"/>
      <c r="Q30" s="569"/>
      <c r="R30" s="569"/>
      <c r="S30" s="569"/>
      <c r="T30" s="569"/>
      <c r="U30" s="569"/>
      <c r="V30" s="569"/>
      <c r="W30" s="569"/>
      <c r="X30" s="569"/>
      <c r="Y30" s="569"/>
      <c r="Z30" s="569"/>
      <c r="AA30" s="569"/>
      <c r="AB30" s="569"/>
      <c r="AC30" s="569"/>
      <c r="AD30" s="569"/>
      <c r="AE30" s="569"/>
      <c r="AF30" s="569"/>
      <c r="AG30" s="569"/>
      <c r="AH30" s="569"/>
      <c r="AI30" s="569"/>
      <c r="AJ30" s="569"/>
      <c r="AK30" s="569"/>
      <c r="AL30" s="569"/>
      <c r="AM30" s="569"/>
      <c r="AN30" s="569"/>
      <c r="AO30" s="569"/>
      <c r="AP30" s="569"/>
      <c r="AQ30" s="569"/>
      <c r="AR30" s="569"/>
      <c r="AS30" s="569"/>
      <c r="AT30" s="569"/>
      <c r="AU30" s="569"/>
      <c r="AV30" s="569"/>
      <c r="AW30" s="569"/>
      <c r="AX30" s="569"/>
      <c r="AY30" s="569"/>
      <c r="AZ30" s="569"/>
      <c r="BA30" s="12"/>
      <c r="BK30" s="4"/>
    </row>
    <row r="31" spans="1:63" ht="15" customHeight="1">
      <c r="A31" s="1"/>
      <c r="K31" s="6"/>
      <c r="L31" s="569"/>
      <c r="M31" s="569"/>
      <c r="N31" s="569"/>
      <c r="O31" s="569"/>
      <c r="P31" s="569"/>
      <c r="Q31" s="569"/>
      <c r="R31" s="569"/>
      <c r="S31" s="569"/>
      <c r="T31" s="569"/>
      <c r="U31" s="569"/>
      <c r="V31" s="569"/>
      <c r="W31" s="569"/>
      <c r="X31" s="569"/>
      <c r="Y31" s="569"/>
      <c r="Z31" s="569"/>
      <c r="AA31" s="569"/>
      <c r="AB31" s="569"/>
      <c r="AC31" s="569"/>
      <c r="AD31" s="569"/>
      <c r="AE31" s="569"/>
      <c r="AF31" s="569"/>
      <c r="AG31" s="569"/>
      <c r="AH31" s="569"/>
      <c r="AI31" s="569"/>
      <c r="AJ31" s="569"/>
      <c r="AK31" s="569"/>
      <c r="AL31" s="569"/>
      <c r="AM31" s="569"/>
      <c r="AN31" s="569"/>
      <c r="AO31" s="569"/>
      <c r="AP31" s="569"/>
      <c r="AQ31" s="569"/>
      <c r="AR31" s="569"/>
      <c r="AS31" s="569"/>
      <c r="AT31" s="569"/>
      <c r="AU31" s="569"/>
      <c r="AV31" s="569"/>
      <c r="AW31" s="569"/>
      <c r="AX31" s="569"/>
      <c r="AY31" s="569"/>
      <c r="AZ31" s="569"/>
      <c r="BA31" s="12"/>
      <c r="BK31" s="4"/>
    </row>
    <row r="32" spans="1:63" ht="15" customHeight="1">
      <c r="A32" s="1"/>
      <c r="K32" s="6"/>
      <c r="L32" s="569"/>
      <c r="M32" s="569"/>
      <c r="N32" s="569"/>
      <c r="O32" s="569"/>
      <c r="P32" s="569"/>
      <c r="Q32" s="569"/>
      <c r="R32" s="569"/>
      <c r="S32" s="569"/>
      <c r="T32" s="569"/>
      <c r="U32" s="569"/>
      <c r="V32" s="569"/>
      <c r="W32" s="569"/>
      <c r="X32" s="569"/>
      <c r="Y32" s="569"/>
      <c r="Z32" s="569"/>
      <c r="AA32" s="569"/>
      <c r="AB32" s="569"/>
      <c r="AC32" s="569"/>
      <c r="AD32" s="569"/>
      <c r="AE32" s="569"/>
      <c r="AF32" s="569"/>
      <c r="AG32" s="569"/>
      <c r="AH32" s="569"/>
      <c r="AI32" s="569"/>
      <c r="AJ32" s="569"/>
      <c r="AK32" s="569"/>
      <c r="AL32" s="569"/>
      <c r="AM32" s="569"/>
      <c r="AN32" s="569"/>
      <c r="AO32" s="569"/>
      <c r="AP32" s="569"/>
      <c r="AQ32" s="569"/>
      <c r="AR32" s="569"/>
      <c r="AS32" s="569"/>
      <c r="AT32" s="569"/>
      <c r="AU32" s="569"/>
      <c r="AV32" s="569"/>
      <c r="AW32" s="569"/>
      <c r="AX32" s="569"/>
      <c r="AY32" s="569"/>
      <c r="AZ32" s="569"/>
      <c r="BA32" s="12"/>
      <c r="BK32" s="4"/>
    </row>
    <row r="33" spans="1:63" ht="15" customHeight="1">
      <c r="A33" s="1"/>
      <c r="K33" s="6"/>
      <c r="L33" s="569"/>
      <c r="M33" s="569"/>
      <c r="N33" s="569"/>
      <c r="O33" s="569"/>
      <c r="P33" s="569"/>
      <c r="Q33" s="569"/>
      <c r="R33" s="569"/>
      <c r="S33" s="569"/>
      <c r="T33" s="569"/>
      <c r="U33" s="569"/>
      <c r="V33" s="569"/>
      <c r="W33" s="569"/>
      <c r="X33" s="569"/>
      <c r="Y33" s="569"/>
      <c r="Z33" s="569"/>
      <c r="AA33" s="569"/>
      <c r="AB33" s="569"/>
      <c r="AC33" s="569"/>
      <c r="AD33" s="569"/>
      <c r="AE33" s="569"/>
      <c r="AF33" s="569"/>
      <c r="AG33" s="569"/>
      <c r="AH33" s="569"/>
      <c r="AI33" s="569"/>
      <c r="AJ33" s="569"/>
      <c r="AK33" s="569"/>
      <c r="AL33" s="569"/>
      <c r="AM33" s="569"/>
      <c r="AN33" s="569"/>
      <c r="AO33" s="569"/>
      <c r="AP33" s="569"/>
      <c r="AQ33" s="569"/>
      <c r="AR33" s="569"/>
      <c r="AS33" s="569"/>
      <c r="AT33" s="569"/>
      <c r="AU33" s="569"/>
      <c r="AV33" s="569"/>
      <c r="AW33" s="569"/>
      <c r="AX33" s="569"/>
      <c r="AY33" s="569"/>
      <c r="AZ33" s="569"/>
      <c r="BA33" s="12"/>
      <c r="BK33" s="4"/>
    </row>
    <row r="34" spans="1:63" ht="15" customHeight="1">
      <c r="A34" s="1"/>
      <c r="K34" s="6"/>
      <c r="L34" s="569"/>
      <c r="M34" s="569"/>
      <c r="N34" s="569"/>
      <c r="O34" s="569"/>
      <c r="P34" s="569"/>
      <c r="Q34" s="569"/>
      <c r="R34" s="569"/>
      <c r="S34" s="569"/>
      <c r="T34" s="569"/>
      <c r="U34" s="569"/>
      <c r="V34" s="569"/>
      <c r="W34" s="569"/>
      <c r="X34" s="569"/>
      <c r="Y34" s="569"/>
      <c r="Z34" s="569"/>
      <c r="AA34" s="569"/>
      <c r="AB34" s="569"/>
      <c r="AC34" s="569"/>
      <c r="AD34" s="569"/>
      <c r="AE34" s="569"/>
      <c r="AF34" s="569"/>
      <c r="AG34" s="569"/>
      <c r="AH34" s="569"/>
      <c r="AI34" s="569"/>
      <c r="AJ34" s="569"/>
      <c r="AK34" s="569"/>
      <c r="AL34" s="569"/>
      <c r="AM34" s="569"/>
      <c r="AN34" s="569"/>
      <c r="AO34" s="569"/>
      <c r="AP34" s="569"/>
      <c r="AQ34" s="569"/>
      <c r="AR34" s="569"/>
      <c r="AS34" s="569"/>
      <c r="AT34" s="569"/>
      <c r="AU34" s="569"/>
      <c r="AV34" s="569"/>
      <c r="AW34" s="569"/>
      <c r="AX34" s="569"/>
      <c r="AY34" s="569"/>
      <c r="AZ34" s="569"/>
      <c r="BA34" s="12"/>
      <c r="BK34" s="4"/>
    </row>
    <row r="35" spans="1:63" ht="15" customHeight="1">
      <c r="A35" s="1"/>
      <c r="K35" s="6"/>
      <c r="L35" s="569"/>
      <c r="M35" s="569"/>
      <c r="N35" s="569"/>
      <c r="O35" s="569"/>
      <c r="P35" s="569"/>
      <c r="Q35" s="569"/>
      <c r="R35" s="569"/>
      <c r="S35" s="569"/>
      <c r="T35" s="569"/>
      <c r="U35" s="569"/>
      <c r="V35" s="569"/>
      <c r="W35" s="569"/>
      <c r="X35" s="569"/>
      <c r="Y35" s="569"/>
      <c r="Z35" s="569"/>
      <c r="AA35" s="569"/>
      <c r="AB35" s="569"/>
      <c r="AC35" s="569"/>
      <c r="AD35" s="569"/>
      <c r="AE35" s="569"/>
      <c r="AF35" s="569"/>
      <c r="AG35" s="569"/>
      <c r="AH35" s="569"/>
      <c r="AI35" s="569"/>
      <c r="AJ35" s="569"/>
      <c r="AK35" s="569"/>
      <c r="AL35" s="569"/>
      <c r="AM35" s="569"/>
      <c r="AN35" s="569"/>
      <c r="AO35" s="569"/>
      <c r="AP35" s="569"/>
      <c r="AQ35" s="569"/>
      <c r="AR35" s="569"/>
      <c r="AS35" s="569"/>
      <c r="AT35" s="569"/>
      <c r="AU35" s="569"/>
      <c r="AV35" s="569"/>
      <c r="AW35" s="569"/>
      <c r="AX35" s="569"/>
      <c r="AY35" s="569"/>
      <c r="AZ35" s="569"/>
      <c r="BA35" s="12"/>
      <c r="BK35" s="4"/>
    </row>
    <row r="36" spans="1:63" ht="15" customHeight="1">
      <c r="A36" s="1"/>
      <c r="K36" s="6"/>
      <c r="L36" s="569"/>
      <c r="M36" s="569"/>
      <c r="N36" s="569"/>
      <c r="O36" s="569"/>
      <c r="P36" s="569"/>
      <c r="Q36" s="569"/>
      <c r="R36" s="569"/>
      <c r="S36" s="569"/>
      <c r="T36" s="569"/>
      <c r="U36" s="569"/>
      <c r="V36" s="569"/>
      <c r="W36" s="569"/>
      <c r="X36" s="569"/>
      <c r="Y36" s="569"/>
      <c r="Z36" s="569"/>
      <c r="AA36" s="569"/>
      <c r="AB36" s="569"/>
      <c r="AC36" s="569"/>
      <c r="AD36" s="569"/>
      <c r="AE36" s="569"/>
      <c r="AF36" s="569"/>
      <c r="AG36" s="569"/>
      <c r="AH36" s="569"/>
      <c r="AI36" s="569"/>
      <c r="AJ36" s="569"/>
      <c r="AK36" s="569"/>
      <c r="AL36" s="569"/>
      <c r="AM36" s="569"/>
      <c r="AN36" s="569"/>
      <c r="AO36" s="569"/>
      <c r="AP36" s="569"/>
      <c r="AQ36" s="569"/>
      <c r="AR36" s="569"/>
      <c r="AS36" s="569"/>
      <c r="AT36" s="569"/>
      <c r="AU36" s="569"/>
      <c r="AV36" s="569"/>
      <c r="AW36" s="569"/>
      <c r="AX36" s="569"/>
      <c r="AY36" s="569"/>
      <c r="AZ36" s="569"/>
      <c r="BA36" s="12"/>
      <c r="BK36" s="4"/>
    </row>
    <row r="37" spans="1:63" ht="15" customHeight="1" thickBot="1">
      <c r="A37" s="1"/>
      <c r="K37" s="9"/>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3"/>
      <c r="BK37" s="4"/>
    </row>
    <row r="38" spans="1:63" ht="15" customHeight="1" thickTop="1">
      <c r="A38" s="1"/>
      <c r="BK38" s="4"/>
    </row>
    <row r="39" spans="1:63" ht="15" customHeight="1">
      <c r="A39" s="1"/>
      <c r="BK39" s="4"/>
    </row>
    <row r="40" spans="1:63" ht="15" customHeight="1">
      <c r="A40" s="1"/>
      <c r="BK40" s="4"/>
    </row>
    <row r="41" spans="1:63" ht="15" customHeight="1">
      <c r="A41" s="1"/>
      <c r="BK41" s="4"/>
    </row>
    <row r="42" spans="1:63" ht="15" customHeight="1">
      <c r="A42" s="1"/>
      <c r="BK42" s="4"/>
    </row>
    <row r="43" spans="1:63" ht="15" customHeight="1">
      <c r="A43" s="1"/>
      <c r="BK43" s="4"/>
    </row>
    <row r="44" spans="1:63" ht="15" customHeight="1">
      <c r="A44" s="1"/>
      <c r="Q44" s="573" t="s">
        <v>16</v>
      </c>
      <c r="R44" s="574"/>
      <c r="S44" s="574"/>
      <c r="T44" s="574"/>
      <c r="U44" s="574"/>
      <c r="V44" s="574"/>
      <c r="W44" s="574"/>
      <c r="X44" s="574"/>
      <c r="Y44" s="574"/>
      <c r="Z44" s="575"/>
      <c r="AA44" s="573" t="s">
        <v>17</v>
      </c>
      <c r="AB44" s="574"/>
      <c r="AC44" s="574"/>
      <c r="AD44" s="574"/>
      <c r="AE44" s="574"/>
      <c r="AF44" s="574"/>
      <c r="AG44" s="574"/>
      <c r="AH44" s="574"/>
      <c r="AI44" s="574"/>
      <c r="AJ44" s="574"/>
      <c r="AK44" s="574"/>
      <c r="AL44" s="574"/>
      <c r="AM44" s="574"/>
      <c r="AN44" s="574"/>
      <c r="AO44" s="574"/>
      <c r="AP44" s="575"/>
      <c r="AQ44" s="573" t="s">
        <v>7</v>
      </c>
      <c r="AR44" s="574"/>
      <c r="AS44" s="574"/>
      <c r="AT44" s="574"/>
      <c r="AU44" s="575"/>
      <c r="BK44" s="4"/>
    </row>
    <row r="45" spans="1:63" ht="15" customHeight="1">
      <c r="A45" s="1"/>
      <c r="Q45" s="576"/>
      <c r="R45" s="577"/>
      <c r="S45" s="577"/>
      <c r="T45" s="577"/>
      <c r="U45" s="577"/>
      <c r="V45" s="577"/>
      <c r="W45" s="577"/>
      <c r="X45" s="577"/>
      <c r="Y45" s="577"/>
      <c r="Z45" s="578"/>
      <c r="AA45" s="576"/>
      <c r="AB45" s="577"/>
      <c r="AC45" s="577"/>
      <c r="AD45" s="577"/>
      <c r="AE45" s="577"/>
      <c r="AF45" s="577"/>
      <c r="AG45" s="577"/>
      <c r="AH45" s="577"/>
      <c r="AI45" s="577"/>
      <c r="AJ45" s="577"/>
      <c r="AK45" s="577"/>
      <c r="AL45" s="577"/>
      <c r="AM45" s="577"/>
      <c r="AN45" s="577"/>
      <c r="AO45" s="577"/>
      <c r="AP45" s="578"/>
      <c r="AQ45" s="576"/>
      <c r="AR45" s="577"/>
      <c r="AS45" s="577"/>
      <c r="AT45" s="577"/>
      <c r="AU45" s="578"/>
      <c r="BK45" s="4"/>
    </row>
    <row r="46" spans="1:63" ht="15" customHeight="1">
      <c r="A46" s="1"/>
      <c r="Q46" s="542"/>
      <c r="R46" s="543"/>
      <c r="S46" s="543"/>
      <c r="T46" s="543"/>
      <c r="U46" s="543"/>
      <c r="V46" s="543"/>
      <c r="W46" s="543"/>
      <c r="X46" s="543"/>
      <c r="Y46" s="543"/>
      <c r="Z46" s="544"/>
      <c r="AA46" s="542"/>
      <c r="AB46" s="543"/>
      <c r="AC46" s="543"/>
      <c r="AD46" s="543"/>
      <c r="AE46" s="543"/>
      <c r="AF46" s="543"/>
      <c r="AG46" s="543"/>
      <c r="AH46" s="543"/>
      <c r="AI46" s="543"/>
      <c r="AJ46" s="543"/>
      <c r="AK46" s="543"/>
      <c r="AL46" s="543"/>
      <c r="AM46" s="543"/>
      <c r="AN46" s="543"/>
      <c r="AO46" s="543"/>
      <c r="AP46" s="544"/>
      <c r="AQ46" s="542"/>
      <c r="AR46" s="543"/>
      <c r="AS46" s="543"/>
      <c r="AT46" s="543"/>
      <c r="AU46" s="544"/>
      <c r="BK46" s="4"/>
    </row>
    <row r="47" spans="1:63" ht="15" customHeight="1">
      <c r="A47" s="1"/>
      <c r="Q47" s="570"/>
      <c r="R47" s="571"/>
      <c r="S47" s="571"/>
      <c r="T47" s="571"/>
      <c r="U47" s="571"/>
      <c r="V47" s="571"/>
      <c r="W47" s="571"/>
      <c r="X47" s="571"/>
      <c r="Y47" s="571"/>
      <c r="Z47" s="572"/>
      <c r="AA47" s="570"/>
      <c r="AB47" s="571"/>
      <c r="AC47" s="571"/>
      <c r="AD47" s="571"/>
      <c r="AE47" s="571"/>
      <c r="AF47" s="571"/>
      <c r="AG47" s="571"/>
      <c r="AH47" s="571"/>
      <c r="AI47" s="571"/>
      <c r="AJ47" s="571"/>
      <c r="AK47" s="571"/>
      <c r="AL47" s="571"/>
      <c r="AM47" s="571"/>
      <c r="AN47" s="571"/>
      <c r="AO47" s="571"/>
      <c r="AP47" s="572"/>
      <c r="AQ47" s="570"/>
      <c r="AR47" s="571"/>
      <c r="AS47" s="571"/>
      <c r="AT47" s="571"/>
      <c r="AU47" s="572"/>
      <c r="BK47" s="4"/>
    </row>
    <row r="48" spans="1:63" ht="15" customHeight="1">
      <c r="A48" s="1"/>
      <c r="Q48" s="570"/>
      <c r="R48" s="571"/>
      <c r="S48" s="571"/>
      <c r="T48" s="571"/>
      <c r="U48" s="571"/>
      <c r="V48" s="571"/>
      <c r="W48" s="571"/>
      <c r="X48" s="571"/>
      <c r="Y48" s="571"/>
      <c r="Z48" s="572"/>
      <c r="AA48" s="570"/>
      <c r="AB48" s="571"/>
      <c r="AC48" s="571"/>
      <c r="AD48" s="571"/>
      <c r="AE48" s="571"/>
      <c r="AF48" s="571"/>
      <c r="AG48" s="571"/>
      <c r="AH48" s="571"/>
      <c r="AI48" s="571"/>
      <c r="AJ48" s="571"/>
      <c r="AK48" s="571"/>
      <c r="AL48" s="571"/>
      <c r="AM48" s="571"/>
      <c r="AN48" s="571"/>
      <c r="AO48" s="571"/>
      <c r="AP48" s="572"/>
      <c r="AQ48" s="570"/>
      <c r="AR48" s="571"/>
      <c r="AS48" s="571"/>
      <c r="AT48" s="571"/>
      <c r="AU48" s="572"/>
      <c r="BK48" s="4"/>
    </row>
    <row r="49" spans="1:63" ht="15" customHeight="1">
      <c r="A49" s="1"/>
      <c r="Q49" s="545"/>
      <c r="R49" s="546"/>
      <c r="S49" s="546"/>
      <c r="T49" s="546"/>
      <c r="U49" s="546"/>
      <c r="V49" s="546"/>
      <c r="W49" s="546"/>
      <c r="X49" s="546"/>
      <c r="Y49" s="546"/>
      <c r="Z49" s="547"/>
      <c r="AA49" s="545"/>
      <c r="AB49" s="546"/>
      <c r="AC49" s="546"/>
      <c r="AD49" s="546"/>
      <c r="AE49" s="546"/>
      <c r="AF49" s="546"/>
      <c r="AG49" s="546"/>
      <c r="AH49" s="546"/>
      <c r="AI49" s="546"/>
      <c r="AJ49" s="546"/>
      <c r="AK49" s="546"/>
      <c r="AL49" s="546"/>
      <c r="AM49" s="546"/>
      <c r="AN49" s="546"/>
      <c r="AO49" s="546"/>
      <c r="AP49" s="547"/>
      <c r="AQ49" s="545"/>
      <c r="AR49" s="546"/>
      <c r="AS49" s="546"/>
      <c r="AT49" s="546"/>
      <c r="AU49" s="547"/>
      <c r="BK49" s="4"/>
    </row>
    <row r="50" spans="1:63" ht="15" customHeight="1">
      <c r="A50" s="1"/>
      <c r="BK50" s="4"/>
    </row>
    <row r="51" spans="1:63" ht="15" customHeight="1">
      <c r="A51" s="1"/>
      <c r="BK51" s="4"/>
    </row>
    <row r="52" spans="1:63" ht="15" customHeight="1">
      <c r="A52" s="1"/>
      <c r="BK52" s="4"/>
    </row>
    <row r="53" spans="1:63" ht="15" customHeight="1">
      <c r="A53" s="1"/>
      <c r="BK53" s="4"/>
    </row>
    <row r="54" spans="1:63" ht="15" customHeight="1">
      <c r="A54" s="1"/>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8">
    <mergeCell ref="L16:AZ21"/>
    <mergeCell ref="L24:AZ36"/>
    <mergeCell ref="AQ46:AU49"/>
    <mergeCell ref="AA46:AP49"/>
    <mergeCell ref="Q46:Z49"/>
    <mergeCell ref="AQ44:AU45"/>
    <mergeCell ref="AA44:AP45"/>
    <mergeCell ref="Q44:Z45"/>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honeticPr fontId="7"/>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25C8C-594A-40E0-85B3-016F59513FD8}">
  <sheetPr>
    <pageSetUpPr fitToPage="1"/>
  </sheetPr>
  <dimension ref="A1:BK55"/>
  <sheetViews>
    <sheetView view="pageBreakPreview" zoomScale="75" zoomScaleNormal="75" zoomScaleSheetLayoutView="75" workbookViewId="0">
      <selection activeCell="S16" sqref="S16:AW16"/>
    </sheetView>
    <sheetView workbookViewId="1">
      <selection sqref="A1:J1"/>
    </sheetView>
  </sheetViews>
  <sheetFormatPr defaultColWidth="2.77734375" defaultRowHeight="15.75" customHeight="1"/>
  <sheetData>
    <row r="1" spans="1:63" ht="24.95" customHeight="1">
      <c r="A1" s="539" t="s">
        <v>0</v>
      </c>
      <c r="B1" s="540"/>
      <c r="C1" s="540"/>
      <c r="D1" s="540"/>
      <c r="E1" s="540"/>
      <c r="F1" s="540"/>
      <c r="G1" s="540"/>
      <c r="H1" s="540"/>
      <c r="I1" s="540"/>
      <c r="J1" s="541"/>
      <c r="K1" s="539" t="s">
        <v>1</v>
      </c>
      <c r="L1" s="540"/>
      <c r="M1" s="540"/>
      <c r="N1" s="540"/>
      <c r="O1" s="540"/>
      <c r="P1" s="540"/>
      <c r="Q1" s="540"/>
      <c r="R1" s="540"/>
      <c r="S1" s="540"/>
      <c r="T1" s="540"/>
      <c r="U1" s="540"/>
      <c r="V1" s="541"/>
      <c r="W1" s="548" t="str">
        <f>IF(表紙!W1="","",表紙!W1)</f>
        <v>概要設計</v>
      </c>
      <c r="X1" s="549"/>
      <c r="Y1" s="549"/>
      <c r="Z1" s="549"/>
      <c r="AA1" s="549"/>
      <c r="AB1" s="549"/>
      <c r="AC1" s="549"/>
      <c r="AD1" s="549"/>
      <c r="AE1" s="549"/>
      <c r="AF1" s="549"/>
      <c r="AG1" s="549"/>
      <c r="AH1" s="549"/>
      <c r="AI1" s="549"/>
      <c r="AJ1" s="549"/>
      <c r="AK1" s="549"/>
      <c r="AL1" s="549"/>
      <c r="AM1" s="549"/>
      <c r="AN1" s="549"/>
      <c r="AO1" s="550"/>
      <c r="AP1" s="539" t="s">
        <v>3</v>
      </c>
      <c r="AQ1" s="540"/>
      <c r="AR1" s="540"/>
      <c r="AS1" s="541"/>
      <c r="AT1" s="539" t="s">
        <v>4</v>
      </c>
      <c r="AU1" s="540"/>
      <c r="AV1" s="540"/>
      <c r="AW1" s="540"/>
      <c r="AX1" s="541"/>
      <c r="AY1" s="539" t="s">
        <v>5</v>
      </c>
      <c r="AZ1" s="540"/>
      <c r="BA1" s="540"/>
      <c r="BB1" s="541"/>
      <c r="BC1" s="539" t="s">
        <v>6</v>
      </c>
      <c r="BD1" s="540"/>
      <c r="BE1" s="540"/>
      <c r="BF1" s="540"/>
      <c r="BG1" s="541"/>
      <c r="BH1" s="539" t="s">
        <v>7</v>
      </c>
      <c r="BI1" s="540"/>
      <c r="BJ1" s="540"/>
      <c r="BK1" s="541"/>
    </row>
    <row r="2" spans="1:63" ht="15" customHeight="1">
      <c r="A2" s="542" t="str">
        <f>IF(表紙!A2="","",表紙!A2)</f>
        <v>POSサーバ</v>
      </c>
      <c r="B2" s="543"/>
      <c r="C2" s="543"/>
      <c r="D2" s="543"/>
      <c r="E2" s="543"/>
      <c r="F2" s="543"/>
      <c r="G2" s="543"/>
      <c r="H2" s="543"/>
      <c r="I2" s="543"/>
      <c r="J2" s="544"/>
      <c r="K2" s="542" t="str">
        <f>IF(表紙!K2="","",表紙!K2)</f>
        <v>全般</v>
      </c>
      <c r="L2" s="543"/>
      <c r="M2" s="543"/>
      <c r="N2" s="543"/>
      <c r="O2" s="543"/>
      <c r="P2" s="543"/>
      <c r="Q2" s="543"/>
      <c r="R2" s="543"/>
      <c r="S2" s="543"/>
      <c r="T2" s="543"/>
      <c r="U2" s="543"/>
      <c r="V2" s="544"/>
      <c r="W2" s="551"/>
      <c r="X2" s="552"/>
      <c r="Y2" s="552"/>
      <c r="Z2" s="552"/>
      <c r="AA2" s="552"/>
      <c r="AB2" s="552"/>
      <c r="AC2" s="552"/>
      <c r="AD2" s="552"/>
      <c r="AE2" s="552"/>
      <c r="AF2" s="552"/>
      <c r="AG2" s="552"/>
      <c r="AH2" s="552"/>
      <c r="AI2" s="552"/>
      <c r="AJ2" s="552"/>
      <c r="AK2" s="552"/>
      <c r="AL2" s="552"/>
      <c r="AM2" s="552"/>
      <c r="AN2" s="552"/>
      <c r="AO2" s="553"/>
      <c r="AP2" s="542" t="str">
        <f>IF(表紙!AP2="","",表紙!AP2)</f>
        <v>Huy Nguyen</v>
      </c>
      <c r="AQ2" s="543"/>
      <c r="AR2" s="543"/>
      <c r="AS2" s="544"/>
      <c r="AT2" s="563">
        <f>IF(表紙!AT2="","",表紙!AT2)</f>
        <v>45532</v>
      </c>
      <c r="AU2" s="564"/>
      <c r="AV2" s="564"/>
      <c r="AW2" s="564"/>
      <c r="AX2" s="565"/>
      <c r="AY2" s="542" t="str">
        <f>IF(表紙!AY2="","",表紙!AY2)</f>
        <v/>
      </c>
      <c r="AZ2" s="543"/>
      <c r="BA2" s="543"/>
      <c r="BB2" s="544"/>
      <c r="BC2" s="563" t="str">
        <f>IF(表紙!BC2="","",表紙!BC2)</f>
        <v/>
      </c>
      <c r="BD2" s="564"/>
      <c r="BE2" s="564"/>
      <c r="BF2" s="564"/>
      <c r="BG2" s="565"/>
      <c r="BH2" s="542">
        <f>IF(表紙!BH2="","",表紙!BH2)</f>
        <v>0.31</v>
      </c>
      <c r="BI2" s="543"/>
      <c r="BJ2" s="543"/>
      <c r="BK2" s="544"/>
    </row>
    <row r="3" spans="1:63" ht="15" customHeight="1">
      <c r="A3" s="545"/>
      <c r="B3" s="546"/>
      <c r="C3" s="546"/>
      <c r="D3" s="546"/>
      <c r="E3" s="546"/>
      <c r="F3" s="546"/>
      <c r="G3" s="546"/>
      <c r="H3" s="546"/>
      <c r="I3" s="546"/>
      <c r="J3" s="547"/>
      <c r="K3" s="545"/>
      <c r="L3" s="546"/>
      <c r="M3" s="546"/>
      <c r="N3" s="546"/>
      <c r="O3" s="546"/>
      <c r="P3" s="546"/>
      <c r="Q3" s="546"/>
      <c r="R3" s="546"/>
      <c r="S3" s="546"/>
      <c r="T3" s="546"/>
      <c r="U3" s="546"/>
      <c r="V3" s="547"/>
      <c r="W3" s="554"/>
      <c r="X3" s="555"/>
      <c r="Y3" s="555"/>
      <c r="Z3" s="555"/>
      <c r="AA3" s="555"/>
      <c r="AB3" s="555"/>
      <c r="AC3" s="555"/>
      <c r="AD3" s="555"/>
      <c r="AE3" s="555"/>
      <c r="AF3" s="555"/>
      <c r="AG3" s="555"/>
      <c r="AH3" s="555"/>
      <c r="AI3" s="555"/>
      <c r="AJ3" s="555"/>
      <c r="AK3" s="555"/>
      <c r="AL3" s="555"/>
      <c r="AM3" s="555"/>
      <c r="AN3" s="555"/>
      <c r="AO3" s="556"/>
      <c r="AP3" s="545"/>
      <c r="AQ3" s="546"/>
      <c r="AR3" s="546"/>
      <c r="AS3" s="547"/>
      <c r="AT3" s="566"/>
      <c r="AU3" s="567"/>
      <c r="AV3" s="567"/>
      <c r="AW3" s="567"/>
      <c r="AX3" s="568"/>
      <c r="AY3" s="545"/>
      <c r="AZ3" s="546"/>
      <c r="BA3" s="546"/>
      <c r="BB3" s="547"/>
      <c r="BC3" s="566"/>
      <c r="BD3" s="567"/>
      <c r="BE3" s="567"/>
      <c r="BF3" s="567"/>
      <c r="BG3" s="568"/>
      <c r="BH3" s="545"/>
      <c r="BI3" s="546"/>
      <c r="BJ3" s="546"/>
      <c r="BK3" s="547"/>
    </row>
    <row r="4" spans="1:63" ht="24.95" customHeight="1">
      <c r="A4" s="539" t="s">
        <v>11</v>
      </c>
      <c r="B4" s="540"/>
      <c r="C4" s="540"/>
      <c r="D4" s="540"/>
      <c r="E4" s="540"/>
      <c r="F4" s="540"/>
      <c r="G4" s="541"/>
      <c r="H4" s="536" t="str">
        <f>IF(表紙!H4="","",表紙!H4)</f>
        <v>機能一覧</v>
      </c>
      <c r="I4" s="537"/>
      <c r="J4" s="537"/>
      <c r="K4" s="537"/>
      <c r="L4" s="537"/>
      <c r="M4" s="537"/>
      <c r="N4" s="537"/>
      <c r="O4" s="537"/>
      <c r="P4" s="537"/>
      <c r="Q4" s="537"/>
      <c r="R4" s="537"/>
      <c r="S4" s="537"/>
      <c r="T4" s="538"/>
      <c r="U4" s="539" t="s">
        <v>13</v>
      </c>
      <c r="V4" s="540"/>
      <c r="W4" s="540"/>
      <c r="X4" s="540"/>
      <c r="Y4" s="541"/>
      <c r="Z4" s="536" t="str">
        <f>IF(表紙!Z4="","",表紙!Z4)</f>
        <v>いなげや様向け</v>
      </c>
      <c r="AA4" s="537"/>
      <c r="AB4" s="537"/>
      <c r="AC4" s="537"/>
      <c r="AD4" s="537"/>
      <c r="AE4" s="537"/>
      <c r="AF4" s="537"/>
      <c r="AG4" s="537"/>
      <c r="AH4" s="537"/>
      <c r="AI4" s="537"/>
      <c r="AJ4" s="537"/>
      <c r="AK4" s="537"/>
      <c r="AL4" s="537"/>
      <c r="AM4" s="537"/>
      <c r="AN4" s="537"/>
      <c r="AO4" s="538"/>
      <c r="AP4" s="536" t="e" cm="1">
        <f t="array" aca="1" ref="AP4" ca="1">RIGHT(CELL("filename",$A$1),LEN(CELL("filename",$A$1))-FIND("]",CELL("filename",$A$1)))</f>
        <v>#VALUE!</v>
      </c>
      <c r="AQ4" s="537"/>
      <c r="AR4" s="537"/>
      <c r="AS4" s="537"/>
      <c r="AT4" s="537"/>
      <c r="AU4" s="537"/>
      <c r="AV4" s="537"/>
      <c r="AW4" s="537"/>
      <c r="AX4" s="537"/>
      <c r="AY4" s="537"/>
      <c r="AZ4" s="537"/>
      <c r="BA4" s="537"/>
      <c r="BB4" s="537"/>
      <c r="BC4" s="537"/>
      <c r="BD4" s="537"/>
      <c r="BE4" s="537"/>
      <c r="BF4" s="537"/>
      <c r="BG4" s="537"/>
      <c r="BH4" s="537"/>
      <c r="BI4" s="537"/>
      <c r="BJ4" s="537"/>
      <c r="BK4" s="53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8" t="s">
        <v>18</v>
      </c>
      <c r="BK8" s="4"/>
    </row>
    <row r="9" spans="1:63" ht="15" customHeight="1">
      <c r="A9" s="1"/>
      <c r="BK9" s="4"/>
    </row>
    <row r="10" spans="1:63" ht="15" customHeight="1">
      <c r="A10" s="1"/>
      <c r="B10" s="699" t="s">
        <v>19</v>
      </c>
      <c r="C10" s="699"/>
      <c r="D10" s="699"/>
      <c r="E10" s="699"/>
      <c r="F10" s="699"/>
      <c r="G10" s="699"/>
      <c r="H10" s="699" t="s">
        <v>5</v>
      </c>
      <c r="I10" s="699"/>
      <c r="J10" s="699"/>
      <c r="K10" s="699"/>
      <c r="L10" s="699"/>
      <c r="M10" s="699"/>
      <c r="N10" s="699"/>
      <c r="O10" s="699" t="s">
        <v>7</v>
      </c>
      <c r="P10" s="699"/>
      <c r="Q10" s="699"/>
      <c r="R10" s="699"/>
      <c r="S10" s="699" t="s">
        <v>20</v>
      </c>
      <c r="T10" s="699"/>
      <c r="U10" s="699"/>
      <c r="V10" s="699"/>
      <c r="W10" s="699"/>
      <c r="X10" s="699"/>
      <c r="Y10" s="699"/>
      <c r="Z10" s="699"/>
      <c r="AA10" s="699"/>
      <c r="AB10" s="699"/>
      <c r="AC10" s="699"/>
      <c r="AD10" s="699"/>
      <c r="AE10" s="699"/>
      <c r="AF10" s="699"/>
      <c r="AG10" s="699"/>
      <c r="AH10" s="699"/>
      <c r="AI10" s="699"/>
      <c r="AJ10" s="699"/>
      <c r="AK10" s="699"/>
      <c r="AL10" s="699"/>
      <c r="AM10" s="699"/>
      <c r="AN10" s="699"/>
      <c r="AO10" s="699"/>
      <c r="AP10" s="699"/>
      <c r="AQ10" s="699"/>
      <c r="AR10" s="699"/>
      <c r="AS10" s="699"/>
      <c r="AT10" s="699"/>
      <c r="AU10" s="699"/>
      <c r="AV10" s="699"/>
      <c r="AW10" s="699"/>
      <c r="AX10" s="699" t="s">
        <v>21</v>
      </c>
      <c r="AY10" s="699"/>
      <c r="AZ10" s="699"/>
      <c r="BA10" s="699"/>
      <c r="BB10" s="699"/>
      <c r="BC10" s="699"/>
      <c r="BD10" s="699" t="s">
        <v>17</v>
      </c>
      <c r="BE10" s="699"/>
      <c r="BF10" s="699"/>
      <c r="BG10" s="699"/>
      <c r="BH10" s="699"/>
      <c r="BI10" s="699"/>
      <c r="BJ10" s="699"/>
      <c r="BK10" s="4"/>
    </row>
    <row r="11" spans="1:63" ht="15" customHeight="1">
      <c r="A11" s="1"/>
      <c r="B11" s="579">
        <v>45532</v>
      </c>
      <c r="C11" s="543"/>
      <c r="D11" s="543"/>
      <c r="E11" s="543"/>
      <c r="F11" s="543"/>
      <c r="G11" s="544"/>
      <c r="H11" s="542" t="s">
        <v>10</v>
      </c>
      <c r="I11" s="543"/>
      <c r="J11" s="543"/>
      <c r="K11" s="543"/>
      <c r="L11" s="543"/>
      <c r="M11" s="543"/>
      <c r="N11" s="544"/>
      <c r="O11" s="542">
        <v>0.1</v>
      </c>
      <c r="P11" s="543"/>
      <c r="Q11" s="543"/>
      <c r="R11" s="543"/>
      <c r="S11" s="700" t="s">
        <v>22</v>
      </c>
      <c r="T11" s="701"/>
      <c r="U11" s="701"/>
      <c r="V11" s="701"/>
      <c r="W11" s="701"/>
      <c r="X11" s="701"/>
      <c r="Y11" s="701"/>
      <c r="Z11" s="701"/>
      <c r="AA11" s="701"/>
      <c r="AB11" s="701"/>
      <c r="AC11" s="701"/>
      <c r="AD11" s="701"/>
      <c r="AE11" s="701"/>
      <c r="AF11" s="701"/>
      <c r="AG11" s="701"/>
      <c r="AH11" s="701"/>
      <c r="AI11" s="701"/>
      <c r="AJ11" s="701"/>
      <c r="AK11" s="701"/>
      <c r="AL11" s="701"/>
      <c r="AM11" s="701"/>
      <c r="AN11" s="701"/>
      <c r="AO11" s="701"/>
      <c r="AP11" s="701"/>
      <c r="AQ11" s="701"/>
      <c r="AR11" s="701"/>
      <c r="AS11" s="701"/>
      <c r="AT11" s="701"/>
      <c r="AU11" s="701"/>
      <c r="AV11" s="701"/>
      <c r="AW11" s="702"/>
      <c r="AX11" s="703"/>
      <c r="AY11" s="703"/>
      <c r="AZ11" s="703"/>
      <c r="BA11" s="703"/>
      <c r="BB11" s="703"/>
      <c r="BC11" s="704"/>
      <c r="BD11" s="705"/>
      <c r="BE11" s="703"/>
      <c r="BF11" s="703"/>
      <c r="BG11" s="703"/>
      <c r="BH11" s="703"/>
      <c r="BI11" s="703"/>
      <c r="BJ11" s="704"/>
      <c r="BK11" s="4"/>
    </row>
    <row r="12" spans="1:63" ht="15" customHeight="1">
      <c r="A12" s="1"/>
      <c r="B12" s="545"/>
      <c r="C12" s="546"/>
      <c r="D12" s="546"/>
      <c r="E12" s="546"/>
      <c r="F12" s="546"/>
      <c r="G12" s="547"/>
      <c r="H12" s="545"/>
      <c r="I12" s="546"/>
      <c r="J12" s="546"/>
      <c r="K12" s="546"/>
      <c r="L12" s="546"/>
      <c r="M12" s="546"/>
      <c r="N12" s="547"/>
      <c r="O12" s="545"/>
      <c r="P12" s="546"/>
      <c r="Q12" s="546"/>
      <c r="R12" s="546"/>
      <c r="S12" s="706"/>
      <c r="T12" s="707"/>
      <c r="U12" s="707"/>
      <c r="V12" s="707"/>
      <c r="W12" s="707"/>
      <c r="X12" s="707"/>
      <c r="Y12" s="707"/>
      <c r="Z12" s="707"/>
      <c r="AA12" s="707"/>
      <c r="AB12" s="707"/>
      <c r="AC12" s="707"/>
      <c r="AD12" s="707"/>
      <c r="AE12" s="707"/>
      <c r="AF12" s="707"/>
      <c r="AG12" s="707"/>
      <c r="AH12" s="707"/>
      <c r="AI12" s="707"/>
      <c r="AJ12" s="707"/>
      <c r="AK12" s="707"/>
      <c r="AL12" s="707"/>
      <c r="AM12" s="707"/>
      <c r="AN12" s="707"/>
      <c r="AO12" s="707"/>
      <c r="AP12" s="707"/>
      <c r="AQ12" s="707"/>
      <c r="AR12" s="707"/>
      <c r="AS12" s="707"/>
      <c r="AT12" s="707"/>
      <c r="AU12" s="707"/>
      <c r="AV12" s="707"/>
      <c r="AW12" s="708"/>
      <c r="AX12" s="709"/>
      <c r="AY12" s="709"/>
      <c r="AZ12" s="709"/>
      <c r="BA12" s="709"/>
      <c r="BB12" s="709"/>
      <c r="BC12" s="710"/>
      <c r="BD12" s="711"/>
      <c r="BE12" s="709"/>
      <c r="BF12" s="709"/>
      <c r="BG12" s="709"/>
      <c r="BH12" s="709"/>
      <c r="BI12" s="709"/>
      <c r="BJ12" s="710"/>
      <c r="BK12" s="4"/>
    </row>
    <row r="13" spans="1:63" ht="15" customHeight="1">
      <c r="A13" s="1"/>
      <c r="B13" s="579">
        <v>45769</v>
      </c>
      <c r="C13" s="543"/>
      <c r="D13" s="543"/>
      <c r="E13" s="543"/>
      <c r="F13" s="543"/>
      <c r="G13" s="544"/>
      <c r="H13" s="542" t="s">
        <v>23</v>
      </c>
      <c r="I13" s="543"/>
      <c r="J13" s="543"/>
      <c r="K13" s="543"/>
      <c r="L13" s="543"/>
      <c r="M13" s="543"/>
      <c r="N13" s="544"/>
      <c r="O13" s="542">
        <v>0.3</v>
      </c>
      <c r="P13" s="543"/>
      <c r="Q13" s="543"/>
      <c r="R13" s="543"/>
      <c r="S13" s="700" t="s">
        <v>24</v>
      </c>
      <c r="T13" s="701"/>
      <c r="U13" s="701"/>
      <c r="V13" s="701"/>
      <c r="W13" s="701"/>
      <c r="X13" s="701"/>
      <c r="Y13" s="701"/>
      <c r="Z13" s="701"/>
      <c r="AA13" s="701"/>
      <c r="AB13" s="701"/>
      <c r="AC13" s="701"/>
      <c r="AD13" s="701"/>
      <c r="AE13" s="701"/>
      <c r="AF13" s="701"/>
      <c r="AG13" s="701"/>
      <c r="AH13" s="701"/>
      <c r="AI13" s="701"/>
      <c r="AJ13" s="701"/>
      <c r="AK13" s="701"/>
      <c r="AL13" s="701"/>
      <c r="AM13" s="701"/>
      <c r="AN13" s="701"/>
      <c r="AO13" s="701"/>
      <c r="AP13" s="701"/>
      <c r="AQ13" s="701"/>
      <c r="AR13" s="701"/>
      <c r="AS13" s="701"/>
      <c r="AT13" s="701"/>
      <c r="AU13" s="701"/>
      <c r="AV13" s="701"/>
      <c r="AW13" s="702"/>
      <c r="AX13" s="703"/>
      <c r="AY13" s="703"/>
      <c r="AZ13" s="703"/>
      <c r="BA13" s="703"/>
      <c r="BB13" s="703"/>
      <c r="BC13" s="704"/>
      <c r="BD13" s="705"/>
      <c r="BE13" s="703"/>
      <c r="BF13" s="703"/>
      <c r="BG13" s="703"/>
      <c r="BH13" s="703"/>
      <c r="BI13" s="703"/>
      <c r="BJ13" s="704"/>
      <c r="BK13" s="4"/>
    </row>
    <row r="14" spans="1:63" ht="15" customHeight="1">
      <c r="A14" s="1"/>
      <c r="B14" s="545"/>
      <c r="C14" s="546"/>
      <c r="D14" s="546"/>
      <c r="E14" s="546"/>
      <c r="F14" s="546"/>
      <c r="G14" s="547"/>
      <c r="H14" s="545"/>
      <c r="I14" s="546"/>
      <c r="J14" s="546"/>
      <c r="K14" s="546"/>
      <c r="L14" s="546"/>
      <c r="M14" s="546"/>
      <c r="N14" s="547"/>
      <c r="O14" s="545"/>
      <c r="P14" s="546"/>
      <c r="Q14" s="546"/>
      <c r="R14" s="546"/>
      <c r="S14" s="706"/>
      <c r="T14" s="707"/>
      <c r="U14" s="707"/>
      <c r="V14" s="707"/>
      <c r="W14" s="707"/>
      <c r="X14" s="707"/>
      <c r="Y14" s="707"/>
      <c r="Z14" s="707"/>
      <c r="AA14" s="707"/>
      <c r="AB14" s="707"/>
      <c r="AC14" s="707"/>
      <c r="AD14" s="707"/>
      <c r="AE14" s="707"/>
      <c r="AF14" s="707"/>
      <c r="AG14" s="707"/>
      <c r="AH14" s="707"/>
      <c r="AI14" s="707"/>
      <c r="AJ14" s="707"/>
      <c r="AK14" s="707"/>
      <c r="AL14" s="707"/>
      <c r="AM14" s="707"/>
      <c r="AN14" s="707"/>
      <c r="AO14" s="707"/>
      <c r="AP14" s="707"/>
      <c r="AQ14" s="707"/>
      <c r="AR14" s="707"/>
      <c r="AS14" s="707"/>
      <c r="AT14" s="707"/>
      <c r="AU14" s="707"/>
      <c r="AV14" s="707"/>
      <c r="AW14" s="708"/>
      <c r="AX14" s="709"/>
      <c r="AY14" s="709"/>
      <c r="AZ14" s="709"/>
      <c r="BA14" s="709"/>
      <c r="BB14" s="709"/>
      <c r="BC14" s="710"/>
      <c r="BD14" s="711"/>
      <c r="BE14" s="709"/>
      <c r="BF14" s="709"/>
      <c r="BG14" s="709"/>
      <c r="BH14" s="709"/>
      <c r="BI14" s="709"/>
      <c r="BJ14" s="710"/>
      <c r="BK14" s="4"/>
    </row>
    <row r="15" spans="1:63" ht="15" customHeight="1">
      <c r="A15" s="1"/>
      <c r="B15" s="579">
        <v>45770</v>
      </c>
      <c r="C15" s="543"/>
      <c r="D15" s="543"/>
      <c r="E15" s="543"/>
      <c r="F15" s="543"/>
      <c r="G15" s="544"/>
      <c r="H15" s="542" t="s">
        <v>23</v>
      </c>
      <c r="I15" s="543"/>
      <c r="J15" s="543"/>
      <c r="K15" s="543"/>
      <c r="L15" s="543"/>
      <c r="M15" s="543"/>
      <c r="N15" s="544"/>
      <c r="O15" s="542">
        <v>0.31</v>
      </c>
      <c r="P15" s="543"/>
      <c r="Q15" s="543"/>
      <c r="R15" s="543"/>
      <c r="S15" s="700" t="s">
        <v>25</v>
      </c>
      <c r="T15" s="701"/>
      <c r="U15" s="701"/>
      <c r="V15" s="701"/>
      <c r="W15" s="701"/>
      <c r="X15" s="701"/>
      <c r="Y15" s="701"/>
      <c r="Z15" s="701"/>
      <c r="AA15" s="701"/>
      <c r="AB15" s="701"/>
      <c r="AC15" s="701"/>
      <c r="AD15" s="701"/>
      <c r="AE15" s="701"/>
      <c r="AF15" s="701"/>
      <c r="AG15" s="701"/>
      <c r="AH15" s="701"/>
      <c r="AI15" s="701"/>
      <c r="AJ15" s="701"/>
      <c r="AK15" s="701"/>
      <c r="AL15" s="701"/>
      <c r="AM15" s="701"/>
      <c r="AN15" s="701"/>
      <c r="AO15" s="701"/>
      <c r="AP15" s="701"/>
      <c r="AQ15" s="701"/>
      <c r="AR15" s="701"/>
      <c r="AS15" s="701"/>
      <c r="AT15" s="701"/>
      <c r="AU15" s="701"/>
      <c r="AV15" s="701"/>
      <c r="AW15" s="702"/>
      <c r="AX15" s="703"/>
      <c r="AY15" s="703"/>
      <c r="AZ15" s="703"/>
      <c r="BA15" s="703"/>
      <c r="BB15" s="703"/>
      <c r="BC15" s="704"/>
      <c r="BD15" s="705"/>
      <c r="BE15" s="703"/>
      <c r="BF15" s="703"/>
      <c r="BG15" s="703"/>
      <c r="BH15" s="703"/>
      <c r="BI15" s="703"/>
      <c r="BJ15" s="704"/>
      <c r="BK15" s="4"/>
    </row>
    <row r="16" spans="1:63" ht="15" customHeight="1">
      <c r="A16" s="1"/>
      <c r="B16" s="545"/>
      <c r="C16" s="546"/>
      <c r="D16" s="546"/>
      <c r="E16" s="546"/>
      <c r="F16" s="546"/>
      <c r="G16" s="547"/>
      <c r="H16" s="545"/>
      <c r="I16" s="546"/>
      <c r="J16" s="546"/>
      <c r="K16" s="546"/>
      <c r="L16" s="546"/>
      <c r="M16" s="546"/>
      <c r="N16" s="547"/>
      <c r="O16" s="545"/>
      <c r="P16" s="546"/>
      <c r="Q16" s="546"/>
      <c r="R16" s="546"/>
      <c r="S16" s="706"/>
      <c r="T16" s="707"/>
      <c r="U16" s="707"/>
      <c r="V16" s="707"/>
      <c r="W16" s="707"/>
      <c r="X16" s="707"/>
      <c r="Y16" s="707"/>
      <c r="Z16" s="707"/>
      <c r="AA16" s="707"/>
      <c r="AB16" s="707"/>
      <c r="AC16" s="707"/>
      <c r="AD16" s="707"/>
      <c r="AE16" s="707"/>
      <c r="AF16" s="707"/>
      <c r="AG16" s="707"/>
      <c r="AH16" s="707"/>
      <c r="AI16" s="707"/>
      <c r="AJ16" s="707"/>
      <c r="AK16" s="707"/>
      <c r="AL16" s="707"/>
      <c r="AM16" s="707"/>
      <c r="AN16" s="707"/>
      <c r="AO16" s="707"/>
      <c r="AP16" s="707"/>
      <c r="AQ16" s="707"/>
      <c r="AR16" s="707"/>
      <c r="AS16" s="707"/>
      <c r="AT16" s="707"/>
      <c r="AU16" s="707"/>
      <c r="AV16" s="707"/>
      <c r="AW16" s="708"/>
      <c r="AX16" s="709"/>
      <c r="AY16" s="709"/>
      <c r="AZ16" s="709"/>
      <c r="BA16" s="709"/>
      <c r="BB16" s="709"/>
      <c r="BC16" s="710"/>
      <c r="BD16" s="711"/>
      <c r="BE16" s="709"/>
      <c r="BF16" s="709"/>
      <c r="BG16" s="709"/>
      <c r="BH16" s="709"/>
      <c r="BI16" s="709"/>
      <c r="BJ16" s="710"/>
      <c r="BK16" s="4"/>
    </row>
    <row r="17" spans="1:63" ht="15" customHeight="1">
      <c r="A17" s="1"/>
      <c r="B17" s="542"/>
      <c r="C17" s="543"/>
      <c r="D17" s="543"/>
      <c r="E17" s="543"/>
      <c r="F17" s="543"/>
      <c r="G17" s="544"/>
      <c r="H17" s="542"/>
      <c r="I17" s="543"/>
      <c r="J17" s="543"/>
      <c r="K17" s="543"/>
      <c r="L17" s="543"/>
      <c r="M17" s="543"/>
      <c r="N17" s="544"/>
      <c r="O17" s="542"/>
      <c r="P17" s="543"/>
      <c r="Q17" s="543"/>
      <c r="R17" s="543"/>
      <c r="S17" s="700"/>
      <c r="T17" s="701"/>
      <c r="U17" s="701"/>
      <c r="V17" s="701"/>
      <c r="W17" s="701"/>
      <c r="X17" s="701"/>
      <c r="Y17" s="701"/>
      <c r="Z17" s="701"/>
      <c r="AA17" s="701"/>
      <c r="AB17" s="701"/>
      <c r="AC17" s="701"/>
      <c r="AD17" s="701"/>
      <c r="AE17" s="701"/>
      <c r="AF17" s="701"/>
      <c r="AG17" s="701"/>
      <c r="AH17" s="701"/>
      <c r="AI17" s="701"/>
      <c r="AJ17" s="701"/>
      <c r="AK17" s="701"/>
      <c r="AL17" s="701"/>
      <c r="AM17" s="701"/>
      <c r="AN17" s="701"/>
      <c r="AO17" s="701"/>
      <c r="AP17" s="701"/>
      <c r="AQ17" s="701"/>
      <c r="AR17" s="701"/>
      <c r="AS17" s="701"/>
      <c r="AT17" s="701"/>
      <c r="AU17" s="701"/>
      <c r="AV17" s="701"/>
      <c r="AW17" s="702"/>
      <c r="AX17" s="703"/>
      <c r="AY17" s="703"/>
      <c r="AZ17" s="703"/>
      <c r="BA17" s="703"/>
      <c r="BB17" s="703"/>
      <c r="BC17" s="704"/>
      <c r="BD17" s="705"/>
      <c r="BE17" s="703"/>
      <c r="BF17" s="703"/>
      <c r="BG17" s="703"/>
      <c r="BH17" s="703"/>
      <c r="BI17" s="703"/>
      <c r="BJ17" s="704"/>
      <c r="BK17" s="4"/>
    </row>
    <row r="18" spans="1:63" ht="15" customHeight="1">
      <c r="A18" s="1"/>
      <c r="B18" s="545"/>
      <c r="C18" s="546"/>
      <c r="D18" s="546"/>
      <c r="E18" s="546"/>
      <c r="F18" s="546"/>
      <c r="G18" s="547"/>
      <c r="H18" s="545"/>
      <c r="I18" s="546"/>
      <c r="J18" s="546"/>
      <c r="K18" s="546"/>
      <c r="L18" s="546"/>
      <c r="M18" s="546"/>
      <c r="N18" s="547"/>
      <c r="O18" s="545"/>
      <c r="P18" s="546"/>
      <c r="Q18" s="546"/>
      <c r="R18" s="546"/>
      <c r="S18" s="706"/>
      <c r="T18" s="707"/>
      <c r="U18" s="707"/>
      <c r="V18" s="707"/>
      <c r="W18" s="707"/>
      <c r="X18" s="707"/>
      <c r="Y18" s="707"/>
      <c r="Z18" s="707"/>
      <c r="AA18" s="707"/>
      <c r="AB18" s="707"/>
      <c r="AC18" s="707"/>
      <c r="AD18" s="707"/>
      <c r="AE18" s="707"/>
      <c r="AF18" s="707"/>
      <c r="AG18" s="707"/>
      <c r="AH18" s="707"/>
      <c r="AI18" s="707"/>
      <c r="AJ18" s="707"/>
      <c r="AK18" s="707"/>
      <c r="AL18" s="707"/>
      <c r="AM18" s="707"/>
      <c r="AN18" s="707"/>
      <c r="AO18" s="707"/>
      <c r="AP18" s="707"/>
      <c r="AQ18" s="707"/>
      <c r="AR18" s="707"/>
      <c r="AS18" s="707"/>
      <c r="AT18" s="707"/>
      <c r="AU18" s="707"/>
      <c r="AV18" s="707"/>
      <c r="AW18" s="708"/>
      <c r="AX18" s="709"/>
      <c r="AY18" s="709"/>
      <c r="AZ18" s="709"/>
      <c r="BA18" s="709"/>
      <c r="BB18" s="709"/>
      <c r="BC18" s="710"/>
      <c r="BD18" s="711"/>
      <c r="BE18" s="709"/>
      <c r="BF18" s="709"/>
      <c r="BG18" s="709"/>
      <c r="BH18" s="709"/>
      <c r="BI18" s="709"/>
      <c r="BJ18" s="710"/>
      <c r="BK18" s="4"/>
    </row>
    <row r="19" spans="1:63" ht="15" customHeight="1">
      <c r="A19" s="1"/>
      <c r="B19" s="542"/>
      <c r="C19" s="543"/>
      <c r="D19" s="543"/>
      <c r="E19" s="543"/>
      <c r="F19" s="543"/>
      <c r="G19" s="544"/>
      <c r="H19" s="542"/>
      <c r="I19" s="543"/>
      <c r="J19" s="543"/>
      <c r="K19" s="543"/>
      <c r="L19" s="543"/>
      <c r="M19" s="543"/>
      <c r="N19" s="544"/>
      <c r="O19" s="542"/>
      <c r="P19" s="543"/>
      <c r="Q19" s="543"/>
      <c r="R19" s="543"/>
      <c r="S19" s="700"/>
      <c r="T19" s="701"/>
      <c r="U19" s="701"/>
      <c r="V19" s="701"/>
      <c r="W19" s="701"/>
      <c r="X19" s="701"/>
      <c r="Y19" s="701"/>
      <c r="Z19" s="701"/>
      <c r="AA19" s="701"/>
      <c r="AB19" s="701"/>
      <c r="AC19" s="701"/>
      <c r="AD19" s="701"/>
      <c r="AE19" s="701"/>
      <c r="AF19" s="701"/>
      <c r="AG19" s="701"/>
      <c r="AH19" s="701"/>
      <c r="AI19" s="701"/>
      <c r="AJ19" s="701"/>
      <c r="AK19" s="701"/>
      <c r="AL19" s="701"/>
      <c r="AM19" s="701"/>
      <c r="AN19" s="701"/>
      <c r="AO19" s="701"/>
      <c r="AP19" s="701"/>
      <c r="AQ19" s="701"/>
      <c r="AR19" s="701"/>
      <c r="AS19" s="701"/>
      <c r="AT19" s="701"/>
      <c r="AU19" s="701"/>
      <c r="AV19" s="701"/>
      <c r="AW19" s="702"/>
      <c r="AX19" s="703"/>
      <c r="AY19" s="703"/>
      <c r="AZ19" s="703"/>
      <c r="BA19" s="703"/>
      <c r="BB19" s="703"/>
      <c r="BC19" s="704"/>
      <c r="BD19" s="705"/>
      <c r="BE19" s="703"/>
      <c r="BF19" s="703"/>
      <c r="BG19" s="703"/>
      <c r="BH19" s="703"/>
      <c r="BI19" s="703"/>
      <c r="BJ19" s="704"/>
      <c r="BK19" s="4"/>
    </row>
    <row r="20" spans="1:63" ht="15" customHeight="1">
      <c r="A20" s="1"/>
      <c r="B20" s="545"/>
      <c r="C20" s="546"/>
      <c r="D20" s="546"/>
      <c r="E20" s="546"/>
      <c r="F20" s="546"/>
      <c r="G20" s="547"/>
      <c r="H20" s="545"/>
      <c r="I20" s="546"/>
      <c r="J20" s="546"/>
      <c r="K20" s="546"/>
      <c r="L20" s="546"/>
      <c r="M20" s="546"/>
      <c r="N20" s="547"/>
      <c r="O20" s="545"/>
      <c r="P20" s="546"/>
      <c r="Q20" s="546"/>
      <c r="R20" s="546"/>
      <c r="S20" s="706"/>
      <c r="T20" s="707"/>
      <c r="U20" s="707"/>
      <c r="V20" s="707"/>
      <c r="W20" s="707"/>
      <c r="X20" s="707"/>
      <c r="Y20" s="707"/>
      <c r="Z20" s="707"/>
      <c r="AA20" s="707"/>
      <c r="AB20" s="707"/>
      <c r="AC20" s="707"/>
      <c r="AD20" s="707"/>
      <c r="AE20" s="707"/>
      <c r="AF20" s="707"/>
      <c r="AG20" s="707"/>
      <c r="AH20" s="707"/>
      <c r="AI20" s="707"/>
      <c r="AJ20" s="707"/>
      <c r="AK20" s="707"/>
      <c r="AL20" s="707"/>
      <c r="AM20" s="707"/>
      <c r="AN20" s="707"/>
      <c r="AO20" s="707"/>
      <c r="AP20" s="707"/>
      <c r="AQ20" s="707"/>
      <c r="AR20" s="707"/>
      <c r="AS20" s="707"/>
      <c r="AT20" s="707"/>
      <c r="AU20" s="707"/>
      <c r="AV20" s="707"/>
      <c r="AW20" s="708"/>
      <c r="AX20" s="709"/>
      <c r="AY20" s="709"/>
      <c r="AZ20" s="709"/>
      <c r="BA20" s="709"/>
      <c r="BB20" s="709"/>
      <c r="BC20" s="710"/>
      <c r="BD20" s="711"/>
      <c r="BE20" s="709"/>
      <c r="BF20" s="709"/>
      <c r="BG20" s="709"/>
      <c r="BH20" s="709"/>
      <c r="BI20" s="709"/>
      <c r="BJ20" s="710"/>
      <c r="BK20" s="4"/>
    </row>
    <row r="21" spans="1:63" ht="15" customHeight="1">
      <c r="A21" s="1"/>
      <c r="B21" s="542"/>
      <c r="C21" s="543"/>
      <c r="D21" s="543"/>
      <c r="E21" s="543"/>
      <c r="F21" s="543"/>
      <c r="G21" s="544"/>
      <c r="H21" s="542"/>
      <c r="I21" s="543"/>
      <c r="J21" s="543"/>
      <c r="K21" s="543"/>
      <c r="L21" s="543"/>
      <c r="M21" s="543"/>
      <c r="N21" s="544"/>
      <c r="O21" s="542"/>
      <c r="P21" s="543"/>
      <c r="Q21" s="543"/>
      <c r="R21" s="543"/>
      <c r="S21" s="700"/>
      <c r="T21" s="701"/>
      <c r="U21" s="701"/>
      <c r="V21" s="701"/>
      <c r="W21" s="701"/>
      <c r="X21" s="701"/>
      <c r="Y21" s="701"/>
      <c r="Z21" s="701"/>
      <c r="AA21" s="701"/>
      <c r="AB21" s="701"/>
      <c r="AC21" s="701"/>
      <c r="AD21" s="701"/>
      <c r="AE21" s="701"/>
      <c r="AF21" s="701"/>
      <c r="AG21" s="701"/>
      <c r="AH21" s="701"/>
      <c r="AI21" s="701"/>
      <c r="AJ21" s="701"/>
      <c r="AK21" s="701"/>
      <c r="AL21" s="701"/>
      <c r="AM21" s="701"/>
      <c r="AN21" s="701"/>
      <c r="AO21" s="701"/>
      <c r="AP21" s="701"/>
      <c r="AQ21" s="701"/>
      <c r="AR21" s="701"/>
      <c r="AS21" s="701"/>
      <c r="AT21" s="701"/>
      <c r="AU21" s="701"/>
      <c r="AV21" s="701"/>
      <c r="AW21" s="702"/>
      <c r="AX21" s="703"/>
      <c r="AY21" s="703"/>
      <c r="AZ21" s="703"/>
      <c r="BA21" s="703"/>
      <c r="BB21" s="703"/>
      <c r="BC21" s="704"/>
      <c r="BD21" s="705"/>
      <c r="BE21" s="703"/>
      <c r="BF21" s="703"/>
      <c r="BG21" s="703"/>
      <c r="BH21" s="703"/>
      <c r="BI21" s="703"/>
      <c r="BJ21" s="704"/>
      <c r="BK21" s="4"/>
    </row>
    <row r="22" spans="1:63" ht="15" customHeight="1">
      <c r="A22" s="1"/>
      <c r="B22" s="545"/>
      <c r="C22" s="546"/>
      <c r="D22" s="546"/>
      <c r="E22" s="546"/>
      <c r="F22" s="546"/>
      <c r="G22" s="547"/>
      <c r="H22" s="545"/>
      <c r="I22" s="546"/>
      <c r="J22" s="546"/>
      <c r="K22" s="546"/>
      <c r="L22" s="546"/>
      <c r="M22" s="546"/>
      <c r="N22" s="547"/>
      <c r="O22" s="545"/>
      <c r="P22" s="546"/>
      <c r="Q22" s="546"/>
      <c r="R22" s="546"/>
      <c r="S22" s="706"/>
      <c r="T22" s="707"/>
      <c r="U22" s="707"/>
      <c r="V22" s="707"/>
      <c r="W22" s="707"/>
      <c r="X22" s="707"/>
      <c r="Y22" s="707"/>
      <c r="Z22" s="707"/>
      <c r="AA22" s="707"/>
      <c r="AB22" s="707"/>
      <c r="AC22" s="707"/>
      <c r="AD22" s="707"/>
      <c r="AE22" s="707"/>
      <c r="AF22" s="707"/>
      <c r="AG22" s="707"/>
      <c r="AH22" s="707"/>
      <c r="AI22" s="707"/>
      <c r="AJ22" s="707"/>
      <c r="AK22" s="707"/>
      <c r="AL22" s="707"/>
      <c r="AM22" s="707"/>
      <c r="AN22" s="707"/>
      <c r="AO22" s="707"/>
      <c r="AP22" s="707"/>
      <c r="AQ22" s="707"/>
      <c r="AR22" s="707"/>
      <c r="AS22" s="707"/>
      <c r="AT22" s="707"/>
      <c r="AU22" s="707"/>
      <c r="AV22" s="707"/>
      <c r="AW22" s="708"/>
      <c r="AX22" s="709"/>
      <c r="AY22" s="709"/>
      <c r="AZ22" s="709"/>
      <c r="BA22" s="709"/>
      <c r="BB22" s="709"/>
      <c r="BC22" s="710"/>
      <c r="BD22" s="711"/>
      <c r="BE22" s="709"/>
      <c r="BF22" s="709"/>
      <c r="BG22" s="709"/>
      <c r="BH22" s="709"/>
      <c r="BI22" s="709"/>
      <c r="BJ22" s="710"/>
      <c r="BK22" s="4"/>
    </row>
    <row r="23" spans="1:63" ht="15" customHeight="1">
      <c r="A23" s="1"/>
      <c r="B23" s="542"/>
      <c r="C23" s="543"/>
      <c r="D23" s="543"/>
      <c r="E23" s="543"/>
      <c r="F23" s="543"/>
      <c r="G23" s="544"/>
      <c r="H23" s="542"/>
      <c r="I23" s="543"/>
      <c r="J23" s="543"/>
      <c r="K23" s="543"/>
      <c r="L23" s="543"/>
      <c r="M23" s="543"/>
      <c r="N23" s="544"/>
      <c r="O23" s="542"/>
      <c r="P23" s="543"/>
      <c r="Q23" s="543"/>
      <c r="R23" s="543"/>
      <c r="S23" s="700"/>
      <c r="T23" s="701"/>
      <c r="U23" s="701"/>
      <c r="V23" s="701"/>
      <c r="W23" s="701"/>
      <c r="X23" s="701"/>
      <c r="Y23" s="701"/>
      <c r="Z23" s="701"/>
      <c r="AA23" s="701"/>
      <c r="AB23" s="701"/>
      <c r="AC23" s="701"/>
      <c r="AD23" s="701"/>
      <c r="AE23" s="701"/>
      <c r="AF23" s="701"/>
      <c r="AG23" s="701"/>
      <c r="AH23" s="701"/>
      <c r="AI23" s="701"/>
      <c r="AJ23" s="701"/>
      <c r="AK23" s="701"/>
      <c r="AL23" s="701"/>
      <c r="AM23" s="701"/>
      <c r="AN23" s="701"/>
      <c r="AO23" s="701"/>
      <c r="AP23" s="701"/>
      <c r="AQ23" s="701"/>
      <c r="AR23" s="701"/>
      <c r="AS23" s="701"/>
      <c r="AT23" s="701"/>
      <c r="AU23" s="701"/>
      <c r="AV23" s="701"/>
      <c r="AW23" s="702"/>
      <c r="AX23" s="703"/>
      <c r="AY23" s="703"/>
      <c r="AZ23" s="703"/>
      <c r="BA23" s="703"/>
      <c r="BB23" s="703"/>
      <c r="BC23" s="704"/>
      <c r="BD23" s="705"/>
      <c r="BE23" s="703"/>
      <c r="BF23" s="703"/>
      <c r="BG23" s="703"/>
      <c r="BH23" s="703"/>
      <c r="BI23" s="703"/>
      <c r="BJ23" s="704"/>
      <c r="BK23" s="4"/>
    </row>
    <row r="24" spans="1:63" ht="15" customHeight="1">
      <c r="A24" s="1"/>
      <c r="B24" s="545"/>
      <c r="C24" s="546"/>
      <c r="D24" s="546"/>
      <c r="E24" s="546"/>
      <c r="F24" s="546"/>
      <c r="G24" s="547"/>
      <c r="H24" s="545"/>
      <c r="I24" s="546"/>
      <c r="J24" s="546"/>
      <c r="K24" s="546"/>
      <c r="L24" s="546"/>
      <c r="M24" s="546"/>
      <c r="N24" s="547"/>
      <c r="O24" s="545"/>
      <c r="P24" s="546"/>
      <c r="Q24" s="546"/>
      <c r="R24" s="546"/>
      <c r="S24" s="706"/>
      <c r="T24" s="707"/>
      <c r="U24" s="707"/>
      <c r="V24" s="707"/>
      <c r="W24" s="707"/>
      <c r="X24" s="707"/>
      <c r="Y24" s="707"/>
      <c r="Z24" s="707"/>
      <c r="AA24" s="707"/>
      <c r="AB24" s="707"/>
      <c r="AC24" s="707"/>
      <c r="AD24" s="707"/>
      <c r="AE24" s="707"/>
      <c r="AF24" s="707"/>
      <c r="AG24" s="707"/>
      <c r="AH24" s="707"/>
      <c r="AI24" s="707"/>
      <c r="AJ24" s="707"/>
      <c r="AK24" s="707"/>
      <c r="AL24" s="707"/>
      <c r="AM24" s="707"/>
      <c r="AN24" s="707"/>
      <c r="AO24" s="707"/>
      <c r="AP24" s="707"/>
      <c r="AQ24" s="707"/>
      <c r="AR24" s="707"/>
      <c r="AS24" s="707"/>
      <c r="AT24" s="707"/>
      <c r="AU24" s="707"/>
      <c r="AV24" s="707"/>
      <c r="AW24" s="708"/>
      <c r="AX24" s="709"/>
      <c r="AY24" s="709"/>
      <c r="AZ24" s="709"/>
      <c r="BA24" s="709"/>
      <c r="BB24" s="709"/>
      <c r="BC24" s="710"/>
      <c r="BD24" s="711"/>
      <c r="BE24" s="709"/>
      <c r="BF24" s="709"/>
      <c r="BG24" s="709"/>
      <c r="BH24" s="709"/>
      <c r="BI24" s="709"/>
      <c r="BJ24" s="710"/>
      <c r="BK24" s="4"/>
    </row>
    <row r="25" spans="1:63" ht="15" customHeight="1">
      <c r="A25" s="1"/>
      <c r="B25" s="542"/>
      <c r="C25" s="543"/>
      <c r="D25" s="543"/>
      <c r="E25" s="543"/>
      <c r="F25" s="543"/>
      <c r="G25" s="544"/>
      <c r="H25" s="542"/>
      <c r="I25" s="543"/>
      <c r="J25" s="543"/>
      <c r="K25" s="543"/>
      <c r="L25" s="543"/>
      <c r="M25" s="543"/>
      <c r="N25" s="544"/>
      <c r="O25" s="542"/>
      <c r="P25" s="543"/>
      <c r="Q25" s="543"/>
      <c r="R25" s="543"/>
      <c r="S25" s="700"/>
      <c r="T25" s="701"/>
      <c r="U25" s="701"/>
      <c r="V25" s="701"/>
      <c r="W25" s="701"/>
      <c r="X25" s="701"/>
      <c r="Y25" s="701"/>
      <c r="Z25" s="701"/>
      <c r="AA25" s="701"/>
      <c r="AB25" s="701"/>
      <c r="AC25" s="701"/>
      <c r="AD25" s="701"/>
      <c r="AE25" s="701"/>
      <c r="AF25" s="701"/>
      <c r="AG25" s="701"/>
      <c r="AH25" s="701"/>
      <c r="AI25" s="701"/>
      <c r="AJ25" s="701"/>
      <c r="AK25" s="701"/>
      <c r="AL25" s="701"/>
      <c r="AM25" s="701"/>
      <c r="AN25" s="701"/>
      <c r="AO25" s="701"/>
      <c r="AP25" s="701"/>
      <c r="AQ25" s="701"/>
      <c r="AR25" s="701"/>
      <c r="AS25" s="701"/>
      <c r="AT25" s="701"/>
      <c r="AU25" s="701"/>
      <c r="AV25" s="701"/>
      <c r="AW25" s="702"/>
      <c r="AX25" s="703"/>
      <c r="AY25" s="703"/>
      <c r="AZ25" s="703"/>
      <c r="BA25" s="703"/>
      <c r="BB25" s="703"/>
      <c r="BC25" s="704"/>
      <c r="BD25" s="705"/>
      <c r="BE25" s="703"/>
      <c r="BF25" s="703"/>
      <c r="BG25" s="703"/>
      <c r="BH25" s="703"/>
      <c r="BI25" s="703"/>
      <c r="BJ25" s="704"/>
      <c r="BK25" s="4"/>
    </row>
    <row r="26" spans="1:63" ht="15" customHeight="1">
      <c r="A26" s="1"/>
      <c r="B26" s="545"/>
      <c r="C26" s="546"/>
      <c r="D26" s="546"/>
      <c r="E26" s="546"/>
      <c r="F26" s="546"/>
      <c r="G26" s="547"/>
      <c r="H26" s="545"/>
      <c r="I26" s="546"/>
      <c r="J26" s="546"/>
      <c r="K26" s="546"/>
      <c r="L26" s="546"/>
      <c r="M26" s="546"/>
      <c r="N26" s="547"/>
      <c r="O26" s="545"/>
      <c r="P26" s="546"/>
      <c r="Q26" s="546"/>
      <c r="R26" s="546"/>
      <c r="S26" s="706"/>
      <c r="T26" s="707"/>
      <c r="U26" s="707"/>
      <c r="V26" s="707"/>
      <c r="W26" s="707"/>
      <c r="X26" s="707"/>
      <c r="Y26" s="707"/>
      <c r="Z26" s="707"/>
      <c r="AA26" s="707"/>
      <c r="AB26" s="707"/>
      <c r="AC26" s="707"/>
      <c r="AD26" s="707"/>
      <c r="AE26" s="707"/>
      <c r="AF26" s="707"/>
      <c r="AG26" s="707"/>
      <c r="AH26" s="707"/>
      <c r="AI26" s="707"/>
      <c r="AJ26" s="707"/>
      <c r="AK26" s="707"/>
      <c r="AL26" s="707"/>
      <c r="AM26" s="707"/>
      <c r="AN26" s="707"/>
      <c r="AO26" s="707"/>
      <c r="AP26" s="707"/>
      <c r="AQ26" s="707"/>
      <c r="AR26" s="707"/>
      <c r="AS26" s="707"/>
      <c r="AT26" s="707"/>
      <c r="AU26" s="707"/>
      <c r="AV26" s="707"/>
      <c r="AW26" s="708"/>
      <c r="AX26" s="709"/>
      <c r="AY26" s="709"/>
      <c r="AZ26" s="709"/>
      <c r="BA26" s="709"/>
      <c r="BB26" s="709"/>
      <c r="BC26" s="710"/>
      <c r="BD26" s="711"/>
      <c r="BE26" s="709"/>
      <c r="BF26" s="709"/>
      <c r="BG26" s="709"/>
      <c r="BH26" s="709"/>
      <c r="BI26" s="709"/>
      <c r="BJ26" s="710"/>
      <c r="BK26" s="4"/>
    </row>
    <row r="27" spans="1:63" ht="15" customHeight="1">
      <c r="A27" s="1"/>
      <c r="B27" s="542"/>
      <c r="C27" s="543"/>
      <c r="D27" s="543"/>
      <c r="E27" s="543"/>
      <c r="F27" s="543"/>
      <c r="G27" s="544"/>
      <c r="H27" s="542"/>
      <c r="I27" s="543"/>
      <c r="J27" s="543"/>
      <c r="K27" s="543"/>
      <c r="L27" s="543"/>
      <c r="M27" s="543"/>
      <c r="N27" s="544"/>
      <c r="O27" s="542"/>
      <c r="P27" s="543"/>
      <c r="Q27" s="543"/>
      <c r="R27" s="543"/>
      <c r="S27" s="700"/>
      <c r="T27" s="701"/>
      <c r="U27" s="701"/>
      <c r="V27" s="701"/>
      <c r="W27" s="701"/>
      <c r="X27" s="701"/>
      <c r="Y27" s="701"/>
      <c r="Z27" s="701"/>
      <c r="AA27" s="701"/>
      <c r="AB27" s="701"/>
      <c r="AC27" s="701"/>
      <c r="AD27" s="701"/>
      <c r="AE27" s="701"/>
      <c r="AF27" s="701"/>
      <c r="AG27" s="701"/>
      <c r="AH27" s="701"/>
      <c r="AI27" s="701"/>
      <c r="AJ27" s="701"/>
      <c r="AK27" s="701"/>
      <c r="AL27" s="701"/>
      <c r="AM27" s="701"/>
      <c r="AN27" s="701"/>
      <c r="AO27" s="701"/>
      <c r="AP27" s="701"/>
      <c r="AQ27" s="701"/>
      <c r="AR27" s="701"/>
      <c r="AS27" s="701"/>
      <c r="AT27" s="701"/>
      <c r="AU27" s="701"/>
      <c r="AV27" s="701"/>
      <c r="AW27" s="702"/>
      <c r="AX27" s="703"/>
      <c r="AY27" s="703"/>
      <c r="AZ27" s="703"/>
      <c r="BA27" s="703"/>
      <c r="BB27" s="703"/>
      <c r="BC27" s="704"/>
      <c r="BD27" s="705"/>
      <c r="BE27" s="703"/>
      <c r="BF27" s="703"/>
      <c r="BG27" s="703"/>
      <c r="BH27" s="703"/>
      <c r="BI27" s="703"/>
      <c r="BJ27" s="704"/>
      <c r="BK27" s="4"/>
    </row>
    <row r="28" spans="1:63" ht="15" customHeight="1">
      <c r="A28" s="1"/>
      <c r="B28" s="545"/>
      <c r="C28" s="546"/>
      <c r="D28" s="546"/>
      <c r="E28" s="546"/>
      <c r="F28" s="546"/>
      <c r="G28" s="547"/>
      <c r="H28" s="545"/>
      <c r="I28" s="546"/>
      <c r="J28" s="546"/>
      <c r="K28" s="546"/>
      <c r="L28" s="546"/>
      <c r="M28" s="546"/>
      <c r="N28" s="547"/>
      <c r="O28" s="545"/>
      <c r="P28" s="546"/>
      <c r="Q28" s="546"/>
      <c r="R28" s="546"/>
      <c r="S28" s="706"/>
      <c r="T28" s="707"/>
      <c r="U28" s="707"/>
      <c r="V28" s="707"/>
      <c r="W28" s="707"/>
      <c r="X28" s="707"/>
      <c r="Y28" s="707"/>
      <c r="Z28" s="707"/>
      <c r="AA28" s="707"/>
      <c r="AB28" s="707"/>
      <c r="AC28" s="707"/>
      <c r="AD28" s="707"/>
      <c r="AE28" s="707"/>
      <c r="AF28" s="707"/>
      <c r="AG28" s="707"/>
      <c r="AH28" s="707"/>
      <c r="AI28" s="707"/>
      <c r="AJ28" s="707"/>
      <c r="AK28" s="707"/>
      <c r="AL28" s="707"/>
      <c r="AM28" s="707"/>
      <c r="AN28" s="707"/>
      <c r="AO28" s="707"/>
      <c r="AP28" s="707"/>
      <c r="AQ28" s="707"/>
      <c r="AR28" s="707"/>
      <c r="AS28" s="707"/>
      <c r="AT28" s="707"/>
      <c r="AU28" s="707"/>
      <c r="AV28" s="707"/>
      <c r="AW28" s="708"/>
      <c r="AX28" s="709"/>
      <c r="AY28" s="709"/>
      <c r="AZ28" s="709"/>
      <c r="BA28" s="709"/>
      <c r="BB28" s="709"/>
      <c r="BC28" s="710"/>
      <c r="BD28" s="711"/>
      <c r="BE28" s="709"/>
      <c r="BF28" s="709"/>
      <c r="BG28" s="709"/>
      <c r="BH28" s="709"/>
      <c r="BI28" s="709"/>
      <c r="BJ28" s="710"/>
      <c r="BK28" s="4"/>
    </row>
    <row r="29" spans="1:63" ht="15" customHeight="1">
      <c r="A29" s="1"/>
      <c r="B29" s="542"/>
      <c r="C29" s="543"/>
      <c r="D29" s="543"/>
      <c r="E29" s="543"/>
      <c r="F29" s="543"/>
      <c r="G29" s="544"/>
      <c r="H29" s="542"/>
      <c r="I29" s="543"/>
      <c r="J29" s="543"/>
      <c r="K29" s="543"/>
      <c r="L29" s="543"/>
      <c r="M29" s="543"/>
      <c r="N29" s="544"/>
      <c r="O29" s="542"/>
      <c r="P29" s="543"/>
      <c r="Q29" s="543"/>
      <c r="R29" s="543"/>
      <c r="S29" s="700"/>
      <c r="T29" s="701"/>
      <c r="U29" s="701"/>
      <c r="V29" s="701"/>
      <c r="W29" s="701"/>
      <c r="X29" s="701"/>
      <c r="Y29" s="701"/>
      <c r="Z29" s="701"/>
      <c r="AA29" s="701"/>
      <c r="AB29" s="701"/>
      <c r="AC29" s="701"/>
      <c r="AD29" s="701"/>
      <c r="AE29" s="701"/>
      <c r="AF29" s="701"/>
      <c r="AG29" s="701"/>
      <c r="AH29" s="701"/>
      <c r="AI29" s="701"/>
      <c r="AJ29" s="701"/>
      <c r="AK29" s="701"/>
      <c r="AL29" s="701"/>
      <c r="AM29" s="701"/>
      <c r="AN29" s="701"/>
      <c r="AO29" s="701"/>
      <c r="AP29" s="701"/>
      <c r="AQ29" s="701"/>
      <c r="AR29" s="701"/>
      <c r="AS29" s="701"/>
      <c r="AT29" s="701"/>
      <c r="AU29" s="701"/>
      <c r="AV29" s="701"/>
      <c r="AW29" s="702"/>
      <c r="AX29" s="703"/>
      <c r="AY29" s="703"/>
      <c r="AZ29" s="703"/>
      <c r="BA29" s="703"/>
      <c r="BB29" s="703"/>
      <c r="BC29" s="704"/>
      <c r="BD29" s="705"/>
      <c r="BE29" s="703"/>
      <c r="BF29" s="703"/>
      <c r="BG29" s="703"/>
      <c r="BH29" s="703"/>
      <c r="BI29" s="703"/>
      <c r="BJ29" s="704"/>
      <c r="BK29" s="4"/>
    </row>
    <row r="30" spans="1:63" ht="15" customHeight="1">
      <c r="A30" s="1"/>
      <c r="B30" s="545"/>
      <c r="C30" s="546"/>
      <c r="D30" s="546"/>
      <c r="E30" s="546"/>
      <c r="F30" s="546"/>
      <c r="G30" s="547"/>
      <c r="H30" s="545"/>
      <c r="I30" s="546"/>
      <c r="J30" s="546"/>
      <c r="K30" s="546"/>
      <c r="L30" s="546"/>
      <c r="M30" s="546"/>
      <c r="N30" s="547"/>
      <c r="O30" s="545"/>
      <c r="P30" s="546"/>
      <c r="Q30" s="546"/>
      <c r="R30" s="546"/>
      <c r="S30" s="706"/>
      <c r="T30" s="707"/>
      <c r="U30" s="707"/>
      <c r="V30" s="707"/>
      <c r="W30" s="707"/>
      <c r="X30" s="707"/>
      <c r="Y30" s="707"/>
      <c r="Z30" s="707"/>
      <c r="AA30" s="707"/>
      <c r="AB30" s="707"/>
      <c r="AC30" s="707"/>
      <c r="AD30" s="707"/>
      <c r="AE30" s="707"/>
      <c r="AF30" s="707"/>
      <c r="AG30" s="707"/>
      <c r="AH30" s="707"/>
      <c r="AI30" s="707"/>
      <c r="AJ30" s="707"/>
      <c r="AK30" s="707"/>
      <c r="AL30" s="707"/>
      <c r="AM30" s="707"/>
      <c r="AN30" s="707"/>
      <c r="AO30" s="707"/>
      <c r="AP30" s="707"/>
      <c r="AQ30" s="707"/>
      <c r="AR30" s="707"/>
      <c r="AS30" s="707"/>
      <c r="AT30" s="707"/>
      <c r="AU30" s="707"/>
      <c r="AV30" s="707"/>
      <c r="AW30" s="708"/>
      <c r="AX30" s="709"/>
      <c r="AY30" s="709"/>
      <c r="AZ30" s="709"/>
      <c r="BA30" s="709"/>
      <c r="BB30" s="709"/>
      <c r="BC30" s="710"/>
      <c r="BD30" s="711"/>
      <c r="BE30" s="709"/>
      <c r="BF30" s="709"/>
      <c r="BG30" s="709"/>
      <c r="BH30" s="709"/>
      <c r="BI30" s="709"/>
      <c r="BJ30" s="710"/>
      <c r="BK30" s="4"/>
    </row>
    <row r="31" spans="1:63" ht="15" customHeight="1">
      <c r="A31" s="1"/>
      <c r="B31" s="542"/>
      <c r="C31" s="543"/>
      <c r="D31" s="543"/>
      <c r="E31" s="543"/>
      <c r="F31" s="543"/>
      <c r="G31" s="544"/>
      <c r="H31" s="542"/>
      <c r="I31" s="543"/>
      <c r="J31" s="543"/>
      <c r="K31" s="543"/>
      <c r="L31" s="543"/>
      <c r="M31" s="543"/>
      <c r="N31" s="544"/>
      <c r="O31" s="542"/>
      <c r="P31" s="543"/>
      <c r="Q31" s="543"/>
      <c r="R31" s="543"/>
      <c r="S31" s="700"/>
      <c r="T31" s="701"/>
      <c r="U31" s="701"/>
      <c r="V31" s="701"/>
      <c r="W31" s="701"/>
      <c r="X31" s="701"/>
      <c r="Y31" s="701"/>
      <c r="Z31" s="701"/>
      <c r="AA31" s="701"/>
      <c r="AB31" s="701"/>
      <c r="AC31" s="701"/>
      <c r="AD31" s="701"/>
      <c r="AE31" s="701"/>
      <c r="AF31" s="701"/>
      <c r="AG31" s="701"/>
      <c r="AH31" s="701"/>
      <c r="AI31" s="701"/>
      <c r="AJ31" s="701"/>
      <c r="AK31" s="701"/>
      <c r="AL31" s="701"/>
      <c r="AM31" s="701"/>
      <c r="AN31" s="701"/>
      <c r="AO31" s="701"/>
      <c r="AP31" s="701"/>
      <c r="AQ31" s="701"/>
      <c r="AR31" s="701"/>
      <c r="AS31" s="701"/>
      <c r="AT31" s="701"/>
      <c r="AU31" s="701"/>
      <c r="AV31" s="701"/>
      <c r="AW31" s="702"/>
      <c r="AX31" s="703"/>
      <c r="AY31" s="703"/>
      <c r="AZ31" s="703"/>
      <c r="BA31" s="703"/>
      <c r="BB31" s="703"/>
      <c r="BC31" s="704"/>
      <c r="BD31" s="705"/>
      <c r="BE31" s="703"/>
      <c r="BF31" s="703"/>
      <c r="BG31" s="703"/>
      <c r="BH31" s="703"/>
      <c r="BI31" s="703"/>
      <c r="BJ31" s="704"/>
      <c r="BK31" s="4"/>
    </row>
    <row r="32" spans="1:63" ht="15" customHeight="1">
      <c r="A32" s="1"/>
      <c r="B32" s="545"/>
      <c r="C32" s="546"/>
      <c r="D32" s="546"/>
      <c r="E32" s="546"/>
      <c r="F32" s="546"/>
      <c r="G32" s="547"/>
      <c r="H32" s="545"/>
      <c r="I32" s="546"/>
      <c r="J32" s="546"/>
      <c r="K32" s="546"/>
      <c r="L32" s="546"/>
      <c r="M32" s="546"/>
      <c r="N32" s="547"/>
      <c r="O32" s="545"/>
      <c r="P32" s="546"/>
      <c r="Q32" s="546"/>
      <c r="R32" s="546"/>
      <c r="S32" s="706"/>
      <c r="T32" s="707"/>
      <c r="U32" s="707"/>
      <c r="V32" s="707"/>
      <c r="W32" s="707"/>
      <c r="X32" s="707"/>
      <c r="Y32" s="707"/>
      <c r="Z32" s="707"/>
      <c r="AA32" s="707"/>
      <c r="AB32" s="707"/>
      <c r="AC32" s="707"/>
      <c r="AD32" s="707"/>
      <c r="AE32" s="707"/>
      <c r="AF32" s="707"/>
      <c r="AG32" s="707"/>
      <c r="AH32" s="707"/>
      <c r="AI32" s="707"/>
      <c r="AJ32" s="707"/>
      <c r="AK32" s="707"/>
      <c r="AL32" s="707"/>
      <c r="AM32" s="707"/>
      <c r="AN32" s="707"/>
      <c r="AO32" s="707"/>
      <c r="AP32" s="707"/>
      <c r="AQ32" s="707"/>
      <c r="AR32" s="707"/>
      <c r="AS32" s="707"/>
      <c r="AT32" s="707"/>
      <c r="AU32" s="707"/>
      <c r="AV32" s="707"/>
      <c r="AW32" s="708"/>
      <c r="AX32" s="709"/>
      <c r="AY32" s="709"/>
      <c r="AZ32" s="709"/>
      <c r="BA32" s="709"/>
      <c r="BB32" s="709"/>
      <c r="BC32" s="710"/>
      <c r="BD32" s="711"/>
      <c r="BE32" s="709"/>
      <c r="BF32" s="709"/>
      <c r="BG32" s="709"/>
      <c r="BH32" s="709"/>
      <c r="BI32" s="709"/>
      <c r="BJ32" s="710"/>
      <c r="BK32" s="4"/>
    </row>
    <row r="33" spans="1:63" ht="15" customHeight="1">
      <c r="A33" s="1"/>
      <c r="B33" s="542"/>
      <c r="C33" s="543"/>
      <c r="D33" s="543"/>
      <c r="E33" s="543"/>
      <c r="F33" s="543"/>
      <c r="G33" s="544"/>
      <c r="H33" s="542"/>
      <c r="I33" s="543"/>
      <c r="J33" s="543"/>
      <c r="K33" s="543"/>
      <c r="L33" s="543"/>
      <c r="M33" s="543"/>
      <c r="N33" s="544"/>
      <c r="O33" s="542"/>
      <c r="P33" s="543"/>
      <c r="Q33" s="543"/>
      <c r="R33" s="543"/>
      <c r="S33" s="700"/>
      <c r="T33" s="701"/>
      <c r="U33" s="701"/>
      <c r="V33" s="701"/>
      <c r="W33" s="701"/>
      <c r="X33" s="701"/>
      <c r="Y33" s="701"/>
      <c r="Z33" s="701"/>
      <c r="AA33" s="701"/>
      <c r="AB33" s="701"/>
      <c r="AC33" s="701"/>
      <c r="AD33" s="701"/>
      <c r="AE33" s="701"/>
      <c r="AF33" s="701"/>
      <c r="AG33" s="701"/>
      <c r="AH33" s="701"/>
      <c r="AI33" s="701"/>
      <c r="AJ33" s="701"/>
      <c r="AK33" s="701"/>
      <c r="AL33" s="701"/>
      <c r="AM33" s="701"/>
      <c r="AN33" s="701"/>
      <c r="AO33" s="701"/>
      <c r="AP33" s="701"/>
      <c r="AQ33" s="701"/>
      <c r="AR33" s="701"/>
      <c r="AS33" s="701"/>
      <c r="AT33" s="701"/>
      <c r="AU33" s="701"/>
      <c r="AV33" s="701"/>
      <c r="AW33" s="702"/>
      <c r="AX33" s="703"/>
      <c r="AY33" s="703"/>
      <c r="AZ33" s="703"/>
      <c r="BA33" s="703"/>
      <c r="BB33" s="703"/>
      <c r="BC33" s="704"/>
      <c r="BD33" s="705"/>
      <c r="BE33" s="703"/>
      <c r="BF33" s="703"/>
      <c r="BG33" s="703"/>
      <c r="BH33" s="703"/>
      <c r="BI33" s="703"/>
      <c r="BJ33" s="704"/>
      <c r="BK33" s="4"/>
    </row>
    <row r="34" spans="1:63" ht="15" customHeight="1">
      <c r="A34" s="1"/>
      <c r="B34" s="545"/>
      <c r="C34" s="546"/>
      <c r="D34" s="546"/>
      <c r="E34" s="546"/>
      <c r="F34" s="546"/>
      <c r="G34" s="547"/>
      <c r="H34" s="545"/>
      <c r="I34" s="546"/>
      <c r="J34" s="546"/>
      <c r="K34" s="546"/>
      <c r="L34" s="546"/>
      <c r="M34" s="546"/>
      <c r="N34" s="547"/>
      <c r="O34" s="545"/>
      <c r="P34" s="546"/>
      <c r="Q34" s="546"/>
      <c r="R34" s="546"/>
      <c r="S34" s="706"/>
      <c r="T34" s="707"/>
      <c r="U34" s="707"/>
      <c r="V34" s="707"/>
      <c r="W34" s="707"/>
      <c r="X34" s="707"/>
      <c r="Y34" s="707"/>
      <c r="Z34" s="707"/>
      <c r="AA34" s="707"/>
      <c r="AB34" s="707"/>
      <c r="AC34" s="707"/>
      <c r="AD34" s="707"/>
      <c r="AE34" s="707"/>
      <c r="AF34" s="707"/>
      <c r="AG34" s="707"/>
      <c r="AH34" s="707"/>
      <c r="AI34" s="707"/>
      <c r="AJ34" s="707"/>
      <c r="AK34" s="707"/>
      <c r="AL34" s="707"/>
      <c r="AM34" s="707"/>
      <c r="AN34" s="707"/>
      <c r="AO34" s="707"/>
      <c r="AP34" s="707"/>
      <c r="AQ34" s="707"/>
      <c r="AR34" s="707"/>
      <c r="AS34" s="707"/>
      <c r="AT34" s="707"/>
      <c r="AU34" s="707"/>
      <c r="AV34" s="707"/>
      <c r="AW34" s="708"/>
      <c r="AX34" s="709"/>
      <c r="AY34" s="709"/>
      <c r="AZ34" s="709"/>
      <c r="BA34" s="709"/>
      <c r="BB34" s="709"/>
      <c r="BC34" s="710"/>
      <c r="BD34" s="711"/>
      <c r="BE34" s="709"/>
      <c r="BF34" s="709"/>
      <c r="BG34" s="709"/>
      <c r="BH34" s="709"/>
      <c r="BI34" s="709"/>
      <c r="BJ34" s="710"/>
      <c r="BK34" s="4"/>
    </row>
    <row r="35" spans="1:63" ht="15" customHeight="1">
      <c r="A35" s="1"/>
      <c r="B35" s="542"/>
      <c r="C35" s="543"/>
      <c r="D35" s="543"/>
      <c r="E35" s="543"/>
      <c r="F35" s="543"/>
      <c r="G35" s="544"/>
      <c r="H35" s="542"/>
      <c r="I35" s="543"/>
      <c r="J35" s="543"/>
      <c r="K35" s="543"/>
      <c r="L35" s="543"/>
      <c r="M35" s="543"/>
      <c r="N35" s="544"/>
      <c r="O35" s="542"/>
      <c r="P35" s="543"/>
      <c r="Q35" s="543"/>
      <c r="R35" s="543"/>
      <c r="S35" s="700"/>
      <c r="T35" s="701"/>
      <c r="U35" s="701"/>
      <c r="V35" s="701"/>
      <c r="W35" s="701"/>
      <c r="X35" s="701"/>
      <c r="Y35" s="701"/>
      <c r="Z35" s="701"/>
      <c r="AA35" s="701"/>
      <c r="AB35" s="701"/>
      <c r="AC35" s="701"/>
      <c r="AD35" s="701"/>
      <c r="AE35" s="701"/>
      <c r="AF35" s="701"/>
      <c r="AG35" s="701"/>
      <c r="AH35" s="701"/>
      <c r="AI35" s="701"/>
      <c r="AJ35" s="701"/>
      <c r="AK35" s="701"/>
      <c r="AL35" s="701"/>
      <c r="AM35" s="701"/>
      <c r="AN35" s="701"/>
      <c r="AO35" s="701"/>
      <c r="AP35" s="701"/>
      <c r="AQ35" s="701"/>
      <c r="AR35" s="701"/>
      <c r="AS35" s="701"/>
      <c r="AT35" s="701"/>
      <c r="AU35" s="701"/>
      <c r="AV35" s="701"/>
      <c r="AW35" s="702"/>
      <c r="AX35" s="703"/>
      <c r="AY35" s="703"/>
      <c r="AZ35" s="703"/>
      <c r="BA35" s="703"/>
      <c r="BB35" s="703"/>
      <c r="BC35" s="704"/>
      <c r="BD35" s="705"/>
      <c r="BE35" s="703"/>
      <c r="BF35" s="703"/>
      <c r="BG35" s="703"/>
      <c r="BH35" s="703"/>
      <c r="BI35" s="703"/>
      <c r="BJ35" s="704"/>
      <c r="BK35" s="4"/>
    </row>
    <row r="36" spans="1:63" ht="15" customHeight="1">
      <c r="A36" s="1"/>
      <c r="B36" s="545"/>
      <c r="C36" s="546"/>
      <c r="D36" s="546"/>
      <c r="E36" s="546"/>
      <c r="F36" s="546"/>
      <c r="G36" s="547"/>
      <c r="H36" s="545"/>
      <c r="I36" s="546"/>
      <c r="J36" s="546"/>
      <c r="K36" s="546"/>
      <c r="L36" s="546"/>
      <c r="M36" s="546"/>
      <c r="N36" s="547"/>
      <c r="O36" s="545"/>
      <c r="P36" s="546"/>
      <c r="Q36" s="546"/>
      <c r="R36" s="546"/>
      <c r="S36" s="706"/>
      <c r="T36" s="707"/>
      <c r="U36" s="707"/>
      <c r="V36" s="707"/>
      <c r="W36" s="707"/>
      <c r="X36" s="707"/>
      <c r="Y36" s="707"/>
      <c r="Z36" s="707"/>
      <c r="AA36" s="707"/>
      <c r="AB36" s="707"/>
      <c r="AC36" s="707"/>
      <c r="AD36" s="707"/>
      <c r="AE36" s="707"/>
      <c r="AF36" s="707"/>
      <c r="AG36" s="707"/>
      <c r="AH36" s="707"/>
      <c r="AI36" s="707"/>
      <c r="AJ36" s="707"/>
      <c r="AK36" s="707"/>
      <c r="AL36" s="707"/>
      <c r="AM36" s="707"/>
      <c r="AN36" s="707"/>
      <c r="AO36" s="707"/>
      <c r="AP36" s="707"/>
      <c r="AQ36" s="707"/>
      <c r="AR36" s="707"/>
      <c r="AS36" s="707"/>
      <c r="AT36" s="707"/>
      <c r="AU36" s="707"/>
      <c r="AV36" s="707"/>
      <c r="AW36" s="708"/>
      <c r="AX36" s="709"/>
      <c r="AY36" s="709"/>
      <c r="AZ36" s="709"/>
      <c r="BA36" s="709"/>
      <c r="BB36" s="709"/>
      <c r="BC36" s="710"/>
      <c r="BD36" s="711"/>
      <c r="BE36" s="709"/>
      <c r="BF36" s="709"/>
      <c r="BG36" s="709"/>
      <c r="BH36" s="709"/>
      <c r="BI36" s="709"/>
      <c r="BJ36" s="710"/>
      <c r="BK36" s="4"/>
    </row>
    <row r="37" spans="1:63" ht="15" customHeight="1">
      <c r="A37" s="1"/>
      <c r="B37" s="542"/>
      <c r="C37" s="543"/>
      <c r="D37" s="543"/>
      <c r="E37" s="543"/>
      <c r="F37" s="543"/>
      <c r="G37" s="544"/>
      <c r="H37" s="542"/>
      <c r="I37" s="543"/>
      <c r="J37" s="543"/>
      <c r="K37" s="543"/>
      <c r="L37" s="543"/>
      <c r="M37" s="543"/>
      <c r="N37" s="544"/>
      <c r="O37" s="542"/>
      <c r="P37" s="543"/>
      <c r="Q37" s="543"/>
      <c r="R37" s="543"/>
      <c r="S37" s="700"/>
      <c r="T37" s="701"/>
      <c r="U37" s="701"/>
      <c r="V37" s="701"/>
      <c r="W37" s="701"/>
      <c r="X37" s="701"/>
      <c r="Y37" s="701"/>
      <c r="Z37" s="701"/>
      <c r="AA37" s="701"/>
      <c r="AB37" s="701"/>
      <c r="AC37" s="701"/>
      <c r="AD37" s="701"/>
      <c r="AE37" s="701"/>
      <c r="AF37" s="701"/>
      <c r="AG37" s="701"/>
      <c r="AH37" s="701"/>
      <c r="AI37" s="701"/>
      <c r="AJ37" s="701"/>
      <c r="AK37" s="701"/>
      <c r="AL37" s="701"/>
      <c r="AM37" s="701"/>
      <c r="AN37" s="701"/>
      <c r="AO37" s="701"/>
      <c r="AP37" s="701"/>
      <c r="AQ37" s="701"/>
      <c r="AR37" s="701"/>
      <c r="AS37" s="701"/>
      <c r="AT37" s="701"/>
      <c r="AU37" s="701"/>
      <c r="AV37" s="701"/>
      <c r="AW37" s="702"/>
      <c r="AX37" s="703"/>
      <c r="AY37" s="703"/>
      <c r="AZ37" s="703"/>
      <c r="BA37" s="703"/>
      <c r="BB37" s="703"/>
      <c r="BC37" s="704"/>
      <c r="BD37" s="705"/>
      <c r="BE37" s="703"/>
      <c r="BF37" s="703"/>
      <c r="BG37" s="703"/>
      <c r="BH37" s="703"/>
      <c r="BI37" s="703"/>
      <c r="BJ37" s="704"/>
      <c r="BK37" s="4"/>
    </row>
    <row r="38" spans="1:63" ht="15" customHeight="1">
      <c r="A38" s="1"/>
      <c r="B38" s="545"/>
      <c r="C38" s="546"/>
      <c r="D38" s="546"/>
      <c r="E38" s="546"/>
      <c r="F38" s="546"/>
      <c r="G38" s="547"/>
      <c r="H38" s="545"/>
      <c r="I38" s="546"/>
      <c r="J38" s="546"/>
      <c r="K38" s="546"/>
      <c r="L38" s="546"/>
      <c r="M38" s="546"/>
      <c r="N38" s="547"/>
      <c r="O38" s="545"/>
      <c r="P38" s="546"/>
      <c r="Q38" s="546"/>
      <c r="R38" s="546"/>
      <c r="S38" s="706"/>
      <c r="T38" s="707"/>
      <c r="U38" s="707"/>
      <c r="V38" s="707"/>
      <c r="W38" s="707"/>
      <c r="X38" s="707"/>
      <c r="Y38" s="707"/>
      <c r="Z38" s="707"/>
      <c r="AA38" s="707"/>
      <c r="AB38" s="707"/>
      <c r="AC38" s="707"/>
      <c r="AD38" s="707"/>
      <c r="AE38" s="707"/>
      <c r="AF38" s="707"/>
      <c r="AG38" s="707"/>
      <c r="AH38" s="707"/>
      <c r="AI38" s="707"/>
      <c r="AJ38" s="707"/>
      <c r="AK38" s="707"/>
      <c r="AL38" s="707"/>
      <c r="AM38" s="707"/>
      <c r="AN38" s="707"/>
      <c r="AO38" s="707"/>
      <c r="AP38" s="707"/>
      <c r="AQ38" s="707"/>
      <c r="AR38" s="707"/>
      <c r="AS38" s="707"/>
      <c r="AT38" s="707"/>
      <c r="AU38" s="707"/>
      <c r="AV38" s="707"/>
      <c r="AW38" s="708"/>
      <c r="AX38" s="709"/>
      <c r="AY38" s="709"/>
      <c r="AZ38" s="709"/>
      <c r="BA38" s="709"/>
      <c r="BB38" s="709"/>
      <c r="BC38" s="710"/>
      <c r="BD38" s="711"/>
      <c r="BE38" s="709"/>
      <c r="BF38" s="709"/>
      <c r="BG38" s="709"/>
      <c r="BH38" s="709"/>
      <c r="BI38" s="709"/>
      <c r="BJ38" s="710"/>
      <c r="BK38" s="4"/>
    </row>
    <row r="39" spans="1:63" ht="15" customHeight="1">
      <c r="A39" s="1"/>
      <c r="B39" s="542"/>
      <c r="C39" s="543"/>
      <c r="D39" s="543"/>
      <c r="E39" s="543"/>
      <c r="F39" s="543"/>
      <c r="G39" s="544"/>
      <c r="H39" s="542"/>
      <c r="I39" s="543"/>
      <c r="J39" s="543"/>
      <c r="K39" s="543"/>
      <c r="L39" s="543"/>
      <c r="M39" s="543"/>
      <c r="N39" s="544"/>
      <c r="O39" s="542"/>
      <c r="P39" s="543"/>
      <c r="Q39" s="543"/>
      <c r="R39" s="543"/>
      <c r="S39" s="700"/>
      <c r="T39" s="701"/>
      <c r="U39" s="701"/>
      <c r="V39" s="701"/>
      <c r="W39" s="701"/>
      <c r="X39" s="701"/>
      <c r="Y39" s="701"/>
      <c r="Z39" s="701"/>
      <c r="AA39" s="701"/>
      <c r="AB39" s="701"/>
      <c r="AC39" s="701"/>
      <c r="AD39" s="701"/>
      <c r="AE39" s="701"/>
      <c r="AF39" s="701"/>
      <c r="AG39" s="701"/>
      <c r="AH39" s="701"/>
      <c r="AI39" s="701"/>
      <c r="AJ39" s="701"/>
      <c r="AK39" s="701"/>
      <c r="AL39" s="701"/>
      <c r="AM39" s="701"/>
      <c r="AN39" s="701"/>
      <c r="AO39" s="701"/>
      <c r="AP39" s="701"/>
      <c r="AQ39" s="701"/>
      <c r="AR39" s="701"/>
      <c r="AS39" s="701"/>
      <c r="AT39" s="701"/>
      <c r="AU39" s="701"/>
      <c r="AV39" s="701"/>
      <c r="AW39" s="702"/>
      <c r="AX39" s="703"/>
      <c r="AY39" s="703"/>
      <c r="AZ39" s="703"/>
      <c r="BA39" s="703"/>
      <c r="BB39" s="703"/>
      <c r="BC39" s="704"/>
      <c r="BD39" s="705"/>
      <c r="BE39" s="703"/>
      <c r="BF39" s="703"/>
      <c r="BG39" s="703"/>
      <c r="BH39" s="703"/>
      <c r="BI39" s="703"/>
      <c r="BJ39" s="704"/>
      <c r="BK39" s="4"/>
    </row>
    <row r="40" spans="1:63" ht="15" customHeight="1">
      <c r="A40" s="1"/>
      <c r="B40" s="545"/>
      <c r="C40" s="546"/>
      <c r="D40" s="546"/>
      <c r="E40" s="546"/>
      <c r="F40" s="546"/>
      <c r="G40" s="547"/>
      <c r="H40" s="545"/>
      <c r="I40" s="546"/>
      <c r="J40" s="546"/>
      <c r="K40" s="546"/>
      <c r="L40" s="546"/>
      <c r="M40" s="546"/>
      <c r="N40" s="547"/>
      <c r="O40" s="545"/>
      <c r="P40" s="546"/>
      <c r="Q40" s="546"/>
      <c r="R40" s="546"/>
      <c r="S40" s="706"/>
      <c r="T40" s="707"/>
      <c r="U40" s="707"/>
      <c r="V40" s="707"/>
      <c r="W40" s="707"/>
      <c r="X40" s="707"/>
      <c r="Y40" s="707"/>
      <c r="Z40" s="707"/>
      <c r="AA40" s="707"/>
      <c r="AB40" s="707"/>
      <c r="AC40" s="707"/>
      <c r="AD40" s="707"/>
      <c r="AE40" s="707"/>
      <c r="AF40" s="707"/>
      <c r="AG40" s="707"/>
      <c r="AH40" s="707"/>
      <c r="AI40" s="707"/>
      <c r="AJ40" s="707"/>
      <c r="AK40" s="707"/>
      <c r="AL40" s="707"/>
      <c r="AM40" s="707"/>
      <c r="AN40" s="707"/>
      <c r="AO40" s="707"/>
      <c r="AP40" s="707"/>
      <c r="AQ40" s="707"/>
      <c r="AR40" s="707"/>
      <c r="AS40" s="707"/>
      <c r="AT40" s="707"/>
      <c r="AU40" s="707"/>
      <c r="AV40" s="707"/>
      <c r="AW40" s="708"/>
      <c r="AX40" s="709"/>
      <c r="AY40" s="709"/>
      <c r="AZ40" s="709"/>
      <c r="BA40" s="709"/>
      <c r="BB40" s="709"/>
      <c r="BC40" s="710"/>
      <c r="BD40" s="711"/>
      <c r="BE40" s="709"/>
      <c r="BF40" s="709"/>
      <c r="BG40" s="709"/>
      <c r="BH40" s="709"/>
      <c r="BI40" s="709"/>
      <c r="BJ40" s="710"/>
      <c r="BK40" s="4"/>
    </row>
    <row r="41" spans="1:63" ht="15" customHeight="1">
      <c r="A41" s="1"/>
      <c r="B41" s="542"/>
      <c r="C41" s="543"/>
      <c r="D41" s="543"/>
      <c r="E41" s="543"/>
      <c r="F41" s="543"/>
      <c r="G41" s="544"/>
      <c r="H41" s="542"/>
      <c r="I41" s="543"/>
      <c r="J41" s="543"/>
      <c r="K41" s="543"/>
      <c r="L41" s="543"/>
      <c r="M41" s="543"/>
      <c r="N41" s="544"/>
      <c r="O41" s="542"/>
      <c r="P41" s="543"/>
      <c r="Q41" s="543"/>
      <c r="R41" s="543"/>
      <c r="S41" s="700"/>
      <c r="T41" s="701"/>
      <c r="U41" s="701"/>
      <c r="V41" s="701"/>
      <c r="W41" s="701"/>
      <c r="X41" s="701"/>
      <c r="Y41" s="701"/>
      <c r="Z41" s="701"/>
      <c r="AA41" s="701"/>
      <c r="AB41" s="701"/>
      <c r="AC41" s="701"/>
      <c r="AD41" s="701"/>
      <c r="AE41" s="701"/>
      <c r="AF41" s="701"/>
      <c r="AG41" s="701"/>
      <c r="AH41" s="701"/>
      <c r="AI41" s="701"/>
      <c r="AJ41" s="701"/>
      <c r="AK41" s="701"/>
      <c r="AL41" s="701"/>
      <c r="AM41" s="701"/>
      <c r="AN41" s="701"/>
      <c r="AO41" s="701"/>
      <c r="AP41" s="701"/>
      <c r="AQ41" s="701"/>
      <c r="AR41" s="701"/>
      <c r="AS41" s="701"/>
      <c r="AT41" s="701"/>
      <c r="AU41" s="701"/>
      <c r="AV41" s="701"/>
      <c r="AW41" s="702"/>
      <c r="AX41" s="703"/>
      <c r="AY41" s="703"/>
      <c r="AZ41" s="703"/>
      <c r="BA41" s="703"/>
      <c r="BB41" s="703"/>
      <c r="BC41" s="704"/>
      <c r="BD41" s="705"/>
      <c r="BE41" s="703"/>
      <c r="BF41" s="703"/>
      <c r="BG41" s="703"/>
      <c r="BH41" s="703"/>
      <c r="BI41" s="703"/>
      <c r="BJ41" s="704"/>
      <c r="BK41" s="4"/>
    </row>
    <row r="42" spans="1:63" ht="15" customHeight="1">
      <c r="A42" s="1"/>
      <c r="B42" s="545"/>
      <c r="C42" s="546"/>
      <c r="D42" s="546"/>
      <c r="E42" s="546"/>
      <c r="F42" s="546"/>
      <c r="G42" s="547"/>
      <c r="H42" s="545"/>
      <c r="I42" s="546"/>
      <c r="J42" s="546"/>
      <c r="K42" s="546"/>
      <c r="L42" s="546"/>
      <c r="M42" s="546"/>
      <c r="N42" s="547"/>
      <c r="O42" s="545"/>
      <c r="P42" s="546"/>
      <c r="Q42" s="546"/>
      <c r="R42" s="546"/>
      <c r="S42" s="706"/>
      <c r="T42" s="707"/>
      <c r="U42" s="707"/>
      <c r="V42" s="707"/>
      <c r="W42" s="707"/>
      <c r="X42" s="707"/>
      <c r="Y42" s="707"/>
      <c r="Z42" s="707"/>
      <c r="AA42" s="707"/>
      <c r="AB42" s="707"/>
      <c r="AC42" s="707"/>
      <c r="AD42" s="707"/>
      <c r="AE42" s="707"/>
      <c r="AF42" s="707"/>
      <c r="AG42" s="707"/>
      <c r="AH42" s="707"/>
      <c r="AI42" s="707"/>
      <c r="AJ42" s="707"/>
      <c r="AK42" s="707"/>
      <c r="AL42" s="707"/>
      <c r="AM42" s="707"/>
      <c r="AN42" s="707"/>
      <c r="AO42" s="707"/>
      <c r="AP42" s="707"/>
      <c r="AQ42" s="707"/>
      <c r="AR42" s="707"/>
      <c r="AS42" s="707"/>
      <c r="AT42" s="707"/>
      <c r="AU42" s="707"/>
      <c r="AV42" s="707"/>
      <c r="AW42" s="708"/>
      <c r="AX42" s="709"/>
      <c r="AY42" s="709"/>
      <c r="AZ42" s="709"/>
      <c r="BA42" s="709"/>
      <c r="BB42" s="709"/>
      <c r="BC42" s="710"/>
      <c r="BD42" s="711"/>
      <c r="BE42" s="709"/>
      <c r="BF42" s="709"/>
      <c r="BG42" s="709"/>
      <c r="BH42" s="709"/>
      <c r="BI42" s="709"/>
      <c r="BJ42" s="710"/>
      <c r="BK42" s="4"/>
    </row>
    <row r="43" spans="1:63" ht="15" customHeight="1">
      <c r="A43" s="1"/>
      <c r="B43" s="542"/>
      <c r="C43" s="543"/>
      <c r="D43" s="543"/>
      <c r="E43" s="543"/>
      <c r="F43" s="543"/>
      <c r="G43" s="544"/>
      <c r="H43" s="542"/>
      <c r="I43" s="543"/>
      <c r="J43" s="543"/>
      <c r="K43" s="543"/>
      <c r="L43" s="543"/>
      <c r="M43" s="543"/>
      <c r="N43" s="544"/>
      <c r="O43" s="542"/>
      <c r="P43" s="543"/>
      <c r="Q43" s="543"/>
      <c r="R43" s="543"/>
      <c r="S43" s="700"/>
      <c r="T43" s="701"/>
      <c r="U43" s="701"/>
      <c r="V43" s="701"/>
      <c r="W43" s="701"/>
      <c r="X43" s="701"/>
      <c r="Y43" s="701"/>
      <c r="Z43" s="701"/>
      <c r="AA43" s="701"/>
      <c r="AB43" s="701"/>
      <c r="AC43" s="701"/>
      <c r="AD43" s="701"/>
      <c r="AE43" s="701"/>
      <c r="AF43" s="701"/>
      <c r="AG43" s="701"/>
      <c r="AH43" s="701"/>
      <c r="AI43" s="701"/>
      <c r="AJ43" s="701"/>
      <c r="AK43" s="701"/>
      <c r="AL43" s="701"/>
      <c r="AM43" s="701"/>
      <c r="AN43" s="701"/>
      <c r="AO43" s="701"/>
      <c r="AP43" s="701"/>
      <c r="AQ43" s="701"/>
      <c r="AR43" s="701"/>
      <c r="AS43" s="701"/>
      <c r="AT43" s="701"/>
      <c r="AU43" s="701"/>
      <c r="AV43" s="701"/>
      <c r="AW43" s="702"/>
      <c r="AX43" s="703"/>
      <c r="AY43" s="703"/>
      <c r="AZ43" s="703"/>
      <c r="BA43" s="703"/>
      <c r="BB43" s="703"/>
      <c r="BC43" s="704"/>
      <c r="BD43" s="705"/>
      <c r="BE43" s="703"/>
      <c r="BF43" s="703"/>
      <c r="BG43" s="703"/>
      <c r="BH43" s="703"/>
      <c r="BI43" s="703"/>
      <c r="BJ43" s="704"/>
      <c r="BK43" s="4"/>
    </row>
    <row r="44" spans="1:63" ht="15" customHeight="1">
      <c r="A44" s="1"/>
      <c r="B44" s="545"/>
      <c r="C44" s="546"/>
      <c r="D44" s="546"/>
      <c r="E44" s="546"/>
      <c r="F44" s="546"/>
      <c r="G44" s="547"/>
      <c r="H44" s="545"/>
      <c r="I44" s="546"/>
      <c r="J44" s="546"/>
      <c r="K44" s="546"/>
      <c r="L44" s="546"/>
      <c r="M44" s="546"/>
      <c r="N44" s="547"/>
      <c r="O44" s="545"/>
      <c r="P44" s="546"/>
      <c r="Q44" s="546"/>
      <c r="R44" s="546"/>
      <c r="S44" s="706"/>
      <c r="T44" s="707"/>
      <c r="U44" s="707"/>
      <c r="V44" s="707"/>
      <c r="W44" s="707"/>
      <c r="X44" s="707"/>
      <c r="Y44" s="707"/>
      <c r="Z44" s="707"/>
      <c r="AA44" s="707"/>
      <c r="AB44" s="707"/>
      <c r="AC44" s="707"/>
      <c r="AD44" s="707"/>
      <c r="AE44" s="707"/>
      <c r="AF44" s="707"/>
      <c r="AG44" s="707"/>
      <c r="AH44" s="707"/>
      <c r="AI44" s="707"/>
      <c r="AJ44" s="707"/>
      <c r="AK44" s="707"/>
      <c r="AL44" s="707"/>
      <c r="AM44" s="707"/>
      <c r="AN44" s="707"/>
      <c r="AO44" s="707"/>
      <c r="AP44" s="707"/>
      <c r="AQ44" s="707"/>
      <c r="AR44" s="707"/>
      <c r="AS44" s="707"/>
      <c r="AT44" s="707"/>
      <c r="AU44" s="707"/>
      <c r="AV44" s="707"/>
      <c r="AW44" s="708"/>
      <c r="AX44" s="709"/>
      <c r="AY44" s="709"/>
      <c r="AZ44" s="709"/>
      <c r="BA44" s="709"/>
      <c r="BB44" s="709"/>
      <c r="BC44" s="710"/>
      <c r="BD44" s="711"/>
      <c r="BE44" s="709"/>
      <c r="BF44" s="709"/>
      <c r="BG44" s="709"/>
      <c r="BH44" s="709"/>
      <c r="BI44" s="709"/>
      <c r="BJ44" s="710"/>
      <c r="BK44" s="4"/>
    </row>
    <row r="45" spans="1:63" ht="15" customHeight="1">
      <c r="A45" s="1"/>
      <c r="B45" s="542"/>
      <c r="C45" s="543"/>
      <c r="D45" s="543"/>
      <c r="E45" s="543"/>
      <c r="F45" s="543"/>
      <c r="G45" s="544"/>
      <c r="H45" s="542"/>
      <c r="I45" s="543"/>
      <c r="J45" s="543"/>
      <c r="K45" s="543"/>
      <c r="L45" s="543"/>
      <c r="M45" s="543"/>
      <c r="N45" s="544"/>
      <c r="O45" s="542"/>
      <c r="P45" s="543"/>
      <c r="Q45" s="543"/>
      <c r="R45" s="543"/>
      <c r="S45" s="700"/>
      <c r="T45" s="701"/>
      <c r="U45" s="701"/>
      <c r="V45" s="701"/>
      <c r="W45" s="701"/>
      <c r="X45" s="701"/>
      <c r="Y45" s="701"/>
      <c r="Z45" s="701"/>
      <c r="AA45" s="701"/>
      <c r="AB45" s="701"/>
      <c r="AC45" s="701"/>
      <c r="AD45" s="701"/>
      <c r="AE45" s="701"/>
      <c r="AF45" s="701"/>
      <c r="AG45" s="701"/>
      <c r="AH45" s="701"/>
      <c r="AI45" s="701"/>
      <c r="AJ45" s="701"/>
      <c r="AK45" s="701"/>
      <c r="AL45" s="701"/>
      <c r="AM45" s="701"/>
      <c r="AN45" s="701"/>
      <c r="AO45" s="701"/>
      <c r="AP45" s="701"/>
      <c r="AQ45" s="701"/>
      <c r="AR45" s="701"/>
      <c r="AS45" s="701"/>
      <c r="AT45" s="701"/>
      <c r="AU45" s="701"/>
      <c r="AV45" s="701"/>
      <c r="AW45" s="702"/>
      <c r="AX45" s="703"/>
      <c r="AY45" s="703"/>
      <c r="AZ45" s="703"/>
      <c r="BA45" s="703"/>
      <c r="BB45" s="703"/>
      <c r="BC45" s="704"/>
      <c r="BD45" s="705"/>
      <c r="BE45" s="703"/>
      <c r="BF45" s="703"/>
      <c r="BG45" s="703"/>
      <c r="BH45" s="703"/>
      <c r="BI45" s="703"/>
      <c r="BJ45" s="704"/>
      <c r="BK45" s="4"/>
    </row>
    <row r="46" spans="1:63" ht="15" customHeight="1">
      <c r="A46" s="1"/>
      <c r="B46" s="545"/>
      <c r="C46" s="546"/>
      <c r="D46" s="546"/>
      <c r="E46" s="546"/>
      <c r="F46" s="546"/>
      <c r="G46" s="547"/>
      <c r="H46" s="545"/>
      <c r="I46" s="546"/>
      <c r="J46" s="546"/>
      <c r="K46" s="546"/>
      <c r="L46" s="546"/>
      <c r="M46" s="546"/>
      <c r="N46" s="547"/>
      <c r="O46" s="545"/>
      <c r="P46" s="546"/>
      <c r="Q46" s="546"/>
      <c r="R46" s="546"/>
      <c r="S46" s="706"/>
      <c r="T46" s="707"/>
      <c r="U46" s="707"/>
      <c r="V46" s="707"/>
      <c r="W46" s="707"/>
      <c r="X46" s="707"/>
      <c r="Y46" s="707"/>
      <c r="Z46" s="707"/>
      <c r="AA46" s="707"/>
      <c r="AB46" s="707"/>
      <c r="AC46" s="707"/>
      <c r="AD46" s="707"/>
      <c r="AE46" s="707"/>
      <c r="AF46" s="707"/>
      <c r="AG46" s="707"/>
      <c r="AH46" s="707"/>
      <c r="AI46" s="707"/>
      <c r="AJ46" s="707"/>
      <c r="AK46" s="707"/>
      <c r="AL46" s="707"/>
      <c r="AM46" s="707"/>
      <c r="AN46" s="707"/>
      <c r="AO46" s="707"/>
      <c r="AP46" s="707"/>
      <c r="AQ46" s="707"/>
      <c r="AR46" s="707"/>
      <c r="AS46" s="707"/>
      <c r="AT46" s="707"/>
      <c r="AU46" s="707"/>
      <c r="AV46" s="707"/>
      <c r="AW46" s="708"/>
      <c r="AX46" s="709"/>
      <c r="AY46" s="709"/>
      <c r="AZ46" s="709"/>
      <c r="BA46" s="709"/>
      <c r="BB46" s="709"/>
      <c r="BC46" s="710"/>
      <c r="BD46" s="711"/>
      <c r="BE46" s="709"/>
      <c r="BF46" s="709"/>
      <c r="BG46" s="709"/>
      <c r="BH46" s="709"/>
      <c r="BI46" s="709"/>
      <c r="BJ46" s="710"/>
      <c r="BK46" s="4"/>
    </row>
    <row r="47" spans="1:63" ht="15" customHeight="1">
      <c r="A47" s="1"/>
      <c r="B47" s="542"/>
      <c r="C47" s="543"/>
      <c r="D47" s="543"/>
      <c r="E47" s="543"/>
      <c r="F47" s="543"/>
      <c r="G47" s="544"/>
      <c r="H47" s="542"/>
      <c r="I47" s="543"/>
      <c r="J47" s="543"/>
      <c r="K47" s="543"/>
      <c r="L47" s="543"/>
      <c r="M47" s="543"/>
      <c r="N47" s="544"/>
      <c r="O47" s="542"/>
      <c r="P47" s="543"/>
      <c r="Q47" s="543"/>
      <c r="R47" s="543"/>
      <c r="S47" s="700"/>
      <c r="T47" s="701"/>
      <c r="U47" s="701"/>
      <c r="V47" s="701"/>
      <c r="W47" s="701"/>
      <c r="X47" s="701"/>
      <c r="Y47" s="701"/>
      <c r="Z47" s="701"/>
      <c r="AA47" s="701"/>
      <c r="AB47" s="701"/>
      <c r="AC47" s="701"/>
      <c r="AD47" s="701"/>
      <c r="AE47" s="701"/>
      <c r="AF47" s="701"/>
      <c r="AG47" s="701"/>
      <c r="AH47" s="701"/>
      <c r="AI47" s="701"/>
      <c r="AJ47" s="701"/>
      <c r="AK47" s="701"/>
      <c r="AL47" s="701"/>
      <c r="AM47" s="701"/>
      <c r="AN47" s="701"/>
      <c r="AO47" s="701"/>
      <c r="AP47" s="701"/>
      <c r="AQ47" s="701"/>
      <c r="AR47" s="701"/>
      <c r="AS47" s="701"/>
      <c r="AT47" s="701"/>
      <c r="AU47" s="701"/>
      <c r="AV47" s="701"/>
      <c r="AW47" s="702"/>
      <c r="AX47" s="703"/>
      <c r="AY47" s="703"/>
      <c r="AZ47" s="703"/>
      <c r="BA47" s="703"/>
      <c r="BB47" s="703"/>
      <c r="BC47" s="704"/>
      <c r="BD47" s="705"/>
      <c r="BE47" s="703"/>
      <c r="BF47" s="703"/>
      <c r="BG47" s="703"/>
      <c r="BH47" s="703"/>
      <c r="BI47" s="703"/>
      <c r="BJ47" s="704"/>
      <c r="BK47" s="4"/>
    </row>
    <row r="48" spans="1:63" ht="15" customHeight="1">
      <c r="A48" s="1"/>
      <c r="B48" s="545"/>
      <c r="C48" s="546"/>
      <c r="D48" s="546"/>
      <c r="E48" s="546"/>
      <c r="F48" s="546"/>
      <c r="G48" s="547"/>
      <c r="H48" s="545"/>
      <c r="I48" s="546"/>
      <c r="J48" s="546"/>
      <c r="K48" s="546"/>
      <c r="L48" s="546"/>
      <c r="M48" s="546"/>
      <c r="N48" s="547"/>
      <c r="O48" s="545"/>
      <c r="P48" s="546"/>
      <c r="Q48" s="546"/>
      <c r="R48" s="546"/>
      <c r="S48" s="706"/>
      <c r="T48" s="707"/>
      <c r="U48" s="707"/>
      <c r="V48" s="707"/>
      <c r="W48" s="707"/>
      <c r="X48" s="707"/>
      <c r="Y48" s="707"/>
      <c r="Z48" s="707"/>
      <c r="AA48" s="707"/>
      <c r="AB48" s="707"/>
      <c r="AC48" s="707"/>
      <c r="AD48" s="707"/>
      <c r="AE48" s="707"/>
      <c r="AF48" s="707"/>
      <c r="AG48" s="707"/>
      <c r="AH48" s="707"/>
      <c r="AI48" s="707"/>
      <c r="AJ48" s="707"/>
      <c r="AK48" s="707"/>
      <c r="AL48" s="707"/>
      <c r="AM48" s="707"/>
      <c r="AN48" s="707"/>
      <c r="AO48" s="707"/>
      <c r="AP48" s="707"/>
      <c r="AQ48" s="707"/>
      <c r="AR48" s="707"/>
      <c r="AS48" s="707"/>
      <c r="AT48" s="707"/>
      <c r="AU48" s="707"/>
      <c r="AV48" s="707"/>
      <c r="AW48" s="708"/>
      <c r="AX48" s="709"/>
      <c r="AY48" s="709"/>
      <c r="AZ48" s="709"/>
      <c r="BA48" s="709"/>
      <c r="BB48" s="709"/>
      <c r="BC48" s="710"/>
      <c r="BD48" s="711"/>
      <c r="BE48" s="709"/>
      <c r="BF48" s="709"/>
      <c r="BG48" s="709"/>
      <c r="BH48" s="709"/>
      <c r="BI48" s="709"/>
      <c r="BJ48" s="710"/>
      <c r="BK48" s="4"/>
    </row>
    <row r="49" spans="1:63" ht="15" customHeight="1">
      <c r="A49" s="1"/>
      <c r="B49" s="542"/>
      <c r="C49" s="543"/>
      <c r="D49" s="543"/>
      <c r="E49" s="543"/>
      <c r="F49" s="543"/>
      <c r="G49" s="544"/>
      <c r="H49" s="542"/>
      <c r="I49" s="543"/>
      <c r="J49" s="543"/>
      <c r="K49" s="543"/>
      <c r="L49" s="543"/>
      <c r="M49" s="543"/>
      <c r="N49" s="544"/>
      <c r="O49" s="542"/>
      <c r="P49" s="543"/>
      <c r="Q49" s="543"/>
      <c r="R49" s="543"/>
      <c r="S49" s="700"/>
      <c r="T49" s="701"/>
      <c r="U49" s="701"/>
      <c r="V49" s="701"/>
      <c r="W49" s="701"/>
      <c r="X49" s="701"/>
      <c r="Y49" s="701"/>
      <c r="Z49" s="701"/>
      <c r="AA49" s="701"/>
      <c r="AB49" s="701"/>
      <c r="AC49" s="701"/>
      <c r="AD49" s="701"/>
      <c r="AE49" s="701"/>
      <c r="AF49" s="701"/>
      <c r="AG49" s="701"/>
      <c r="AH49" s="701"/>
      <c r="AI49" s="701"/>
      <c r="AJ49" s="701"/>
      <c r="AK49" s="701"/>
      <c r="AL49" s="701"/>
      <c r="AM49" s="701"/>
      <c r="AN49" s="701"/>
      <c r="AO49" s="701"/>
      <c r="AP49" s="701"/>
      <c r="AQ49" s="701"/>
      <c r="AR49" s="701"/>
      <c r="AS49" s="701"/>
      <c r="AT49" s="701"/>
      <c r="AU49" s="701"/>
      <c r="AV49" s="701"/>
      <c r="AW49" s="702"/>
      <c r="AX49" s="703"/>
      <c r="AY49" s="703"/>
      <c r="AZ49" s="703"/>
      <c r="BA49" s="703"/>
      <c r="BB49" s="703"/>
      <c r="BC49" s="704"/>
      <c r="BD49" s="705"/>
      <c r="BE49" s="703"/>
      <c r="BF49" s="703"/>
      <c r="BG49" s="703"/>
      <c r="BH49" s="703"/>
      <c r="BI49" s="703"/>
      <c r="BJ49" s="704"/>
      <c r="BK49" s="4"/>
    </row>
    <row r="50" spans="1:63" ht="15" customHeight="1">
      <c r="A50" s="1"/>
      <c r="B50" s="545"/>
      <c r="C50" s="546"/>
      <c r="D50" s="546"/>
      <c r="E50" s="546"/>
      <c r="F50" s="546"/>
      <c r="G50" s="547"/>
      <c r="H50" s="545"/>
      <c r="I50" s="546"/>
      <c r="J50" s="546"/>
      <c r="K50" s="546"/>
      <c r="L50" s="546"/>
      <c r="M50" s="546"/>
      <c r="N50" s="547"/>
      <c r="O50" s="545"/>
      <c r="P50" s="546"/>
      <c r="Q50" s="546"/>
      <c r="R50" s="546"/>
      <c r="S50" s="706"/>
      <c r="T50" s="707"/>
      <c r="U50" s="707"/>
      <c r="V50" s="707"/>
      <c r="W50" s="707"/>
      <c r="X50" s="707"/>
      <c r="Y50" s="707"/>
      <c r="Z50" s="707"/>
      <c r="AA50" s="707"/>
      <c r="AB50" s="707"/>
      <c r="AC50" s="707"/>
      <c r="AD50" s="707"/>
      <c r="AE50" s="707"/>
      <c r="AF50" s="707"/>
      <c r="AG50" s="707"/>
      <c r="AH50" s="707"/>
      <c r="AI50" s="707"/>
      <c r="AJ50" s="707"/>
      <c r="AK50" s="707"/>
      <c r="AL50" s="707"/>
      <c r="AM50" s="707"/>
      <c r="AN50" s="707"/>
      <c r="AO50" s="707"/>
      <c r="AP50" s="707"/>
      <c r="AQ50" s="707"/>
      <c r="AR50" s="707"/>
      <c r="AS50" s="707"/>
      <c r="AT50" s="707"/>
      <c r="AU50" s="707"/>
      <c r="AV50" s="707"/>
      <c r="AW50" s="708"/>
      <c r="AX50" s="709"/>
      <c r="AY50" s="709"/>
      <c r="AZ50" s="709"/>
      <c r="BA50" s="709"/>
      <c r="BB50" s="709"/>
      <c r="BC50" s="710"/>
      <c r="BD50" s="711"/>
      <c r="BE50" s="709"/>
      <c r="BF50" s="709"/>
      <c r="BG50" s="709"/>
      <c r="BH50" s="709"/>
      <c r="BI50" s="709"/>
      <c r="BJ50" s="710"/>
      <c r="BK50" s="4"/>
    </row>
    <row r="51" spans="1:63" ht="15" customHeight="1">
      <c r="A51" s="1"/>
      <c r="B51" s="542"/>
      <c r="C51" s="543"/>
      <c r="D51" s="543"/>
      <c r="E51" s="543"/>
      <c r="F51" s="543"/>
      <c r="G51" s="544"/>
      <c r="H51" s="542"/>
      <c r="I51" s="543"/>
      <c r="J51" s="543"/>
      <c r="K51" s="543"/>
      <c r="L51" s="543"/>
      <c r="M51" s="543"/>
      <c r="N51" s="544"/>
      <c r="O51" s="542"/>
      <c r="P51" s="543"/>
      <c r="Q51" s="543"/>
      <c r="R51" s="543"/>
      <c r="S51" s="700"/>
      <c r="T51" s="701"/>
      <c r="U51" s="701"/>
      <c r="V51" s="701"/>
      <c r="W51" s="701"/>
      <c r="X51" s="701"/>
      <c r="Y51" s="701"/>
      <c r="Z51" s="701"/>
      <c r="AA51" s="701"/>
      <c r="AB51" s="701"/>
      <c r="AC51" s="701"/>
      <c r="AD51" s="701"/>
      <c r="AE51" s="701"/>
      <c r="AF51" s="701"/>
      <c r="AG51" s="701"/>
      <c r="AH51" s="701"/>
      <c r="AI51" s="701"/>
      <c r="AJ51" s="701"/>
      <c r="AK51" s="701"/>
      <c r="AL51" s="701"/>
      <c r="AM51" s="701"/>
      <c r="AN51" s="701"/>
      <c r="AO51" s="701"/>
      <c r="AP51" s="701"/>
      <c r="AQ51" s="701"/>
      <c r="AR51" s="701"/>
      <c r="AS51" s="701"/>
      <c r="AT51" s="701"/>
      <c r="AU51" s="701"/>
      <c r="AV51" s="701"/>
      <c r="AW51" s="702"/>
      <c r="AX51" s="703"/>
      <c r="AY51" s="703"/>
      <c r="AZ51" s="703"/>
      <c r="BA51" s="703"/>
      <c r="BB51" s="703"/>
      <c r="BC51" s="704"/>
      <c r="BD51" s="705"/>
      <c r="BE51" s="703"/>
      <c r="BF51" s="703"/>
      <c r="BG51" s="703"/>
      <c r="BH51" s="703"/>
      <c r="BI51" s="703"/>
      <c r="BJ51" s="704"/>
      <c r="BK51" s="4"/>
    </row>
    <row r="52" spans="1:63" ht="15" customHeight="1">
      <c r="A52" s="1"/>
      <c r="B52" s="545"/>
      <c r="C52" s="546"/>
      <c r="D52" s="546"/>
      <c r="E52" s="546"/>
      <c r="F52" s="546"/>
      <c r="G52" s="547"/>
      <c r="H52" s="545"/>
      <c r="I52" s="546"/>
      <c r="J52" s="546"/>
      <c r="K52" s="546"/>
      <c r="L52" s="546"/>
      <c r="M52" s="546"/>
      <c r="N52" s="547"/>
      <c r="O52" s="545"/>
      <c r="P52" s="546"/>
      <c r="Q52" s="546"/>
      <c r="R52" s="546"/>
      <c r="S52" s="706"/>
      <c r="T52" s="707"/>
      <c r="U52" s="707"/>
      <c r="V52" s="707"/>
      <c r="W52" s="707"/>
      <c r="X52" s="707"/>
      <c r="Y52" s="707"/>
      <c r="Z52" s="707"/>
      <c r="AA52" s="707"/>
      <c r="AB52" s="707"/>
      <c r="AC52" s="707"/>
      <c r="AD52" s="707"/>
      <c r="AE52" s="707"/>
      <c r="AF52" s="707"/>
      <c r="AG52" s="707"/>
      <c r="AH52" s="707"/>
      <c r="AI52" s="707"/>
      <c r="AJ52" s="707"/>
      <c r="AK52" s="707"/>
      <c r="AL52" s="707"/>
      <c r="AM52" s="707"/>
      <c r="AN52" s="707"/>
      <c r="AO52" s="707"/>
      <c r="AP52" s="707"/>
      <c r="AQ52" s="707"/>
      <c r="AR52" s="707"/>
      <c r="AS52" s="707"/>
      <c r="AT52" s="707"/>
      <c r="AU52" s="707"/>
      <c r="AV52" s="707"/>
      <c r="AW52" s="708"/>
      <c r="AX52" s="709"/>
      <c r="AY52" s="709"/>
      <c r="AZ52" s="709"/>
      <c r="BA52" s="709"/>
      <c r="BB52" s="709"/>
      <c r="BC52" s="710"/>
      <c r="BD52" s="711"/>
      <c r="BE52" s="709"/>
      <c r="BF52" s="709"/>
      <c r="BG52" s="709"/>
      <c r="BH52" s="709"/>
      <c r="BI52" s="709"/>
      <c r="BJ52" s="710"/>
      <c r="BK52" s="4"/>
    </row>
    <row r="53" spans="1:63" ht="15" customHeight="1">
      <c r="A53" s="1"/>
      <c r="B53" s="542"/>
      <c r="C53" s="543"/>
      <c r="D53" s="543"/>
      <c r="E53" s="543"/>
      <c r="F53" s="543"/>
      <c r="G53" s="544"/>
      <c r="H53" s="542"/>
      <c r="I53" s="543"/>
      <c r="J53" s="543"/>
      <c r="K53" s="543"/>
      <c r="L53" s="543"/>
      <c r="M53" s="543"/>
      <c r="N53" s="544"/>
      <c r="O53" s="542"/>
      <c r="P53" s="543"/>
      <c r="Q53" s="543"/>
      <c r="R53" s="543"/>
      <c r="S53" s="700"/>
      <c r="T53" s="701"/>
      <c r="U53" s="701"/>
      <c r="V53" s="701"/>
      <c r="W53" s="701"/>
      <c r="X53" s="701"/>
      <c r="Y53" s="701"/>
      <c r="Z53" s="701"/>
      <c r="AA53" s="701"/>
      <c r="AB53" s="701"/>
      <c r="AC53" s="701"/>
      <c r="AD53" s="701"/>
      <c r="AE53" s="701"/>
      <c r="AF53" s="701"/>
      <c r="AG53" s="701"/>
      <c r="AH53" s="701"/>
      <c r="AI53" s="701"/>
      <c r="AJ53" s="701"/>
      <c r="AK53" s="701"/>
      <c r="AL53" s="701"/>
      <c r="AM53" s="701"/>
      <c r="AN53" s="701"/>
      <c r="AO53" s="701"/>
      <c r="AP53" s="701"/>
      <c r="AQ53" s="701"/>
      <c r="AR53" s="701"/>
      <c r="AS53" s="701"/>
      <c r="AT53" s="701"/>
      <c r="AU53" s="701"/>
      <c r="AV53" s="701"/>
      <c r="AW53" s="702"/>
      <c r="AX53" s="703"/>
      <c r="AY53" s="703"/>
      <c r="AZ53" s="703"/>
      <c r="BA53" s="703"/>
      <c r="BB53" s="703"/>
      <c r="BC53" s="704"/>
      <c r="BD53" s="705"/>
      <c r="BE53" s="703"/>
      <c r="BF53" s="703"/>
      <c r="BG53" s="703"/>
      <c r="BH53" s="703"/>
      <c r="BI53" s="703"/>
      <c r="BJ53" s="704"/>
      <c r="BK53" s="4"/>
    </row>
    <row r="54" spans="1:63" ht="15" customHeight="1">
      <c r="A54" s="1"/>
      <c r="B54" s="545"/>
      <c r="C54" s="546"/>
      <c r="D54" s="546"/>
      <c r="E54" s="546"/>
      <c r="F54" s="546"/>
      <c r="G54" s="547"/>
      <c r="H54" s="545"/>
      <c r="I54" s="546"/>
      <c r="J54" s="546"/>
      <c r="K54" s="546"/>
      <c r="L54" s="546"/>
      <c r="M54" s="546"/>
      <c r="N54" s="547"/>
      <c r="O54" s="545"/>
      <c r="P54" s="546"/>
      <c r="Q54" s="546"/>
      <c r="R54" s="546"/>
      <c r="S54" s="706"/>
      <c r="T54" s="707"/>
      <c r="U54" s="707"/>
      <c r="V54" s="707"/>
      <c r="W54" s="707"/>
      <c r="X54" s="707"/>
      <c r="Y54" s="707"/>
      <c r="Z54" s="707"/>
      <c r="AA54" s="707"/>
      <c r="AB54" s="707"/>
      <c r="AC54" s="707"/>
      <c r="AD54" s="707"/>
      <c r="AE54" s="707"/>
      <c r="AF54" s="707"/>
      <c r="AG54" s="707"/>
      <c r="AH54" s="707"/>
      <c r="AI54" s="707"/>
      <c r="AJ54" s="707"/>
      <c r="AK54" s="707"/>
      <c r="AL54" s="707"/>
      <c r="AM54" s="707"/>
      <c r="AN54" s="707"/>
      <c r="AO54" s="707"/>
      <c r="AP54" s="707"/>
      <c r="AQ54" s="707"/>
      <c r="AR54" s="707"/>
      <c r="AS54" s="707"/>
      <c r="AT54" s="707"/>
      <c r="AU54" s="707"/>
      <c r="AV54" s="707"/>
      <c r="AW54" s="708"/>
      <c r="AX54" s="709"/>
      <c r="AY54" s="709"/>
      <c r="AZ54" s="709"/>
      <c r="BA54" s="709"/>
      <c r="BB54" s="709"/>
      <c r="BC54" s="710"/>
      <c r="BD54" s="711"/>
      <c r="BE54" s="709"/>
      <c r="BF54" s="709"/>
      <c r="BG54" s="709"/>
      <c r="BH54" s="709"/>
      <c r="BI54" s="709"/>
      <c r="BJ54" s="710"/>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honeticPr fontId="7"/>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01A29-033A-48FA-9E7C-A4AA0419E7E7}">
  <sheetPr>
    <pageSetUpPr fitToPage="1"/>
  </sheetPr>
  <dimension ref="A1:BK55"/>
  <sheetViews>
    <sheetView view="pageBreakPreview" zoomScale="75" zoomScaleNormal="75" zoomScaleSheetLayoutView="75" workbookViewId="0">
      <selection activeCell="P22" sqref="P22"/>
    </sheetView>
    <sheetView workbookViewId="1">
      <selection sqref="A1:J1"/>
    </sheetView>
  </sheetViews>
  <sheetFormatPr defaultColWidth="2.77734375" defaultRowHeight="15" customHeight="1"/>
  <sheetData>
    <row r="1" spans="1:63" ht="24.95" customHeight="1">
      <c r="A1" s="539" t="s">
        <v>0</v>
      </c>
      <c r="B1" s="540"/>
      <c r="C1" s="540"/>
      <c r="D1" s="540"/>
      <c r="E1" s="540"/>
      <c r="F1" s="540"/>
      <c r="G1" s="540"/>
      <c r="H1" s="540"/>
      <c r="I1" s="540"/>
      <c r="J1" s="541"/>
      <c r="K1" s="539" t="s">
        <v>1</v>
      </c>
      <c r="L1" s="540"/>
      <c r="M1" s="540"/>
      <c r="N1" s="540"/>
      <c r="O1" s="540"/>
      <c r="P1" s="540"/>
      <c r="Q1" s="540"/>
      <c r="R1" s="540"/>
      <c r="S1" s="540"/>
      <c r="T1" s="540"/>
      <c r="U1" s="540"/>
      <c r="V1" s="541"/>
      <c r="W1" s="548" t="str">
        <f>IF(表紙!W1="","",表紙!W1)</f>
        <v>概要設計</v>
      </c>
      <c r="X1" s="549"/>
      <c r="Y1" s="549"/>
      <c r="Z1" s="549"/>
      <c r="AA1" s="549"/>
      <c r="AB1" s="549"/>
      <c r="AC1" s="549"/>
      <c r="AD1" s="549"/>
      <c r="AE1" s="549"/>
      <c r="AF1" s="549"/>
      <c r="AG1" s="549"/>
      <c r="AH1" s="549"/>
      <c r="AI1" s="549"/>
      <c r="AJ1" s="549"/>
      <c r="AK1" s="549"/>
      <c r="AL1" s="549"/>
      <c r="AM1" s="549"/>
      <c r="AN1" s="549"/>
      <c r="AO1" s="550"/>
      <c r="AP1" s="539" t="s">
        <v>3</v>
      </c>
      <c r="AQ1" s="540"/>
      <c r="AR1" s="540"/>
      <c r="AS1" s="541"/>
      <c r="AT1" s="539" t="s">
        <v>4</v>
      </c>
      <c r="AU1" s="540"/>
      <c r="AV1" s="540"/>
      <c r="AW1" s="540"/>
      <c r="AX1" s="541"/>
      <c r="AY1" s="539" t="s">
        <v>5</v>
      </c>
      <c r="AZ1" s="540"/>
      <c r="BA1" s="540"/>
      <c r="BB1" s="541"/>
      <c r="BC1" s="539" t="s">
        <v>6</v>
      </c>
      <c r="BD1" s="540"/>
      <c r="BE1" s="540"/>
      <c r="BF1" s="540"/>
      <c r="BG1" s="541"/>
      <c r="BH1" s="539" t="s">
        <v>7</v>
      </c>
      <c r="BI1" s="540"/>
      <c r="BJ1" s="540"/>
      <c r="BK1" s="541"/>
    </row>
    <row r="2" spans="1:63" ht="15" customHeight="1">
      <c r="A2" s="542" t="str">
        <f>IF(表紙!A2="","",表紙!A2)</f>
        <v>POSサーバ</v>
      </c>
      <c r="B2" s="543"/>
      <c r="C2" s="543"/>
      <c r="D2" s="543"/>
      <c r="E2" s="543"/>
      <c r="F2" s="543"/>
      <c r="G2" s="543"/>
      <c r="H2" s="543"/>
      <c r="I2" s="543"/>
      <c r="J2" s="544"/>
      <c r="K2" s="542" t="str">
        <f>IF(表紙!K2="","",表紙!K2)</f>
        <v>全般</v>
      </c>
      <c r="L2" s="543"/>
      <c r="M2" s="543"/>
      <c r="N2" s="543"/>
      <c r="O2" s="543"/>
      <c r="P2" s="543"/>
      <c r="Q2" s="543"/>
      <c r="R2" s="543"/>
      <c r="S2" s="543"/>
      <c r="T2" s="543"/>
      <c r="U2" s="543"/>
      <c r="V2" s="544"/>
      <c r="W2" s="551"/>
      <c r="X2" s="552"/>
      <c r="Y2" s="552"/>
      <c r="Z2" s="552"/>
      <c r="AA2" s="552"/>
      <c r="AB2" s="552"/>
      <c r="AC2" s="552"/>
      <c r="AD2" s="552"/>
      <c r="AE2" s="552"/>
      <c r="AF2" s="552"/>
      <c r="AG2" s="552"/>
      <c r="AH2" s="552"/>
      <c r="AI2" s="552"/>
      <c r="AJ2" s="552"/>
      <c r="AK2" s="552"/>
      <c r="AL2" s="552"/>
      <c r="AM2" s="552"/>
      <c r="AN2" s="552"/>
      <c r="AO2" s="553"/>
      <c r="AP2" s="542" t="str">
        <f>IF(表紙!AP2="","",表紙!AP2)</f>
        <v>Huy Nguyen</v>
      </c>
      <c r="AQ2" s="543"/>
      <c r="AR2" s="543"/>
      <c r="AS2" s="544"/>
      <c r="AT2" s="563">
        <f>IF(表紙!AT2="","",表紙!AT2)</f>
        <v>45532</v>
      </c>
      <c r="AU2" s="564"/>
      <c r="AV2" s="564"/>
      <c r="AW2" s="564"/>
      <c r="AX2" s="565"/>
      <c r="AY2" s="542" t="str">
        <f>IF(表紙!AY2="","",表紙!AY2)</f>
        <v/>
      </c>
      <c r="AZ2" s="543"/>
      <c r="BA2" s="543"/>
      <c r="BB2" s="544"/>
      <c r="BC2" s="563" t="str">
        <f>IF(表紙!BC2="","",表紙!BC2)</f>
        <v/>
      </c>
      <c r="BD2" s="564"/>
      <c r="BE2" s="564"/>
      <c r="BF2" s="564"/>
      <c r="BG2" s="565"/>
      <c r="BH2" s="542">
        <f>IF(表紙!BH2="","",表紙!BH2)</f>
        <v>0.31</v>
      </c>
      <c r="BI2" s="543"/>
      <c r="BJ2" s="543"/>
      <c r="BK2" s="544"/>
    </row>
    <row r="3" spans="1:63" ht="15" customHeight="1">
      <c r="A3" s="545"/>
      <c r="B3" s="546"/>
      <c r="C3" s="546"/>
      <c r="D3" s="546"/>
      <c r="E3" s="546"/>
      <c r="F3" s="546"/>
      <c r="G3" s="546"/>
      <c r="H3" s="546"/>
      <c r="I3" s="546"/>
      <c r="J3" s="547"/>
      <c r="K3" s="545"/>
      <c r="L3" s="546"/>
      <c r="M3" s="546"/>
      <c r="N3" s="546"/>
      <c r="O3" s="546"/>
      <c r="P3" s="546"/>
      <c r="Q3" s="546"/>
      <c r="R3" s="546"/>
      <c r="S3" s="546"/>
      <c r="T3" s="546"/>
      <c r="U3" s="546"/>
      <c r="V3" s="547"/>
      <c r="W3" s="554"/>
      <c r="X3" s="555"/>
      <c r="Y3" s="555"/>
      <c r="Z3" s="555"/>
      <c r="AA3" s="555"/>
      <c r="AB3" s="555"/>
      <c r="AC3" s="555"/>
      <c r="AD3" s="555"/>
      <c r="AE3" s="555"/>
      <c r="AF3" s="555"/>
      <c r="AG3" s="555"/>
      <c r="AH3" s="555"/>
      <c r="AI3" s="555"/>
      <c r="AJ3" s="555"/>
      <c r="AK3" s="555"/>
      <c r="AL3" s="555"/>
      <c r="AM3" s="555"/>
      <c r="AN3" s="555"/>
      <c r="AO3" s="556"/>
      <c r="AP3" s="545"/>
      <c r="AQ3" s="546"/>
      <c r="AR3" s="546"/>
      <c r="AS3" s="547"/>
      <c r="AT3" s="566"/>
      <c r="AU3" s="567"/>
      <c r="AV3" s="567"/>
      <c r="AW3" s="567"/>
      <c r="AX3" s="568"/>
      <c r="AY3" s="545"/>
      <c r="AZ3" s="546"/>
      <c r="BA3" s="546"/>
      <c r="BB3" s="547"/>
      <c r="BC3" s="566"/>
      <c r="BD3" s="567"/>
      <c r="BE3" s="567"/>
      <c r="BF3" s="567"/>
      <c r="BG3" s="568"/>
      <c r="BH3" s="545"/>
      <c r="BI3" s="546"/>
      <c r="BJ3" s="546"/>
      <c r="BK3" s="547"/>
    </row>
    <row r="4" spans="1:63" ht="24.95" customHeight="1">
      <c r="A4" s="539" t="s">
        <v>11</v>
      </c>
      <c r="B4" s="540"/>
      <c r="C4" s="540"/>
      <c r="D4" s="540"/>
      <c r="E4" s="540"/>
      <c r="F4" s="540"/>
      <c r="G4" s="541"/>
      <c r="H4" s="536" t="str">
        <f>IF(表紙!H4="","",表紙!H4)</f>
        <v>機能一覧</v>
      </c>
      <c r="I4" s="537"/>
      <c r="J4" s="537"/>
      <c r="K4" s="537"/>
      <c r="L4" s="537"/>
      <c r="M4" s="537"/>
      <c r="N4" s="537"/>
      <c r="O4" s="537"/>
      <c r="P4" s="537"/>
      <c r="Q4" s="537"/>
      <c r="R4" s="537"/>
      <c r="S4" s="537"/>
      <c r="T4" s="538"/>
      <c r="U4" s="539" t="s">
        <v>13</v>
      </c>
      <c r="V4" s="540"/>
      <c r="W4" s="540"/>
      <c r="X4" s="540"/>
      <c r="Y4" s="541"/>
      <c r="Z4" s="536" t="str">
        <f>IF(表紙!Z4="","",表紙!Z4)</f>
        <v>いなげや様向け</v>
      </c>
      <c r="AA4" s="537"/>
      <c r="AB4" s="537"/>
      <c r="AC4" s="537"/>
      <c r="AD4" s="537"/>
      <c r="AE4" s="537"/>
      <c r="AF4" s="537"/>
      <c r="AG4" s="537"/>
      <c r="AH4" s="537"/>
      <c r="AI4" s="537"/>
      <c r="AJ4" s="537"/>
      <c r="AK4" s="537"/>
      <c r="AL4" s="537"/>
      <c r="AM4" s="537"/>
      <c r="AN4" s="537"/>
      <c r="AO4" s="538"/>
      <c r="AP4" s="536" t="e" cm="1">
        <f t="array" aca="1" ref="AP4" ca="1">RIGHT(CELL("filename",$A$1),LEN(CELL("filename",$A$1))-FIND("]",CELL("filename",$A$1)))</f>
        <v>#VALUE!</v>
      </c>
      <c r="AQ4" s="537"/>
      <c r="AR4" s="537"/>
      <c r="AS4" s="537"/>
      <c r="AT4" s="537"/>
      <c r="AU4" s="537"/>
      <c r="AV4" s="537"/>
      <c r="AW4" s="537"/>
      <c r="AX4" s="537"/>
      <c r="AY4" s="537"/>
      <c r="AZ4" s="537"/>
      <c r="BA4" s="537"/>
      <c r="BB4" s="537"/>
      <c r="BC4" s="537"/>
      <c r="BD4" s="537"/>
      <c r="BE4" s="537"/>
      <c r="BF4" s="537"/>
      <c r="BG4" s="537"/>
      <c r="BH4" s="537"/>
      <c r="BI4" s="537"/>
      <c r="BJ4" s="537"/>
      <c r="BK4" s="53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K8" s="4"/>
    </row>
    <row r="9" spans="1:63" ht="15" customHeight="1">
      <c r="A9" s="1"/>
      <c r="BK9" s="4"/>
    </row>
    <row r="10" spans="1:63" ht="15" customHeight="1">
      <c r="A10" s="1"/>
      <c r="BK10" s="4"/>
    </row>
    <row r="11" spans="1:63" ht="15" customHeight="1">
      <c r="A11" s="1"/>
      <c r="BK11" s="4"/>
    </row>
    <row r="12" spans="1:63" ht="15" customHeight="1">
      <c r="A12" s="1"/>
      <c r="BK12" s="4"/>
    </row>
    <row r="13" spans="1:63" ht="15" customHeight="1">
      <c r="A13" s="1"/>
      <c r="BK13" s="4"/>
    </row>
    <row r="14" spans="1:63" ht="15" customHeight="1">
      <c r="A14" s="1"/>
      <c r="BK14" s="4"/>
    </row>
    <row r="15" spans="1:63" ht="15" customHeight="1">
      <c r="A15" s="1"/>
      <c r="BK15" s="4"/>
    </row>
    <row r="16" spans="1:63" ht="15" customHeight="1">
      <c r="A16" s="1"/>
      <c r="BK16" s="4"/>
    </row>
    <row r="17" spans="1:63" ht="15" customHeight="1">
      <c r="A17" s="1"/>
      <c r="BK17" s="4"/>
    </row>
    <row r="18" spans="1:63" ht="15" customHeight="1">
      <c r="A18" s="1"/>
      <c r="BK18" s="4"/>
    </row>
    <row r="19" spans="1:63" ht="15" customHeight="1">
      <c r="A19" s="1"/>
      <c r="BK19" s="4"/>
    </row>
    <row r="20" spans="1:63" ht="15" customHeight="1">
      <c r="A20" s="1"/>
      <c r="BK20" s="4"/>
    </row>
    <row r="21" spans="1:63" ht="15" customHeight="1">
      <c r="A21" s="1"/>
      <c r="BK21" s="4"/>
    </row>
    <row r="22" spans="1:63" ht="15" customHeight="1">
      <c r="A22" s="1"/>
      <c r="BK22" s="4"/>
    </row>
    <row r="23" spans="1:63" ht="15" customHeight="1">
      <c r="A23" s="1"/>
      <c r="BK23" s="4"/>
    </row>
    <row r="24" spans="1:63" ht="15" customHeight="1">
      <c r="A24" s="1"/>
      <c r="BK24" s="4"/>
    </row>
    <row r="25" spans="1:63" ht="15" customHeight="1">
      <c r="A25" s="1"/>
      <c r="BK25" s="4"/>
    </row>
    <row r="26" spans="1:63" ht="15" customHeight="1">
      <c r="A26" s="1"/>
      <c r="BK26" s="4"/>
    </row>
    <row r="27" spans="1:63" ht="15" customHeight="1">
      <c r="A27" s="1"/>
      <c r="BK27" s="4"/>
    </row>
    <row r="28" spans="1:63" ht="15" customHeight="1">
      <c r="A28" s="1"/>
      <c r="BK28" s="4"/>
    </row>
    <row r="29" spans="1:63" ht="15" customHeight="1">
      <c r="A29" s="1"/>
      <c r="BK29" s="4"/>
    </row>
    <row r="30" spans="1:63" ht="15" customHeight="1">
      <c r="A30" s="1"/>
      <c r="BK30" s="4"/>
    </row>
    <row r="31" spans="1:63" ht="15" customHeight="1">
      <c r="A31" s="1"/>
      <c r="BK31" s="4"/>
    </row>
    <row r="32" spans="1:63" ht="15" customHeight="1">
      <c r="A32" s="1"/>
      <c r="BK32" s="4"/>
    </row>
    <row r="33" spans="1:63" ht="15" customHeight="1">
      <c r="A33" s="1"/>
      <c r="BK33" s="4"/>
    </row>
    <row r="34" spans="1:63" ht="15" customHeight="1">
      <c r="A34" s="1"/>
      <c r="BK34" s="4"/>
    </row>
    <row r="35" spans="1:63" ht="15" customHeight="1">
      <c r="A35" s="1"/>
      <c r="BK35" s="4"/>
    </row>
    <row r="36" spans="1:63" ht="15" customHeight="1">
      <c r="A36" s="1"/>
      <c r="BK36" s="4"/>
    </row>
    <row r="37" spans="1:63" ht="15" customHeight="1">
      <c r="A37" s="1"/>
      <c r="BK37" s="4"/>
    </row>
    <row r="38" spans="1:63" ht="15" customHeight="1">
      <c r="A38" s="1"/>
      <c r="BK38" s="4"/>
    </row>
    <row r="39" spans="1:63" ht="15" customHeight="1">
      <c r="A39" s="1"/>
      <c r="BK39" s="4"/>
    </row>
    <row r="40" spans="1:63" ht="15" customHeight="1">
      <c r="A40" s="1"/>
      <c r="BK40" s="4"/>
    </row>
    <row r="41" spans="1:63" ht="15" customHeight="1">
      <c r="A41" s="1"/>
      <c r="BK41" s="4"/>
    </row>
    <row r="42" spans="1:63" ht="15" customHeight="1">
      <c r="A42" s="1"/>
      <c r="BK42" s="4"/>
    </row>
    <row r="43" spans="1:63" ht="15" customHeight="1">
      <c r="A43" s="1"/>
      <c r="BK43" s="4"/>
    </row>
    <row r="44" spans="1:63" ht="15" customHeight="1">
      <c r="A44" s="1"/>
      <c r="BK44" s="4"/>
    </row>
    <row r="45" spans="1:63" ht="15" customHeight="1">
      <c r="A45" s="1"/>
      <c r="BK45" s="4"/>
    </row>
    <row r="46" spans="1:63" ht="15" customHeight="1">
      <c r="A46" s="1"/>
      <c r="BK46" s="4"/>
    </row>
    <row r="47" spans="1:63" ht="15" customHeight="1">
      <c r="A47" s="1"/>
      <c r="BK47" s="4"/>
    </row>
    <row r="48" spans="1:63" ht="15" customHeight="1">
      <c r="A48" s="1"/>
      <c r="BK48" s="4"/>
    </row>
    <row r="49" spans="1:63" ht="15" customHeight="1">
      <c r="A49" s="1"/>
      <c r="BK49" s="4"/>
    </row>
    <row r="50" spans="1:63" ht="15" customHeight="1">
      <c r="A50" s="1"/>
      <c r="BK50" s="4"/>
    </row>
    <row r="51" spans="1:63" ht="15" customHeight="1">
      <c r="A51" s="1"/>
      <c r="BK51" s="4"/>
    </row>
    <row r="52" spans="1:63" ht="15" customHeight="1">
      <c r="A52" s="1"/>
      <c r="BK52" s="4"/>
    </row>
    <row r="53" spans="1:63" ht="15" customHeight="1">
      <c r="A53" s="1"/>
      <c r="BK53" s="4"/>
    </row>
    <row r="54" spans="1:63" ht="15" customHeight="1">
      <c r="A54" s="1"/>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7"/>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5B34A-C06D-4EB4-A6A7-A50B7F37DF0C}">
  <sheetPr filterMode="1"/>
  <dimension ref="A1:AF529"/>
  <sheetViews>
    <sheetView tabSelected="1" zoomScale="99" zoomScaleNormal="99" workbookViewId="0">
      <pane xSplit="8" ySplit="7" topLeftCell="I200" activePane="bottomRight" state="frozen"/>
      <selection pane="bottomRight" activeCell="J232" sqref="J232"/>
      <selection pane="bottomLeft" activeCell="A8" sqref="A8"/>
      <selection pane="topRight" activeCell="I1" sqref="I1"/>
    </sheetView>
    <sheetView tabSelected="1" workbookViewId="1">
      <selection activeCell="H11" sqref="H11"/>
    </sheetView>
  </sheetViews>
  <sheetFormatPr defaultColWidth="8.88671875" defaultRowHeight="15" customHeight="1"/>
  <cols>
    <col min="1" max="1" width="0.88671875" style="55" customWidth="1"/>
    <col min="2" max="2" width="3" style="150" customWidth="1"/>
    <col min="3" max="6" width="2.77734375" style="146" customWidth="1"/>
    <col min="7" max="7" width="30.77734375" style="146" customWidth="1"/>
    <col min="8" max="8" width="50.77734375" style="146" customWidth="1"/>
    <col min="9" max="13" width="5.77734375" style="422" customWidth="1"/>
    <col min="14" max="14" width="20.77734375" style="20" customWidth="1"/>
    <col min="15" max="15" width="8.88671875" style="20"/>
    <col min="16" max="16" width="20.77734375" style="20" customWidth="1"/>
    <col min="17" max="17" width="8.88671875" style="20"/>
    <col min="18" max="18" width="20.77734375" style="20" customWidth="1"/>
    <col min="19" max="19" width="8.88671875" style="20"/>
    <col min="20" max="20" width="20.77734375" style="20" customWidth="1"/>
    <col min="21" max="30" width="8.88671875" style="20"/>
    <col min="31" max="31" width="8.88671875" style="205"/>
    <col min="32" max="32" width="10.44140625" style="204" bestFit="1" customWidth="1"/>
    <col min="33" max="16384" width="8.88671875" style="20"/>
  </cols>
  <sheetData>
    <row r="1" spans="1:32" ht="15" customHeight="1">
      <c r="A1" s="145"/>
      <c r="B1" s="156" t="s">
        <v>26</v>
      </c>
      <c r="C1" s="157"/>
      <c r="D1" s="157"/>
      <c r="AE1" s="250"/>
      <c r="AF1" s="229"/>
    </row>
    <row r="2" spans="1:32" ht="15" customHeight="1">
      <c r="A2" s="145"/>
      <c r="B2" s="156"/>
      <c r="C2" s="157"/>
      <c r="D2" s="157"/>
      <c r="AE2" s="250"/>
      <c r="AF2" s="229"/>
    </row>
    <row r="3" spans="1:32" ht="15" customHeight="1">
      <c r="A3" s="145"/>
      <c r="B3" s="158"/>
      <c r="C3" s="159"/>
      <c r="D3" s="159"/>
      <c r="E3" s="159"/>
      <c r="AE3" s="250"/>
      <c r="AF3" s="229"/>
    </row>
    <row r="4" spans="1:32" ht="15" customHeight="1">
      <c r="A4" s="145"/>
      <c r="AE4" s="250"/>
      <c r="AF4" s="229"/>
    </row>
    <row r="5" spans="1:32" ht="15" customHeight="1">
      <c r="A5" s="145"/>
      <c r="W5" s="20" t="s">
        <v>27</v>
      </c>
      <c r="X5" s="250">
        <f>X6/20</f>
        <v>36.915000000000219</v>
      </c>
      <c r="Y5" s="250">
        <f t="shared" ref="Y5:AD5" si="0">Y6/20</f>
        <v>2.082499999999996</v>
      </c>
      <c r="Z5" s="250">
        <f t="shared" si="0"/>
        <v>43.462500000000048</v>
      </c>
      <c r="AA5" s="250">
        <f t="shared" si="0"/>
        <v>49.143499999999889</v>
      </c>
      <c r="AB5" s="250">
        <f t="shared" si="0"/>
        <v>14.381</v>
      </c>
      <c r="AC5" s="250">
        <f t="shared" si="0"/>
        <v>14.381</v>
      </c>
      <c r="AD5" s="250">
        <f t="shared" si="0"/>
        <v>160.36549999999963</v>
      </c>
      <c r="AE5" s="250">
        <f>AD5*1.15</f>
        <v>184.42032499999956</v>
      </c>
      <c r="AF5" s="204">
        <f>AE5*350000</f>
        <v>64547113.749999851</v>
      </c>
    </row>
    <row r="6" spans="1:32" ht="15" customHeight="1">
      <c r="A6" s="16"/>
      <c r="B6" s="599" t="s">
        <v>28</v>
      </c>
      <c r="C6" s="603"/>
      <c r="D6" s="603"/>
      <c r="E6" s="603"/>
      <c r="F6" s="603"/>
      <c r="G6" s="603"/>
      <c r="H6" s="601" t="s">
        <v>29</v>
      </c>
      <c r="I6" s="509" t="s">
        <v>30</v>
      </c>
      <c r="J6" s="601" t="s">
        <v>31</v>
      </c>
      <c r="K6" s="607"/>
      <c r="L6" s="608"/>
      <c r="M6" s="605" t="s">
        <v>32</v>
      </c>
      <c r="N6" s="599" t="s">
        <v>33</v>
      </c>
      <c r="O6" s="605" t="s">
        <v>34</v>
      </c>
      <c r="P6" s="599" t="s">
        <v>35</v>
      </c>
      <c r="Q6" s="605" t="s">
        <v>36</v>
      </c>
      <c r="R6" s="599" t="s">
        <v>37</v>
      </c>
      <c r="S6" s="605" t="s">
        <v>38</v>
      </c>
      <c r="T6" s="599" t="s">
        <v>39</v>
      </c>
      <c r="U6" s="605" t="s">
        <v>40</v>
      </c>
      <c r="W6" s="20" t="s">
        <v>41</v>
      </c>
      <c r="X6" s="205">
        <f>SUMIF($W$7:$W$529,"*",X$7:X$529)</f>
        <v>738.30000000000439</v>
      </c>
      <c r="Y6" s="205">
        <f>SUMIF($W$7:$W$529,"*",Y$7:Y$529)</f>
        <v>41.64999999999992</v>
      </c>
      <c r="Z6" s="205">
        <f>SUMIF($W$7:$W$529,"*",Z$7:Z$529)</f>
        <v>869.25000000000091</v>
      </c>
      <c r="AA6" s="205">
        <f>SUMIF($W$7:$W$529,"*",AA$7:AA$529)</f>
        <v>982.86999999999773</v>
      </c>
      <c r="AB6" s="205">
        <f>SUMIF($W$7:$W$529,"*",AB$7:AB$529)</f>
        <v>287.62</v>
      </c>
      <c r="AC6" s="205">
        <f>SUMIF($W$7:$W$529,"*",AC$7:AC$529)</f>
        <v>287.62</v>
      </c>
      <c r="AD6" s="205">
        <f>SUMIF($W$7:$W$529,"*",AD$7:AD$529)</f>
        <v>3207.3099999999927</v>
      </c>
    </row>
    <row r="7" spans="1:32" ht="15" customHeight="1">
      <c r="A7" s="16"/>
      <c r="B7" s="600"/>
      <c r="C7" s="604"/>
      <c r="D7" s="604"/>
      <c r="E7" s="604"/>
      <c r="F7" s="604"/>
      <c r="G7" s="604"/>
      <c r="H7" s="602"/>
      <c r="I7" s="510"/>
      <c r="J7" s="527" t="s">
        <v>42</v>
      </c>
      <c r="K7" s="187" t="s">
        <v>43</v>
      </c>
      <c r="L7" s="187" t="s">
        <v>44</v>
      </c>
      <c r="M7" s="606"/>
      <c r="N7" s="600"/>
      <c r="O7" s="606"/>
      <c r="P7" s="600"/>
      <c r="Q7" s="606"/>
      <c r="R7" s="600"/>
      <c r="S7" s="606"/>
      <c r="T7" s="600"/>
      <c r="U7" s="606"/>
      <c r="W7" s="206" t="s">
        <v>45</v>
      </c>
      <c r="X7" s="210" t="s">
        <v>46</v>
      </c>
      <c r="Y7" s="211" t="s">
        <v>47</v>
      </c>
      <c r="Z7" s="211" t="s">
        <v>48</v>
      </c>
      <c r="AA7" s="211" t="s">
        <v>49</v>
      </c>
      <c r="AB7" s="211" t="s">
        <v>50</v>
      </c>
      <c r="AC7" s="212" t="s">
        <v>51</v>
      </c>
      <c r="AD7" s="225" t="s">
        <v>52</v>
      </c>
    </row>
    <row r="8" spans="1:32" ht="15" customHeight="1">
      <c r="A8" s="16"/>
      <c r="B8" s="148" t="s">
        <v>53</v>
      </c>
      <c r="C8" s="149"/>
      <c r="D8" s="149"/>
      <c r="E8" s="149"/>
      <c r="F8" s="149"/>
      <c r="G8" s="149"/>
      <c r="H8" s="149"/>
      <c r="I8" s="423"/>
      <c r="J8" s="423"/>
      <c r="K8" s="423"/>
      <c r="L8" s="423"/>
      <c r="M8" s="423"/>
      <c r="N8" s="144"/>
      <c r="O8" s="144"/>
      <c r="P8" s="144"/>
      <c r="Q8" s="144"/>
      <c r="R8" s="144"/>
      <c r="S8" s="144"/>
      <c r="T8" s="144"/>
      <c r="U8" s="144"/>
      <c r="W8" s="207"/>
      <c r="X8" s="213">
        <f>SUM(X9:X30)</f>
        <v>160.66000000000003</v>
      </c>
      <c r="Y8" s="214">
        <f t="shared" ref="Y8:AD8" si="1">SUM(Y9:Y30)</f>
        <v>0</v>
      </c>
      <c r="Z8" s="215">
        <f t="shared" si="1"/>
        <v>189</v>
      </c>
      <c r="AA8" s="215">
        <f t="shared" si="1"/>
        <v>213.57999999999996</v>
      </c>
      <c r="AB8" s="215">
        <f t="shared" si="1"/>
        <v>62.379999999999988</v>
      </c>
      <c r="AC8" s="216">
        <f t="shared" si="1"/>
        <v>62.379999999999988</v>
      </c>
      <c r="AD8" s="226">
        <f t="shared" si="1"/>
        <v>688</v>
      </c>
      <c r="AE8" s="205">
        <f>AD8/20</f>
        <v>34.4</v>
      </c>
      <c r="AF8" s="204">
        <f>AE8*350000</f>
        <v>12040000</v>
      </c>
    </row>
    <row r="9" spans="1:32" ht="15" customHeight="1">
      <c r="A9" s="145"/>
      <c r="B9" s="193" t="s">
        <v>54</v>
      </c>
      <c r="C9" s="194"/>
      <c r="D9" s="194"/>
      <c r="E9" s="194"/>
      <c r="F9" s="194"/>
      <c r="G9" s="194"/>
      <c r="H9" s="195"/>
      <c r="I9" s="424"/>
      <c r="J9" s="511"/>
      <c r="K9" s="425"/>
      <c r="L9" s="425"/>
      <c r="M9" s="426"/>
      <c r="N9" s="196"/>
      <c r="O9" s="197"/>
      <c r="P9" s="196"/>
      <c r="Q9" s="197"/>
      <c r="R9" s="196"/>
      <c r="S9" s="197"/>
      <c r="T9" s="196"/>
      <c r="U9" s="197"/>
      <c r="W9" s="208"/>
      <c r="X9" s="217">
        <f>_xlfn.XLOOKUP(W9,マスタ!A:A,マスタ!C:C,0)*M9</f>
        <v>0</v>
      </c>
      <c r="Y9" s="218">
        <f>IF(N9="",0,_xlfn.XLOOKUP(W9,マスタ!A:A,マスタ!D:D,0)*M9)</f>
        <v>0</v>
      </c>
      <c r="Z9" s="219">
        <f>_xlfn.XLOOKUP(W9,マスタ!A:A,マスタ!E:E,0)*M9</f>
        <v>0</v>
      </c>
      <c r="AA9" s="219">
        <f>_xlfn.XLOOKUP(W9,マスタ!A:A,マスタ!F:F,0)*M9</f>
        <v>0</v>
      </c>
      <c r="AB9" s="219">
        <f>_xlfn.XLOOKUP(W9,マスタ!A:A,マスタ!G:G,0)*M9</f>
        <v>0</v>
      </c>
      <c r="AC9" s="220">
        <f>_xlfn.XLOOKUP(W9,マスタ!A:A,マスタ!H:H,0)*M9</f>
        <v>0</v>
      </c>
      <c r="AD9" s="227">
        <f>SUM(X9:AC9)</f>
        <v>0</v>
      </c>
    </row>
    <row r="10" spans="1:32" ht="15" customHeight="1">
      <c r="A10" s="16"/>
      <c r="B10" s="147"/>
      <c r="C10" s="198" t="s">
        <v>55</v>
      </c>
      <c r="D10" s="199"/>
      <c r="E10" s="199"/>
      <c r="F10" s="199"/>
      <c r="G10" s="199"/>
      <c r="H10" s="200"/>
      <c r="I10" s="427"/>
      <c r="J10" s="512"/>
      <c r="K10" s="428"/>
      <c r="L10" s="428"/>
      <c r="M10" s="429"/>
      <c r="N10" s="201"/>
      <c r="O10" s="202"/>
      <c r="P10" s="201"/>
      <c r="Q10" s="202"/>
      <c r="R10" s="201"/>
      <c r="S10" s="202"/>
      <c r="T10" s="201"/>
      <c r="U10" s="202"/>
      <c r="W10" s="208"/>
      <c r="X10" s="217">
        <f>_xlfn.XLOOKUP(W10,マスタ!A:A,マスタ!C:C,0)*M10</f>
        <v>0</v>
      </c>
      <c r="Y10" s="218">
        <f>IF(N10="",0,_xlfn.XLOOKUP(W10,マスタ!A:A,マスタ!D:D,0)*M10)</f>
        <v>0</v>
      </c>
      <c r="Z10" s="219">
        <f>_xlfn.XLOOKUP(W10,マスタ!A:A,マスタ!E:E,0)*M10</f>
        <v>0</v>
      </c>
      <c r="AA10" s="219">
        <f>_xlfn.XLOOKUP(W10,マスタ!A:A,マスタ!F:F,0)*M10</f>
        <v>0</v>
      </c>
      <c r="AB10" s="219">
        <f>_xlfn.XLOOKUP(W10,マスタ!A:A,マスタ!G:G,0)*M10</f>
        <v>0</v>
      </c>
      <c r="AC10" s="220">
        <f>_xlfn.XLOOKUP(W10,マスタ!A:A,マスタ!H:H,0)*M10</f>
        <v>0</v>
      </c>
      <c r="AD10" s="227">
        <f t="shared" ref="AD10:AD104" si="2">SUM(X10:AC10)</f>
        <v>0</v>
      </c>
    </row>
    <row r="11" spans="1:32" ht="15" customHeight="1">
      <c r="A11" s="16"/>
      <c r="B11" s="147"/>
      <c r="C11" s="162"/>
      <c r="D11" s="163" t="s">
        <v>56</v>
      </c>
      <c r="E11" s="164"/>
      <c r="F11" s="164"/>
      <c r="G11" s="164"/>
      <c r="H11" s="173"/>
      <c r="I11" s="430" t="s">
        <v>57</v>
      </c>
      <c r="J11" s="513" t="s">
        <v>58</v>
      </c>
      <c r="K11" s="431" t="s">
        <v>58</v>
      </c>
      <c r="L11" s="431" t="s">
        <v>58</v>
      </c>
      <c r="M11" s="432">
        <v>2</v>
      </c>
      <c r="N11" s="179"/>
      <c r="O11" s="180"/>
      <c r="P11" s="179"/>
      <c r="Q11" s="180"/>
      <c r="R11" s="179"/>
      <c r="S11" s="180"/>
      <c r="T11" s="179"/>
      <c r="U11" s="180"/>
      <c r="W11" s="208" t="s">
        <v>59</v>
      </c>
      <c r="X11" s="217">
        <f>_xlfn.XLOOKUP(W11,マスタ!A:A,マスタ!C:C,0)*M11</f>
        <v>5.96</v>
      </c>
      <c r="Y11" s="218">
        <f>IF(N11="",0,_xlfn.XLOOKUP(W11,マスタ!A:A,マスタ!D:D,0)*M11)</f>
        <v>0</v>
      </c>
      <c r="Z11" s="219">
        <f>_xlfn.XLOOKUP(W11,マスタ!A:A,マスタ!E:E,0)*M11</f>
        <v>7</v>
      </c>
      <c r="AA11" s="219">
        <f>_xlfn.XLOOKUP(W11,マスタ!A:A,マスタ!F:F,0)*M11</f>
        <v>7.92</v>
      </c>
      <c r="AB11" s="219">
        <f>_xlfn.XLOOKUP(W11,マスタ!A:A,マスタ!G:G,0)*M11</f>
        <v>2.3199999999999998</v>
      </c>
      <c r="AC11" s="220">
        <f>_xlfn.XLOOKUP(W11,マスタ!A:A,マスタ!H:H,0)*M11</f>
        <v>2.3199999999999998</v>
      </c>
      <c r="AD11" s="227">
        <f t="shared" si="2"/>
        <v>25.520000000000003</v>
      </c>
    </row>
    <row r="12" spans="1:32" ht="15" customHeight="1">
      <c r="A12" s="16"/>
      <c r="B12" s="147"/>
      <c r="C12" s="162"/>
      <c r="D12" s="165" t="s">
        <v>60</v>
      </c>
      <c r="E12" s="166"/>
      <c r="F12" s="166"/>
      <c r="G12" s="166"/>
      <c r="H12" s="174"/>
      <c r="I12" s="433" t="s">
        <v>57</v>
      </c>
      <c r="J12" s="514" t="s">
        <v>58</v>
      </c>
      <c r="K12" s="434" t="s">
        <v>58</v>
      </c>
      <c r="L12" s="434" t="s">
        <v>58</v>
      </c>
      <c r="M12" s="435">
        <v>2</v>
      </c>
      <c r="N12" s="181"/>
      <c r="O12" s="182"/>
      <c r="P12" s="181"/>
      <c r="Q12" s="182"/>
      <c r="R12" s="181"/>
      <c r="S12" s="182"/>
      <c r="T12" s="181"/>
      <c r="U12" s="182"/>
      <c r="W12" s="208" t="s">
        <v>61</v>
      </c>
      <c r="X12" s="217">
        <f>_xlfn.XLOOKUP(W12,マスタ!A:A,マスタ!C:C,0)*M12</f>
        <v>11.9</v>
      </c>
      <c r="Y12" s="218">
        <f>IF(N12="",0,_xlfn.XLOOKUP(W12,マスタ!A:A,マスタ!D:D,0)*M12)</f>
        <v>0</v>
      </c>
      <c r="Z12" s="219">
        <f>_xlfn.XLOOKUP(W12,マスタ!A:A,マスタ!E:E,0)*M12</f>
        <v>14</v>
      </c>
      <c r="AA12" s="219">
        <f>_xlfn.XLOOKUP(W12,マスタ!A:A,マスタ!F:F,0)*M12</f>
        <v>15.82</v>
      </c>
      <c r="AB12" s="219">
        <f>_xlfn.XLOOKUP(W12,マスタ!A:A,マスタ!G:G,0)*M12</f>
        <v>4.62</v>
      </c>
      <c r="AC12" s="220">
        <f>_xlfn.XLOOKUP(W12,マスタ!A:A,マスタ!H:H,0)*M12</f>
        <v>4.62</v>
      </c>
      <c r="AD12" s="227">
        <f t="shared" si="2"/>
        <v>50.959999999999994</v>
      </c>
    </row>
    <row r="13" spans="1:32" ht="15" customHeight="1">
      <c r="A13" s="16"/>
      <c r="B13" s="147"/>
      <c r="C13" s="162"/>
      <c r="D13" s="165" t="s">
        <v>62</v>
      </c>
      <c r="E13" s="166"/>
      <c r="F13" s="166"/>
      <c r="G13" s="166"/>
      <c r="H13" s="174"/>
      <c r="I13" s="433" t="s">
        <v>57</v>
      </c>
      <c r="J13" s="514" t="s">
        <v>58</v>
      </c>
      <c r="K13" s="434" t="s">
        <v>58</v>
      </c>
      <c r="L13" s="434" t="s">
        <v>58</v>
      </c>
      <c r="M13" s="435">
        <v>2</v>
      </c>
      <c r="N13" s="181"/>
      <c r="O13" s="182"/>
      <c r="P13" s="181"/>
      <c r="Q13" s="182"/>
      <c r="R13" s="181"/>
      <c r="S13" s="182"/>
      <c r="T13" s="181"/>
      <c r="U13" s="182"/>
      <c r="W13" s="208" t="s">
        <v>61</v>
      </c>
      <c r="X13" s="217">
        <f>_xlfn.XLOOKUP(W13,マスタ!A:A,マスタ!C:C,0)*M13</f>
        <v>11.9</v>
      </c>
      <c r="Y13" s="218">
        <f>IF(N13="",0,_xlfn.XLOOKUP(W13,マスタ!A:A,マスタ!D:D,0)*M13)</f>
        <v>0</v>
      </c>
      <c r="Z13" s="219">
        <f>_xlfn.XLOOKUP(W13,マスタ!A:A,マスタ!E:E,0)*M13</f>
        <v>14</v>
      </c>
      <c r="AA13" s="219">
        <f>_xlfn.XLOOKUP(W13,マスタ!A:A,マスタ!F:F,0)*M13</f>
        <v>15.82</v>
      </c>
      <c r="AB13" s="219">
        <f>_xlfn.XLOOKUP(W13,マスタ!A:A,マスタ!G:G,0)*M13</f>
        <v>4.62</v>
      </c>
      <c r="AC13" s="220">
        <f>_xlfn.XLOOKUP(W13,マスタ!A:A,マスタ!H:H,0)*M13</f>
        <v>4.62</v>
      </c>
      <c r="AD13" s="227">
        <f t="shared" si="2"/>
        <v>50.959999999999994</v>
      </c>
    </row>
    <row r="14" spans="1:32" ht="15" customHeight="1">
      <c r="A14" s="16"/>
      <c r="B14" s="147"/>
      <c r="C14" s="162"/>
      <c r="D14" s="165" t="s">
        <v>63</v>
      </c>
      <c r="E14" s="166"/>
      <c r="F14" s="166"/>
      <c r="G14" s="166"/>
      <c r="H14" s="174"/>
      <c r="I14" s="433" t="s">
        <v>57</v>
      </c>
      <c r="J14" s="514" t="s">
        <v>58</v>
      </c>
      <c r="K14" s="434" t="s">
        <v>58</v>
      </c>
      <c r="L14" s="434" t="s">
        <v>58</v>
      </c>
      <c r="M14" s="435">
        <v>2</v>
      </c>
      <c r="N14" s="181"/>
      <c r="O14" s="182"/>
      <c r="P14" s="181"/>
      <c r="Q14" s="182"/>
      <c r="R14" s="181"/>
      <c r="S14" s="182"/>
      <c r="T14" s="181"/>
      <c r="U14" s="182"/>
      <c r="W14" s="208" t="s">
        <v>61</v>
      </c>
      <c r="X14" s="217">
        <f>_xlfn.XLOOKUP(W14,マスタ!A:A,マスタ!C:C,0)*M14</f>
        <v>11.9</v>
      </c>
      <c r="Y14" s="218">
        <f>IF(N14="",0,_xlfn.XLOOKUP(W14,マスタ!A:A,マスタ!D:D,0)*M14)</f>
        <v>0</v>
      </c>
      <c r="Z14" s="219">
        <f>_xlfn.XLOOKUP(W14,マスタ!A:A,マスタ!E:E,0)*M14</f>
        <v>14</v>
      </c>
      <c r="AA14" s="219">
        <f>_xlfn.XLOOKUP(W14,マスタ!A:A,マスタ!F:F,0)*M14</f>
        <v>15.82</v>
      </c>
      <c r="AB14" s="219">
        <f>_xlfn.XLOOKUP(W14,マスタ!A:A,マスタ!G:G,0)*M14</f>
        <v>4.62</v>
      </c>
      <c r="AC14" s="220">
        <f>_xlfn.XLOOKUP(W14,マスタ!A:A,マスタ!H:H,0)*M14</f>
        <v>4.62</v>
      </c>
      <c r="AD14" s="227">
        <f t="shared" si="2"/>
        <v>50.959999999999994</v>
      </c>
    </row>
    <row r="15" spans="1:32" ht="15" customHeight="1">
      <c r="A15" s="16"/>
      <c r="B15" s="147"/>
      <c r="C15" s="162"/>
      <c r="D15" s="165" t="s">
        <v>64</v>
      </c>
      <c r="E15" s="166"/>
      <c r="F15" s="166"/>
      <c r="G15" s="166"/>
      <c r="H15" s="174"/>
      <c r="I15" s="433" t="s">
        <v>57</v>
      </c>
      <c r="J15" s="514" t="s">
        <v>58</v>
      </c>
      <c r="K15" s="434" t="s">
        <v>58</v>
      </c>
      <c r="L15" s="434" t="s">
        <v>58</v>
      </c>
      <c r="M15" s="435">
        <v>2</v>
      </c>
      <c r="N15" s="181"/>
      <c r="O15" s="182"/>
      <c r="P15" s="181"/>
      <c r="Q15" s="182"/>
      <c r="R15" s="181"/>
      <c r="S15" s="182"/>
      <c r="T15" s="181"/>
      <c r="U15" s="182"/>
      <c r="W15" s="208" t="s">
        <v>61</v>
      </c>
      <c r="X15" s="217">
        <f>_xlfn.XLOOKUP(W15,マスタ!A:A,マスタ!C:C,0)*M15</f>
        <v>11.9</v>
      </c>
      <c r="Y15" s="218">
        <f>IF(N15="",0,_xlfn.XLOOKUP(W15,マスタ!A:A,マスタ!D:D,0)*M15)</f>
        <v>0</v>
      </c>
      <c r="Z15" s="219">
        <f>_xlfn.XLOOKUP(W15,マスタ!A:A,マスタ!E:E,0)*M15</f>
        <v>14</v>
      </c>
      <c r="AA15" s="219">
        <f>_xlfn.XLOOKUP(W15,マスタ!A:A,マスタ!F:F,0)*M15</f>
        <v>15.82</v>
      </c>
      <c r="AB15" s="219">
        <f>_xlfn.XLOOKUP(W15,マスタ!A:A,マスタ!G:G,0)*M15</f>
        <v>4.62</v>
      </c>
      <c r="AC15" s="220">
        <f>_xlfn.XLOOKUP(W15,マスタ!A:A,マスタ!H:H,0)*M15</f>
        <v>4.62</v>
      </c>
      <c r="AD15" s="227">
        <f t="shared" si="2"/>
        <v>50.959999999999994</v>
      </c>
    </row>
    <row r="16" spans="1:32" ht="15" customHeight="1">
      <c r="A16" s="16"/>
      <c r="B16" s="147"/>
      <c r="C16" s="162"/>
      <c r="D16" s="165" t="s">
        <v>65</v>
      </c>
      <c r="E16" s="166"/>
      <c r="F16" s="166"/>
      <c r="G16" s="166"/>
      <c r="H16" s="174"/>
      <c r="I16" s="433" t="s">
        <v>57</v>
      </c>
      <c r="J16" s="514" t="s">
        <v>58</v>
      </c>
      <c r="K16" s="434" t="s">
        <v>58</v>
      </c>
      <c r="L16" s="434" t="s">
        <v>58</v>
      </c>
      <c r="M16" s="435">
        <v>2</v>
      </c>
      <c r="N16" s="181"/>
      <c r="O16" s="182"/>
      <c r="P16" s="181"/>
      <c r="Q16" s="182"/>
      <c r="R16" s="181"/>
      <c r="S16" s="182"/>
      <c r="T16" s="181"/>
      <c r="U16" s="182"/>
      <c r="W16" s="208" t="s">
        <v>61</v>
      </c>
      <c r="X16" s="217">
        <f>_xlfn.XLOOKUP(W16,マスタ!A:A,マスタ!C:C,0)*M16</f>
        <v>11.9</v>
      </c>
      <c r="Y16" s="218">
        <f>IF(N16="",0,_xlfn.XLOOKUP(W16,マスタ!A:A,マスタ!D:D,0)*M16)</f>
        <v>0</v>
      </c>
      <c r="Z16" s="219">
        <f>_xlfn.XLOOKUP(W16,マスタ!A:A,マスタ!E:E,0)*M16</f>
        <v>14</v>
      </c>
      <c r="AA16" s="219">
        <f>_xlfn.XLOOKUP(W16,マスタ!A:A,マスタ!F:F,0)*M16</f>
        <v>15.82</v>
      </c>
      <c r="AB16" s="219">
        <f>_xlfn.XLOOKUP(W16,マスタ!A:A,マスタ!G:G,0)*M16</f>
        <v>4.62</v>
      </c>
      <c r="AC16" s="220">
        <f>_xlfn.XLOOKUP(W16,マスタ!A:A,マスタ!H:H,0)*M16</f>
        <v>4.62</v>
      </c>
      <c r="AD16" s="227">
        <f t="shared" si="2"/>
        <v>50.959999999999994</v>
      </c>
    </row>
    <row r="17" spans="1:32" ht="15" customHeight="1">
      <c r="A17" s="16"/>
      <c r="B17" s="147"/>
      <c r="C17" s="167"/>
      <c r="D17" s="168" t="s">
        <v>66</v>
      </c>
      <c r="E17" s="169"/>
      <c r="F17" s="169"/>
      <c r="G17" s="169"/>
      <c r="H17" s="175"/>
      <c r="I17" s="436" t="s">
        <v>57</v>
      </c>
      <c r="J17" s="515" t="s">
        <v>58</v>
      </c>
      <c r="K17" s="437" t="s">
        <v>58</v>
      </c>
      <c r="L17" s="437" t="s">
        <v>58</v>
      </c>
      <c r="M17" s="438">
        <v>2</v>
      </c>
      <c r="N17" s="183"/>
      <c r="O17" s="184"/>
      <c r="P17" s="183"/>
      <c r="Q17" s="184"/>
      <c r="R17" s="183"/>
      <c r="S17" s="184"/>
      <c r="T17" s="183"/>
      <c r="U17" s="184"/>
      <c r="W17" s="208" t="s">
        <v>61</v>
      </c>
      <c r="X17" s="217">
        <f>_xlfn.XLOOKUP(W17,マスタ!A:A,マスタ!C:C,0)*M17</f>
        <v>11.9</v>
      </c>
      <c r="Y17" s="218">
        <f>IF(N17="",0,_xlfn.XLOOKUP(W17,マスタ!A:A,マスタ!D:D,0)*M17)</f>
        <v>0</v>
      </c>
      <c r="Z17" s="219">
        <f>_xlfn.XLOOKUP(W17,マスタ!A:A,マスタ!E:E,0)*M17</f>
        <v>14</v>
      </c>
      <c r="AA17" s="219">
        <f>_xlfn.XLOOKUP(W17,マスタ!A:A,マスタ!F:F,0)*M17</f>
        <v>15.82</v>
      </c>
      <c r="AB17" s="219">
        <f>_xlfn.XLOOKUP(W17,マスタ!A:A,マスタ!G:G,0)*M17</f>
        <v>4.62</v>
      </c>
      <c r="AC17" s="220">
        <f>_xlfn.XLOOKUP(W17,マスタ!A:A,マスタ!H:H,0)*M17</f>
        <v>4.62</v>
      </c>
      <c r="AD17" s="227">
        <f t="shared" si="2"/>
        <v>50.959999999999994</v>
      </c>
    </row>
    <row r="18" spans="1:32" ht="15" customHeight="1">
      <c r="A18" s="16"/>
      <c r="B18" s="147"/>
      <c r="C18" s="198" t="s">
        <v>67</v>
      </c>
      <c r="D18" s="199"/>
      <c r="E18" s="199"/>
      <c r="F18" s="199"/>
      <c r="G18" s="199"/>
      <c r="H18" s="200"/>
      <c r="I18" s="427"/>
      <c r="J18" s="512"/>
      <c r="K18" s="428"/>
      <c r="L18" s="428"/>
      <c r="M18" s="429"/>
      <c r="N18" s="201"/>
      <c r="O18" s="202"/>
      <c r="P18" s="201"/>
      <c r="Q18" s="202"/>
      <c r="R18" s="201"/>
      <c r="S18" s="202"/>
      <c r="T18" s="201"/>
      <c r="U18" s="202"/>
      <c r="W18" s="208"/>
      <c r="X18" s="217">
        <f>_xlfn.XLOOKUP(W18,マスタ!A:A,マスタ!C:C,0)*M18</f>
        <v>0</v>
      </c>
      <c r="Y18" s="218">
        <f>IF(N18="",0,_xlfn.XLOOKUP(W18,マスタ!A:A,マスタ!D:D,0)*M18)</f>
        <v>0</v>
      </c>
      <c r="Z18" s="219">
        <f>_xlfn.XLOOKUP(W18,マスタ!A:A,マスタ!E:E,0)*M18</f>
        <v>0</v>
      </c>
      <c r="AA18" s="219">
        <f>_xlfn.XLOOKUP(W18,マスタ!A:A,マスタ!F:F,0)*M18</f>
        <v>0</v>
      </c>
      <c r="AB18" s="219">
        <f>_xlfn.XLOOKUP(W18,マスタ!A:A,マスタ!G:G,0)*M18</f>
        <v>0</v>
      </c>
      <c r="AC18" s="220">
        <f>_xlfn.XLOOKUP(W18,マスタ!A:A,マスタ!H:H,0)*M18</f>
        <v>0</v>
      </c>
      <c r="AD18" s="227">
        <f t="shared" si="2"/>
        <v>0</v>
      </c>
    </row>
    <row r="19" spans="1:32" ht="15" customHeight="1">
      <c r="A19" s="16"/>
      <c r="B19" s="147"/>
      <c r="C19" s="162"/>
      <c r="D19" s="163" t="s">
        <v>68</v>
      </c>
      <c r="E19" s="164"/>
      <c r="F19" s="164"/>
      <c r="G19" s="164"/>
      <c r="H19" s="173"/>
      <c r="I19" s="430" t="s">
        <v>57</v>
      </c>
      <c r="J19" s="513" t="s">
        <v>58</v>
      </c>
      <c r="K19" s="431" t="s">
        <v>58</v>
      </c>
      <c r="L19" s="431" t="s">
        <v>58</v>
      </c>
      <c r="M19" s="432">
        <v>2</v>
      </c>
      <c r="N19" s="179"/>
      <c r="O19" s="180"/>
      <c r="P19" s="179"/>
      <c r="Q19" s="180"/>
      <c r="R19" s="179"/>
      <c r="S19" s="180"/>
      <c r="T19" s="179"/>
      <c r="U19" s="180"/>
      <c r="W19" s="208" t="s">
        <v>61</v>
      </c>
      <c r="X19" s="217">
        <f>_xlfn.XLOOKUP(W19,マスタ!A:A,マスタ!C:C,0)*M19</f>
        <v>11.9</v>
      </c>
      <c r="Y19" s="218">
        <f>IF(N19="",0,_xlfn.XLOOKUP(W19,マスタ!A:A,マスタ!D:D,0)*M19)</f>
        <v>0</v>
      </c>
      <c r="Z19" s="219">
        <f>_xlfn.XLOOKUP(W19,マスタ!A:A,マスタ!E:E,0)*M19</f>
        <v>14</v>
      </c>
      <c r="AA19" s="219">
        <f>_xlfn.XLOOKUP(W19,マスタ!A:A,マスタ!F:F,0)*M19</f>
        <v>15.82</v>
      </c>
      <c r="AB19" s="219">
        <f>_xlfn.XLOOKUP(W19,マスタ!A:A,マスタ!G:G,0)*M19</f>
        <v>4.62</v>
      </c>
      <c r="AC19" s="220">
        <f>_xlfn.XLOOKUP(W19,マスタ!A:A,マスタ!H:H,0)*M19</f>
        <v>4.62</v>
      </c>
      <c r="AD19" s="227">
        <f t="shared" si="2"/>
        <v>50.959999999999994</v>
      </c>
    </row>
    <row r="20" spans="1:32" ht="15" customHeight="1">
      <c r="A20" s="16"/>
      <c r="B20" s="147"/>
      <c r="C20" s="162"/>
      <c r="D20" s="165" t="s">
        <v>60</v>
      </c>
      <c r="E20" s="166"/>
      <c r="F20" s="166"/>
      <c r="G20" s="166"/>
      <c r="H20" s="174"/>
      <c r="I20" s="433" t="s">
        <v>57</v>
      </c>
      <c r="J20" s="514" t="s">
        <v>58</v>
      </c>
      <c r="K20" s="434" t="s">
        <v>58</v>
      </c>
      <c r="L20" s="434" t="s">
        <v>58</v>
      </c>
      <c r="M20" s="435">
        <v>2</v>
      </c>
      <c r="N20" s="181"/>
      <c r="O20" s="182"/>
      <c r="P20" s="181"/>
      <c r="Q20" s="182"/>
      <c r="R20" s="181"/>
      <c r="S20" s="182"/>
      <c r="T20" s="181"/>
      <c r="U20" s="182"/>
      <c r="W20" s="208" t="s">
        <v>61</v>
      </c>
      <c r="X20" s="217">
        <f>_xlfn.XLOOKUP(W20,マスタ!A:A,マスタ!C:C,0)*M20</f>
        <v>11.9</v>
      </c>
      <c r="Y20" s="218">
        <f>IF(N20="",0,_xlfn.XLOOKUP(W20,マスタ!A:A,マスタ!D:D,0)*M20)</f>
        <v>0</v>
      </c>
      <c r="Z20" s="219">
        <f>_xlfn.XLOOKUP(W20,マスタ!A:A,マスタ!E:E,0)*M20</f>
        <v>14</v>
      </c>
      <c r="AA20" s="219">
        <f>_xlfn.XLOOKUP(W20,マスタ!A:A,マスタ!F:F,0)*M20</f>
        <v>15.82</v>
      </c>
      <c r="AB20" s="219">
        <f>_xlfn.XLOOKUP(W20,マスタ!A:A,マスタ!G:G,0)*M20</f>
        <v>4.62</v>
      </c>
      <c r="AC20" s="220">
        <f>_xlfn.XLOOKUP(W20,マスタ!A:A,マスタ!H:H,0)*M20</f>
        <v>4.62</v>
      </c>
      <c r="AD20" s="227">
        <f t="shared" si="2"/>
        <v>50.959999999999994</v>
      </c>
    </row>
    <row r="21" spans="1:32" ht="15" customHeight="1">
      <c r="A21" s="16"/>
      <c r="B21" s="147"/>
      <c r="C21" s="162"/>
      <c r="D21" s="165" t="s">
        <v>62</v>
      </c>
      <c r="E21" s="166"/>
      <c r="F21" s="166"/>
      <c r="G21" s="166"/>
      <c r="H21" s="174"/>
      <c r="I21" s="433" t="s">
        <v>57</v>
      </c>
      <c r="J21" s="514" t="s">
        <v>58</v>
      </c>
      <c r="K21" s="434" t="s">
        <v>58</v>
      </c>
      <c r="L21" s="434" t="s">
        <v>58</v>
      </c>
      <c r="M21" s="435">
        <v>2</v>
      </c>
      <c r="N21" s="181"/>
      <c r="O21" s="182"/>
      <c r="P21" s="181"/>
      <c r="Q21" s="182"/>
      <c r="R21" s="181"/>
      <c r="S21" s="182"/>
      <c r="T21" s="181"/>
      <c r="U21" s="182"/>
      <c r="W21" s="208" t="s">
        <v>61</v>
      </c>
      <c r="X21" s="217">
        <f>_xlfn.XLOOKUP(W21,マスタ!A:A,マスタ!C:C,0)*M21</f>
        <v>11.9</v>
      </c>
      <c r="Y21" s="218">
        <f>IF(N21="",0,_xlfn.XLOOKUP(W21,マスタ!A:A,マスタ!D:D,0)*M21)</f>
        <v>0</v>
      </c>
      <c r="Z21" s="219">
        <f>_xlfn.XLOOKUP(W21,マスタ!A:A,マスタ!E:E,0)*M21</f>
        <v>14</v>
      </c>
      <c r="AA21" s="219">
        <f>_xlfn.XLOOKUP(W21,マスタ!A:A,マスタ!F:F,0)*M21</f>
        <v>15.82</v>
      </c>
      <c r="AB21" s="219">
        <f>_xlfn.XLOOKUP(W21,マスタ!A:A,マスタ!G:G,0)*M21</f>
        <v>4.62</v>
      </c>
      <c r="AC21" s="220">
        <f>_xlfn.XLOOKUP(W21,マスタ!A:A,マスタ!H:H,0)*M21</f>
        <v>4.62</v>
      </c>
      <c r="AD21" s="227">
        <f t="shared" si="2"/>
        <v>50.959999999999994</v>
      </c>
    </row>
    <row r="22" spans="1:32" ht="15" customHeight="1">
      <c r="A22" s="16"/>
      <c r="B22" s="147"/>
      <c r="C22" s="162"/>
      <c r="D22" s="165" t="s">
        <v>63</v>
      </c>
      <c r="E22" s="166"/>
      <c r="F22" s="166"/>
      <c r="G22" s="166"/>
      <c r="H22" s="174"/>
      <c r="I22" s="433" t="s">
        <v>57</v>
      </c>
      <c r="J22" s="514" t="s">
        <v>58</v>
      </c>
      <c r="K22" s="434" t="s">
        <v>58</v>
      </c>
      <c r="L22" s="434" t="s">
        <v>58</v>
      </c>
      <c r="M22" s="435">
        <v>2</v>
      </c>
      <c r="N22" s="181"/>
      <c r="O22" s="182"/>
      <c r="P22" s="181"/>
      <c r="Q22" s="182"/>
      <c r="R22" s="181"/>
      <c r="S22" s="182"/>
      <c r="T22" s="181"/>
      <c r="U22" s="182"/>
      <c r="W22" s="208" t="s">
        <v>61</v>
      </c>
      <c r="X22" s="217">
        <f>_xlfn.XLOOKUP(W22,マスタ!A:A,マスタ!C:C,0)*M22</f>
        <v>11.9</v>
      </c>
      <c r="Y22" s="218">
        <f>IF(N22="",0,_xlfn.XLOOKUP(W22,マスタ!A:A,マスタ!D:D,0)*M22)</f>
        <v>0</v>
      </c>
      <c r="Z22" s="219">
        <f>_xlfn.XLOOKUP(W22,マスタ!A:A,マスタ!E:E,0)*M22</f>
        <v>14</v>
      </c>
      <c r="AA22" s="219">
        <f>_xlfn.XLOOKUP(W22,マスタ!A:A,マスタ!F:F,0)*M22</f>
        <v>15.82</v>
      </c>
      <c r="AB22" s="219">
        <f>_xlfn.XLOOKUP(W22,マスタ!A:A,マスタ!G:G,0)*M22</f>
        <v>4.62</v>
      </c>
      <c r="AC22" s="220">
        <f>_xlfn.XLOOKUP(W22,マスタ!A:A,マスタ!H:H,0)*M22</f>
        <v>4.62</v>
      </c>
      <c r="AD22" s="227">
        <f t="shared" si="2"/>
        <v>50.959999999999994</v>
      </c>
    </row>
    <row r="23" spans="1:32" ht="15" customHeight="1">
      <c r="A23" s="16"/>
      <c r="B23" s="147"/>
      <c r="C23" s="162"/>
      <c r="D23" s="165" t="s">
        <v>64</v>
      </c>
      <c r="E23" s="166"/>
      <c r="F23" s="166"/>
      <c r="G23" s="166"/>
      <c r="H23" s="174"/>
      <c r="I23" s="433" t="s">
        <v>57</v>
      </c>
      <c r="J23" s="514" t="s">
        <v>58</v>
      </c>
      <c r="K23" s="434" t="s">
        <v>58</v>
      </c>
      <c r="L23" s="434" t="s">
        <v>58</v>
      </c>
      <c r="M23" s="435">
        <v>2</v>
      </c>
      <c r="N23" s="181"/>
      <c r="O23" s="182"/>
      <c r="P23" s="181"/>
      <c r="Q23" s="182"/>
      <c r="R23" s="181"/>
      <c r="S23" s="182"/>
      <c r="T23" s="181"/>
      <c r="U23" s="182"/>
      <c r="W23" s="208" t="s">
        <v>61</v>
      </c>
      <c r="X23" s="217">
        <f>_xlfn.XLOOKUP(W23,マスタ!A:A,マスタ!C:C,0)*M23</f>
        <v>11.9</v>
      </c>
      <c r="Y23" s="218">
        <f>IF(N23="",0,_xlfn.XLOOKUP(W23,マスタ!A:A,マスタ!D:D,0)*M23)</f>
        <v>0</v>
      </c>
      <c r="Z23" s="219">
        <f>_xlfn.XLOOKUP(W23,マスタ!A:A,マスタ!E:E,0)*M23</f>
        <v>14</v>
      </c>
      <c r="AA23" s="219">
        <f>_xlfn.XLOOKUP(W23,マスタ!A:A,マスタ!F:F,0)*M23</f>
        <v>15.82</v>
      </c>
      <c r="AB23" s="219">
        <f>_xlfn.XLOOKUP(W23,マスタ!A:A,マスタ!G:G,0)*M23</f>
        <v>4.62</v>
      </c>
      <c r="AC23" s="220">
        <f>_xlfn.XLOOKUP(W23,マスタ!A:A,マスタ!H:H,0)*M23</f>
        <v>4.62</v>
      </c>
      <c r="AD23" s="227">
        <f t="shared" si="2"/>
        <v>50.959999999999994</v>
      </c>
    </row>
    <row r="24" spans="1:32" ht="15" customHeight="1">
      <c r="A24" s="16"/>
      <c r="B24" s="147"/>
      <c r="C24" s="162"/>
      <c r="D24" s="165" t="s">
        <v>65</v>
      </c>
      <c r="E24" s="166"/>
      <c r="F24" s="166"/>
      <c r="G24" s="166"/>
      <c r="H24" s="174"/>
      <c r="I24" s="433" t="s">
        <v>57</v>
      </c>
      <c r="J24" s="514" t="s">
        <v>58</v>
      </c>
      <c r="K24" s="434" t="s">
        <v>58</v>
      </c>
      <c r="L24" s="434" t="s">
        <v>58</v>
      </c>
      <c r="M24" s="435">
        <v>2</v>
      </c>
      <c r="N24" s="181"/>
      <c r="O24" s="182"/>
      <c r="P24" s="181"/>
      <c r="Q24" s="182"/>
      <c r="R24" s="181"/>
      <c r="S24" s="182"/>
      <c r="T24" s="181"/>
      <c r="U24" s="182"/>
      <c r="W24" s="208" t="s">
        <v>61</v>
      </c>
      <c r="X24" s="217">
        <f>_xlfn.XLOOKUP(W24,マスタ!A:A,マスタ!C:C,0)*M24</f>
        <v>11.9</v>
      </c>
      <c r="Y24" s="218">
        <f>IF(N24="",0,_xlfn.XLOOKUP(W24,マスタ!A:A,マスタ!D:D,0)*M24)</f>
        <v>0</v>
      </c>
      <c r="Z24" s="219">
        <f>_xlfn.XLOOKUP(W24,マスタ!A:A,マスタ!E:E,0)*M24</f>
        <v>14</v>
      </c>
      <c r="AA24" s="219">
        <f>_xlfn.XLOOKUP(W24,マスタ!A:A,マスタ!F:F,0)*M24</f>
        <v>15.82</v>
      </c>
      <c r="AB24" s="219">
        <f>_xlfn.XLOOKUP(W24,マスタ!A:A,マスタ!G:G,0)*M24</f>
        <v>4.62</v>
      </c>
      <c r="AC24" s="220">
        <f>_xlfn.XLOOKUP(W24,マスタ!A:A,マスタ!H:H,0)*M24</f>
        <v>4.62</v>
      </c>
      <c r="AD24" s="227">
        <f t="shared" si="2"/>
        <v>50.959999999999994</v>
      </c>
    </row>
    <row r="25" spans="1:32" ht="15" customHeight="1">
      <c r="A25" s="16"/>
      <c r="B25" s="147"/>
      <c r="C25" s="162"/>
      <c r="D25" s="170" t="s">
        <v>66</v>
      </c>
      <c r="E25" s="171"/>
      <c r="F25" s="171"/>
      <c r="G25" s="171"/>
      <c r="H25" s="176"/>
      <c r="I25" s="439" t="s">
        <v>57</v>
      </c>
      <c r="J25" s="516" t="s">
        <v>58</v>
      </c>
      <c r="K25" s="440" t="s">
        <v>58</v>
      </c>
      <c r="L25" s="440" t="s">
        <v>58</v>
      </c>
      <c r="M25" s="441">
        <v>2</v>
      </c>
      <c r="N25" s="185"/>
      <c r="O25" s="186"/>
      <c r="P25" s="185"/>
      <c r="Q25" s="186"/>
      <c r="R25" s="185"/>
      <c r="S25" s="186"/>
      <c r="T25" s="185"/>
      <c r="U25" s="186"/>
      <c r="W25" s="208" t="s">
        <v>61</v>
      </c>
      <c r="X25" s="217">
        <f>_xlfn.XLOOKUP(W25,マスタ!A:A,マスタ!C:C,0)*M25</f>
        <v>11.9</v>
      </c>
      <c r="Y25" s="218">
        <f>IF(N25="",0,_xlfn.XLOOKUP(W25,マスタ!A:A,マスタ!D:D,0)*M25)</f>
        <v>0</v>
      </c>
      <c r="Z25" s="219">
        <f>_xlfn.XLOOKUP(W25,マスタ!A:A,マスタ!E:E,0)*M25</f>
        <v>14</v>
      </c>
      <c r="AA25" s="219">
        <f>_xlfn.XLOOKUP(W25,マスタ!A:A,マスタ!F:F,0)*M25</f>
        <v>15.82</v>
      </c>
      <c r="AB25" s="219">
        <f>_xlfn.XLOOKUP(W25,マスタ!A:A,マスタ!G:G,0)*M25</f>
        <v>4.62</v>
      </c>
      <c r="AC25" s="220">
        <f>_xlfn.XLOOKUP(W25,マスタ!A:A,マスタ!H:H,0)*M25</f>
        <v>4.62</v>
      </c>
      <c r="AD25" s="227">
        <f t="shared" si="2"/>
        <v>50.959999999999994</v>
      </c>
    </row>
    <row r="26" spans="1:32" ht="15" customHeight="1">
      <c r="A26" s="16"/>
      <c r="B26" s="160" t="s">
        <v>69</v>
      </c>
      <c r="C26" s="161"/>
      <c r="D26" s="161"/>
      <c r="E26" s="161"/>
      <c r="F26" s="161"/>
      <c r="G26" s="161"/>
      <c r="H26" s="172"/>
      <c r="I26" s="442"/>
      <c r="J26" s="517"/>
      <c r="K26" s="443"/>
      <c r="L26" s="443"/>
      <c r="M26" s="444"/>
      <c r="N26" s="177"/>
      <c r="O26" s="178"/>
      <c r="P26" s="177"/>
      <c r="Q26" s="178"/>
      <c r="R26" s="177"/>
      <c r="S26" s="178"/>
      <c r="T26" s="177"/>
      <c r="U26" s="178"/>
      <c r="W26" s="208"/>
      <c r="X26" s="217">
        <f>_xlfn.XLOOKUP(W26,マスタ!A:A,マスタ!C:C,0)*M26</f>
        <v>0</v>
      </c>
      <c r="Y26" s="218">
        <f>IF(N26="",0,_xlfn.XLOOKUP(W26,マスタ!A:A,マスタ!D:D,0)*M26)</f>
        <v>0</v>
      </c>
      <c r="Z26" s="219">
        <f>_xlfn.XLOOKUP(W26,マスタ!A:A,マスタ!E:E,0)*M26</f>
        <v>0</v>
      </c>
      <c r="AA26" s="219">
        <f>_xlfn.XLOOKUP(W26,マスタ!A:A,マスタ!F:F,0)*M26</f>
        <v>0</v>
      </c>
      <c r="AB26" s="219">
        <f>_xlfn.XLOOKUP(W26,マスタ!A:A,マスタ!G:G,0)*M26</f>
        <v>0</v>
      </c>
      <c r="AC26" s="220">
        <f>_xlfn.XLOOKUP(W26,マスタ!A:A,マスタ!H:H,0)*M26</f>
        <v>0</v>
      </c>
      <c r="AD26" s="227">
        <f t="shared" si="2"/>
        <v>0</v>
      </c>
    </row>
    <row r="27" spans="1:32" ht="15" hidden="1" customHeight="1">
      <c r="A27" s="16"/>
      <c r="B27" s="162"/>
      <c r="C27" s="163" t="s">
        <v>70</v>
      </c>
      <c r="D27" s="164"/>
      <c r="E27" s="164"/>
      <c r="F27" s="164"/>
      <c r="G27" s="164"/>
      <c r="H27" s="173" t="s">
        <v>71</v>
      </c>
      <c r="I27" s="430" t="s">
        <v>72</v>
      </c>
      <c r="J27" s="513" t="s">
        <v>73</v>
      </c>
      <c r="K27" s="431" t="s">
        <v>74</v>
      </c>
      <c r="L27" s="431" t="s">
        <v>74</v>
      </c>
      <c r="M27" s="432">
        <v>0</v>
      </c>
      <c r="N27" s="179"/>
      <c r="O27" s="180"/>
      <c r="P27" s="179"/>
      <c r="Q27" s="180"/>
      <c r="R27" s="179"/>
      <c r="S27" s="180"/>
      <c r="T27" s="179"/>
      <c r="U27" s="180"/>
      <c r="W27" s="208" t="s">
        <v>61</v>
      </c>
      <c r="X27" s="217">
        <f>_xlfn.XLOOKUP(W27,マスタ!A:A,マスタ!C:C,0)*M27</f>
        <v>0</v>
      </c>
      <c r="Y27" s="218">
        <f>IF(N27="",0,_xlfn.XLOOKUP(W27,マスタ!A:A,マスタ!D:D,0)*M27)</f>
        <v>0</v>
      </c>
      <c r="Z27" s="219">
        <f>_xlfn.XLOOKUP(W27,マスタ!A:A,マスタ!E:E,0)*M27</f>
        <v>0</v>
      </c>
      <c r="AA27" s="219">
        <f>_xlfn.XLOOKUP(W27,マスタ!A:A,マスタ!F:F,0)*M27</f>
        <v>0</v>
      </c>
      <c r="AB27" s="219">
        <f>_xlfn.XLOOKUP(W27,マスタ!A:A,マスタ!G:G,0)*M27</f>
        <v>0</v>
      </c>
      <c r="AC27" s="220">
        <f>_xlfn.XLOOKUP(W27,マスタ!A:A,マスタ!H:H,0)*M27</f>
        <v>0</v>
      </c>
      <c r="AD27" s="227">
        <f t="shared" si="2"/>
        <v>0</v>
      </c>
    </row>
    <row r="28" spans="1:32" ht="15" customHeight="1">
      <c r="A28" s="16"/>
      <c r="B28" s="162"/>
      <c r="C28" s="188" t="s">
        <v>75</v>
      </c>
      <c r="D28" s="189"/>
      <c r="E28" s="189"/>
      <c r="F28" s="189"/>
      <c r="G28" s="189"/>
      <c r="H28" s="190" t="s">
        <v>76</v>
      </c>
      <c r="I28" s="445" t="s">
        <v>57</v>
      </c>
      <c r="J28" s="385" t="s">
        <v>73</v>
      </c>
      <c r="K28" s="446" t="s">
        <v>74</v>
      </c>
      <c r="L28" s="446" t="s">
        <v>74</v>
      </c>
      <c r="M28" s="447">
        <v>0</v>
      </c>
      <c r="N28" s="191"/>
      <c r="O28" s="192"/>
      <c r="P28" s="191"/>
      <c r="Q28" s="192"/>
      <c r="R28" s="191"/>
      <c r="S28" s="192"/>
      <c r="T28" s="191"/>
      <c r="U28" s="192"/>
      <c r="W28" s="208" t="s">
        <v>61</v>
      </c>
      <c r="X28" s="217">
        <f>_xlfn.XLOOKUP(W28,マスタ!A:A,マスタ!C:C,0)*M28</f>
        <v>0</v>
      </c>
      <c r="Y28" s="218">
        <f>IF(N28="",0,_xlfn.XLOOKUP(W28,マスタ!A:A,マスタ!D:D,0)*M28)</f>
        <v>0</v>
      </c>
      <c r="Z28" s="219">
        <f>_xlfn.XLOOKUP(W28,マスタ!A:A,マスタ!E:E,0)*M28</f>
        <v>0</v>
      </c>
      <c r="AA28" s="219">
        <f>_xlfn.XLOOKUP(W28,マスタ!A:A,マスタ!F:F,0)*M28</f>
        <v>0</v>
      </c>
      <c r="AB28" s="219">
        <f>_xlfn.XLOOKUP(W28,マスタ!A:A,マスタ!G:G,0)*M28</f>
        <v>0</v>
      </c>
      <c r="AC28" s="220">
        <f>_xlfn.XLOOKUP(W28,マスタ!A:A,マスタ!H:H,0)*M28</f>
        <v>0</v>
      </c>
      <c r="AD28" s="227">
        <f t="shared" si="2"/>
        <v>0</v>
      </c>
    </row>
    <row r="29" spans="1:32" ht="15" customHeight="1">
      <c r="A29" s="16"/>
      <c r="B29" s="162"/>
      <c r="C29" s="165" t="s">
        <v>77</v>
      </c>
      <c r="D29" s="166"/>
      <c r="E29" s="166"/>
      <c r="F29" s="166"/>
      <c r="G29" s="166"/>
      <c r="H29" s="174" t="s">
        <v>78</v>
      </c>
      <c r="I29" s="433" t="s">
        <v>57</v>
      </c>
      <c r="J29" s="514" t="s">
        <v>58</v>
      </c>
      <c r="K29" s="434" t="s">
        <v>57</v>
      </c>
      <c r="L29" s="434" t="s">
        <v>57</v>
      </c>
      <c r="M29" s="435">
        <v>0</v>
      </c>
      <c r="N29" s="181"/>
      <c r="O29" s="182"/>
      <c r="P29" s="181"/>
      <c r="Q29" s="182"/>
      <c r="R29" s="181"/>
      <c r="S29" s="182"/>
      <c r="T29" s="181"/>
      <c r="U29" s="182"/>
      <c r="W29" s="208" t="s">
        <v>61</v>
      </c>
      <c r="X29" s="217">
        <f>_xlfn.XLOOKUP(W29,マスタ!A:A,マスタ!C:C,0)*M29</f>
        <v>0</v>
      </c>
      <c r="Y29" s="218">
        <f>IF(N29="",0,_xlfn.XLOOKUP(W29,マスタ!A:A,マスタ!D:D,0)*M29)</f>
        <v>0</v>
      </c>
      <c r="Z29" s="219">
        <f>_xlfn.XLOOKUP(W29,マスタ!A:A,マスタ!E:E,0)*M29</f>
        <v>0</v>
      </c>
      <c r="AA29" s="219">
        <f>_xlfn.XLOOKUP(W29,マスタ!A:A,マスタ!F:F,0)*M29</f>
        <v>0</v>
      </c>
      <c r="AB29" s="219">
        <f>_xlfn.XLOOKUP(W29,マスタ!A:A,マスタ!G:G,0)*M29</f>
        <v>0</v>
      </c>
      <c r="AC29" s="220">
        <f>_xlfn.XLOOKUP(W29,マスタ!A:A,マスタ!H:H,0)*M29</f>
        <v>0</v>
      </c>
      <c r="AD29" s="227">
        <f t="shared" si="2"/>
        <v>0</v>
      </c>
    </row>
    <row r="30" spans="1:32" ht="15" customHeight="1">
      <c r="A30" s="16"/>
      <c r="B30" s="167"/>
      <c r="C30" s="168" t="s">
        <v>79</v>
      </c>
      <c r="D30" s="169"/>
      <c r="E30" s="169"/>
      <c r="F30" s="169"/>
      <c r="G30" s="169"/>
      <c r="H30" s="175" t="s">
        <v>80</v>
      </c>
      <c r="I30" s="436" t="s">
        <v>57</v>
      </c>
      <c r="J30" s="515" t="s">
        <v>58</v>
      </c>
      <c r="K30" s="437" t="s">
        <v>57</v>
      </c>
      <c r="L30" s="437" t="s">
        <v>57</v>
      </c>
      <c r="M30" s="438">
        <v>0</v>
      </c>
      <c r="N30" s="183"/>
      <c r="O30" s="184"/>
      <c r="P30" s="183"/>
      <c r="Q30" s="184"/>
      <c r="R30" s="183"/>
      <c r="S30" s="184"/>
      <c r="T30" s="183"/>
      <c r="U30" s="184"/>
      <c r="W30" s="208" t="s">
        <v>61</v>
      </c>
      <c r="X30" s="217">
        <f>_xlfn.XLOOKUP(W30,マスタ!A:A,マスタ!C:C,0)*M30</f>
        <v>0</v>
      </c>
      <c r="Y30" s="218">
        <f>IF(N30="",0,_xlfn.XLOOKUP(W30,マスタ!A:A,マスタ!D:D,0)*M30)</f>
        <v>0</v>
      </c>
      <c r="Z30" s="219">
        <f>_xlfn.XLOOKUP(W30,マスタ!A:A,マスタ!E:E,0)*M30</f>
        <v>0</v>
      </c>
      <c r="AA30" s="219">
        <f>_xlfn.XLOOKUP(W30,マスタ!A:A,マスタ!F:F,0)*M30</f>
        <v>0</v>
      </c>
      <c r="AB30" s="219">
        <f>_xlfn.XLOOKUP(W30,マスタ!A:A,マスタ!G:G,0)*M30</f>
        <v>0</v>
      </c>
      <c r="AC30" s="220">
        <f>_xlfn.XLOOKUP(W30,マスタ!A:A,マスタ!H:H,0)*M30</f>
        <v>0</v>
      </c>
      <c r="AD30" s="227">
        <f t="shared" si="2"/>
        <v>0</v>
      </c>
    </row>
    <row r="31" spans="1:32" ht="15" customHeight="1">
      <c r="A31" s="16"/>
      <c r="B31" s="148" t="s">
        <v>81</v>
      </c>
      <c r="C31" s="149"/>
      <c r="D31" s="149"/>
      <c r="E31" s="149"/>
      <c r="F31" s="149"/>
      <c r="G31" s="149"/>
      <c r="H31" s="149"/>
      <c r="I31" s="423"/>
      <c r="J31" s="423"/>
      <c r="K31" s="423"/>
      <c r="L31" s="423"/>
      <c r="M31" s="423"/>
      <c r="N31" s="144"/>
      <c r="O31" s="144"/>
      <c r="P31" s="144"/>
      <c r="Q31" s="144"/>
      <c r="R31" s="144"/>
      <c r="S31" s="144"/>
      <c r="T31" s="144"/>
      <c r="U31" s="144"/>
      <c r="W31" s="207"/>
      <c r="X31" s="213">
        <f>SUM(X32:X33)</f>
        <v>0</v>
      </c>
      <c r="Y31" s="214">
        <f>SUM(Y32:Y33)</f>
        <v>0</v>
      </c>
      <c r="Z31" s="215">
        <f t="shared" ref="Z31:AD31" si="3">SUM(Z32:Z33)</f>
        <v>0</v>
      </c>
      <c r="AA31" s="215">
        <f t="shared" si="3"/>
        <v>0</v>
      </c>
      <c r="AB31" s="215">
        <f t="shared" si="3"/>
        <v>0</v>
      </c>
      <c r="AC31" s="216">
        <f t="shared" si="3"/>
        <v>0</v>
      </c>
      <c r="AD31" s="226">
        <f t="shared" si="3"/>
        <v>0</v>
      </c>
      <c r="AE31" s="205">
        <f>AD31/20</f>
        <v>0</v>
      </c>
      <c r="AF31" s="204">
        <f>AE31*350000</f>
        <v>0</v>
      </c>
    </row>
    <row r="32" spans="1:32" ht="15" customHeight="1">
      <c r="A32" s="145"/>
      <c r="B32" s="163" t="s">
        <v>82</v>
      </c>
      <c r="C32" s="164"/>
      <c r="D32" s="164"/>
      <c r="E32" s="164"/>
      <c r="F32" s="164"/>
      <c r="G32" s="234"/>
      <c r="H32" s="164"/>
      <c r="I32" s="448" t="s">
        <v>57</v>
      </c>
      <c r="J32" s="518"/>
      <c r="K32" s="449" t="s">
        <v>74</v>
      </c>
      <c r="L32" s="449" t="s">
        <v>74</v>
      </c>
      <c r="M32" s="450">
        <v>0</v>
      </c>
      <c r="N32" s="230"/>
      <c r="O32" s="231"/>
      <c r="P32" s="230"/>
      <c r="Q32" s="231"/>
      <c r="R32" s="230"/>
      <c r="S32" s="231"/>
      <c r="T32" s="230"/>
      <c r="U32" s="231"/>
      <c r="W32" s="208" t="s">
        <v>59</v>
      </c>
      <c r="X32" s="217">
        <f>_xlfn.XLOOKUP(W32,マスタ!A:A,マスタ!C:C,0)*M32</f>
        <v>0</v>
      </c>
      <c r="Y32" s="218">
        <f>IF(N32="",0,_xlfn.XLOOKUP(W32,マスタ!A:A,マスタ!D:D,0)*M32)</f>
        <v>0</v>
      </c>
      <c r="Z32" s="219">
        <f>_xlfn.XLOOKUP(W32,マスタ!A:A,マスタ!E:E,0)*M32</f>
        <v>0</v>
      </c>
      <c r="AA32" s="219">
        <f>_xlfn.XLOOKUP(W32,マスタ!A:A,マスタ!F:F,0)*M32</f>
        <v>0</v>
      </c>
      <c r="AB32" s="219">
        <f>_xlfn.XLOOKUP(W32,マスタ!A:A,マスタ!G:G,0)*M32</f>
        <v>0</v>
      </c>
      <c r="AC32" s="220">
        <f>_xlfn.XLOOKUP(W32,マスタ!A:A,マスタ!H:H,0)*M32</f>
        <v>0</v>
      </c>
      <c r="AD32" s="227">
        <f t="shared" si="2"/>
        <v>0</v>
      </c>
    </row>
    <row r="33" spans="1:32" ht="15" customHeight="1">
      <c r="A33" s="145"/>
      <c r="B33" s="168" t="s">
        <v>83</v>
      </c>
      <c r="C33" s="169"/>
      <c r="D33" s="169"/>
      <c r="E33" s="169"/>
      <c r="F33" s="169"/>
      <c r="G33" s="235"/>
      <c r="H33" s="169"/>
      <c r="I33" s="451" t="s">
        <v>74</v>
      </c>
      <c r="J33" s="519"/>
      <c r="K33" s="452" t="s">
        <v>57</v>
      </c>
      <c r="L33" s="452" t="s">
        <v>57</v>
      </c>
      <c r="M33" s="453">
        <v>0</v>
      </c>
      <c r="N33" s="232"/>
      <c r="O33" s="233"/>
      <c r="P33" s="232"/>
      <c r="Q33" s="233"/>
      <c r="R33" s="232"/>
      <c r="S33" s="233"/>
      <c r="T33" s="232"/>
      <c r="U33" s="233"/>
      <c r="W33" s="208" t="s">
        <v>59</v>
      </c>
      <c r="X33" s="217">
        <f>_xlfn.XLOOKUP(W33,マスタ!A:A,マスタ!C:C,0)*M33</f>
        <v>0</v>
      </c>
      <c r="Y33" s="218">
        <f>IF(N33="",0,_xlfn.XLOOKUP(W33,マスタ!A:A,マスタ!D:D,0)*M33)</f>
        <v>0</v>
      </c>
      <c r="Z33" s="219">
        <f>_xlfn.XLOOKUP(W33,マスタ!A:A,マスタ!E:E,0)*M33</f>
        <v>0</v>
      </c>
      <c r="AA33" s="219">
        <f>_xlfn.XLOOKUP(W33,マスタ!A:A,マスタ!F:F,0)*M33</f>
        <v>0</v>
      </c>
      <c r="AB33" s="219">
        <f>_xlfn.XLOOKUP(W33,マスタ!A:A,マスタ!G:G,0)*M33</f>
        <v>0</v>
      </c>
      <c r="AC33" s="220">
        <f>_xlfn.XLOOKUP(W33,マスタ!A:A,マスタ!H:H,0)*M33</f>
        <v>0</v>
      </c>
      <c r="AD33" s="227">
        <f t="shared" si="2"/>
        <v>0</v>
      </c>
    </row>
    <row r="34" spans="1:32" ht="15" customHeight="1">
      <c r="A34" s="16"/>
      <c r="B34" s="148" t="s">
        <v>84</v>
      </c>
      <c r="C34" s="149"/>
      <c r="D34" s="149"/>
      <c r="E34" s="149"/>
      <c r="F34" s="149"/>
      <c r="G34" s="149"/>
      <c r="H34" s="149"/>
      <c r="I34" s="423"/>
      <c r="J34" s="423"/>
      <c r="K34" s="423"/>
      <c r="L34" s="423"/>
      <c r="M34" s="423"/>
      <c r="N34" s="144"/>
      <c r="O34" s="144"/>
      <c r="P34" s="144"/>
      <c r="Q34" s="144"/>
      <c r="R34" s="144"/>
      <c r="S34" s="144"/>
      <c r="T34" s="144"/>
      <c r="U34" s="144"/>
      <c r="W34" s="207"/>
      <c r="X34" s="213">
        <f>SUM(X35:X168)</f>
        <v>100.9999999999999</v>
      </c>
      <c r="Y34" s="214">
        <f>SUM(Y35:Y168)</f>
        <v>5.2399999999999993</v>
      </c>
      <c r="Z34" s="215">
        <f>SUM(Z35:Z168)</f>
        <v>119.28000000000011</v>
      </c>
      <c r="AA34" s="215">
        <f>SUM(AA35:AA168)</f>
        <v>134.63999999999973</v>
      </c>
      <c r="AB34" s="215">
        <f>SUM(AB35:AB168)</f>
        <v>39.720000000000034</v>
      </c>
      <c r="AC34" s="216">
        <f>SUM(AC35:AC168)</f>
        <v>39.720000000000034</v>
      </c>
      <c r="AD34" s="226">
        <f>SUM(AD35:AD168)</f>
        <v>439.59999999999957</v>
      </c>
      <c r="AE34" s="205">
        <f>AD34/20</f>
        <v>21.979999999999979</v>
      </c>
      <c r="AF34" s="204">
        <f>AE34*350000</f>
        <v>7692999.9999999925</v>
      </c>
    </row>
    <row r="35" spans="1:32" ht="15" customHeight="1">
      <c r="A35" s="145"/>
      <c r="B35" s="160" t="s">
        <v>85</v>
      </c>
      <c r="C35" s="161"/>
      <c r="D35" s="161"/>
      <c r="E35" s="161"/>
      <c r="F35" s="161"/>
      <c r="G35" s="161"/>
      <c r="H35" s="240" t="s">
        <v>86</v>
      </c>
      <c r="I35" s="442"/>
      <c r="J35" s="517"/>
      <c r="K35" s="443"/>
      <c r="L35" s="443"/>
      <c r="M35" s="444"/>
      <c r="N35" s="177"/>
      <c r="O35" s="178"/>
      <c r="P35" s="177"/>
      <c r="Q35" s="178"/>
      <c r="R35" s="177"/>
      <c r="S35" s="178"/>
      <c r="T35" s="177"/>
      <c r="U35" s="178"/>
      <c r="W35" s="208"/>
      <c r="X35" s="217">
        <f>_xlfn.XLOOKUP(W35,マスタ!A:A,マスタ!C:C,0)*M35</f>
        <v>0</v>
      </c>
      <c r="Y35" s="218">
        <f>IF(N35="",0,_xlfn.XLOOKUP(W35,マスタ!A:A,マスタ!D:D,0)*M35)</f>
        <v>0</v>
      </c>
      <c r="Z35" s="219">
        <f>_xlfn.XLOOKUP(W35,マスタ!A:A,マスタ!E:E,0)*M35</f>
        <v>0</v>
      </c>
      <c r="AA35" s="219">
        <f>_xlfn.XLOOKUP(W35,マスタ!A:A,マスタ!F:F,0)*M35</f>
        <v>0</v>
      </c>
      <c r="AB35" s="219">
        <f>_xlfn.XLOOKUP(W35,マスタ!A:A,マスタ!G:G,0)*M35</f>
        <v>0</v>
      </c>
      <c r="AC35" s="220">
        <f>_xlfn.XLOOKUP(W35,マスタ!A:A,マスタ!H:H,0)*M35</f>
        <v>0</v>
      </c>
      <c r="AD35" s="227">
        <f t="shared" si="2"/>
        <v>0</v>
      </c>
    </row>
    <row r="36" spans="1:32" ht="15" customHeight="1">
      <c r="A36" s="145"/>
      <c r="B36" s="162"/>
      <c r="C36" s="160" t="s">
        <v>87</v>
      </c>
      <c r="D36" s="161"/>
      <c r="E36" s="161"/>
      <c r="F36" s="161"/>
      <c r="G36" s="161"/>
      <c r="H36" s="240"/>
      <c r="I36" s="442"/>
      <c r="J36" s="517"/>
      <c r="K36" s="443"/>
      <c r="L36" s="443"/>
      <c r="M36" s="444"/>
      <c r="N36" s="177"/>
      <c r="O36" s="178"/>
      <c r="P36" s="177"/>
      <c r="Q36" s="178"/>
      <c r="R36" s="177"/>
      <c r="S36" s="178"/>
      <c r="T36" s="177"/>
      <c r="U36" s="178"/>
      <c r="W36" s="208"/>
      <c r="X36" s="217"/>
      <c r="Y36" s="218"/>
      <c r="Z36" s="219"/>
      <c r="AA36" s="219"/>
      <c r="AB36" s="219"/>
      <c r="AC36" s="220"/>
      <c r="AD36" s="227"/>
    </row>
    <row r="37" spans="1:32" ht="15" customHeight="1">
      <c r="A37" s="145"/>
      <c r="B37" s="162"/>
      <c r="C37" s="265"/>
      <c r="D37" s="163" t="s">
        <v>88</v>
      </c>
      <c r="E37" s="164"/>
      <c r="F37" s="164"/>
      <c r="G37" s="164"/>
      <c r="H37" s="236"/>
      <c r="I37" s="430" t="s">
        <v>74</v>
      </c>
      <c r="J37" s="513" t="s">
        <v>58</v>
      </c>
      <c r="K37" s="431" t="s">
        <v>57</v>
      </c>
      <c r="L37" s="431" t="s">
        <v>57</v>
      </c>
      <c r="M37" s="432">
        <v>1</v>
      </c>
      <c r="N37" s="179"/>
      <c r="O37" s="180"/>
      <c r="P37" s="179"/>
      <c r="Q37" s="180"/>
      <c r="R37" s="179"/>
      <c r="S37" s="180"/>
      <c r="T37" s="179"/>
      <c r="U37" s="180"/>
      <c r="W37" s="208" t="s">
        <v>89</v>
      </c>
      <c r="X37" s="217">
        <f>_xlfn.XLOOKUP(W37,マスタ!A:A,マスタ!C:C,0)*M37</f>
        <v>0.99</v>
      </c>
      <c r="Y37" s="218">
        <f>IF(N37="",0,_xlfn.XLOOKUP(W37,マスタ!A:A,マスタ!D:D,0)*M37)</f>
        <v>0</v>
      </c>
      <c r="Z37" s="219">
        <f>_xlfn.XLOOKUP(W37,マスタ!A:A,マスタ!E:E,0)*M37</f>
        <v>1.17</v>
      </c>
      <c r="AA37" s="219">
        <f>_xlfn.XLOOKUP(W37,マスタ!A:A,マスタ!F:F,0)*M37</f>
        <v>1.32</v>
      </c>
      <c r="AB37" s="219">
        <f>_xlfn.XLOOKUP(W37,マスタ!A:A,マスタ!G:G,0)*M37</f>
        <v>0.39</v>
      </c>
      <c r="AC37" s="220">
        <f>_xlfn.XLOOKUP(W37,マスタ!A:A,マスタ!H:H,0)*M37</f>
        <v>0.39</v>
      </c>
      <c r="AD37" s="227">
        <f t="shared" si="2"/>
        <v>4.2600000000000007</v>
      </c>
    </row>
    <row r="38" spans="1:32" ht="15" customHeight="1">
      <c r="A38" s="145"/>
      <c r="B38" s="247"/>
      <c r="C38" s="266"/>
      <c r="D38" s="168" t="s">
        <v>90</v>
      </c>
      <c r="E38" s="169"/>
      <c r="F38" s="169"/>
      <c r="G38" s="169"/>
      <c r="H38" s="239"/>
      <c r="I38" s="436" t="s">
        <v>74</v>
      </c>
      <c r="J38" s="515" t="s">
        <v>58</v>
      </c>
      <c r="K38" s="437" t="s">
        <v>57</v>
      </c>
      <c r="L38" s="437" t="s">
        <v>57</v>
      </c>
      <c r="M38" s="438">
        <v>1</v>
      </c>
      <c r="N38" s="183"/>
      <c r="O38" s="184"/>
      <c r="P38" s="183"/>
      <c r="Q38" s="184"/>
      <c r="R38" s="183"/>
      <c r="S38" s="184"/>
      <c r="T38" s="183"/>
      <c r="U38" s="184"/>
      <c r="W38" s="208" t="s">
        <v>89</v>
      </c>
      <c r="X38" s="217">
        <f>_xlfn.XLOOKUP(W38,マスタ!A:A,マスタ!C:C,0)*M38</f>
        <v>0.99</v>
      </c>
      <c r="Y38" s="218">
        <f>IF(N38="",0,_xlfn.XLOOKUP(W38,マスタ!A:A,マスタ!D:D,0)*M38)</f>
        <v>0</v>
      </c>
      <c r="Z38" s="219">
        <f>_xlfn.XLOOKUP(W38,マスタ!A:A,マスタ!E:E,0)*M38</f>
        <v>1.17</v>
      </c>
      <c r="AA38" s="219">
        <f>_xlfn.XLOOKUP(W38,マスタ!A:A,マスタ!F:F,0)*M38</f>
        <v>1.32</v>
      </c>
      <c r="AB38" s="219">
        <f>_xlfn.XLOOKUP(W38,マスタ!A:A,マスタ!G:G,0)*M38</f>
        <v>0.39</v>
      </c>
      <c r="AC38" s="220">
        <f>_xlfn.XLOOKUP(W38,マスタ!A:A,マスタ!H:H,0)*M38</f>
        <v>0.39</v>
      </c>
      <c r="AD38" s="227">
        <f t="shared" si="2"/>
        <v>4.2600000000000007</v>
      </c>
    </row>
    <row r="39" spans="1:32" ht="15" customHeight="1">
      <c r="A39" s="145"/>
      <c r="B39" s="247"/>
      <c r="C39" s="160" t="s">
        <v>91</v>
      </c>
      <c r="D39" s="161"/>
      <c r="E39" s="161"/>
      <c r="F39" s="161"/>
      <c r="G39" s="161"/>
      <c r="H39" s="240"/>
      <c r="I39" s="442"/>
      <c r="J39" s="517"/>
      <c r="K39" s="443"/>
      <c r="L39" s="443"/>
      <c r="M39" s="444"/>
      <c r="N39" s="177"/>
      <c r="O39" s="178"/>
      <c r="P39" s="177"/>
      <c r="Q39" s="178"/>
      <c r="R39" s="177"/>
      <c r="S39" s="178"/>
      <c r="T39" s="177"/>
      <c r="U39" s="178"/>
      <c r="W39" s="208"/>
      <c r="X39" s="217"/>
      <c r="Y39" s="218"/>
      <c r="Z39" s="219"/>
      <c r="AA39" s="219"/>
      <c r="AB39" s="219"/>
      <c r="AC39" s="220"/>
      <c r="AD39" s="227"/>
    </row>
    <row r="40" spans="1:32" ht="15" customHeight="1">
      <c r="A40" s="145"/>
      <c r="B40" s="162"/>
      <c r="C40" s="265"/>
      <c r="D40" s="163" t="s">
        <v>88</v>
      </c>
      <c r="E40" s="164"/>
      <c r="F40" s="164"/>
      <c r="G40" s="164"/>
      <c r="H40" s="236"/>
      <c r="I40" s="430" t="s">
        <v>74</v>
      </c>
      <c r="J40" s="513" t="s">
        <v>57</v>
      </c>
      <c r="K40" s="431" t="s">
        <v>57</v>
      </c>
      <c r="L40" s="431" t="s">
        <v>57</v>
      </c>
      <c r="M40" s="432">
        <v>1</v>
      </c>
      <c r="N40" s="179"/>
      <c r="O40" s="180"/>
      <c r="P40" s="179"/>
      <c r="Q40" s="180"/>
      <c r="R40" s="179"/>
      <c r="S40" s="180"/>
      <c r="T40" s="179"/>
      <c r="U40" s="180"/>
      <c r="W40" s="208" t="s">
        <v>89</v>
      </c>
      <c r="X40" s="217">
        <f>_xlfn.XLOOKUP(W40,マスタ!A:A,マスタ!C:C,0)*M40</f>
        <v>0.99</v>
      </c>
      <c r="Y40" s="218">
        <f>IF(N40="",0,_xlfn.XLOOKUP(W40,マスタ!A:A,マスタ!D:D,0)*M40)</f>
        <v>0</v>
      </c>
      <c r="Z40" s="219">
        <f>_xlfn.XLOOKUP(W40,マスタ!A:A,マスタ!E:E,0)*M40</f>
        <v>1.17</v>
      </c>
      <c r="AA40" s="219">
        <f>_xlfn.XLOOKUP(W40,マスタ!A:A,マスタ!F:F,0)*M40</f>
        <v>1.32</v>
      </c>
      <c r="AB40" s="219">
        <f>_xlfn.XLOOKUP(W40,マスタ!A:A,マスタ!G:G,0)*M40</f>
        <v>0.39</v>
      </c>
      <c r="AC40" s="220">
        <f>_xlfn.XLOOKUP(W40,マスタ!A:A,マスタ!H:H,0)*M40</f>
        <v>0.39</v>
      </c>
      <c r="AD40" s="227">
        <f t="shared" ref="AD40:AD41" si="4">SUM(X40:AC40)</f>
        <v>4.2600000000000007</v>
      </c>
    </row>
    <row r="41" spans="1:32" ht="15" customHeight="1">
      <c r="A41" s="145"/>
      <c r="B41" s="247"/>
      <c r="C41" s="266"/>
      <c r="D41" s="168" t="s">
        <v>90</v>
      </c>
      <c r="E41" s="169"/>
      <c r="F41" s="169"/>
      <c r="G41" s="169"/>
      <c r="H41" s="239"/>
      <c r="I41" s="436" t="s">
        <v>74</v>
      </c>
      <c r="J41" s="515" t="s">
        <v>57</v>
      </c>
      <c r="K41" s="437" t="s">
        <v>57</v>
      </c>
      <c r="L41" s="437" t="s">
        <v>57</v>
      </c>
      <c r="M41" s="438">
        <v>1</v>
      </c>
      <c r="N41" s="183"/>
      <c r="O41" s="184"/>
      <c r="P41" s="183"/>
      <c r="Q41" s="184"/>
      <c r="R41" s="183"/>
      <c r="S41" s="184"/>
      <c r="T41" s="183"/>
      <c r="U41" s="184"/>
      <c r="W41" s="208" t="s">
        <v>89</v>
      </c>
      <c r="X41" s="217">
        <f>_xlfn.XLOOKUP(W41,マスタ!A:A,マスタ!C:C,0)*M41</f>
        <v>0.99</v>
      </c>
      <c r="Y41" s="218">
        <f>IF(N41="",0,_xlfn.XLOOKUP(W41,マスタ!A:A,マスタ!D:D,0)*M41)</f>
        <v>0</v>
      </c>
      <c r="Z41" s="219">
        <f>_xlfn.XLOOKUP(W41,マスタ!A:A,マスタ!E:E,0)*M41</f>
        <v>1.17</v>
      </c>
      <c r="AA41" s="219">
        <f>_xlfn.XLOOKUP(W41,マスタ!A:A,マスタ!F:F,0)*M41</f>
        <v>1.32</v>
      </c>
      <c r="AB41" s="219">
        <f>_xlfn.XLOOKUP(W41,マスタ!A:A,マスタ!G:G,0)*M41</f>
        <v>0.39</v>
      </c>
      <c r="AC41" s="220">
        <f>_xlfn.XLOOKUP(W41,マスタ!A:A,マスタ!H:H,0)*M41</f>
        <v>0.39</v>
      </c>
      <c r="AD41" s="227">
        <f t="shared" si="4"/>
        <v>4.2600000000000007</v>
      </c>
    </row>
    <row r="42" spans="1:32" ht="15" customHeight="1">
      <c r="A42" s="145"/>
      <c r="B42" s="247"/>
      <c r="C42" s="160" t="s">
        <v>92</v>
      </c>
      <c r="D42" s="161"/>
      <c r="E42" s="161"/>
      <c r="F42" s="161"/>
      <c r="G42" s="161"/>
      <c r="H42" s="240"/>
      <c r="I42" s="442"/>
      <c r="J42" s="517"/>
      <c r="K42" s="443"/>
      <c r="L42" s="443"/>
      <c r="M42" s="444"/>
      <c r="N42" s="177"/>
      <c r="O42" s="178"/>
      <c r="P42" s="177"/>
      <c r="Q42" s="178"/>
      <c r="R42" s="177"/>
      <c r="S42" s="178"/>
      <c r="T42" s="177"/>
      <c r="U42" s="178"/>
      <c r="W42" s="208"/>
      <c r="X42" s="217"/>
      <c r="Y42" s="218"/>
      <c r="Z42" s="219"/>
      <c r="AA42" s="219"/>
      <c r="AB42" s="219"/>
      <c r="AC42" s="220"/>
      <c r="AD42" s="227"/>
    </row>
    <row r="43" spans="1:32" ht="15" customHeight="1">
      <c r="A43" s="145"/>
      <c r="B43" s="162"/>
      <c r="C43" s="265"/>
      <c r="D43" s="163" t="s">
        <v>88</v>
      </c>
      <c r="E43" s="164"/>
      <c r="F43" s="164"/>
      <c r="G43" s="164"/>
      <c r="H43" s="236"/>
      <c r="I43" s="430" t="s">
        <v>57</v>
      </c>
      <c r="J43" s="513" t="s">
        <v>74</v>
      </c>
      <c r="K43" s="431" t="s">
        <v>74</v>
      </c>
      <c r="L43" s="431" t="s">
        <v>74</v>
      </c>
      <c r="M43" s="432">
        <v>1</v>
      </c>
      <c r="N43" s="179"/>
      <c r="O43" s="180"/>
      <c r="P43" s="179"/>
      <c r="Q43" s="180"/>
      <c r="R43" s="179"/>
      <c r="S43" s="180"/>
      <c r="T43" s="179"/>
      <c r="U43" s="180"/>
      <c r="W43" s="208" t="s">
        <v>89</v>
      </c>
      <c r="X43" s="217">
        <f>_xlfn.XLOOKUP(W43,マスタ!A:A,マスタ!C:C,0)*M43</f>
        <v>0.99</v>
      </c>
      <c r="Y43" s="218">
        <f>IF(N43="",0,_xlfn.XLOOKUP(W43,マスタ!A:A,マスタ!D:D,0)*M43)</f>
        <v>0</v>
      </c>
      <c r="Z43" s="219">
        <f>_xlfn.XLOOKUP(W43,マスタ!A:A,マスタ!E:E,0)*M43</f>
        <v>1.17</v>
      </c>
      <c r="AA43" s="219">
        <f>_xlfn.XLOOKUP(W43,マスタ!A:A,マスタ!F:F,0)*M43</f>
        <v>1.32</v>
      </c>
      <c r="AB43" s="219">
        <f>_xlfn.XLOOKUP(W43,マスタ!A:A,マスタ!G:G,0)*M43</f>
        <v>0.39</v>
      </c>
      <c r="AC43" s="220">
        <f>_xlfn.XLOOKUP(W43,マスタ!A:A,マスタ!H:H,0)*M43</f>
        <v>0.39</v>
      </c>
      <c r="AD43" s="227">
        <f t="shared" ref="AD43:AD44" si="5">SUM(X43:AC43)</f>
        <v>4.2600000000000007</v>
      </c>
    </row>
    <row r="44" spans="1:32" ht="15" customHeight="1">
      <c r="A44" s="145"/>
      <c r="B44" s="167"/>
      <c r="C44" s="266"/>
      <c r="D44" s="168" t="s">
        <v>90</v>
      </c>
      <c r="E44" s="169"/>
      <c r="F44" s="169"/>
      <c r="G44" s="169"/>
      <c r="H44" s="239"/>
      <c r="I44" s="436" t="s">
        <v>57</v>
      </c>
      <c r="J44" s="515" t="s">
        <v>74</v>
      </c>
      <c r="K44" s="437" t="s">
        <v>74</v>
      </c>
      <c r="L44" s="437" t="s">
        <v>74</v>
      </c>
      <c r="M44" s="438">
        <v>1</v>
      </c>
      <c r="N44" s="183"/>
      <c r="O44" s="184"/>
      <c r="P44" s="183"/>
      <c r="Q44" s="184"/>
      <c r="R44" s="183"/>
      <c r="S44" s="184"/>
      <c r="T44" s="183"/>
      <c r="U44" s="184"/>
      <c r="W44" s="208" t="s">
        <v>89</v>
      </c>
      <c r="X44" s="217">
        <f>_xlfn.XLOOKUP(W44,マスタ!A:A,マスタ!C:C,0)*M44</f>
        <v>0.99</v>
      </c>
      <c r="Y44" s="218">
        <f>IF(N44="",0,_xlfn.XLOOKUP(W44,マスタ!A:A,マスタ!D:D,0)*M44)</f>
        <v>0</v>
      </c>
      <c r="Z44" s="219">
        <f>_xlfn.XLOOKUP(W44,マスタ!A:A,マスタ!E:E,0)*M44</f>
        <v>1.17</v>
      </c>
      <c r="AA44" s="219">
        <f>_xlfn.XLOOKUP(W44,マスタ!A:A,マスタ!F:F,0)*M44</f>
        <v>1.32</v>
      </c>
      <c r="AB44" s="219">
        <f>_xlfn.XLOOKUP(W44,マスタ!A:A,マスタ!G:G,0)*M44</f>
        <v>0.39</v>
      </c>
      <c r="AC44" s="220">
        <f>_xlfn.XLOOKUP(W44,マスタ!A:A,マスタ!H:H,0)*M44</f>
        <v>0.39</v>
      </c>
      <c r="AD44" s="227">
        <f t="shared" si="5"/>
        <v>4.2600000000000007</v>
      </c>
    </row>
    <row r="45" spans="1:32" ht="15" customHeight="1">
      <c r="A45" s="145"/>
      <c r="B45" s="160" t="s">
        <v>87</v>
      </c>
      <c r="C45" s="161"/>
      <c r="D45" s="161"/>
      <c r="E45" s="161"/>
      <c r="F45" s="161"/>
      <c r="G45" s="161"/>
      <c r="H45" s="240" t="s">
        <v>93</v>
      </c>
      <c r="I45" s="442" t="s">
        <v>74</v>
      </c>
      <c r="J45" s="517"/>
      <c r="K45" s="443" t="s">
        <v>57</v>
      </c>
      <c r="L45" s="443" t="s">
        <v>57</v>
      </c>
      <c r="M45" s="444">
        <v>1</v>
      </c>
      <c r="N45" s="177"/>
      <c r="O45" s="178"/>
      <c r="P45" s="177"/>
      <c r="Q45" s="178"/>
      <c r="R45" s="177"/>
      <c r="S45" s="178"/>
      <c r="T45" s="177"/>
      <c r="U45" s="178"/>
      <c r="W45" s="208" t="s">
        <v>89</v>
      </c>
      <c r="X45" s="217">
        <f>_xlfn.XLOOKUP(W45,マスタ!A:A,マスタ!C:C,0)*M45</f>
        <v>0.99</v>
      </c>
      <c r="Y45" s="218">
        <f>IF(N45="",0,_xlfn.XLOOKUP(W45,マスタ!A:A,マスタ!D:D,0)*M45)</f>
        <v>0</v>
      </c>
      <c r="Z45" s="219">
        <f>_xlfn.XLOOKUP(W45,マスタ!A:A,マスタ!E:E,0)*M45</f>
        <v>1.17</v>
      </c>
      <c r="AA45" s="219">
        <f>_xlfn.XLOOKUP(W45,マスタ!A:A,マスタ!F:F,0)*M45</f>
        <v>1.32</v>
      </c>
      <c r="AB45" s="219">
        <f>_xlfn.XLOOKUP(W45,マスタ!A:A,マスタ!G:G,0)*M45</f>
        <v>0.39</v>
      </c>
      <c r="AC45" s="220">
        <f>_xlfn.XLOOKUP(W45,マスタ!A:A,マスタ!H:H,0)*M45</f>
        <v>0.39</v>
      </c>
      <c r="AD45" s="227">
        <f t="shared" si="2"/>
        <v>4.2600000000000007</v>
      </c>
    </row>
    <row r="46" spans="1:32" ht="15" customHeight="1">
      <c r="A46" s="145"/>
      <c r="B46" s="162"/>
      <c r="C46" s="160" t="s">
        <v>94</v>
      </c>
      <c r="D46" s="161"/>
      <c r="E46" s="161"/>
      <c r="F46" s="161"/>
      <c r="G46" s="161"/>
      <c r="H46" s="240"/>
      <c r="I46" s="442" t="s">
        <v>74</v>
      </c>
      <c r="J46" s="517"/>
      <c r="K46" s="443" t="s">
        <v>74</v>
      </c>
      <c r="L46" s="443" t="s">
        <v>74</v>
      </c>
      <c r="M46" s="444">
        <v>0</v>
      </c>
      <c r="N46" s="177"/>
      <c r="O46" s="178"/>
      <c r="P46" s="177"/>
      <c r="Q46" s="178"/>
      <c r="R46" s="177"/>
      <c r="S46" s="178"/>
      <c r="T46" s="177"/>
      <c r="U46" s="178"/>
      <c r="W46" s="208" t="s">
        <v>89</v>
      </c>
      <c r="X46" s="217">
        <f>_xlfn.XLOOKUP(W46,マスタ!A:A,マスタ!C:C,0)*M46</f>
        <v>0</v>
      </c>
      <c r="Y46" s="218">
        <f>IF(N46="",0,_xlfn.XLOOKUP(W46,マスタ!A:A,マスタ!D:D,0)*M46)</f>
        <v>0</v>
      </c>
      <c r="Z46" s="219">
        <f>_xlfn.XLOOKUP(W46,マスタ!A:A,マスタ!E:E,0)*M46</f>
        <v>0</v>
      </c>
      <c r="AA46" s="219">
        <f>_xlfn.XLOOKUP(W46,マスタ!A:A,マスタ!F:F,0)*M46</f>
        <v>0</v>
      </c>
      <c r="AB46" s="219">
        <f>_xlfn.XLOOKUP(W46,マスタ!A:A,マスタ!G:G,0)*M46</f>
        <v>0</v>
      </c>
      <c r="AC46" s="220">
        <f>_xlfn.XLOOKUP(W46,マスタ!A:A,マスタ!H:H,0)*M46</f>
        <v>0</v>
      </c>
      <c r="AD46" s="227">
        <f t="shared" si="2"/>
        <v>0</v>
      </c>
    </row>
    <row r="47" spans="1:32" ht="15" customHeight="1">
      <c r="A47" s="145"/>
      <c r="B47" s="162"/>
      <c r="C47" s="162"/>
      <c r="D47" s="155"/>
      <c r="E47" s="174" t="s">
        <v>95</v>
      </c>
      <c r="F47" s="166"/>
      <c r="G47" s="166"/>
      <c r="H47" s="237"/>
      <c r="I47" s="433" t="s">
        <v>73</v>
      </c>
      <c r="J47" s="514"/>
      <c r="K47" s="434" t="s">
        <v>58</v>
      </c>
      <c r="L47" s="434" t="s">
        <v>58</v>
      </c>
      <c r="M47" s="435">
        <v>1</v>
      </c>
      <c r="N47" s="181"/>
      <c r="O47" s="182"/>
      <c r="P47" s="181"/>
      <c r="Q47" s="182"/>
      <c r="R47" s="181"/>
      <c r="S47" s="182"/>
      <c r="T47" s="181"/>
      <c r="U47" s="182"/>
      <c r="W47" s="208" t="s">
        <v>89</v>
      </c>
      <c r="X47" s="217">
        <f>_xlfn.XLOOKUP(W47,マスタ!A:A,マスタ!C:C,0)*M47</f>
        <v>0.99</v>
      </c>
      <c r="Y47" s="218">
        <f>IF(N47="",0,_xlfn.XLOOKUP(W47,マスタ!A:A,マスタ!D:D,0)*M47)</f>
        <v>0</v>
      </c>
      <c r="Z47" s="219">
        <f>_xlfn.XLOOKUP(W47,マスタ!A:A,マスタ!E:E,0)*M47</f>
        <v>1.17</v>
      </c>
      <c r="AA47" s="219">
        <f>_xlfn.XLOOKUP(W47,マスタ!A:A,マスタ!F:F,0)*M47</f>
        <v>1.32</v>
      </c>
      <c r="AB47" s="219">
        <f>_xlfn.XLOOKUP(W47,マスタ!A:A,マスタ!G:G,0)*M47</f>
        <v>0.39</v>
      </c>
      <c r="AC47" s="220">
        <f>_xlfn.XLOOKUP(W47,マスタ!A:A,マスタ!H:H,0)*M47</f>
        <v>0.39</v>
      </c>
      <c r="AD47" s="227">
        <f t="shared" si="2"/>
        <v>4.2600000000000007</v>
      </c>
    </row>
    <row r="48" spans="1:32" ht="15" customHeight="1">
      <c r="A48" s="145"/>
      <c r="B48" s="162"/>
      <c r="C48" s="167"/>
      <c r="D48" s="238"/>
      <c r="E48" s="175" t="s">
        <v>96</v>
      </c>
      <c r="F48" s="169"/>
      <c r="G48" s="169"/>
      <c r="H48" s="239"/>
      <c r="I48" s="436" t="s">
        <v>73</v>
      </c>
      <c r="J48" s="515"/>
      <c r="K48" s="437" t="s">
        <v>58</v>
      </c>
      <c r="L48" s="437" t="s">
        <v>58</v>
      </c>
      <c r="M48" s="438">
        <v>1</v>
      </c>
      <c r="N48" s="183"/>
      <c r="O48" s="184"/>
      <c r="P48" s="183"/>
      <c r="Q48" s="184"/>
      <c r="R48" s="183"/>
      <c r="S48" s="184"/>
      <c r="T48" s="183"/>
      <c r="U48" s="184"/>
      <c r="W48" s="208" t="s">
        <v>89</v>
      </c>
      <c r="X48" s="217">
        <f>_xlfn.XLOOKUP(W48,マスタ!A:A,マスタ!C:C,0)*M48</f>
        <v>0.99</v>
      </c>
      <c r="Y48" s="218">
        <f>IF(N48="",0,_xlfn.XLOOKUP(W48,マスタ!A:A,マスタ!D:D,0)*M48)</f>
        <v>0</v>
      </c>
      <c r="Z48" s="219">
        <f>_xlfn.XLOOKUP(W48,マスタ!A:A,マスタ!E:E,0)*M48</f>
        <v>1.17</v>
      </c>
      <c r="AA48" s="219">
        <f>_xlfn.XLOOKUP(W48,マスタ!A:A,マスタ!F:F,0)*M48</f>
        <v>1.32</v>
      </c>
      <c r="AB48" s="219">
        <f>_xlfn.XLOOKUP(W48,マスタ!A:A,マスタ!G:G,0)*M48</f>
        <v>0.39</v>
      </c>
      <c r="AC48" s="220">
        <f>_xlfn.XLOOKUP(W48,マスタ!A:A,マスタ!H:H,0)*M48</f>
        <v>0.39</v>
      </c>
      <c r="AD48" s="227">
        <f t="shared" si="2"/>
        <v>4.2600000000000007</v>
      </c>
    </row>
    <row r="49" spans="1:30" ht="15" customHeight="1">
      <c r="A49" s="145"/>
      <c r="B49" s="162"/>
      <c r="C49" s="160" t="s">
        <v>97</v>
      </c>
      <c r="D49" s="161"/>
      <c r="E49" s="161"/>
      <c r="F49" s="161"/>
      <c r="G49" s="161"/>
      <c r="H49" s="240"/>
      <c r="I49" s="442" t="s">
        <v>74</v>
      </c>
      <c r="J49" s="517"/>
      <c r="K49" s="443" t="s">
        <v>74</v>
      </c>
      <c r="L49" s="443" t="s">
        <v>74</v>
      </c>
      <c r="M49" s="444">
        <v>0</v>
      </c>
      <c r="N49" s="177"/>
      <c r="O49" s="178"/>
      <c r="P49" s="177"/>
      <c r="Q49" s="178"/>
      <c r="R49" s="177"/>
      <c r="S49" s="178"/>
      <c r="T49" s="177"/>
      <c r="U49" s="178"/>
      <c r="W49" s="208" t="s">
        <v>89</v>
      </c>
      <c r="X49" s="217">
        <f>_xlfn.XLOOKUP(W49,マスタ!A:A,マスタ!C:C,0)*M49</f>
        <v>0</v>
      </c>
      <c r="Y49" s="218">
        <f>IF(N49="",0,_xlfn.XLOOKUP(W49,マスタ!A:A,マスタ!D:D,0)*M49)</f>
        <v>0</v>
      </c>
      <c r="Z49" s="219">
        <f>_xlfn.XLOOKUP(W49,マスタ!A:A,マスタ!E:E,0)*M49</f>
        <v>0</v>
      </c>
      <c r="AA49" s="219">
        <f>_xlfn.XLOOKUP(W49,マスタ!A:A,マスタ!F:F,0)*M49</f>
        <v>0</v>
      </c>
      <c r="AB49" s="219">
        <f>_xlfn.XLOOKUP(W49,マスタ!A:A,マスタ!G:G,0)*M49</f>
        <v>0</v>
      </c>
      <c r="AC49" s="220">
        <f>_xlfn.XLOOKUP(W49,マスタ!A:A,マスタ!H:H,0)*M49</f>
        <v>0</v>
      </c>
      <c r="AD49" s="227">
        <f t="shared" si="2"/>
        <v>0</v>
      </c>
    </row>
    <row r="50" spans="1:30" ht="15" customHeight="1">
      <c r="A50" s="145"/>
      <c r="B50" s="162"/>
      <c r="C50" s="162"/>
      <c r="D50" s="155"/>
      <c r="E50" s="174" t="s">
        <v>98</v>
      </c>
      <c r="F50" s="166"/>
      <c r="G50" s="166"/>
      <c r="H50" s="237"/>
      <c r="I50" s="433" t="s">
        <v>73</v>
      </c>
      <c r="J50" s="514"/>
      <c r="K50" s="434" t="s">
        <v>58</v>
      </c>
      <c r="L50" s="434" t="s">
        <v>58</v>
      </c>
      <c r="M50" s="435">
        <v>1</v>
      </c>
      <c r="N50" s="181"/>
      <c r="O50" s="182"/>
      <c r="P50" s="181"/>
      <c r="Q50" s="182"/>
      <c r="R50" s="181"/>
      <c r="S50" s="182"/>
      <c r="T50" s="181"/>
      <c r="U50" s="182"/>
      <c r="W50" s="208" t="s">
        <v>89</v>
      </c>
      <c r="X50" s="217">
        <f>_xlfn.XLOOKUP(W50,マスタ!A:A,マスタ!C:C,0)*M50</f>
        <v>0.99</v>
      </c>
      <c r="Y50" s="218">
        <f>IF(N50="",0,_xlfn.XLOOKUP(W50,マスタ!A:A,マスタ!D:D,0)*M50)</f>
        <v>0</v>
      </c>
      <c r="Z50" s="219">
        <f>_xlfn.XLOOKUP(W50,マスタ!A:A,マスタ!E:E,0)*M50</f>
        <v>1.17</v>
      </c>
      <c r="AA50" s="219">
        <f>_xlfn.XLOOKUP(W50,マスタ!A:A,マスタ!F:F,0)*M50</f>
        <v>1.32</v>
      </c>
      <c r="AB50" s="219">
        <f>_xlfn.XLOOKUP(W50,マスタ!A:A,マスタ!G:G,0)*M50</f>
        <v>0.39</v>
      </c>
      <c r="AC50" s="220">
        <f>_xlfn.XLOOKUP(W50,マスタ!A:A,マスタ!H:H,0)*M50</f>
        <v>0.39</v>
      </c>
      <c r="AD50" s="227">
        <f t="shared" si="2"/>
        <v>4.2600000000000007</v>
      </c>
    </row>
    <row r="51" spans="1:30" ht="15" customHeight="1">
      <c r="A51" s="145"/>
      <c r="B51" s="162"/>
      <c r="C51" s="167"/>
      <c r="D51" s="238"/>
      <c r="E51" s="175" t="s">
        <v>96</v>
      </c>
      <c r="F51" s="169"/>
      <c r="G51" s="169"/>
      <c r="H51" s="239"/>
      <c r="I51" s="436" t="s">
        <v>73</v>
      </c>
      <c r="J51" s="515"/>
      <c r="K51" s="437" t="s">
        <v>58</v>
      </c>
      <c r="L51" s="437" t="s">
        <v>58</v>
      </c>
      <c r="M51" s="438">
        <v>1</v>
      </c>
      <c r="N51" s="183"/>
      <c r="O51" s="184"/>
      <c r="P51" s="183"/>
      <c r="Q51" s="184"/>
      <c r="R51" s="183"/>
      <c r="S51" s="184"/>
      <c r="T51" s="183"/>
      <c r="U51" s="184"/>
      <c r="W51" s="208" t="s">
        <v>89</v>
      </c>
      <c r="X51" s="217">
        <f>_xlfn.XLOOKUP(W51,マスタ!A:A,マスタ!C:C,0)*M51</f>
        <v>0.99</v>
      </c>
      <c r="Y51" s="218">
        <f>IF(N51="",0,_xlfn.XLOOKUP(W51,マスタ!A:A,マスタ!D:D,0)*M51)</f>
        <v>0</v>
      </c>
      <c r="Z51" s="219">
        <f>_xlfn.XLOOKUP(W51,マスタ!A:A,マスタ!E:E,0)*M51</f>
        <v>1.17</v>
      </c>
      <c r="AA51" s="219">
        <f>_xlfn.XLOOKUP(W51,マスタ!A:A,マスタ!F:F,0)*M51</f>
        <v>1.32</v>
      </c>
      <c r="AB51" s="219">
        <f>_xlfn.XLOOKUP(W51,マスタ!A:A,マスタ!G:G,0)*M51</f>
        <v>0.39</v>
      </c>
      <c r="AC51" s="220">
        <f>_xlfn.XLOOKUP(W51,マスタ!A:A,マスタ!H:H,0)*M51</f>
        <v>0.39</v>
      </c>
      <c r="AD51" s="227">
        <f t="shared" si="2"/>
        <v>4.2600000000000007</v>
      </c>
    </row>
    <row r="52" spans="1:30" ht="15" customHeight="1">
      <c r="A52" s="145"/>
      <c r="B52" s="162"/>
      <c r="C52" s="160" t="s">
        <v>99</v>
      </c>
      <c r="D52" s="161"/>
      <c r="E52" s="161"/>
      <c r="F52" s="161"/>
      <c r="G52" s="161"/>
      <c r="H52" s="240"/>
      <c r="I52" s="442" t="s">
        <v>74</v>
      </c>
      <c r="J52" s="517"/>
      <c r="K52" s="443" t="s">
        <v>74</v>
      </c>
      <c r="L52" s="443" t="s">
        <v>74</v>
      </c>
      <c r="M52" s="444">
        <v>0</v>
      </c>
      <c r="N52" s="177"/>
      <c r="O52" s="178"/>
      <c r="P52" s="177"/>
      <c r="Q52" s="178"/>
      <c r="R52" s="177"/>
      <c r="S52" s="178"/>
      <c r="T52" s="177"/>
      <c r="U52" s="178"/>
      <c r="W52" s="208" t="s">
        <v>89</v>
      </c>
      <c r="X52" s="217">
        <f>_xlfn.XLOOKUP(W52,マスタ!A:A,マスタ!C:C,0)*M52</f>
        <v>0</v>
      </c>
      <c r="Y52" s="218">
        <f>IF(N52="",0,_xlfn.XLOOKUP(W52,マスタ!A:A,マスタ!D:D,0)*M52)</f>
        <v>0</v>
      </c>
      <c r="Z52" s="219">
        <f>_xlfn.XLOOKUP(W52,マスタ!A:A,マスタ!E:E,0)*M52</f>
        <v>0</v>
      </c>
      <c r="AA52" s="219">
        <f>_xlfn.XLOOKUP(W52,マスタ!A:A,マスタ!F:F,0)*M52</f>
        <v>0</v>
      </c>
      <c r="AB52" s="219">
        <f>_xlfn.XLOOKUP(W52,マスタ!A:A,マスタ!G:G,0)*M52</f>
        <v>0</v>
      </c>
      <c r="AC52" s="220">
        <f>_xlfn.XLOOKUP(W52,マスタ!A:A,マスタ!H:H,0)*M52</f>
        <v>0</v>
      </c>
      <c r="AD52" s="227">
        <f t="shared" si="2"/>
        <v>0</v>
      </c>
    </row>
    <row r="53" spans="1:30" ht="15" customHeight="1">
      <c r="A53" s="145"/>
      <c r="B53" s="162"/>
      <c r="C53" s="162"/>
      <c r="D53" s="155"/>
      <c r="E53" s="174" t="s">
        <v>98</v>
      </c>
      <c r="F53" s="166"/>
      <c r="G53" s="166"/>
      <c r="H53" s="237"/>
      <c r="I53" s="433" t="s">
        <v>73</v>
      </c>
      <c r="J53" s="514"/>
      <c r="K53" s="434" t="s">
        <v>58</v>
      </c>
      <c r="L53" s="434" t="s">
        <v>58</v>
      </c>
      <c r="M53" s="435">
        <v>1</v>
      </c>
      <c r="N53" s="181"/>
      <c r="O53" s="182"/>
      <c r="P53" s="181"/>
      <c r="Q53" s="182"/>
      <c r="R53" s="181"/>
      <c r="S53" s="182"/>
      <c r="T53" s="181"/>
      <c r="U53" s="182"/>
      <c r="W53" s="208" t="s">
        <v>89</v>
      </c>
      <c r="X53" s="217">
        <f>_xlfn.XLOOKUP(W53,マスタ!A:A,マスタ!C:C,0)*M53</f>
        <v>0.99</v>
      </c>
      <c r="Y53" s="218">
        <f>IF(N53="",0,_xlfn.XLOOKUP(W53,マスタ!A:A,マスタ!D:D,0)*M53)</f>
        <v>0</v>
      </c>
      <c r="Z53" s="219">
        <f>_xlfn.XLOOKUP(W53,マスタ!A:A,マスタ!E:E,0)*M53</f>
        <v>1.17</v>
      </c>
      <c r="AA53" s="219">
        <f>_xlfn.XLOOKUP(W53,マスタ!A:A,マスタ!F:F,0)*M53</f>
        <v>1.32</v>
      </c>
      <c r="AB53" s="219">
        <f>_xlfn.XLOOKUP(W53,マスタ!A:A,マスタ!G:G,0)*M53</f>
        <v>0.39</v>
      </c>
      <c r="AC53" s="220">
        <f>_xlfn.XLOOKUP(W53,マスタ!A:A,マスタ!H:H,0)*M53</f>
        <v>0.39</v>
      </c>
      <c r="AD53" s="227">
        <f t="shared" si="2"/>
        <v>4.2600000000000007</v>
      </c>
    </row>
    <row r="54" spans="1:30" ht="15" customHeight="1">
      <c r="A54" s="145"/>
      <c r="B54" s="162"/>
      <c r="C54" s="167"/>
      <c r="D54" s="238"/>
      <c r="E54" s="175" t="s">
        <v>96</v>
      </c>
      <c r="F54" s="169"/>
      <c r="G54" s="169"/>
      <c r="H54" s="239"/>
      <c r="I54" s="436" t="s">
        <v>73</v>
      </c>
      <c r="J54" s="515"/>
      <c r="K54" s="437" t="s">
        <v>58</v>
      </c>
      <c r="L54" s="437" t="s">
        <v>58</v>
      </c>
      <c r="M54" s="438">
        <v>1</v>
      </c>
      <c r="N54" s="183"/>
      <c r="O54" s="184"/>
      <c r="P54" s="183"/>
      <c r="Q54" s="184"/>
      <c r="R54" s="183"/>
      <c r="S54" s="184"/>
      <c r="T54" s="183"/>
      <c r="U54" s="184"/>
      <c r="W54" s="208" t="s">
        <v>89</v>
      </c>
      <c r="X54" s="217">
        <f>_xlfn.XLOOKUP(W54,マスタ!A:A,マスタ!C:C,0)*M54</f>
        <v>0.99</v>
      </c>
      <c r="Y54" s="218">
        <f>IF(N54="",0,_xlfn.XLOOKUP(W54,マスタ!A:A,マスタ!D:D,0)*M54)</f>
        <v>0</v>
      </c>
      <c r="Z54" s="219">
        <f>_xlfn.XLOOKUP(W54,マスタ!A:A,マスタ!E:E,0)*M54</f>
        <v>1.17</v>
      </c>
      <c r="AA54" s="219">
        <f>_xlfn.XLOOKUP(W54,マスタ!A:A,マスタ!F:F,0)*M54</f>
        <v>1.32</v>
      </c>
      <c r="AB54" s="219">
        <f>_xlfn.XLOOKUP(W54,マスタ!A:A,マスタ!G:G,0)*M54</f>
        <v>0.39</v>
      </c>
      <c r="AC54" s="220">
        <f>_xlfn.XLOOKUP(W54,マスタ!A:A,マスタ!H:H,0)*M54</f>
        <v>0.39</v>
      </c>
      <c r="AD54" s="227">
        <f t="shared" si="2"/>
        <v>4.2600000000000007</v>
      </c>
    </row>
    <row r="55" spans="1:30" ht="15" customHeight="1">
      <c r="A55" s="145"/>
      <c r="B55" s="162"/>
      <c r="C55" s="160" t="s">
        <v>100</v>
      </c>
      <c r="D55" s="161"/>
      <c r="E55" s="161"/>
      <c r="F55" s="161"/>
      <c r="G55" s="161"/>
      <c r="H55" s="240"/>
      <c r="I55" s="442" t="s">
        <v>74</v>
      </c>
      <c r="J55" s="517"/>
      <c r="K55" s="443" t="s">
        <v>74</v>
      </c>
      <c r="L55" s="443" t="s">
        <v>74</v>
      </c>
      <c r="M55" s="444">
        <v>0</v>
      </c>
      <c r="N55" s="177"/>
      <c r="O55" s="178"/>
      <c r="P55" s="177"/>
      <c r="Q55" s="178"/>
      <c r="R55" s="177"/>
      <c r="S55" s="178"/>
      <c r="T55" s="177"/>
      <c r="U55" s="178"/>
      <c r="W55" s="208" t="s">
        <v>89</v>
      </c>
      <c r="X55" s="217">
        <f>_xlfn.XLOOKUP(W55,マスタ!A:A,マスタ!C:C,0)*M55</f>
        <v>0</v>
      </c>
      <c r="Y55" s="218">
        <f>IF(N55="",0,_xlfn.XLOOKUP(W55,マスタ!A:A,マスタ!D:D,0)*M55)</f>
        <v>0</v>
      </c>
      <c r="Z55" s="219">
        <f>_xlfn.XLOOKUP(W55,マスタ!A:A,マスタ!E:E,0)*M55</f>
        <v>0</v>
      </c>
      <c r="AA55" s="219">
        <f>_xlfn.XLOOKUP(W55,マスタ!A:A,マスタ!F:F,0)*M55</f>
        <v>0</v>
      </c>
      <c r="AB55" s="219">
        <f>_xlfn.XLOOKUP(W55,マスタ!A:A,マスタ!G:G,0)*M55</f>
        <v>0</v>
      </c>
      <c r="AC55" s="220">
        <f>_xlfn.XLOOKUP(W55,マスタ!A:A,マスタ!H:H,0)*M55</f>
        <v>0</v>
      </c>
      <c r="AD55" s="227">
        <f t="shared" si="2"/>
        <v>0</v>
      </c>
    </row>
    <row r="56" spans="1:30" ht="15" customHeight="1">
      <c r="A56" s="145"/>
      <c r="B56" s="162"/>
      <c r="C56" s="162"/>
      <c r="D56" s="155"/>
      <c r="E56" s="174" t="s">
        <v>98</v>
      </c>
      <c r="F56" s="166"/>
      <c r="G56" s="166"/>
      <c r="H56" s="237"/>
      <c r="I56" s="433" t="s">
        <v>73</v>
      </c>
      <c r="J56" s="514"/>
      <c r="K56" s="434" t="s">
        <v>58</v>
      </c>
      <c r="L56" s="434" t="s">
        <v>58</v>
      </c>
      <c r="M56" s="435">
        <v>1</v>
      </c>
      <c r="N56" s="181"/>
      <c r="O56" s="182"/>
      <c r="P56" s="181"/>
      <c r="Q56" s="182"/>
      <c r="R56" s="181"/>
      <c r="S56" s="182"/>
      <c r="T56" s="181"/>
      <c r="U56" s="182"/>
      <c r="W56" s="208" t="s">
        <v>89</v>
      </c>
      <c r="X56" s="217">
        <f>_xlfn.XLOOKUP(W56,マスタ!A:A,マスタ!C:C,0)*M56</f>
        <v>0.99</v>
      </c>
      <c r="Y56" s="218">
        <f>IF(N56="",0,_xlfn.XLOOKUP(W56,マスタ!A:A,マスタ!D:D,0)*M56)</f>
        <v>0</v>
      </c>
      <c r="Z56" s="219">
        <f>_xlfn.XLOOKUP(W56,マスタ!A:A,マスタ!E:E,0)*M56</f>
        <v>1.17</v>
      </c>
      <c r="AA56" s="219">
        <f>_xlfn.XLOOKUP(W56,マスタ!A:A,マスタ!F:F,0)*M56</f>
        <v>1.32</v>
      </c>
      <c r="AB56" s="219">
        <f>_xlfn.XLOOKUP(W56,マスタ!A:A,マスタ!G:G,0)*M56</f>
        <v>0.39</v>
      </c>
      <c r="AC56" s="220">
        <f>_xlfn.XLOOKUP(W56,マスタ!A:A,マスタ!H:H,0)*M56</f>
        <v>0.39</v>
      </c>
      <c r="AD56" s="227">
        <f t="shared" si="2"/>
        <v>4.2600000000000007</v>
      </c>
    </row>
    <row r="57" spans="1:30" ht="15" customHeight="1">
      <c r="A57" s="145"/>
      <c r="B57" s="162"/>
      <c r="C57" s="167"/>
      <c r="D57" s="238"/>
      <c r="E57" s="175" t="s">
        <v>96</v>
      </c>
      <c r="F57" s="169"/>
      <c r="G57" s="169"/>
      <c r="H57" s="239"/>
      <c r="I57" s="436" t="s">
        <v>73</v>
      </c>
      <c r="J57" s="515"/>
      <c r="K57" s="437" t="s">
        <v>58</v>
      </c>
      <c r="L57" s="437" t="s">
        <v>58</v>
      </c>
      <c r="M57" s="438">
        <v>1</v>
      </c>
      <c r="N57" s="183"/>
      <c r="O57" s="184"/>
      <c r="P57" s="183"/>
      <c r="Q57" s="184"/>
      <c r="R57" s="183"/>
      <c r="S57" s="184"/>
      <c r="T57" s="183"/>
      <c r="U57" s="184"/>
      <c r="W57" s="208" t="s">
        <v>89</v>
      </c>
      <c r="X57" s="217">
        <f>_xlfn.XLOOKUP(W57,マスタ!A:A,マスタ!C:C,0)*M57</f>
        <v>0.99</v>
      </c>
      <c r="Y57" s="218">
        <f>IF(N57="",0,_xlfn.XLOOKUP(W57,マスタ!A:A,マスタ!D:D,0)*M57)</f>
        <v>0</v>
      </c>
      <c r="Z57" s="219">
        <f>_xlfn.XLOOKUP(W57,マスタ!A:A,マスタ!E:E,0)*M57</f>
        <v>1.17</v>
      </c>
      <c r="AA57" s="219">
        <f>_xlfn.XLOOKUP(W57,マスタ!A:A,マスタ!F:F,0)*M57</f>
        <v>1.32</v>
      </c>
      <c r="AB57" s="219">
        <f>_xlfn.XLOOKUP(W57,マスタ!A:A,マスタ!G:G,0)*M57</f>
        <v>0.39</v>
      </c>
      <c r="AC57" s="220">
        <f>_xlfn.XLOOKUP(W57,マスタ!A:A,マスタ!H:H,0)*M57</f>
        <v>0.39</v>
      </c>
      <c r="AD57" s="227">
        <f t="shared" si="2"/>
        <v>4.2600000000000007</v>
      </c>
    </row>
    <row r="58" spans="1:30" ht="15" customHeight="1">
      <c r="A58" s="145"/>
      <c r="B58" s="162"/>
      <c r="C58" s="160" t="s">
        <v>101</v>
      </c>
      <c r="D58" s="161"/>
      <c r="E58" s="161"/>
      <c r="F58" s="161"/>
      <c r="G58" s="161"/>
      <c r="H58" s="240"/>
      <c r="I58" s="442" t="s">
        <v>74</v>
      </c>
      <c r="J58" s="517"/>
      <c r="K58" s="443" t="s">
        <v>74</v>
      </c>
      <c r="L58" s="443" t="s">
        <v>74</v>
      </c>
      <c r="M58" s="444">
        <v>0</v>
      </c>
      <c r="N58" s="177"/>
      <c r="O58" s="178"/>
      <c r="P58" s="177"/>
      <c r="Q58" s="178"/>
      <c r="R58" s="177"/>
      <c r="S58" s="178"/>
      <c r="T58" s="177"/>
      <c r="U58" s="178"/>
      <c r="W58" s="208" t="s">
        <v>89</v>
      </c>
      <c r="X58" s="217">
        <f>_xlfn.XLOOKUP(W58,マスタ!A:A,マスタ!C:C,0)*M58</f>
        <v>0</v>
      </c>
      <c r="Y58" s="218">
        <f>IF(N58="",0,_xlfn.XLOOKUP(W58,マスタ!A:A,マスタ!D:D,0)*M58)</f>
        <v>0</v>
      </c>
      <c r="Z58" s="219">
        <f>_xlfn.XLOOKUP(W58,マスタ!A:A,マスタ!E:E,0)*M58</f>
        <v>0</v>
      </c>
      <c r="AA58" s="219">
        <f>_xlfn.XLOOKUP(W58,マスタ!A:A,マスタ!F:F,0)*M58</f>
        <v>0</v>
      </c>
      <c r="AB58" s="219">
        <f>_xlfn.XLOOKUP(W58,マスタ!A:A,マスタ!G:G,0)*M58</f>
        <v>0</v>
      </c>
      <c r="AC58" s="220">
        <f>_xlfn.XLOOKUP(W58,マスタ!A:A,マスタ!H:H,0)*M58</f>
        <v>0</v>
      </c>
      <c r="AD58" s="227">
        <f t="shared" si="2"/>
        <v>0</v>
      </c>
    </row>
    <row r="59" spans="1:30" ht="15" customHeight="1">
      <c r="A59" s="145"/>
      <c r="B59" s="162"/>
      <c r="C59" s="162"/>
      <c r="D59" s="155"/>
      <c r="E59" s="174" t="s">
        <v>98</v>
      </c>
      <c r="F59" s="166"/>
      <c r="G59" s="166"/>
      <c r="H59" s="237"/>
      <c r="I59" s="433" t="s">
        <v>73</v>
      </c>
      <c r="J59" s="514"/>
      <c r="K59" s="434" t="s">
        <v>58</v>
      </c>
      <c r="L59" s="434" t="s">
        <v>58</v>
      </c>
      <c r="M59" s="435">
        <v>1</v>
      </c>
      <c r="N59" s="181"/>
      <c r="O59" s="182"/>
      <c r="P59" s="181"/>
      <c r="Q59" s="182"/>
      <c r="R59" s="181"/>
      <c r="S59" s="182"/>
      <c r="T59" s="181"/>
      <c r="U59" s="182"/>
      <c r="W59" s="208" t="s">
        <v>89</v>
      </c>
      <c r="X59" s="217">
        <f>_xlfn.XLOOKUP(W59,マスタ!A:A,マスタ!C:C,0)*M59</f>
        <v>0.99</v>
      </c>
      <c r="Y59" s="218">
        <f>IF(N59="",0,_xlfn.XLOOKUP(W59,マスタ!A:A,マスタ!D:D,0)*M59)</f>
        <v>0</v>
      </c>
      <c r="Z59" s="219">
        <f>_xlfn.XLOOKUP(W59,マスタ!A:A,マスタ!E:E,0)*M59</f>
        <v>1.17</v>
      </c>
      <c r="AA59" s="219">
        <f>_xlfn.XLOOKUP(W59,マスタ!A:A,マスタ!F:F,0)*M59</f>
        <v>1.32</v>
      </c>
      <c r="AB59" s="219">
        <f>_xlfn.XLOOKUP(W59,マスタ!A:A,マスタ!G:G,0)*M59</f>
        <v>0.39</v>
      </c>
      <c r="AC59" s="220">
        <f>_xlfn.XLOOKUP(W59,マスタ!A:A,マスタ!H:H,0)*M59</f>
        <v>0.39</v>
      </c>
      <c r="AD59" s="227">
        <f t="shared" si="2"/>
        <v>4.2600000000000007</v>
      </c>
    </row>
    <row r="60" spans="1:30" ht="15" customHeight="1">
      <c r="A60" s="145"/>
      <c r="B60" s="162"/>
      <c r="C60" s="167"/>
      <c r="D60" s="238"/>
      <c r="E60" s="175" t="s">
        <v>96</v>
      </c>
      <c r="F60" s="169"/>
      <c r="G60" s="169"/>
      <c r="H60" s="239"/>
      <c r="I60" s="436" t="s">
        <v>73</v>
      </c>
      <c r="J60" s="515"/>
      <c r="K60" s="437" t="s">
        <v>58</v>
      </c>
      <c r="L60" s="437" t="s">
        <v>58</v>
      </c>
      <c r="M60" s="438">
        <v>1</v>
      </c>
      <c r="N60" s="183"/>
      <c r="O60" s="184"/>
      <c r="P60" s="183"/>
      <c r="Q60" s="184"/>
      <c r="R60" s="183"/>
      <c r="S60" s="184"/>
      <c r="T60" s="183"/>
      <c r="U60" s="184"/>
      <c r="W60" s="208" t="s">
        <v>89</v>
      </c>
      <c r="X60" s="217">
        <f>_xlfn.XLOOKUP(W60,マスタ!A:A,マスタ!C:C,0)*M60</f>
        <v>0.99</v>
      </c>
      <c r="Y60" s="218">
        <f>IF(N60="",0,_xlfn.XLOOKUP(W60,マスタ!A:A,マスタ!D:D,0)*M60)</f>
        <v>0</v>
      </c>
      <c r="Z60" s="219">
        <f>_xlfn.XLOOKUP(W60,マスタ!A:A,マスタ!E:E,0)*M60</f>
        <v>1.17</v>
      </c>
      <c r="AA60" s="219">
        <f>_xlfn.XLOOKUP(W60,マスタ!A:A,マスタ!F:F,0)*M60</f>
        <v>1.32</v>
      </c>
      <c r="AB60" s="219">
        <f>_xlfn.XLOOKUP(W60,マスタ!A:A,マスタ!G:G,0)*M60</f>
        <v>0.39</v>
      </c>
      <c r="AC60" s="220">
        <f>_xlfn.XLOOKUP(W60,マスタ!A:A,マスタ!H:H,0)*M60</f>
        <v>0.39</v>
      </c>
      <c r="AD60" s="227">
        <f t="shared" si="2"/>
        <v>4.2600000000000007</v>
      </c>
    </row>
    <row r="61" spans="1:30" ht="15" customHeight="1">
      <c r="A61" s="145"/>
      <c r="B61" s="162"/>
      <c r="C61" s="160" t="s">
        <v>102</v>
      </c>
      <c r="D61" s="161"/>
      <c r="E61" s="161"/>
      <c r="F61" s="161"/>
      <c r="G61" s="161"/>
      <c r="H61" s="240"/>
      <c r="I61" s="442" t="s">
        <v>74</v>
      </c>
      <c r="J61" s="517"/>
      <c r="K61" s="443" t="s">
        <v>74</v>
      </c>
      <c r="L61" s="443" t="s">
        <v>74</v>
      </c>
      <c r="M61" s="444">
        <v>0</v>
      </c>
      <c r="N61" s="177"/>
      <c r="O61" s="178"/>
      <c r="P61" s="177"/>
      <c r="Q61" s="178"/>
      <c r="R61" s="177"/>
      <c r="S61" s="178"/>
      <c r="T61" s="177"/>
      <c r="U61" s="178"/>
      <c r="W61" s="208" t="s">
        <v>89</v>
      </c>
      <c r="X61" s="217">
        <f>_xlfn.XLOOKUP(W61,マスタ!A:A,マスタ!C:C,0)*M61</f>
        <v>0</v>
      </c>
      <c r="Y61" s="218">
        <f>IF(N61="",0,_xlfn.XLOOKUP(W61,マスタ!A:A,マスタ!D:D,0)*M61)</f>
        <v>0</v>
      </c>
      <c r="Z61" s="219">
        <f>_xlfn.XLOOKUP(W61,マスタ!A:A,マスタ!E:E,0)*M61</f>
        <v>0</v>
      </c>
      <c r="AA61" s="219">
        <f>_xlfn.XLOOKUP(W61,マスタ!A:A,マスタ!F:F,0)*M61</f>
        <v>0</v>
      </c>
      <c r="AB61" s="219">
        <f>_xlfn.XLOOKUP(W61,マスタ!A:A,マスタ!G:G,0)*M61</f>
        <v>0</v>
      </c>
      <c r="AC61" s="220">
        <f>_xlfn.XLOOKUP(W61,マスタ!A:A,マスタ!H:H,0)*M61</f>
        <v>0</v>
      </c>
      <c r="AD61" s="227">
        <f t="shared" si="2"/>
        <v>0</v>
      </c>
    </row>
    <row r="62" spans="1:30" ht="15" customHeight="1">
      <c r="A62" s="145"/>
      <c r="B62" s="162"/>
      <c r="C62" s="162"/>
      <c r="D62" s="155"/>
      <c r="E62" s="174" t="s">
        <v>98</v>
      </c>
      <c r="F62" s="166"/>
      <c r="G62" s="166"/>
      <c r="H62" s="237"/>
      <c r="I62" s="433" t="s">
        <v>73</v>
      </c>
      <c r="J62" s="514"/>
      <c r="K62" s="434" t="s">
        <v>58</v>
      </c>
      <c r="L62" s="434" t="s">
        <v>58</v>
      </c>
      <c r="M62" s="435">
        <v>1</v>
      </c>
      <c r="N62" s="181"/>
      <c r="O62" s="182"/>
      <c r="P62" s="181"/>
      <c r="Q62" s="182"/>
      <c r="R62" s="181"/>
      <c r="S62" s="182"/>
      <c r="T62" s="181"/>
      <c r="U62" s="182"/>
      <c r="W62" s="208" t="s">
        <v>89</v>
      </c>
      <c r="X62" s="217">
        <f>_xlfn.XLOOKUP(W62,マスタ!A:A,マスタ!C:C,0)*M62</f>
        <v>0.99</v>
      </c>
      <c r="Y62" s="218">
        <f>IF(N62="",0,_xlfn.XLOOKUP(W62,マスタ!A:A,マスタ!D:D,0)*M62)</f>
        <v>0</v>
      </c>
      <c r="Z62" s="219">
        <f>_xlfn.XLOOKUP(W62,マスタ!A:A,マスタ!E:E,0)*M62</f>
        <v>1.17</v>
      </c>
      <c r="AA62" s="219">
        <f>_xlfn.XLOOKUP(W62,マスタ!A:A,マスタ!F:F,0)*M62</f>
        <v>1.32</v>
      </c>
      <c r="AB62" s="219">
        <f>_xlfn.XLOOKUP(W62,マスタ!A:A,マスタ!G:G,0)*M62</f>
        <v>0.39</v>
      </c>
      <c r="AC62" s="220">
        <f>_xlfn.XLOOKUP(W62,マスタ!A:A,マスタ!H:H,0)*M62</f>
        <v>0.39</v>
      </c>
      <c r="AD62" s="227">
        <f t="shared" si="2"/>
        <v>4.2600000000000007</v>
      </c>
    </row>
    <row r="63" spans="1:30" ht="15" customHeight="1">
      <c r="A63" s="145"/>
      <c r="B63" s="162"/>
      <c r="C63" s="167"/>
      <c r="D63" s="238"/>
      <c r="E63" s="175" t="s">
        <v>96</v>
      </c>
      <c r="F63" s="169"/>
      <c r="G63" s="169"/>
      <c r="H63" s="239"/>
      <c r="I63" s="436" t="s">
        <v>73</v>
      </c>
      <c r="J63" s="515"/>
      <c r="K63" s="437" t="s">
        <v>58</v>
      </c>
      <c r="L63" s="437" t="s">
        <v>58</v>
      </c>
      <c r="M63" s="438">
        <v>1</v>
      </c>
      <c r="N63" s="183"/>
      <c r="O63" s="184"/>
      <c r="P63" s="183"/>
      <c r="Q63" s="184"/>
      <c r="R63" s="183"/>
      <c r="S63" s="184"/>
      <c r="T63" s="183"/>
      <c r="U63" s="184"/>
      <c r="W63" s="208" t="s">
        <v>89</v>
      </c>
      <c r="X63" s="217">
        <f>_xlfn.XLOOKUP(W63,マスタ!A:A,マスタ!C:C,0)*M63</f>
        <v>0.99</v>
      </c>
      <c r="Y63" s="218">
        <f>IF(N63="",0,_xlfn.XLOOKUP(W63,マスタ!A:A,マスタ!D:D,0)*M63)</f>
        <v>0</v>
      </c>
      <c r="Z63" s="219">
        <f>_xlfn.XLOOKUP(W63,マスタ!A:A,マスタ!E:E,0)*M63</f>
        <v>1.17</v>
      </c>
      <c r="AA63" s="219">
        <f>_xlfn.XLOOKUP(W63,マスタ!A:A,マスタ!F:F,0)*M63</f>
        <v>1.32</v>
      </c>
      <c r="AB63" s="219">
        <f>_xlfn.XLOOKUP(W63,マスタ!A:A,マスタ!G:G,0)*M63</f>
        <v>0.39</v>
      </c>
      <c r="AC63" s="220">
        <f>_xlfn.XLOOKUP(W63,マスタ!A:A,マスタ!H:H,0)*M63</f>
        <v>0.39</v>
      </c>
      <c r="AD63" s="227">
        <f t="shared" si="2"/>
        <v>4.2600000000000007</v>
      </c>
    </row>
    <row r="64" spans="1:30" ht="15" customHeight="1">
      <c r="A64" s="20"/>
      <c r="B64" s="162"/>
      <c r="C64" s="160" t="s">
        <v>103</v>
      </c>
      <c r="D64" s="161"/>
      <c r="E64" s="161"/>
      <c r="F64" s="161"/>
      <c r="G64" s="161"/>
      <c r="H64" s="240"/>
      <c r="I64" s="442" t="s">
        <v>74</v>
      </c>
      <c r="J64" s="517"/>
      <c r="K64" s="443" t="s">
        <v>74</v>
      </c>
      <c r="L64" s="443" t="s">
        <v>74</v>
      </c>
      <c r="M64" s="444">
        <v>0</v>
      </c>
      <c r="N64" s="177"/>
      <c r="O64" s="178"/>
      <c r="P64" s="177"/>
      <c r="Q64" s="178"/>
      <c r="R64" s="177"/>
      <c r="S64" s="178"/>
      <c r="T64" s="177"/>
      <c r="U64" s="178"/>
      <c r="W64" s="208" t="s">
        <v>89</v>
      </c>
      <c r="X64" s="217">
        <f>_xlfn.XLOOKUP(W64,マスタ!A:A,マスタ!C:C,0)*M64</f>
        <v>0</v>
      </c>
      <c r="Y64" s="218">
        <f>IF(N64="",0,_xlfn.XLOOKUP(W64,マスタ!A:A,マスタ!D:D,0)*M64)</f>
        <v>0</v>
      </c>
      <c r="Z64" s="219">
        <f>_xlfn.XLOOKUP(W64,マスタ!A:A,マスタ!E:E,0)*M64</f>
        <v>0</v>
      </c>
      <c r="AA64" s="219">
        <f>_xlfn.XLOOKUP(W64,マスタ!A:A,マスタ!F:F,0)*M64</f>
        <v>0</v>
      </c>
      <c r="AB64" s="219">
        <f>_xlfn.XLOOKUP(W64,マスタ!A:A,マスタ!G:G,0)*M64</f>
        <v>0</v>
      </c>
      <c r="AC64" s="220">
        <f>_xlfn.XLOOKUP(W64,マスタ!A:A,マスタ!H:H,0)*M64</f>
        <v>0</v>
      </c>
      <c r="AD64" s="227">
        <f t="shared" si="2"/>
        <v>0</v>
      </c>
    </row>
    <row r="65" spans="1:30" ht="15" customHeight="1">
      <c r="A65" s="20"/>
      <c r="B65" s="162"/>
      <c r="C65" s="162"/>
      <c r="D65" s="155"/>
      <c r="E65" s="174" t="s">
        <v>98</v>
      </c>
      <c r="F65" s="166"/>
      <c r="G65" s="166"/>
      <c r="H65" s="237"/>
      <c r="I65" s="433" t="s">
        <v>73</v>
      </c>
      <c r="J65" s="514"/>
      <c r="K65" s="434" t="s">
        <v>58</v>
      </c>
      <c r="L65" s="434" t="s">
        <v>58</v>
      </c>
      <c r="M65" s="435">
        <v>1</v>
      </c>
      <c r="N65" s="181"/>
      <c r="O65" s="182"/>
      <c r="P65" s="181"/>
      <c r="Q65" s="182"/>
      <c r="R65" s="181"/>
      <c r="S65" s="182"/>
      <c r="T65" s="181"/>
      <c r="U65" s="182"/>
      <c r="W65" s="208" t="s">
        <v>89</v>
      </c>
      <c r="X65" s="217">
        <f>_xlfn.XLOOKUP(W65,マスタ!A:A,マスタ!C:C,0)*M65</f>
        <v>0.99</v>
      </c>
      <c r="Y65" s="218">
        <f>IF(N65="",0,_xlfn.XLOOKUP(W65,マスタ!A:A,マスタ!D:D,0)*M65)</f>
        <v>0</v>
      </c>
      <c r="Z65" s="219">
        <f>_xlfn.XLOOKUP(W65,マスタ!A:A,マスタ!E:E,0)*M65</f>
        <v>1.17</v>
      </c>
      <c r="AA65" s="219">
        <f>_xlfn.XLOOKUP(W65,マスタ!A:A,マスタ!F:F,0)*M65</f>
        <v>1.32</v>
      </c>
      <c r="AB65" s="219">
        <f>_xlfn.XLOOKUP(W65,マスタ!A:A,マスタ!G:G,0)*M65</f>
        <v>0.39</v>
      </c>
      <c r="AC65" s="220">
        <f>_xlfn.XLOOKUP(W65,マスタ!A:A,マスタ!H:H,0)*M65</f>
        <v>0.39</v>
      </c>
      <c r="AD65" s="227">
        <f t="shared" si="2"/>
        <v>4.2600000000000007</v>
      </c>
    </row>
    <row r="66" spans="1:30" ht="15" customHeight="1">
      <c r="A66" s="145"/>
      <c r="B66" s="162"/>
      <c r="C66" s="167"/>
      <c r="D66" s="238"/>
      <c r="E66" s="175" t="s">
        <v>96</v>
      </c>
      <c r="F66" s="169"/>
      <c r="G66" s="169"/>
      <c r="H66" s="239"/>
      <c r="I66" s="436" t="s">
        <v>73</v>
      </c>
      <c r="J66" s="515"/>
      <c r="K66" s="437" t="s">
        <v>58</v>
      </c>
      <c r="L66" s="437" t="s">
        <v>58</v>
      </c>
      <c r="M66" s="438">
        <v>1</v>
      </c>
      <c r="N66" s="183"/>
      <c r="O66" s="184"/>
      <c r="P66" s="183"/>
      <c r="Q66" s="184"/>
      <c r="R66" s="183"/>
      <c r="S66" s="184"/>
      <c r="T66" s="183"/>
      <c r="U66" s="184"/>
      <c r="W66" s="208" t="s">
        <v>89</v>
      </c>
      <c r="X66" s="217">
        <f>_xlfn.XLOOKUP(W66,マスタ!A:A,マスタ!C:C,0)*M66</f>
        <v>0.99</v>
      </c>
      <c r="Y66" s="218">
        <f>IF(N66="",0,_xlfn.XLOOKUP(W66,マスタ!A:A,マスタ!D:D,0)*M66)</f>
        <v>0</v>
      </c>
      <c r="Z66" s="219">
        <f>_xlfn.XLOOKUP(W66,マスタ!A:A,マスタ!E:E,0)*M66</f>
        <v>1.17</v>
      </c>
      <c r="AA66" s="219">
        <f>_xlfn.XLOOKUP(W66,マスタ!A:A,マスタ!F:F,0)*M66</f>
        <v>1.32</v>
      </c>
      <c r="AB66" s="219">
        <f>_xlfn.XLOOKUP(W66,マスタ!A:A,マスタ!G:G,0)*M66</f>
        <v>0.39</v>
      </c>
      <c r="AC66" s="220">
        <f>_xlfn.XLOOKUP(W66,マスタ!A:A,マスタ!H:H,0)*M66</f>
        <v>0.39</v>
      </c>
      <c r="AD66" s="227">
        <f t="shared" si="2"/>
        <v>4.2600000000000007</v>
      </c>
    </row>
    <row r="67" spans="1:30" ht="15" customHeight="1">
      <c r="A67" s="20"/>
      <c r="B67" s="162"/>
      <c r="C67" s="160" t="s">
        <v>104</v>
      </c>
      <c r="D67" s="161"/>
      <c r="E67" s="161"/>
      <c r="F67" s="161"/>
      <c r="G67" s="161"/>
      <c r="H67" s="240"/>
      <c r="I67" s="442" t="s">
        <v>74</v>
      </c>
      <c r="J67" s="517"/>
      <c r="K67" s="443" t="s">
        <v>74</v>
      </c>
      <c r="L67" s="443" t="s">
        <v>74</v>
      </c>
      <c r="M67" s="444">
        <v>0</v>
      </c>
      <c r="N67" s="177"/>
      <c r="O67" s="178"/>
      <c r="P67" s="177"/>
      <c r="Q67" s="178"/>
      <c r="R67" s="177"/>
      <c r="S67" s="178"/>
      <c r="T67" s="177"/>
      <c r="U67" s="178"/>
      <c r="W67" s="208" t="s">
        <v>89</v>
      </c>
      <c r="X67" s="217">
        <f>_xlfn.XLOOKUP(W67,マスタ!A:A,マスタ!C:C,0)*M67</f>
        <v>0</v>
      </c>
      <c r="Y67" s="218">
        <f>IF(N67="",0,_xlfn.XLOOKUP(W67,マスタ!A:A,マスタ!D:D,0)*M67)</f>
        <v>0</v>
      </c>
      <c r="Z67" s="219">
        <f>_xlfn.XLOOKUP(W67,マスタ!A:A,マスタ!E:E,0)*M67</f>
        <v>0</v>
      </c>
      <c r="AA67" s="219">
        <f>_xlfn.XLOOKUP(W67,マスタ!A:A,マスタ!F:F,0)*M67</f>
        <v>0</v>
      </c>
      <c r="AB67" s="219">
        <f>_xlfn.XLOOKUP(W67,マスタ!A:A,マスタ!G:G,0)*M67</f>
        <v>0</v>
      </c>
      <c r="AC67" s="220">
        <f>_xlfn.XLOOKUP(W67,マスタ!A:A,マスタ!H:H,0)*M67</f>
        <v>0</v>
      </c>
      <c r="AD67" s="227">
        <f t="shared" si="2"/>
        <v>0</v>
      </c>
    </row>
    <row r="68" spans="1:30" ht="15" customHeight="1">
      <c r="A68" s="20"/>
      <c r="B68" s="162"/>
      <c r="C68" s="162"/>
      <c r="D68" s="155"/>
      <c r="E68" s="174" t="s">
        <v>98</v>
      </c>
      <c r="F68" s="166"/>
      <c r="G68" s="166"/>
      <c r="H68" s="237"/>
      <c r="I68" s="433" t="s">
        <v>73</v>
      </c>
      <c r="J68" s="514"/>
      <c r="K68" s="434" t="s">
        <v>58</v>
      </c>
      <c r="L68" s="434" t="s">
        <v>58</v>
      </c>
      <c r="M68" s="435">
        <v>1</v>
      </c>
      <c r="N68" s="181"/>
      <c r="O68" s="182"/>
      <c r="P68" s="181"/>
      <c r="Q68" s="182"/>
      <c r="R68" s="181"/>
      <c r="S68" s="182"/>
      <c r="T68" s="181"/>
      <c r="U68" s="182"/>
      <c r="W68" s="208" t="s">
        <v>89</v>
      </c>
      <c r="X68" s="217">
        <f>_xlfn.XLOOKUP(W68,マスタ!A:A,マスタ!C:C,0)*M68</f>
        <v>0.99</v>
      </c>
      <c r="Y68" s="218">
        <f>IF(N68="",0,_xlfn.XLOOKUP(W68,マスタ!A:A,マスタ!D:D,0)*M68)</f>
        <v>0</v>
      </c>
      <c r="Z68" s="219">
        <f>_xlfn.XLOOKUP(W68,マスタ!A:A,マスタ!E:E,0)*M68</f>
        <v>1.17</v>
      </c>
      <c r="AA68" s="219">
        <f>_xlfn.XLOOKUP(W68,マスタ!A:A,マスタ!F:F,0)*M68</f>
        <v>1.32</v>
      </c>
      <c r="AB68" s="219">
        <f>_xlfn.XLOOKUP(W68,マスタ!A:A,マスタ!G:G,0)*M68</f>
        <v>0.39</v>
      </c>
      <c r="AC68" s="220">
        <f>_xlfn.XLOOKUP(W68,マスタ!A:A,マスタ!H:H,0)*M68</f>
        <v>0.39</v>
      </c>
      <c r="AD68" s="227">
        <f t="shared" si="2"/>
        <v>4.2600000000000007</v>
      </c>
    </row>
    <row r="69" spans="1:30" ht="15" customHeight="1">
      <c r="A69" s="145"/>
      <c r="B69" s="162"/>
      <c r="C69" s="167"/>
      <c r="D69" s="238"/>
      <c r="E69" s="175" t="s">
        <v>96</v>
      </c>
      <c r="F69" s="169"/>
      <c r="G69" s="169"/>
      <c r="H69" s="239"/>
      <c r="I69" s="436" t="s">
        <v>73</v>
      </c>
      <c r="J69" s="515"/>
      <c r="K69" s="437" t="s">
        <v>58</v>
      </c>
      <c r="L69" s="437" t="s">
        <v>58</v>
      </c>
      <c r="M69" s="438">
        <v>1</v>
      </c>
      <c r="N69" s="183"/>
      <c r="O69" s="184"/>
      <c r="P69" s="183"/>
      <c r="Q69" s="184"/>
      <c r="R69" s="183"/>
      <c r="S69" s="184"/>
      <c r="T69" s="183"/>
      <c r="U69" s="184"/>
      <c r="W69" s="208" t="s">
        <v>89</v>
      </c>
      <c r="X69" s="217">
        <f>_xlfn.XLOOKUP(W69,マスタ!A:A,マスタ!C:C,0)*M69</f>
        <v>0.99</v>
      </c>
      <c r="Y69" s="218">
        <f>IF(N69="",0,_xlfn.XLOOKUP(W69,マスタ!A:A,マスタ!D:D,0)*M69)</f>
        <v>0</v>
      </c>
      <c r="Z69" s="219">
        <f>_xlfn.XLOOKUP(W69,マスタ!A:A,マスタ!E:E,0)*M69</f>
        <v>1.17</v>
      </c>
      <c r="AA69" s="219">
        <f>_xlfn.XLOOKUP(W69,マスタ!A:A,マスタ!F:F,0)*M69</f>
        <v>1.32</v>
      </c>
      <c r="AB69" s="219">
        <f>_xlfn.XLOOKUP(W69,マスタ!A:A,マスタ!G:G,0)*M69</f>
        <v>0.39</v>
      </c>
      <c r="AC69" s="220">
        <f>_xlfn.XLOOKUP(W69,マスタ!A:A,マスタ!H:H,0)*M69</f>
        <v>0.39</v>
      </c>
      <c r="AD69" s="227">
        <f t="shared" si="2"/>
        <v>4.2600000000000007</v>
      </c>
    </row>
    <row r="70" spans="1:30" ht="15" customHeight="1">
      <c r="A70" s="20"/>
      <c r="B70" s="162"/>
      <c r="C70" s="160" t="s">
        <v>105</v>
      </c>
      <c r="D70" s="161"/>
      <c r="E70" s="161"/>
      <c r="F70" s="161"/>
      <c r="G70" s="161"/>
      <c r="H70" s="240"/>
      <c r="I70" s="442" t="s">
        <v>74</v>
      </c>
      <c r="J70" s="517"/>
      <c r="K70" s="443" t="s">
        <v>74</v>
      </c>
      <c r="L70" s="443" t="s">
        <v>74</v>
      </c>
      <c r="M70" s="444">
        <v>0</v>
      </c>
      <c r="N70" s="177"/>
      <c r="O70" s="178"/>
      <c r="P70" s="177"/>
      <c r="Q70" s="178"/>
      <c r="R70" s="177"/>
      <c r="S70" s="178"/>
      <c r="T70" s="177"/>
      <c r="U70" s="178"/>
      <c r="W70" s="208" t="s">
        <v>89</v>
      </c>
      <c r="X70" s="217">
        <f>_xlfn.XLOOKUP(W70,マスタ!A:A,マスタ!C:C,0)*M70</f>
        <v>0</v>
      </c>
      <c r="Y70" s="218">
        <f>IF(N70="",0,_xlfn.XLOOKUP(W70,マスタ!A:A,マスタ!D:D,0)*M70)</f>
        <v>0</v>
      </c>
      <c r="Z70" s="219">
        <f>_xlfn.XLOOKUP(W70,マスタ!A:A,マスタ!E:E,0)*M70</f>
        <v>0</v>
      </c>
      <c r="AA70" s="219">
        <f>_xlfn.XLOOKUP(W70,マスタ!A:A,マスタ!F:F,0)*M70</f>
        <v>0</v>
      </c>
      <c r="AB70" s="219">
        <f>_xlfn.XLOOKUP(W70,マスタ!A:A,マスタ!G:G,0)*M70</f>
        <v>0</v>
      </c>
      <c r="AC70" s="220">
        <f>_xlfn.XLOOKUP(W70,マスタ!A:A,マスタ!H:H,0)*M70</f>
        <v>0</v>
      </c>
      <c r="AD70" s="227">
        <f t="shared" si="2"/>
        <v>0</v>
      </c>
    </row>
    <row r="71" spans="1:30" ht="15" customHeight="1">
      <c r="A71" s="20"/>
      <c r="B71" s="162"/>
      <c r="C71" s="162"/>
      <c r="D71" s="155"/>
      <c r="E71" s="174" t="s">
        <v>98</v>
      </c>
      <c r="F71" s="166"/>
      <c r="G71" s="166"/>
      <c r="H71" s="237"/>
      <c r="I71" s="433" t="s">
        <v>73</v>
      </c>
      <c r="J71" s="514"/>
      <c r="K71" s="434" t="s">
        <v>58</v>
      </c>
      <c r="L71" s="434" t="s">
        <v>58</v>
      </c>
      <c r="M71" s="435">
        <v>1</v>
      </c>
      <c r="N71" s="181"/>
      <c r="O71" s="182"/>
      <c r="P71" s="181"/>
      <c r="Q71" s="182"/>
      <c r="R71" s="181"/>
      <c r="S71" s="182"/>
      <c r="T71" s="181"/>
      <c r="U71" s="182"/>
      <c r="W71" s="208" t="s">
        <v>89</v>
      </c>
      <c r="X71" s="217">
        <f>_xlfn.XLOOKUP(W71,マスタ!A:A,マスタ!C:C,0)*M71</f>
        <v>0.99</v>
      </c>
      <c r="Y71" s="218">
        <f>IF(N71="",0,_xlfn.XLOOKUP(W71,マスタ!A:A,マスタ!D:D,0)*M71)</f>
        <v>0</v>
      </c>
      <c r="Z71" s="219">
        <f>_xlfn.XLOOKUP(W71,マスタ!A:A,マスタ!E:E,0)*M71</f>
        <v>1.17</v>
      </c>
      <c r="AA71" s="219">
        <f>_xlfn.XLOOKUP(W71,マスタ!A:A,マスタ!F:F,0)*M71</f>
        <v>1.32</v>
      </c>
      <c r="AB71" s="219">
        <f>_xlfn.XLOOKUP(W71,マスタ!A:A,マスタ!G:G,0)*M71</f>
        <v>0.39</v>
      </c>
      <c r="AC71" s="220">
        <f>_xlfn.XLOOKUP(W71,マスタ!A:A,マスタ!H:H,0)*M71</f>
        <v>0.39</v>
      </c>
      <c r="AD71" s="227">
        <f t="shared" si="2"/>
        <v>4.2600000000000007</v>
      </c>
    </row>
    <row r="72" spans="1:30" ht="15" customHeight="1">
      <c r="A72" s="145"/>
      <c r="B72" s="162"/>
      <c r="C72" s="167"/>
      <c r="D72" s="238"/>
      <c r="E72" s="175" t="s">
        <v>96</v>
      </c>
      <c r="F72" s="169"/>
      <c r="G72" s="169"/>
      <c r="H72" s="239"/>
      <c r="I72" s="436" t="s">
        <v>73</v>
      </c>
      <c r="J72" s="515"/>
      <c r="K72" s="437" t="s">
        <v>58</v>
      </c>
      <c r="L72" s="437" t="s">
        <v>58</v>
      </c>
      <c r="M72" s="438">
        <v>1</v>
      </c>
      <c r="N72" s="183"/>
      <c r="O72" s="184"/>
      <c r="P72" s="183"/>
      <c r="Q72" s="184"/>
      <c r="R72" s="183"/>
      <c r="S72" s="184"/>
      <c r="T72" s="183"/>
      <c r="U72" s="184"/>
      <c r="W72" s="208" t="s">
        <v>89</v>
      </c>
      <c r="X72" s="217">
        <f>_xlfn.XLOOKUP(W72,マスタ!A:A,マスタ!C:C,0)*M72</f>
        <v>0.99</v>
      </c>
      <c r="Y72" s="218">
        <f>IF(N72="",0,_xlfn.XLOOKUP(W72,マスタ!A:A,マスタ!D:D,0)*M72)</f>
        <v>0</v>
      </c>
      <c r="Z72" s="219">
        <f>_xlfn.XLOOKUP(W72,マスタ!A:A,マスタ!E:E,0)*M72</f>
        <v>1.17</v>
      </c>
      <c r="AA72" s="219">
        <f>_xlfn.XLOOKUP(W72,マスタ!A:A,マスタ!F:F,0)*M72</f>
        <v>1.32</v>
      </c>
      <c r="AB72" s="219">
        <f>_xlfn.XLOOKUP(W72,マスタ!A:A,マスタ!G:G,0)*M72</f>
        <v>0.39</v>
      </c>
      <c r="AC72" s="220">
        <f>_xlfn.XLOOKUP(W72,マスタ!A:A,マスタ!H:H,0)*M72</f>
        <v>0.39</v>
      </c>
      <c r="AD72" s="227">
        <f t="shared" si="2"/>
        <v>4.2600000000000007</v>
      </c>
    </row>
    <row r="73" spans="1:30" ht="27" customHeight="1">
      <c r="A73" s="145"/>
      <c r="B73" s="247"/>
      <c r="C73" s="242" t="s">
        <v>106</v>
      </c>
      <c r="D73" s="243"/>
      <c r="E73" s="243"/>
      <c r="F73" s="243"/>
      <c r="G73" s="243"/>
      <c r="H73" s="244" t="s">
        <v>107</v>
      </c>
      <c r="I73" s="454" t="s">
        <v>73</v>
      </c>
      <c r="J73" s="520"/>
      <c r="K73" s="455" t="s">
        <v>57</v>
      </c>
      <c r="L73" s="455" t="s">
        <v>58</v>
      </c>
      <c r="M73" s="456">
        <v>1</v>
      </c>
      <c r="N73" s="530" t="s">
        <v>108</v>
      </c>
      <c r="O73" s="246" t="s">
        <v>109</v>
      </c>
      <c r="P73" s="245"/>
      <c r="Q73" s="246"/>
      <c r="R73" s="245"/>
      <c r="S73" s="246"/>
      <c r="T73" s="245"/>
      <c r="U73" s="246"/>
      <c r="W73" s="208" t="s">
        <v>89</v>
      </c>
      <c r="X73" s="217">
        <f>_xlfn.XLOOKUP(W73,マスタ!A:A,マスタ!C:C,0)*M73</f>
        <v>0.99</v>
      </c>
      <c r="Y73" s="218">
        <f>IF(N73="",0,_xlfn.XLOOKUP(W73,マスタ!A:A,マスタ!D:D,0)*M73)</f>
        <v>0.28999999999999998</v>
      </c>
      <c r="Z73" s="219">
        <f>_xlfn.XLOOKUP(W73,マスタ!A:A,マスタ!E:E,0)*M73</f>
        <v>1.17</v>
      </c>
      <c r="AA73" s="219">
        <f>_xlfn.XLOOKUP(W73,マスタ!A:A,マスタ!F:F,0)*M73</f>
        <v>1.32</v>
      </c>
      <c r="AB73" s="219">
        <f>_xlfn.XLOOKUP(W73,マスタ!A:A,マスタ!G:G,0)*M73</f>
        <v>0.39</v>
      </c>
      <c r="AC73" s="220">
        <f>_xlfn.XLOOKUP(W73,マスタ!A:A,マスタ!H:H,0)*M73</f>
        <v>0.39</v>
      </c>
      <c r="AD73" s="227">
        <f t="shared" si="2"/>
        <v>4.55</v>
      </c>
    </row>
    <row r="74" spans="1:30" ht="28.5">
      <c r="A74" s="145"/>
      <c r="B74" s="263"/>
      <c r="C74" s="242" t="s">
        <v>110</v>
      </c>
      <c r="D74" s="243"/>
      <c r="E74" s="243"/>
      <c r="F74" s="243"/>
      <c r="G74" s="243"/>
      <c r="H74" s="264" t="s">
        <v>111</v>
      </c>
      <c r="I74" s="454" t="s">
        <v>73</v>
      </c>
      <c r="J74" s="520"/>
      <c r="K74" s="455" t="s">
        <v>57</v>
      </c>
      <c r="L74" s="455" t="s">
        <v>58</v>
      </c>
      <c r="M74" s="456">
        <v>1</v>
      </c>
      <c r="N74" s="245" t="s">
        <v>112</v>
      </c>
      <c r="O74" s="246"/>
      <c r="P74" s="245"/>
      <c r="Q74" s="246"/>
      <c r="R74" s="245"/>
      <c r="S74" s="246"/>
      <c r="T74" s="245"/>
      <c r="U74" s="246"/>
      <c r="W74" s="208" t="s">
        <v>89</v>
      </c>
      <c r="X74" s="217">
        <f>_xlfn.XLOOKUP(W74,マスタ!A:A,マスタ!C:C,0)*M74</f>
        <v>0.99</v>
      </c>
      <c r="Y74" s="218">
        <f>IF(N74="",0,_xlfn.XLOOKUP(W74,マスタ!A:A,マスタ!D:D,0)*M74)</f>
        <v>0.28999999999999998</v>
      </c>
      <c r="Z74" s="219">
        <f>_xlfn.XLOOKUP(W74,マスタ!A:A,マスタ!E:E,0)*M74</f>
        <v>1.17</v>
      </c>
      <c r="AA74" s="219">
        <f>_xlfn.XLOOKUP(W74,マスタ!A:A,マスタ!F:F,0)*M74</f>
        <v>1.32</v>
      </c>
      <c r="AB74" s="219">
        <f>_xlfn.XLOOKUP(W74,マスタ!A:A,マスタ!G:G,0)*M74</f>
        <v>0.39</v>
      </c>
      <c r="AC74" s="220">
        <f>_xlfn.XLOOKUP(W74,マスタ!A:A,マスタ!H:H,0)*M74</f>
        <v>0.39</v>
      </c>
      <c r="AD74" s="227">
        <f t="shared" ref="AD74:AD97" si="6">SUM(X74:AC74)</f>
        <v>4.55</v>
      </c>
    </row>
    <row r="75" spans="1:30" ht="15" customHeight="1">
      <c r="A75" s="145"/>
      <c r="B75" s="160" t="s">
        <v>91</v>
      </c>
      <c r="C75" s="161"/>
      <c r="D75" s="161"/>
      <c r="E75" s="161"/>
      <c r="F75" s="161"/>
      <c r="G75" s="161"/>
      <c r="H75" s="240"/>
      <c r="I75" s="442" t="s">
        <v>58</v>
      </c>
      <c r="J75" s="517"/>
      <c r="K75" s="443" t="s">
        <v>74</v>
      </c>
      <c r="L75" s="443" t="s">
        <v>74</v>
      </c>
      <c r="M75" s="444">
        <v>1</v>
      </c>
      <c r="N75" s="177"/>
      <c r="O75" s="178"/>
      <c r="P75" s="177"/>
      <c r="Q75" s="178"/>
      <c r="R75" s="177"/>
      <c r="S75" s="178"/>
      <c r="T75" s="177"/>
      <c r="U75" s="178"/>
      <c r="W75" s="208" t="s">
        <v>89</v>
      </c>
      <c r="X75" s="217">
        <f>_xlfn.XLOOKUP(W75,マスタ!A:A,マスタ!C:C,0)*M75</f>
        <v>0.99</v>
      </c>
      <c r="Y75" s="218">
        <f>IF(N75="",0,_xlfn.XLOOKUP(W75,マスタ!A:A,マスタ!D:D,0)*M75)</f>
        <v>0</v>
      </c>
      <c r="Z75" s="219">
        <f>_xlfn.XLOOKUP(W75,マスタ!A:A,マスタ!E:E,0)*M75</f>
        <v>1.17</v>
      </c>
      <c r="AA75" s="219">
        <f>_xlfn.XLOOKUP(W75,マスタ!A:A,マスタ!F:F,0)*M75</f>
        <v>1.32</v>
      </c>
      <c r="AB75" s="219">
        <f>_xlfn.XLOOKUP(W75,マスタ!A:A,マスタ!G:G,0)*M75</f>
        <v>0.39</v>
      </c>
      <c r="AC75" s="220">
        <f>_xlfn.XLOOKUP(W75,マスタ!A:A,マスタ!H:H,0)*M75</f>
        <v>0.39</v>
      </c>
      <c r="AD75" s="227">
        <f t="shared" si="6"/>
        <v>4.2600000000000007</v>
      </c>
    </row>
    <row r="76" spans="1:30" ht="15" customHeight="1">
      <c r="A76" s="145"/>
      <c r="B76" s="162"/>
      <c r="C76" s="160" t="s">
        <v>113</v>
      </c>
      <c r="D76" s="161"/>
      <c r="E76" s="161" t="s">
        <v>114</v>
      </c>
      <c r="F76" s="161"/>
      <c r="G76" s="161"/>
      <c r="H76" s="240"/>
      <c r="I76" s="442" t="s">
        <v>58</v>
      </c>
      <c r="J76" s="517"/>
      <c r="K76" s="443" t="s">
        <v>73</v>
      </c>
      <c r="L76" s="443" t="s">
        <v>73</v>
      </c>
      <c r="M76" s="444">
        <v>1</v>
      </c>
      <c r="N76" s="177"/>
      <c r="O76" s="178"/>
      <c r="P76" s="177"/>
      <c r="Q76" s="178"/>
      <c r="R76" s="177"/>
      <c r="S76" s="178"/>
      <c r="T76" s="177"/>
      <c r="U76" s="178"/>
      <c r="W76" s="208" t="s">
        <v>89</v>
      </c>
      <c r="X76" s="217">
        <f>_xlfn.XLOOKUP(W76,マスタ!A:A,マスタ!C:C,0)*M76</f>
        <v>0.99</v>
      </c>
      <c r="Y76" s="218">
        <f>IF(N76="",0,_xlfn.XLOOKUP(W76,マスタ!A:A,マスタ!D:D,0)*M76)</f>
        <v>0</v>
      </c>
      <c r="Z76" s="219">
        <f>_xlfn.XLOOKUP(W76,マスタ!A:A,マスタ!E:E,0)*M76</f>
        <v>1.17</v>
      </c>
      <c r="AA76" s="219">
        <f>_xlfn.XLOOKUP(W76,マスタ!A:A,マスタ!F:F,0)*M76</f>
        <v>1.32</v>
      </c>
      <c r="AB76" s="219">
        <f>_xlfn.XLOOKUP(W76,マスタ!A:A,マスタ!G:G,0)*M76</f>
        <v>0.39</v>
      </c>
      <c r="AC76" s="220">
        <f>_xlfn.XLOOKUP(W76,マスタ!A:A,マスタ!H:H,0)*M76</f>
        <v>0.39</v>
      </c>
      <c r="AD76" s="227">
        <f t="shared" si="6"/>
        <v>4.2600000000000007</v>
      </c>
    </row>
    <row r="77" spans="1:30" ht="15" customHeight="1">
      <c r="A77" s="145"/>
      <c r="B77" s="162"/>
      <c r="C77" s="162"/>
      <c r="D77" s="160" t="s">
        <v>115</v>
      </c>
      <c r="E77" s="161"/>
      <c r="F77" s="161"/>
      <c r="G77" s="161"/>
      <c r="H77" s="236" t="s">
        <v>116</v>
      </c>
      <c r="I77" s="430" t="s">
        <v>73</v>
      </c>
      <c r="J77" s="513" t="s">
        <v>73</v>
      </c>
      <c r="K77" s="431" t="s">
        <v>73</v>
      </c>
      <c r="L77" s="431" t="s">
        <v>73</v>
      </c>
      <c r="M77" s="432">
        <v>0</v>
      </c>
      <c r="N77" s="179"/>
      <c r="O77" s="180"/>
      <c r="P77" s="179"/>
      <c r="Q77" s="180"/>
      <c r="R77" s="179"/>
      <c r="S77" s="180"/>
      <c r="T77" s="179"/>
      <c r="U77" s="180"/>
      <c r="W77" s="208" t="s">
        <v>89</v>
      </c>
      <c r="X77" s="217">
        <f>_xlfn.XLOOKUP(W77,マスタ!A:A,マスタ!C:C,0)*M77</f>
        <v>0</v>
      </c>
      <c r="Y77" s="218">
        <f>IF(N77="",0,_xlfn.XLOOKUP(W77,マスタ!A:A,マスタ!D:D,0)*M77)</f>
        <v>0</v>
      </c>
      <c r="Z77" s="219">
        <f>_xlfn.XLOOKUP(W77,マスタ!A:A,マスタ!E:E,0)*M77</f>
        <v>0</v>
      </c>
      <c r="AA77" s="219">
        <f>_xlfn.XLOOKUP(W77,マスタ!A:A,マスタ!F:F,0)*M77</f>
        <v>0</v>
      </c>
      <c r="AB77" s="219">
        <f>_xlfn.XLOOKUP(W77,マスタ!A:A,マスタ!G:G,0)*M77</f>
        <v>0</v>
      </c>
      <c r="AC77" s="220">
        <f>_xlfn.XLOOKUP(W77,マスタ!A:A,マスタ!H:H,0)*M77</f>
        <v>0</v>
      </c>
      <c r="AD77" s="227">
        <f t="shared" si="6"/>
        <v>0</v>
      </c>
    </row>
    <row r="78" spans="1:30" ht="15" customHeight="1">
      <c r="A78" s="145"/>
      <c r="B78" s="162"/>
      <c r="C78" s="162"/>
      <c r="D78" s="162"/>
      <c r="E78" s="174" t="s">
        <v>98</v>
      </c>
      <c r="F78" s="166"/>
      <c r="G78" s="166"/>
      <c r="H78" s="237"/>
      <c r="I78" s="433" t="s">
        <v>73</v>
      </c>
      <c r="J78" s="514" t="s">
        <v>58</v>
      </c>
      <c r="K78" s="434" t="s">
        <v>58</v>
      </c>
      <c r="L78" s="434" t="s">
        <v>58</v>
      </c>
      <c r="M78" s="435">
        <v>1</v>
      </c>
      <c r="N78" s="181"/>
      <c r="O78" s="182"/>
      <c r="P78" s="181"/>
      <c r="Q78" s="182"/>
      <c r="R78" s="181"/>
      <c r="S78" s="182"/>
      <c r="T78" s="181"/>
      <c r="U78" s="182"/>
      <c r="W78" s="208" t="s">
        <v>89</v>
      </c>
      <c r="X78" s="217">
        <f>_xlfn.XLOOKUP(W78,マスタ!A:A,マスタ!C:C,0)*M78</f>
        <v>0.99</v>
      </c>
      <c r="Y78" s="218">
        <f>IF(N78="",0,_xlfn.XLOOKUP(W78,マスタ!A:A,マスタ!D:D,0)*M78)</f>
        <v>0</v>
      </c>
      <c r="Z78" s="219">
        <f>_xlfn.XLOOKUP(W78,マスタ!A:A,マスタ!E:E,0)*M78</f>
        <v>1.17</v>
      </c>
      <c r="AA78" s="219">
        <f>_xlfn.XLOOKUP(W78,マスタ!A:A,マスタ!F:F,0)*M78</f>
        <v>1.32</v>
      </c>
      <c r="AB78" s="219">
        <f>_xlfn.XLOOKUP(W78,マスタ!A:A,マスタ!G:G,0)*M78</f>
        <v>0.39</v>
      </c>
      <c r="AC78" s="220">
        <f>_xlfn.XLOOKUP(W78,マスタ!A:A,マスタ!H:H,0)*M78</f>
        <v>0.39</v>
      </c>
      <c r="AD78" s="227">
        <f t="shared" si="6"/>
        <v>4.2600000000000007</v>
      </c>
    </row>
    <row r="79" spans="1:30" ht="15" customHeight="1">
      <c r="A79" s="145"/>
      <c r="B79" s="162"/>
      <c r="C79" s="162"/>
      <c r="D79" s="167"/>
      <c r="E79" s="175" t="s">
        <v>96</v>
      </c>
      <c r="F79" s="169"/>
      <c r="G79" s="169"/>
      <c r="H79" s="239"/>
      <c r="I79" s="436" t="s">
        <v>73</v>
      </c>
      <c r="J79" s="515" t="s">
        <v>58</v>
      </c>
      <c r="K79" s="437" t="s">
        <v>58</v>
      </c>
      <c r="L79" s="437" t="s">
        <v>58</v>
      </c>
      <c r="M79" s="438">
        <v>1</v>
      </c>
      <c r="N79" s="183"/>
      <c r="O79" s="184"/>
      <c r="P79" s="183"/>
      <c r="Q79" s="184"/>
      <c r="R79" s="183"/>
      <c r="S79" s="184"/>
      <c r="T79" s="183"/>
      <c r="U79" s="184"/>
      <c r="W79" s="208" t="s">
        <v>89</v>
      </c>
      <c r="X79" s="217">
        <f>_xlfn.XLOOKUP(W79,マスタ!A:A,マスタ!C:C,0)*M79</f>
        <v>0.99</v>
      </c>
      <c r="Y79" s="218">
        <f>IF(N79="",0,_xlfn.XLOOKUP(W79,マスタ!A:A,マスタ!D:D,0)*M79)</f>
        <v>0</v>
      </c>
      <c r="Z79" s="219">
        <f>_xlfn.XLOOKUP(W79,マスタ!A:A,マスタ!E:E,0)*M79</f>
        <v>1.17</v>
      </c>
      <c r="AA79" s="219">
        <f>_xlfn.XLOOKUP(W79,マスタ!A:A,マスタ!F:F,0)*M79</f>
        <v>1.32</v>
      </c>
      <c r="AB79" s="219">
        <f>_xlfn.XLOOKUP(W79,マスタ!A:A,マスタ!G:G,0)*M79</f>
        <v>0.39</v>
      </c>
      <c r="AC79" s="220">
        <f>_xlfn.XLOOKUP(W79,マスタ!A:A,マスタ!H:H,0)*M79</f>
        <v>0.39</v>
      </c>
      <c r="AD79" s="227">
        <f t="shared" si="6"/>
        <v>4.2600000000000007</v>
      </c>
    </row>
    <row r="80" spans="1:30" ht="15" customHeight="1">
      <c r="A80" s="145"/>
      <c r="B80" s="162"/>
      <c r="C80" s="162"/>
      <c r="D80" s="160" t="s">
        <v>117</v>
      </c>
      <c r="E80" s="161"/>
      <c r="F80" s="161"/>
      <c r="G80" s="161"/>
      <c r="H80" s="236" t="s">
        <v>118</v>
      </c>
      <c r="I80" s="430" t="s">
        <v>73</v>
      </c>
      <c r="J80" s="513" t="s">
        <v>73</v>
      </c>
      <c r="K80" s="431" t="s">
        <v>73</v>
      </c>
      <c r="L80" s="431" t="s">
        <v>73</v>
      </c>
      <c r="M80" s="432">
        <v>0</v>
      </c>
      <c r="N80" s="179"/>
      <c r="O80" s="180"/>
      <c r="P80" s="179"/>
      <c r="Q80" s="180"/>
      <c r="R80" s="179"/>
      <c r="S80" s="180"/>
      <c r="T80" s="179"/>
      <c r="U80" s="180"/>
      <c r="W80" s="208" t="s">
        <v>89</v>
      </c>
      <c r="X80" s="217">
        <f>_xlfn.XLOOKUP(W80,マスタ!A:A,マスタ!C:C,0)*M80</f>
        <v>0</v>
      </c>
      <c r="Y80" s="218">
        <f>IF(N80="",0,_xlfn.XLOOKUP(W80,マスタ!A:A,マスタ!D:D,0)*M80)</f>
        <v>0</v>
      </c>
      <c r="Z80" s="219">
        <f>_xlfn.XLOOKUP(W80,マスタ!A:A,マスタ!E:E,0)*M80</f>
        <v>0</v>
      </c>
      <c r="AA80" s="219">
        <f>_xlfn.XLOOKUP(W80,マスタ!A:A,マスタ!F:F,0)*M80</f>
        <v>0</v>
      </c>
      <c r="AB80" s="219">
        <f>_xlfn.XLOOKUP(W80,マスタ!A:A,マスタ!G:G,0)*M80</f>
        <v>0</v>
      </c>
      <c r="AC80" s="220">
        <f>_xlfn.XLOOKUP(W80,マスタ!A:A,マスタ!H:H,0)*M80</f>
        <v>0</v>
      </c>
      <c r="AD80" s="227">
        <f t="shared" si="6"/>
        <v>0</v>
      </c>
    </row>
    <row r="81" spans="1:30" ht="15" customHeight="1">
      <c r="A81" s="145"/>
      <c r="B81" s="162"/>
      <c r="C81" s="162"/>
      <c r="D81" s="162"/>
      <c r="E81" s="174" t="s">
        <v>98</v>
      </c>
      <c r="F81" s="166"/>
      <c r="G81" s="169"/>
      <c r="H81" s="237"/>
      <c r="I81" s="433" t="s">
        <v>73</v>
      </c>
      <c r="J81" s="514" t="s">
        <v>58</v>
      </c>
      <c r="K81" s="434" t="s">
        <v>58</v>
      </c>
      <c r="L81" s="434" t="s">
        <v>58</v>
      </c>
      <c r="M81" s="435">
        <v>1</v>
      </c>
      <c r="N81" s="181"/>
      <c r="O81" s="182"/>
      <c r="P81" s="181"/>
      <c r="Q81" s="182"/>
      <c r="R81" s="181"/>
      <c r="S81" s="182"/>
      <c r="T81" s="181"/>
      <c r="U81" s="182"/>
      <c r="W81" s="208" t="s">
        <v>89</v>
      </c>
      <c r="X81" s="217">
        <f>_xlfn.XLOOKUP(W81,マスタ!A:A,マスタ!C:C,0)*M81</f>
        <v>0.99</v>
      </c>
      <c r="Y81" s="218">
        <f>IF(N81="",0,_xlfn.XLOOKUP(W81,マスタ!A:A,マスタ!D:D,0)*M81)</f>
        <v>0</v>
      </c>
      <c r="Z81" s="219">
        <f>_xlfn.XLOOKUP(W81,マスタ!A:A,マスタ!E:E,0)*M81</f>
        <v>1.17</v>
      </c>
      <c r="AA81" s="219">
        <f>_xlfn.XLOOKUP(W81,マスタ!A:A,マスタ!F:F,0)*M81</f>
        <v>1.32</v>
      </c>
      <c r="AB81" s="219">
        <f>_xlfn.XLOOKUP(W81,マスタ!A:A,マスタ!G:G,0)*M81</f>
        <v>0.39</v>
      </c>
      <c r="AC81" s="220">
        <f>_xlfn.XLOOKUP(W81,マスタ!A:A,マスタ!H:H,0)*M81</f>
        <v>0.39</v>
      </c>
      <c r="AD81" s="227">
        <f t="shared" si="6"/>
        <v>4.2600000000000007</v>
      </c>
    </row>
    <row r="82" spans="1:30" ht="15" customHeight="1">
      <c r="A82" s="145"/>
      <c r="B82" s="162"/>
      <c r="C82" s="162"/>
      <c r="D82" s="167"/>
      <c r="E82" s="175" t="s">
        <v>96</v>
      </c>
      <c r="F82" s="169"/>
      <c r="H82" s="239"/>
      <c r="I82" s="436" t="s">
        <v>73</v>
      </c>
      <c r="J82" s="515" t="s">
        <v>58</v>
      </c>
      <c r="K82" s="437" t="s">
        <v>58</v>
      </c>
      <c r="L82" s="437" t="s">
        <v>58</v>
      </c>
      <c r="M82" s="438">
        <v>1</v>
      </c>
      <c r="N82" s="183"/>
      <c r="O82" s="184"/>
      <c r="P82" s="183"/>
      <c r="Q82" s="184"/>
      <c r="R82" s="183"/>
      <c r="S82" s="184"/>
      <c r="T82" s="183"/>
      <c r="U82" s="184"/>
      <c r="W82" s="208" t="s">
        <v>89</v>
      </c>
      <c r="X82" s="217">
        <f>_xlfn.XLOOKUP(W82,マスタ!A:A,マスタ!C:C,0)*M82</f>
        <v>0.99</v>
      </c>
      <c r="Y82" s="218">
        <f>IF(N82="",0,_xlfn.XLOOKUP(W82,マスタ!A:A,マスタ!D:D,0)*M82)</f>
        <v>0</v>
      </c>
      <c r="Z82" s="219">
        <f>_xlfn.XLOOKUP(W82,マスタ!A:A,マスタ!E:E,0)*M82</f>
        <v>1.17</v>
      </c>
      <c r="AA82" s="219">
        <f>_xlfn.XLOOKUP(W82,マスタ!A:A,マスタ!F:F,0)*M82</f>
        <v>1.32</v>
      </c>
      <c r="AB82" s="219">
        <f>_xlfn.XLOOKUP(W82,マスタ!A:A,マスタ!G:G,0)*M82</f>
        <v>0.39</v>
      </c>
      <c r="AC82" s="220">
        <f>_xlfn.XLOOKUP(W82,マスタ!A:A,マスタ!H:H,0)*M82</f>
        <v>0.39</v>
      </c>
      <c r="AD82" s="227">
        <f t="shared" si="6"/>
        <v>4.2600000000000007</v>
      </c>
    </row>
    <row r="83" spans="1:30" ht="15" customHeight="1">
      <c r="A83" s="145"/>
      <c r="B83" s="162"/>
      <c r="C83" s="162"/>
      <c r="D83" s="160" t="s">
        <v>119</v>
      </c>
      <c r="E83" s="161"/>
      <c r="F83" s="161"/>
      <c r="G83" s="161"/>
      <c r="H83" s="236" t="s">
        <v>120</v>
      </c>
      <c r="I83" s="430" t="s">
        <v>73</v>
      </c>
      <c r="J83" s="513" t="s">
        <v>73</v>
      </c>
      <c r="K83" s="431" t="s">
        <v>73</v>
      </c>
      <c r="L83" s="431" t="s">
        <v>73</v>
      </c>
      <c r="M83" s="432">
        <v>0</v>
      </c>
      <c r="N83" s="179"/>
      <c r="O83" s="180"/>
      <c r="P83" s="179"/>
      <c r="Q83" s="180"/>
      <c r="R83" s="179"/>
      <c r="S83" s="180"/>
      <c r="T83" s="179"/>
      <c r="U83" s="180"/>
      <c r="W83" s="208" t="s">
        <v>89</v>
      </c>
      <c r="X83" s="217">
        <f>_xlfn.XLOOKUP(W83,マスタ!A:A,マスタ!C:C,0)*M83</f>
        <v>0</v>
      </c>
      <c r="Y83" s="218">
        <f>IF(N83="",0,_xlfn.XLOOKUP(W83,マスタ!A:A,マスタ!D:D,0)*M83)</f>
        <v>0</v>
      </c>
      <c r="Z83" s="219">
        <f>_xlfn.XLOOKUP(W83,マスタ!A:A,マスタ!E:E,0)*M83</f>
        <v>0</v>
      </c>
      <c r="AA83" s="219">
        <f>_xlfn.XLOOKUP(W83,マスタ!A:A,マスタ!F:F,0)*M83</f>
        <v>0</v>
      </c>
      <c r="AB83" s="219">
        <f>_xlfn.XLOOKUP(W83,マスタ!A:A,マスタ!G:G,0)*M83</f>
        <v>0</v>
      </c>
      <c r="AC83" s="220">
        <f>_xlfn.XLOOKUP(W83,マスタ!A:A,マスタ!H:H,0)*M83</f>
        <v>0</v>
      </c>
      <c r="AD83" s="227">
        <f t="shared" si="6"/>
        <v>0</v>
      </c>
    </row>
    <row r="84" spans="1:30" ht="15" customHeight="1">
      <c r="A84" s="145"/>
      <c r="B84" s="162"/>
      <c r="C84" s="162"/>
      <c r="D84" s="162"/>
      <c r="E84" s="174" t="s">
        <v>98</v>
      </c>
      <c r="F84" s="166"/>
      <c r="G84" s="166"/>
      <c r="H84" s="237"/>
      <c r="I84" s="433" t="s">
        <v>73</v>
      </c>
      <c r="J84" s="514" t="s">
        <v>58</v>
      </c>
      <c r="K84" s="434" t="s">
        <v>58</v>
      </c>
      <c r="L84" s="434" t="s">
        <v>58</v>
      </c>
      <c r="M84" s="435">
        <v>1</v>
      </c>
      <c r="N84" s="181"/>
      <c r="O84" s="182"/>
      <c r="P84" s="181"/>
      <c r="Q84" s="182"/>
      <c r="R84" s="181"/>
      <c r="S84" s="182"/>
      <c r="T84" s="181"/>
      <c r="U84" s="182"/>
      <c r="W84" s="208" t="s">
        <v>89</v>
      </c>
      <c r="X84" s="217">
        <f>_xlfn.XLOOKUP(W84,マスタ!A:A,マスタ!C:C,0)*M84</f>
        <v>0.99</v>
      </c>
      <c r="Y84" s="218">
        <f>IF(N84="",0,_xlfn.XLOOKUP(W84,マスタ!A:A,マスタ!D:D,0)*M84)</f>
        <v>0</v>
      </c>
      <c r="Z84" s="219">
        <f>_xlfn.XLOOKUP(W84,マスタ!A:A,マスタ!E:E,0)*M84</f>
        <v>1.17</v>
      </c>
      <c r="AA84" s="219">
        <f>_xlfn.XLOOKUP(W84,マスタ!A:A,マスタ!F:F,0)*M84</f>
        <v>1.32</v>
      </c>
      <c r="AB84" s="219">
        <f>_xlfn.XLOOKUP(W84,マスタ!A:A,マスタ!G:G,0)*M84</f>
        <v>0.39</v>
      </c>
      <c r="AC84" s="220">
        <f>_xlfn.XLOOKUP(W84,マスタ!A:A,マスタ!H:H,0)*M84</f>
        <v>0.39</v>
      </c>
      <c r="AD84" s="227">
        <f t="shared" si="6"/>
        <v>4.2600000000000007</v>
      </c>
    </row>
    <row r="85" spans="1:30" ht="15" customHeight="1">
      <c r="A85" s="145"/>
      <c r="B85" s="162"/>
      <c r="C85" s="162"/>
      <c r="D85" s="167"/>
      <c r="E85" s="175" t="s">
        <v>96</v>
      </c>
      <c r="F85" s="169"/>
      <c r="G85" s="169"/>
      <c r="H85" s="239"/>
      <c r="I85" s="436" t="s">
        <v>73</v>
      </c>
      <c r="J85" s="515" t="s">
        <v>58</v>
      </c>
      <c r="K85" s="437" t="s">
        <v>58</v>
      </c>
      <c r="L85" s="437" t="s">
        <v>58</v>
      </c>
      <c r="M85" s="438">
        <v>1</v>
      </c>
      <c r="N85" s="183"/>
      <c r="O85" s="184"/>
      <c r="P85" s="183"/>
      <c r="Q85" s="184"/>
      <c r="R85" s="183"/>
      <c r="S85" s="184"/>
      <c r="T85" s="183"/>
      <c r="U85" s="184"/>
      <c r="W85" s="208" t="s">
        <v>89</v>
      </c>
      <c r="X85" s="217">
        <f>_xlfn.XLOOKUP(W85,マスタ!A:A,マスタ!C:C,0)*M85</f>
        <v>0.99</v>
      </c>
      <c r="Y85" s="218">
        <f>IF(N85="",0,_xlfn.XLOOKUP(W85,マスタ!A:A,マスタ!D:D,0)*M85)</f>
        <v>0</v>
      </c>
      <c r="Z85" s="219">
        <f>_xlfn.XLOOKUP(W85,マスタ!A:A,マスタ!E:E,0)*M85</f>
        <v>1.17</v>
      </c>
      <c r="AA85" s="219">
        <f>_xlfn.XLOOKUP(W85,マスタ!A:A,マスタ!F:F,0)*M85</f>
        <v>1.32</v>
      </c>
      <c r="AB85" s="219">
        <f>_xlfn.XLOOKUP(W85,マスタ!A:A,マスタ!G:G,0)*M85</f>
        <v>0.39</v>
      </c>
      <c r="AC85" s="220">
        <f>_xlfn.XLOOKUP(W85,マスタ!A:A,マスタ!H:H,0)*M85</f>
        <v>0.39</v>
      </c>
      <c r="AD85" s="227">
        <f t="shared" si="6"/>
        <v>4.2600000000000007</v>
      </c>
    </row>
    <row r="86" spans="1:30" ht="15" customHeight="1">
      <c r="A86" s="145"/>
      <c r="B86" s="162"/>
      <c r="C86" s="162"/>
      <c r="D86" s="160" t="s">
        <v>121</v>
      </c>
      <c r="E86" s="161"/>
      <c r="F86" s="161"/>
      <c r="G86" s="161"/>
      <c r="H86" s="236" t="s">
        <v>122</v>
      </c>
      <c r="I86" s="430" t="s">
        <v>73</v>
      </c>
      <c r="J86" s="513" t="s">
        <v>73</v>
      </c>
      <c r="K86" s="431" t="s">
        <v>73</v>
      </c>
      <c r="L86" s="431" t="s">
        <v>73</v>
      </c>
      <c r="M86" s="432">
        <v>0</v>
      </c>
      <c r="N86" s="179"/>
      <c r="O86" s="180"/>
      <c r="P86" s="179"/>
      <c r="Q86" s="180"/>
      <c r="R86" s="179"/>
      <c r="S86" s="180"/>
      <c r="T86" s="179"/>
      <c r="U86" s="180"/>
      <c r="W86" s="208" t="s">
        <v>89</v>
      </c>
      <c r="X86" s="217">
        <f>_xlfn.XLOOKUP(W86,マスタ!A:A,マスタ!C:C,0)*M86</f>
        <v>0</v>
      </c>
      <c r="Y86" s="218">
        <f>IF(N86="",0,_xlfn.XLOOKUP(W86,マスタ!A:A,マスタ!D:D,0)*M86)</f>
        <v>0</v>
      </c>
      <c r="Z86" s="219">
        <f>_xlfn.XLOOKUP(W86,マスタ!A:A,マスタ!E:E,0)*M86</f>
        <v>0</v>
      </c>
      <c r="AA86" s="219">
        <f>_xlfn.XLOOKUP(W86,マスタ!A:A,マスタ!F:F,0)*M86</f>
        <v>0</v>
      </c>
      <c r="AB86" s="219">
        <f>_xlfn.XLOOKUP(W86,マスタ!A:A,マスタ!G:G,0)*M86</f>
        <v>0</v>
      </c>
      <c r="AC86" s="220">
        <f>_xlfn.XLOOKUP(W86,マスタ!A:A,マスタ!H:H,0)*M86</f>
        <v>0</v>
      </c>
      <c r="AD86" s="227">
        <f t="shared" si="6"/>
        <v>0</v>
      </c>
    </row>
    <row r="87" spans="1:30" ht="15" customHeight="1">
      <c r="A87" s="145"/>
      <c r="B87" s="162"/>
      <c r="C87" s="162"/>
      <c r="D87" s="162"/>
      <c r="E87" s="174" t="s">
        <v>98</v>
      </c>
      <c r="F87" s="166"/>
      <c r="G87" s="166"/>
      <c r="H87" s="237"/>
      <c r="I87" s="433" t="s">
        <v>73</v>
      </c>
      <c r="J87" s="514" t="s">
        <v>58</v>
      </c>
      <c r="K87" s="434" t="s">
        <v>58</v>
      </c>
      <c r="L87" s="434" t="s">
        <v>58</v>
      </c>
      <c r="M87" s="435">
        <v>1</v>
      </c>
      <c r="N87" s="181"/>
      <c r="O87" s="182"/>
      <c r="P87" s="181"/>
      <c r="Q87" s="182"/>
      <c r="R87" s="181"/>
      <c r="S87" s="182"/>
      <c r="T87" s="181"/>
      <c r="U87" s="182"/>
      <c r="W87" s="208" t="s">
        <v>89</v>
      </c>
      <c r="X87" s="217">
        <f>_xlfn.XLOOKUP(W87,マスタ!A:A,マスタ!C:C,0)*M87</f>
        <v>0.99</v>
      </c>
      <c r="Y87" s="218">
        <f>IF(N87="",0,_xlfn.XLOOKUP(W87,マスタ!A:A,マスタ!D:D,0)*M87)</f>
        <v>0</v>
      </c>
      <c r="Z87" s="219">
        <f>_xlfn.XLOOKUP(W87,マスタ!A:A,マスタ!E:E,0)*M87</f>
        <v>1.17</v>
      </c>
      <c r="AA87" s="219">
        <f>_xlfn.XLOOKUP(W87,マスタ!A:A,マスタ!F:F,0)*M87</f>
        <v>1.32</v>
      </c>
      <c r="AB87" s="219">
        <f>_xlfn.XLOOKUP(W87,マスタ!A:A,マスタ!G:G,0)*M87</f>
        <v>0.39</v>
      </c>
      <c r="AC87" s="220">
        <f>_xlfn.XLOOKUP(W87,マスタ!A:A,マスタ!H:H,0)*M87</f>
        <v>0.39</v>
      </c>
      <c r="AD87" s="227">
        <f t="shared" si="6"/>
        <v>4.2600000000000007</v>
      </c>
    </row>
    <row r="88" spans="1:30" ht="15" customHeight="1">
      <c r="A88" s="145"/>
      <c r="B88" s="162"/>
      <c r="C88" s="162"/>
      <c r="D88" s="167"/>
      <c r="E88" s="175" t="s">
        <v>96</v>
      </c>
      <c r="F88" s="169"/>
      <c r="G88" s="169"/>
      <c r="H88" s="239"/>
      <c r="I88" s="436" t="s">
        <v>73</v>
      </c>
      <c r="J88" s="515" t="s">
        <v>58</v>
      </c>
      <c r="K88" s="437" t="s">
        <v>58</v>
      </c>
      <c r="L88" s="437" t="s">
        <v>58</v>
      </c>
      <c r="M88" s="438">
        <v>1</v>
      </c>
      <c r="N88" s="183"/>
      <c r="O88" s="184"/>
      <c r="P88" s="183"/>
      <c r="Q88" s="184"/>
      <c r="R88" s="183"/>
      <c r="S88" s="184"/>
      <c r="T88" s="183"/>
      <c r="U88" s="184"/>
      <c r="W88" s="208" t="s">
        <v>89</v>
      </c>
      <c r="X88" s="217">
        <f>_xlfn.XLOOKUP(W88,マスタ!A:A,マスタ!C:C,0)*M88</f>
        <v>0.99</v>
      </c>
      <c r="Y88" s="218">
        <f>IF(N88="",0,_xlfn.XLOOKUP(W88,マスタ!A:A,マスタ!D:D,0)*M88)</f>
        <v>0</v>
      </c>
      <c r="Z88" s="219">
        <f>_xlfn.XLOOKUP(W88,マスタ!A:A,マスタ!E:E,0)*M88</f>
        <v>1.17</v>
      </c>
      <c r="AA88" s="219">
        <f>_xlfn.XLOOKUP(W88,マスタ!A:A,マスタ!F:F,0)*M88</f>
        <v>1.32</v>
      </c>
      <c r="AB88" s="219">
        <f>_xlfn.XLOOKUP(W88,マスタ!A:A,マスタ!G:G,0)*M88</f>
        <v>0.39</v>
      </c>
      <c r="AC88" s="220">
        <f>_xlfn.XLOOKUP(W88,マスタ!A:A,マスタ!H:H,0)*M88</f>
        <v>0.39</v>
      </c>
      <c r="AD88" s="227">
        <f t="shared" si="6"/>
        <v>4.2600000000000007</v>
      </c>
    </row>
    <row r="89" spans="1:30" ht="15" customHeight="1">
      <c r="A89" s="145"/>
      <c r="B89" s="162"/>
      <c r="C89" s="162"/>
      <c r="D89" s="160" t="s">
        <v>123</v>
      </c>
      <c r="E89" s="161"/>
      <c r="F89" s="161"/>
      <c r="G89" s="161"/>
      <c r="H89" s="236" t="s">
        <v>124</v>
      </c>
      <c r="I89" s="430" t="s">
        <v>73</v>
      </c>
      <c r="J89" s="513" t="s">
        <v>73</v>
      </c>
      <c r="K89" s="431" t="s">
        <v>73</v>
      </c>
      <c r="L89" s="431" t="s">
        <v>73</v>
      </c>
      <c r="M89" s="432">
        <v>0</v>
      </c>
      <c r="N89" s="179"/>
      <c r="O89" s="180"/>
      <c r="P89" s="179"/>
      <c r="Q89" s="180"/>
      <c r="R89" s="179"/>
      <c r="S89" s="180"/>
      <c r="T89" s="179"/>
      <c r="U89" s="180"/>
      <c r="W89" s="208" t="s">
        <v>89</v>
      </c>
      <c r="X89" s="217">
        <f>_xlfn.XLOOKUP(W89,マスタ!A:A,マスタ!C:C,0)*M89</f>
        <v>0</v>
      </c>
      <c r="Y89" s="218">
        <f>IF(N89="",0,_xlfn.XLOOKUP(W89,マスタ!A:A,マスタ!D:D,0)*M89)</f>
        <v>0</v>
      </c>
      <c r="Z89" s="219">
        <f>_xlfn.XLOOKUP(W89,マスタ!A:A,マスタ!E:E,0)*M89</f>
        <v>0</v>
      </c>
      <c r="AA89" s="219">
        <f>_xlfn.XLOOKUP(W89,マスタ!A:A,マスタ!F:F,0)*M89</f>
        <v>0</v>
      </c>
      <c r="AB89" s="219">
        <f>_xlfn.XLOOKUP(W89,マスタ!A:A,マスタ!G:G,0)*M89</f>
        <v>0</v>
      </c>
      <c r="AC89" s="220">
        <f>_xlfn.XLOOKUP(W89,マスタ!A:A,マスタ!H:H,0)*M89</f>
        <v>0</v>
      </c>
      <c r="AD89" s="227">
        <f t="shared" si="6"/>
        <v>0</v>
      </c>
    </row>
    <row r="90" spans="1:30" ht="15" customHeight="1">
      <c r="A90" s="145"/>
      <c r="B90" s="162"/>
      <c r="C90" s="162"/>
      <c r="D90" s="162"/>
      <c r="E90" s="174" t="s">
        <v>98</v>
      </c>
      <c r="F90" s="166"/>
      <c r="G90" s="166"/>
      <c r="H90" s="237"/>
      <c r="I90" s="433" t="s">
        <v>73</v>
      </c>
      <c r="J90" s="514" t="s">
        <v>58</v>
      </c>
      <c r="K90" s="434" t="s">
        <v>58</v>
      </c>
      <c r="L90" s="434" t="s">
        <v>58</v>
      </c>
      <c r="M90" s="435">
        <v>1</v>
      </c>
      <c r="N90" s="181"/>
      <c r="O90" s="182"/>
      <c r="P90" s="181"/>
      <c r="Q90" s="182"/>
      <c r="R90" s="181"/>
      <c r="S90" s="182"/>
      <c r="T90" s="181"/>
      <c r="U90" s="182"/>
      <c r="W90" s="208" t="s">
        <v>89</v>
      </c>
      <c r="X90" s="217">
        <f>_xlfn.XLOOKUP(W90,マスタ!A:A,マスタ!C:C,0)*M90</f>
        <v>0.99</v>
      </c>
      <c r="Y90" s="218">
        <f>IF(N90="",0,_xlfn.XLOOKUP(W90,マスタ!A:A,マスタ!D:D,0)*M90)</f>
        <v>0</v>
      </c>
      <c r="Z90" s="219">
        <f>_xlfn.XLOOKUP(W90,マスタ!A:A,マスタ!E:E,0)*M90</f>
        <v>1.17</v>
      </c>
      <c r="AA90" s="219">
        <f>_xlfn.XLOOKUP(W90,マスタ!A:A,マスタ!F:F,0)*M90</f>
        <v>1.32</v>
      </c>
      <c r="AB90" s="219">
        <f>_xlfn.XLOOKUP(W90,マスタ!A:A,マスタ!G:G,0)*M90</f>
        <v>0.39</v>
      </c>
      <c r="AC90" s="220">
        <f>_xlfn.XLOOKUP(W90,マスタ!A:A,マスタ!H:H,0)*M90</f>
        <v>0.39</v>
      </c>
      <c r="AD90" s="227">
        <f t="shared" si="6"/>
        <v>4.2600000000000007</v>
      </c>
    </row>
    <row r="91" spans="1:30" ht="15" customHeight="1">
      <c r="A91" s="145"/>
      <c r="B91" s="162"/>
      <c r="C91" s="162"/>
      <c r="D91" s="167"/>
      <c r="E91" s="175" t="s">
        <v>96</v>
      </c>
      <c r="F91" s="169"/>
      <c r="G91" s="169"/>
      <c r="H91" s="239"/>
      <c r="I91" s="436" t="s">
        <v>73</v>
      </c>
      <c r="J91" s="515" t="s">
        <v>58</v>
      </c>
      <c r="K91" s="437" t="s">
        <v>58</v>
      </c>
      <c r="L91" s="437" t="s">
        <v>58</v>
      </c>
      <c r="M91" s="438">
        <v>1</v>
      </c>
      <c r="N91" s="183"/>
      <c r="O91" s="184"/>
      <c r="P91" s="183"/>
      <c r="Q91" s="184"/>
      <c r="R91" s="183"/>
      <c r="S91" s="184"/>
      <c r="T91" s="183"/>
      <c r="U91" s="184"/>
      <c r="W91" s="208" t="s">
        <v>89</v>
      </c>
      <c r="X91" s="217">
        <f>_xlfn.XLOOKUP(W91,マスタ!A:A,マスタ!C:C,0)*M91</f>
        <v>0.99</v>
      </c>
      <c r="Y91" s="218">
        <f>IF(N91="",0,_xlfn.XLOOKUP(W91,マスタ!A:A,マスタ!D:D,0)*M91)</f>
        <v>0</v>
      </c>
      <c r="Z91" s="219">
        <f>_xlfn.XLOOKUP(W91,マスタ!A:A,マスタ!E:E,0)*M91</f>
        <v>1.17</v>
      </c>
      <c r="AA91" s="219">
        <f>_xlfn.XLOOKUP(W91,マスタ!A:A,マスタ!F:F,0)*M91</f>
        <v>1.32</v>
      </c>
      <c r="AB91" s="219">
        <f>_xlfn.XLOOKUP(W91,マスタ!A:A,マスタ!G:G,0)*M91</f>
        <v>0.39</v>
      </c>
      <c r="AC91" s="220">
        <f>_xlfn.XLOOKUP(W91,マスタ!A:A,マスタ!H:H,0)*M91</f>
        <v>0.39</v>
      </c>
      <c r="AD91" s="227">
        <f t="shared" si="6"/>
        <v>4.2600000000000007</v>
      </c>
    </row>
    <row r="92" spans="1:30" ht="15" customHeight="1">
      <c r="A92" s="145"/>
      <c r="B92" s="162"/>
      <c r="C92" s="162"/>
      <c r="D92" s="160" t="s">
        <v>125</v>
      </c>
      <c r="E92" s="161"/>
      <c r="F92" s="161"/>
      <c r="G92" s="161"/>
      <c r="H92" s="236" t="s">
        <v>126</v>
      </c>
      <c r="I92" s="430" t="s">
        <v>73</v>
      </c>
      <c r="J92" s="513" t="s">
        <v>73</v>
      </c>
      <c r="K92" s="431" t="s">
        <v>73</v>
      </c>
      <c r="L92" s="431" t="s">
        <v>73</v>
      </c>
      <c r="M92" s="432">
        <v>0</v>
      </c>
      <c r="N92" s="179"/>
      <c r="O92" s="180"/>
      <c r="P92" s="179"/>
      <c r="Q92" s="180"/>
      <c r="R92" s="179"/>
      <c r="S92" s="180"/>
      <c r="T92" s="179"/>
      <c r="U92" s="180"/>
      <c r="W92" s="208" t="s">
        <v>89</v>
      </c>
      <c r="X92" s="217">
        <f>_xlfn.XLOOKUP(W92,マスタ!A:A,マスタ!C:C,0)*M92</f>
        <v>0</v>
      </c>
      <c r="Y92" s="218">
        <f>IF(N92="",0,_xlfn.XLOOKUP(W92,マスタ!A:A,マスタ!D:D,0)*M92)</f>
        <v>0</v>
      </c>
      <c r="Z92" s="219">
        <f>_xlfn.XLOOKUP(W92,マスタ!A:A,マスタ!E:E,0)*M92</f>
        <v>0</v>
      </c>
      <c r="AA92" s="219">
        <f>_xlfn.XLOOKUP(W92,マスタ!A:A,マスタ!F:F,0)*M92</f>
        <v>0</v>
      </c>
      <c r="AB92" s="219">
        <f>_xlfn.XLOOKUP(W92,マスタ!A:A,マスタ!G:G,0)*M92</f>
        <v>0</v>
      </c>
      <c r="AC92" s="220">
        <f>_xlfn.XLOOKUP(W92,マスタ!A:A,マスタ!H:H,0)*M92</f>
        <v>0</v>
      </c>
      <c r="AD92" s="227">
        <f t="shared" si="6"/>
        <v>0</v>
      </c>
    </row>
    <row r="93" spans="1:30" ht="15" customHeight="1">
      <c r="A93" s="145"/>
      <c r="B93" s="162"/>
      <c r="C93" s="162"/>
      <c r="D93" s="162"/>
      <c r="E93" s="174" t="s">
        <v>98</v>
      </c>
      <c r="F93" s="166"/>
      <c r="G93" s="166"/>
      <c r="H93" s="237"/>
      <c r="I93" s="433" t="s">
        <v>73</v>
      </c>
      <c r="J93" s="514" t="s">
        <v>58</v>
      </c>
      <c r="K93" s="434" t="s">
        <v>58</v>
      </c>
      <c r="L93" s="434" t="s">
        <v>58</v>
      </c>
      <c r="M93" s="435">
        <v>1</v>
      </c>
      <c r="N93" s="181"/>
      <c r="O93" s="182"/>
      <c r="P93" s="181"/>
      <c r="Q93" s="182"/>
      <c r="R93" s="181"/>
      <c r="S93" s="182"/>
      <c r="T93" s="181"/>
      <c r="U93" s="182"/>
      <c r="W93" s="208" t="s">
        <v>89</v>
      </c>
      <c r="X93" s="217">
        <f>_xlfn.XLOOKUP(W93,マスタ!A:A,マスタ!C:C,0)*M93</f>
        <v>0.99</v>
      </c>
      <c r="Y93" s="218">
        <f>IF(N93="",0,_xlfn.XLOOKUP(W93,マスタ!A:A,マスタ!D:D,0)*M93)</f>
        <v>0</v>
      </c>
      <c r="Z93" s="219">
        <f>_xlfn.XLOOKUP(W93,マスタ!A:A,マスタ!E:E,0)*M93</f>
        <v>1.17</v>
      </c>
      <c r="AA93" s="219">
        <f>_xlfn.XLOOKUP(W93,マスタ!A:A,マスタ!F:F,0)*M93</f>
        <v>1.32</v>
      </c>
      <c r="AB93" s="219">
        <f>_xlfn.XLOOKUP(W93,マスタ!A:A,マスタ!G:G,0)*M93</f>
        <v>0.39</v>
      </c>
      <c r="AC93" s="220">
        <f>_xlfn.XLOOKUP(W93,マスタ!A:A,マスタ!H:H,0)*M93</f>
        <v>0.39</v>
      </c>
      <c r="AD93" s="227">
        <f t="shared" si="6"/>
        <v>4.2600000000000007</v>
      </c>
    </row>
    <row r="94" spans="1:30" ht="15" customHeight="1">
      <c r="A94" s="145"/>
      <c r="B94" s="162"/>
      <c r="C94" s="162"/>
      <c r="D94" s="167"/>
      <c r="E94" s="175" t="s">
        <v>96</v>
      </c>
      <c r="F94" s="169"/>
      <c r="G94" s="169"/>
      <c r="H94" s="239"/>
      <c r="I94" s="436" t="s">
        <v>73</v>
      </c>
      <c r="J94" s="515" t="s">
        <v>58</v>
      </c>
      <c r="K94" s="437" t="s">
        <v>58</v>
      </c>
      <c r="L94" s="437" t="s">
        <v>58</v>
      </c>
      <c r="M94" s="438">
        <v>1</v>
      </c>
      <c r="N94" s="183"/>
      <c r="O94" s="184"/>
      <c r="P94" s="183"/>
      <c r="Q94" s="184"/>
      <c r="R94" s="183"/>
      <c r="S94" s="184"/>
      <c r="T94" s="183"/>
      <c r="U94" s="184"/>
      <c r="W94" s="208" t="s">
        <v>89</v>
      </c>
      <c r="X94" s="217">
        <f>_xlfn.XLOOKUP(W94,マスタ!A:A,マスタ!C:C,0)*M94</f>
        <v>0.99</v>
      </c>
      <c r="Y94" s="218">
        <f>IF(N94="",0,_xlfn.XLOOKUP(W94,マスタ!A:A,マスタ!D:D,0)*M94)</f>
        <v>0</v>
      </c>
      <c r="Z94" s="219">
        <f>_xlfn.XLOOKUP(W94,マスタ!A:A,マスタ!E:E,0)*M94</f>
        <v>1.17</v>
      </c>
      <c r="AA94" s="219">
        <f>_xlfn.XLOOKUP(W94,マスタ!A:A,マスタ!F:F,0)*M94</f>
        <v>1.32</v>
      </c>
      <c r="AB94" s="219">
        <f>_xlfn.XLOOKUP(W94,マスタ!A:A,マスタ!G:G,0)*M94</f>
        <v>0.39</v>
      </c>
      <c r="AC94" s="220">
        <f>_xlfn.XLOOKUP(W94,マスタ!A:A,マスタ!H:H,0)*M94</f>
        <v>0.39</v>
      </c>
      <c r="AD94" s="227">
        <f t="shared" si="6"/>
        <v>4.2600000000000007</v>
      </c>
    </row>
    <row r="95" spans="1:30" ht="15" customHeight="1">
      <c r="A95" s="145"/>
      <c r="B95" s="162"/>
      <c r="C95" s="162"/>
      <c r="D95" s="160" t="s">
        <v>127</v>
      </c>
      <c r="E95" s="161"/>
      <c r="F95" s="161"/>
      <c r="G95" s="161"/>
      <c r="H95" s="236" t="s">
        <v>128</v>
      </c>
      <c r="I95" s="430" t="s">
        <v>73</v>
      </c>
      <c r="J95" s="513" t="s">
        <v>73</v>
      </c>
      <c r="K95" s="431" t="s">
        <v>73</v>
      </c>
      <c r="L95" s="431" t="s">
        <v>73</v>
      </c>
      <c r="M95" s="432">
        <v>0</v>
      </c>
      <c r="N95" s="179"/>
      <c r="O95" s="180"/>
      <c r="P95" s="179"/>
      <c r="Q95" s="180"/>
      <c r="R95" s="179"/>
      <c r="S95" s="180"/>
      <c r="T95" s="179"/>
      <c r="U95" s="180"/>
      <c r="W95" s="208" t="s">
        <v>89</v>
      </c>
      <c r="X95" s="217">
        <f>_xlfn.XLOOKUP(W95,マスタ!A:A,マスタ!C:C,0)*M95</f>
        <v>0</v>
      </c>
      <c r="Y95" s="218">
        <f>IF(N95="",0,_xlfn.XLOOKUP(W95,マスタ!A:A,マスタ!D:D,0)*M95)</f>
        <v>0</v>
      </c>
      <c r="Z95" s="219">
        <f>_xlfn.XLOOKUP(W95,マスタ!A:A,マスタ!E:E,0)*M95</f>
        <v>0</v>
      </c>
      <c r="AA95" s="219">
        <f>_xlfn.XLOOKUP(W95,マスタ!A:A,マスタ!F:F,0)*M95</f>
        <v>0</v>
      </c>
      <c r="AB95" s="219">
        <f>_xlfn.XLOOKUP(W95,マスタ!A:A,マスタ!G:G,0)*M95</f>
        <v>0</v>
      </c>
      <c r="AC95" s="220">
        <f>_xlfn.XLOOKUP(W95,マスタ!A:A,マスタ!H:H,0)*M95</f>
        <v>0</v>
      </c>
      <c r="AD95" s="227">
        <f t="shared" si="6"/>
        <v>0</v>
      </c>
    </row>
    <row r="96" spans="1:30" ht="15" customHeight="1">
      <c r="A96" s="145"/>
      <c r="B96" s="162"/>
      <c r="C96" s="162"/>
      <c r="D96" s="162"/>
      <c r="E96" s="174" t="s">
        <v>98</v>
      </c>
      <c r="F96" s="166"/>
      <c r="G96" s="166"/>
      <c r="H96" s="237"/>
      <c r="I96" s="433" t="s">
        <v>73</v>
      </c>
      <c r="J96" s="514" t="s">
        <v>58</v>
      </c>
      <c r="K96" s="434" t="s">
        <v>58</v>
      </c>
      <c r="L96" s="434" t="s">
        <v>58</v>
      </c>
      <c r="M96" s="435">
        <v>1</v>
      </c>
      <c r="N96" s="181"/>
      <c r="O96" s="182"/>
      <c r="P96" s="181"/>
      <c r="Q96" s="182"/>
      <c r="R96" s="181"/>
      <c r="S96" s="182"/>
      <c r="T96" s="181"/>
      <c r="U96" s="182"/>
      <c r="W96" s="208" t="s">
        <v>89</v>
      </c>
      <c r="X96" s="217">
        <f>_xlfn.XLOOKUP(W96,マスタ!A:A,マスタ!C:C,0)*M96</f>
        <v>0.99</v>
      </c>
      <c r="Y96" s="218">
        <f>IF(N96="",0,_xlfn.XLOOKUP(W96,マスタ!A:A,マスタ!D:D,0)*M96)</f>
        <v>0</v>
      </c>
      <c r="Z96" s="219">
        <f>_xlfn.XLOOKUP(W96,マスタ!A:A,マスタ!E:E,0)*M96</f>
        <v>1.17</v>
      </c>
      <c r="AA96" s="219">
        <f>_xlfn.XLOOKUP(W96,マスタ!A:A,マスタ!F:F,0)*M96</f>
        <v>1.32</v>
      </c>
      <c r="AB96" s="219">
        <f>_xlfn.XLOOKUP(W96,マスタ!A:A,マスタ!G:G,0)*M96</f>
        <v>0.39</v>
      </c>
      <c r="AC96" s="220">
        <f>_xlfn.XLOOKUP(W96,マスタ!A:A,マスタ!H:H,0)*M96</f>
        <v>0.39</v>
      </c>
      <c r="AD96" s="227">
        <f t="shared" si="6"/>
        <v>4.2600000000000007</v>
      </c>
    </row>
    <row r="97" spans="1:30" ht="15" customHeight="1">
      <c r="A97" s="145"/>
      <c r="B97" s="162"/>
      <c r="C97" s="162"/>
      <c r="D97" s="167"/>
      <c r="E97" s="175" t="s">
        <v>96</v>
      </c>
      <c r="F97" s="169"/>
      <c r="G97" s="169"/>
      <c r="H97" s="239"/>
      <c r="I97" s="436" t="s">
        <v>73</v>
      </c>
      <c r="J97" s="515" t="s">
        <v>58</v>
      </c>
      <c r="K97" s="437" t="s">
        <v>58</v>
      </c>
      <c r="L97" s="437" t="s">
        <v>58</v>
      </c>
      <c r="M97" s="438">
        <v>1</v>
      </c>
      <c r="N97" s="183"/>
      <c r="O97" s="184"/>
      <c r="P97" s="183"/>
      <c r="Q97" s="184"/>
      <c r="R97" s="183"/>
      <c r="S97" s="184"/>
      <c r="T97" s="183"/>
      <c r="U97" s="184"/>
      <c r="W97" s="208" t="s">
        <v>89</v>
      </c>
      <c r="X97" s="217">
        <f>_xlfn.XLOOKUP(W97,マスタ!A:A,マスタ!C:C,0)*M97</f>
        <v>0.99</v>
      </c>
      <c r="Y97" s="218">
        <f>IF(N97="",0,_xlfn.XLOOKUP(W97,マスタ!A:A,マスタ!D:D,0)*M97)</f>
        <v>0</v>
      </c>
      <c r="Z97" s="219">
        <f>_xlfn.XLOOKUP(W97,マスタ!A:A,マスタ!E:E,0)*M97</f>
        <v>1.17</v>
      </c>
      <c r="AA97" s="219">
        <f>_xlfn.XLOOKUP(W97,マスタ!A:A,マスタ!F:F,0)*M97</f>
        <v>1.32</v>
      </c>
      <c r="AB97" s="219">
        <f>_xlfn.XLOOKUP(W97,マスタ!A:A,マスタ!G:G,0)*M97</f>
        <v>0.39</v>
      </c>
      <c r="AC97" s="220">
        <f>_xlfn.XLOOKUP(W97,マスタ!A:A,マスタ!H:H,0)*M97</f>
        <v>0.39</v>
      </c>
      <c r="AD97" s="227">
        <f t="shared" si="6"/>
        <v>4.2600000000000007</v>
      </c>
    </row>
    <row r="98" spans="1:30" ht="15" customHeight="1">
      <c r="A98" s="145"/>
      <c r="B98" s="160" t="s">
        <v>92</v>
      </c>
      <c r="C98" s="161"/>
      <c r="D98" s="161"/>
      <c r="E98" s="161"/>
      <c r="F98" s="161"/>
      <c r="G98" s="161"/>
      <c r="H98" s="240"/>
      <c r="I98" s="442" t="s">
        <v>58</v>
      </c>
      <c r="J98" s="517"/>
      <c r="K98" s="443" t="s">
        <v>74</v>
      </c>
      <c r="L98" s="443" t="s">
        <v>74</v>
      </c>
      <c r="M98" s="444">
        <v>1</v>
      </c>
      <c r="N98" s="177"/>
      <c r="O98" s="178"/>
      <c r="P98" s="177"/>
      <c r="Q98" s="178"/>
      <c r="R98" s="177"/>
      <c r="S98" s="178"/>
      <c r="T98" s="177"/>
      <c r="U98" s="178"/>
      <c r="W98" s="208" t="s">
        <v>89</v>
      </c>
      <c r="X98" s="217">
        <f>_xlfn.XLOOKUP(W98,マスタ!A:A,マスタ!C:C,0)*M98</f>
        <v>0.99</v>
      </c>
      <c r="Y98" s="218">
        <f>IF(N98="",0,_xlfn.XLOOKUP(W98,マスタ!A:A,マスタ!D:D,0)*M98)</f>
        <v>0</v>
      </c>
      <c r="Z98" s="219">
        <f>_xlfn.XLOOKUP(W98,マスタ!A:A,マスタ!E:E,0)*M98</f>
        <v>1.17</v>
      </c>
      <c r="AA98" s="219">
        <f>_xlfn.XLOOKUP(W98,マスタ!A:A,マスタ!F:F,0)*M98</f>
        <v>1.32</v>
      </c>
      <c r="AB98" s="219">
        <f>_xlfn.XLOOKUP(W98,マスタ!A:A,マスタ!G:G,0)*M98</f>
        <v>0.39</v>
      </c>
      <c r="AC98" s="220">
        <f>_xlfn.XLOOKUP(W98,マスタ!A:A,マスタ!H:H,0)*M98</f>
        <v>0.39</v>
      </c>
      <c r="AD98" s="227">
        <f t="shared" si="2"/>
        <v>4.2600000000000007</v>
      </c>
    </row>
    <row r="99" spans="1:30" ht="15" customHeight="1">
      <c r="A99" s="145"/>
      <c r="B99" s="162"/>
      <c r="C99" s="160" t="s">
        <v>113</v>
      </c>
      <c r="D99" s="161"/>
      <c r="E99" s="161" t="s">
        <v>114</v>
      </c>
      <c r="F99" s="161"/>
      <c r="G99" s="161"/>
      <c r="H99" s="240"/>
      <c r="I99" s="442" t="s">
        <v>58</v>
      </c>
      <c r="J99" s="517"/>
      <c r="K99" s="443" t="s">
        <v>73</v>
      </c>
      <c r="L99" s="443" t="s">
        <v>73</v>
      </c>
      <c r="M99" s="444">
        <v>1</v>
      </c>
      <c r="N99" s="177"/>
      <c r="O99" s="178"/>
      <c r="P99" s="177"/>
      <c r="Q99" s="178"/>
      <c r="R99" s="177"/>
      <c r="S99" s="178"/>
      <c r="T99" s="177"/>
      <c r="U99" s="178"/>
      <c r="W99" s="208" t="s">
        <v>89</v>
      </c>
      <c r="X99" s="217">
        <f>_xlfn.XLOOKUP(W99,マスタ!A:A,マスタ!C:C,0)*M99</f>
        <v>0.99</v>
      </c>
      <c r="Y99" s="218">
        <f>IF(N99="",0,_xlfn.XLOOKUP(W99,マスタ!A:A,マスタ!D:D,0)*M99)</f>
        <v>0</v>
      </c>
      <c r="Z99" s="219">
        <f>_xlfn.XLOOKUP(W99,マスタ!A:A,マスタ!E:E,0)*M99</f>
        <v>1.17</v>
      </c>
      <c r="AA99" s="219">
        <f>_xlfn.XLOOKUP(W99,マスタ!A:A,マスタ!F:F,0)*M99</f>
        <v>1.32</v>
      </c>
      <c r="AB99" s="219">
        <f>_xlfn.XLOOKUP(W99,マスタ!A:A,マスタ!G:G,0)*M99</f>
        <v>0.39</v>
      </c>
      <c r="AC99" s="220">
        <f>_xlfn.XLOOKUP(W99,マスタ!A:A,マスタ!H:H,0)*M99</f>
        <v>0.39</v>
      </c>
      <c r="AD99" s="227">
        <f t="shared" si="2"/>
        <v>4.2600000000000007</v>
      </c>
    </row>
    <row r="100" spans="1:30" ht="15" customHeight="1">
      <c r="A100" s="145"/>
      <c r="B100" s="162"/>
      <c r="C100" s="162"/>
      <c r="D100" s="160" t="s">
        <v>129</v>
      </c>
      <c r="E100" s="161"/>
      <c r="F100" s="161"/>
      <c r="G100" s="161"/>
      <c r="H100" s="236"/>
      <c r="I100" s="430" t="s">
        <v>73</v>
      </c>
      <c r="J100" s="513"/>
      <c r="K100" s="431" t="s">
        <v>73</v>
      </c>
      <c r="L100" s="431" t="s">
        <v>73</v>
      </c>
      <c r="M100" s="432">
        <v>0</v>
      </c>
      <c r="N100" s="179"/>
      <c r="O100" s="180"/>
      <c r="P100" s="179"/>
      <c r="Q100" s="180"/>
      <c r="R100" s="179"/>
      <c r="S100" s="180"/>
      <c r="T100" s="179"/>
      <c r="U100" s="180"/>
      <c r="W100" s="208" t="s">
        <v>89</v>
      </c>
      <c r="X100" s="217">
        <f>_xlfn.XLOOKUP(W100,マスタ!A:A,マスタ!C:C,0)*M100</f>
        <v>0</v>
      </c>
      <c r="Y100" s="218">
        <f>IF(N100="",0,_xlfn.XLOOKUP(W100,マスタ!A:A,マスタ!D:D,0)*M100)</f>
        <v>0</v>
      </c>
      <c r="Z100" s="219">
        <f>_xlfn.XLOOKUP(W100,マスタ!A:A,マスタ!E:E,0)*M100</f>
        <v>0</v>
      </c>
      <c r="AA100" s="219">
        <f>_xlfn.XLOOKUP(W100,マスタ!A:A,マスタ!F:F,0)*M100</f>
        <v>0</v>
      </c>
      <c r="AB100" s="219">
        <f>_xlfn.XLOOKUP(W100,マスタ!A:A,マスタ!G:G,0)*M100</f>
        <v>0</v>
      </c>
      <c r="AC100" s="220">
        <f>_xlfn.XLOOKUP(W100,マスタ!A:A,マスタ!H:H,0)*M100</f>
        <v>0</v>
      </c>
      <c r="AD100" s="227">
        <f t="shared" si="2"/>
        <v>0</v>
      </c>
    </row>
    <row r="101" spans="1:30" ht="15" customHeight="1">
      <c r="A101" s="145"/>
      <c r="B101" s="162"/>
      <c r="C101" s="162"/>
      <c r="D101" s="162"/>
      <c r="E101" s="174" t="s">
        <v>98</v>
      </c>
      <c r="F101" s="166"/>
      <c r="G101" s="166"/>
      <c r="H101" s="237"/>
      <c r="I101" s="433" t="s">
        <v>58</v>
      </c>
      <c r="J101" s="514"/>
      <c r="K101" s="434" t="s">
        <v>73</v>
      </c>
      <c r="L101" s="434" t="s">
        <v>73</v>
      </c>
      <c r="M101" s="435">
        <v>1</v>
      </c>
      <c r="N101" s="181"/>
      <c r="O101" s="182"/>
      <c r="P101" s="181"/>
      <c r="Q101" s="182"/>
      <c r="R101" s="181"/>
      <c r="S101" s="182"/>
      <c r="T101" s="181"/>
      <c r="U101" s="182"/>
      <c r="W101" s="208" t="s">
        <v>89</v>
      </c>
      <c r="X101" s="217">
        <f>_xlfn.XLOOKUP(W101,マスタ!A:A,マスタ!C:C,0)*M101</f>
        <v>0.99</v>
      </c>
      <c r="Y101" s="218">
        <f>IF(N101="",0,_xlfn.XLOOKUP(W101,マスタ!A:A,マスタ!D:D,0)*M101)</f>
        <v>0</v>
      </c>
      <c r="Z101" s="219">
        <f>_xlfn.XLOOKUP(W101,マスタ!A:A,マスタ!E:E,0)*M101</f>
        <v>1.17</v>
      </c>
      <c r="AA101" s="219">
        <f>_xlfn.XLOOKUP(W101,マスタ!A:A,マスタ!F:F,0)*M101</f>
        <v>1.32</v>
      </c>
      <c r="AB101" s="219">
        <f>_xlfn.XLOOKUP(W101,マスタ!A:A,マスタ!G:G,0)*M101</f>
        <v>0.39</v>
      </c>
      <c r="AC101" s="220">
        <f>_xlfn.XLOOKUP(W101,マスタ!A:A,マスタ!H:H,0)*M101</f>
        <v>0.39</v>
      </c>
      <c r="AD101" s="227">
        <f t="shared" si="2"/>
        <v>4.2600000000000007</v>
      </c>
    </row>
    <row r="102" spans="1:30" ht="15" customHeight="1">
      <c r="A102" s="145"/>
      <c r="B102" s="162"/>
      <c r="C102" s="162"/>
      <c r="D102" s="167"/>
      <c r="E102" s="175" t="s">
        <v>96</v>
      </c>
      <c r="F102" s="169"/>
      <c r="G102" s="169"/>
      <c r="H102" s="239"/>
      <c r="I102" s="436" t="s">
        <v>58</v>
      </c>
      <c r="J102" s="515"/>
      <c r="K102" s="437" t="s">
        <v>73</v>
      </c>
      <c r="L102" s="437" t="s">
        <v>73</v>
      </c>
      <c r="M102" s="438">
        <v>1</v>
      </c>
      <c r="N102" s="183"/>
      <c r="O102" s="184"/>
      <c r="P102" s="183"/>
      <c r="Q102" s="184"/>
      <c r="R102" s="183"/>
      <c r="S102" s="184"/>
      <c r="T102" s="183"/>
      <c r="U102" s="184"/>
      <c r="W102" s="208" t="s">
        <v>89</v>
      </c>
      <c r="X102" s="217">
        <f>_xlfn.XLOOKUP(W102,マスタ!A:A,マスタ!C:C,0)*M102</f>
        <v>0.99</v>
      </c>
      <c r="Y102" s="218">
        <f>IF(N102="",0,_xlfn.XLOOKUP(W102,マスタ!A:A,マスタ!D:D,0)*M102)</f>
        <v>0</v>
      </c>
      <c r="Z102" s="219">
        <f>_xlfn.XLOOKUP(W102,マスタ!A:A,マスタ!E:E,0)*M102</f>
        <v>1.17</v>
      </c>
      <c r="AA102" s="219">
        <f>_xlfn.XLOOKUP(W102,マスタ!A:A,マスタ!F:F,0)*M102</f>
        <v>1.32</v>
      </c>
      <c r="AB102" s="219">
        <f>_xlfn.XLOOKUP(W102,マスタ!A:A,マスタ!G:G,0)*M102</f>
        <v>0.39</v>
      </c>
      <c r="AC102" s="220">
        <f>_xlfn.XLOOKUP(W102,マスタ!A:A,マスタ!H:H,0)*M102</f>
        <v>0.39</v>
      </c>
      <c r="AD102" s="227">
        <f t="shared" si="2"/>
        <v>4.2600000000000007</v>
      </c>
    </row>
    <row r="103" spans="1:30" ht="15" customHeight="1">
      <c r="A103" s="145"/>
      <c r="B103" s="162"/>
      <c r="C103" s="162"/>
      <c r="D103" s="160" t="s">
        <v>130</v>
      </c>
      <c r="E103" s="161"/>
      <c r="F103" s="161"/>
      <c r="G103" s="161"/>
      <c r="H103" s="236"/>
      <c r="I103" s="430" t="s">
        <v>73</v>
      </c>
      <c r="J103" s="513"/>
      <c r="K103" s="431" t="s">
        <v>73</v>
      </c>
      <c r="L103" s="431" t="s">
        <v>73</v>
      </c>
      <c r="M103" s="432">
        <v>0</v>
      </c>
      <c r="N103" s="179"/>
      <c r="O103" s="180"/>
      <c r="P103" s="179"/>
      <c r="Q103" s="180"/>
      <c r="R103" s="179"/>
      <c r="S103" s="180"/>
      <c r="T103" s="179"/>
      <c r="U103" s="180"/>
      <c r="W103" s="208" t="s">
        <v>89</v>
      </c>
      <c r="X103" s="217">
        <f>_xlfn.XLOOKUP(W103,マスタ!A:A,マスタ!C:C,0)*M103</f>
        <v>0</v>
      </c>
      <c r="Y103" s="218">
        <f>IF(N103="",0,_xlfn.XLOOKUP(W103,マスタ!A:A,マスタ!D:D,0)*M103)</f>
        <v>0</v>
      </c>
      <c r="Z103" s="219">
        <f>_xlfn.XLOOKUP(W103,マスタ!A:A,マスタ!E:E,0)*M103</f>
        <v>0</v>
      </c>
      <c r="AA103" s="219">
        <f>_xlfn.XLOOKUP(W103,マスタ!A:A,マスタ!F:F,0)*M103</f>
        <v>0</v>
      </c>
      <c r="AB103" s="219">
        <f>_xlfn.XLOOKUP(W103,マスタ!A:A,マスタ!G:G,0)*M103</f>
        <v>0</v>
      </c>
      <c r="AC103" s="220">
        <f>_xlfn.XLOOKUP(W103,マスタ!A:A,マスタ!H:H,0)*M103</f>
        <v>0</v>
      </c>
      <c r="AD103" s="227">
        <f t="shared" si="2"/>
        <v>0</v>
      </c>
    </row>
    <row r="104" spans="1:30" ht="15" customHeight="1">
      <c r="A104" s="145"/>
      <c r="B104" s="162"/>
      <c r="C104" s="162"/>
      <c r="D104" s="162"/>
      <c r="E104" s="174" t="s">
        <v>98</v>
      </c>
      <c r="F104" s="166"/>
      <c r="G104" s="169"/>
      <c r="H104" s="237"/>
      <c r="I104" s="433" t="s">
        <v>58</v>
      </c>
      <c r="J104" s="514"/>
      <c r="K104" s="434" t="s">
        <v>73</v>
      </c>
      <c r="L104" s="434" t="s">
        <v>73</v>
      </c>
      <c r="M104" s="435">
        <v>1</v>
      </c>
      <c r="N104" s="181"/>
      <c r="O104" s="182"/>
      <c r="P104" s="181"/>
      <c r="Q104" s="182"/>
      <c r="R104" s="181"/>
      <c r="S104" s="182"/>
      <c r="T104" s="181"/>
      <c r="U104" s="182"/>
      <c r="W104" s="208" t="s">
        <v>89</v>
      </c>
      <c r="X104" s="217">
        <f>_xlfn.XLOOKUP(W104,マスタ!A:A,マスタ!C:C,0)*M104</f>
        <v>0.99</v>
      </c>
      <c r="Y104" s="218">
        <f>IF(N104="",0,_xlfn.XLOOKUP(W104,マスタ!A:A,マスタ!D:D,0)*M104)</f>
        <v>0</v>
      </c>
      <c r="Z104" s="219">
        <f>_xlfn.XLOOKUP(W104,マスタ!A:A,マスタ!E:E,0)*M104</f>
        <v>1.17</v>
      </c>
      <c r="AA104" s="219">
        <f>_xlfn.XLOOKUP(W104,マスタ!A:A,マスタ!F:F,0)*M104</f>
        <v>1.32</v>
      </c>
      <c r="AB104" s="219">
        <f>_xlfn.XLOOKUP(W104,マスタ!A:A,マスタ!G:G,0)*M104</f>
        <v>0.39</v>
      </c>
      <c r="AC104" s="220">
        <f>_xlfn.XLOOKUP(W104,マスタ!A:A,マスタ!H:H,0)*M104</f>
        <v>0.39</v>
      </c>
      <c r="AD104" s="227">
        <f t="shared" si="2"/>
        <v>4.2600000000000007</v>
      </c>
    </row>
    <row r="105" spans="1:30" ht="15" customHeight="1">
      <c r="A105" s="145"/>
      <c r="B105" s="162"/>
      <c r="C105" s="162"/>
      <c r="D105" s="167"/>
      <c r="E105" s="175" t="s">
        <v>96</v>
      </c>
      <c r="F105" s="169"/>
      <c r="H105" s="239"/>
      <c r="I105" s="436" t="s">
        <v>58</v>
      </c>
      <c r="J105" s="515"/>
      <c r="K105" s="437" t="s">
        <v>73</v>
      </c>
      <c r="L105" s="437" t="s">
        <v>73</v>
      </c>
      <c r="M105" s="438">
        <v>1</v>
      </c>
      <c r="N105" s="183"/>
      <c r="O105" s="184"/>
      <c r="P105" s="183"/>
      <c r="Q105" s="184"/>
      <c r="R105" s="183"/>
      <c r="S105" s="184"/>
      <c r="T105" s="183"/>
      <c r="U105" s="184"/>
      <c r="W105" s="208" t="s">
        <v>89</v>
      </c>
      <c r="X105" s="217">
        <f>_xlfn.XLOOKUP(W105,マスタ!A:A,マスタ!C:C,0)*M105</f>
        <v>0.99</v>
      </c>
      <c r="Y105" s="218">
        <f>IF(N105="",0,_xlfn.XLOOKUP(W105,マスタ!A:A,マスタ!D:D,0)*M105)</f>
        <v>0</v>
      </c>
      <c r="Z105" s="219">
        <f>_xlfn.XLOOKUP(W105,マスタ!A:A,マスタ!E:E,0)*M105</f>
        <v>1.17</v>
      </c>
      <c r="AA105" s="219">
        <f>_xlfn.XLOOKUP(W105,マスタ!A:A,マスタ!F:F,0)*M105</f>
        <v>1.32</v>
      </c>
      <c r="AB105" s="219">
        <f>_xlfn.XLOOKUP(W105,マスタ!A:A,マスタ!G:G,0)*M105</f>
        <v>0.39</v>
      </c>
      <c r="AC105" s="220">
        <f>_xlfn.XLOOKUP(W105,マスタ!A:A,マスタ!H:H,0)*M105</f>
        <v>0.39</v>
      </c>
      <c r="AD105" s="227">
        <f t="shared" ref="AD105:AD214" si="7">SUM(X105:AC105)</f>
        <v>4.2600000000000007</v>
      </c>
    </row>
    <row r="106" spans="1:30" ht="15" customHeight="1">
      <c r="A106" s="145"/>
      <c r="B106" s="162"/>
      <c r="C106" s="162"/>
      <c r="D106" s="160" t="s">
        <v>131</v>
      </c>
      <c r="E106" s="161"/>
      <c r="F106" s="161"/>
      <c r="G106" s="161"/>
      <c r="H106" s="236"/>
      <c r="I106" s="430" t="s">
        <v>73</v>
      </c>
      <c r="J106" s="513"/>
      <c r="K106" s="431" t="s">
        <v>73</v>
      </c>
      <c r="L106" s="431" t="s">
        <v>73</v>
      </c>
      <c r="M106" s="432">
        <v>0</v>
      </c>
      <c r="N106" s="179"/>
      <c r="O106" s="180"/>
      <c r="P106" s="179"/>
      <c r="Q106" s="180"/>
      <c r="R106" s="179"/>
      <c r="S106" s="180"/>
      <c r="T106" s="179"/>
      <c r="U106" s="180"/>
      <c r="W106" s="208" t="s">
        <v>89</v>
      </c>
      <c r="X106" s="217">
        <f>_xlfn.XLOOKUP(W106,マスタ!A:A,マスタ!C:C,0)*M106</f>
        <v>0</v>
      </c>
      <c r="Y106" s="218">
        <f>IF(N106="",0,_xlfn.XLOOKUP(W106,マスタ!A:A,マスタ!D:D,0)*M106)</f>
        <v>0</v>
      </c>
      <c r="Z106" s="219">
        <f>_xlfn.XLOOKUP(W106,マスタ!A:A,マスタ!E:E,0)*M106</f>
        <v>0</v>
      </c>
      <c r="AA106" s="219">
        <f>_xlfn.XLOOKUP(W106,マスタ!A:A,マスタ!F:F,0)*M106</f>
        <v>0</v>
      </c>
      <c r="AB106" s="219">
        <f>_xlfn.XLOOKUP(W106,マスタ!A:A,マスタ!G:G,0)*M106</f>
        <v>0</v>
      </c>
      <c r="AC106" s="220">
        <f>_xlfn.XLOOKUP(W106,マスタ!A:A,マスタ!H:H,0)*M106</f>
        <v>0</v>
      </c>
      <c r="AD106" s="227">
        <f t="shared" si="7"/>
        <v>0</v>
      </c>
    </row>
    <row r="107" spans="1:30" ht="15" customHeight="1">
      <c r="A107" s="145"/>
      <c r="B107" s="162"/>
      <c r="C107" s="162"/>
      <c r="D107" s="162"/>
      <c r="E107" s="174" t="s">
        <v>98</v>
      </c>
      <c r="F107" s="166"/>
      <c r="G107" s="166"/>
      <c r="H107" s="237"/>
      <c r="I107" s="433" t="s">
        <v>58</v>
      </c>
      <c r="J107" s="514"/>
      <c r="K107" s="434" t="s">
        <v>73</v>
      </c>
      <c r="L107" s="434" t="s">
        <v>73</v>
      </c>
      <c r="M107" s="435">
        <v>1</v>
      </c>
      <c r="N107" s="181"/>
      <c r="O107" s="182"/>
      <c r="P107" s="181"/>
      <c r="Q107" s="182"/>
      <c r="R107" s="181"/>
      <c r="S107" s="182"/>
      <c r="T107" s="181"/>
      <c r="U107" s="182"/>
      <c r="W107" s="208" t="s">
        <v>89</v>
      </c>
      <c r="X107" s="217">
        <f>_xlfn.XLOOKUP(W107,マスタ!A:A,マスタ!C:C,0)*M107</f>
        <v>0.99</v>
      </c>
      <c r="Y107" s="218">
        <f>IF(N107="",0,_xlfn.XLOOKUP(W107,マスタ!A:A,マスタ!D:D,0)*M107)</f>
        <v>0</v>
      </c>
      <c r="Z107" s="219">
        <f>_xlfn.XLOOKUP(W107,マスタ!A:A,マスタ!E:E,0)*M107</f>
        <v>1.17</v>
      </c>
      <c r="AA107" s="219">
        <f>_xlfn.XLOOKUP(W107,マスタ!A:A,マスタ!F:F,0)*M107</f>
        <v>1.32</v>
      </c>
      <c r="AB107" s="219">
        <f>_xlfn.XLOOKUP(W107,マスタ!A:A,マスタ!G:G,0)*M107</f>
        <v>0.39</v>
      </c>
      <c r="AC107" s="220">
        <f>_xlfn.XLOOKUP(W107,マスタ!A:A,マスタ!H:H,0)*M107</f>
        <v>0.39</v>
      </c>
      <c r="AD107" s="227">
        <f t="shared" si="7"/>
        <v>4.2600000000000007</v>
      </c>
    </row>
    <row r="108" spans="1:30" ht="15" customHeight="1">
      <c r="A108" s="145"/>
      <c r="B108" s="162"/>
      <c r="C108" s="162"/>
      <c r="D108" s="167"/>
      <c r="E108" s="175" t="s">
        <v>96</v>
      </c>
      <c r="F108" s="169"/>
      <c r="G108" s="169"/>
      <c r="H108" s="239"/>
      <c r="I108" s="436" t="s">
        <v>58</v>
      </c>
      <c r="J108" s="515"/>
      <c r="K108" s="437" t="s">
        <v>73</v>
      </c>
      <c r="L108" s="437" t="s">
        <v>73</v>
      </c>
      <c r="M108" s="438">
        <v>1</v>
      </c>
      <c r="N108" s="183"/>
      <c r="O108" s="184"/>
      <c r="P108" s="183"/>
      <c r="Q108" s="184"/>
      <c r="R108" s="183"/>
      <c r="S108" s="184"/>
      <c r="T108" s="183"/>
      <c r="U108" s="184"/>
      <c r="W108" s="208" t="s">
        <v>89</v>
      </c>
      <c r="X108" s="217">
        <f>_xlfn.XLOOKUP(W108,マスタ!A:A,マスタ!C:C,0)*M108</f>
        <v>0.99</v>
      </c>
      <c r="Y108" s="218">
        <f>IF(N108="",0,_xlfn.XLOOKUP(W108,マスタ!A:A,マスタ!D:D,0)*M108)</f>
        <v>0</v>
      </c>
      <c r="Z108" s="219">
        <f>_xlfn.XLOOKUP(W108,マスタ!A:A,マスタ!E:E,0)*M108</f>
        <v>1.17</v>
      </c>
      <c r="AA108" s="219">
        <f>_xlfn.XLOOKUP(W108,マスタ!A:A,マスタ!F:F,0)*M108</f>
        <v>1.32</v>
      </c>
      <c r="AB108" s="219">
        <f>_xlfn.XLOOKUP(W108,マスタ!A:A,マスタ!G:G,0)*M108</f>
        <v>0.39</v>
      </c>
      <c r="AC108" s="220">
        <f>_xlfn.XLOOKUP(W108,マスタ!A:A,マスタ!H:H,0)*M108</f>
        <v>0.39</v>
      </c>
      <c r="AD108" s="227">
        <f t="shared" si="7"/>
        <v>4.2600000000000007</v>
      </c>
    </row>
    <row r="109" spans="1:30" ht="15" customHeight="1">
      <c r="A109" s="145"/>
      <c r="B109" s="162"/>
      <c r="C109" s="162"/>
      <c r="D109" s="160" t="s">
        <v>132</v>
      </c>
      <c r="E109" s="161"/>
      <c r="F109" s="161"/>
      <c r="G109" s="161"/>
      <c r="H109" s="236"/>
      <c r="I109" s="430" t="s">
        <v>73</v>
      </c>
      <c r="J109" s="513"/>
      <c r="K109" s="431" t="s">
        <v>73</v>
      </c>
      <c r="L109" s="431" t="s">
        <v>73</v>
      </c>
      <c r="M109" s="432">
        <v>0</v>
      </c>
      <c r="N109" s="179"/>
      <c r="O109" s="180"/>
      <c r="P109" s="179"/>
      <c r="Q109" s="180"/>
      <c r="R109" s="179"/>
      <c r="S109" s="180"/>
      <c r="T109" s="179"/>
      <c r="U109" s="180"/>
      <c r="W109" s="208" t="s">
        <v>89</v>
      </c>
      <c r="X109" s="217">
        <f>_xlfn.XLOOKUP(W109,マスタ!A:A,マスタ!C:C,0)*M109</f>
        <v>0</v>
      </c>
      <c r="Y109" s="218">
        <f>IF(N109="",0,_xlfn.XLOOKUP(W109,マスタ!A:A,マスタ!D:D,0)*M109)</f>
        <v>0</v>
      </c>
      <c r="Z109" s="219">
        <f>_xlfn.XLOOKUP(W109,マスタ!A:A,マスタ!E:E,0)*M109</f>
        <v>0</v>
      </c>
      <c r="AA109" s="219">
        <f>_xlfn.XLOOKUP(W109,マスタ!A:A,マスタ!F:F,0)*M109</f>
        <v>0</v>
      </c>
      <c r="AB109" s="219">
        <f>_xlfn.XLOOKUP(W109,マスタ!A:A,マスタ!G:G,0)*M109</f>
        <v>0</v>
      </c>
      <c r="AC109" s="220">
        <f>_xlfn.XLOOKUP(W109,マスタ!A:A,マスタ!H:H,0)*M109</f>
        <v>0</v>
      </c>
      <c r="AD109" s="227">
        <f t="shared" si="7"/>
        <v>0</v>
      </c>
    </row>
    <row r="110" spans="1:30" ht="15" customHeight="1">
      <c r="A110" s="145"/>
      <c r="B110" s="162"/>
      <c r="C110" s="162"/>
      <c r="D110" s="162"/>
      <c r="E110" s="174" t="s">
        <v>98</v>
      </c>
      <c r="F110" s="166"/>
      <c r="G110" s="166"/>
      <c r="H110" s="237"/>
      <c r="I110" s="433" t="s">
        <v>58</v>
      </c>
      <c r="J110" s="514"/>
      <c r="K110" s="434" t="s">
        <v>73</v>
      </c>
      <c r="L110" s="434" t="s">
        <v>73</v>
      </c>
      <c r="M110" s="435">
        <v>1</v>
      </c>
      <c r="N110" s="181"/>
      <c r="O110" s="182"/>
      <c r="P110" s="181"/>
      <c r="Q110" s="182"/>
      <c r="R110" s="181"/>
      <c r="S110" s="182"/>
      <c r="T110" s="181"/>
      <c r="U110" s="182"/>
      <c r="W110" s="208" t="s">
        <v>89</v>
      </c>
      <c r="X110" s="217">
        <f>_xlfn.XLOOKUP(W110,マスタ!A:A,マスタ!C:C,0)*M110</f>
        <v>0.99</v>
      </c>
      <c r="Y110" s="218">
        <f>IF(N110="",0,_xlfn.XLOOKUP(W110,マスタ!A:A,マスタ!D:D,0)*M110)</f>
        <v>0</v>
      </c>
      <c r="Z110" s="219">
        <f>_xlfn.XLOOKUP(W110,マスタ!A:A,マスタ!E:E,0)*M110</f>
        <v>1.17</v>
      </c>
      <c r="AA110" s="219">
        <f>_xlfn.XLOOKUP(W110,マスタ!A:A,マスタ!F:F,0)*M110</f>
        <v>1.32</v>
      </c>
      <c r="AB110" s="219">
        <f>_xlfn.XLOOKUP(W110,マスタ!A:A,マスタ!G:G,0)*M110</f>
        <v>0.39</v>
      </c>
      <c r="AC110" s="220">
        <f>_xlfn.XLOOKUP(W110,マスタ!A:A,マスタ!H:H,0)*M110</f>
        <v>0.39</v>
      </c>
      <c r="AD110" s="227">
        <f t="shared" si="7"/>
        <v>4.2600000000000007</v>
      </c>
    </row>
    <row r="111" spans="1:30" ht="15" customHeight="1">
      <c r="A111" s="145"/>
      <c r="B111" s="162"/>
      <c r="C111" s="162"/>
      <c r="D111" s="167"/>
      <c r="E111" s="175" t="s">
        <v>96</v>
      </c>
      <c r="F111" s="169"/>
      <c r="G111" s="169"/>
      <c r="H111" s="239"/>
      <c r="I111" s="436" t="s">
        <v>58</v>
      </c>
      <c r="J111" s="515"/>
      <c r="K111" s="437" t="s">
        <v>73</v>
      </c>
      <c r="L111" s="437" t="s">
        <v>73</v>
      </c>
      <c r="M111" s="438">
        <v>1</v>
      </c>
      <c r="N111" s="183"/>
      <c r="O111" s="184"/>
      <c r="P111" s="183"/>
      <c r="Q111" s="184"/>
      <c r="R111" s="183"/>
      <c r="S111" s="184"/>
      <c r="T111" s="183"/>
      <c r="U111" s="184"/>
      <c r="W111" s="208" t="s">
        <v>89</v>
      </c>
      <c r="X111" s="217">
        <f>_xlfn.XLOOKUP(W111,マスタ!A:A,マスタ!C:C,0)*M111</f>
        <v>0.99</v>
      </c>
      <c r="Y111" s="218">
        <f>IF(N111="",0,_xlfn.XLOOKUP(W111,マスタ!A:A,マスタ!D:D,0)*M111)</f>
        <v>0</v>
      </c>
      <c r="Z111" s="219">
        <f>_xlfn.XLOOKUP(W111,マスタ!A:A,マスタ!E:E,0)*M111</f>
        <v>1.17</v>
      </c>
      <c r="AA111" s="219">
        <f>_xlfn.XLOOKUP(W111,マスタ!A:A,マスタ!F:F,0)*M111</f>
        <v>1.32</v>
      </c>
      <c r="AB111" s="219">
        <f>_xlfn.XLOOKUP(W111,マスタ!A:A,マスタ!G:G,0)*M111</f>
        <v>0.39</v>
      </c>
      <c r="AC111" s="220">
        <f>_xlfn.XLOOKUP(W111,マスタ!A:A,マスタ!H:H,0)*M111</f>
        <v>0.39</v>
      </c>
      <c r="AD111" s="227">
        <f t="shared" si="7"/>
        <v>4.2600000000000007</v>
      </c>
    </row>
    <row r="112" spans="1:30" ht="15" customHeight="1">
      <c r="A112" s="145"/>
      <c r="B112" s="162"/>
      <c r="C112" s="162"/>
      <c r="D112" s="160" t="s">
        <v>133</v>
      </c>
      <c r="E112" s="161"/>
      <c r="F112" s="161"/>
      <c r="G112" s="161"/>
      <c r="H112" s="236"/>
      <c r="I112" s="430" t="s">
        <v>73</v>
      </c>
      <c r="J112" s="513"/>
      <c r="K112" s="431" t="s">
        <v>73</v>
      </c>
      <c r="L112" s="431" t="s">
        <v>73</v>
      </c>
      <c r="M112" s="432">
        <v>0</v>
      </c>
      <c r="N112" s="179"/>
      <c r="O112" s="180"/>
      <c r="P112" s="179"/>
      <c r="Q112" s="180"/>
      <c r="R112" s="179"/>
      <c r="S112" s="180"/>
      <c r="T112" s="179"/>
      <c r="U112" s="180"/>
      <c r="W112" s="208" t="s">
        <v>89</v>
      </c>
      <c r="X112" s="217">
        <f>_xlfn.XLOOKUP(W112,マスタ!A:A,マスタ!C:C,0)*M112</f>
        <v>0</v>
      </c>
      <c r="Y112" s="218">
        <f>IF(N112="",0,_xlfn.XLOOKUP(W112,マスタ!A:A,マスタ!D:D,0)*M112)</f>
        <v>0</v>
      </c>
      <c r="Z112" s="219">
        <f>_xlfn.XLOOKUP(W112,マスタ!A:A,マスタ!E:E,0)*M112</f>
        <v>0</v>
      </c>
      <c r="AA112" s="219">
        <f>_xlfn.XLOOKUP(W112,マスタ!A:A,マスタ!F:F,0)*M112</f>
        <v>0</v>
      </c>
      <c r="AB112" s="219">
        <f>_xlfn.XLOOKUP(W112,マスタ!A:A,マスタ!G:G,0)*M112</f>
        <v>0</v>
      </c>
      <c r="AC112" s="220">
        <f>_xlfn.XLOOKUP(W112,マスタ!A:A,マスタ!H:H,0)*M112</f>
        <v>0</v>
      </c>
      <c r="AD112" s="227">
        <f t="shared" si="7"/>
        <v>0</v>
      </c>
    </row>
    <row r="113" spans="1:30" ht="15" customHeight="1">
      <c r="A113" s="145"/>
      <c r="B113" s="162"/>
      <c r="C113" s="162"/>
      <c r="D113" s="162"/>
      <c r="E113" s="174" t="s">
        <v>98</v>
      </c>
      <c r="F113" s="166"/>
      <c r="G113" s="166"/>
      <c r="H113" s="237"/>
      <c r="I113" s="433" t="s">
        <v>58</v>
      </c>
      <c r="J113" s="514"/>
      <c r="K113" s="434" t="s">
        <v>73</v>
      </c>
      <c r="L113" s="434" t="s">
        <v>73</v>
      </c>
      <c r="M113" s="435">
        <v>1</v>
      </c>
      <c r="N113" s="181"/>
      <c r="O113" s="182"/>
      <c r="P113" s="181"/>
      <c r="Q113" s="182"/>
      <c r="R113" s="181"/>
      <c r="S113" s="182"/>
      <c r="T113" s="181"/>
      <c r="U113" s="182"/>
      <c r="W113" s="208" t="s">
        <v>89</v>
      </c>
      <c r="X113" s="217">
        <f>_xlfn.XLOOKUP(W113,マスタ!A:A,マスタ!C:C,0)*M113</f>
        <v>0.99</v>
      </c>
      <c r="Y113" s="218">
        <f>IF(N113="",0,_xlfn.XLOOKUP(W113,マスタ!A:A,マスタ!D:D,0)*M113)</f>
        <v>0</v>
      </c>
      <c r="Z113" s="219">
        <f>_xlfn.XLOOKUP(W113,マスタ!A:A,マスタ!E:E,0)*M113</f>
        <v>1.17</v>
      </c>
      <c r="AA113" s="219">
        <f>_xlfn.XLOOKUP(W113,マスタ!A:A,マスタ!F:F,0)*M113</f>
        <v>1.32</v>
      </c>
      <c r="AB113" s="219">
        <f>_xlfn.XLOOKUP(W113,マスタ!A:A,マスタ!G:G,0)*M113</f>
        <v>0.39</v>
      </c>
      <c r="AC113" s="220">
        <f>_xlfn.XLOOKUP(W113,マスタ!A:A,マスタ!H:H,0)*M113</f>
        <v>0.39</v>
      </c>
      <c r="AD113" s="227">
        <f t="shared" si="7"/>
        <v>4.2600000000000007</v>
      </c>
    </row>
    <row r="114" spans="1:30" ht="15" customHeight="1">
      <c r="A114" s="145"/>
      <c r="B114" s="162"/>
      <c r="C114" s="162"/>
      <c r="D114" s="167"/>
      <c r="E114" s="175" t="s">
        <v>96</v>
      </c>
      <c r="F114" s="169"/>
      <c r="G114" s="169"/>
      <c r="H114" s="239"/>
      <c r="I114" s="436" t="s">
        <v>58</v>
      </c>
      <c r="J114" s="515"/>
      <c r="K114" s="437" t="s">
        <v>73</v>
      </c>
      <c r="L114" s="437" t="s">
        <v>73</v>
      </c>
      <c r="M114" s="438">
        <v>1</v>
      </c>
      <c r="N114" s="183"/>
      <c r="O114" s="184"/>
      <c r="P114" s="183"/>
      <c r="Q114" s="184"/>
      <c r="R114" s="183"/>
      <c r="S114" s="184"/>
      <c r="T114" s="183"/>
      <c r="U114" s="184"/>
      <c r="W114" s="208" t="s">
        <v>89</v>
      </c>
      <c r="X114" s="217">
        <f>_xlfn.XLOOKUP(W114,マスタ!A:A,マスタ!C:C,0)*M114</f>
        <v>0.99</v>
      </c>
      <c r="Y114" s="218">
        <f>IF(N114="",0,_xlfn.XLOOKUP(W114,マスタ!A:A,マスタ!D:D,0)*M114)</f>
        <v>0</v>
      </c>
      <c r="Z114" s="219">
        <f>_xlfn.XLOOKUP(W114,マスタ!A:A,マスタ!E:E,0)*M114</f>
        <v>1.17</v>
      </c>
      <c r="AA114" s="219">
        <f>_xlfn.XLOOKUP(W114,マスタ!A:A,マスタ!F:F,0)*M114</f>
        <v>1.32</v>
      </c>
      <c r="AB114" s="219">
        <f>_xlfn.XLOOKUP(W114,マスタ!A:A,マスタ!G:G,0)*M114</f>
        <v>0.39</v>
      </c>
      <c r="AC114" s="220">
        <f>_xlfn.XLOOKUP(W114,マスタ!A:A,マスタ!H:H,0)*M114</f>
        <v>0.39</v>
      </c>
      <c r="AD114" s="227">
        <f t="shared" si="7"/>
        <v>4.2600000000000007</v>
      </c>
    </row>
    <row r="115" spans="1:30" ht="15" customHeight="1">
      <c r="A115" s="145"/>
      <c r="B115" s="162"/>
      <c r="C115" s="162"/>
      <c r="D115" s="160" t="s">
        <v>134</v>
      </c>
      <c r="E115" s="161"/>
      <c r="F115" s="161"/>
      <c r="G115" s="161"/>
      <c r="H115" s="236"/>
      <c r="I115" s="430" t="s">
        <v>73</v>
      </c>
      <c r="J115" s="513"/>
      <c r="K115" s="431" t="s">
        <v>73</v>
      </c>
      <c r="L115" s="431" t="s">
        <v>73</v>
      </c>
      <c r="M115" s="432">
        <v>0</v>
      </c>
      <c r="N115" s="179"/>
      <c r="O115" s="180"/>
      <c r="P115" s="179"/>
      <c r="Q115" s="180"/>
      <c r="R115" s="179"/>
      <c r="S115" s="180"/>
      <c r="T115" s="179"/>
      <c r="U115" s="180"/>
      <c r="W115" s="208" t="s">
        <v>89</v>
      </c>
      <c r="X115" s="217">
        <f>_xlfn.XLOOKUP(W115,マスタ!A:A,マスタ!C:C,0)*M115</f>
        <v>0</v>
      </c>
      <c r="Y115" s="218">
        <f>IF(N115="",0,_xlfn.XLOOKUP(W115,マスタ!A:A,マスタ!D:D,0)*M115)</f>
        <v>0</v>
      </c>
      <c r="Z115" s="219">
        <f>_xlfn.XLOOKUP(W115,マスタ!A:A,マスタ!E:E,0)*M115</f>
        <v>0</v>
      </c>
      <c r="AA115" s="219">
        <f>_xlfn.XLOOKUP(W115,マスタ!A:A,マスタ!F:F,0)*M115</f>
        <v>0</v>
      </c>
      <c r="AB115" s="219">
        <f>_xlfn.XLOOKUP(W115,マスタ!A:A,マスタ!G:G,0)*M115</f>
        <v>0</v>
      </c>
      <c r="AC115" s="220">
        <f>_xlfn.XLOOKUP(W115,マスタ!A:A,マスタ!H:H,0)*M115</f>
        <v>0</v>
      </c>
      <c r="AD115" s="227">
        <f t="shared" si="7"/>
        <v>0</v>
      </c>
    </row>
    <row r="116" spans="1:30" ht="15" customHeight="1">
      <c r="A116" s="145"/>
      <c r="B116" s="162"/>
      <c r="C116" s="162"/>
      <c r="D116" s="162"/>
      <c r="E116" s="174" t="s">
        <v>98</v>
      </c>
      <c r="F116" s="166"/>
      <c r="G116" s="166"/>
      <c r="H116" s="237"/>
      <c r="I116" s="433" t="s">
        <v>58</v>
      </c>
      <c r="J116" s="514"/>
      <c r="K116" s="434" t="s">
        <v>73</v>
      </c>
      <c r="L116" s="434" t="s">
        <v>73</v>
      </c>
      <c r="M116" s="435">
        <v>1</v>
      </c>
      <c r="N116" s="181"/>
      <c r="O116" s="182"/>
      <c r="P116" s="181"/>
      <c r="Q116" s="182"/>
      <c r="R116" s="181"/>
      <c r="S116" s="182"/>
      <c r="T116" s="181"/>
      <c r="U116" s="182"/>
      <c r="W116" s="208" t="s">
        <v>89</v>
      </c>
      <c r="X116" s="217">
        <f>_xlfn.XLOOKUP(W116,マスタ!A:A,マスタ!C:C,0)*M116</f>
        <v>0.99</v>
      </c>
      <c r="Y116" s="218">
        <f>IF(N116="",0,_xlfn.XLOOKUP(W116,マスタ!A:A,マスタ!D:D,0)*M116)</f>
        <v>0</v>
      </c>
      <c r="Z116" s="219">
        <f>_xlfn.XLOOKUP(W116,マスタ!A:A,マスタ!E:E,0)*M116</f>
        <v>1.17</v>
      </c>
      <c r="AA116" s="219">
        <f>_xlfn.XLOOKUP(W116,マスタ!A:A,マスタ!F:F,0)*M116</f>
        <v>1.32</v>
      </c>
      <c r="AB116" s="219">
        <f>_xlfn.XLOOKUP(W116,マスタ!A:A,マスタ!G:G,0)*M116</f>
        <v>0.39</v>
      </c>
      <c r="AC116" s="220">
        <f>_xlfn.XLOOKUP(W116,マスタ!A:A,マスタ!H:H,0)*M116</f>
        <v>0.39</v>
      </c>
      <c r="AD116" s="227">
        <f t="shared" si="7"/>
        <v>4.2600000000000007</v>
      </c>
    </row>
    <row r="117" spans="1:30" ht="15" customHeight="1">
      <c r="A117" s="145"/>
      <c r="B117" s="162"/>
      <c r="C117" s="162"/>
      <c r="D117" s="167"/>
      <c r="E117" s="175" t="s">
        <v>96</v>
      </c>
      <c r="F117" s="169"/>
      <c r="G117" s="169"/>
      <c r="H117" s="239"/>
      <c r="I117" s="436" t="s">
        <v>58</v>
      </c>
      <c r="J117" s="515"/>
      <c r="K117" s="437" t="s">
        <v>73</v>
      </c>
      <c r="L117" s="437" t="s">
        <v>73</v>
      </c>
      <c r="M117" s="438">
        <v>1</v>
      </c>
      <c r="N117" s="183"/>
      <c r="O117" s="184"/>
      <c r="P117" s="183"/>
      <c r="Q117" s="184"/>
      <c r="R117" s="183"/>
      <c r="S117" s="184"/>
      <c r="T117" s="183"/>
      <c r="U117" s="184"/>
      <c r="W117" s="208" t="s">
        <v>89</v>
      </c>
      <c r="X117" s="217">
        <f>_xlfn.XLOOKUP(W117,マスタ!A:A,マスタ!C:C,0)*M117</f>
        <v>0.99</v>
      </c>
      <c r="Y117" s="218">
        <f>IF(N117="",0,_xlfn.XLOOKUP(W117,マスタ!A:A,マスタ!D:D,0)*M117)</f>
        <v>0</v>
      </c>
      <c r="Z117" s="219">
        <f>_xlfn.XLOOKUP(W117,マスタ!A:A,マスタ!E:E,0)*M117</f>
        <v>1.17</v>
      </c>
      <c r="AA117" s="219">
        <f>_xlfn.XLOOKUP(W117,マスタ!A:A,マスタ!F:F,0)*M117</f>
        <v>1.32</v>
      </c>
      <c r="AB117" s="219">
        <f>_xlfn.XLOOKUP(W117,マスタ!A:A,マスタ!G:G,0)*M117</f>
        <v>0.39</v>
      </c>
      <c r="AC117" s="220">
        <f>_xlfn.XLOOKUP(W117,マスタ!A:A,マスタ!H:H,0)*M117</f>
        <v>0.39</v>
      </c>
      <c r="AD117" s="227">
        <f t="shared" si="7"/>
        <v>4.2600000000000007</v>
      </c>
    </row>
    <row r="118" spans="1:30" ht="15" customHeight="1">
      <c r="A118" s="145"/>
      <c r="B118" s="162"/>
      <c r="C118" s="162"/>
      <c r="D118" s="160" t="s">
        <v>135</v>
      </c>
      <c r="E118" s="161"/>
      <c r="F118" s="161"/>
      <c r="G118" s="161"/>
      <c r="H118" s="236"/>
      <c r="I118" s="430" t="s">
        <v>73</v>
      </c>
      <c r="J118" s="513"/>
      <c r="K118" s="431" t="s">
        <v>73</v>
      </c>
      <c r="L118" s="431" t="s">
        <v>73</v>
      </c>
      <c r="M118" s="432">
        <v>0</v>
      </c>
      <c r="N118" s="179"/>
      <c r="O118" s="180"/>
      <c r="P118" s="179"/>
      <c r="Q118" s="180"/>
      <c r="R118" s="179"/>
      <c r="S118" s="180"/>
      <c r="T118" s="179"/>
      <c r="U118" s="180"/>
      <c r="W118" s="208" t="s">
        <v>89</v>
      </c>
      <c r="X118" s="217">
        <f>_xlfn.XLOOKUP(W118,マスタ!A:A,マスタ!C:C,0)*M118</f>
        <v>0</v>
      </c>
      <c r="Y118" s="218">
        <f>IF(N118="",0,_xlfn.XLOOKUP(W118,マスタ!A:A,マスタ!D:D,0)*M118)</f>
        <v>0</v>
      </c>
      <c r="Z118" s="219">
        <f>_xlfn.XLOOKUP(W118,マスタ!A:A,マスタ!E:E,0)*M118</f>
        <v>0</v>
      </c>
      <c r="AA118" s="219">
        <f>_xlfn.XLOOKUP(W118,マスタ!A:A,マスタ!F:F,0)*M118</f>
        <v>0</v>
      </c>
      <c r="AB118" s="219">
        <f>_xlfn.XLOOKUP(W118,マスタ!A:A,マスタ!G:G,0)*M118</f>
        <v>0</v>
      </c>
      <c r="AC118" s="220">
        <f>_xlfn.XLOOKUP(W118,マスタ!A:A,マスタ!H:H,0)*M118</f>
        <v>0</v>
      </c>
      <c r="AD118" s="227">
        <f t="shared" si="7"/>
        <v>0</v>
      </c>
    </row>
    <row r="119" spans="1:30" ht="15" customHeight="1">
      <c r="A119" s="145"/>
      <c r="B119" s="162"/>
      <c r="C119" s="162"/>
      <c r="D119" s="162"/>
      <c r="E119" s="174" t="s">
        <v>98</v>
      </c>
      <c r="F119" s="166"/>
      <c r="G119" s="166"/>
      <c r="H119" s="237"/>
      <c r="I119" s="433" t="s">
        <v>58</v>
      </c>
      <c r="J119" s="514"/>
      <c r="K119" s="434" t="s">
        <v>73</v>
      </c>
      <c r="L119" s="434" t="s">
        <v>73</v>
      </c>
      <c r="M119" s="435">
        <v>1</v>
      </c>
      <c r="N119" s="181"/>
      <c r="O119" s="182"/>
      <c r="P119" s="181"/>
      <c r="Q119" s="182"/>
      <c r="R119" s="181"/>
      <c r="S119" s="182"/>
      <c r="T119" s="181"/>
      <c r="U119" s="182"/>
      <c r="W119" s="208" t="s">
        <v>89</v>
      </c>
      <c r="X119" s="217">
        <f>_xlfn.XLOOKUP(W119,マスタ!A:A,マスタ!C:C,0)*M119</f>
        <v>0.99</v>
      </c>
      <c r="Y119" s="218">
        <f>IF(N119="",0,_xlfn.XLOOKUP(W119,マスタ!A:A,マスタ!D:D,0)*M119)</f>
        <v>0</v>
      </c>
      <c r="Z119" s="219">
        <f>_xlfn.XLOOKUP(W119,マスタ!A:A,マスタ!E:E,0)*M119</f>
        <v>1.17</v>
      </c>
      <c r="AA119" s="219">
        <f>_xlfn.XLOOKUP(W119,マスタ!A:A,マスタ!F:F,0)*M119</f>
        <v>1.32</v>
      </c>
      <c r="AB119" s="219">
        <f>_xlfn.XLOOKUP(W119,マスタ!A:A,マスタ!G:G,0)*M119</f>
        <v>0.39</v>
      </c>
      <c r="AC119" s="220">
        <f>_xlfn.XLOOKUP(W119,マスタ!A:A,マスタ!H:H,0)*M119</f>
        <v>0.39</v>
      </c>
      <c r="AD119" s="227">
        <f t="shared" si="7"/>
        <v>4.2600000000000007</v>
      </c>
    </row>
    <row r="120" spans="1:30" ht="15" customHeight="1">
      <c r="A120" s="145"/>
      <c r="B120" s="162"/>
      <c r="C120" s="162"/>
      <c r="D120" s="167"/>
      <c r="E120" s="175" t="s">
        <v>96</v>
      </c>
      <c r="F120" s="169"/>
      <c r="G120" s="169"/>
      <c r="H120" s="239"/>
      <c r="I120" s="436" t="s">
        <v>58</v>
      </c>
      <c r="J120" s="515"/>
      <c r="K120" s="437" t="s">
        <v>73</v>
      </c>
      <c r="L120" s="437" t="s">
        <v>73</v>
      </c>
      <c r="M120" s="438">
        <v>1</v>
      </c>
      <c r="N120" s="183"/>
      <c r="O120" s="184"/>
      <c r="P120" s="183"/>
      <c r="Q120" s="184"/>
      <c r="R120" s="183"/>
      <c r="S120" s="184"/>
      <c r="T120" s="183"/>
      <c r="U120" s="184"/>
      <c r="W120" s="208" t="s">
        <v>89</v>
      </c>
      <c r="X120" s="217">
        <f>_xlfn.XLOOKUP(W120,マスタ!A:A,マスタ!C:C,0)*M120</f>
        <v>0.99</v>
      </c>
      <c r="Y120" s="218">
        <f>IF(N120="",0,_xlfn.XLOOKUP(W120,マスタ!A:A,マスタ!D:D,0)*M120)</f>
        <v>0</v>
      </c>
      <c r="Z120" s="219">
        <f>_xlfn.XLOOKUP(W120,マスタ!A:A,マスタ!E:E,0)*M120</f>
        <v>1.17</v>
      </c>
      <c r="AA120" s="219">
        <f>_xlfn.XLOOKUP(W120,マスタ!A:A,マスタ!F:F,0)*M120</f>
        <v>1.32</v>
      </c>
      <c r="AB120" s="219">
        <f>_xlfn.XLOOKUP(W120,マスタ!A:A,マスタ!G:G,0)*M120</f>
        <v>0.39</v>
      </c>
      <c r="AC120" s="220">
        <f>_xlfn.XLOOKUP(W120,マスタ!A:A,マスタ!H:H,0)*M120</f>
        <v>0.39</v>
      </c>
      <c r="AD120" s="227">
        <f t="shared" si="7"/>
        <v>4.2600000000000007</v>
      </c>
    </row>
    <row r="121" spans="1:30" ht="15" customHeight="1">
      <c r="A121" s="145"/>
      <c r="B121" s="162"/>
      <c r="C121" s="162"/>
      <c r="D121" s="160" t="s">
        <v>136</v>
      </c>
      <c r="E121" s="161"/>
      <c r="F121" s="161"/>
      <c r="G121" s="161"/>
      <c r="H121" s="236"/>
      <c r="I121" s="430" t="s">
        <v>73</v>
      </c>
      <c r="J121" s="513"/>
      <c r="K121" s="431" t="s">
        <v>73</v>
      </c>
      <c r="L121" s="431" t="s">
        <v>73</v>
      </c>
      <c r="M121" s="432">
        <v>0</v>
      </c>
      <c r="N121" s="179"/>
      <c r="O121" s="180"/>
      <c r="P121" s="179"/>
      <c r="Q121" s="180"/>
      <c r="R121" s="179"/>
      <c r="S121" s="180"/>
      <c r="T121" s="179"/>
      <c r="U121" s="180"/>
      <c r="W121" s="208" t="s">
        <v>89</v>
      </c>
      <c r="X121" s="217">
        <f>_xlfn.XLOOKUP(W121,マスタ!A:A,マスタ!C:C,0)*M121</f>
        <v>0</v>
      </c>
      <c r="Y121" s="218">
        <f>IF(N121="",0,_xlfn.XLOOKUP(W121,マスタ!A:A,マスタ!D:D,0)*M121)</f>
        <v>0</v>
      </c>
      <c r="Z121" s="219">
        <f>_xlfn.XLOOKUP(W121,マスタ!A:A,マスタ!E:E,0)*M121</f>
        <v>0</v>
      </c>
      <c r="AA121" s="219">
        <f>_xlfn.XLOOKUP(W121,マスタ!A:A,マスタ!F:F,0)*M121</f>
        <v>0</v>
      </c>
      <c r="AB121" s="219">
        <f>_xlfn.XLOOKUP(W121,マスタ!A:A,マスタ!G:G,0)*M121</f>
        <v>0</v>
      </c>
      <c r="AC121" s="220">
        <f>_xlfn.XLOOKUP(W121,マスタ!A:A,マスタ!H:H,0)*M121</f>
        <v>0</v>
      </c>
      <c r="AD121" s="227">
        <f t="shared" si="7"/>
        <v>0</v>
      </c>
    </row>
    <row r="122" spans="1:30" ht="15" customHeight="1">
      <c r="A122" s="145"/>
      <c r="B122" s="162"/>
      <c r="C122" s="162"/>
      <c r="D122" s="162"/>
      <c r="E122" s="174" t="s">
        <v>98</v>
      </c>
      <c r="F122" s="166"/>
      <c r="G122" s="166"/>
      <c r="H122" s="237"/>
      <c r="I122" s="433" t="s">
        <v>58</v>
      </c>
      <c r="J122" s="514"/>
      <c r="K122" s="434" t="s">
        <v>73</v>
      </c>
      <c r="L122" s="434" t="s">
        <v>73</v>
      </c>
      <c r="M122" s="435">
        <v>1</v>
      </c>
      <c r="N122" s="181"/>
      <c r="O122" s="182"/>
      <c r="P122" s="181"/>
      <c r="Q122" s="182"/>
      <c r="R122" s="181"/>
      <c r="S122" s="182"/>
      <c r="T122" s="181"/>
      <c r="U122" s="182"/>
      <c r="W122" s="208" t="s">
        <v>89</v>
      </c>
      <c r="X122" s="217">
        <f>_xlfn.XLOOKUP(W122,マスタ!A:A,マスタ!C:C,0)*M122</f>
        <v>0.99</v>
      </c>
      <c r="Y122" s="218">
        <f>IF(N122="",0,_xlfn.XLOOKUP(W122,マスタ!A:A,マスタ!D:D,0)*M122)</f>
        <v>0</v>
      </c>
      <c r="Z122" s="219">
        <f>_xlfn.XLOOKUP(W122,マスタ!A:A,マスタ!E:E,0)*M122</f>
        <v>1.17</v>
      </c>
      <c r="AA122" s="219">
        <f>_xlfn.XLOOKUP(W122,マスタ!A:A,マスタ!F:F,0)*M122</f>
        <v>1.32</v>
      </c>
      <c r="AB122" s="219">
        <f>_xlfn.XLOOKUP(W122,マスタ!A:A,マスタ!G:G,0)*M122</f>
        <v>0.39</v>
      </c>
      <c r="AC122" s="220">
        <f>_xlfn.XLOOKUP(W122,マスタ!A:A,マスタ!H:H,0)*M122</f>
        <v>0.39</v>
      </c>
      <c r="AD122" s="227">
        <f t="shared" si="7"/>
        <v>4.2600000000000007</v>
      </c>
    </row>
    <row r="123" spans="1:30" ht="15" customHeight="1">
      <c r="A123" s="145"/>
      <c r="B123" s="162"/>
      <c r="C123" s="162"/>
      <c r="D123" s="167"/>
      <c r="E123" s="175" t="s">
        <v>96</v>
      </c>
      <c r="F123" s="169"/>
      <c r="G123" s="169"/>
      <c r="H123" s="239"/>
      <c r="I123" s="436" t="s">
        <v>58</v>
      </c>
      <c r="J123" s="515"/>
      <c r="K123" s="437" t="s">
        <v>73</v>
      </c>
      <c r="L123" s="437" t="s">
        <v>73</v>
      </c>
      <c r="M123" s="438">
        <v>1</v>
      </c>
      <c r="N123" s="183"/>
      <c r="O123" s="184"/>
      <c r="P123" s="183"/>
      <c r="Q123" s="184"/>
      <c r="R123" s="183"/>
      <c r="S123" s="184"/>
      <c r="T123" s="183"/>
      <c r="U123" s="184"/>
      <c r="W123" s="208" t="s">
        <v>89</v>
      </c>
      <c r="X123" s="217">
        <f>_xlfn.XLOOKUP(W123,マスタ!A:A,マスタ!C:C,0)*M123</f>
        <v>0.99</v>
      </c>
      <c r="Y123" s="218">
        <f>IF(N123="",0,_xlfn.XLOOKUP(W123,マスタ!A:A,マスタ!D:D,0)*M123)</f>
        <v>0</v>
      </c>
      <c r="Z123" s="219">
        <f>_xlfn.XLOOKUP(W123,マスタ!A:A,マスタ!E:E,0)*M123</f>
        <v>1.17</v>
      </c>
      <c r="AA123" s="219">
        <f>_xlfn.XLOOKUP(W123,マスタ!A:A,マスタ!F:F,0)*M123</f>
        <v>1.32</v>
      </c>
      <c r="AB123" s="219">
        <f>_xlfn.XLOOKUP(W123,マスタ!A:A,マスタ!G:G,0)*M123</f>
        <v>0.39</v>
      </c>
      <c r="AC123" s="220">
        <f>_xlfn.XLOOKUP(W123,マスタ!A:A,マスタ!H:H,0)*M123</f>
        <v>0.39</v>
      </c>
      <c r="AD123" s="227">
        <f t="shared" si="7"/>
        <v>4.2600000000000007</v>
      </c>
    </row>
    <row r="124" spans="1:30" ht="15" customHeight="1">
      <c r="A124" s="145"/>
      <c r="B124" s="162"/>
      <c r="C124" s="162"/>
      <c r="D124" s="160" t="s">
        <v>137</v>
      </c>
      <c r="E124" s="161"/>
      <c r="F124" s="161"/>
      <c r="G124" s="161"/>
      <c r="H124" s="236"/>
      <c r="I124" s="430" t="s">
        <v>73</v>
      </c>
      <c r="J124" s="513"/>
      <c r="K124" s="431" t="s">
        <v>73</v>
      </c>
      <c r="L124" s="431" t="s">
        <v>73</v>
      </c>
      <c r="M124" s="432">
        <v>0</v>
      </c>
      <c r="N124" s="179"/>
      <c r="O124" s="180"/>
      <c r="P124" s="179"/>
      <c r="Q124" s="180"/>
      <c r="R124" s="179"/>
      <c r="S124" s="180"/>
      <c r="T124" s="179"/>
      <c r="U124" s="180"/>
      <c r="W124" s="208" t="s">
        <v>89</v>
      </c>
      <c r="X124" s="217">
        <f>_xlfn.XLOOKUP(W124,マスタ!A:A,マスタ!C:C,0)*M124</f>
        <v>0</v>
      </c>
      <c r="Y124" s="218">
        <f>IF(N124="",0,_xlfn.XLOOKUP(W124,マスタ!A:A,マスタ!D:D,0)*M124)</f>
        <v>0</v>
      </c>
      <c r="Z124" s="219">
        <f>_xlfn.XLOOKUP(W124,マスタ!A:A,マスタ!E:E,0)*M124</f>
        <v>0</v>
      </c>
      <c r="AA124" s="219">
        <f>_xlfn.XLOOKUP(W124,マスタ!A:A,マスタ!F:F,0)*M124</f>
        <v>0</v>
      </c>
      <c r="AB124" s="219">
        <f>_xlfn.XLOOKUP(W124,マスタ!A:A,マスタ!G:G,0)*M124</f>
        <v>0</v>
      </c>
      <c r="AC124" s="220">
        <f>_xlfn.XLOOKUP(W124,マスタ!A:A,マスタ!H:H,0)*M124</f>
        <v>0</v>
      </c>
      <c r="AD124" s="227">
        <f t="shared" si="7"/>
        <v>0</v>
      </c>
    </row>
    <row r="125" spans="1:30" ht="15" customHeight="1">
      <c r="A125" s="145"/>
      <c r="B125" s="162"/>
      <c r="C125" s="162"/>
      <c r="D125" s="162"/>
      <c r="E125" s="174" t="s">
        <v>98</v>
      </c>
      <c r="F125" s="166"/>
      <c r="G125" s="166"/>
      <c r="H125" s="237"/>
      <c r="I125" s="433" t="s">
        <v>58</v>
      </c>
      <c r="J125" s="514"/>
      <c r="K125" s="434" t="s">
        <v>73</v>
      </c>
      <c r="L125" s="434" t="s">
        <v>73</v>
      </c>
      <c r="M125" s="435">
        <v>1</v>
      </c>
      <c r="N125" s="181"/>
      <c r="O125" s="182"/>
      <c r="P125" s="181"/>
      <c r="Q125" s="182"/>
      <c r="R125" s="181"/>
      <c r="S125" s="182"/>
      <c r="T125" s="181"/>
      <c r="U125" s="182"/>
      <c r="W125" s="208" t="s">
        <v>89</v>
      </c>
      <c r="X125" s="217">
        <f>_xlfn.XLOOKUP(W125,マスタ!A:A,マスタ!C:C,0)*M125</f>
        <v>0.99</v>
      </c>
      <c r="Y125" s="218">
        <f>IF(N125="",0,_xlfn.XLOOKUP(W125,マスタ!A:A,マスタ!D:D,0)*M125)</f>
        <v>0</v>
      </c>
      <c r="Z125" s="219">
        <f>_xlfn.XLOOKUP(W125,マスタ!A:A,マスタ!E:E,0)*M125</f>
        <v>1.17</v>
      </c>
      <c r="AA125" s="219">
        <f>_xlfn.XLOOKUP(W125,マスタ!A:A,マスタ!F:F,0)*M125</f>
        <v>1.32</v>
      </c>
      <c r="AB125" s="219">
        <f>_xlfn.XLOOKUP(W125,マスタ!A:A,マスタ!G:G,0)*M125</f>
        <v>0.39</v>
      </c>
      <c r="AC125" s="220">
        <f>_xlfn.XLOOKUP(W125,マスタ!A:A,マスタ!H:H,0)*M125</f>
        <v>0.39</v>
      </c>
      <c r="AD125" s="227">
        <f t="shared" si="7"/>
        <v>4.2600000000000007</v>
      </c>
    </row>
    <row r="126" spans="1:30" ht="15" customHeight="1">
      <c r="A126" s="145"/>
      <c r="B126" s="162"/>
      <c r="C126" s="162"/>
      <c r="D126" s="167"/>
      <c r="E126" s="175" t="s">
        <v>96</v>
      </c>
      <c r="F126" s="169"/>
      <c r="G126" s="169"/>
      <c r="H126" s="239"/>
      <c r="I126" s="436" t="s">
        <v>58</v>
      </c>
      <c r="J126" s="515"/>
      <c r="K126" s="437" t="s">
        <v>73</v>
      </c>
      <c r="L126" s="437" t="s">
        <v>73</v>
      </c>
      <c r="M126" s="438">
        <v>1</v>
      </c>
      <c r="N126" s="183"/>
      <c r="O126" s="184"/>
      <c r="P126" s="183"/>
      <c r="Q126" s="184"/>
      <c r="R126" s="183"/>
      <c r="S126" s="184"/>
      <c r="T126" s="183"/>
      <c r="U126" s="184"/>
      <c r="W126" s="208" t="s">
        <v>89</v>
      </c>
      <c r="X126" s="217">
        <f>_xlfn.XLOOKUP(W126,マスタ!A:A,マスタ!C:C,0)*M126</f>
        <v>0.99</v>
      </c>
      <c r="Y126" s="218">
        <f>IF(N126="",0,_xlfn.XLOOKUP(W126,マスタ!A:A,マスタ!D:D,0)*M126)</f>
        <v>0</v>
      </c>
      <c r="Z126" s="219">
        <f>_xlfn.XLOOKUP(W126,マスタ!A:A,マスタ!E:E,0)*M126</f>
        <v>1.17</v>
      </c>
      <c r="AA126" s="219">
        <f>_xlfn.XLOOKUP(W126,マスタ!A:A,マスタ!F:F,0)*M126</f>
        <v>1.32</v>
      </c>
      <c r="AB126" s="219">
        <f>_xlfn.XLOOKUP(W126,マスタ!A:A,マスタ!G:G,0)*M126</f>
        <v>0.39</v>
      </c>
      <c r="AC126" s="220">
        <f>_xlfn.XLOOKUP(W126,マスタ!A:A,マスタ!H:H,0)*M126</f>
        <v>0.39</v>
      </c>
      <c r="AD126" s="227">
        <f t="shared" si="7"/>
        <v>4.2600000000000007</v>
      </c>
    </row>
    <row r="127" spans="1:30" ht="15" customHeight="1">
      <c r="A127" s="145"/>
      <c r="B127" s="162"/>
      <c r="C127" s="162"/>
      <c r="D127" s="160" t="s">
        <v>138</v>
      </c>
      <c r="E127" s="161"/>
      <c r="F127" s="161"/>
      <c r="G127" s="161"/>
      <c r="H127" s="236"/>
      <c r="I127" s="430" t="s">
        <v>73</v>
      </c>
      <c r="J127" s="513"/>
      <c r="K127" s="431" t="s">
        <v>73</v>
      </c>
      <c r="L127" s="431" t="s">
        <v>73</v>
      </c>
      <c r="M127" s="432">
        <v>0</v>
      </c>
      <c r="N127" s="179"/>
      <c r="O127" s="180"/>
      <c r="P127" s="179"/>
      <c r="Q127" s="180"/>
      <c r="R127" s="179"/>
      <c r="S127" s="180"/>
      <c r="T127" s="179"/>
      <c r="U127" s="180"/>
      <c r="W127" s="208" t="s">
        <v>89</v>
      </c>
      <c r="X127" s="217">
        <f>_xlfn.XLOOKUP(W127,マスタ!A:A,マスタ!C:C,0)*M127</f>
        <v>0</v>
      </c>
      <c r="Y127" s="218">
        <f>IF(N127="",0,_xlfn.XLOOKUP(W127,マスタ!A:A,マスタ!D:D,0)*M127)</f>
        <v>0</v>
      </c>
      <c r="Z127" s="219">
        <f>_xlfn.XLOOKUP(W127,マスタ!A:A,マスタ!E:E,0)*M127</f>
        <v>0</v>
      </c>
      <c r="AA127" s="219">
        <f>_xlfn.XLOOKUP(W127,マスタ!A:A,マスタ!F:F,0)*M127</f>
        <v>0</v>
      </c>
      <c r="AB127" s="219">
        <f>_xlfn.XLOOKUP(W127,マスタ!A:A,マスタ!G:G,0)*M127</f>
        <v>0</v>
      </c>
      <c r="AC127" s="220">
        <f>_xlfn.XLOOKUP(W127,マスタ!A:A,マスタ!H:H,0)*M127</f>
        <v>0</v>
      </c>
      <c r="AD127" s="227">
        <f t="shared" si="7"/>
        <v>0</v>
      </c>
    </row>
    <row r="128" spans="1:30" ht="15" customHeight="1">
      <c r="A128" s="145"/>
      <c r="B128" s="162"/>
      <c r="C128" s="162"/>
      <c r="D128" s="162"/>
      <c r="E128" s="174" t="s">
        <v>98</v>
      </c>
      <c r="F128" s="166"/>
      <c r="G128" s="166"/>
      <c r="H128" s="237"/>
      <c r="I128" s="433" t="s">
        <v>58</v>
      </c>
      <c r="J128" s="514"/>
      <c r="K128" s="434" t="s">
        <v>73</v>
      </c>
      <c r="L128" s="434" t="s">
        <v>73</v>
      </c>
      <c r="M128" s="435">
        <v>1</v>
      </c>
      <c r="N128" s="181"/>
      <c r="O128" s="182"/>
      <c r="P128" s="181"/>
      <c r="Q128" s="182"/>
      <c r="R128" s="181"/>
      <c r="S128" s="182"/>
      <c r="T128" s="181"/>
      <c r="U128" s="182"/>
      <c r="W128" s="208" t="s">
        <v>89</v>
      </c>
      <c r="X128" s="217">
        <f>_xlfn.XLOOKUP(W128,マスタ!A:A,マスタ!C:C,0)*M128</f>
        <v>0.99</v>
      </c>
      <c r="Y128" s="218">
        <f>IF(N128="",0,_xlfn.XLOOKUP(W128,マスタ!A:A,マスタ!D:D,0)*M128)</f>
        <v>0</v>
      </c>
      <c r="Z128" s="219">
        <f>_xlfn.XLOOKUP(W128,マスタ!A:A,マスタ!E:E,0)*M128</f>
        <v>1.17</v>
      </c>
      <c r="AA128" s="219">
        <f>_xlfn.XLOOKUP(W128,マスタ!A:A,マスタ!F:F,0)*M128</f>
        <v>1.32</v>
      </c>
      <c r="AB128" s="219">
        <f>_xlfn.XLOOKUP(W128,マスタ!A:A,マスタ!G:G,0)*M128</f>
        <v>0.39</v>
      </c>
      <c r="AC128" s="220">
        <f>_xlfn.XLOOKUP(W128,マスタ!A:A,マスタ!H:H,0)*M128</f>
        <v>0.39</v>
      </c>
      <c r="AD128" s="227">
        <f t="shared" si="7"/>
        <v>4.2600000000000007</v>
      </c>
    </row>
    <row r="129" spans="1:30" ht="15" customHeight="1">
      <c r="A129" s="145"/>
      <c r="B129" s="162"/>
      <c r="C129" s="162"/>
      <c r="D129" s="167"/>
      <c r="E129" s="175" t="s">
        <v>96</v>
      </c>
      <c r="F129" s="169"/>
      <c r="G129" s="169"/>
      <c r="H129" s="239"/>
      <c r="I129" s="436" t="s">
        <v>58</v>
      </c>
      <c r="J129" s="515"/>
      <c r="K129" s="437" t="s">
        <v>73</v>
      </c>
      <c r="L129" s="437" t="s">
        <v>73</v>
      </c>
      <c r="M129" s="438">
        <v>1</v>
      </c>
      <c r="N129" s="183"/>
      <c r="O129" s="184"/>
      <c r="P129" s="183"/>
      <c r="Q129" s="184"/>
      <c r="R129" s="183"/>
      <c r="S129" s="184"/>
      <c r="T129" s="183"/>
      <c r="U129" s="184"/>
      <c r="W129" s="208" t="s">
        <v>89</v>
      </c>
      <c r="X129" s="217">
        <f>_xlfn.XLOOKUP(W129,マスタ!A:A,マスタ!C:C,0)*M129</f>
        <v>0.99</v>
      </c>
      <c r="Y129" s="218">
        <f>IF(N129="",0,_xlfn.XLOOKUP(W129,マスタ!A:A,マスタ!D:D,0)*M129)</f>
        <v>0</v>
      </c>
      <c r="Z129" s="219">
        <f>_xlfn.XLOOKUP(W129,マスタ!A:A,マスタ!E:E,0)*M129</f>
        <v>1.17</v>
      </c>
      <c r="AA129" s="219">
        <f>_xlfn.XLOOKUP(W129,マスタ!A:A,マスタ!F:F,0)*M129</f>
        <v>1.32</v>
      </c>
      <c r="AB129" s="219">
        <f>_xlfn.XLOOKUP(W129,マスタ!A:A,マスタ!G:G,0)*M129</f>
        <v>0.39</v>
      </c>
      <c r="AC129" s="220">
        <f>_xlfn.XLOOKUP(W129,マスタ!A:A,マスタ!H:H,0)*M129</f>
        <v>0.39</v>
      </c>
      <c r="AD129" s="227">
        <f t="shared" si="7"/>
        <v>4.2600000000000007</v>
      </c>
    </row>
    <row r="130" spans="1:30" ht="15" customHeight="1">
      <c r="A130" s="145"/>
      <c r="B130" s="162"/>
      <c r="C130" s="162"/>
      <c r="D130" s="160" t="s">
        <v>139</v>
      </c>
      <c r="E130" s="161"/>
      <c r="F130" s="161"/>
      <c r="G130" s="161"/>
      <c r="H130" s="236"/>
      <c r="I130" s="430" t="s">
        <v>73</v>
      </c>
      <c r="J130" s="513"/>
      <c r="K130" s="431" t="s">
        <v>73</v>
      </c>
      <c r="L130" s="431" t="s">
        <v>73</v>
      </c>
      <c r="M130" s="432">
        <v>0</v>
      </c>
      <c r="N130" s="179"/>
      <c r="O130" s="180"/>
      <c r="P130" s="179"/>
      <c r="Q130" s="180"/>
      <c r="R130" s="179"/>
      <c r="S130" s="180"/>
      <c r="T130" s="179"/>
      <c r="U130" s="180"/>
      <c r="W130" s="208" t="s">
        <v>89</v>
      </c>
      <c r="X130" s="217">
        <f>_xlfn.XLOOKUP(W130,マスタ!A:A,マスタ!C:C,0)*M130</f>
        <v>0</v>
      </c>
      <c r="Y130" s="218">
        <f>IF(N130="",0,_xlfn.XLOOKUP(W130,マスタ!A:A,マスタ!D:D,0)*M130)</f>
        <v>0</v>
      </c>
      <c r="Z130" s="219">
        <f>_xlfn.XLOOKUP(W130,マスタ!A:A,マスタ!E:E,0)*M130</f>
        <v>0</v>
      </c>
      <c r="AA130" s="219">
        <f>_xlfn.XLOOKUP(W130,マスタ!A:A,マスタ!F:F,0)*M130</f>
        <v>0</v>
      </c>
      <c r="AB130" s="219">
        <f>_xlfn.XLOOKUP(W130,マスタ!A:A,マスタ!G:G,0)*M130</f>
        <v>0</v>
      </c>
      <c r="AC130" s="220">
        <f>_xlfn.XLOOKUP(W130,マスタ!A:A,マスタ!H:H,0)*M130</f>
        <v>0</v>
      </c>
      <c r="AD130" s="227">
        <f t="shared" si="7"/>
        <v>0</v>
      </c>
    </row>
    <row r="131" spans="1:30" ht="15" customHeight="1">
      <c r="A131" s="145"/>
      <c r="B131" s="162"/>
      <c r="C131" s="162"/>
      <c r="D131" s="162"/>
      <c r="E131" s="174" t="s">
        <v>98</v>
      </c>
      <c r="F131" s="166"/>
      <c r="G131" s="166"/>
      <c r="H131" s="237"/>
      <c r="I131" s="433" t="s">
        <v>58</v>
      </c>
      <c r="J131" s="514"/>
      <c r="K131" s="434" t="s">
        <v>73</v>
      </c>
      <c r="L131" s="434" t="s">
        <v>73</v>
      </c>
      <c r="M131" s="435">
        <v>1</v>
      </c>
      <c r="N131" s="181"/>
      <c r="O131" s="182"/>
      <c r="P131" s="181"/>
      <c r="Q131" s="182"/>
      <c r="R131" s="181"/>
      <c r="S131" s="182"/>
      <c r="T131" s="181"/>
      <c r="U131" s="182"/>
      <c r="W131" s="208" t="s">
        <v>89</v>
      </c>
      <c r="X131" s="217">
        <f>_xlfn.XLOOKUP(W131,マスタ!A:A,マスタ!C:C,0)*M131</f>
        <v>0.99</v>
      </c>
      <c r="Y131" s="218">
        <f>IF(N131="",0,_xlfn.XLOOKUP(W131,マスタ!A:A,マスタ!D:D,0)*M131)</f>
        <v>0</v>
      </c>
      <c r="Z131" s="219">
        <f>_xlfn.XLOOKUP(W131,マスタ!A:A,マスタ!E:E,0)*M131</f>
        <v>1.17</v>
      </c>
      <c r="AA131" s="219">
        <f>_xlfn.XLOOKUP(W131,マスタ!A:A,マスタ!F:F,0)*M131</f>
        <v>1.32</v>
      </c>
      <c r="AB131" s="219">
        <f>_xlfn.XLOOKUP(W131,マスタ!A:A,マスタ!G:G,0)*M131</f>
        <v>0.39</v>
      </c>
      <c r="AC131" s="220">
        <f>_xlfn.XLOOKUP(W131,マスタ!A:A,マスタ!H:H,0)*M131</f>
        <v>0.39</v>
      </c>
      <c r="AD131" s="227">
        <f t="shared" si="7"/>
        <v>4.2600000000000007</v>
      </c>
    </row>
    <row r="132" spans="1:30" ht="15" customHeight="1">
      <c r="A132" s="145"/>
      <c r="B132" s="162"/>
      <c r="C132" s="162"/>
      <c r="D132" s="167"/>
      <c r="E132" s="175" t="s">
        <v>96</v>
      </c>
      <c r="F132" s="169"/>
      <c r="G132" s="169"/>
      <c r="H132" s="239"/>
      <c r="I132" s="436" t="s">
        <v>58</v>
      </c>
      <c r="J132" s="515"/>
      <c r="K132" s="437" t="s">
        <v>73</v>
      </c>
      <c r="L132" s="437" t="s">
        <v>73</v>
      </c>
      <c r="M132" s="438">
        <v>1</v>
      </c>
      <c r="N132" s="183"/>
      <c r="O132" s="184"/>
      <c r="P132" s="183"/>
      <c r="Q132" s="184"/>
      <c r="R132" s="183"/>
      <c r="S132" s="184"/>
      <c r="T132" s="183"/>
      <c r="U132" s="184"/>
      <c r="W132" s="208" t="s">
        <v>89</v>
      </c>
      <c r="X132" s="217">
        <f>_xlfn.XLOOKUP(W132,マスタ!A:A,マスタ!C:C,0)*M132</f>
        <v>0.99</v>
      </c>
      <c r="Y132" s="218">
        <f>IF(N132="",0,_xlfn.XLOOKUP(W132,マスタ!A:A,マスタ!D:D,0)*M132)</f>
        <v>0</v>
      </c>
      <c r="Z132" s="219">
        <f>_xlfn.XLOOKUP(W132,マスタ!A:A,マスタ!E:E,0)*M132</f>
        <v>1.17</v>
      </c>
      <c r="AA132" s="219">
        <f>_xlfn.XLOOKUP(W132,マスタ!A:A,マスタ!F:F,0)*M132</f>
        <v>1.32</v>
      </c>
      <c r="AB132" s="219">
        <f>_xlfn.XLOOKUP(W132,マスタ!A:A,マスタ!G:G,0)*M132</f>
        <v>0.39</v>
      </c>
      <c r="AC132" s="220">
        <f>_xlfn.XLOOKUP(W132,マスタ!A:A,マスタ!H:H,0)*M132</f>
        <v>0.39</v>
      </c>
      <c r="AD132" s="227">
        <f t="shared" si="7"/>
        <v>4.2600000000000007</v>
      </c>
    </row>
    <row r="133" spans="1:30" ht="15" customHeight="1">
      <c r="A133" s="145"/>
      <c r="B133" s="162"/>
      <c r="C133" s="162"/>
      <c r="D133" s="160" t="s">
        <v>140</v>
      </c>
      <c r="E133" s="161"/>
      <c r="F133" s="161"/>
      <c r="G133" s="161"/>
      <c r="H133" s="236"/>
      <c r="I133" s="430" t="s">
        <v>73</v>
      </c>
      <c r="J133" s="513"/>
      <c r="K133" s="431" t="s">
        <v>73</v>
      </c>
      <c r="L133" s="431" t="s">
        <v>73</v>
      </c>
      <c r="M133" s="432">
        <v>0</v>
      </c>
      <c r="N133" s="179"/>
      <c r="O133" s="180"/>
      <c r="P133" s="179"/>
      <c r="Q133" s="180"/>
      <c r="R133" s="179"/>
      <c r="S133" s="180"/>
      <c r="T133" s="179"/>
      <c r="U133" s="180"/>
      <c r="W133" s="208" t="s">
        <v>89</v>
      </c>
      <c r="X133" s="217">
        <f>_xlfn.XLOOKUP(W133,マスタ!A:A,マスタ!C:C,0)*M133</f>
        <v>0</v>
      </c>
      <c r="Y133" s="218">
        <f>IF(N133="",0,_xlfn.XLOOKUP(W133,マスタ!A:A,マスタ!D:D,0)*M133)</f>
        <v>0</v>
      </c>
      <c r="Z133" s="219">
        <f>_xlfn.XLOOKUP(W133,マスタ!A:A,マスタ!E:E,0)*M133</f>
        <v>0</v>
      </c>
      <c r="AA133" s="219">
        <f>_xlfn.XLOOKUP(W133,マスタ!A:A,マスタ!F:F,0)*M133</f>
        <v>0</v>
      </c>
      <c r="AB133" s="219">
        <f>_xlfn.XLOOKUP(W133,マスタ!A:A,マスタ!G:G,0)*M133</f>
        <v>0</v>
      </c>
      <c r="AC133" s="220">
        <f>_xlfn.XLOOKUP(W133,マスタ!A:A,マスタ!H:H,0)*M133</f>
        <v>0</v>
      </c>
      <c r="AD133" s="227">
        <f t="shared" si="7"/>
        <v>0</v>
      </c>
    </row>
    <row r="134" spans="1:30" ht="15" customHeight="1">
      <c r="A134" s="145"/>
      <c r="B134" s="162"/>
      <c r="C134" s="162"/>
      <c r="D134" s="162"/>
      <c r="E134" s="174" t="s">
        <v>98</v>
      </c>
      <c r="F134" s="166"/>
      <c r="G134" s="166"/>
      <c r="H134" s="237"/>
      <c r="I134" s="433" t="s">
        <v>58</v>
      </c>
      <c r="J134" s="514"/>
      <c r="K134" s="434" t="s">
        <v>73</v>
      </c>
      <c r="L134" s="434" t="s">
        <v>73</v>
      </c>
      <c r="M134" s="435">
        <v>1</v>
      </c>
      <c r="N134" s="181"/>
      <c r="O134" s="182"/>
      <c r="P134" s="181"/>
      <c r="Q134" s="182"/>
      <c r="R134" s="181"/>
      <c r="S134" s="182"/>
      <c r="T134" s="181"/>
      <c r="U134" s="182"/>
      <c r="W134" s="208" t="s">
        <v>89</v>
      </c>
      <c r="X134" s="217">
        <f>_xlfn.XLOOKUP(W134,マスタ!A:A,マスタ!C:C,0)*M134</f>
        <v>0.99</v>
      </c>
      <c r="Y134" s="218">
        <f>IF(N134="",0,_xlfn.XLOOKUP(W134,マスタ!A:A,マスタ!D:D,0)*M134)</f>
        <v>0</v>
      </c>
      <c r="Z134" s="219">
        <f>_xlfn.XLOOKUP(W134,マスタ!A:A,マスタ!E:E,0)*M134</f>
        <v>1.17</v>
      </c>
      <c r="AA134" s="219">
        <f>_xlfn.XLOOKUP(W134,マスタ!A:A,マスタ!F:F,0)*M134</f>
        <v>1.32</v>
      </c>
      <c r="AB134" s="219">
        <f>_xlfn.XLOOKUP(W134,マスタ!A:A,マスタ!G:G,0)*M134</f>
        <v>0.39</v>
      </c>
      <c r="AC134" s="220">
        <f>_xlfn.XLOOKUP(W134,マスタ!A:A,マスタ!H:H,0)*M134</f>
        <v>0.39</v>
      </c>
      <c r="AD134" s="227">
        <f t="shared" si="7"/>
        <v>4.2600000000000007</v>
      </c>
    </row>
    <row r="135" spans="1:30" ht="15" customHeight="1">
      <c r="A135" s="145"/>
      <c r="B135" s="162"/>
      <c r="C135" s="162"/>
      <c r="D135" s="167"/>
      <c r="E135" s="175" t="s">
        <v>96</v>
      </c>
      <c r="F135" s="169"/>
      <c r="G135" s="169"/>
      <c r="H135" s="239"/>
      <c r="I135" s="436" t="s">
        <v>58</v>
      </c>
      <c r="J135" s="515"/>
      <c r="K135" s="437" t="s">
        <v>73</v>
      </c>
      <c r="L135" s="437" t="s">
        <v>73</v>
      </c>
      <c r="M135" s="438">
        <v>1</v>
      </c>
      <c r="N135" s="183"/>
      <c r="O135" s="184"/>
      <c r="P135" s="183"/>
      <c r="Q135" s="184"/>
      <c r="R135" s="183"/>
      <c r="S135" s="184"/>
      <c r="T135" s="183"/>
      <c r="U135" s="184"/>
      <c r="W135" s="208" t="s">
        <v>89</v>
      </c>
      <c r="X135" s="217">
        <f>_xlfn.XLOOKUP(W135,マスタ!A:A,マスタ!C:C,0)*M135</f>
        <v>0.99</v>
      </c>
      <c r="Y135" s="218">
        <f>IF(N135="",0,_xlfn.XLOOKUP(W135,マスタ!A:A,マスタ!D:D,0)*M135)</f>
        <v>0</v>
      </c>
      <c r="Z135" s="219">
        <f>_xlfn.XLOOKUP(W135,マスタ!A:A,マスタ!E:E,0)*M135</f>
        <v>1.17</v>
      </c>
      <c r="AA135" s="219">
        <f>_xlfn.XLOOKUP(W135,マスタ!A:A,マスタ!F:F,0)*M135</f>
        <v>1.32</v>
      </c>
      <c r="AB135" s="219">
        <f>_xlfn.XLOOKUP(W135,マスタ!A:A,マスタ!G:G,0)*M135</f>
        <v>0.39</v>
      </c>
      <c r="AC135" s="220">
        <f>_xlfn.XLOOKUP(W135,マスタ!A:A,マスタ!H:H,0)*M135</f>
        <v>0.39</v>
      </c>
      <c r="AD135" s="227">
        <f t="shared" si="7"/>
        <v>4.2600000000000007</v>
      </c>
    </row>
    <row r="136" spans="1:30" ht="15" customHeight="1">
      <c r="A136" s="145"/>
      <c r="B136" s="162"/>
      <c r="C136" s="162"/>
      <c r="D136" s="160" t="s">
        <v>141</v>
      </c>
      <c r="E136" s="161"/>
      <c r="F136" s="161"/>
      <c r="G136" s="161"/>
      <c r="H136" s="236"/>
      <c r="I136" s="430" t="s">
        <v>73</v>
      </c>
      <c r="J136" s="513"/>
      <c r="K136" s="431" t="s">
        <v>73</v>
      </c>
      <c r="L136" s="431" t="s">
        <v>73</v>
      </c>
      <c r="M136" s="432">
        <v>0</v>
      </c>
      <c r="N136" s="179"/>
      <c r="O136" s="180"/>
      <c r="P136" s="179"/>
      <c r="Q136" s="180"/>
      <c r="R136" s="179"/>
      <c r="S136" s="180"/>
      <c r="T136" s="179"/>
      <c r="U136" s="180"/>
      <c r="W136" s="208" t="s">
        <v>89</v>
      </c>
      <c r="X136" s="217">
        <f>_xlfn.XLOOKUP(W136,マスタ!A:A,マスタ!C:C,0)*M136</f>
        <v>0</v>
      </c>
      <c r="Y136" s="218">
        <f>IF(N136="",0,_xlfn.XLOOKUP(W136,マスタ!A:A,マスタ!D:D,0)*M136)</f>
        <v>0</v>
      </c>
      <c r="Z136" s="219">
        <f>_xlfn.XLOOKUP(W136,マスタ!A:A,マスタ!E:E,0)*M136</f>
        <v>0</v>
      </c>
      <c r="AA136" s="219">
        <f>_xlfn.XLOOKUP(W136,マスタ!A:A,マスタ!F:F,0)*M136</f>
        <v>0</v>
      </c>
      <c r="AB136" s="219">
        <f>_xlfn.XLOOKUP(W136,マスタ!A:A,マスタ!G:G,0)*M136</f>
        <v>0</v>
      </c>
      <c r="AC136" s="220">
        <f>_xlfn.XLOOKUP(W136,マスタ!A:A,マスタ!H:H,0)*M136</f>
        <v>0</v>
      </c>
      <c r="AD136" s="227">
        <f t="shared" si="7"/>
        <v>0</v>
      </c>
    </row>
    <row r="137" spans="1:30" ht="15" customHeight="1">
      <c r="A137" s="145"/>
      <c r="B137" s="162"/>
      <c r="C137" s="162"/>
      <c r="D137" s="162"/>
      <c r="E137" s="174" t="s">
        <v>98</v>
      </c>
      <c r="F137" s="166"/>
      <c r="G137" s="166"/>
      <c r="H137" s="237"/>
      <c r="I137" s="433" t="s">
        <v>58</v>
      </c>
      <c r="J137" s="514"/>
      <c r="K137" s="434" t="s">
        <v>73</v>
      </c>
      <c r="L137" s="434" t="s">
        <v>73</v>
      </c>
      <c r="M137" s="435">
        <v>1</v>
      </c>
      <c r="N137" s="181"/>
      <c r="O137" s="182"/>
      <c r="P137" s="181"/>
      <c r="Q137" s="182"/>
      <c r="R137" s="181"/>
      <c r="S137" s="182"/>
      <c r="T137" s="181"/>
      <c r="U137" s="182"/>
      <c r="W137" s="208" t="s">
        <v>89</v>
      </c>
      <c r="X137" s="217">
        <f>_xlfn.XLOOKUP(W137,マスタ!A:A,マスタ!C:C,0)*M137</f>
        <v>0.99</v>
      </c>
      <c r="Y137" s="218">
        <f>IF(N137="",0,_xlfn.XLOOKUP(W137,マスタ!A:A,マスタ!D:D,0)*M137)</f>
        <v>0</v>
      </c>
      <c r="Z137" s="219">
        <f>_xlfn.XLOOKUP(W137,マスタ!A:A,マスタ!E:E,0)*M137</f>
        <v>1.17</v>
      </c>
      <c r="AA137" s="219">
        <f>_xlfn.XLOOKUP(W137,マスタ!A:A,マスタ!F:F,0)*M137</f>
        <v>1.32</v>
      </c>
      <c r="AB137" s="219">
        <f>_xlfn.XLOOKUP(W137,マスタ!A:A,マスタ!G:G,0)*M137</f>
        <v>0.39</v>
      </c>
      <c r="AC137" s="220">
        <f>_xlfn.XLOOKUP(W137,マスタ!A:A,マスタ!H:H,0)*M137</f>
        <v>0.39</v>
      </c>
      <c r="AD137" s="227">
        <f t="shared" si="7"/>
        <v>4.2600000000000007</v>
      </c>
    </row>
    <row r="138" spans="1:30" ht="15" customHeight="1">
      <c r="A138" s="145"/>
      <c r="B138" s="162"/>
      <c r="C138" s="167"/>
      <c r="D138" s="167"/>
      <c r="E138" s="175" t="s">
        <v>96</v>
      </c>
      <c r="F138" s="169"/>
      <c r="G138" s="169"/>
      <c r="H138" s="239"/>
      <c r="I138" s="436" t="s">
        <v>58</v>
      </c>
      <c r="J138" s="515"/>
      <c r="K138" s="437" t="s">
        <v>73</v>
      </c>
      <c r="L138" s="437" t="s">
        <v>73</v>
      </c>
      <c r="M138" s="438">
        <v>1</v>
      </c>
      <c r="N138" s="183"/>
      <c r="O138" s="184"/>
      <c r="P138" s="183"/>
      <c r="Q138" s="184"/>
      <c r="R138" s="183"/>
      <c r="S138" s="184"/>
      <c r="T138" s="183"/>
      <c r="U138" s="184"/>
      <c r="W138" s="208" t="s">
        <v>89</v>
      </c>
      <c r="X138" s="217">
        <f>_xlfn.XLOOKUP(W138,マスタ!A:A,マスタ!C:C,0)*M138</f>
        <v>0.99</v>
      </c>
      <c r="Y138" s="218">
        <f>IF(N138="",0,_xlfn.XLOOKUP(W138,マスタ!A:A,マスタ!D:D,0)*M138)</f>
        <v>0</v>
      </c>
      <c r="Z138" s="219">
        <f>_xlfn.XLOOKUP(W138,マスタ!A:A,マスタ!E:E,0)*M138</f>
        <v>1.17</v>
      </c>
      <c r="AA138" s="219">
        <f>_xlfn.XLOOKUP(W138,マスタ!A:A,マスタ!F:F,0)*M138</f>
        <v>1.32</v>
      </c>
      <c r="AB138" s="219">
        <f>_xlfn.XLOOKUP(W138,マスタ!A:A,マスタ!G:G,0)*M138</f>
        <v>0.39</v>
      </c>
      <c r="AC138" s="220">
        <f>_xlfn.XLOOKUP(W138,マスタ!A:A,マスタ!H:H,0)*M138</f>
        <v>0.39</v>
      </c>
      <c r="AD138" s="227">
        <f t="shared" ref="AD138" si="8">SUM(X138:AC138)</f>
        <v>4.2600000000000007</v>
      </c>
    </row>
    <row r="139" spans="1:30" ht="15" customHeight="1">
      <c r="A139" s="145"/>
      <c r="B139" s="162"/>
      <c r="C139" s="160" t="s">
        <v>142</v>
      </c>
      <c r="D139" s="155"/>
      <c r="E139" s="155" t="s">
        <v>143</v>
      </c>
      <c r="F139" s="155"/>
      <c r="G139" s="155"/>
      <c r="H139" s="247"/>
      <c r="I139" s="457" t="s">
        <v>58</v>
      </c>
      <c r="J139" s="521"/>
      <c r="K139" s="458" t="s">
        <v>73</v>
      </c>
      <c r="L139" s="458" t="s">
        <v>73</v>
      </c>
      <c r="M139" s="459">
        <v>1</v>
      </c>
      <c r="N139" s="248"/>
      <c r="O139" s="249"/>
      <c r="P139" s="248"/>
      <c r="Q139" s="249"/>
      <c r="R139" s="248"/>
      <c r="S139" s="249"/>
      <c r="T139" s="248"/>
      <c r="U139" s="249"/>
      <c r="W139" s="208" t="s">
        <v>89</v>
      </c>
      <c r="X139" s="217">
        <f>_xlfn.XLOOKUP(W139,マスタ!A:A,マスタ!C:C,0)*M139</f>
        <v>0.99</v>
      </c>
      <c r="Y139" s="218">
        <f>IF(N139="",0,_xlfn.XLOOKUP(W139,マスタ!A:A,マスタ!D:D,0)*M139)</f>
        <v>0</v>
      </c>
      <c r="Z139" s="219">
        <f>_xlfn.XLOOKUP(W139,マスタ!A:A,マスタ!E:E,0)*M139</f>
        <v>1.17</v>
      </c>
      <c r="AA139" s="219">
        <f>_xlfn.XLOOKUP(W139,マスタ!A:A,マスタ!F:F,0)*M139</f>
        <v>1.32</v>
      </c>
      <c r="AB139" s="219">
        <f>_xlfn.XLOOKUP(W139,マスタ!A:A,マスタ!G:G,0)*M139</f>
        <v>0.39</v>
      </c>
      <c r="AC139" s="220">
        <f>_xlfn.XLOOKUP(W139,マスタ!A:A,マスタ!H:H,0)*M139</f>
        <v>0.39</v>
      </c>
      <c r="AD139" s="227">
        <f t="shared" si="7"/>
        <v>4.2600000000000007</v>
      </c>
    </row>
    <row r="140" spans="1:30" ht="15" customHeight="1">
      <c r="A140" s="145"/>
      <c r="B140" s="162"/>
      <c r="C140" s="162"/>
      <c r="D140" s="160" t="s">
        <v>144</v>
      </c>
      <c r="E140" s="161"/>
      <c r="F140" s="161"/>
      <c r="G140" s="161"/>
      <c r="H140" s="240"/>
      <c r="I140" s="442" t="s">
        <v>74</v>
      </c>
      <c r="J140" s="517"/>
      <c r="K140" s="443" t="s">
        <v>73</v>
      </c>
      <c r="L140" s="443" t="s">
        <v>73</v>
      </c>
      <c r="M140" s="444">
        <v>0</v>
      </c>
      <c r="N140" s="177"/>
      <c r="O140" s="178"/>
      <c r="P140" s="177"/>
      <c r="Q140" s="178"/>
      <c r="R140" s="177"/>
      <c r="S140" s="178"/>
      <c r="T140" s="177"/>
      <c r="U140" s="178"/>
      <c r="W140" s="208" t="s">
        <v>89</v>
      </c>
      <c r="X140" s="217">
        <f>_xlfn.XLOOKUP(W140,マスタ!A:A,マスタ!C:C,0)*M140</f>
        <v>0</v>
      </c>
      <c r="Y140" s="218">
        <f>IF(N140="",0,_xlfn.XLOOKUP(W140,マスタ!A:A,マスタ!D:D,0)*M140)</f>
        <v>0</v>
      </c>
      <c r="Z140" s="219">
        <f>_xlfn.XLOOKUP(W140,マスタ!A:A,マスタ!E:E,0)*M140</f>
        <v>0</v>
      </c>
      <c r="AA140" s="219">
        <f>_xlfn.XLOOKUP(W140,マスタ!A:A,マスタ!F:F,0)*M140</f>
        <v>0</v>
      </c>
      <c r="AB140" s="219">
        <f>_xlfn.XLOOKUP(W140,マスタ!A:A,マスタ!G:G,0)*M140</f>
        <v>0</v>
      </c>
      <c r="AC140" s="220">
        <f>_xlfn.XLOOKUP(W140,マスタ!A:A,マスタ!H:H,0)*M140</f>
        <v>0</v>
      </c>
      <c r="AD140" s="227">
        <f t="shared" si="7"/>
        <v>0</v>
      </c>
    </row>
    <row r="141" spans="1:30" ht="15" customHeight="1">
      <c r="A141" s="145"/>
      <c r="B141" s="162"/>
      <c r="C141" s="162"/>
      <c r="D141" s="162"/>
      <c r="E141" s="174" t="s">
        <v>98</v>
      </c>
      <c r="F141" s="166"/>
      <c r="G141" s="166"/>
      <c r="H141" s="237"/>
      <c r="I141" s="433" t="s">
        <v>58</v>
      </c>
      <c r="J141" s="514"/>
      <c r="K141" s="434" t="s">
        <v>73</v>
      </c>
      <c r="L141" s="434" t="s">
        <v>73</v>
      </c>
      <c r="M141" s="435">
        <v>1</v>
      </c>
      <c r="N141" s="181"/>
      <c r="O141" s="182"/>
      <c r="P141" s="181"/>
      <c r="Q141" s="182"/>
      <c r="R141" s="181"/>
      <c r="S141" s="182"/>
      <c r="T141" s="181"/>
      <c r="U141" s="182"/>
      <c r="W141" s="208" t="s">
        <v>89</v>
      </c>
      <c r="X141" s="217">
        <f>_xlfn.XLOOKUP(W141,マスタ!A:A,マスタ!C:C,0)*M141</f>
        <v>0.99</v>
      </c>
      <c r="Y141" s="218">
        <f>IF(N141="",0,_xlfn.XLOOKUP(W141,マスタ!A:A,マスタ!D:D,0)*M141)</f>
        <v>0</v>
      </c>
      <c r="Z141" s="219">
        <f>_xlfn.XLOOKUP(W141,マスタ!A:A,マスタ!E:E,0)*M141</f>
        <v>1.17</v>
      </c>
      <c r="AA141" s="219">
        <f>_xlfn.XLOOKUP(W141,マスタ!A:A,マスタ!F:F,0)*M141</f>
        <v>1.32</v>
      </c>
      <c r="AB141" s="219">
        <f>_xlfn.XLOOKUP(W141,マスタ!A:A,マスタ!G:G,0)*M141</f>
        <v>0.39</v>
      </c>
      <c r="AC141" s="220">
        <f>_xlfn.XLOOKUP(W141,マスタ!A:A,マスタ!H:H,0)*M141</f>
        <v>0.39</v>
      </c>
      <c r="AD141" s="227">
        <f t="shared" si="7"/>
        <v>4.2600000000000007</v>
      </c>
    </row>
    <row r="142" spans="1:30" ht="15" customHeight="1">
      <c r="A142" s="145"/>
      <c r="B142" s="162"/>
      <c r="C142" s="162"/>
      <c r="D142" s="167"/>
      <c r="E142" s="175" t="s">
        <v>96</v>
      </c>
      <c r="F142" s="169"/>
      <c r="G142" s="169"/>
      <c r="H142" s="239"/>
      <c r="I142" s="436" t="s">
        <v>58</v>
      </c>
      <c r="J142" s="515"/>
      <c r="K142" s="437" t="s">
        <v>73</v>
      </c>
      <c r="L142" s="437" t="s">
        <v>73</v>
      </c>
      <c r="M142" s="438">
        <v>1</v>
      </c>
      <c r="N142" s="183"/>
      <c r="O142" s="184"/>
      <c r="P142" s="183"/>
      <c r="Q142" s="184"/>
      <c r="R142" s="183"/>
      <c r="S142" s="184"/>
      <c r="T142" s="183"/>
      <c r="U142" s="184"/>
      <c r="W142" s="208" t="s">
        <v>89</v>
      </c>
      <c r="X142" s="217">
        <f>_xlfn.XLOOKUP(W142,マスタ!A:A,マスタ!C:C,0)*M142</f>
        <v>0.99</v>
      </c>
      <c r="Y142" s="218">
        <f>IF(N142="",0,_xlfn.XLOOKUP(W142,マスタ!A:A,マスタ!D:D,0)*M142)</f>
        <v>0</v>
      </c>
      <c r="Z142" s="219">
        <f>_xlfn.XLOOKUP(W142,マスタ!A:A,マスタ!E:E,0)*M142</f>
        <v>1.17</v>
      </c>
      <c r="AA142" s="219">
        <f>_xlfn.XLOOKUP(W142,マスタ!A:A,マスタ!F:F,0)*M142</f>
        <v>1.32</v>
      </c>
      <c r="AB142" s="219">
        <f>_xlfn.XLOOKUP(W142,マスタ!A:A,マスタ!G:G,0)*M142</f>
        <v>0.39</v>
      </c>
      <c r="AC142" s="220">
        <f>_xlfn.XLOOKUP(W142,マスタ!A:A,マスタ!H:H,0)*M142</f>
        <v>0.39</v>
      </c>
      <c r="AD142" s="227">
        <f t="shared" si="7"/>
        <v>4.2600000000000007</v>
      </c>
    </row>
    <row r="143" spans="1:30" ht="15" customHeight="1">
      <c r="A143" s="145"/>
      <c r="B143" s="162"/>
      <c r="C143" s="162"/>
      <c r="D143" s="160" t="s">
        <v>145</v>
      </c>
      <c r="E143" s="161"/>
      <c r="F143" s="161"/>
      <c r="G143" s="161"/>
      <c r="H143" s="240"/>
      <c r="I143" s="442" t="s">
        <v>74</v>
      </c>
      <c r="J143" s="517"/>
      <c r="K143" s="443" t="s">
        <v>73</v>
      </c>
      <c r="L143" s="443" t="s">
        <v>73</v>
      </c>
      <c r="M143" s="444">
        <v>0</v>
      </c>
      <c r="N143" s="177"/>
      <c r="O143" s="178"/>
      <c r="P143" s="177"/>
      <c r="Q143" s="178"/>
      <c r="R143" s="177"/>
      <c r="S143" s="178"/>
      <c r="T143" s="177"/>
      <c r="U143" s="178"/>
      <c r="W143" s="208" t="s">
        <v>89</v>
      </c>
      <c r="X143" s="217">
        <f>_xlfn.XLOOKUP(W143,マスタ!A:A,マスタ!C:C,0)*M143</f>
        <v>0</v>
      </c>
      <c r="Y143" s="218">
        <f>IF(N143="",0,_xlfn.XLOOKUP(W143,マスタ!A:A,マスタ!D:D,0)*M143)</f>
        <v>0</v>
      </c>
      <c r="Z143" s="219">
        <f>_xlfn.XLOOKUP(W143,マスタ!A:A,マスタ!E:E,0)*M143</f>
        <v>0</v>
      </c>
      <c r="AA143" s="219">
        <f>_xlfn.XLOOKUP(W143,マスタ!A:A,マスタ!F:F,0)*M143</f>
        <v>0</v>
      </c>
      <c r="AB143" s="219">
        <f>_xlfn.XLOOKUP(W143,マスタ!A:A,マスタ!G:G,0)*M143</f>
        <v>0</v>
      </c>
      <c r="AC143" s="220">
        <f>_xlfn.XLOOKUP(W143,マスタ!A:A,マスタ!H:H,0)*M143</f>
        <v>0</v>
      </c>
      <c r="AD143" s="227">
        <f t="shared" si="7"/>
        <v>0</v>
      </c>
    </row>
    <row r="144" spans="1:30" ht="15" customHeight="1">
      <c r="A144" s="145"/>
      <c r="B144" s="162"/>
      <c r="C144" s="162"/>
      <c r="D144" s="162"/>
      <c r="E144" s="174" t="s">
        <v>98</v>
      </c>
      <c r="F144" s="166"/>
      <c r="G144" s="166"/>
      <c r="H144" s="237"/>
      <c r="I144" s="433" t="s">
        <v>58</v>
      </c>
      <c r="J144" s="514"/>
      <c r="K144" s="434" t="s">
        <v>73</v>
      </c>
      <c r="L144" s="434" t="s">
        <v>73</v>
      </c>
      <c r="M144" s="435">
        <v>1</v>
      </c>
      <c r="N144" s="181"/>
      <c r="O144" s="182"/>
      <c r="P144" s="181"/>
      <c r="Q144" s="182"/>
      <c r="R144" s="181"/>
      <c r="S144" s="182"/>
      <c r="T144" s="181"/>
      <c r="U144" s="182"/>
      <c r="W144" s="208" t="s">
        <v>89</v>
      </c>
      <c r="X144" s="217">
        <f>_xlfn.XLOOKUP(W144,マスタ!A:A,マスタ!C:C,0)*M144</f>
        <v>0.99</v>
      </c>
      <c r="Y144" s="218">
        <f>IF(N144="",0,_xlfn.XLOOKUP(W144,マスタ!A:A,マスタ!D:D,0)*M144)</f>
        <v>0</v>
      </c>
      <c r="Z144" s="219">
        <f>_xlfn.XLOOKUP(W144,マスタ!A:A,マスタ!E:E,0)*M144</f>
        <v>1.17</v>
      </c>
      <c r="AA144" s="219">
        <f>_xlfn.XLOOKUP(W144,マスタ!A:A,マスタ!F:F,0)*M144</f>
        <v>1.32</v>
      </c>
      <c r="AB144" s="219">
        <f>_xlfn.XLOOKUP(W144,マスタ!A:A,マスタ!G:G,0)*M144</f>
        <v>0.39</v>
      </c>
      <c r="AC144" s="220">
        <f>_xlfn.XLOOKUP(W144,マスタ!A:A,マスタ!H:H,0)*M144</f>
        <v>0.39</v>
      </c>
      <c r="AD144" s="227">
        <f t="shared" si="7"/>
        <v>4.2600000000000007</v>
      </c>
    </row>
    <row r="145" spans="1:30" ht="15" customHeight="1">
      <c r="A145" s="145"/>
      <c r="B145" s="162"/>
      <c r="C145" s="162"/>
      <c r="D145" s="167"/>
      <c r="E145" s="175" t="s">
        <v>96</v>
      </c>
      <c r="F145" s="169"/>
      <c r="G145" s="169"/>
      <c r="H145" s="239"/>
      <c r="I145" s="436" t="s">
        <v>58</v>
      </c>
      <c r="J145" s="515"/>
      <c r="K145" s="437" t="s">
        <v>73</v>
      </c>
      <c r="L145" s="437" t="s">
        <v>73</v>
      </c>
      <c r="M145" s="438">
        <v>1</v>
      </c>
      <c r="N145" s="183"/>
      <c r="O145" s="184"/>
      <c r="P145" s="183"/>
      <c r="Q145" s="184"/>
      <c r="R145" s="183"/>
      <c r="S145" s="184"/>
      <c r="T145" s="183"/>
      <c r="U145" s="184"/>
      <c r="W145" s="208" t="s">
        <v>89</v>
      </c>
      <c r="X145" s="217">
        <f>_xlfn.XLOOKUP(W145,マスタ!A:A,マスタ!C:C,0)*M145</f>
        <v>0.99</v>
      </c>
      <c r="Y145" s="218">
        <f>IF(N145="",0,_xlfn.XLOOKUP(W145,マスタ!A:A,マスタ!D:D,0)*M145)</f>
        <v>0</v>
      </c>
      <c r="Z145" s="219">
        <f>_xlfn.XLOOKUP(W145,マスタ!A:A,マスタ!E:E,0)*M145</f>
        <v>1.17</v>
      </c>
      <c r="AA145" s="219">
        <f>_xlfn.XLOOKUP(W145,マスタ!A:A,マスタ!F:F,0)*M145</f>
        <v>1.32</v>
      </c>
      <c r="AB145" s="219">
        <f>_xlfn.XLOOKUP(W145,マスタ!A:A,マスタ!G:G,0)*M145</f>
        <v>0.39</v>
      </c>
      <c r="AC145" s="220">
        <f>_xlfn.XLOOKUP(W145,マスタ!A:A,マスタ!H:H,0)*M145</f>
        <v>0.39</v>
      </c>
      <c r="AD145" s="227">
        <f t="shared" si="7"/>
        <v>4.2600000000000007</v>
      </c>
    </row>
    <row r="146" spans="1:30" ht="15" customHeight="1">
      <c r="A146" s="145"/>
      <c r="B146" s="162"/>
      <c r="C146" s="162"/>
      <c r="D146" s="160" t="s">
        <v>146</v>
      </c>
      <c r="E146" s="161"/>
      <c r="F146" s="161"/>
      <c r="G146" s="161"/>
      <c r="H146" s="240"/>
      <c r="I146" s="442" t="s">
        <v>74</v>
      </c>
      <c r="J146" s="517"/>
      <c r="K146" s="443" t="s">
        <v>73</v>
      </c>
      <c r="L146" s="443" t="s">
        <v>73</v>
      </c>
      <c r="M146" s="444">
        <v>0</v>
      </c>
      <c r="N146" s="177"/>
      <c r="O146" s="178"/>
      <c r="P146" s="177"/>
      <c r="Q146" s="178"/>
      <c r="R146" s="177"/>
      <c r="S146" s="178"/>
      <c r="T146" s="177"/>
      <c r="U146" s="178"/>
      <c r="W146" s="208" t="s">
        <v>89</v>
      </c>
      <c r="X146" s="217">
        <f>_xlfn.XLOOKUP(W146,マスタ!A:A,マスタ!C:C,0)*M146</f>
        <v>0</v>
      </c>
      <c r="Y146" s="218">
        <f>IF(N146="",0,_xlfn.XLOOKUP(W146,マスタ!A:A,マスタ!D:D,0)*M146)</f>
        <v>0</v>
      </c>
      <c r="Z146" s="219">
        <f>_xlfn.XLOOKUP(W146,マスタ!A:A,マスタ!E:E,0)*M146</f>
        <v>0</v>
      </c>
      <c r="AA146" s="219">
        <f>_xlfn.XLOOKUP(W146,マスタ!A:A,マスタ!F:F,0)*M146</f>
        <v>0</v>
      </c>
      <c r="AB146" s="219">
        <f>_xlfn.XLOOKUP(W146,マスタ!A:A,マスタ!G:G,0)*M146</f>
        <v>0</v>
      </c>
      <c r="AC146" s="220">
        <f>_xlfn.XLOOKUP(W146,マスタ!A:A,マスタ!H:H,0)*M146</f>
        <v>0</v>
      </c>
      <c r="AD146" s="227">
        <f t="shared" si="7"/>
        <v>0</v>
      </c>
    </row>
    <row r="147" spans="1:30" ht="15" customHeight="1">
      <c r="A147" s="145"/>
      <c r="B147" s="162"/>
      <c r="C147" s="162"/>
      <c r="D147" s="162"/>
      <c r="E147" s="174" t="s">
        <v>98</v>
      </c>
      <c r="F147" s="166"/>
      <c r="G147" s="166"/>
      <c r="H147" s="237"/>
      <c r="I147" s="433" t="s">
        <v>58</v>
      </c>
      <c r="J147" s="514"/>
      <c r="K147" s="434" t="s">
        <v>73</v>
      </c>
      <c r="L147" s="434" t="s">
        <v>73</v>
      </c>
      <c r="M147" s="435">
        <v>1</v>
      </c>
      <c r="N147" s="181"/>
      <c r="O147" s="182"/>
      <c r="P147" s="181"/>
      <c r="Q147" s="182"/>
      <c r="R147" s="181"/>
      <c r="S147" s="182"/>
      <c r="T147" s="181"/>
      <c r="U147" s="182"/>
      <c r="W147" s="208" t="s">
        <v>89</v>
      </c>
      <c r="X147" s="217">
        <f>_xlfn.XLOOKUP(W147,マスタ!A:A,マスタ!C:C,0)*M147</f>
        <v>0.99</v>
      </c>
      <c r="Y147" s="218">
        <f>IF(N147="",0,_xlfn.XLOOKUP(W147,マスタ!A:A,マスタ!D:D,0)*M147)</f>
        <v>0</v>
      </c>
      <c r="Z147" s="219">
        <f>_xlfn.XLOOKUP(W147,マスタ!A:A,マスタ!E:E,0)*M147</f>
        <v>1.17</v>
      </c>
      <c r="AA147" s="219">
        <f>_xlfn.XLOOKUP(W147,マスタ!A:A,マスタ!F:F,0)*M147</f>
        <v>1.32</v>
      </c>
      <c r="AB147" s="219">
        <f>_xlfn.XLOOKUP(W147,マスタ!A:A,マスタ!G:G,0)*M147</f>
        <v>0.39</v>
      </c>
      <c r="AC147" s="220">
        <f>_xlfn.XLOOKUP(W147,マスタ!A:A,マスタ!H:H,0)*M147</f>
        <v>0.39</v>
      </c>
      <c r="AD147" s="227">
        <f t="shared" si="7"/>
        <v>4.2600000000000007</v>
      </c>
    </row>
    <row r="148" spans="1:30" ht="15" customHeight="1">
      <c r="A148" s="145"/>
      <c r="B148" s="162"/>
      <c r="C148" s="162"/>
      <c r="D148" s="167"/>
      <c r="E148" s="175" t="s">
        <v>96</v>
      </c>
      <c r="F148" s="169"/>
      <c r="G148" s="169"/>
      <c r="H148" s="239"/>
      <c r="I148" s="436" t="s">
        <v>58</v>
      </c>
      <c r="J148" s="515"/>
      <c r="K148" s="437" t="s">
        <v>73</v>
      </c>
      <c r="L148" s="437" t="s">
        <v>73</v>
      </c>
      <c r="M148" s="438">
        <v>1</v>
      </c>
      <c r="N148" s="183"/>
      <c r="O148" s="184"/>
      <c r="P148" s="183"/>
      <c r="Q148" s="184"/>
      <c r="R148" s="183"/>
      <c r="S148" s="184"/>
      <c r="T148" s="183"/>
      <c r="U148" s="184"/>
      <c r="W148" s="208" t="s">
        <v>89</v>
      </c>
      <c r="X148" s="217">
        <f>_xlfn.XLOOKUP(W148,マスタ!A:A,マスタ!C:C,0)*M148</f>
        <v>0.99</v>
      </c>
      <c r="Y148" s="218">
        <f>IF(N148="",0,_xlfn.XLOOKUP(W148,マスタ!A:A,マスタ!D:D,0)*M148)</f>
        <v>0</v>
      </c>
      <c r="Z148" s="219">
        <f>_xlfn.XLOOKUP(W148,マスタ!A:A,マスタ!E:E,0)*M148</f>
        <v>1.17</v>
      </c>
      <c r="AA148" s="219">
        <f>_xlfn.XLOOKUP(W148,マスタ!A:A,マスタ!F:F,0)*M148</f>
        <v>1.32</v>
      </c>
      <c r="AB148" s="219">
        <f>_xlfn.XLOOKUP(W148,マスタ!A:A,マスタ!G:G,0)*M148</f>
        <v>0.39</v>
      </c>
      <c r="AC148" s="220">
        <f>_xlfn.XLOOKUP(W148,マスタ!A:A,マスタ!H:H,0)*M148</f>
        <v>0.39</v>
      </c>
      <c r="AD148" s="227">
        <f t="shared" si="7"/>
        <v>4.2600000000000007</v>
      </c>
    </row>
    <row r="149" spans="1:30" ht="15" customHeight="1">
      <c r="A149" s="145"/>
      <c r="B149" s="162"/>
      <c r="C149" s="162"/>
      <c r="D149" s="160" t="s">
        <v>147</v>
      </c>
      <c r="E149" s="161"/>
      <c r="F149" s="161"/>
      <c r="G149" s="161"/>
      <c r="H149" s="240"/>
      <c r="I149" s="442" t="s">
        <v>74</v>
      </c>
      <c r="J149" s="517"/>
      <c r="K149" s="443" t="s">
        <v>73</v>
      </c>
      <c r="L149" s="443" t="s">
        <v>73</v>
      </c>
      <c r="M149" s="444">
        <v>0</v>
      </c>
      <c r="N149" s="177"/>
      <c r="O149" s="178"/>
      <c r="P149" s="177"/>
      <c r="Q149" s="178"/>
      <c r="R149" s="177"/>
      <c r="S149" s="178"/>
      <c r="T149" s="177"/>
      <c r="U149" s="178"/>
      <c r="W149" s="208" t="s">
        <v>89</v>
      </c>
      <c r="X149" s="217">
        <f>_xlfn.XLOOKUP(W149,マスタ!A:A,マスタ!C:C,0)*M149</f>
        <v>0</v>
      </c>
      <c r="Y149" s="218">
        <f>IF(N149="",0,_xlfn.XLOOKUP(W149,マスタ!A:A,マスタ!D:D,0)*M149)</f>
        <v>0</v>
      </c>
      <c r="Z149" s="219">
        <f>_xlfn.XLOOKUP(W149,マスタ!A:A,マスタ!E:E,0)*M149</f>
        <v>0</v>
      </c>
      <c r="AA149" s="219">
        <f>_xlfn.XLOOKUP(W149,マスタ!A:A,マスタ!F:F,0)*M149</f>
        <v>0</v>
      </c>
      <c r="AB149" s="219">
        <f>_xlfn.XLOOKUP(W149,マスタ!A:A,マスタ!G:G,0)*M149</f>
        <v>0</v>
      </c>
      <c r="AC149" s="220">
        <f>_xlfn.XLOOKUP(W149,マスタ!A:A,マスタ!H:H,0)*M149</f>
        <v>0</v>
      </c>
      <c r="AD149" s="227">
        <f t="shared" si="7"/>
        <v>0</v>
      </c>
    </row>
    <row r="150" spans="1:30" ht="15" customHeight="1">
      <c r="A150" s="145"/>
      <c r="B150" s="162"/>
      <c r="C150" s="162"/>
      <c r="D150" s="162"/>
      <c r="E150" s="174" t="s">
        <v>98</v>
      </c>
      <c r="F150" s="166"/>
      <c r="G150" s="166"/>
      <c r="H150" s="237"/>
      <c r="I150" s="433" t="s">
        <v>58</v>
      </c>
      <c r="J150" s="514"/>
      <c r="K150" s="434" t="s">
        <v>73</v>
      </c>
      <c r="L150" s="434" t="s">
        <v>73</v>
      </c>
      <c r="M150" s="435">
        <v>1</v>
      </c>
      <c r="N150" s="181"/>
      <c r="O150" s="182"/>
      <c r="P150" s="181"/>
      <c r="Q150" s="182"/>
      <c r="R150" s="181"/>
      <c r="S150" s="182"/>
      <c r="T150" s="181"/>
      <c r="U150" s="182"/>
      <c r="W150" s="208" t="s">
        <v>89</v>
      </c>
      <c r="X150" s="217">
        <f>_xlfn.XLOOKUP(W150,マスタ!A:A,マスタ!C:C,0)*M150</f>
        <v>0.99</v>
      </c>
      <c r="Y150" s="218">
        <f>IF(N150="",0,_xlfn.XLOOKUP(W150,マスタ!A:A,マスタ!D:D,0)*M150)</f>
        <v>0</v>
      </c>
      <c r="Z150" s="219">
        <f>_xlfn.XLOOKUP(W150,マスタ!A:A,マスタ!E:E,0)*M150</f>
        <v>1.17</v>
      </c>
      <c r="AA150" s="219">
        <f>_xlfn.XLOOKUP(W150,マスタ!A:A,マスタ!F:F,0)*M150</f>
        <v>1.32</v>
      </c>
      <c r="AB150" s="219">
        <f>_xlfn.XLOOKUP(W150,マスタ!A:A,マスタ!G:G,0)*M150</f>
        <v>0.39</v>
      </c>
      <c r="AC150" s="220">
        <f>_xlfn.XLOOKUP(W150,マスタ!A:A,マスタ!H:H,0)*M150</f>
        <v>0.39</v>
      </c>
      <c r="AD150" s="227">
        <f t="shared" si="7"/>
        <v>4.2600000000000007</v>
      </c>
    </row>
    <row r="151" spans="1:30" ht="15" customHeight="1">
      <c r="A151" s="145"/>
      <c r="B151" s="162"/>
      <c r="C151" s="162"/>
      <c r="D151" s="167"/>
      <c r="E151" s="175" t="s">
        <v>96</v>
      </c>
      <c r="F151" s="169"/>
      <c r="G151" s="169"/>
      <c r="H151" s="239"/>
      <c r="I151" s="436" t="s">
        <v>58</v>
      </c>
      <c r="J151" s="515"/>
      <c r="K151" s="437" t="s">
        <v>73</v>
      </c>
      <c r="L151" s="437" t="s">
        <v>73</v>
      </c>
      <c r="M151" s="438">
        <v>1</v>
      </c>
      <c r="N151" s="183"/>
      <c r="O151" s="184"/>
      <c r="P151" s="183"/>
      <c r="Q151" s="184"/>
      <c r="R151" s="183"/>
      <c r="S151" s="184"/>
      <c r="T151" s="183"/>
      <c r="U151" s="184"/>
      <c r="W151" s="208" t="s">
        <v>89</v>
      </c>
      <c r="X151" s="217">
        <f>_xlfn.XLOOKUP(W151,マスタ!A:A,マスタ!C:C,0)*M151</f>
        <v>0.99</v>
      </c>
      <c r="Y151" s="218">
        <f>IF(N151="",0,_xlfn.XLOOKUP(W151,マスタ!A:A,マスタ!D:D,0)*M151)</f>
        <v>0</v>
      </c>
      <c r="Z151" s="219">
        <f>_xlfn.XLOOKUP(W151,マスタ!A:A,マスタ!E:E,0)*M151</f>
        <v>1.17</v>
      </c>
      <c r="AA151" s="219">
        <f>_xlfn.XLOOKUP(W151,マスタ!A:A,マスタ!F:F,0)*M151</f>
        <v>1.32</v>
      </c>
      <c r="AB151" s="219">
        <f>_xlfn.XLOOKUP(W151,マスタ!A:A,マスタ!G:G,0)*M151</f>
        <v>0.39</v>
      </c>
      <c r="AC151" s="220">
        <f>_xlfn.XLOOKUP(W151,マスタ!A:A,マスタ!H:H,0)*M151</f>
        <v>0.39</v>
      </c>
      <c r="AD151" s="227">
        <f t="shared" si="7"/>
        <v>4.2600000000000007</v>
      </c>
    </row>
    <row r="152" spans="1:30" ht="15" customHeight="1">
      <c r="A152" s="145"/>
      <c r="B152" s="162"/>
      <c r="C152" s="162"/>
      <c r="D152" s="160" t="s">
        <v>148</v>
      </c>
      <c r="E152" s="161"/>
      <c r="F152" s="161"/>
      <c r="G152" s="161"/>
      <c r="H152" s="240"/>
      <c r="I152" s="442" t="s">
        <v>74</v>
      </c>
      <c r="J152" s="517"/>
      <c r="K152" s="443" t="s">
        <v>73</v>
      </c>
      <c r="L152" s="443" t="s">
        <v>73</v>
      </c>
      <c r="M152" s="444">
        <v>0</v>
      </c>
      <c r="N152" s="177"/>
      <c r="O152" s="178"/>
      <c r="P152" s="177"/>
      <c r="Q152" s="178"/>
      <c r="R152" s="177"/>
      <c r="S152" s="178"/>
      <c r="T152" s="177"/>
      <c r="U152" s="178"/>
      <c r="W152" s="208" t="s">
        <v>89</v>
      </c>
      <c r="X152" s="217">
        <f>_xlfn.XLOOKUP(W152,マスタ!A:A,マスタ!C:C,0)*M152</f>
        <v>0</v>
      </c>
      <c r="Y152" s="218">
        <f>IF(N152="",0,_xlfn.XLOOKUP(W152,マスタ!A:A,マスタ!D:D,0)*M152)</f>
        <v>0</v>
      </c>
      <c r="Z152" s="219">
        <f>_xlfn.XLOOKUP(W152,マスタ!A:A,マスタ!E:E,0)*M152</f>
        <v>0</v>
      </c>
      <c r="AA152" s="219">
        <f>_xlfn.XLOOKUP(W152,マスタ!A:A,マスタ!F:F,0)*M152</f>
        <v>0</v>
      </c>
      <c r="AB152" s="219">
        <f>_xlfn.XLOOKUP(W152,マスタ!A:A,マスタ!G:G,0)*M152</f>
        <v>0</v>
      </c>
      <c r="AC152" s="220">
        <f>_xlfn.XLOOKUP(W152,マスタ!A:A,マスタ!H:H,0)*M152</f>
        <v>0</v>
      </c>
      <c r="AD152" s="227">
        <f t="shared" si="7"/>
        <v>0</v>
      </c>
    </row>
    <row r="153" spans="1:30" ht="15" customHeight="1">
      <c r="A153" s="145"/>
      <c r="B153" s="162"/>
      <c r="C153" s="162"/>
      <c r="D153" s="162"/>
      <c r="E153" s="174" t="s">
        <v>98</v>
      </c>
      <c r="F153" s="166"/>
      <c r="G153" s="166"/>
      <c r="H153" s="237"/>
      <c r="I153" s="433" t="s">
        <v>58</v>
      </c>
      <c r="J153" s="514"/>
      <c r="K153" s="434" t="s">
        <v>73</v>
      </c>
      <c r="L153" s="434" t="s">
        <v>73</v>
      </c>
      <c r="M153" s="435">
        <v>1</v>
      </c>
      <c r="N153" s="181"/>
      <c r="O153" s="182"/>
      <c r="P153" s="181"/>
      <c r="Q153" s="182"/>
      <c r="R153" s="181"/>
      <c r="S153" s="182"/>
      <c r="T153" s="181"/>
      <c r="U153" s="182"/>
      <c r="W153" s="208" t="s">
        <v>89</v>
      </c>
      <c r="X153" s="217">
        <f>_xlfn.XLOOKUP(W153,マスタ!A:A,マスタ!C:C,0)*M153</f>
        <v>0.99</v>
      </c>
      <c r="Y153" s="218">
        <f>IF(N153="",0,_xlfn.XLOOKUP(W153,マスタ!A:A,マスタ!D:D,0)*M153)</f>
        <v>0</v>
      </c>
      <c r="Z153" s="219">
        <f>_xlfn.XLOOKUP(W153,マスタ!A:A,マスタ!E:E,0)*M153</f>
        <v>1.17</v>
      </c>
      <c r="AA153" s="219">
        <f>_xlfn.XLOOKUP(W153,マスタ!A:A,マスタ!F:F,0)*M153</f>
        <v>1.32</v>
      </c>
      <c r="AB153" s="219">
        <f>_xlfn.XLOOKUP(W153,マスタ!A:A,マスタ!G:G,0)*M153</f>
        <v>0.39</v>
      </c>
      <c r="AC153" s="220">
        <f>_xlfn.XLOOKUP(W153,マスタ!A:A,マスタ!H:H,0)*M153</f>
        <v>0.39</v>
      </c>
      <c r="AD153" s="227">
        <f t="shared" si="7"/>
        <v>4.2600000000000007</v>
      </c>
    </row>
    <row r="154" spans="1:30" ht="15" customHeight="1">
      <c r="A154" s="145"/>
      <c r="B154" s="162"/>
      <c r="C154" s="162"/>
      <c r="D154" s="167"/>
      <c r="E154" s="175" t="s">
        <v>96</v>
      </c>
      <c r="F154" s="169"/>
      <c r="G154" s="169"/>
      <c r="H154" s="239"/>
      <c r="I154" s="436" t="s">
        <v>58</v>
      </c>
      <c r="J154" s="515"/>
      <c r="K154" s="437" t="s">
        <v>73</v>
      </c>
      <c r="L154" s="437" t="s">
        <v>73</v>
      </c>
      <c r="M154" s="438">
        <v>1</v>
      </c>
      <c r="N154" s="183"/>
      <c r="O154" s="184"/>
      <c r="P154" s="183"/>
      <c r="Q154" s="184"/>
      <c r="R154" s="183"/>
      <c r="S154" s="184"/>
      <c r="T154" s="183"/>
      <c r="U154" s="184"/>
      <c r="W154" s="208" t="s">
        <v>89</v>
      </c>
      <c r="X154" s="217">
        <f>_xlfn.XLOOKUP(W154,マスタ!A:A,マスタ!C:C,0)*M154</f>
        <v>0.99</v>
      </c>
      <c r="Y154" s="218">
        <f>IF(N154="",0,_xlfn.XLOOKUP(W154,マスタ!A:A,マスタ!D:D,0)*M154)</f>
        <v>0</v>
      </c>
      <c r="Z154" s="219">
        <f>_xlfn.XLOOKUP(W154,マスタ!A:A,マスタ!E:E,0)*M154</f>
        <v>1.17</v>
      </c>
      <c r="AA154" s="219">
        <f>_xlfn.XLOOKUP(W154,マスタ!A:A,マスタ!F:F,0)*M154</f>
        <v>1.32</v>
      </c>
      <c r="AB154" s="219">
        <f>_xlfn.XLOOKUP(W154,マスタ!A:A,マスタ!G:G,0)*M154</f>
        <v>0.39</v>
      </c>
      <c r="AC154" s="220">
        <f>_xlfn.XLOOKUP(W154,マスタ!A:A,マスタ!H:H,0)*M154</f>
        <v>0.39</v>
      </c>
      <c r="AD154" s="227">
        <f t="shared" si="7"/>
        <v>4.2600000000000007</v>
      </c>
    </row>
    <row r="155" spans="1:30" ht="15" customHeight="1">
      <c r="A155" s="145"/>
      <c r="B155" s="162"/>
      <c r="C155" s="162"/>
      <c r="D155" s="160" t="s">
        <v>149</v>
      </c>
      <c r="E155" s="161"/>
      <c r="F155" s="161"/>
      <c r="G155" s="161"/>
      <c r="H155" s="240"/>
      <c r="I155" s="442" t="s">
        <v>74</v>
      </c>
      <c r="J155" s="517"/>
      <c r="K155" s="443" t="s">
        <v>73</v>
      </c>
      <c r="L155" s="443" t="s">
        <v>73</v>
      </c>
      <c r="M155" s="444">
        <v>0</v>
      </c>
      <c r="N155" s="177"/>
      <c r="O155" s="178"/>
      <c r="P155" s="177"/>
      <c r="Q155" s="178"/>
      <c r="R155" s="177"/>
      <c r="S155" s="178"/>
      <c r="T155" s="177"/>
      <c r="U155" s="178"/>
      <c r="W155" s="208" t="s">
        <v>89</v>
      </c>
      <c r="X155" s="217">
        <f>_xlfn.XLOOKUP(W155,マスタ!A:A,マスタ!C:C,0)*M155</f>
        <v>0</v>
      </c>
      <c r="Y155" s="218">
        <f>IF(N155="",0,_xlfn.XLOOKUP(W155,マスタ!A:A,マスタ!D:D,0)*M155)</f>
        <v>0</v>
      </c>
      <c r="Z155" s="219">
        <f>_xlfn.XLOOKUP(W155,マスタ!A:A,マスタ!E:E,0)*M155</f>
        <v>0</v>
      </c>
      <c r="AA155" s="219">
        <f>_xlfn.XLOOKUP(W155,マスタ!A:A,マスタ!F:F,0)*M155</f>
        <v>0</v>
      </c>
      <c r="AB155" s="219">
        <f>_xlfn.XLOOKUP(W155,マスタ!A:A,マスタ!G:G,0)*M155</f>
        <v>0</v>
      </c>
      <c r="AC155" s="220">
        <f>_xlfn.XLOOKUP(W155,マスタ!A:A,マスタ!H:H,0)*M155</f>
        <v>0</v>
      </c>
      <c r="AD155" s="227">
        <f t="shared" si="7"/>
        <v>0</v>
      </c>
    </row>
    <row r="156" spans="1:30" ht="15" customHeight="1">
      <c r="A156" s="145"/>
      <c r="B156" s="162"/>
      <c r="C156" s="162"/>
      <c r="D156" s="162"/>
      <c r="E156" s="174" t="s">
        <v>98</v>
      </c>
      <c r="F156" s="166"/>
      <c r="G156" s="166"/>
      <c r="H156" s="237"/>
      <c r="I156" s="433" t="s">
        <v>58</v>
      </c>
      <c r="J156" s="514"/>
      <c r="K156" s="434" t="s">
        <v>73</v>
      </c>
      <c r="L156" s="434" t="s">
        <v>73</v>
      </c>
      <c r="M156" s="435">
        <v>1</v>
      </c>
      <c r="N156" s="181"/>
      <c r="O156" s="182"/>
      <c r="P156" s="181"/>
      <c r="Q156" s="182"/>
      <c r="R156" s="181"/>
      <c r="S156" s="182"/>
      <c r="T156" s="181"/>
      <c r="U156" s="182"/>
      <c r="W156" s="208" t="s">
        <v>89</v>
      </c>
      <c r="X156" s="217">
        <f>_xlfn.XLOOKUP(W156,マスタ!A:A,マスタ!C:C,0)*M156</f>
        <v>0.99</v>
      </c>
      <c r="Y156" s="218">
        <f>IF(N156="",0,_xlfn.XLOOKUP(W156,マスタ!A:A,マスタ!D:D,0)*M156)</f>
        <v>0</v>
      </c>
      <c r="Z156" s="219">
        <f>_xlfn.XLOOKUP(W156,マスタ!A:A,マスタ!E:E,0)*M156</f>
        <v>1.17</v>
      </c>
      <c r="AA156" s="219">
        <f>_xlfn.XLOOKUP(W156,マスタ!A:A,マスタ!F:F,0)*M156</f>
        <v>1.32</v>
      </c>
      <c r="AB156" s="219">
        <f>_xlfn.XLOOKUP(W156,マスタ!A:A,マスタ!G:G,0)*M156</f>
        <v>0.39</v>
      </c>
      <c r="AC156" s="220">
        <f>_xlfn.XLOOKUP(W156,マスタ!A:A,マスタ!H:H,0)*M156</f>
        <v>0.39</v>
      </c>
      <c r="AD156" s="227">
        <f t="shared" si="7"/>
        <v>4.2600000000000007</v>
      </c>
    </row>
    <row r="157" spans="1:30" ht="15" customHeight="1">
      <c r="A157" s="145"/>
      <c r="B157" s="162"/>
      <c r="C157" s="162"/>
      <c r="D157" s="167"/>
      <c r="E157" s="175" t="s">
        <v>96</v>
      </c>
      <c r="F157" s="169"/>
      <c r="G157" s="169"/>
      <c r="H157" s="239"/>
      <c r="I157" s="436" t="s">
        <v>58</v>
      </c>
      <c r="J157" s="515"/>
      <c r="K157" s="437" t="s">
        <v>73</v>
      </c>
      <c r="L157" s="437" t="s">
        <v>73</v>
      </c>
      <c r="M157" s="438">
        <v>1</v>
      </c>
      <c r="N157" s="183"/>
      <c r="O157" s="184"/>
      <c r="P157" s="183"/>
      <c r="Q157" s="184"/>
      <c r="R157" s="183"/>
      <c r="S157" s="184"/>
      <c r="T157" s="183"/>
      <c r="U157" s="184"/>
      <c r="W157" s="208" t="s">
        <v>89</v>
      </c>
      <c r="X157" s="217">
        <f>_xlfn.XLOOKUP(W157,マスタ!A:A,マスタ!C:C,0)*M157</f>
        <v>0.99</v>
      </c>
      <c r="Y157" s="218">
        <f>IF(N157="",0,_xlfn.XLOOKUP(W157,マスタ!A:A,マスタ!D:D,0)*M157)</f>
        <v>0</v>
      </c>
      <c r="Z157" s="219">
        <f>_xlfn.XLOOKUP(W157,マスタ!A:A,マスタ!E:E,0)*M157</f>
        <v>1.17</v>
      </c>
      <c r="AA157" s="219">
        <f>_xlfn.XLOOKUP(W157,マスタ!A:A,マスタ!F:F,0)*M157</f>
        <v>1.32</v>
      </c>
      <c r="AB157" s="219">
        <f>_xlfn.XLOOKUP(W157,マスタ!A:A,マスタ!G:G,0)*M157</f>
        <v>0.39</v>
      </c>
      <c r="AC157" s="220">
        <f>_xlfn.XLOOKUP(W157,マスタ!A:A,マスタ!H:H,0)*M157</f>
        <v>0.39</v>
      </c>
      <c r="AD157" s="227">
        <f t="shared" si="7"/>
        <v>4.2600000000000007</v>
      </c>
    </row>
    <row r="158" spans="1:30" ht="15" customHeight="1">
      <c r="A158" s="145"/>
      <c r="B158" s="162"/>
      <c r="C158" s="162"/>
      <c r="D158" s="160" t="s">
        <v>150</v>
      </c>
      <c r="E158" s="161"/>
      <c r="F158" s="161"/>
      <c r="G158" s="161"/>
      <c r="H158" s="240"/>
      <c r="I158" s="442" t="s">
        <v>74</v>
      </c>
      <c r="J158" s="517"/>
      <c r="K158" s="443" t="s">
        <v>73</v>
      </c>
      <c r="L158" s="443" t="s">
        <v>73</v>
      </c>
      <c r="M158" s="444">
        <v>0</v>
      </c>
      <c r="N158" s="177"/>
      <c r="O158" s="178"/>
      <c r="P158" s="177"/>
      <c r="Q158" s="178"/>
      <c r="R158" s="177"/>
      <c r="S158" s="178"/>
      <c r="T158" s="177"/>
      <c r="U158" s="178"/>
      <c r="W158" s="208" t="s">
        <v>89</v>
      </c>
      <c r="X158" s="217">
        <f>_xlfn.XLOOKUP(W158,マスタ!A:A,マスタ!C:C,0)*M158</f>
        <v>0</v>
      </c>
      <c r="Y158" s="218">
        <f>IF(N158="",0,_xlfn.XLOOKUP(W158,マスタ!A:A,マスタ!D:D,0)*M158)</f>
        <v>0</v>
      </c>
      <c r="Z158" s="219">
        <f>_xlfn.XLOOKUP(W158,マスタ!A:A,マスタ!E:E,0)*M158</f>
        <v>0</v>
      </c>
      <c r="AA158" s="219">
        <f>_xlfn.XLOOKUP(W158,マスタ!A:A,マスタ!F:F,0)*M158</f>
        <v>0</v>
      </c>
      <c r="AB158" s="219">
        <f>_xlfn.XLOOKUP(W158,マスタ!A:A,マスタ!G:G,0)*M158</f>
        <v>0</v>
      </c>
      <c r="AC158" s="220">
        <f>_xlfn.XLOOKUP(W158,マスタ!A:A,マスタ!H:H,0)*M158</f>
        <v>0</v>
      </c>
      <c r="AD158" s="227">
        <f t="shared" si="7"/>
        <v>0</v>
      </c>
    </row>
    <row r="159" spans="1:30" ht="15" customHeight="1">
      <c r="A159" s="145"/>
      <c r="B159" s="162"/>
      <c r="C159" s="162"/>
      <c r="D159" s="162"/>
      <c r="E159" s="174" t="s">
        <v>98</v>
      </c>
      <c r="F159" s="166"/>
      <c r="G159" s="166"/>
      <c r="H159" s="237"/>
      <c r="I159" s="433" t="s">
        <v>58</v>
      </c>
      <c r="J159" s="514"/>
      <c r="K159" s="434" t="s">
        <v>73</v>
      </c>
      <c r="L159" s="434" t="s">
        <v>73</v>
      </c>
      <c r="M159" s="435">
        <v>1</v>
      </c>
      <c r="N159" s="181"/>
      <c r="O159" s="182"/>
      <c r="P159" s="181"/>
      <c r="Q159" s="182"/>
      <c r="R159" s="181"/>
      <c r="S159" s="182"/>
      <c r="T159" s="181"/>
      <c r="U159" s="182"/>
      <c r="W159" s="208" t="s">
        <v>89</v>
      </c>
      <c r="X159" s="217">
        <f>_xlfn.XLOOKUP(W159,マスタ!A:A,マスタ!C:C,0)*M159</f>
        <v>0.99</v>
      </c>
      <c r="Y159" s="218">
        <f>IF(N159="",0,_xlfn.XLOOKUP(W159,マスタ!A:A,マスタ!D:D,0)*M159)</f>
        <v>0</v>
      </c>
      <c r="Z159" s="219">
        <f>_xlfn.XLOOKUP(W159,マスタ!A:A,マスタ!E:E,0)*M159</f>
        <v>1.17</v>
      </c>
      <c r="AA159" s="219">
        <f>_xlfn.XLOOKUP(W159,マスタ!A:A,マスタ!F:F,0)*M159</f>
        <v>1.32</v>
      </c>
      <c r="AB159" s="219">
        <f>_xlfn.XLOOKUP(W159,マスタ!A:A,マスタ!G:G,0)*M159</f>
        <v>0.39</v>
      </c>
      <c r="AC159" s="220">
        <f>_xlfn.XLOOKUP(W159,マスタ!A:A,マスタ!H:H,0)*M159</f>
        <v>0.39</v>
      </c>
      <c r="AD159" s="227">
        <f t="shared" si="7"/>
        <v>4.2600000000000007</v>
      </c>
    </row>
    <row r="160" spans="1:30" ht="15" customHeight="1">
      <c r="A160" s="145"/>
      <c r="B160" s="247"/>
      <c r="C160" s="167"/>
      <c r="D160" s="167"/>
      <c r="E160" s="175" t="s">
        <v>96</v>
      </c>
      <c r="F160" s="169"/>
      <c r="G160" s="169"/>
      <c r="H160" s="239"/>
      <c r="I160" s="436" t="s">
        <v>58</v>
      </c>
      <c r="J160" s="515"/>
      <c r="K160" s="437" t="s">
        <v>73</v>
      </c>
      <c r="L160" s="437" t="s">
        <v>73</v>
      </c>
      <c r="M160" s="438">
        <v>1</v>
      </c>
      <c r="N160" s="183"/>
      <c r="O160" s="184"/>
      <c r="P160" s="183"/>
      <c r="Q160" s="184"/>
      <c r="R160" s="183"/>
      <c r="S160" s="184"/>
      <c r="T160" s="183"/>
      <c r="U160" s="184"/>
      <c r="W160" s="208" t="s">
        <v>89</v>
      </c>
      <c r="X160" s="217">
        <f>_xlfn.XLOOKUP(W160,マスタ!A:A,マスタ!C:C,0)*M160</f>
        <v>0.99</v>
      </c>
      <c r="Y160" s="218">
        <f>IF(N160="",0,_xlfn.XLOOKUP(W160,マスタ!A:A,マスタ!D:D,0)*M160)</f>
        <v>0</v>
      </c>
      <c r="Z160" s="219">
        <f>_xlfn.XLOOKUP(W160,マスタ!A:A,マスタ!E:E,0)*M160</f>
        <v>1.17</v>
      </c>
      <c r="AA160" s="219">
        <f>_xlfn.XLOOKUP(W160,マスタ!A:A,マスタ!F:F,0)*M160</f>
        <v>1.32</v>
      </c>
      <c r="AB160" s="219">
        <f>_xlfn.XLOOKUP(W160,マスタ!A:A,マスタ!G:G,0)*M160</f>
        <v>0.39</v>
      </c>
      <c r="AC160" s="220">
        <f>_xlfn.XLOOKUP(W160,マスタ!A:A,マスタ!H:H,0)*M160</f>
        <v>0.39</v>
      </c>
      <c r="AD160" s="227">
        <f t="shared" si="7"/>
        <v>4.2600000000000007</v>
      </c>
    </row>
    <row r="161" spans="1:32" ht="27.75" customHeight="1">
      <c r="A161" s="145"/>
      <c r="B161" s="247"/>
      <c r="C161" s="242" t="s">
        <v>106</v>
      </c>
      <c r="D161" s="243"/>
      <c r="E161" s="243"/>
      <c r="F161" s="243"/>
      <c r="G161" s="243"/>
      <c r="H161" s="244" t="s">
        <v>151</v>
      </c>
      <c r="I161" s="454" t="s">
        <v>73</v>
      </c>
      <c r="J161" s="520"/>
      <c r="K161" s="455" t="s">
        <v>57</v>
      </c>
      <c r="L161" s="455" t="s">
        <v>58</v>
      </c>
      <c r="M161" s="456">
        <v>1</v>
      </c>
      <c r="N161" s="530" t="s">
        <v>152</v>
      </c>
      <c r="O161" s="246" t="s">
        <v>109</v>
      </c>
      <c r="P161" s="245"/>
      <c r="Q161" s="246"/>
      <c r="R161" s="245"/>
      <c r="S161" s="246"/>
      <c r="T161" s="245"/>
      <c r="U161" s="246"/>
      <c r="W161" s="208" t="s">
        <v>89</v>
      </c>
      <c r="X161" s="217">
        <f>_xlfn.XLOOKUP(W161,マスタ!A:A,マスタ!C:C,0)*M161</f>
        <v>0.99</v>
      </c>
      <c r="Y161" s="218">
        <f>IF(N161="",0,_xlfn.XLOOKUP(W161,マスタ!A:A,マスタ!D:D,0)*M161)</f>
        <v>0.28999999999999998</v>
      </c>
      <c r="Z161" s="219">
        <f>_xlfn.XLOOKUP(W161,マスタ!A:A,マスタ!E:E,0)*M161</f>
        <v>1.17</v>
      </c>
      <c r="AA161" s="219">
        <f>_xlfn.XLOOKUP(W161,マスタ!A:A,マスタ!F:F,0)*M161</f>
        <v>1.32</v>
      </c>
      <c r="AB161" s="219">
        <f>_xlfn.XLOOKUP(W161,マスタ!A:A,マスタ!G:G,0)*M161</f>
        <v>0.39</v>
      </c>
      <c r="AC161" s="220">
        <f>_xlfn.XLOOKUP(W161,マスタ!A:A,マスタ!H:H,0)*M161</f>
        <v>0.39</v>
      </c>
      <c r="AD161" s="227">
        <f t="shared" si="7"/>
        <v>4.55</v>
      </c>
    </row>
    <row r="162" spans="1:32" ht="28.5">
      <c r="A162" s="145"/>
      <c r="B162" s="263"/>
      <c r="C162" s="242" t="s">
        <v>110</v>
      </c>
      <c r="D162" s="243"/>
      <c r="E162" s="243"/>
      <c r="F162" s="243"/>
      <c r="G162" s="243"/>
      <c r="H162" s="264" t="s">
        <v>153</v>
      </c>
      <c r="I162" s="454" t="s">
        <v>73</v>
      </c>
      <c r="J162" s="520"/>
      <c r="K162" s="455" t="s">
        <v>57</v>
      </c>
      <c r="L162" s="455" t="s">
        <v>58</v>
      </c>
      <c r="M162" s="456">
        <v>1</v>
      </c>
      <c r="N162" s="245" t="s">
        <v>112</v>
      </c>
      <c r="O162" s="246"/>
      <c r="P162" s="245"/>
      <c r="Q162" s="246"/>
      <c r="R162" s="245"/>
      <c r="S162" s="246"/>
      <c r="T162" s="245"/>
      <c r="U162" s="246"/>
      <c r="W162" s="208" t="s">
        <v>89</v>
      </c>
      <c r="X162" s="217">
        <f>_xlfn.XLOOKUP(W162,マスタ!A:A,マスタ!C:C,0)*M162</f>
        <v>0.99</v>
      </c>
      <c r="Y162" s="218">
        <f>IF(N162="",0,_xlfn.XLOOKUP(W162,マスタ!A:A,マスタ!D:D,0)*M162)</f>
        <v>0.28999999999999998</v>
      </c>
      <c r="Z162" s="219">
        <f>_xlfn.XLOOKUP(W162,マスタ!A:A,マスタ!E:E,0)*M162</f>
        <v>1.17</v>
      </c>
      <c r="AA162" s="219">
        <f>_xlfn.XLOOKUP(W162,マスタ!A:A,マスタ!F:F,0)*M162</f>
        <v>1.32</v>
      </c>
      <c r="AB162" s="219">
        <f>_xlfn.XLOOKUP(W162,マスタ!A:A,マスタ!G:G,0)*M162</f>
        <v>0.39</v>
      </c>
      <c r="AC162" s="220">
        <f>_xlfn.XLOOKUP(W162,マスタ!A:A,マスタ!H:H,0)*M162</f>
        <v>0.39</v>
      </c>
      <c r="AD162" s="227">
        <f t="shared" si="7"/>
        <v>4.55</v>
      </c>
    </row>
    <row r="163" spans="1:32" ht="15" customHeight="1">
      <c r="A163" s="145"/>
      <c r="B163" s="160" t="s">
        <v>154</v>
      </c>
      <c r="C163" s="161"/>
      <c r="D163" s="155"/>
      <c r="E163" s="155"/>
      <c r="F163" s="155"/>
      <c r="G163" s="155"/>
      <c r="H163" s="241" t="s">
        <v>155</v>
      </c>
      <c r="I163" s="445" t="s">
        <v>74</v>
      </c>
      <c r="J163" s="385"/>
      <c r="K163" s="446" t="s">
        <v>74</v>
      </c>
      <c r="L163" s="446" t="s">
        <v>74</v>
      </c>
      <c r="M163" s="447">
        <v>0</v>
      </c>
      <c r="N163" s="191"/>
      <c r="O163" s="192"/>
      <c r="P163" s="191"/>
      <c r="Q163" s="192"/>
      <c r="R163" s="191"/>
      <c r="S163" s="192"/>
      <c r="T163" s="191"/>
      <c r="U163" s="192"/>
      <c r="W163" s="208" t="s">
        <v>89</v>
      </c>
      <c r="X163" s="217">
        <f>_xlfn.XLOOKUP(W163,マスタ!A:A,マスタ!C:C,0)*M163</f>
        <v>0</v>
      </c>
      <c r="Y163" s="218">
        <f>IF(N163="",0,_xlfn.XLOOKUP(W163,マスタ!A:A,マスタ!D:D,0)*M163)</f>
        <v>0</v>
      </c>
      <c r="Z163" s="219">
        <f>_xlfn.XLOOKUP(W163,マスタ!A:A,マスタ!E:E,0)*M163</f>
        <v>0</v>
      </c>
      <c r="AA163" s="219">
        <f>_xlfn.XLOOKUP(W163,マスタ!A:A,マスタ!F:F,0)*M163</f>
        <v>0</v>
      </c>
      <c r="AB163" s="219">
        <f>_xlfn.XLOOKUP(W163,マスタ!A:A,マスタ!G:G,0)*M163</f>
        <v>0</v>
      </c>
      <c r="AC163" s="220">
        <f>_xlfn.XLOOKUP(W163,マスタ!A:A,マスタ!H:H,0)*M163</f>
        <v>0</v>
      </c>
      <c r="AD163" s="227">
        <f t="shared" si="7"/>
        <v>0</v>
      </c>
    </row>
    <row r="164" spans="1:32" ht="15" customHeight="1">
      <c r="A164" s="145"/>
      <c r="B164" s="167"/>
      <c r="C164" s="238"/>
      <c r="D164" s="238"/>
      <c r="E164" s="238"/>
      <c r="F164" s="238"/>
      <c r="G164" s="238"/>
      <c r="H164" s="239"/>
      <c r="I164" s="436" t="s">
        <v>57</v>
      </c>
      <c r="J164" s="515"/>
      <c r="K164" s="437" t="s">
        <v>57</v>
      </c>
      <c r="L164" s="437" t="s">
        <v>57</v>
      </c>
      <c r="M164" s="438">
        <v>2</v>
      </c>
      <c r="N164" s="183" t="s">
        <v>156</v>
      </c>
      <c r="O164" s="184" t="s">
        <v>157</v>
      </c>
      <c r="P164" s="183"/>
      <c r="Q164" s="184"/>
      <c r="R164" s="183"/>
      <c r="S164" s="184"/>
      <c r="T164" s="183"/>
      <c r="U164" s="184"/>
      <c r="W164" s="208" t="s">
        <v>158</v>
      </c>
      <c r="X164" s="217">
        <f>_xlfn.XLOOKUP(W164,マスタ!A:A,マスタ!C:C,0)*M164</f>
        <v>3.96</v>
      </c>
      <c r="Y164" s="218">
        <f>IF(N164="",0,_xlfn.XLOOKUP(W164,マスタ!A:A,マスタ!D:D,0)*M164)</f>
        <v>1.1599999999999999</v>
      </c>
      <c r="Z164" s="219">
        <f>_xlfn.XLOOKUP(W164,マスタ!A:A,マスタ!E:E,0)*M164</f>
        <v>4.66</v>
      </c>
      <c r="AA164" s="219">
        <f>_xlfn.XLOOKUP(W164,マスタ!A:A,マスタ!F:F,0)*M164</f>
        <v>5.28</v>
      </c>
      <c r="AB164" s="219">
        <f>_xlfn.XLOOKUP(W164,マスタ!A:A,マスタ!G:G,0)*M164</f>
        <v>1.54</v>
      </c>
      <c r="AC164" s="220">
        <f>_xlfn.XLOOKUP(W164,マスタ!A:A,マスタ!H:H,0)*M164</f>
        <v>1.54</v>
      </c>
      <c r="AD164" s="227">
        <f t="shared" si="7"/>
        <v>18.14</v>
      </c>
    </row>
    <row r="165" spans="1:32" ht="15" customHeight="1">
      <c r="A165" s="145"/>
      <c r="B165" s="160" t="s">
        <v>159</v>
      </c>
      <c r="C165" s="161"/>
      <c r="D165" s="161"/>
      <c r="E165" s="161"/>
      <c r="F165" s="161"/>
      <c r="G165" s="161"/>
      <c r="H165" s="236" t="s">
        <v>160</v>
      </c>
      <c r="I165" s="445" t="s">
        <v>74</v>
      </c>
      <c r="J165" s="385"/>
      <c r="K165" s="446" t="s">
        <v>74</v>
      </c>
      <c r="L165" s="446" t="s">
        <v>74</v>
      </c>
      <c r="M165" s="447">
        <v>0</v>
      </c>
      <c r="N165" s="179"/>
      <c r="O165" s="180"/>
      <c r="P165" s="179"/>
      <c r="Q165" s="180"/>
      <c r="R165" s="179"/>
      <c r="S165" s="180"/>
      <c r="T165" s="179"/>
      <c r="U165" s="180"/>
      <c r="W165" s="208" t="s">
        <v>89</v>
      </c>
      <c r="X165" s="217">
        <f>_xlfn.XLOOKUP(W165,マスタ!A:A,マスタ!C:C,0)*M165</f>
        <v>0</v>
      </c>
      <c r="Y165" s="218">
        <f>IF(N165="",0,_xlfn.XLOOKUP(W165,マスタ!A:A,マスタ!D:D,0)*M165)</f>
        <v>0</v>
      </c>
      <c r="Z165" s="219">
        <f>_xlfn.XLOOKUP(W165,マスタ!A:A,マスタ!E:E,0)*M165</f>
        <v>0</v>
      </c>
      <c r="AA165" s="219">
        <f>_xlfn.XLOOKUP(W165,マスタ!A:A,マスタ!F:F,0)*M165</f>
        <v>0</v>
      </c>
      <c r="AB165" s="219">
        <f>_xlfn.XLOOKUP(W165,マスタ!A:A,マスタ!G:G,0)*M165</f>
        <v>0</v>
      </c>
      <c r="AC165" s="220">
        <f>_xlfn.XLOOKUP(W165,マスタ!A:A,マスタ!H:H,0)*M165</f>
        <v>0</v>
      </c>
      <c r="AD165" s="227">
        <f t="shared" si="7"/>
        <v>0</v>
      </c>
    </row>
    <row r="166" spans="1:32" ht="15" customHeight="1">
      <c r="A166" s="145"/>
      <c r="B166" s="167"/>
      <c r="C166" s="238"/>
      <c r="D166" s="238"/>
      <c r="E166" s="238"/>
      <c r="F166" s="238"/>
      <c r="G166" s="238"/>
      <c r="H166" s="239"/>
      <c r="I166" s="436" t="s">
        <v>57</v>
      </c>
      <c r="J166" s="515"/>
      <c r="K166" s="437" t="s">
        <v>57</v>
      </c>
      <c r="L166" s="437" t="s">
        <v>57</v>
      </c>
      <c r="M166" s="438">
        <v>2</v>
      </c>
      <c r="N166" s="183" t="s">
        <v>161</v>
      </c>
      <c r="O166" s="184" t="s">
        <v>157</v>
      </c>
      <c r="P166" s="183"/>
      <c r="Q166" s="184"/>
      <c r="R166" s="183"/>
      <c r="S166" s="184"/>
      <c r="T166" s="183"/>
      <c r="U166" s="184"/>
      <c r="W166" s="208" t="s">
        <v>158</v>
      </c>
      <c r="X166" s="217">
        <f>_xlfn.XLOOKUP(W166,マスタ!A:A,マスタ!C:C,0)*M166</f>
        <v>3.96</v>
      </c>
      <c r="Y166" s="218">
        <f>IF(N166="",0,_xlfn.XLOOKUP(W166,マスタ!A:A,マスタ!D:D,0)*M166)</f>
        <v>1.1599999999999999</v>
      </c>
      <c r="Z166" s="219">
        <f>_xlfn.XLOOKUP(W166,マスタ!A:A,マスタ!E:E,0)*M166</f>
        <v>4.66</v>
      </c>
      <c r="AA166" s="219">
        <f>_xlfn.XLOOKUP(W166,マスタ!A:A,マスタ!F:F,0)*M166</f>
        <v>5.28</v>
      </c>
      <c r="AB166" s="219">
        <f>_xlfn.XLOOKUP(W166,マスタ!A:A,マスタ!G:G,0)*M166</f>
        <v>1.54</v>
      </c>
      <c r="AC166" s="220">
        <f>_xlfn.XLOOKUP(W166,マスタ!A:A,マスタ!H:H,0)*M166</f>
        <v>1.54</v>
      </c>
      <c r="AD166" s="227">
        <f t="shared" si="7"/>
        <v>18.14</v>
      </c>
    </row>
    <row r="167" spans="1:32" ht="15" customHeight="1">
      <c r="A167" s="145"/>
      <c r="B167" s="160" t="s">
        <v>162</v>
      </c>
      <c r="C167" s="161"/>
      <c r="D167" s="161"/>
      <c r="E167" s="161"/>
      <c r="F167" s="161"/>
      <c r="G167" s="161"/>
      <c r="H167" s="236" t="s">
        <v>163</v>
      </c>
      <c r="I167" s="430" t="s">
        <v>74</v>
      </c>
      <c r="J167" s="513"/>
      <c r="K167" s="431" t="s">
        <v>74</v>
      </c>
      <c r="L167" s="431" t="s">
        <v>74</v>
      </c>
      <c r="M167" s="432">
        <v>0</v>
      </c>
      <c r="N167" s="179"/>
      <c r="O167" s="180"/>
      <c r="P167" s="179"/>
      <c r="Q167" s="180"/>
      <c r="R167" s="179"/>
      <c r="S167" s="180"/>
      <c r="T167" s="179"/>
      <c r="U167" s="180"/>
      <c r="W167" s="208" t="s">
        <v>89</v>
      </c>
      <c r="X167" s="217">
        <f>_xlfn.XLOOKUP(W167,マスタ!A:A,マスタ!C:C,0)*M167</f>
        <v>0</v>
      </c>
      <c r="Y167" s="218">
        <f>IF(N167="",0,_xlfn.XLOOKUP(W167,マスタ!A:A,マスタ!D:D,0)*M167)</f>
        <v>0</v>
      </c>
      <c r="Z167" s="219">
        <f>_xlfn.XLOOKUP(W167,マスタ!A:A,マスタ!E:E,0)*M167</f>
        <v>0</v>
      </c>
      <c r="AA167" s="219">
        <f>_xlfn.XLOOKUP(W167,マスタ!A:A,マスタ!F:F,0)*M167</f>
        <v>0</v>
      </c>
      <c r="AB167" s="219">
        <f>_xlfn.XLOOKUP(W167,マスタ!A:A,マスタ!G:G,0)*M167</f>
        <v>0</v>
      </c>
      <c r="AC167" s="220">
        <f>_xlfn.XLOOKUP(W167,マスタ!A:A,マスタ!H:H,0)*M167</f>
        <v>0</v>
      </c>
      <c r="AD167" s="227">
        <f t="shared" si="7"/>
        <v>0</v>
      </c>
    </row>
    <row r="168" spans="1:32" ht="15" customHeight="1">
      <c r="A168" s="145"/>
      <c r="B168" s="167"/>
      <c r="C168" s="238"/>
      <c r="D168" s="238"/>
      <c r="E168" s="238"/>
      <c r="F168" s="238"/>
      <c r="G168" s="238"/>
      <c r="H168" s="239" t="s">
        <v>164</v>
      </c>
      <c r="I168" s="436" t="s">
        <v>57</v>
      </c>
      <c r="J168" s="515"/>
      <c r="K168" s="437" t="s">
        <v>57</v>
      </c>
      <c r="L168" s="437" t="s">
        <v>57</v>
      </c>
      <c r="M168" s="438">
        <v>2</v>
      </c>
      <c r="N168" s="183" t="s">
        <v>165</v>
      </c>
      <c r="O168" s="184" t="s">
        <v>157</v>
      </c>
      <c r="P168" s="183"/>
      <c r="Q168" s="184"/>
      <c r="R168" s="183"/>
      <c r="S168" s="184"/>
      <c r="T168" s="183"/>
      <c r="U168" s="184"/>
      <c r="W168" s="208" t="s">
        <v>59</v>
      </c>
      <c r="X168" s="217">
        <f>_xlfn.XLOOKUP(W168,マスタ!A:A,マスタ!C:C,0)*M168</f>
        <v>5.96</v>
      </c>
      <c r="Y168" s="218">
        <f>IF(N168="",0,_xlfn.XLOOKUP(W168,マスタ!A:A,マスタ!D:D,0)*M168)</f>
        <v>1.76</v>
      </c>
      <c r="Z168" s="219">
        <f>_xlfn.XLOOKUP(W168,マスタ!A:A,マスタ!E:E,0)*M168</f>
        <v>7</v>
      </c>
      <c r="AA168" s="219">
        <f>_xlfn.XLOOKUP(W168,マスタ!A:A,マスタ!F:F,0)*M168</f>
        <v>7.92</v>
      </c>
      <c r="AB168" s="219">
        <f>_xlfn.XLOOKUP(W168,マスタ!A:A,マスタ!G:G,0)*M168</f>
        <v>2.3199999999999998</v>
      </c>
      <c r="AC168" s="220">
        <f>_xlfn.XLOOKUP(W168,マスタ!A:A,マスタ!H:H,0)*M168</f>
        <v>2.3199999999999998</v>
      </c>
      <c r="AD168" s="227">
        <f t="shared" si="7"/>
        <v>27.28</v>
      </c>
    </row>
    <row r="169" spans="1:32" ht="15" customHeight="1">
      <c r="A169" s="16"/>
      <c r="B169" s="148" t="s">
        <v>166</v>
      </c>
      <c r="C169" s="149"/>
      <c r="D169" s="149"/>
      <c r="E169" s="149"/>
      <c r="F169" s="149"/>
      <c r="G169" s="149"/>
      <c r="H169" s="149"/>
      <c r="I169" s="423"/>
      <c r="J169" s="423"/>
      <c r="K169" s="423"/>
      <c r="L169" s="423"/>
      <c r="M169" s="423"/>
      <c r="N169" s="144"/>
      <c r="O169" s="144"/>
      <c r="P169" s="144"/>
      <c r="Q169" s="144"/>
      <c r="R169" s="144"/>
      <c r="S169" s="144"/>
      <c r="T169" s="144"/>
      <c r="U169" s="144"/>
      <c r="W169" s="207"/>
      <c r="X169" s="213">
        <f>SUM(X214:X239)</f>
        <v>12.870000000000001</v>
      </c>
      <c r="Y169" s="214">
        <f t="shared" ref="Y169:AD169" si="9">SUM(Y214:Y239)</f>
        <v>0</v>
      </c>
      <c r="Z169" s="215">
        <f t="shared" si="9"/>
        <v>15.209999999999999</v>
      </c>
      <c r="AA169" s="215">
        <f t="shared" si="9"/>
        <v>17.16</v>
      </c>
      <c r="AB169" s="215">
        <f t="shared" si="9"/>
        <v>5.07</v>
      </c>
      <c r="AC169" s="216">
        <f t="shared" si="9"/>
        <v>5.07</v>
      </c>
      <c r="AD169" s="226">
        <f t="shared" si="9"/>
        <v>55.379999999999995</v>
      </c>
      <c r="AE169" s="205">
        <f>AD169/20</f>
        <v>2.7689999999999997</v>
      </c>
      <c r="AF169" s="204">
        <f>AE169*350000</f>
        <v>969149.99999999988</v>
      </c>
    </row>
    <row r="170" spans="1:32" ht="15" customHeight="1">
      <c r="A170" s="145"/>
      <c r="B170" s="198" t="s">
        <v>167</v>
      </c>
      <c r="C170" s="199"/>
      <c r="D170" s="199"/>
      <c r="E170" s="199"/>
      <c r="F170" s="199"/>
      <c r="G170" s="374"/>
      <c r="H170" s="375"/>
      <c r="I170" s="427"/>
      <c r="J170" s="512"/>
      <c r="K170" s="428"/>
      <c r="L170" s="428"/>
      <c r="M170" s="429"/>
      <c r="N170" s="201"/>
      <c r="O170" s="202"/>
      <c r="P170" s="201"/>
      <c r="Q170" s="202"/>
      <c r="R170" s="201"/>
      <c r="S170" s="202"/>
      <c r="T170" s="201"/>
      <c r="U170" s="202"/>
      <c r="W170" s="208"/>
      <c r="X170" s="217">
        <f>_xlfn.XLOOKUP(W170,マスタ!A:A,マスタ!C:C,0)*M170</f>
        <v>0</v>
      </c>
      <c r="Y170" s="218">
        <f>IF(N170="",0,_xlfn.XLOOKUP(W170,マスタ!A:A,マスタ!D:D,0)*M170)</f>
        <v>0</v>
      </c>
      <c r="Z170" s="219">
        <f>_xlfn.XLOOKUP(W170,マスタ!A:A,マスタ!E:E,0)*M170</f>
        <v>0</v>
      </c>
      <c r="AA170" s="219">
        <f>_xlfn.XLOOKUP(W170,マスタ!A:A,マスタ!F:F,0)*M170</f>
        <v>0</v>
      </c>
      <c r="AB170" s="219">
        <f>_xlfn.XLOOKUP(W170,マスタ!A:A,マスタ!G:G,0)*M170</f>
        <v>0</v>
      </c>
      <c r="AC170" s="220">
        <f>_xlfn.XLOOKUP(W170,マスタ!A:A,マスタ!H:H,0)*M170</f>
        <v>0</v>
      </c>
      <c r="AD170" s="227">
        <f t="shared" ref="AD170" si="10">SUM(X170:AC170)</f>
        <v>0</v>
      </c>
    </row>
    <row r="171" spans="1:32" ht="15" customHeight="1">
      <c r="A171" s="145"/>
      <c r="B171" s="265"/>
      <c r="C171" s="160" t="s">
        <v>168</v>
      </c>
      <c r="D171" s="161"/>
      <c r="E171" s="161"/>
      <c r="F171" s="161"/>
      <c r="G171" s="161"/>
      <c r="H171" s="240"/>
      <c r="I171" s="442"/>
      <c r="J171" s="517"/>
      <c r="K171" s="443"/>
      <c r="L171" s="443"/>
      <c r="M171" s="444"/>
      <c r="N171" s="177"/>
      <c r="O171" s="178"/>
      <c r="P171" s="177"/>
      <c r="Q171" s="178"/>
      <c r="R171" s="177"/>
      <c r="S171" s="178"/>
      <c r="T171" s="177"/>
      <c r="U171" s="178"/>
      <c r="W171" s="208"/>
      <c r="X171" s="217"/>
      <c r="Y171" s="218"/>
      <c r="Z171" s="219"/>
      <c r="AA171" s="219"/>
      <c r="AB171" s="219"/>
      <c r="AC171" s="220"/>
      <c r="AD171" s="227"/>
    </row>
    <row r="172" spans="1:32" ht="15" customHeight="1">
      <c r="A172" s="145"/>
      <c r="B172" s="265"/>
      <c r="C172" s="265"/>
      <c r="D172" s="160" t="s">
        <v>115</v>
      </c>
      <c r="E172" s="251"/>
      <c r="F172" s="251"/>
      <c r="G172" s="251"/>
      <c r="H172" s="252"/>
      <c r="I172" s="460" t="s">
        <v>73</v>
      </c>
      <c r="J172" s="522"/>
      <c r="K172" s="461" t="s">
        <v>73</v>
      </c>
      <c r="L172" s="461" t="s">
        <v>73</v>
      </c>
      <c r="M172" s="462">
        <v>0</v>
      </c>
      <c r="N172" s="253"/>
      <c r="O172" s="254"/>
      <c r="P172" s="253"/>
      <c r="Q172" s="254"/>
      <c r="R172" s="253"/>
      <c r="S172" s="254"/>
      <c r="T172" s="253"/>
      <c r="U172" s="254"/>
      <c r="W172" s="208" t="s">
        <v>89</v>
      </c>
      <c r="X172" s="217">
        <f>_xlfn.XLOOKUP(W172,マスタ!A:A,マスタ!C:C,0)*M172</f>
        <v>0</v>
      </c>
      <c r="Y172" s="218">
        <f>IF(N172="",0,_xlfn.XLOOKUP(W172,マスタ!A:A,マスタ!D:D,0)*M172)</f>
        <v>0</v>
      </c>
      <c r="Z172" s="219">
        <f>_xlfn.XLOOKUP(W172,マスタ!A:A,マスタ!E:E,0)*M172</f>
        <v>0</v>
      </c>
      <c r="AA172" s="219">
        <f>_xlfn.XLOOKUP(W172,マスタ!A:A,マスタ!F:F,0)*M172</f>
        <v>0</v>
      </c>
      <c r="AB172" s="219">
        <f>_xlfn.XLOOKUP(W172,マスタ!A:A,マスタ!G:G,0)*M172</f>
        <v>0</v>
      </c>
      <c r="AC172" s="220">
        <f>_xlfn.XLOOKUP(W172,マスタ!A:A,マスタ!H:H,0)*M172</f>
        <v>0</v>
      </c>
      <c r="AD172" s="227">
        <f t="shared" ref="AD172:AD213" si="11">SUM(X172:AC172)</f>
        <v>0</v>
      </c>
    </row>
    <row r="173" spans="1:32" ht="15" customHeight="1">
      <c r="A173" s="145"/>
      <c r="B173" s="265"/>
      <c r="C173" s="265"/>
      <c r="D173" s="167"/>
      <c r="E173" s="255" t="s">
        <v>169</v>
      </c>
      <c r="F173" s="256"/>
      <c r="G173" s="256"/>
      <c r="H173" s="257"/>
      <c r="I173" s="463" t="s">
        <v>73</v>
      </c>
      <c r="J173" s="523"/>
      <c r="K173" s="464" t="s">
        <v>57</v>
      </c>
      <c r="L173" s="464" t="s">
        <v>58</v>
      </c>
      <c r="M173" s="465">
        <v>1</v>
      </c>
      <c r="N173" s="258"/>
      <c r="O173" s="259"/>
      <c r="P173" s="258"/>
      <c r="Q173" s="259"/>
      <c r="R173" s="258"/>
      <c r="S173" s="259"/>
      <c r="T173" s="258"/>
      <c r="U173" s="259"/>
      <c r="W173" s="208" t="s">
        <v>89</v>
      </c>
      <c r="X173" s="217">
        <f>_xlfn.XLOOKUP(W173,マスタ!A:A,マスタ!C:C,0)*M173</f>
        <v>0.99</v>
      </c>
      <c r="Y173" s="218">
        <f>IF(N173="",0,_xlfn.XLOOKUP(W173,マスタ!A:A,マスタ!D:D,0)*M173)</f>
        <v>0</v>
      </c>
      <c r="Z173" s="219">
        <f>_xlfn.XLOOKUP(W173,マスタ!A:A,マスタ!E:E,0)*M173</f>
        <v>1.17</v>
      </c>
      <c r="AA173" s="219">
        <f>_xlfn.XLOOKUP(W173,マスタ!A:A,マスタ!F:F,0)*M173</f>
        <v>1.32</v>
      </c>
      <c r="AB173" s="219">
        <f>_xlfn.XLOOKUP(W173,マスタ!A:A,マスタ!G:G,0)*M173</f>
        <v>0.39</v>
      </c>
      <c r="AC173" s="220">
        <f>_xlfn.XLOOKUP(W173,マスタ!A:A,マスタ!H:H,0)*M173</f>
        <v>0.39</v>
      </c>
      <c r="AD173" s="227">
        <f t="shared" si="11"/>
        <v>4.2600000000000007</v>
      </c>
    </row>
    <row r="174" spans="1:32" ht="15" customHeight="1">
      <c r="A174" s="145"/>
      <c r="B174" s="265"/>
      <c r="C174" s="265"/>
      <c r="D174" s="160" t="s">
        <v>170</v>
      </c>
      <c r="E174" s="251"/>
      <c r="F174" s="251"/>
      <c r="G174" s="251"/>
      <c r="H174" s="252"/>
      <c r="I174" s="460" t="s">
        <v>73</v>
      </c>
      <c r="J174" s="522"/>
      <c r="K174" s="461" t="s">
        <v>73</v>
      </c>
      <c r="L174" s="461" t="s">
        <v>73</v>
      </c>
      <c r="M174" s="462">
        <v>0</v>
      </c>
      <c r="N174" s="253"/>
      <c r="O174" s="254"/>
      <c r="P174" s="253"/>
      <c r="Q174" s="254"/>
      <c r="R174" s="253"/>
      <c r="S174" s="254"/>
      <c r="T174" s="253"/>
      <c r="U174" s="254"/>
      <c r="W174" s="208" t="s">
        <v>89</v>
      </c>
      <c r="X174" s="217">
        <f>_xlfn.XLOOKUP(W174,マスタ!A:A,マスタ!C:C,0)*M174</f>
        <v>0</v>
      </c>
      <c r="Y174" s="218">
        <f>IF(N174="",0,_xlfn.XLOOKUP(W174,マスタ!A:A,マスタ!D:D,0)*M174)</f>
        <v>0</v>
      </c>
      <c r="Z174" s="219">
        <f>_xlfn.XLOOKUP(W174,マスタ!A:A,マスタ!E:E,0)*M174</f>
        <v>0</v>
      </c>
      <c r="AA174" s="219">
        <f>_xlfn.XLOOKUP(W174,マスタ!A:A,マスタ!F:F,0)*M174</f>
        <v>0</v>
      </c>
      <c r="AB174" s="219">
        <f>_xlfn.XLOOKUP(W174,マスタ!A:A,マスタ!G:G,0)*M174</f>
        <v>0</v>
      </c>
      <c r="AC174" s="220">
        <f>_xlfn.XLOOKUP(W174,マスタ!A:A,マスタ!H:H,0)*M174</f>
        <v>0</v>
      </c>
      <c r="AD174" s="227">
        <f t="shared" si="11"/>
        <v>0</v>
      </c>
    </row>
    <row r="175" spans="1:32" ht="15" customHeight="1">
      <c r="A175" s="145"/>
      <c r="B175" s="265"/>
      <c r="C175" s="265"/>
      <c r="D175" s="167"/>
      <c r="E175" s="255" t="s">
        <v>169</v>
      </c>
      <c r="F175" s="256"/>
      <c r="G175" s="256"/>
      <c r="H175" s="257"/>
      <c r="I175" s="463" t="s">
        <v>73</v>
      </c>
      <c r="J175" s="523"/>
      <c r="K175" s="464" t="s">
        <v>58</v>
      </c>
      <c r="L175" s="464" t="s">
        <v>58</v>
      </c>
      <c r="M175" s="465">
        <v>1</v>
      </c>
      <c r="N175" s="258"/>
      <c r="O175" s="259"/>
      <c r="P175" s="258"/>
      <c r="Q175" s="259"/>
      <c r="R175" s="258"/>
      <c r="S175" s="259"/>
      <c r="T175" s="258"/>
      <c r="U175" s="259"/>
      <c r="W175" s="208" t="s">
        <v>89</v>
      </c>
      <c r="X175" s="217">
        <f>_xlfn.XLOOKUP(W175,マスタ!A:A,マスタ!C:C,0)*M175</f>
        <v>0.99</v>
      </c>
      <c r="Y175" s="218">
        <f>IF(N175="",0,_xlfn.XLOOKUP(W175,マスタ!A:A,マスタ!D:D,0)*M175)</f>
        <v>0</v>
      </c>
      <c r="Z175" s="219">
        <f>_xlfn.XLOOKUP(W175,マスタ!A:A,マスタ!E:E,0)*M175</f>
        <v>1.17</v>
      </c>
      <c r="AA175" s="219">
        <f>_xlfn.XLOOKUP(W175,マスタ!A:A,マスタ!F:F,0)*M175</f>
        <v>1.32</v>
      </c>
      <c r="AB175" s="219">
        <f>_xlfn.XLOOKUP(W175,マスタ!A:A,マスタ!G:G,0)*M175</f>
        <v>0.39</v>
      </c>
      <c r="AC175" s="220">
        <f>_xlfn.XLOOKUP(W175,マスタ!A:A,マスタ!H:H,0)*M175</f>
        <v>0.39</v>
      </c>
      <c r="AD175" s="227">
        <f t="shared" si="11"/>
        <v>4.2600000000000007</v>
      </c>
    </row>
    <row r="176" spans="1:32" ht="15" customHeight="1">
      <c r="A176" s="145"/>
      <c r="B176" s="265"/>
      <c r="C176" s="265"/>
      <c r="D176" s="160" t="s">
        <v>171</v>
      </c>
      <c r="E176" s="251"/>
      <c r="F176" s="251"/>
      <c r="G176" s="251"/>
      <c r="H176" s="252"/>
      <c r="I176" s="460" t="s">
        <v>73</v>
      </c>
      <c r="J176" s="522"/>
      <c r="K176" s="461" t="s">
        <v>73</v>
      </c>
      <c r="L176" s="461" t="s">
        <v>73</v>
      </c>
      <c r="M176" s="462">
        <v>0</v>
      </c>
      <c r="N176" s="253"/>
      <c r="O176" s="254"/>
      <c r="P176" s="253"/>
      <c r="Q176" s="254"/>
      <c r="R176" s="253"/>
      <c r="S176" s="254"/>
      <c r="T176" s="253"/>
      <c r="U176" s="254"/>
      <c r="W176" s="208" t="s">
        <v>89</v>
      </c>
      <c r="X176" s="217">
        <f>_xlfn.XLOOKUP(W176,マスタ!A:A,マスタ!C:C,0)*M176</f>
        <v>0</v>
      </c>
      <c r="Y176" s="218">
        <f>IF(N176="",0,_xlfn.XLOOKUP(W176,マスタ!A:A,マスタ!D:D,0)*M176)</f>
        <v>0</v>
      </c>
      <c r="Z176" s="219">
        <f>_xlfn.XLOOKUP(W176,マスタ!A:A,マスタ!E:E,0)*M176</f>
        <v>0</v>
      </c>
      <c r="AA176" s="219">
        <f>_xlfn.XLOOKUP(W176,マスタ!A:A,マスタ!F:F,0)*M176</f>
        <v>0</v>
      </c>
      <c r="AB176" s="219">
        <f>_xlfn.XLOOKUP(W176,マスタ!A:A,マスタ!G:G,0)*M176</f>
        <v>0</v>
      </c>
      <c r="AC176" s="220">
        <f>_xlfn.XLOOKUP(W176,マスタ!A:A,マスタ!H:H,0)*M176</f>
        <v>0</v>
      </c>
      <c r="AD176" s="227">
        <f t="shared" si="11"/>
        <v>0</v>
      </c>
    </row>
    <row r="177" spans="1:30" ht="15" customHeight="1">
      <c r="A177" s="145"/>
      <c r="B177" s="265"/>
      <c r="C177" s="265"/>
      <c r="D177" s="167"/>
      <c r="E177" s="255" t="s">
        <v>169</v>
      </c>
      <c r="F177" s="256"/>
      <c r="G177" s="256"/>
      <c r="H177" s="257"/>
      <c r="I177" s="463" t="s">
        <v>73</v>
      </c>
      <c r="J177" s="523"/>
      <c r="K177" s="464" t="s">
        <v>58</v>
      </c>
      <c r="L177" s="464" t="s">
        <v>58</v>
      </c>
      <c r="M177" s="465">
        <v>1</v>
      </c>
      <c r="N177" s="258"/>
      <c r="O177" s="259"/>
      <c r="P177" s="258"/>
      <c r="Q177" s="259"/>
      <c r="R177" s="258"/>
      <c r="S177" s="259"/>
      <c r="T177" s="258"/>
      <c r="U177" s="259"/>
      <c r="W177" s="208" t="s">
        <v>89</v>
      </c>
      <c r="X177" s="217">
        <f>_xlfn.XLOOKUP(W177,マスタ!A:A,マスタ!C:C,0)*M177</f>
        <v>0.99</v>
      </c>
      <c r="Y177" s="218">
        <f>IF(N177="",0,_xlfn.XLOOKUP(W177,マスタ!A:A,マスタ!D:D,0)*M177)</f>
        <v>0</v>
      </c>
      <c r="Z177" s="219">
        <f>_xlfn.XLOOKUP(W177,マスタ!A:A,マスタ!E:E,0)*M177</f>
        <v>1.17</v>
      </c>
      <c r="AA177" s="219">
        <f>_xlfn.XLOOKUP(W177,マスタ!A:A,マスタ!F:F,0)*M177</f>
        <v>1.32</v>
      </c>
      <c r="AB177" s="219">
        <f>_xlfn.XLOOKUP(W177,マスタ!A:A,マスタ!G:G,0)*M177</f>
        <v>0.39</v>
      </c>
      <c r="AC177" s="220">
        <f>_xlfn.XLOOKUP(W177,マスタ!A:A,マスタ!H:H,0)*M177</f>
        <v>0.39</v>
      </c>
      <c r="AD177" s="227">
        <f t="shared" si="11"/>
        <v>4.2600000000000007</v>
      </c>
    </row>
    <row r="178" spans="1:30" ht="15" customHeight="1">
      <c r="A178" s="145"/>
      <c r="B178" s="265"/>
      <c r="C178" s="265"/>
      <c r="D178" s="160" t="s">
        <v>172</v>
      </c>
      <c r="E178" s="251"/>
      <c r="F178" s="251"/>
      <c r="G178" s="251"/>
      <c r="H178" s="252"/>
      <c r="I178" s="460" t="s">
        <v>73</v>
      </c>
      <c r="J178" s="522"/>
      <c r="K178" s="461" t="s">
        <v>73</v>
      </c>
      <c r="L178" s="461" t="s">
        <v>73</v>
      </c>
      <c r="M178" s="462">
        <v>0</v>
      </c>
      <c r="N178" s="253"/>
      <c r="O178" s="254"/>
      <c r="P178" s="253"/>
      <c r="Q178" s="254"/>
      <c r="R178" s="253"/>
      <c r="S178" s="254"/>
      <c r="T178" s="253"/>
      <c r="U178" s="254"/>
      <c r="W178" s="208" t="s">
        <v>89</v>
      </c>
      <c r="X178" s="217">
        <f>_xlfn.XLOOKUP(W178,マスタ!A:A,マスタ!C:C,0)*M178</f>
        <v>0</v>
      </c>
      <c r="Y178" s="218">
        <f>IF(N178="",0,_xlfn.XLOOKUP(W178,マスタ!A:A,マスタ!D:D,0)*M178)</f>
        <v>0</v>
      </c>
      <c r="Z178" s="219">
        <f>_xlfn.XLOOKUP(W178,マスタ!A:A,マスタ!E:E,0)*M178</f>
        <v>0</v>
      </c>
      <c r="AA178" s="219">
        <f>_xlfn.XLOOKUP(W178,マスタ!A:A,マスタ!F:F,0)*M178</f>
        <v>0</v>
      </c>
      <c r="AB178" s="219">
        <f>_xlfn.XLOOKUP(W178,マスタ!A:A,マスタ!G:G,0)*M178</f>
        <v>0</v>
      </c>
      <c r="AC178" s="220">
        <f>_xlfn.XLOOKUP(W178,マスタ!A:A,マスタ!H:H,0)*M178</f>
        <v>0</v>
      </c>
      <c r="AD178" s="227">
        <f t="shared" si="11"/>
        <v>0</v>
      </c>
    </row>
    <row r="179" spans="1:30" ht="15" customHeight="1">
      <c r="A179" s="145"/>
      <c r="B179" s="265"/>
      <c r="C179" s="265"/>
      <c r="D179" s="167"/>
      <c r="E179" s="255" t="s">
        <v>169</v>
      </c>
      <c r="F179" s="256"/>
      <c r="G179" s="256"/>
      <c r="H179" s="257"/>
      <c r="I179" s="463" t="s">
        <v>73</v>
      </c>
      <c r="J179" s="523"/>
      <c r="K179" s="464" t="s">
        <v>58</v>
      </c>
      <c r="L179" s="464" t="s">
        <v>58</v>
      </c>
      <c r="M179" s="465">
        <v>1</v>
      </c>
      <c r="N179" s="258"/>
      <c r="O179" s="259"/>
      <c r="P179" s="258"/>
      <c r="Q179" s="259"/>
      <c r="R179" s="258"/>
      <c r="S179" s="259"/>
      <c r="T179" s="258"/>
      <c r="U179" s="259"/>
      <c r="W179" s="208" t="s">
        <v>89</v>
      </c>
      <c r="X179" s="217">
        <f>_xlfn.XLOOKUP(W179,マスタ!A:A,マスタ!C:C,0)*M179</f>
        <v>0.99</v>
      </c>
      <c r="Y179" s="218">
        <f>IF(N179="",0,_xlfn.XLOOKUP(W179,マスタ!A:A,マスタ!D:D,0)*M179)</f>
        <v>0</v>
      </c>
      <c r="Z179" s="219">
        <f>_xlfn.XLOOKUP(W179,マスタ!A:A,マスタ!E:E,0)*M179</f>
        <v>1.17</v>
      </c>
      <c r="AA179" s="219">
        <f>_xlfn.XLOOKUP(W179,マスタ!A:A,マスタ!F:F,0)*M179</f>
        <v>1.32</v>
      </c>
      <c r="AB179" s="219">
        <f>_xlfn.XLOOKUP(W179,マスタ!A:A,マスタ!G:G,0)*M179</f>
        <v>0.39</v>
      </c>
      <c r="AC179" s="220">
        <f>_xlfn.XLOOKUP(W179,マスタ!A:A,マスタ!H:H,0)*M179</f>
        <v>0.39</v>
      </c>
      <c r="AD179" s="227">
        <f t="shared" si="11"/>
        <v>4.2600000000000007</v>
      </c>
    </row>
    <row r="180" spans="1:30" ht="15" customHeight="1">
      <c r="A180" s="145"/>
      <c r="B180" s="265"/>
      <c r="C180" s="265"/>
      <c r="D180" s="160" t="s">
        <v>173</v>
      </c>
      <c r="E180" s="251"/>
      <c r="F180" s="251"/>
      <c r="G180" s="251"/>
      <c r="H180" s="252"/>
      <c r="I180" s="460" t="s">
        <v>73</v>
      </c>
      <c r="J180" s="522"/>
      <c r="K180" s="461" t="s">
        <v>73</v>
      </c>
      <c r="L180" s="461" t="s">
        <v>73</v>
      </c>
      <c r="M180" s="462">
        <v>0</v>
      </c>
      <c r="N180" s="253"/>
      <c r="O180" s="254"/>
      <c r="P180" s="253"/>
      <c r="Q180" s="254"/>
      <c r="R180" s="253"/>
      <c r="S180" s="254"/>
      <c r="T180" s="253"/>
      <c r="U180" s="254"/>
      <c r="W180" s="208" t="s">
        <v>89</v>
      </c>
      <c r="X180" s="217">
        <f>_xlfn.XLOOKUP(W180,マスタ!A:A,マスタ!C:C,0)*M180</f>
        <v>0</v>
      </c>
      <c r="Y180" s="218">
        <f>IF(N180="",0,_xlfn.XLOOKUP(W180,マスタ!A:A,マスタ!D:D,0)*M180)</f>
        <v>0</v>
      </c>
      <c r="Z180" s="219">
        <f>_xlfn.XLOOKUP(W180,マスタ!A:A,マスタ!E:E,0)*M180</f>
        <v>0</v>
      </c>
      <c r="AA180" s="219">
        <f>_xlfn.XLOOKUP(W180,マスタ!A:A,マスタ!F:F,0)*M180</f>
        <v>0</v>
      </c>
      <c r="AB180" s="219">
        <f>_xlfn.XLOOKUP(W180,マスタ!A:A,マスタ!G:G,0)*M180</f>
        <v>0</v>
      </c>
      <c r="AC180" s="220">
        <f>_xlfn.XLOOKUP(W180,マスタ!A:A,マスタ!H:H,0)*M180</f>
        <v>0</v>
      </c>
      <c r="AD180" s="227">
        <f t="shared" si="11"/>
        <v>0</v>
      </c>
    </row>
    <row r="181" spans="1:30" ht="15" customHeight="1">
      <c r="A181" s="145"/>
      <c r="B181" s="265"/>
      <c r="C181" s="265"/>
      <c r="D181" s="167"/>
      <c r="E181" s="255" t="s">
        <v>169</v>
      </c>
      <c r="F181" s="256"/>
      <c r="G181" s="256"/>
      <c r="H181" s="257"/>
      <c r="I181" s="463" t="s">
        <v>73</v>
      </c>
      <c r="J181" s="523"/>
      <c r="K181" s="464" t="s">
        <v>58</v>
      </c>
      <c r="L181" s="464" t="s">
        <v>58</v>
      </c>
      <c r="M181" s="465">
        <v>1</v>
      </c>
      <c r="N181" s="258"/>
      <c r="O181" s="259"/>
      <c r="P181" s="258"/>
      <c r="Q181" s="259"/>
      <c r="R181" s="258"/>
      <c r="S181" s="259"/>
      <c r="T181" s="258"/>
      <c r="U181" s="259"/>
      <c r="W181" s="208" t="s">
        <v>89</v>
      </c>
      <c r="X181" s="217">
        <f>_xlfn.XLOOKUP(W181,マスタ!A:A,マスタ!C:C,0)*M181</f>
        <v>0.99</v>
      </c>
      <c r="Y181" s="218">
        <f>IF(N181="",0,_xlfn.XLOOKUP(W181,マスタ!A:A,マスタ!D:D,0)*M181)</f>
        <v>0</v>
      </c>
      <c r="Z181" s="219">
        <f>_xlfn.XLOOKUP(W181,マスタ!A:A,マスタ!E:E,0)*M181</f>
        <v>1.17</v>
      </c>
      <c r="AA181" s="219">
        <f>_xlfn.XLOOKUP(W181,マスタ!A:A,マスタ!F:F,0)*M181</f>
        <v>1.32</v>
      </c>
      <c r="AB181" s="219">
        <f>_xlfn.XLOOKUP(W181,マスタ!A:A,マスタ!G:G,0)*M181</f>
        <v>0.39</v>
      </c>
      <c r="AC181" s="220">
        <f>_xlfn.XLOOKUP(W181,マスタ!A:A,マスタ!H:H,0)*M181</f>
        <v>0.39</v>
      </c>
      <c r="AD181" s="227">
        <f t="shared" si="11"/>
        <v>4.2600000000000007</v>
      </c>
    </row>
    <row r="182" spans="1:30" ht="15" customHeight="1">
      <c r="A182" s="145"/>
      <c r="B182" s="265"/>
      <c r="C182" s="265"/>
      <c r="D182" s="160" t="s">
        <v>174</v>
      </c>
      <c r="E182" s="251"/>
      <c r="F182" s="251"/>
      <c r="G182" s="251"/>
      <c r="H182" s="252"/>
      <c r="I182" s="460" t="s">
        <v>73</v>
      </c>
      <c r="J182" s="522"/>
      <c r="K182" s="461" t="s">
        <v>73</v>
      </c>
      <c r="L182" s="461" t="s">
        <v>73</v>
      </c>
      <c r="M182" s="462">
        <v>0</v>
      </c>
      <c r="N182" s="253"/>
      <c r="O182" s="254"/>
      <c r="P182" s="253"/>
      <c r="Q182" s="254"/>
      <c r="R182" s="253"/>
      <c r="S182" s="254"/>
      <c r="T182" s="253"/>
      <c r="U182" s="254"/>
      <c r="W182" s="208" t="s">
        <v>89</v>
      </c>
      <c r="X182" s="217">
        <f>_xlfn.XLOOKUP(W182,マスタ!A:A,マスタ!C:C,0)*M182</f>
        <v>0</v>
      </c>
      <c r="Y182" s="218">
        <f>IF(N182="",0,_xlfn.XLOOKUP(W182,マスタ!A:A,マスタ!D:D,0)*M182)</f>
        <v>0</v>
      </c>
      <c r="Z182" s="219">
        <f>_xlfn.XLOOKUP(W182,マスタ!A:A,マスタ!E:E,0)*M182</f>
        <v>0</v>
      </c>
      <c r="AA182" s="219">
        <f>_xlfn.XLOOKUP(W182,マスタ!A:A,マスタ!F:F,0)*M182</f>
        <v>0</v>
      </c>
      <c r="AB182" s="219">
        <f>_xlfn.XLOOKUP(W182,マスタ!A:A,マスタ!G:G,0)*M182</f>
        <v>0</v>
      </c>
      <c r="AC182" s="220">
        <f>_xlfn.XLOOKUP(W182,マスタ!A:A,マスタ!H:H,0)*M182</f>
        <v>0</v>
      </c>
      <c r="AD182" s="227">
        <f t="shared" si="11"/>
        <v>0</v>
      </c>
    </row>
    <row r="183" spans="1:30" ht="15" customHeight="1">
      <c r="A183" s="145"/>
      <c r="B183" s="265"/>
      <c r="C183" s="265"/>
      <c r="D183" s="167"/>
      <c r="E183" s="255" t="s">
        <v>169</v>
      </c>
      <c r="F183" s="256"/>
      <c r="G183" s="256"/>
      <c r="H183" s="257"/>
      <c r="I183" s="463" t="s">
        <v>73</v>
      </c>
      <c r="J183" s="523"/>
      <c r="K183" s="464" t="s">
        <v>58</v>
      </c>
      <c r="L183" s="464" t="s">
        <v>58</v>
      </c>
      <c r="M183" s="465">
        <v>1</v>
      </c>
      <c r="N183" s="258"/>
      <c r="O183" s="259"/>
      <c r="P183" s="258"/>
      <c r="Q183" s="259"/>
      <c r="R183" s="258"/>
      <c r="S183" s="259"/>
      <c r="T183" s="258"/>
      <c r="U183" s="259"/>
      <c r="W183" s="208" t="s">
        <v>89</v>
      </c>
      <c r="X183" s="217">
        <f>_xlfn.XLOOKUP(W183,マスタ!A:A,マスタ!C:C,0)*M183</f>
        <v>0.99</v>
      </c>
      <c r="Y183" s="218">
        <f>IF(N183="",0,_xlfn.XLOOKUP(W183,マスタ!A:A,マスタ!D:D,0)*M183)</f>
        <v>0</v>
      </c>
      <c r="Z183" s="219">
        <f>_xlfn.XLOOKUP(W183,マスタ!A:A,マスタ!E:E,0)*M183</f>
        <v>1.17</v>
      </c>
      <c r="AA183" s="219">
        <f>_xlfn.XLOOKUP(W183,マスタ!A:A,マスタ!F:F,0)*M183</f>
        <v>1.32</v>
      </c>
      <c r="AB183" s="219">
        <f>_xlfn.XLOOKUP(W183,マスタ!A:A,マスタ!G:G,0)*M183</f>
        <v>0.39</v>
      </c>
      <c r="AC183" s="220">
        <f>_xlfn.XLOOKUP(W183,マスタ!A:A,マスタ!H:H,0)*M183</f>
        <v>0.39</v>
      </c>
      <c r="AD183" s="227">
        <f t="shared" si="11"/>
        <v>4.2600000000000007</v>
      </c>
    </row>
    <row r="184" spans="1:30" ht="15" customHeight="1">
      <c r="A184" s="145"/>
      <c r="B184" s="265"/>
      <c r="C184" s="265"/>
      <c r="D184" s="160" t="s">
        <v>175</v>
      </c>
      <c r="E184" s="251"/>
      <c r="F184" s="251"/>
      <c r="G184" s="251"/>
      <c r="H184" s="252"/>
      <c r="I184" s="460" t="s">
        <v>73</v>
      </c>
      <c r="J184" s="522"/>
      <c r="K184" s="461" t="s">
        <v>73</v>
      </c>
      <c r="L184" s="461" t="s">
        <v>73</v>
      </c>
      <c r="M184" s="462">
        <v>0</v>
      </c>
      <c r="N184" s="253"/>
      <c r="O184" s="254"/>
      <c r="P184" s="253"/>
      <c r="Q184" s="254"/>
      <c r="R184" s="253"/>
      <c r="S184" s="254"/>
      <c r="T184" s="253"/>
      <c r="U184" s="254"/>
      <c r="W184" s="208" t="s">
        <v>89</v>
      </c>
      <c r="X184" s="217">
        <f>_xlfn.XLOOKUP(W184,マスタ!A:A,マスタ!C:C,0)*M184</f>
        <v>0</v>
      </c>
      <c r="Y184" s="218">
        <f>IF(N184="",0,_xlfn.XLOOKUP(W184,マスタ!A:A,マスタ!D:D,0)*M184)</f>
        <v>0</v>
      </c>
      <c r="Z184" s="219">
        <f>_xlfn.XLOOKUP(W184,マスタ!A:A,マスタ!E:E,0)*M184</f>
        <v>0</v>
      </c>
      <c r="AA184" s="219">
        <f>_xlfn.XLOOKUP(W184,マスタ!A:A,マスタ!F:F,0)*M184</f>
        <v>0</v>
      </c>
      <c r="AB184" s="219">
        <f>_xlfn.XLOOKUP(W184,マスタ!A:A,マスタ!G:G,0)*M184</f>
        <v>0</v>
      </c>
      <c r="AC184" s="220">
        <f>_xlfn.XLOOKUP(W184,マスタ!A:A,マスタ!H:H,0)*M184</f>
        <v>0</v>
      </c>
      <c r="AD184" s="227">
        <f t="shared" si="11"/>
        <v>0</v>
      </c>
    </row>
    <row r="185" spans="1:30" ht="15" customHeight="1">
      <c r="A185" s="145"/>
      <c r="B185" s="265"/>
      <c r="C185" s="265"/>
      <c r="D185" s="167"/>
      <c r="E185" s="255" t="s">
        <v>169</v>
      </c>
      <c r="F185" s="256"/>
      <c r="G185" s="256"/>
      <c r="H185" s="257"/>
      <c r="I185" s="463" t="s">
        <v>73</v>
      </c>
      <c r="J185" s="523"/>
      <c r="K185" s="464" t="s">
        <v>58</v>
      </c>
      <c r="L185" s="464" t="s">
        <v>58</v>
      </c>
      <c r="M185" s="465">
        <v>1</v>
      </c>
      <c r="N185" s="258"/>
      <c r="O185" s="259"/>
      <c r="P185" s="258"/>
      <c r="Q185" s="259"/>
      <c r="R185" s="258"/>
      <c r="S185" s="259"/>
      <c r="T185" s="258"/>
      <c r="U185" s="259"/>
      <c r="W185" s="208" t="s">
        <v>89</v>
      </c>
      <c r="X185" s="217">
        <f>_xlfn.XLOOKUP(W185,マスタ!A:A,マスタ!C:C,0)*M185</f>
        <v>0.99</v>
      </c>
      <c r="Y185" s="218">
        <f>IF(N185="",0,_xlfn.XLOOKUP(W185,マスタ!A:A,マスタ!D:D,0)*M185)</f>
        <v>0</v>
      </c>
      <c r="Z185" s="219">
        <f>_xlfn.XLOOKUP(W185,マスタ!A:A,マスタ!E:E,0)*M185</f>
        <v>1.17</v>
      </c>
      <c r="AA185" s="219">
        <f>_xlfn.XLOOKUP(W185,マスタ!A:A,マスタ!F:F,0)*M185</f>
        <v>1.32</v>
      </c>
      <c r="AB185" s="219">
        <f>_xlfn.XLOOKUP(W185,マスタ!A:A,マスタ!G:G,0)*M185</f>
        <v>0.39</v>
      </c>
      <c r="AC185" s="220">
        <f>_xlfn.XLOOKUP(W185,マスタ!A:A,マスタ!H:H,0)*M185</f>
        <v>0.39</v>
      </c>
      <c r="AD185" s="227">
        <f t="shared" si="11"/>
        <v>4.2600000000000007</v>
      </c>
    </row>
    <row r="186" spans="1:30" ht="15" customHeight="1">
      <c r="A186" s="145"/>
      <c r="B186" s="265"/>
      <c r="C186" s="265"/>
      <c r="D186" s="160" t="s">
        <v>176</v>
      </c>
      <c r="E186" s="251"/>
      <c r="F186" s="251"/>
      <c r="G186" s="251"/>
      <c r="H186" s="252"/>
      <c r="I186" s="460" t="s">
        <v>73</v>
      </c>
      <c r="J186" s="522"/>
      <c r="K186" s="461" t="s">
        <v>73</v>
      </c>
      <c r="L186" s="461" t="s">
        <v>73</v>
      </c>
      <c r="M186" s="462">
        <v>0</v>
      </c>
      <c r="N186" s="253"/>
      <c r="O186" s="254"/>
      <c r="P186" s="253"/>
      <c r="Q186" s="254"/>
      <c r="R186" s="253"/>
      <c r="S186" s="254"/>
      <c r="T186" s="253"/>
      <c r="U186" s="254"/>
      <c r="W186" s="208" t="s">
        <v>89</v>
      </c>
      <c r="X186" s="217">
        <f>_xlfn.XLOOKUP(W186,マスタ!A:A,マスタ!C:C,0)*M186</f>
        <v>0</v>
      </c>
      <c r="Y186" s="218">
        <f>IF(N186="",0,_xlfn.XLOOKUP(W186,マスタ!A:A,マスタ!D:D,0)*M186)</f>
        <v>0</v>
      </c>
      <c r="Z186" s="219">
        <f>_xlfn.XLOOKUP(W186,マスタ!A:A,マスタ!E:E,0)*M186</f>
        <v>0</v>
      </c>
      <c r="AA186" s="219">
        <f>_xlfn.XLOOKUP(W186,マスタ!A:A,マスタ!F:F,0)*M186</f>
        <v>0</v>
      </c>
      <c r="AB186" s="219">
        <f>_xlfn.XLOOKUP(W186,マスタ!A:A,マスタ!G:G,0)*M186</f>
        <v>0</v>
      </c>
      <c r="AC186" s="220">
        <f>_xlfn.XLOOKUP(W186,マスタ!A:A,マスタ!H:H,0)*M186</f>
        <v>0</v>
      </c>
      <c r="AD186" s="227">
        <f t="shared" si="11"/>
        <v>0</v>
      </c>
    </row>
    <row r="187" spans="1:30" ht="15" customHeight="1">
      <c r="A187" s="145"/>
      <c r="B187" s="265"/>
      <c r="C187" s="265"/>
      <c r="D187" s="167"/>
      <c r="E187" s="255" t="s">
        <v>169</v>
      </c>
      <c r="F187" s="256"/>
      <c r="G187" s="256"/>
      <c r="H187" s="257"/>
      <c r="I187" s="463" t="s">
        <v>73</v>
      </c>
      <c r="J187" s="523"/>
      <c r="K187" s="464" t="s">
        <v>58</v>
      </c>
      <c r="L187" s="464" t="s">
        <v>58</v>
      </c>
      <c r="M187" s="465">
        <v>1</v>
      </c>
      <c r="N187" s="258"/>
      <c r="O187" s="259"/>
      <c r="P187" s="258"/>
      <c r="Q187" s="259"/>
      <c r="R187" s="258"/>
      <c r="S187" s="259"/>
      <c r="T187" s="258"/>
      <c r="U187" s="259"/>
      <c r="W187" s="208" t="s">
        <v>89</v>
      </c>
      <c r="X187" s="217">
        <f>_xlfn.XLOOKUP(W187,マスタ!A:A,マスタ!C:C,0)*M187</f>
        <v>0.99</v>
      </c>
      <c r="Y187" s="218">
        <f>IF(N187="",0,_xlfn.XLOOKUP(W187,マスタ!A:A,マスタ!D:D,0)*M187)</f>
        <v>0</v>
      </c>
      <c r="Z187" s="219">
        <f>_xlfn.XLOOKUP(W187,マスタ!A:A,マスタ!E:E,0)*M187</f>
        <v>1.17</v>
      </c>
      <c r="AA187" s="219">
        <f>_xlfn.XLOOKUP(W187,マスタ!A:A,マスタ!F:F,0)*M187</f>
        <v>1.32</v>
      </c>
      <c r="AB187" s="219">
        <f>_xlfn.XLOOKUP(W187,マスタ!A:A,マスタ!G:G,0)*M187</f>
        <v>0.39</v>
      </c>
      <c r="AC187" s="220">
        <f>_xlfn.XLOOKUP(W187,マスタ!A:A,マスタ!H:H,0)*M187</f>
        <v>0.39</v>
      </c>
      <c r="AD187" s="227">
        <f t="shared" si="11"/>
        <v>4.2600000000000007</v>
      </c>
    </row>
    <row r="188" spans="1:30" ht="15" customHeight="1">
      <c r="A188" s="145"/>
      <c r="B188" s="265"/>
      <c r="C188" s="265"/>
      <c r="D188" s="160" t="s">
        <v>177</v>
      </c>
      <c r="E188" s="251"/>
      <c r="F188" s="251"/>
      <c r="G188" s="251"/>
      <c r="H188" s="252"/>
      <c r="I188" s="460" t="s">
        <v>73</v>
      </c>
      <c r="J188" s="522"/>
      <c r="K188" s="461" t="s">
        <v>73</v>
      </c>
      <c r="L188" s="461" t="s">
        <v>73</v>
      </c>
      <c r="M188" s="462">
        <v>0</v>
      </c>
      <c r="N188" s="253"/>
      <c r="O188" s="254"/>
      <c r="P188" s="253"/>
      <c r="Q188" s="254"/>
      <c r="R188" s="253"/>
      <c r="S188" s="254"/>
      <c r="T188" s="253"/>
      <c r="U188" s="254"/>
      <c r="W188" s="208" t="s">
        <v>89</v>
      </c>
      <c r="X188" s="217">
        <f>_xlfn.XLOOKUP(W188,マスタ!A:A,マスタ!C:C,0)*M188</f>
        <v>0</v>
      </c>
      <c r="Y188" s="218">
        <f>IF(N188="",0,_xlfn.XLOOKUP(W188,マスタ!A:A,マスタ!D:D,0)*M188)</f>
        <v>0</v>
      </c>
      <c r="Z188" s="219">
        <f>_xlfn.XLOOKUP(W188,マスタ!A:A,マスタ!E:E,0)*M188</f>
        <v>0</v>
      </c>
      <c r="AA188" s="219">
        <f>_xlfn.XLOOKUP(W188,マスタ!A:A,マスタ!F:F,0)*M188</f>
        <v>0</v>
      </c>
      <c r="AB188" s="219">
        <f>_xlfn.XLOOKUP(W188,マスタ!A:A,マスタ!G:G,0)*M188</f>
        <v>0</v>
      </c>
      <c r="AC188" s="220">
        <f>_xlfn.XLOOKUP(W188,マスタ!A:A,マスタ!H:H,0)*M188</f>
        <v>0</v>
      </c>
      <c r="AD188" s="227">
        <f t="shared" si="11"/>
        <v>0</v>
      </c>
    </row>
    <row r="189" spans="1:30" ht="15" customHeight="1">
      <c r="A189" s="145"/>
      <c r="B189" s="265"/>
      <c r="C189" s="265"/>
      <c r="D189" s="167"/>
      <c r="E189" s="255" t="s">
        <v>169</v>
      </c>
      <c r="F189" s="256"/>
      <c r="G189" s="256"/>
      <c r="H189" s="257"/>
      <c r="I189" s="463" t="s">
        <v>73</v>
      </c>
      <c r="J189" s="523"/>
      <c r="K189" s="464" t="s">
        <v>58</v>
      </c>
      <c r="L189" s="464" t="s">
        <v>58</v>
      </c>
      <c r="M189" s="465">
        <v>1</v>
      </c>
      <c r="N189" s="258"/>
      <c r="O189" s="259"/>
      <c r="P189" s="258"/>
      <c r="Q189" s="259"/>
      <c r="R189" s="258"/>
      <c r="S189" s="259"/>
      <c r="T189" s="258"/>
      <c r="U189" s="259"/>
      <c r="W189" s="208" t="s">
        <v>89</v>
      </c>
      <c r="X189" s="217">
        <f>_xlfn.XLOOKUP(W189,マスタ!A:A,マスタ!C:C,0)*M189</f>
        <v>0.99</v>
      </c>
      <c r="Y189" s="218">
        <f>IF(N189="",0,_xlfn.XLOOKUP(W189,マスタ!A:A,マスタ!D:D,0)*M189)</f>
        <v>0</v>
      </c>
      <c r="Z189" s="219">
        <f>_xlfn.XLOOKUP(W189,マスタ!A:A,マスタ!E:E,0)*M189</f>
        <v>1.17</v>
      </c>
      <c r="AA189" s="219">
        <f>_xlfn.XLOOKUP(W189,マスタ!A:A,マスタ!F:F,0)*M189</f>
        <v>1.32</v>
      </c>
      <c r="AB189" s="219">
        <f>_xlfn.XLOOKUP(W189,マスタ!A:A,マスタ!G:G,0)*M189</f>
        <v>0.39</v>
      </c>
      <c r="AC189" s="220">
        <f>_xlfn.XLOOKUP(W189,マスタ!A:A,マスタ!H:H,0)*M189</f>
        <v>0.39</v>
      </c>
      <c r="AD189" s="227">
        <f t="shared" si="11"/>
        <v>4.2600000000000007</v>
      </c>
    </row>
    <row r="190" spans="1:30" ht="15" customHeight="1">
      <c r="A190" s="145"/>
      <c r="B190" s="265"/>
      <c r="C190" s="265"/>
      <c r="D190" s="160" t="s">
        <v>178</v>
      </c>
      <c r="E190" s="251"/>
      <c r="F190" s="251"/>
      <c r="G190" s="251"/>
      <c r="H190" s="252"/>
      <c r="I190" s="460" t="s">
        <v>73</v>
      </c>
      <c r="J190" s="522"/>
      <c r="K190" s="461" t="s">
        <v>73</v>
      </c>
      <c r="L190" s="461" t="s">
        <v>73</v>
      </c>
      <c r="M190" s="462">
        <v>0</v>
      </c>
      <c r="N190" s="253"/>
      <c r="O190" s="254"/>
      <c r="P190" s="253"/>
      <c r="Q190" s="254"/>
      <c r="R190" s="253"/>
      <c r="S190" s="254"/>
      <c r="T190" s="253"/>
      <c r="U190" s="254"/>
      <c r="W190" s="208" t="s">
        <v>89</v>
      </c>
      <c r="X190" s="217">
        <f>_xlfn.XLOOKUP(W190,マスタ!A:A,マスタ!C:C,0)*M190</f>
        <v>0</v>
      </c>
      <c r="Y190" s="218">
        <f>IF(N190="",0,_xlfn.XLOOKUP(W190,マスタ!A:A,マスタ!D:D,0)*M190)</f>
        <v>0</v>
      </c>
      <c r="Z190" s="219">
        <f>_xlfn.XLOOKUP(W190,マスタ!A:A,マスタ!E:E,0)*M190</f>
        <v>0</v>
      </c>
      <c r="AA190" s="219">
        <f>_xlfn.XLOOKUP(W190,マスタ!A:A,マスタ!F:F,0)*M190</f>
        <v>0</v>
      </c>
      <c r="AB190" s="219">
        <f>_xlfn.XLOOKUP(W190,マスタ!A:A,マスタ!G:G,0)*M190</f>
        <v>0</v>
      </c>
      <c r="AC190" s="220">
        <f>_xlfn.XLOOKUP(W190,マスタ!A:A,マスタ!H:H,0)*M190</f>
        <v>0</v>
      </c>
      <c r="AD190" s="227">
        <f t="shared" si="11"/>
        <v>0</v>
      </c>
    </row>
    <row r="191" spans="1:30" ht="15" customHeight="1">
      <c r="A191" s="145"/>
      <c r="B191" s="265"/>
      <c r="C191" s="265"/>
      <c r="D191" s="167"/>
      <c r="E191" s="255" t="s">
        <v>169</v>
      </c>
      <c r="F191" s="256"/>
      <c r="G191" s="256"/>
      <c r="H191" s="257"/>
      <c r="I191" s="463" t="s">
        <v>73</v>
      </c>
      <c r="J191" s="523"/>
      <c r="K191" s="464" t="s">
        <v>58</v>
      </c>
      <c r="L191" s="464" t="s">
        <v>58</v>
      </c>
      <c r="M191" s="465">
        <v>1</v>
      </c>
      <c r="N191" s="258"/>
      <c r="O191" s="259"/>
      <c r="P191" s="258"/>
      <c r="Q191" s="259"/>
      <c r="R191" s="258"/>
      <c r="S191" s="259"/>
      <c r="T191" s="258"/>
      <c r="U191" s="259"/>
      <c r="W191" s="208" t="s">
        <v>89</v>
      </c>
      <c r="X191" s="217">
        <f>_xlfn.XLOOKUP(W191,マスタ!A:A,マスタ!C:C,0)*M191</f>
        <v>0.99</v>
      </c>
      <c r="Y191" s="218">
        <f>IF(N191="",0,_xlfn.XLOOKUP(W191,マスタ!A:A,マスタ!D:D,0)*M191)</f>
        <v>0</v>
      </c>
      <c r="Z191" s="219">
        <f>_xlfn.XLOOKUP(W191,マスタ!A:A,マスタ!E:E,0)*M191</f>
        <v>1.17</v>
      </c>
      <c r="AA191" s="219">
        <f>_xlfn.XLOOKUP(W191,マスタ!A:A,マスタ!F:F,0)*M191</f>
        <v>1.32</v>
      </c>
      <c r="AB191" s="219">
        <f>_xlfn.XLOOKUP(W191,マスタ!A:A,マスタ!G:G,0)*M191</f>
        <v>0.39</v>
      </c>
      <c r="AC191" s="220">
        <f>_xlfn.XLOOKUP(W191,マスタ!A:A,マスタ!H:H,0)*M191</f>
        <v>0.39</v>
      </c>
      <c r="AD191" s="227">
        <f t="shared" si="11"/>
        <v>4.2600000000000007</v>
      </c>
    </row>
    <row r="192" spans="1:30" ht="15" customHeight="1">
      <c r="A192" s="145"/>
      <c r="B192" s="265"/>
      <c r="C192" s="265"/>
      <c r="D192" s="160" t="s">
        <v>179</v>
      </c>
      <c r="E192" s="251"/>
      <c r="F192" s="251"/>
      <c r="G192" s="251"/>
      <c r="H192" s="252"/>
      <c r="I192" s="460" t="s">
        <v>73</v>
      </c>
      <c r="J192" s="522"/>
      <c r="K192" s="461" t="s">
        <v>73</v>
      </c>
      <c r="L192" s="461" t="s">
        <v>73</v>
      </c>
      <c r="M192" s="462">
        <v>0</v>
      </c>
      <c r="N192" s="253"/>
      <c r="O192" s="254"/>
      <c r="P192" s="253"/>
      <c r="Q192" s="254"/>
      <c r="R192" s="253"/>
      <c r="S192" s="254"/>
      <c r="T192" s="253"/>
      <c r="U192" s="254"/>
      <c r="W192" s="208" t="s">
        <v>89</v>
      </c>
      <c r="X192" s="217">
        <f>_xlfn.XLOOKUP(W192,マスタ!A:A,マスタ!C:C,0)*M192</f>
        <v>0</v>
      </c>
      <c r="Y192" s="218">
        <f>IF(N192="",0,_xlfn.XLOOKUP(W192,マスタ!A:A,マスタ!D:D,0)*M192)</f>
        <v>0</v>
      </c>
      <c r="Z192" s="219">
        <f>_xlfn.XLOOKUP(W192,マスタ!A:A,マスタ!E:E,0)*M192</f>
        <v>0</v>
      </c>
      <c r="AA192" s="219">
        <f>_xlfn.XLOOKUP(W192,マスタ!A:A,マスタ!F:F,0)*M192</f>
        <v>0</v>
      </c>
      <c r="AB192" s="219">
        <f>_xlfn.XLOOKUP(W192,マスタ!A:A,マスタ!G:G,0)*M192</f>
        <v>0</v>
      </c>
      <c r="AC192" s="220">
        <f>_xlfn.XLOOKUP(W192,マスタ!A:A,マスタ!H:H,0)*M192</f>
        <v>0</v>
      </c>
      <c r="AD192" s="227">
        <f t="shared" si="11"/>
        <v>0</v>
      </c>
    </row>
    <row r="193" spans="1:30" ht="15" customHeight="1">
      <c r="A193" s="145"/>
      <c r="B193" s="265"/>
      <c r="C193" s="265"/>
      <c r="D193" s="167"/>
      <c r="E193" s="255" t="s">
        <v>169</v>
      </c>
      <c r="F193" s="256"/>
      <c r="G193" s="256"/>
      <c r="H193" s="257"/>
      <c r="I193" s="463" t="s">
        <v>73</v>
      </c>
      <c r="J193" s="523"/>
      <c r="K193" s="464" t="s">
        <v>58</v>
      </c>
      <c r="L193" s="464" t="s">
        <v>58</v>
      </c>
      <c r="M193" s="465">
        <v>1</v>
      </c>
      <c r="N193" s="258"/>
      <c r="O193" s="259"/>
      <c r="P193" s="258"/>
      <c r="Q193" s="259"/>
      <c r="R193" s="258"/>
      <c r="S193" s="259"/>
      <c r="T193" s="258"/>
      <c r="U193" s="259"/>
      <c r="W193" s="208" t="s">
        <v>89</v>
      </c>
      <c r="X193" s="217">
        <f>_xlfn.XLOOKUP(W193,マスタ!A:A,マスタ!C:C,0)*M193</f>
        <v>0.99</v>
      </c>
      <c r="Y193" s="218">
        <f>IF(N193="",0,_xlfn.XLOOKUP(W193,マスタ!A:A,マスタ!D:D,0)*M193)</f>
        <v>0</v>
      </c>
      <c r="Z193" s="219">
        <f>_xlfn.XLOOKUP(W193,マスタ!A:A,マスタ!E:E,0)*M193</f>
        <v>1.17</v>
      </c>
      <c r="AA193" s="219">
        <f>_xlfn.XLOOKUP(W193,マスタ!A:A,マスタ!F:F,0)*M193</f>
        <v>1.32</v>
      </c>
      <c r="AB193" s="219">
        <f>_xlfn.XLOOKUP(W193,マスタ!A:A,マスタ!G:G,0)*M193</f>
        <v>0.39</v>
      </c>
      <c r="AC193" s="220">
        <f>_xlfn.XLOOKUP(W193,マスタ!A:A,マスタ!H:H,0)*M193</f>
        <v>0.39</v>
      </c>
      <c r="AD193" s="227">
        <f t="shared" si="11"/>
        <v>4.2600000000000007</v>
      </c>
    </row>
    <row r="194" spans="1:30" ht="15" customHeight="1">
      <c r="A194" s="145"/>
      <c r="B194" s="265"/>
      <c r="C194" s="265"/>
      <c r="D194" s="160" t="s">
        <v>180</v>
      </c>
      <c r="E194" s="251"/>
      <c r="F194" s="251"/>
      <c r="G194" s="251"/>
      <c r="H194" s="252"/>
      <c r="I194" s="460" t="s">
        <v>73</v>
      </c>
      <c r="J194" s="522"/>
      <c r="K194" s="461" t="s">
        <v>73</v>
      </c>
      <c r="L194" s="461" t="s">
        <v>73</v>
      </c>
      <c r="M194" s="462">
        <v>0</v>
      </c>
      <c r="N194" s="253"/>
      <c r="O194" s="254"/>
      <c r="P194" s="253"/>
      <c r="Q194" s="254"/>
      <c r="R194" s="253"/>
      <c r="S194" s="254"/>
      <c r="T194" s="253"/>
      <c r="U194" s="254"/>
      <c r="W194" s="208" t="s">
        <v>89</v>
      </c>
      <c r="X194" s="217">
        <f>_xlfn.XLOOKUP(W194,マスタ!A:A,マスタ!C:C,0)*M194</f>
        <v>0</v>
      </c>
      <c r="Y194" s="218">
        <f>IF(N194="",0,_xlfn.XLOOKUP(W194,マスタ!A:A,マスタ!D:D,0)*M194)</f>
        <v>0</v>
      </c>
      <c r="Z194" s="219">
        <f>_xlfn.XLOOKUP(W194,マスタ!A:A,マスタ!E:E,0)*M194</f>
        <v>0</v>
      </c>
      <c r="AA194" s="219">
        <f>_xlfn.XLOOKUP(W194,マスタ!A:A,マスタ!F:F,0)*M194</f>
        <v>0</v>
      </c>
      <c r="AB194" s="219">
        <f>_xlfn.XLOOKUP(W194,マスタ!A:A,マスタ!G:G,0)*M194</f>
        <v>0</v>
      </c>
      <c r="AC194" s="220">
        <f>_xlfn.XLOOKUP(W194,マスタ!A:A,マスタ!H:H,0)*M194</f>
        <v>0</v>
      </c>
      <c r="AD194" s="227">
        <f t="shared" si="11"/>
        <v>0</v>
      </c>
    </row>
    <row r="195" spans="1:30" ht="15" customHeight="1">
      <c r="A195" s="145"/>
      <c r="B195" s="265"/>
      <c r="C195" s="265"/>
      <c r="D195" s="167"/>
      <c r="E195" s="255" t="s">
        <v>169</v>
      </c>
      <c r="F195" s="256"/>
      <c r="G195" s="256"/>
      <c r="H195" s="257"/>
      <c r="I195" s="463" t="s">
        <v>73</v>
      </c>
      <c r="J195" s="523"/>
      <c r="K195" s="464" t="s">
        <v>58</v>
      </c>
      <c r="L195" s="464" t="s">
        <v>58</v>
      </c>
      <c r="M195" s="465">
        <v>1</v>
      </c>
      <c r="N195" s="258"/>
      <c r="O195" s="259"/>
      <c r="P195" s="258"/>
      <c r="Q195" s="259"/>
      <c r="R195" s="258"/>
      <c r="S195" s="259"/>
      <c r="T195" s="258"/>
      <c r="U195" s="259"/>
      <c r="W195" s="208" t="s">
        <v>89</v>
      </c>
      <c r="X195" s="217">
        <f>_xlfn.XLOOKUP(W195,マスタ!A:A,マスタ!C:C,0)*M195</f>
        <v>0.99</v>
      </c>
      <c r="Y195" s="218">
        <f>IF(N195="",0,_xlfn.XLOOKUP(W195,マスタ!A:A,マスタ!D:D,0)*M195)</f>
        <v>0</v>
      </c>
      <c r="Z195" s="219">
        <f>_xlfn.XLOOKUP(W195,マスタ!A:A,マスタ!E:E,0)*M195</f>
        <v>1.17</v>
      </c>
      <c r="AA195" s="219">
        <f>_xlfn.XLOOKUP(W195,マスタ!A:A,マスタ!F:F,0)*M195</f>
        <v>1.32</v>
      </c>
      <c r="AB195" s="219">
        <f>_xlfn.XLOOKUP(W195,マスタ!A:A,マスタ!G:G,0)*M195</f>
        <v>0.39</v>
      </c>
      <c r="AC195" s="220">
        <f>_xlfn.XLOOKUP(W195,マスタ!A:A,マスタ!H:H,0)*M195</f>
        <v>0.39</v>
      </c>
      <c r="AD195" s="227">
        <f t="shared" si="11"/>
        <v>4.2600000000000007</v>
      </c>
    </row>
    <row r="196" spans="1:30" ht="15" customHeight="1">
      <c r="A196" s="145"/>
      <c r="B196" s="265"/>
      <c r="C196" s="265"/>
      <c r="D196" s="160" t="s">
        <v>181</v>
      </c>
      <c r="E196" s="251"/>
      <c r="F196" s="251"/>
      <c r="G196" s="251"/>
      <c r="H196" s="252"/>
      <c r="I196" s="460" t="s">
        <v>73</v>
      </c>
      <c r="J196" s="522"/>
      <c r="K196" s="461" t="s">
        <v>73</v>
      </c>
      <c r="L196" s="461" t="s">
        <v>73</v>
      </c>
      <c r="M196" s="462">
        <v>0</v>
      </c>
      <c r="N196" s="253"/>
      <c r="O196" s="254"/>
      <c r="P196" s="253"/>
      <c r="Q196" s="254"/>
      <c r="R196" s="253"/>
      <c r="S196" s="254"/>
      <c r="T196" s="253"/>
      <c r="U196" s="254"/>
      <c r="W196" s="208" t="s">
        <v>89</v>
      </c>
      <c r="X196" s="217">
        <f>_xlfn.XLOOKUP(W196,マスタ!A:A,マスタ!C:C,0)*M196</f>
        <v>0</v>
      </c>
      <c r="Y196" s="218">
        <f>IF(N196="",0,_xlfn.XLOOKUP(W196,マスタ!A:A,マスタ!D:D,0)*M196)</f>
        <v>0</v>
      </c>
      <c r="Z196" s="219">
        <f>_xlfn.XLOOKUP(W196,マスタ!A:A,マスタ!E:E,0)*M196</f>
        <v>0</v>
      </c>
      <c r="AA196" s="219">
        <f>_xlfn.XLOOKUP(W196,マスタ!A:A,マスタ!F:F,0)*M196</f>
        <v>0</v>
      </c>
      <c r="AB196" s="219">
        <f>_xlfn.XLOOKUP(W196,マスタ!A:A,マスタ!G:G,0)*M196</f>
        <v>0</v>
      </c>
      <c r="AC196" s="220">
        <f>_xlfn.XLOOKUP(W196,マスタ!A:A,マスタ!H:H,0)*M196</f>
        <v>0</v>
      </c>
      <c r="AD196" s="227">
        <f t="shared" si="11"/>
        <v>0</v>
      </c>
    </row>
    <row r="197" spans="1:30" ht="15" customHeight="1">
      <c r="A197" s="145"/>
      <c r="B197" s="528"/>
      <c r="C197" s="266"/>
      <c r="D197" s="167"/>
      <c r="E197" s="255" t="s">
        <v>169</v>
      </c>
      <c r="F197" s="256"/>
      <c r="G197" s="256"/>
      <c r="H197" s="257"/>
      <c r="I197" s="463" t="s">
        <v>73</v>
      </c>
      <c r="J197" s="523"/>
      <c r="K197" s="464" t="s">
        <v>58</v>
      </c>
      <c r="L197" s="464" t="s">
        <v>58</v>
      </c>
      <c r="M197" s="465">
        <v>1</v>
      </c>
      <c r="N197" s="258"/>
      <c r="O197" s="259"/>
      <c r="P197" s="258"/>
      <c r="Q197" s="259"/>
      <c r="R197" s="258"/>
      <c r="S197" s="259"/>
      <c r="T197" s="258"/>
      <c r="U197" s="259"/>
      <c r="W197" s="208" t="s">
        <v>89</v>
      </c>
      <c r="X197" s="217">
        <f>_xlfn.XLOOKUP(W197,マスタ!A:A,マスタ!C:C,0)*M197</f>
        <v>0.99</v>
      </c>
      <c r="Y197" s="218">
        <f>IF(N197="",0,_xlfn.XLOOKUP(W197,マスタ!A:A,マスタ!D:D,0)*M197)</f>
        <v>0</v>
      </c>
      <c r="Z197" s="219">
        <f>_xlfn.XLOOKUP(W197,マスタ!A:A,マスタ!E:E,0)*M197</f>
        <v>1.17</v>
      </c>
      <c r="AA197" s="219">
        <f>_xlfn.XLOOKUP(W197,マスタ!A:A,マスタ!F:F,0)*M197</f>
        <v>1.32</v>
      </c>
      <c r="AB197" s="219">
        <f>_xlfn.XLOOKUP(W197,マスタ!A:A,マスタ!G:G,0)*M197</f>
        <v>0.39</v>
      </c>
      <c r="AC197" s="220">
        <f>_xlfn.XLOOKUP(W197,マスタ!A:A,マスタ!H:H,0)*M197</f>
        <v>0.39</v>
      </c>
      <c r="AD197" s="227">
        <f t="shared" si="11"/>
        <v>4.2600000000000007</v>
      </c>
    </row>
    <row r="198" spans="1:30" ht="15" customHeight="1">
      <c r="A198" s="145"/>
      <c r="B198" s="528"/>
      <c r="C198" s="160" t="s">
        <v>182</v>
      </c>
      <c r="D198" s="161"/>
      <c r="E198" s="161"/>
      <c r="F198" s="161"/>
      <c r="G198" s="161"/>
      <c r="H198" s="240"/>
      <c r="I198" s="442"/>
      <c r="J198" s="517"/>
      <c r="K198" s="443"/>
      <c r="L198" s="443"/>
      <c r="M198" s="444"/>
      <c r="N198" s="177"/>
      <c r="O198" s="178"/>
      <c r="P198" s="177"/>
      <c r="Q198" s="178"/>
      <c r="R198" s="177"/>
      <c r="S198" s="178"/>
      <c r="T198" s="177"/>
      <c r="U198" s="178"/>
      <c r="W198" s="208"/>
      <c r="X198" s="217"/>
      <c r="Y198" s="218"/>
      <c r="Z198" s="219"/>
      <c r="AA198" s="219"/>
      <c r="AB198" s="219"/>
      <c r="AC198" s="220"/>
      <c r="AD198" s="227"/>
    </row>
    <row r="199" spans="1:30" ht="15" customHeight="1">
      <c r="A199" s="145"/>
      <c r="B199" s="528"/>
      <c r="C199" s="265"/>
      <c r="D199" s="160" t="s">
        <v>115</v>
      </c>
      <c r="E199" s="251"/>
      <c r="F199" s="251"/>
      <c r="G199" s="251"/>
      <c r="H199" s="252"/>
      <c r="I199" s="460" t="s">
        <v>73</v>
      </c>
      <c r="J199" s="522"/>
      <c r="K199" s="461" t="s">
        <v>73</v>
      </c>
      <c r="L199" s="461" t="s">
        <v>73</v>
      </c>
      <c r="M199" s="462">
        <v>0</v>
      </c>
      <c r="N199" s="253"/>
      <c r="O199" s="254"/>
      <c r="P199" s="253"/>
      <c r="Q199" s="254"/>
      <c r="R199" s="253"/>
      <c r="S199" s="254"/>
      <c r="T199" s="253"/>
      <c r="U199" s="254"/>
      <c r="W199" s="208" t="s">
        <v>89</v>
      </c>
      <c r="X199" s="217">
        <f>_xlfn.XLOOKUP(W199,マスタ!A:A,マスタ!C:C,0)*M199</f>
        <v>0</v>
      </c>
      <c r="Y199" s="218">
        <f>IF(N199="",0,_xlfn.XLOOKUP(W199,マスタ!A:A,マスタ!D:D,0)*M199)</f>
        <v>0</v>
      </c>
      <c r="Z199" s="219">
        <f>_xlfn.XLOOKUP(W199,マスタ!A:A,マスタ!E:E,0)*M199</f>
        <v>0</v>
      </c>
      <c r="AA199" s="219">
        <f>_xlfn.XLOOKUP(W199,マスタ!A:A,マスタ!F:F,0)*M199</f>
        <v>0</v>
      </c>
      <c r="AB199" s="219">
        <f>_xlfn.XLOOKUP(W199,マスタ!A:A,マスタ!G:G,0)*M199</f>
        <v>0</v>
      </c>
      <c r="AC199" s="220">
        <f>_xlfn.XLOOKUP(W199,マスタ!A:A,マスタ!H:H,0)*M199</f>
        <v>0</v>
      </c>
      <c r="AD199" s="227">
        <f>SUM(X199:AC199)</f>
        <v>0</v>
      </c>
    </row>
    <row r="200" spans="1:30" ht="15" customHeight="1">
      <c r="A200" s="145"/>
      <c r="B200" s="528"/>
      <c r="C200" s="265"/>
      <c r="D200" s="167"/>
      <c r="E200" s="255" t="s">
        <v>169</v>
      </c>
      <c r="F200" s="256"/>
      <c r="G200" s="256"/>
      <c r="H200" s="257"/>
      <c r="I200" s="463" t="s">
        <v>73</v>
      </c>
      <c r="J200" s="523"/>
      <c r="K200" s="464" t="s">
        <v>57</v>
      </c>
      <c r="L200" s="464" t="s">
        <v>58</v>
      </c>
      <c r="M200" s="465">
        <v>1</v>
      </c>
      <c r="N200" s="258"/>
      <c r="O200" s="259"/>
      <c r="P200" s="258"/>
      <c r="Q200" s="259"/>
      <c r="R200" s="258"/>
      <c r="S200" s="259"/>
      <c r="T200" s="258"/>
      <c r="U200" s="259"/>
      <c r="W200" s="208" t="s">
        <v>89</v>
      </c>
      <c r="X200" s="217">
        <f>_xlfn.XLOOKUP(W200,マスタ!A:A,マスタ!C:C,0)*M200</f>
        <v>0.99</v>
      </c>
      <c r="Y200" s="218">
        <f>IF(N200="",0,_xlfn.XLOOKUP(W200,マスタ!A:A,マスタ!D:D,0)*M200)</f>
        <v>0</v>
      </c>
      <c r="Z200" s="219">
        <f>_xlfn.XLOOKUP(W200,マスタ!A:A,マスタ!E:E,0)*M200</f>
        <v>1.17</v>
      </c>
      <c r="AA200" s="219">
        <f>_xlfn.XLOOKUP(W200,マスタ!A:A,マスタ!F:F,0)*M200</f>
        <v>1.32</v>
      </c>
      <c r="AB200" s="219">
        <f>_xlfn.XLOOKUP(W200,マスタ!A:A,マスタ!G:G,0)*M200</f>
        <v>0.39</v>
      </c>
      <c r="AC200" s="220">
        <f>_xlfn.XLOOKUP(W200,マスタ!A:A,マスタ!H:H,0)*M200</f>
        <v>0.39</v>
      </c>
      <c r="AD200" s="227">
        <f>SUM(X200:AC200)</f>
        <v>4.2600000000000007</v>
      </c>
    </row>
    <row r="201" spans="1:30" ht="15" customHeight="1">
      <c r="A201" s="145"/>
      <c r="B201" s="528"/>
      <c r="C201" s="265"/>
      <c r="D201" s="160" t="s">
        <v>183</v>
      </c>
      <c r="E201" s="251"/>
      <c r="F201" s="251"/>
      <c r="G201" s="251"/>
      <c r="H201" s="252"/>
      <c r="I201" s="460" t="s">
        <v>73</v>
      </c>
      <c r="J201" s="522"/>
      <c r="K201" s="461" t="s">
        <v>73</v>
      </c>
      <c r="L201" s="461" t="s">
        <v>73</v>
      </c>
      <c r="M201" s="462">
        <v>0</v>
      </c>
      <c r="N201" s="253"/>
      <c r="O201" s="254"/>
      <c r="P201" s="253"/>
      <c r="Q201" s="254"/>
      <c r="R201" s="253"/>
      <c r="S201" s="254"/>
      <c r="T201" s="253"/>
      <c r="U201" s="254"/>
      <c r="W201" s="208" t="s">
        <v>89</v>
      </c>
      <c r="X201" s="217">
        <f>_xlfn.XLOOKUP(W201,マスタ!A:A,マスタ!C:C,0)*M201</f>
        <v>0</v>
      </c>
      <c r="Y201" s="218">
        <f>IF(N201="",0,_xlfn.XLOOKUP(W201,マスタ!A:A,マスタ!D:D,0)*M201)</f>
        <v>0</v>
      </c>
      <c r="Z201" s="219">
        <f>_xlfn.XLOOKUP(W201,マスタ!A:A,マスタ!E:E,0)*M201</f>
        <v>0</v>
      </c>
      <c r="AA201" s="219">
        <f>_xlfn.XLOOKUP(W201,マスタ!A:A,マスタ!F:F,0)*M201</f>
        <v>0</v>
      </c>
      <c r="AB201" s="219">
        <f>_xlfn.XLOOKUP(W201,マスタ!A:A,マスタ!G:G,0)*M201</f>
        <v>0</v>
      </c>
      <c r="AC201" s="220">
        <f>_xlfn.XLOOKUP(W201,マスタ!A:A,マスタ!H:H,0)*M201</f>
        <v>0</v>
      </c>
      <c r="AD201" s="227">
        <f>SUM(X201:AC201)</f>
        <v>0</v>
      </c>
    </row>
    <row r="202" spans="1:30" ht="15" customHeight="1">
      <c r="A202" s="145"/>
      <c r="B202" s="528"/>
      <c r="C202" s="265"/>
      <c r="D202" s="167"/>
      <c r="E202" s="255" t="s">
        <v>169</v>
      </c>
      <c r="F202" s="256"/>
      <c r="G202" s="256"/>
      <c r="H202" s="257"/>
      <c r="I202" s="463" t="s">
        <v>73</v>
      </c>
      <c r="J202" s="523"/>
      <c r="K202" s="464" t="s">
        <v>58</v>
      </c>
      <c r="L202" s="464" t="s">
        <v>58</v>
      </c>
      <c r="M202" s="465">
        <v>1</v>
      </c>
      <c r="N202" s="258"/>
      <c r="O202" s="259"/>
      <c r="P202" s="258"/>
      <c r="Q202" s="259"/>
      <c r="R202" s="258"/>
      <c r="S202" s="259"/>
      <c r="T202" s="258"/>
      <c r="U202" s="259"/>
      <c r="W202" s="208" t="s">
        <v>89</v>
      </c>
      <c r="X202" s="217">
        <f>_xlfn.XLOOKUP(W202,マスタ!A:A,マスタ!C:C,0)*M202</f>
        <v>0.99</v>
      </c>
      <c r="Y202" s="218">
        <f>IF(N202="",0,_xlfn.XLOOKUP(W202,マスタ!A:A,マスタ!D:D,0)*M202)</f>
        <v>0</v>
      </c>
      <c r="Z202" s="219">
        <f>_xlfn.XLOOKUP(W202,マスタ!A:A,マスタ!E:E,0)*M202</f>
        <v>1.17</v>
      </c>
      <c r="AA202" s="219">
        <f>_xlfn.XLOOKUP(W202,マスタ!A:A,マスタ!F:F,0)*M202</f>
        <v>1.32</v>
      </c>
      <c r="AB202" s="219">
        <f>_xlfn.XLOOKUP(W202,マスタ!A:A,マスタ!G:G,0)*M202</f>
        <v>0.39</v>
      </c>
      <c r="AC202" s="220">
        <f>_xlfn.XLOOKUP(W202,マスタ!A:A,マスタ!H:H,0)*M202</f>
        <v>0.39</v>
      </c>
      <c r="AD202" s="227">
        <f>SUM(X202:AC202)</f>
        <v>4.2600000000000007</v>
      </c>
    </row>
    <row r="203" spans="1:30" ht="15" customHeight="1">
      <c r="A203" s="145"/>
      <c r="B203" s="528"/>
      <c r="C203" s="265"/>
      <c r="D203" s="160" t="s">
        <v>127</v>
      </c>
      <c r="E203" s="251"/>
      <c r="F203" s="251"/>
      <c r="G203" s="251"/>
      <c r="H203" s="252"/>
      <c r="I203" s="460" t="s">
        <v>73</v>
      </c>
      <c r="J203" s="522"/>
      <c r="K203" s="461" t="s">
        <v>73</v>
      </c>
      <c r="L203" s="461" t="s">
        <v>73</v>
      </c>
      <c r="M203" s="462">
        <v>0</v>
      </c>
      <c r="N203" s="253"/>
      <c r="O203" s="254"/>
      <c r="P203" s="253"/>
      <c r="Q203" s="254"/>
      <c r="R203" s="253"/>
      <c r="S203" s="254"/>
      <c r="T203" s="253"/>
      <c r="U203" s="254"/>
      <c r="W203" s="208" t="s">
        <v>89</v>
      </c>
      <c r="X203" s="217">
        <f>_xlfn.XLOOKUP(W203,マスタ!A:A,マスタ!C:C,0)*M203</f>
        <v>0</v>
      </c>
      <c r="Y203" s="218">
        <f>IF(N203="",0,_xlfn.XLOOKUP(W203,マスタ!A:A,マスタ!D:D,0)*M203)</f>
        <v>0</v>
      </c>
      <c r="Z203" s="219">
        <f>_xlfn.XLOOKUP(W203,マスタ!A:A,マスタ!E:E,0)*M203</f>
        <v>0</v>
      </c>
      <c r="AA203" s="219">
        <f>_xlfn.XLOOKUP(W203,マスタ!A:A,マスタ!F:F,0)*M203</f>
        <v>0</v>
      </c>
      <c r="AB203" s="219">
        <f>_xlfn.XLOOKUP(W203,マスタ!A:A,マスタ!G:G,0)*M203</f>
        <v>0</v>
      </c>
      <c r="AC203" s="220">
        <f>_xlfn.XLOOKUP(W203,マスタ!A:A,マスタ!H:H,0)*M203</f>
        <v>0</v>
      </c>
      <c r="AD203" s="227">
        <f>SUM(X203:AC203)</f>
        <v>0</v>
      </c>
    </row>
    <row r="204" spans="1:30" ht="15" customHeight="1">
      <c r="A204" s="145"/>
      <c r="B204" s="528"/>
      <c r="C204" s="265"/>
      <c r="D204" s="167"/>
      <c r="E204" s="255" t="s">
        <v>169</v>
      </c>
      <c r="F204" s="256"/>
      <c r="G204" s="256"/>
      <c r="H204" s="257"/>
      <c r="I204" s="463" t="s">
        <v>73</v>
      </c>
      <c r="J204" s="523"/>
      <c r="K204" s="464" t="s">
        <v>58</v>
      </c>
      <c r="L204" s="464" t="s">
        <v>58</v>
      </c>
      <c r="M204" s="465">
        <v>1</v>
      </c>
      <c r="N204" s="258"/>
      <c r="O204" s="259"/>
      <c r="P204" s="258"/>
      <c r="Q204" s="259"/>
      <c r="R204" s="258"/>
      <c r="S204" s="259"/>
      <c r="T204" s="258"/>
      <c r="U204" s="259"/>
      <c r="W204" s="208" t="s">
        <v>89</v>
      </c>
      <c r="X204" s="217">
        <f>_xlfn.XLOOKUP(W204,マスタ!A:A,マスタ!C:C,0)*M204</f>
        <v>0.99</v>
      </c>
      <c r="Y204" s="218">
        <f>IF(N204="",0,_xlfn.XLOOKUP(W204,マスタ!A:A,マスタ!D:D,0)*M204)</f>
        <v>0</v>
      </c>
      <c r="Z204" s="219">
        <f>_xlfn.XLOOKUP(W204,マスタ!A:A,マスタ!E:E,0)*M204</f>
        <v>1.17</v>
      </c>
      <c r="AA204" s="219">
        <f>_xlfn.XLOOKUP(W204,マスタ!A:A,マスタ!F:F,0)*M204</f>
        <v>1.32</v>
      </c>
      <c r="AB204" s="219">
        <f>_xlfn.XLOOKUP(W204,マスタ!A:A,マスタ!G:G,0)*M204</f>
        <v>0.39</v>
      </c>
      <c r="AC204" s="220">
        <f>_xlfn.XLOOKUP(W204,マスタ!A:A,マスタ!H:H,0)*M204</f>
        <v>0.39</v>
      </c>
      <c r="AD204" s="227">
        <f>SUM(X204:AC204)</f>
        <v>4.2600000000000007</v>
      </c>
    </row>
    <row r="205" spans="1:30" ht="15" customHeight="1">
      <c r="A205" s="145"/>
      <c r="B205" s="528"/>
      <c r="C205" s="265"/>
      <c r="D205" s="160" t="s">
        <v>172</v>
      </c>
      <c r="E205" s="251"/>
      <c r="F205" s="251"/>
      <c r="G205" s="251"/>
      <c r="H205" s="252"/>
      <c r="I205" s="460" t="s">
        <v>73</v>
      </c>
      <c r="J205" s="522"/>
      <c r="K205" s="461" t="s">
        <v>73</v>
      </c>
      <c r="L205" s="461" t="s">
        <v>73</v>
      </c>
      <c r="M205" s="462">
        <v>0</v>
      </c>
      <c r="N205" s="253"/>
      <c r="O205" s="254"/>
      <c r="P205" s="253"/>
      <c r="Q205" s="254"/>
      <c r="R205" s="253"/>
      <c r="S205" s="254"/>
      <c r="T205" s="253"/>
      <c r="U205" s="254"/>
      <c r="W205" s="208" t="s">
        <v>89</v>
      </c>
      <c r="X205" s="217">
        <f>_xlfn.XLOOKUP(W205,マスタ!A:A,マスタ!C:C,0)*M205</f>
        <v>0</v>
      </c>
      <c r="Y205" s="218">
        <f>IF(N205="",0,_xlfn.XLOOKUP(W205,マスタ!A:A,マスタ!D:D,0)*M205)</f>
        <v>0</v>
      </c>
      <c r="Z205" s="219">
        <f>_xlfn.XLOOKUP(W205,マスタ!A:A,マスタ!E:E,0)*M205</f>
        <v>0</v>
      </c>
      <c r="AA205" s="219">
        <f>_xlfn.XLOOKUP(W205,マスタ!A:A,マスタ!F:F,0)*M205</f>
        <v>0</v>
      </c>
      <c r="AB205" s="219">
        <f>_xlfn.XLOOKUP(W205,マスタ!A:A,マスタ!G:G,0)*M205</f>
        <v>0</v>
      </c>
      <c r="AC205" s="220">
        <f>_xlfn.XLOOKUP(W205,マスタ!A:A,マスタ!H:H,0)*M205</f>
        <v>0</v>
      </c>
      <c r="AD205" s="227">
        <f>SUM(X205:AC205)</f>
        <v>0</v>
      </c>
    </row>
    <row r="206" spans="1:30" ht="15" customHeight="1">
      <c r="A206" s="145"/>
      <c r="B206" s="528"/>
      <c r="C206" s="265"/>
      <c r="D206" s="167"/>
      <c r="E206" s="255" t="s">
        <v>169</v>
      </c>
      <c r="F206" s="256"/>
      <c r="G206" s="256"/>
      <c r="H206" s="257"/>
      <c r="I206" s="463" t="s">
        <v>73</v>
      </c>
      <c r="J206" s="523"/>
      <c r="K206" s="464" t="s">
        <v>58</v>
      </c>
      <c r="L206" s="464" t="s">
        <v>58</v>
      </c>
      <c r="M206" s="465">
        <v>1</v>
      </c>
      <c r="N206" s="258"/>
      <c r="O206" s="259"/>
      <c r="P206" s="258"/>
      <c r="Q206" s="259"/>
      <c r="R206" s="258"/>
      <c r="S206" s="259"/>
      <c r="T206" s="258"/>
      <c r="U206" s="259"/>
      <c r="W206" s="208" t="s">
        <v>89</v>
      </c>
      <c r="X206" s="217">
        <f>_xlfn.XLOOKUP(W206,マスタ!A:A,マスタ!C:C,0)*M206</f>
        <v>0.99</v>
      </c>
      <c r="Y206" s="218">
        <f>IF(N206="",0,_xlfn.XLOOKUP(W206,マスタ!A:A,マスタ!D:D,0)*M206)</f>
        <v>0</v>
      </c>
      <c r="Z206" s="219">
        <f>_xlfn.XLOOKUP(W206,マスタ!A:A,マスタ!E:E,0)*M206</f>
        <v>1.17</v>
      </c>
      <c r="AA206" s="219">
        <f>_xlfn.XLOOKUP(W206,マスタ!A:A,マスタ!F:F,0)*M206</f>
        <v>1.32</v>
      </c>
      <c r="AB206" s="219">
        <f>_xlfn.XLOOKUP(W206,マスタ!A:A,マスタ!G:G,0)*M206</f>
        <v>0.39</v>
      </c>
      <c r="AC206" s="220">
        <f>_xlfn.XLOOKUP(W206,マスタ!A:A,マスタ!H:H,0)*M206</f>
        <v>0.39</v>
      </c>
      <c r="AD206" s="227">
        <f>SUM(X206:AC206)</f>
        <v>4.2600000000000007</v>
      </c>
    </row>
    <row r="207" spans="1:30" ht="15" customHeight="1">
      <c r="A207" s="145"/>
      <c r="B207" s="528"/>
      <c r="C207" s="265"/>
      <c r="D207" s="160" t="s">
        <v>119</v>
      </c>
      <c r="E207" s="251"/>
      <c r="F207" s="251"/>
      <c r="G207" s="251"/>
      <c r="H207" s="252"/>
      <c r="I207" s="460" t="s">
        <v>73</v>
      </c>
      <c r="J207" s="522"/>
      <c r="K207" s="461" t="s">
        <v>73</v>
      </c>
      <c r="L207" s="461" t="s">
        <v>73</v>
      </c>
      <c r="M207" s="462">
        <v>0</v>
      </c>
      <c r="N207" s="253"/>
      <c r="O207" s="254"/>
      <c r="P207" s="253"/>
      <c r="Q207" s="254"/>
      <c r="R207" s="253"/>
      <c r="S207" s="254"/>
      <c r="T207" s="253"/>
      <c r="U207" s="254"/>
      <c r="W207" s="208" t="s">
        <v>89</v>
      </c>
      <c r="X207" s="217">
        <f>_xlfn.XLOOKUP(W207,マスタ!A:A,マスタ!C:C,0)*M207</f>
        <v>0</v>
      </c>
      <c r="Y207" s="218">
        <f>IF(N207="",0,_xlfn.XLOOKUP(W207,マスタ!A:A,マスタ!D:D,0)*M207)</f>
        <v>0</v>
      </c>
      <c r="Z207" s="219">
        <f>_xlfn.XLOOKUP(W207,マスタ!A:A,マスタ!E:E,0)*M207</f>
        <v>0</v>
      </c>
      <c r="AA207" s="219">
        <f>_xlfn.XLOOKUP(W207,マスタ!A:A,マスタ!F:F,0)*M207</f>
        <v>0</v>
      </c>
      <c r="AB207" s="219">
        <f>_xlfn.XLOOKUP(W207,マスタ!A:A,マスタ!G:G,0)*M207</f>
        <v>0</v>
      </c>
      <c r="AC207" s="220">
        <f>_xlfn.XLOOKUP(W207,マスタ!A:A,マスタ!H:H,0)*M207</f>
        <v>0</v>
      </c>
      <c r="AD207" s="227">
        <f>SUM(X207:AC207)</f>
        <v>0</v>
      </c>
    </row>
    <row r="208" spans="1:30" ht="15" customHeight="1">
      <c r="A208" s="145"/>
      <c r="B208" s="528"/>
      <c r="C208" s="265"/>
      <c r="D208" s="167"/>
      <c r="E208" s="255" t="s">
        <v>169</v>
      </c>
      <c r="F208" s="256"/>
      <c r="G208" s="256"/>
      <c r="H208" s="257"/>
      <c r="I208" s="463" t="s">
        <v>73</v>
      </c>
      <c r="J208" s="523"/>
      <c r="K208" s="464" t="s">
        <v>58</v>
      </c>
      <c r="L208" s="464" t="s">
        <v>58</v>
      </c>
      <c r="M208" s="465">
        <v>1</v>
      </c>
      <c r="N208" s="258"/>
      <c r="O208" s="259"/>
      <c r="P208" s="258"/>
      <c r="Q208" s="259"/>
      <c r="R208" s="258"/>
      <c r="S208" s="259"/>
      <c r="T208" s="258"/>
      <c r="U208" s="259"/>
      <c r="W208" s="208" t="s">
        <v>89</v>
      </c>
      <c r="X208" s="217">
        <f>_xlfn.XLOOKUP(W208,マスタ!A:A,マスタ!C:C,0)*M208</f>
        <v>0.99</v>
      </c>
      <c r="Y208" s="218">
        <f>IF(N208="",0,_xlfn.XLOOKUP(W208,マスタ!A:A,マスタ!D:D,0)*M208)</f>
        <v>0</v>
      </c>
      <c r="Z208" s="219">
        <f>_xlfn.XLOOKUP(W208,マスタ!A:A,マスタ!E:E,0)*M208</f>
        <v>1.17</v>
      </c>
      <c r="AA208" s="219">
        <f>_xlfn.XLOOKUP(W208,マスタ!A:A,マスタ!F:F,0)*M208</f>
        <v>1.32</v>
      </c>
      <c r="AB208" s="219">
        <f>_xlfn.XLOOKUP(W208,マスタ!A:A,マスタ!G:G,0)*M208</f>
        <v>0.39</v>
      </c>
      <c r="AC208" s="220">
        <f>_xlfn.XLOOKUP(W208,マスタ!A:A,マスタ!H:H,0)*M208</f>
        <v>0.39</v>
      </c>
      <c r="AD208" s="227">
        <f>SUM(X208:AC208)</f>
        <v>4.2600000000000007</v>
      </c>
    </row>
    <row r="209" spans="1:30" ht="15" customHeight="1">
      <c r="A209" s="145"/>
      <c r="B209" s="528"/>
      <c r="C209" s="265"/>
      <c r="D209" s="160" t="s">
        <v>184</v>
      </c>
      <c r="E209" s="251"/>
      <c r="F209" s="251"/>
      <c r="G209" s="251"/>
      <c r="H209" s="252"/>
      <c r="I209" s="460" t="s">
        <v>73</v>
      </c>
      <c r="J209" s="522"/>
      <c r="K209" s="461" t="s">
        <v>73</v>
      </c>
      <c r="L209" s="461" t="s">
        <v>73</v>
      </c>
      <c r="M209" s="462">
        <v>0</v>
      </c>
      <c r="N209" s="253"/>
      <c r="O209" s="254"/>
      <c r="P209" s="253"/>
      <c r="Q209" s="254"/>
      <c r="R209" s="253"/>
      <c r="S209" s="254"/>
      <c r="T209" s="253"/>
      <c r="U209" s="254"/>
      <c r="W209" s="208" t="s">
        <v>89</v>
      </c>
      <c r="X209" s="217">
        <f>_xlfn.XLOOKUP(W209,マスタ!A:A,マスタ!C:C,0)*M209</f>
        <v>0</v>
      </c>
      <c r="Y209" s="218">
        <f>IF(N209="",0,_xlfn.XLOOKUP(W209,マスタ!A:A,マスタ!D:D,0)*M209)</f>
        <v>0</v>
      </c>
      <c r="Z209" s="219">
        <f>_xlfn.XLOOKUP(W209,マスタ!A:A,マスタ!E:E,0)*M209</f>
        <v>0</v>
      </c>
      <c r="AA209" s="219">
        <f>_xlfn.XLOOKUP(W209,マスタ!A:A,マスタ!F:F,0)*M209</f>
        <v>0</v>
      </c>
      <c r="AB209" s="219">
        <f>_xlfn.XLOOKUP(W209,マスタ!A:A,マスタ!G:G,0)*M209</f>
        <v>0</v>
      </c>
      <c r="AC209" s="220">
        <f>_xlfn.XLOOKUP(W209,マスタ!A:A,マスタ!H:H,0)*M209</f>
        <v>0</v>
      </c>
      <c r="AD209" s="227">
        <f>SUM(X209:AC209)</f>
        <v>0</v>
      </c>
    </row>
    <row r="210" spans="1:30" ht="15" customHeight="1">
      <c r="A210" s="145"/>
      <c r="B210" s="528"/>
      <c r="C210" s="265"/>
      <c r="D210" s="167"/>
      <c r="E210" s="255" t="s">
        <v>169</v>
      </c>
      <c r="F210" s="256"/>
      <c r="G210" s="256"/>
      <c r="H210" s="257"/>
      <c r="I210" s="463" t="s">
        <v>73</v>
      </c>
      <c r="J210" s="523"/>
      <c r="K210" s="464" t="s">
        <v>58</v>
      </c>
      <c r="L210" s="464" t="s">
        <v>58</v>
      </c>
      <c r="M210" s="465">
        <v>1</v>
      </c>
      <c r="N210" s="258"/>
      <c r="O210" s="259"/>
      <c r="P210" s="258"/>
      <c r="Q210" s="259"/>
      <c r="R210" s="258"/>
      <c r="S210" s="259"/>
      <c r="T210" s="258"/>
      <c r="U210" s="259"/>
      <c r="W210" s="208" t="s">
        <v>89</v>
      </c>
      <c r="X210" s="217">
        <f>_xlfn.XLOOKUP(W210,マスタ!A:A,マスタ!C:C,0)*M210</f>
        <v>0.99</v>
      </c>
      <c r="Y210" s="218">
        <f>IF(N210="",0,_xlfn.XLOOKUP(W210,マスタ!A:A,マスタ!D:D,0)*M210)</f>
        <v>0</v>
      </c>
      <c r="Z210" s="219">
        <f>_xlfn.XLOOKUP(W210,マスタ!A:A,マスタ!E:E,0)*M210</f>
        <v>1.17</v>
      </c>
      <c r="AA210" s="219">
        <f>_xlfn.XLOOKUP(W210,マスタ!A:A,マスタ!F:F,0)*M210</f>
        <v>1.32</v>
      </c>
      <c r="AB210" s="219">
        <f>_xlfn.XLOOKUP(W210,マスタ!A:A,マスタ!G:G,0)*M210</f>
        <v>0.39</v>
      </c>
      <c r="AC210" s="220">
        <f>_xlfn.XLOOKUP(W210,マスタ!A:A,マスタ!H:H,0)*M210</f>
        <v>0.39</v>
      </c>
      <c r="AD210" s="227">
        <f>SUM(X210:AC210)</f>
        <v>4.2600000000000007</v>
      </c>
    </row>
    <row r="211" spans="1:30" ht="15" customHeight="1">
      <c r="A211" s="145"/>
      <c r="B211" s="528"/>
      <c r="C211" s="265"/>
      <c r="D211" s="160" t="s">
        <v>123</v>
      </c>
      <c r="E211" s="251"/>
      <c r="F211" s="251"/>
      <c r="G211" s="251"/>
      <c r="H211" s="252"/>
      <c r="I211" s="460" t="s">
        <v>73</v>
      </c>
      <c r="J211" s="522"/>
      <c r="K211" s="461" t="s">
        <v>73</v>
      </c>
      <c r="L211" s="461" t="s">
        <v>73</v>
      </c>
      <c r="M211" s="462">
        <v>0</v>
      </c>
      <c r="N211" s="253"/>
      <c r="O211" s="254"/>
      <c r="P211" s="253"/>
      <c r="Q211" s="254"/>
      <c r="R211" s="253"/>
      <c r="S211" s="254"/>
      <c r="T211" s="253"/>
      <c r="U211" s="254"/>
      <c r="W211" s="208" t="s">
        <v>89</v>
      </c>
      <c r="X211" s="217">
        <f>_xlfn.XLOOKUP(W211,マスタ!A:A,マスタ!C:C,0)*M211</f>
        <v>0</v>
      </c>
      <c r="Y211" s="218">
        <f>IF(N211="",0,_xlfn.XLOOKUP(W211,マスタ!A:A,マスタ!D:D,0)*M211)</f>
        <v>0</v>
      </c>
      <c r="Z211" s="219">
        <f>_xlfn.XLOOKUP(W211,マスタ!A:A,マスタ!E:E,0)*M211</f>
        <v>0</v>
      </c>
      <c r="AA211" s="219">
        <f>_xlfn.XLOOKUP(W211,マスタ!A:A,マスタ!F:F,0)*M211</f>
        <v>0</v>
      </c>
      <c r="AB211" s="219">
        <f>_xlfn.XLOOKUP(W211,マスタ!A:A,マスタ!G:G,0)*M211</f>
        <v>0</v>
      </c>
      <c r="AC211" s="220">
        <f>_xlfn.XLOOKUP(W211,マスタ!A:A,マスタ!H:H,0)*M211</f>
        <v>0</v>
      </c>
      <c r="AD211" s="227">
        <f>SUM(X211:AC211)</f>
        <v>0</v>
      </c>
    </row>
    <row r="212" spans="1:30" ht="15" customHeight="1">
      <c r="A212" s="145"/>
      <c r="B212" s="529"/>
      <c r="C212" s="266"/>
      <c r="D212" s="167"/>
      <c r="E212" s="255" t="s">
        <v>169</v>
      </c>
      <c r="F212" s="256"/>
      <c r="G212" s="256"/>
      <c r="H212" s="257"/>
      <c r="I212" s="463" t="s">
        <v>73</v>
      </c>
      <c r="J212" s="523"/>
      <c r="K212" s="464" t="s">
        <v>58</v>
      </c>
      <c r="L212" s="464" t="s">
        <v>58</v>
      </c>
      <c r="M212" s="465">
        <v>1</v>
      </c>
      <c r="N212" s="258"/>
      <c r="O212" s="259"/>
      <c r="P212" s="258"/>
      <c r="Q212" s="259"/>
      <c r="R212" s="258"/>
      <c r="S212" s="259"/>
      <c r="T212" s="258"/>
      <c r="U212" s="259"/>
      <c r="W212" s="208" t="s">
        <v>89</v>
      </c>
      <c r="X212" s="217">
        <f>_xlfn.XLOOKUP(W212,マスタ!A:A,マスタ!C:C,0)*M212</f>
        <v>0.99</v>
      </c>
      <c r="Y212" s="218">
        <f>IF(N212="",0,_xlfn.XLOOKUP(W212,マスタ!A:A,マスタ!D:D,0)*M212)</f>
        <v>0</v>
      </c>
      <c r="Z212" s="219">
        <f>_xlfn.XLOOKUP(W212,マスタ!A:A,マスタ!E:E,0)*M212</f>
        <v>1.17</v>
      </c>
      <c r="AA212" s="219">
        <f>_xlfn.XLOOKUP(W212,マスタ!A:A,マスタ!F:F,0)*M212</f>
        <v>1.32</v>
      </c>
      <c r="AB212" s="219">
        <f>_xlfn.XLOOKUP(W212,マスタ!A:A,マスタ!G:G,0)*M212</f>
        <v>0.39</v>
      </c>
      <c r="AC212" s="220">
        <f>_xlfn.XLOOKUP(W212,マスタ!A:A,マスタ!H:H,0)*M212</f>
        <v>0.39</v>
      </c>
      <c r="AD212" s="227">
        <f>SUM(X212:AC212)</f>
        <v>4.2600000000000007</v>
      </c>
    </row>
    <row r="213" spans="1:30" ht="15" customHeight="1">
      <c r="A213" s="145"/>
      <c r="B213" s="198" t="s">
        <v>185</v>
      </c>
      <c r="C213" s="199"/>
      <c r="D213" s="199"/>
      <c r="E213" s="199"/>
      <c r="F213" s="199"/>
      <c r="G213" s="374"/>
      <c r="H213" s="375"/>
      <c r="I213" s="427"/>
      <c r="J213" s="512"/>
      <c r="K213" s="428"/>
      <c r="L213" s="428"/>
      <c r="M213" s="429"/>
      <c r="N213" s="201"/>
      <c r="O213" s="202"/>
      <c r="P213" s="201"/>
      <c r="Q213" s="202"/>
      <c r="R213" s="201"/>
      <c r="S213" s="202"/>
      <c r="T213" s="201"/>
      <c r="U213" s="202"/>
      <c r="W213" s="208"/>
      <c r="X213" s="217">
        <f>_xlfn.XLOOKUP(W213,マスタ!A:A,マスタ!C:C,0)*M213</f>
        <v>0</v>
      </c>
      <c r="Y213" s="218">
        <f>IF(N213="",0,_xlfn.XLOOKUP(W213,マスタ!A:A,マスタ!D:D,0)*M213)</f>
        <v>0</v>
      </c>
      <c r="Z213" s="219">
        <f>_xlfn.XLOOKUP(W213,マスタ!A:A,マスタ!E:E,0)*M213</f>
        <v>0</v>
      </c>
      <c r="AA213" s="219">
        <f>_xlfn.XLOOKUP(W213,マスタ!A:A,マスタ!F:F,0)*M213</f>
        <v>0</v>
      </c>
      <c r="AB213" s="219">
        <f>_xlfn.XLOOKUP(W213,マスタ!A:A,マスタ!G:G,0)*M213</f>
        <v>0</v>
      </c>
      <c r="AC213" s="220">
        <f>_xlfn.XLOOKUP(W213,マスタ!A:A,マスタ!H:H,0)*M213</f>
        <v>0</v>
      </c>
      <c r="AD213" s="227">
        <f t="shared" si="11"/>
        <v>0</v>
      </c>
    </row>
    <row r="214" spans="1:30" ht="15" customHeight="1">
      <c r="A214" s="145"/>
      <c r="B214" s="265"/>
      <c r="C214" s="160" t="s">
        <v>115</v>
      </c>
      <c r="D214" s="251"/>
      <c r="E214" s="251"/>
      <c r="F214" s="251"/>
      <c r="G214" s="251"/>
      <c r="H214" s="252"/>
      <c r="I214" s="460" t="s">
        <v>73</v>
      </c>
      <c r="J214" s="522"/>
      <c r="K214" s="461" t="s">
        <v>73</v>
      </c>
      <c r="L214" s="461" t="s">
        <v>73</v>
      </c>
      <c r="M214" s="462">
        <v>0</v>
      </c>
      <c r="N214" s="253"/>
      <c r="O214" s="254"/>
      <c r="P214" s="253"/>
      <c r="Q214" s="254"/>
      <c r="R214" s="253"/>
      <c r="S214" s="254"/>
      <c r="T214" s="253"/>
      <c r="U214" s="254"/>
      <c r="W214" s="208" t="s">
        <v>89</v>
      </c>
      <c r="X214" s="217">
        <f>_xlfn.XLOOKUP(W214,マスタ!A:A,マスタ!C:C,0)*M214</f>
        <v>0</v>
      </c>
      <c r="Y214" s="218">
        <f>IF(N214="",0,_xlfn.XLOOKUP(W214,マスタ!A:A,マスタ!D:D,0)*M214)</f>
        <v>0</v>
      </c>
      <c r="Z214" s="219">
        <f>_xlfn.XLOOKUP(W214,マスタ!A:A,マスタ!E:E,0)*M214</f>
        <v>0</v>
      </c>
      <c r="AA214" s="219">
        <f>_xlfn.XLOOKUP(W214,マスタ!A:A,マスタ!F:F,0)*M214</f>
        <v>0</v>
      </c>
      <c r="AB214" s="219">
        <f>_xlfn.XLOOKUP(W214,マスタ!A:A,マスタ!G:G,0)*M214</f>
        <v>0</v>
      </c>
      <c r="AC214" s="220">
        <f>_xlfn.XLOOKUP(W214,マスタ!A:A,マスタ!H:H,0)*M214</f>
        <v>0</v>
      </c>
      <c r="AD214" s="227">
        <f t="shared" si="7"/>
        <v>0</v>
      </c>
    </row>
    <row r="215" spans="1:30" ht="15" customHeight="1">
      <c r="A215" s="145"/>
      <c r="B215" s="265"/>
      <c r="C215" s="167"/>
      <c r="D215" s="255" t="s">
        <v>169</v>
      </c>
      <c r="E215" s="256"/>
      <c r="F215" s="256"/>
      <c r="G215" s="256"/>
      <c r="H215" s="257"/>
      <c r="I215" s="463" t="s">
        <v>58</v>
      </c>
      <c r="J215" s="523"/>
      <c r="K215" s="464" t="s">
        <v>73</v>
      </c>
      <c r="L215" s="464" t="s">
        <v>73</v>
      </c>
      <c r="M215" s="465">
        <v>1</v>
      </c>
      <c r="N215" s="258"/>
      <c r="O215" s="259"/>
      <c r="P215" s="258"/>
      <c r="Q215" s="259"/>
      <c r="R215" s="258"/>
      <c r="S215" s="259"/>
      <c r="T215" s="258"/>
      <c r="U215" s="259"/>
      <c r="W215" s="208" t="s">
        <v>89</v>
      </c>
      <c r="X215" s="217">
        <f>_xlfn.XLOOKUP(W215,マスタ!A:A,マスタ!C:C,0)*M215</f>
        <v>0.99</v>
      </c>
      <c r="Y215" s="218">
        <f>IF(N215="",0,_xlfn.XLOOKUP(W215,マスタ!A:A,マスタ!D:D,0)*M215)</f>
        <v>0</v>
      </c>
      <c r="Z215" s="219">
        <f>_xlfn.XLOOKUP(W215,マスタ!A:A,マスタ!E:E,0)*M215</f>
        <v>1.17</v>
      </c>
      <c r="AA215" s="219">
        <f>_xlfn.XLOOKUP(W215,マスタ!A:A,マスタ!F:F,0)*M215</f>
        <v>1.32</v>
      </c>
      <c r="AB215" s="219">
        <f>_xlfn.XLOOKUP(W215,マスタ!A:A,マスタ!G:G,0)*M215</f>
        <v>0.39</v>
      </c>
      <c r="AC215" s="220">
        <f>_xlfn.XLOOKUP(W215,マスタ!A:A,マスタ!H:H,0)*M215</f>
        <v>0.39</v>
      </c>
      <c r="AD215" s="227">
        <f t="shared" ref="AD215:AD241" si="12">SUM(X215:AC215)</f>
        <v>4.2600000000000007</v>
      </c>
    </row>
    <row r="216" spans="1:30" ht="15" customHeight="1">
      <c r="A216" s="145"/>
      <c r="B216" s="265"/>
      <c r="C216" s="160" t="s">
        <v>170</v>
      </c>
      <c r="D216" s="251"/>
      <c r="E216" s="251"/>
      <c r="F216" s="251"/>
      <c r="G216" s="251"/>
      <c r="H216" s="252"/>
      <c r="I216" s="460" t="s">
        <v>73</v>
      </c>
      <c r="J216" s="522"/>
      <c r="K216" s="461" t="s">
        <v>73</v>
      </c>
      <c r="L216" s="461" t="s">
        <v>73</v>
      </c>
      <c r="M216" s="462">
        <v>0</v>
      </c>
      <c r="N216" s="253"/>
      <c r="O216" s="254"/>
      <c r="P216" s="253"/>
      <c r="Q216" s="254"/>
      <c r="R216" s="253"/>
      <c r="S216" s="254"/>
      <c r="T216" s="253"/>
      <c r="U216" s="254"/>
      <c r="W216" s="208" t="s">
        <v>89</v>
      </c>
      <c r="X216" s="217">
        <f>_xlfn.XLOOKUP(W216,マスタ!A:A,マスタ!C:C,0)*M216</f>
        <v>0</v>
      </c>
      <c r="Y216" s="218">
        <f>IF(N216="",0,_xlfn.XLOOKUP(W216,マスタ!A:A,マスタ!D:D,0)*M216)</f>
        <v>0</v>
      </c>
      <c r="Z216" s="219">
        <f>_xlfn.XLOOKUP(W216,マスタ!A:A,マスタ!E:E,0)*M216</f>
        <v>0</v>
      </c>
      <c r="AA216" s="219">
        <f>_xlfn.XLOOKUP(W216,マスタ!A:A,マスタ!F:F,0)*M216</f>
        <v>0</v>
      </c>
      <c r="AB216" s="219">
        <f>_xlfn.XLOOKUP(W216,マスタ!A:A,マスタ!G:G,0)*M216</f>
        <v>0</v>
      </c>
      <c r="AC216" s="220">
        <f>_xlfn.XLOOKUP(W216,マスタ!A:A,マスタ!H:H,0)*M216</f>
        <v>0</v>
      </c>
      <c r="AD216" s="227">
        <f t="shared" si="12"/>
        <v>0</v>
      </c>
    </row>
    <row r="217" spans="1:30" ht="15" customHeight="1">
      <c r="A217" s="145"/>
      <c r="B217" s="265"/>
      <c r="C217" s="167"/>
      <c r="D217" s="255" t="s">
        <v>169</v>
      </c>
      <c r="E217" s="256"/>
      <c r="F217" s="256"/>
      <c r="G217" s="256"/>
      <c r="H217" s="257"/>
      <c r="I217" s="463" t="s">
        <v>58</v>
      </c>
      <c r="J217" s="523"/>
      <c r="K217" s="464" t="s">
        <v>73</v>
      </c>
      <c r="L217" s="464" t="s">
        <v>73</v>
      </c>
      <c r="M217" s="465">
        <v>1</v>
      </c>
      <c r="N217" s="258"/>
      <c r="O217" s="259"/>
      <c r="P217" s="258"/>
      <c r="Q217" s="259"/>
      <c r="R217" s="258"/>
      <c r="S217" s="259"/>
      <c r="T217" s="258"/>
      <c r="U217" s="259"/>
      <c r="W217" s="208" t="s">
        <v>89</v>
      </c>
      <c r="X217" s="217">
        <f>_xlfn.XLOOKUP(W217,マスタ!A:A,マスタ!C:C,0)*M217</f>
        <v>0.99</v>
      </c>
      <c r="Y217" s="218">
        <f>IF(N217="",0,_xlfn.XLOOKUP(W217,マスタ!A:A,マスタ!D:D,0)*M217)</f>
        <v>0</v>
      </c>
      <c r="Z217" s="219">
        <f>_xlfn.XLOOKUP(W217,マスタ!A:A,マスタ!E:E,0)*M217</f>
        <v>1.17</v>
      </c>
      <c r="AA217" s="219">
        <f>_xlfn.XLOOKUP(W217,マスタ!A:A,マスタ!F:F,0)*M217</f>
        <v>1.32</v>
      </c>
      <c r="AB217" s="219">
        <f>_xlfn.XLOOKUP(W217,マスタ!A:A,マスタ!G:G,0)*M217</f>
        <v>0.39</v>
      </c>
      <c r="AC217" s="220">
        <f>_xlfn.XLOOKUP(W217,マスタ!A:A,マスタ!H:H,0)*M217</f>
        <v>0.39</v>
      </c>
      <c r="AD217" s="227">
        <f t="shared" si="12"/>
        <v>4.2600000000000007</v>
      </c>
    </row>
    <row r="218" spans="1:30" ht="15" customHeight="1">
      <c r="A218" s="145"/>
      <c r="B218" s="265"/>
      <c r="C218" s="160" t="s">
        <v>171</v>
      </c>
      <c r="D218" s="251"/>
      <c r="E218" s="251"/>
      <c r="F218" s="251"/>
      <c r="G218" s="251"/>
      <c r="H218" s="252"/>
      <c r="I218" s="460" t="s">
        <v>73</v>
      </c>
      <c r="J218" s="522"/>
      <c r="K218" s="461" t="s">
        <v>73</v>
      </c>
      <c r="L218" s="461" t="s">
        <v>73</v>
      </c>
      <c r="M218" s="462">
        <v>0</v>
      </c>
      <c r="N218" s="253"/>
      <c r="O218" s="254"/>
      <c r="P218" s="253"/>
      <c r="Q218" s="254"/>
      <c r="R218" s="253"/>
      <c r="S218" s="254"/>
      <c r="T218" s="253"/>
      <c r="U218" s="254"/>
      <c r="W218" s="208" t="s">
        <v>89</v>
      </c>
      <c r="X218" s="217">
        <f>_xlfn.XLOOKUP(W218,マスタ!A:A,マスタ!C:C,0)*M218</f>
        <v>0</v>
      </c>
      <c r="Y218" s="218">
        <f>IF(N218="",0,_xlfn.XLOOKUP(W218,マスタ!A:A,マスタ!D:D,0)*M218)</f>
        <v>0</v>
      </c>
      <c r="Z218" s="219">
        <f>_xlfn.XLOOKUP(W218,マスタ!A:A,マスタ!E:E,0)*M218</f>
        <v>0</v>
      </c>
      <c r="AA218" s="219">
        <f>_xlfn.XLOOKUP(W218,マスタ!A:A,マスタ!F:F,0)*M218</f>
        <v>0</v>
      </c>
      <c r="AB218" s="219">
        <f>_xlfn.XLOOKUP(W218,マスタ!A:A,マスタ!G:G,0)*M218</f>
        <v>0</v>
      </c>
      <c r="AC218" s="220">
        <f>_xlfn.XLOOKUP(W218,マスタ!A:A,マスタ!H:H,0)*M218</f>
        <v>0</v>
      </c>
      <c r="AD218" s="227">
        <f t="shared" si="12"/>
        <v>0</v>
      </c>
    </row>
    <row r="219" spans="1:30" ht="15" customHeight="1">
      <c r="A219" s="145"/>
      <c r="B219" s="265"/>
      <c r="C219" s="167"/>
      <c r="D219" s="255" t="s">
        <v>169</v>
      </c>
      <c r="E219" s="256"/>
      <c r="F219" s="256"/>
      <c r="G219" s="256"/>
      <c r="H219" s="257"/>
      <c r="I219" s="463" t="s">
        <v>58</v>
      </c>
      <c r="J219" s="523"/>
      <c r="K219" s="464" t="s">
        <v>73</v>
      </c>
      <c r="L219" s="464" t="s">
        <v>73</v>
      </c>
      <c r="M219" s="465">
        <v>1</v>
      </c>
      <c r="N219" s="258"/>
      <c r="O219" s="259"/>
      <c r="P219" s="258"/>
      <c r="Q219" s="259"/>
      <c r="R219" s="258"/>
      <c r="S219" s="259"/>
      <c r="T219" s="258"/>
      <c r="U219" s="259"/>
      <c r="W219" s="208" t="s">
        <v>89</v>
      </c>
      <c r="X219" s="217">
        <f>_xlfn.XLOOKUP(W219,マスタ!A:A,マスタ!C:C,0)*M219</f>
        <v>0.99</v>
      </c>
      <c r="Y219" s="218">
        <f>IF(N219="",0,_xlfn.XLOOKUP(W219,マスタ!A:A,マスタ!D:D,0)*M219)</f>
        <v>0</v>
      </c>
      <c r="Z219" s="219">
        <f>_xlfn.XLOOKUP(W219,マスタ!A:A,マスタ!E:E,0)*M219</f>
        <v>1.17</v>
      </c>
      <c r="AA219" s="219">
        <f>_xlfn.XLOOKUP(W219,マスタ!A:A,マスタ!F:F,0)*M219</f>
        <v>1.32</v>
      </c>
      <c r="AB219" s="219">
        <f>_xlfn.XLOOKUP(W219,マスタ!A:A,マスタ!G:G,0)*M219</f>
        <v>0.39</v>
      </c>
      <c r="AC219" s="220">
        <f>_xlfn.XLOOKUP(W219,マスタ!A:A,マスタ!H:H,0)*M219</f>
        <v>0.39</v>
      </c>
      <c r="AD219" s="227">
        <f t="shared" si="12"/>
        <v>4.2600000000000007</v>
      </c>
    </row>
    <row r="220" spans="1:30" ht="15" customHeight="1">
      <c r="A220" s="145"/>
      <c r="B220" s="265"/>
      <c r="C220" s="160" t="s">
        <v>172</v>
      </c>
      <c r="D220" s="251"/>
      <c r="E220" s="251"/>
      <c r="F220" s="251"/>
      <c r="G220" s="251"/>
      <c r="H220" s="252"/>
      <c r="I220" s="460" t="s">
        <v>73</v>
      </c>
      <c r="J220" s="522"/>
      <c r="K220" s="461" t="s">
        <v>73</v>
      </c>
      <c r="L220" s="461" t="s">
        <v>73</v>
      </c>
      <c r="M220" s="462">
        <v>0</v>
      </c>
      <c r="N220" s="253"/>
      <c r="O220" s="254"/>
      <c r="P220" s="253"/>
      <c r="Q220" s="254"/>
      <c r="R220" s="253"/>
      <c r="S220" s="254"/>
      <c r="T220" s="253"/>
      <c r="U220" s="254"/>
      <c r="W220" s="208" t="s">
        <v>89</v>
      </c>
      <c r="X220" s="217">
        <f>_xlfn.XLOOKUP(W220,マスタ!A:A,マスタ!C:C,0)*M220</f>
        <v>0</v>
      </c>
      <c r="Y220" s="218">
        <f>IF(N220="",0,_xlfn.XLOOKUP(W220,マスタ!A:A,マスタ!D:D,0)*M220)</f>
        <v>0</v>
      </c>
      <c r="Z220" s="219">
        <f>_xlfn.XLOOKUP(W220,マスタ!A:A,マスタ!E:E,0)*M220</f>
        <v>0</v>
      </c>
      <c r="AA220" s="219">
        <f>_xlfn.XLOOKUP(W220,マスタ!A:A,マスタ!F:F,0)*M220</f>
        <v>0</v>
      </c>
      <c r="AB220" s="219">
        <f>_xlfn.XLOOKUP(W220,マスタ!A:A,マスタ!G:G,0)*M220</f>
        <v>0</v>
      </c>
      <c r="AC220" s="220">
        <f>_xlfn.XLOOKUP(W220,マスタ!A:A,マスタ!H:H,0)*M220</f>
        <v>0</v>
      </c>
      <c r="AD220" s="227">
        <f t="shared" si="12"/>
        <v>0</v>
      </c>
    </row>
    <row r="221" spans="1:30" ht="15" customHeight="1">
      <c r="A221" s="145"/>
      <c r="B221" s="265"/>
      <c r="C221" s="167"/>
      <c r="D221" s="255" t="s">
        <v>169</v>
      </c>
      <c r="E221" s="256"/>
      <c r="F221" s="256"/>
      <c r="G221" s="256"/>
      <c r="H221" s="257"/>
      <c r="I221" s="463" t="s">
        <v>58</v>
      </c>
      <c r="J221" s="523"/>
      <c r="K221" s="464" t="s">
        <v>73</v>
      </c>
      <c r="L221" s="464" t="s">
        <v>73</v>
      </c>
      <c r="M221" s="465">
        <v>1</v>
      </c>
      <c r="N221" s="258"/>
      <c r="O221" s="259"/>
      <c r="P221" s="258"/>
      <c r="Q221" s="259"/>
      <c r="R221" s="258"/>
      <c r="S221" s="259"/>
      <c r="T221" s="258"/>
      <c r="U221" s="259"/>
      <c r="W221" s="208" t="s">
        <v>89</v>
      </c>
      <c r="X221" s="217">
        <f>_xlfn.XLOOKUP(W221,マスタ!A:A,マスタ!C:C,0)*M221</f>
        <v>0.99</v>
      </c>
      <c r="Y221" s="218">
        <f>IF(N221="",0,_xlfn.XLOOKUP(W221,マスタ!A:A,マスタ!D:D,0)*M221)</f>
        <v>0</v>
      </c>
      <c r="Z221" s="219">
        <f>_xlfn.XLOOKUP(W221,マスタ!A:A,マスタ!E:E,0)*M221</f>
        <v>1.17</v>
      </c>
      <c r="AA221" s="219">
        <f>_xlfn.XLOOKUP(W221,マスタ!A:A,マスタ!F:F,0)*M221</f>
        <v>1.32</v>
      </c>
      <c r="AB221" s="219">
        <f>_xlfn.XLOOKUP(W221,マスタ!A:A,マスタ!G:G,0)*M221</f>
        <v>0.39</v>
      </c>
      <c r="AC221" s="220">
        <f>_xlfn.XLOOKUP(W221,マスタ!A:A,マスタ!H:H,0)*M221</f>
        <v>0.39</v>
      </c>
      <c r="AD221" s="227">
        <f t="shared" si="12"/>
        <v>4.2600000000000007</v>
      </c>
    </row>
    <row r="222" spans="1:30" ht="15" customHeight="1">
      <c r="A222" s="145"/>
      <c r="B222" s="265"/>
      <c r="C222" s="160" t="s">
        <v>173</v>
      </c>
      <c r="D222" s="251"/>
      <c r="E222" s="251"/>
      <c r="F222" s="251"/>
      <c r="G222" s="251"/>
      <c r="H222" s="252"/>
      <c r="I222" s="460" t="s">
        <v>73</v>
      </c>
      <c r="J222" s="522"/>
      <c r="K222" s="461" t="s">
        <v>73</v>
      </c>
      <c r="L222" s="461" t="s">
        <v>73</v>
      </c>
      <c r="M222" s="462">
        <v>0</v>
      </c>
      <c r="N222" s="253"/>
      <c r="O222" s="254"/>
      <c r="P222" s="253"/>
      <c r="Q222" s="254"/>
      <c r="R222" s="253"/>
      <c r="S222" s="254"/>
      <c r="T222" s="253"/>
      <c r="U222" s="254"/>
      <c r="W222" s="208" t="s">
        <v>89</v>
      </c>
      <c r="X222" s="217">
        <f>_xlfn.XLOOKUP(W222,マスタ!A:A,マスタ!C:C,0)*M222</f>
        <v>0</v>
      </c>
      <c r="Y222" s="218">
        <f>IF(N222="",0,_xlfn.XLOOKUP(W222,マスタ!A:A,マスタ!D:D,0)*M222)</f>
        <v>0</v>
      </c>
      <c r="Z222" s="219">
        <f>_xlfn.XLOOKUP(W222,マスタ!A:A,マスタ!E:E,0)*M222</f>
        <v>0</v>
      </c>
      <c r="AA222" s="219">
        <f>_xlfn.XLOOKUP(W222,マスタ!A:A,マスタ!F:F,0)*M222</f>
        <v>0</v>
      </c>
      <c r="AB222" s="219">
        <f>_xlfn.XLOOKUP(W222,マスタ!A:A,マスタ!G:G,0)*M222</f>
        <v>0</v>
      </c>
      <c r="AC222" s="220">
        <f>_xlfn.XLOOKUP(W222,マスタ!A:A,マスタ!H:H,0)*M222</f>
        <v>0</v>
      </c>
      <c r="AD222" s="227">
        <f t="shared" si="12"/>
        <v>0</v>
      </c>
    </row>
    <row r="223" spans="1:30" ht="15" customHeight="1">
      <c r="A223" s="145"/>
      <c r="B223" s="265"/>
      <c r="C223" s="167"/>
      <c r="D223" s="255" t="s">
        <v>169</v>
      </c>
      <c r="E223" s="256"/>
      <c r="F223" s="256"/>
      <c r="G223" s="256"/>
      <c r="H223" s="257"/>
      <c r="I223" s="463" t="s">
        <v>58</v>
      </c>
      <c r="J223" s="523"/>
      <c r="K223" s="464" t="s">
        <v>73</v>
      </c>
      <c r="L223" s="464" t="s">
        <v>73</v>
      </c>
      <c r="M223" s="465">
        <v>1</v>
      </c>
      <c r="N223" s="258"/>
      <c r="O223" s="259"/>
      <c r="P223" s="258"/>
      <c r="Q223" s="259"/>
      <c r="R223" s="258"/>
      <c r="S223" s="259"/>
      <c r="T223" s="258"/>
      <c r="U223" s="259"/>
      <c r="W223" s="208" t="s">
        <v>89</v>
      </c>
      <c r="X223" s="217">
        <f>_xlfn.XLOOKUP(W223,マスタ!A:A,マスタ!C:C,0)*M223</f>
        <v>0.99</v>
      </c>
      <c r="Y223" s="218">
        <f>IF(N223="",0,_xlfn.XLOOKUP(W223,マスタ!A:A,マスタ!D:D,0)*M223)</f>
        <v>0</v>
      </c>
      <c r="Z223" s="219">
        <f>_xlfn.XLOOKUP(W223,マスタ!A:A,マスタ!E:E,0)*M223</f>
        <v>1.17</v>
      </c>
      <c r="AA223" s="219">
        <f>_xlfn.XLOOKUP(W223,マスタ!A:A,マスタ!F:F,0)*M223</f>
        <v>1.32</v>
      </c>
      <c r="AB223" s="219">
        <f>_xlfn.XLOOKUP(W223,マスタ!A:A,マスタ!G:G,0)*M223</f>
        <v>0.39</v>
      </c>
      <c r="AC223" s="220">
        <f>_xlfn.XLOOKUP(W223,マスタ!A:A,マスタ!H:H,0)*M223</f>
        <v>0.39</v>
      </c>
      <c r="AD223" s="227">
        <f t="shared" si="12"/>
        <v>4.2600000000000007</v>
      </c>
    </row>
    <row r="224" spans="1:30" ht="15" customHeight="1">
      <c r="A224" s="145"/>
      <c r="B224" s="265"/>
      <c r="C224" s="160" t="s">
        <v>174</v>
      </c>
      <c r="D224" s="251"/>
      <c r="E224" s="251"/>
      <c r="F224" s="251"/>
      <c r="G224" s="251"/>
      <c r="H224" s="252"/>
      <c r="I224" s="460" t="s">
        <v>73</v>
      </c>
      <c r="J224" s="522"/>
      <c r="K224" s="461" t="s">
        <v>73</v>
      </c>
      <c r="L224" s="461" t="s">
        <v>73</v>
      </c>
      <c r="M224" s="462">
        <v>0</v>
      </c>
      <c r="N224" s="253"/>
      <c r="O224" s="254"/>
      <c r="P224" s="253"/>
      <c r="Q224" s="254"/>
      <c r="R224" s="253"/>
      <c r="S224" s="254"/>
      <c r="T224" s="253"/>
      <c r="U224" s="254"/>
      <c r="W224" s="208" t="s">
        <v>89</v>
      </c>
      <c r="X224" s="217">
        <f>_xlfn.XLOOKUP(W224,マスタ!A:A,マスタ!C:C,0)*M224</f>
        <v>0</v>
      </c>
      <c r="Y224" s="218">
        <f>IF(N224="",0,_xlfn.XLOOKUP(W224,マスタ!A:A,マスタ!D:D,0)*M224)</f>
        <v>0</v>
      </c>
      <c r="Z224" s="219">
        <f>_xlfn.XLOOKUP(W224,マスタ!A:A,マスタ!E:E,0)*M224</f>
        <v>0</v>
      </c>
      <c r="AA224" s="219">
        <f>_xlfn.XLOOKUP(W224,マスタ!A:A,マスタ!F:F,0)*M224</f>
        <v>0</v>
      </c>
      <c r="AB224" s="219">
        <f>_xlfn.XLOOKUP(W224,マスタ!A:A,マスタ!G:G,0)*M224</f>
        <v>0</v>
      </c>
      <c r="AC224" s="220">
        <f>_xlfn.XLOOKUP(W224,マスタ!A:A,マスタ!H:H,0)*M224</f>
        <v>0</v>
      </c>
      <c r="AD224" s="227">
        <f t="shared" si="12"/>
        <v>0</v>
      </c>
    </row>
    <row r="225" spans="1:32" ht="15" customHeight="1">
      <c r="A225" s="145"/>
      <c r="B225" s="265"/>
      <c r="C225" s="167"/>
      <c r="D225" s="255" t="s">
        <v>169</v>
      </c>
      <c r="E225" s="256"/>
      <c r="F225" s="256"/>
      <c r="G225" s="256"/>
      <c r="H225" s="257"/>
      <c r="I225" s="463" t="s">
        <v>58</v>
      </c>
      <c r="J225" s="523"/>
      <c r="K225" s="464" t="s">
        <v>73</v>
      </c>
      <c r="L225" s="464" t="s">
        <v>73</v>
      </c>
      <c r="M225" s="465">
        <v>1</v>
      </c>
      <c r="N225" s="258"/>
      <c r="O225" s="259"/>
      <c r="P225" s="258"/>
      <c r="Q225" s="259"/>
      <c r="R225" s="258"/>
      <c r="S225" s="259"/>
      <c r="T225" s="258"/>
      <c r="U225" s="259"/>
      <c r="W225" s="208" t="s">
        <v>89</v>
      </c>
      <c r="X225" s="217">
        <f>_xlfn.XLOOKUP(W225,マスタ!A:A,マスタ!C:C,0)*M225</f>
        <v>0.99</v>
      </c>
      <c r="Y225" s="218">
        <f>IF(N225="",0,_xlfn.XLOOKUP(W225,マスタ!A:A,マスタ!D:D,0)*M225)</f>
        <v>0</v>
      </c>
      <c r="Z225" s="219">
        <f>_xlfn.XLOOKUP(W225,マスタ!A:A,マスタ!E:E,0)*M225</f>
        <v>1.17</v>
      </c>
      <c r="AA225" s="219">
        <f>_xlfn.XLOOKUP(W225,マスタ!A:A,マスタ!F:F,0)*M225</f>
        <v>1.32</v>
      </c>
      <c r="AB225" s="219">
        <f>_xlfn.XLOOKUP(W225,マスタ!A:A,マスタ!G:G,0)*M225</f>
        <v>0.39</v>
      </c>
      <c r="AC225" s="220">
        <f>_xlfn.XLOOKUP(W225,マスタ!A:A,マスタ!H:H,0)*M225</f>
        <v>0.39</v>
      </c>
      <c r="AD225" s="227">
        <f t="shared" si="12"/>
        <v>4.2600000000000007</v>
      </c>
    </row>
    <row r="226" spans="1:32" ht="15" customHeight="1">
      <c r="A226" s="145"/>
      <c r="B226" s="265"/>
      <c r="C226" s="160" t="s">
        <v>175</v>
      </c>
      <c r="D226" s="251"/>
      <c r="E226" s="251"/>
      <c r="F226" s="251"/>
      <c r="G226" s="251"/>
      <c r="H226" s="252"/>
      <c r="I226" s="460" t="s">
        <v>73</v>
      </c>
      <c r="J226" s="522"/>
      <c r="K226" s="461" t="s">
        <v>73</v>
      </c>
      <c r="L226" s="461" t="s">
        <v>73</v>
      </c>
      <c r="M226" s="462">
        <v>0</v>
      </c>
      <c r="N226" s="253"/>
      <c r="O226" s="254"/>
      <c r="P226" s="253"/>
      <c r="Q226" s="254"/>
      <c r="R226" s="253"/>
      <c r="S226" s="254"/>
      <c r="T226" s="253"/>
      <c r="U226" s="254"/>
      <c r="W226" s="208" t="s">
        <v>89</v>
      </c>
      <c r="X226" s="217">
        <f>_xlfn.XLOOKUP(W226,マスタ!A:A,マスタ!C:C,0)*M226</f>
        <v>0</v>
      </c>
      <c r="Y226" s="218">
        <f>IF(N226="",0,_xlfn.XLOOKUP(W226,マスタ!A:A,マスタ!D:D,0)*M226)</f>
        <v>0</v>
      </c>
      <c r="Z226" s="219">
        <f>_xlfn.XLOOKUP(W226,マスタ!A:A,マスタ!E:E,0)*M226</f>
        <v>0</v>
      </c>
      <c r="AA226" s="219">
        <f>_xlfn.XLOOKUP(W226,マスタ!A:A,マスタ!F:F,0)*M226</f>
        <v>0</v>
      </c>
      <c r="AB226" s="219">
        <f>_xlfn.XLOOKUP(W226,マスタ!A:A,マスタ!G:G,0)*M226</f>
        <v>0</v>
      </c>
      <c r="AC226" s="220">
        <f>_xlfn.XLOOKUP(W226,マスタ!A:A,マスタ!H:H,0)*M226</f>
        <v>0</v>
      </c>
      <c r="AD226" s="227">
        <f t="shared" si="12"/>
        <v>0</v>
      </c>
    </row>
    <row r="227" spans="1:32" ht="15" customHeight="1">
      <c r="A227" s="145"/>
      <c r="B227" s="265"/>
      <c r="C227" s="167"/>
      <c r="D227" s="255" t="s">
        <v>169</v>
      </c>
      <c r="E227" s="256"/>
      <c r="F227" s="256"/>
      <c r="G227" s="256"/>
      <c r="H227" s="257"/>
      <c r="I227" s="463" t="s">
        <v>58</v>
      </c>
      <c r="J227" s="523"/>
      <c r="K227" s="464" t="s">
        <v>73</v>
      </c>
      <c r="L227" s="464" t="s">
        <v>73</v>
      </c>
      <c r="M227" s="465">
        <v>1</v>
      </c>
      <c r="N227" s="258"/>
      <c r="O227" s="259"/>
      <c r="P227" s="258"/>
      <c r="Q227" s="259"/>
      <c r="R227" s="258"/>
      <c r="S227" s="259"/>
      <c r="T227" s="258"/>
      <c r="U227" s="259"/>
      <c r="W227" s="208" t="s">
        <v>89</v>
      </c>
      <c r="X227" s="217">
        <f>_xlfn.XLOOKUP(W227,マスタ!A:A,マスタ!C:C,0)*M227</f>
        <v>0.99</v>
      </c>
      <c r="Y227" s="218">
        <f>IF(N227="",0,_xlfn.XLOOKUP(W227,マスタ!A:A,マスタ!D:D,0)*M227)</f>
        <v>0</v>
      </c>
      <c r="Z227" s="219">
        <f>_xlfn.XLOOKUP(W227,マスタ!A:A,マスタ!E:E,0)*M227</f>
        <v>1.17</v>
      </c>
      <c r="AA227" s="219">
        <f>_xlfn.XLOOKUP(W227,マスタ!A:A,マスタ!F:F,0)*M227</f>
        <v>1.32</v>
      </c>
      <c r="AB227" s="219">
        <f>_xlfn.XLOOKUP(W227,マスタ!A:A,マスタ!G:G,0)*M227</f>
        <v>0.39</v>
      </c>
      <c r="AC227" s="220">
        <f>_xlfn.XLOOKUP(W227,マスタ!A:A,マスタ!H:H,0)*M227</f>
        <v>0.39</v>
      </c>
      <c r="AD227" s="227">
        <f t="shared" si="12"/>
        <v>4.2600000000000007</v>
      </c>
    </row>
    <row r="228" spans="1:32" ht="15" customHeight="1">
      <c r="A228" s="145"/>
      <c r="B228" s="265"/>
      <c r="C228" s="160" t="s">
        <v>176</v>
      </c>
      <c r="D228" s="251"/>
      <c r="E228" s="251"/>
      <c r="F228" s="251"/>
      <c r="G228" s="251"/>
      <c r="H228" s="252"/>
      <c r="I228" s="460" t="s">
        <v>73</v>
      </c>
      <c r="J228" s="522"/>
      <c r="K228" s="461" t="s">
        <v>73</v>
      </c>
      <c r="L228" s="461" t="s">
        <v>73</v>
      </c>
      <c r="M228" s="462">
        <v>0</v>
      </c>
      <c r="N228" s="253"/>
      <c r="O228" s="254"/>
      <c r="P228" s="253"/>
      <c r="Q228" s="254"/>
      <c r="R228" s="253"/>
      <c r="S228" s="254"/>
      <c r="T228" s="253"/>
      <c r="U228" s="254"/>
      <c r="W228" s="208" t="s">
        <v>89</v>
      </c>
      <c r="X228" s="217">
        <f>_xlfn.XLOOKUP(W228,マスタ!A:A,マスタ!C:C,0)*M228</f>
        <v>0</v>
      </c>
      <c r="Y228" s="218">
        <f>IF(N228="",0,_xlfn.XLOOKUP(W228,マスタ!A:A,マスタ!D:D,0)*M228)</f>
        <v>0</v>
      </c>
      <c r="Z228" s="219">
        <f>_xlfn.XLOOKUP(W228,マスタ!A:A,マスタ!E:E,0)*M228</f>
        <v>0</v>
      </c>
      <c r="AA228" s="219">
        <f>_xlfn.XLOOKUP(W228,マスタ!A:A,マスタ!F:F,0)*M228</f>
        <v>0</v>
      </c>
      <c r="AB228" s="219">
        <f>_xlfn.XLOOKUP(W228,マスタ!A:A,マスタ!G:G,0)*M228</f>
        <v>0</v>
      </c>
      <c r="AC228" s="220">
        <f>_xlfn.XLOOKUP(W228,マスタ!A:A,マスタ!H:H,0)*M228</f>
        <v>0</v>
      </c>
      <c r="AD228" s="227">
        <f t="shared" si="12"/>
        <v>0</v>
      </c>
    </row>
    <row r="229" spans="1:32" ht="15" customHeight="1">
      <c r="A229" s="145"/>
      <c r="B229" s="265"/>
      <c r="C229" s="167"/>
      <c r="D229" s="255" t="s">
        <v>169</v>
      </c>
      <c r="E229" s="256"/>
      <c r="F229" s="256"/>
      <c r="G229" s="256"/>
      <c r="H229" s="257"/>
      <c r="I229" s="463" t="s">
        <v>58</v>
      </c>
      <c r="J229" s="523"/>
      <c r="K229" s="464" t="s">
        <v>73</v>
      </c>
      <c r="L229" s="464" t="s">
        <v>73</v>
      </c>
      <c r="M229" s="465">
        <v>1</v>
      </c>
      <c r="N229" s="258"/>
      <c r="O229" s="259"/>
      <c r="P229" s="258"/>
      <c r="Q229" s="259"/>
      <c r="R229" s="258"/>
      <c r="S229" s="259"/>
      <c r="T229" s="258"/>
      <c r="U229" s="259"/>
      <c r="W229" s="208" t="s">
        <v>89</v>
      </c>
      <c r="X229" s="217">
        <f>_xlfn.XLOOKUP(W229,マスタ!A:A,マスタ!C:C,0)*M229</f>
        <v>0.99</v>
      </c>
      <c r="Y229" s="218">
        <f>IF(N229="",0,_xlfn.XLOOKUP(W229,マスタ!A:A,マスタ!D:D,0)*M229)</f>
        <v>0</v>
      </c>
      <c r="Z229" s="219">
        <f>_xlfn.XLOOKUP(W229,マスタ!A:A,マスタ!E:E,0)*M229</f>
        <v>1.17</v>
      </c>
      <c r="AA229" s="219">
        <f>_xlfn.XLOOKUP(W229,マスタ!A:A,マスタ!F:F,0)*M229</f>
        <v>1.32</v>
      </c>
      <c r="AB229" s="219">
        <f>_xlfn.XLOOKUP(W229,マスタ!A:A,マスタ!G:G,0)*M229</f>
        <v>0.39</v>
      </c>
      <c r="AC229" s="220">
        <f>_xlfn.XLOOKUP(W229,マスタ!A:A,マスタ!H:H,0)*M229</f>
        <v>0.39</v>
      </c>
      <c r="AD229" s="227">
        <f t="shared" si="12"/>
        <v>4.2600000000000007</v>
      </c>
    </row>
    <row r="230" spans="1:32" ht="15" customHeight="1">
      <c r="A230" s="145"/>
      <c r="B230" s="265"/>
      <c r="C230" s="160" t="s">
        <v>177</v>
      </c>
      <c r="D230" s="251"/>
      <c r="E230" s="251"/>
      <c r="F230" s="251"/>
      <c r="G230" s="251"/>
      <c r="H230" s="252"/>
      <c r="I230" s="460" t="s">
        <v>73</v>
      </c>
      <c r="J230" s="522"/>
      <c r="K230" s="461" t="s">
        <v>73</v>
      </c>
      <c r="L230" s="461" t="s">
        <v>73</v>
      </c>
      <c r="M230" s="462">
        <v>0</v>
      </c>
      <c r="N230" s="253"/>
      <c r="O230" s="254"/>
      <c r="P230" s="253"/>
      <c r="Q230" s="254"/>
      <c r="R230" s="253"/>
      <c r="S230" s="254"/>
      <c r="T230" s="253"/>
      <c r="U230" s="254"/>
      <c r="W230" s="208" t="s">
        <v>89</v>
      </c>
      <c r="X230" s="217">
        <f>_xlfn.XLOOKUP(W230,マスタ!A:A,マスタ!C:C,0)*M230</f>
        <v>0</v>
      </c>
      <c r="Y230" s="218">
        <f>IF(N230="",0,_xlfn.XLOOKUP(W230,マスタ!A:A,マスタ!D:D,0)*M230)</f>
        <v>0</v>
      </c>
      <c r="Z230" s="219">
        <f>_xlfn.XLOOKUP(W230,マスタ!A:A,マスタ!E:E,0)*M230</f>
        <v>0</v>
      </c>
      <c r="AA230" s="219">
        <f>_xlfn.XLOOKUP(W230,マスタ!A:A,マスタ!F:F,0)*M230</f>
        <v>0</v>
      </c>
      <c r="AB230" s="219">
        <f>_xlfn.XLOOKUP(W230,マスタ!A:A,マスタ!G:G,0)*M230</f>
        <v>0</v>
      </c>
      <c r="AC230" s="220">
        <f>_xlfn.XLOOKUP(W230,マスタ!A:A,マスタ!H:H,0)*M230</f>
        <v>0</v>
      </c>
      <c r="AD230" s="227">
        <f t="shared" si="12"/>
        <v>0</v>
      </c>
    </row>
    <row r="231" spans="1:32" ht="15" customHeight="1">
      <c r="A231" s="145"/>
      <c r="B231" s="265"/>
      <c r="C231" s="167"/>
      <c r="D231" s="255" t="s">
        <v>169</v>
      </c>
      <c r="E231" s="256"/>
      <c r="F231" s="256"/>
      <c r="G231" s="256"/>
      <c r="H231" s="257"/>
      <c r="I231" s="463" t="s">
        <v>58</v>
      </c>
      <c r="J231" s="523"/>
      <c r="K231" s="464" t="s">
        <v>73</v>
      </c>
      <c r="L231" s="464" t="s">
        <v>73</v>
      </c>
      <c r="M231" s="465">
        <v>1</v>
      </c>
      <c r="N231" s="258"/>
      <c r="O231" s="259"/>
      <c r="P231" s="258"/>
      <c r="Q231" s="259"/>
      <c r="R231" s="258"/>
      <c r="S231" s="259"/>
      <c r="T231" s="258"/>
      <c r="U231" s="259"/>
      <c r="W231" s="208" t="s">
        <v>89</v>
      </c>
      <c r="X231" s="217">
        <f>_xlfn.XLOOKUP(W231,マスタ!A:A,マスタ!C:C,0)*M231</f>
        <v>0.99</v>
      </c>
      <c r="Y231" s="218">
        <f>IF(N231="",0,_xlfn.XLOOKUP(W231,マスタ!A:A,マスタ!D:D,0)*M231)</f>
        <v>0</v>
      </c>
      <c r="Z231" s="219">
        <f>_xlfn.XLOOKUP(W231,マスタ!A:A,マスタ!E:E,0)*M231</f>
        <v>1.17</v>
      </c>
      <c r="AA231" s="219">
        <f>_xlfn.XLOOKUP(W231,マスタ!A:A,マスタ!F:F,0)*M231</f>
        <v>1.32</v>
      </c>
      <c r="AB231" s="219">
        <f>_xlfn.XLOOKUP(W231,マスタ!A:A,マスタ!G:G,0)*M231</f>
        <v>0.39</v>
      </c>
      <c r="AC231" s="220">
        <f>_xlfn.XLOOKUP(W231,マスタ!A:A,マスタ!H:H,0)*M231</f>
        <v>0.39</v>
      </c>
      <c r="AD231" s="227">
        <f t="shared" si="12"/>
        <v>4.2600000000000007</v>
      </c>
    </row>
    <row r="232" spans="1:32" ht="15" customHeight="1">
      <c r="A232" s="145"/>
      <c r="B232" s="265"/>
      <c r="C232" s="160" t="s">
        <v>178</v>
      </c>
      <c r="D232" s="251"/>
      <c r="E232" s="251"/>
      <c r="F232" s="251"/>
      <c r="G232" s="251"/>
      <c r="H232" s="252"/>
      <c r="I232" s="460" t="s">
        <v>73</v>
      </c>
      <c r="J232" s="522"/>
      <c r="K232" s="461" t="s">
        <v>73</v>
      </c>
      <c r="L232" s="461" t="s">
        <v>73</v>
      </c>
      <c r="M232" s="462">
        <v>0</v>
      </c>
      <c r="N232" s="253"/>
      <c r="O232" s="254"/>
      <c r="P232" s="253"/>
      <c r="Q232" s="254"/>
      <c r="R232" s="253"/>
      <c r="S232" s="254"/>
      <c r="T232" s="253"/>
      <c r="U232" s="254"/>
      <c r="W232" s="208" t="s">
        <v>89</v>
      </c>
      <c r="X232" s="217">
        <f>_xlfn.XLOOKUP(W232,マスタ!A:A,マスタ!C:C,0)*M232</f>
        <v>0</v>
      </c>
      <c r="Y232" s="218">
        <f>IF(N232="",0,_xlfn.XLOOKUP(W232,マスタ!A:A,マスタ!D:D,0)*M232)</f>
        <v>0</v>
      </c>
      <c r="Z232" s="219">
        <f>_xlfn.XLOOKUP(W232,マスタ!A:A,マスタ!E:E,0)*M232</f>
        <v>0</v>
      </c>
      <c r="AA232" s="219">
        <f>_xlfn.XLOOKUP(W232,マスタ!A:A,マスタ!F:F,0)*M232</f>
        <v>0</v>
      </c>
      <c r="AB232" s="219">
        <f>_xlfn.XLOOKUP(W232,マスタ!A:A,マスタ!G:G,0)*M232</f>
        <v>0</v>
      </c>
      <c r="AC232" s="220">
        <f>_xlfn.XLOOKUP(W232,マスタ!A:A,マスタ!H:H,0)*M232</f>
        <v>0</v>
      </c>
      <c r="AD232" s="227">
        <f t="shared" si="12"/>
        <v>0</v>
      </c>
    </row>
    <row r="233" spans="1:32" ht="15" customHeight="1">
      <c r="A233" s="145"/>
      <c r="B233" s="265"/>
      <c r="C233" s="167"/>
      <c r="D233" s="255" t="s">
        <v>169</v>
      </c>
      <c r="E233" s="256"/>
      <c r="F233" s="256"/>
      <c r="G233" s="256"/>
      <c r="H233" s="257"/>
      <c r="I233" s="463" t="s">
        <v>58</v>
      </c>
      <c r="J233" s="523"/>
      <c r="K233" s="464" t="s">
        <v>73</v>
      </c>
      <c r="L233" s="464" t="s">
        <v>73</v>
      </c>
      <c r="M233" s="465">
        <v>1</v>
      </c>
      <c r="N233" s="258"/>
      <c r="O233" s="259"/>
      <c r="P233" s="258"/>
      <c r="Q233" s="259"/>
      <c r="R233" s="258"/>
      <c r="S233" s="259"/>
      <c r="T233" s="258"/>
      <c r="U233" s="259"/>
      <c r="W233" s="208" t="s">
        <v>89</v>
      </c>
      <c r="X233" s="217">
        <f>_xlfn.XLOOKUP(W233,マスタ!A:A,マスタ!C:C,0)*M233</f>
        <v>0.99</v>
      </c>
      <c r="Y233" s="218">
        <f>IF(N233="",0,_xlfn.XLOOKUP(W233,マスタ!A:A,マスタ!D:D,0)*M233)</f>
        <v>0</v>
      </c>
      <c r="Z233" s="219">
        <f>_xlfn.XLOOKUP(W233,マスタ!A:A,マスタ!E:E,0)*M233</f>
        <v>1.17</v>
      </c>
      <c r="AA233" s="219">
        <f>_xlfn.XLOOKUP(W233,マスタ!A:A,マスタ!F:F,0)*M233</f>
        <v>1.32</v>
      </c>
      <c r="AB233" s="219">
        <f>_xlfn.XLOOKUP(W233,マスタ!A:A,マスタ!G:G,0)*M233</f>
        <v>0.39</v>
      </c>
      <c r="AC233" s="220">
        <f>_xlfn.XLOOKUP(W233,マスタ!A:A,マスタ!H:H,0)*M233</f>
        <v>0.39</v>
      </c>
      <c r="AD233" s="227">
        <f t="shared" si="12"/>
        <v>4.2600000000000007</v>
      </c>
    </row>
    <row r="234" spans="1:32" ht="15" customHeight="1">
      <c r="A234" s="145"/>
      <c r="B234" s="265"/>
      <c r="C234" s="160" t="s">
        <v>179</v>
      </c>
      <c r="D234" s="251"/>
      <c r="E234" s="251"/>
      <c r="F234" s="251"/>
      <c r="G234" s="251"/>
      <c r="H234" s="252"/>
      <c r="I234" s="460" t="s">
        <v>73</v>
      </c>
      <c r="J234" s="522"/>
      <c r="K234" s="461" t="s">
        <v>73</v>
      </c>
      <c r="L234" s="461" t="s">
        <v>73</v>
      </c>
      <c r="M234" s="462">
        <v>0</v>
      </c>
      <c r="N234" s="253"/>
      <c r="O234" s="254"/>
      <c r="P234" s="253"/>
      <c r="Q234" s="254"/>
      <c r="R234" s="253"/>
      <c r="S234" s="254"/>
      <c r="T234" s="253"/>
      <c r="U234" s="254"/>
      <c r="W234" s="208" t="s">
        <v>89</v>
      </c>
      <c r="X234" s="217">
        <f>_xlfn.XLOOKUP(W234,マスタ!A:A,マスタ!C:C,0)*M234</f>
        <v>0</v>
      </c>
      <c r="Y234" s="218">
        <f>IF(N234="",0,_xlfn.XLOOKUP(W234,マスタ!A:A,マスタ!D:D,0)*M234)</f>
        <v>0</v>
      </c>
      <c r="Z234" s="219">
        <f>_xlfn.XLOOKUP(W234,マスタ!A:A,マスタ!E:E,0)*M234</f>
        <v>0</v>
      </c>
      <c r="AA234" s="219">
        <f>_xlfn.XLOOKUP(W234,マスタ!A:A,マスタ!F:F,0)*M234</f>
        <v>0</v>
      </c>
      <c r="AB234" s="219">
        <f>_xlfn.XLOOKUP(W234,マスタ!A:A,マスタ!G:G,0)*M234</f>
        <v>0</v>
      </c>
      <c r="AC234" s="220">
        <f>_xlfn.XLOOKUP(W234,マスタ!A:A,マスタ!H:H,0)*M234</f>
        <v>0</v>
      </c>
      <c r="AD234" s="227">
        <f t="shared" si="12"/>
        <v>0</v>
      </c>
    </row>
    <row r="235" spans="1:32" ht="15" customHeight="1">
      <c r="A235" s="145"/>
      <c r="B235" s="265"/>
      <c r="C235" s="167"/>
      <c r="D235" s="255" t="s">
        <v>169</v>
      </c>
      <c r="E235" s="256"/>
      <c r="F235" s="256"/>
      <c r="G235" s="256"/>
      <c r="H235" s="257"/>
      <c r="I235" s="463" t="s">
        <v>58</v>
      </c>
      <c r="J235" s="523"/>
      <c r="K235" s="464" t="s">
        <v>73</v>
      </c>
      <c r="L235" s="464" t="s">
        <v>73</v>
      </c>
      <c r="M235" s="465">
        <v>1</v>
      </c>
      <c r="N235" s="258"/>
      <c r="O235" s="259"/>
      <c r="P235" s="258"/>
      <c r="Q235" s="259"/>
      <c r="R235" s="258"/>
      <c r="S235" s="259"/>
      <c r="T235" s="258"/>
      <c r="U235" s="259"/>
      <c r="W235" s="208" t="s">
        <v>89</v>
      </c>
      <c r="X235" s="217">
        <f>_xlfn.XLOOKUP(W235,マスタ!A:A,マスタ!C:C,0)*M235</f>
        <v>0.99</v>
      </c>
      <c r="Y235" s="218">
        <f>IF(N235="",0,_xlfn.XLOOKUP(W235,マスタ!A:A,マスタ!D:D,0)*M235)</f>
        <v>0</v>
      </c>
      <c r="Z235" s="219">
        <f>_xlfn.XLOOKUP(W235,マスタ!A:A,マスタ!E:E,0)*M235</f>
        <v>1.17</v>
      </c>
      <c r="AA235" s="219">
        <f>_xlfn.XLOOKUP(W235,マスタ!A:A,マスタ!F:F,0)*M235</f>
        <v>1.32</v>
      </c>
      <c r="AB235" s="219">
        <f>_xlfn.XLOOKUP(W235,マスタ!A:A,マスタ!G:G,0)*M235</f>
        <v>0.39</v>
      </c>
      <c r="AC235" s="220">
        <f>_xlfn.XLOOKUP(W235,マスタ!A:A,マスタ!H:H,0)*M235</f>
        <v>0.39</v>
      </c>
      <c r="AD235" s="227">
        <f t="shared" si="12"/>
        <v>4.2600000000000007</v>
      </c>
    </row>
    <row r="236" spans="1:32" ht="15" customHeight="1">
      <c r="A236" s="145"/>
      <c r="B236" s="265"/>
      <c r="C236" s="160" t="s">
        <v>180</v>
      </c>
      <c r="D236" s="251"/>
      <c r="E236" s="251"/>
      <c r="F236" s="251"/>
      <c r="G236" s="251"/>
      <c r="H236" s="252"/>
      <c r="I236" s="460" t="s">
        <v>73</v>
      </c>
      <c r="J236" s="522"/>
      <c r="K236" s="461" t="s">
        <v>73</v>
      </c>
      <c r="L236" s="461" t="s">
        <v>73</v>
      </c>
      <c r="M236" s="462">
        <v>0</v>
      </c>
      <c r="N236" s="253"/>
      <c r="O236" s="254"/>
      <c r="P236" s="253"/>
      <c r="Q236" s="254"/>
      <c r="R236" s="253"/>
      <c r="S236" s="254"/>
      <c r="T236" s="253"/>
      <c r="U236" s="254"/>
      <c r="W236" s="208" t="s">
        <v>89</v>
      </c>
      <c r="X236" s="217">
        <f>_xlfn.XLOOKUP(W236,マスタ!A:A,マスタ!C:C,0)*M236</f>
        <v>0</v>
      </c>
      <c r="Y236" s="218">
        <f>IF(N236="",0,_xlfn.XLOOKUP(W236,マスタ!A:A,マスタ!D:D,0)*M236)</f>
        <v>0</v>
      </c>
      <c r="Z236" s="219">
        <f>_xlfn.XLOOKUP(W236,マスタ!A:A,マスタ!E:E,0)*M236</f>
        <v>0</v>
      </c>
      <c r="AA236" s="219">
        <f>_xlfn.XLOOKUP(W236,マスタ!A:A,マスタ!F:F,0)*M236</f>
        <v>0</v>
      </c>
      <c r="AB236" s="219">
        <f>_xlfn.XLOOKUP(W236,マスタ!A:A,マスタ!G:G,0)*M236</f>
        <v>0</v>
      </c>
      <c r="AC236" s="220">
        <f>_xlfn.XLOOKUP(W236,マスタ!A:A,マスタ!H:H,0)*M236</f>
        <v>0</v>
      </c>
      <c r="AD236" s="227">
        <f t="shared" si="12"/>
        <v>0</v>
      </c>
    </row>
    <row r="237" spans="1:32" ht="15" customHeight="1">
      <c r="A237" s="145"/>
      <c r="B237" s="265"/>
      <c r="C237" s="167"/>
      <c r="D237" s="255" t="s">
        <v>169</v>
      </c>
      <c r="E237" s="256"/>
      <c r="F237" s="256"/>
      <c r="G237" s="256"/>
      <c r="H237" s="257"/>
      <c r="I237" s="463" t="s">
        <v>58</v>
      </c>
      <c r="J237" s="523"/>
      <c r="K237" s="464" t="s">
        <v>73</v>
      </c>
      <c r="L237" s="464" t="s">
        <v>73</v>
      </c>
      <c r="M237" s="465">
        <v>1</v>
      </c>
      <c r="N237" s="258"/>
      <c r="O237" s="259"/>
      <c r="P237" s="258"/>
      <c r="Q237" s="259"/>
      <c r="R237" s="258"/>
      <c r="S237" s="259"/>
      <c r="T237" s="258"/>
      <c r="U237" s="259"/>
      <c r="W237" s="208" t="s">
        <v>89</v>
      </c>
      <c r="X237" s="217">
        <f>_xlfn.XLOOKUP(W237,マスタ!A:A,マスタ!C:C,0)*M237</f>
        <v>0.99</v>
      </c>
      <c r="Y237" s="218">
        <f>IF(N237="",0,_xlfn.XLOOKUP(W237,マスタ!A:A,マスタ!D:D,0)*M237)</f>
        <v>0</v>
      </c>
      <c r="Z237" s="219">
        <f>_xlfn.XLOOKUP(W237,マスタ!A:A,マスタ!E:E,0)*M237</f>
        <v>1.17</v>
      </c>
      <c r="AA237" s="219">
        <f>_xlfn.XLOOKUP(W237,マスタ!A:A,マスタ!F:F,0)*M237</f>
        <v>1.32</v>
      </c>
      <c r="AB237" s="219">
        <f>_xlfn.XLOOKUP(W237,マスタ!A:A,マスタ!G:G,0)*M237</f>
        <v>0.39</v>
      </c>
      <c r="AC237" s="220">
        <f>_xlfn.XLOOKUP(W237,マスタ!A:A,マスタ!H:H,0)*M237</f>
        <v>0.39</v>
      </c>
      <c r="AD237" s="227">
        <f t="shared" si="12"/>
        <v>4.2600000000000007</v>
      </c>
    </row>
    <row r="238" spans="1:32" ht="15" customHeight="1">
      <c r="A238" s="145"/>
      <c r="B238" s="265"/>
      <c r="C238" s="160" t="s">
        <v>181</v>
      </c>
      <c r="D238" s="251"/>
      <c r="E238" s="251"/>
      <c r="F238" s="251"/>
      <c r="G238" s="251"/>
      <c r="H238" s="252"/>
      <c r="I238" s="460" t="s">
        <v>73</v>
      </c>
      <c r="J238" s="522"/>
      <c r="K238" s="461" t="s">
        <v>73</v>
      </c>
      <c r="L238" s="461" t="s">
        <v>73</v>
      </c>
      <c r="M238" s="462">
        <v>0</v>
      </c>
      <c r="N238" s="253"/>
      <c r="O238" s="254"/>
      <c r="P238" s="253"/>
      <c r="Q238" s="254"/>
      <c r="R238" s="253"/>
      <c r="S238" s="254"/>
      <c r="T238" s="253"/>
      <c r="U238" s="254"/>
      <c r="W238" s="208" t="s">
        <v>89</v>
      </c>
      <c r="X238" s="217">
        <f>_xlfn.XLOOKUP(W238,マスタ!A:A,マスタ!C:C,0)*M238</f>
        <v>0</v>
      </c>
      <c r="Y238" s="218">
        <f>IF(N238="",0,_xlfn.XLOOKUP(W238,マスタ!A:A,マスタ!D:D,0)*M238)</f>
        <v>0</v>
      </c>
      <c r="Z238" s="219">
        <f>_xlfn.XLOOKUP(W238,マスタ!A:A,マスタ!E:E,0)*M238</f>
        <v>0</v>
      </c>
      <c r="AA238" s="219">
        <f>_xlfn.XLOOKUP(W238,マスタ!A:A,マスタ!F:F,0)*M238</f>
        <v>0</v>
      </c>
      <c r="AB238" s="219">
        <f>_xlfn.XLOOKUP(W238,マスタ!A:A,マスタ!G:G,0)*M238</f>
        <v>0</v>
      </c>
      <c r="AC238" s="220">
        <f>_xlfn.XLOOKUP(W238,マスタ!A:A,マスタ!H:H,0)*M238</f>
        <v>0</v>
      </c>
      <c r="AD238" s="227">
        <f t="shared" si="12"/>
        <v>0</v>
      </c>
    </row>
    <row r="239" spans="1:32" ht="15" customHeight="1">
      <c r="A239" s="145"/>
      <c r="B239" s="266"/>
      <c r="C239" s="167"/>
      <c r="D239" s="255" t="s">
        <v>169</v>
      </c>
      <c r="E239" s="256"/>
      <c r="F239" s="256"/>
      <c r="G239" s="256"/>
      <c r="H239" s="257"/>
      <c r="I239" s="463" t="s">
        <v>58</v>
      </c>
      <c r="J239" s="523"/>
      <c r="K239" s="464" t="s">
        <v>73</v>
      </c>
      <c r="L239" s="464" t="s">
        <v>73</v>
      </c>
      <c r="M239" s="465">
        <v>1</v>
      </c>
      <c r="N239" s="258"/>
      <c r="O239" s="259"/>
      <c r="P239" s="258"/>
      <c r="Q239" s="259"/>
      <c r="R239" s="258"/>
      <c r="S239" s="259"/>
      <c r="T239" s="258"/>
      <c r="U239" s="259"/>
      <c r="W239" s="208" t="s">
        <v>89</v>
      </c>
      <c r="X239" s="217">
        <f>_xlfn.XLOOKUP(W239,マスタ!A:A,マスタ!C:C,0)*M239</f>
        <v>0.99</v>
      </c>
      <c r="Y239" s="218">
        <f>IF(N239="",0,_xlfn.XLOOKUP(W239,マスタ!A:A,マスタ!D:D,0)*M239)</f>
        <v>0</v>
      </c>
      <c r="Z239" s="219">
        <f>_xlfn.XLOOKUP(W239,マスタ!A:A,マスタ!E:E,0)*M239</f>
        <v>1.17</v>
      </c>
      <c r="AA239" s="219">
        <f>_xlfn.XLOOKUP(W239,マスタ!A:A,マスタ!F:F,0)*M239</f>
        <v>1.32</v>
      </c>
      <c r="AB239" s="219">
        <f>_xlfn.XLOOKUP(W239,マスタ!A:A,マスタ!G:G,0)*M239</f>
        <v>0.39</v>
      </c>
      <c r="AC239" s="220">
        <f>_xlfn.XLOOKUP(W239,マスタ!A:A,マスタ!H:H,0)*M239</f>
        <v>0.39</v>
      </c>
      <c r="AD239" s="227">
        <f t="shared" si="12"/>
        <v>4.2600000000000007</v>
      </c>
    </row>
    <row r="240" spans="1:32" ht="15" customHeight="1">
      <c r="A240" s="16"/>
      <c r="B240" s="148" t="s">
        <v>186</v>
      </c>
      <c r="C240" s="149"/>
      <c r="D240" s="149"/>
      <c r="E240" s="149"/>
      <c r="F240" s="149"/>
      <c r="G240" s="149"/>
      <c r="H240" s="149"/>
      <c r="I240" s="423"/>
      <c r="J240" s="423"/>
      <c r="K240" s="423"/>
      <c r="L240" s="423"/>
      <c r="M240" s="423"/>
      <c r="N240" s="144"/>
      <c r="O240" s="144"/>
      <c r="P240" s="144"/>
      <c r="Q240" s="144"/>
      <c r="R240" s="144"/>
      <c r="S240" s="144"/>
      <c r="T240" s="144"/>
      <c r="U240" s="144"/>
      <c r="W240" s="207"/>
      <c r="X240" s="213">
        <f t="shared" ref="X240:AD240" si="13">SUM(X241:X279)</f>
        <v>60.899999999999949</v>
      </c>
      <c r="Y240" s="214">
        <f t="shared" si="13"/>
        <v>17.849999999999994</v>
      </c>
      <c r="Z240" s="215">
        <f t="shared" si="13"/>
        <v>71.689999999999984</v>
      </c>
      <c r="AA240" s="215">
        <f t="shared" si="13"/>
        <v>81.180000000000007</v>
      </c>
      <c r="AB240" s="215">
        <f t="shared" si="13"/>
        <v>23.719999999999995</v>
      </c>
      <c r="AC240" s="216">
        <f t="shared" si="13"/>
        <v>23.719999999999995</v>
      </c>
      <c r="AD240" s="226">
        <f t="shared" si="13"/>
        <v>279.05999999999989</v>
      </c>
      <c r="AE240" s="205">
        <f>AD240/20</f>
        <v>13.952999999999994</v>
      </c>
      <c r="AF240" s="204">
        <f>AE240*350000</f>
        <v>4883549.9999999981</v>
      </c>
    </row>
    <row r="241" spans="1:30" ht="15" customHeight="1">
      <c r="A241" s="145"/>
      <c r="B241" s="198" t="s">
        <v>187</v>
      </c>
      <c r="C241" s="199"/>
      <c r="D241" s="199"/>
      <c r="E241" s="199"/>
      <c r="F241" s="199"/>
      <c r="G241" s="374"/>
      <c r="H241" s="375"/>
      <c r="I241" s="427"/>
      <c r="J241" s="512"/>
      <c r="K241" s="428"/>
      <c r="L241" s="428"/>
      <c r="M241" s="429"/>
      <c r="N241" s="201"/>
      <c r="O241" s="202"/>
      <c r="P241" s="201"/>
      <c r="Q241" s="202"/>
      <c r="R241" s="201"/>
      <c r="S241" s="202"/>
      <c r="T241" s="201"/>
      <c r="U241" s="202"/>
      <c r="W241" s="208"/>
      <c r="X241" s="217">
        <f>_xlfn.XLOOKUP(W241,マスタ!A:A,マスタ!C:C,0)*M241</f>
        <v>0</v>
      </c>
      <c r="Y241" s="218">
        <f>IF(N241="",0,_xlfn.XLOOKUP(W241,マスタ!A:A,マスタ!D:D,0)*M241)</f>
        <v>0</v>
      </c>
      <c r="Z241" s="219">
        <f>_xlfn.XLOOKUP(W241,マスタ!A:A,マスタ!E:E,0)*M241</f>
        <v>0</v>
      </c>
      <c r="AA241" s="219">
        <f>_xlfn.XLOOKUP(W241,マスタ!A:A,マスタ!F:F,0)*M241</f>
        <v>0</v>
      </c>
      <c r="AB241" s="219">
        <f>_xlfn.XLOOKUP(W241,マスタ!A:A,マスタ!G:G,0)*M241</f>
        <v>0</v>
      </c>
      <c r="AC241" s="220">
        <f>_xlfn.XLOOKUP(W241,マスタ!A:A,マスタ!H:H,0)*M241</f>
        <v>0</v>
      </c>
      <c r="AD241" s="227">
        <f t="shared" si="12"/>
        <v>0</v>
      </c>
    </row>
    <row r="242" spans="1:30" ht="15" customHeight="1">
      <c r="A242" s="145"/>
      <c r="B242" s="162"/>
      <c r="C242" s="160" t="s">
        <v>188</v>
      </c>
      <c r="D242" s="161"/>
      <c r="E242" s="161"/>
      <c r="F242" s="161"/>
      <c r="G242" s="260"/>
      <c r="H242" s="236"/>
      <c r="I242" s="430" t="s">
        <v>58</v>
      </c>
      <c r="J242" s="513"/>
      <c r="K242" s="431" t="s">
        <v>58</v>
      </c>
      <c r="L242" s="431" t="s">
        <v>58</v>
      </c>
      <c r="M242" s="432">
        <v>1</v>
      </c>
      <c r="N242" s="179" t="s">
        <v>189</v>
      </c>
      <c r="O242" s="180" t="s">
        <v>157</v>
      </c>
      <c r="P242" s="179"/>
      <c r="Q242" s="180"/>
      <c r="R242" s="179"/>
      <c r="S242" s="180"/>
      <c r="T242" s="179"/>
      <c r="U242" s="180"/>
      <c r="W242" s="208" t="s">
        <v>190</v>
      </c>
      <c r="X242" s="217">
        <f>_xlfn.XLOOKUP(W242,マスタ!A:A,マスタ!C:C,0)*M242</f>
        <v>0.5</v>
      </c>
      <c r="Y242" s="218">
        <f>IF(N242="",0,_xlfn.XLOOKUP(W242,マスタ!A:A,マスタ!D:D,0)*M242)</f>
        <v>0.15</v>
      </c>
      <c r="Z242" s="219">
        <f>_xlfn.XLOOKUP(W242,マスタ!A:A,マスタ!E:E,0)*M242</f>
        <v>0.57999999999999996</v>
      </c>
      <c r="AA242" s="219">
        <f>_xlfn.XLOOKUP(W242,マスタ!A:A,マスタ!F:F,0)*M242</f>
        <v>0.66</v>
      </c>
      <c r="AB242" s="219">
        <f>_xlfn.XLOOKUP(W242,マスタ!A:A,マスタ!G:G,0)*M242</f>
        <v>0.19</v>
      </c>
      <c r="AC242" s="220">
        <f>_xlfn.XLOOKUP(W242,マスタ!A:A,マスタ!H:H,0)*M242</f>
        <v>0.19</v>
      </c>
      <c r="AD242" s="227">
        <f t="shared" ref="AD242:AD314" si="14">SUM(X242:AC242)</f>
        <v>2.27</v>
      </c>
    </row>
    <row r="243" spans="1:30" ht="15" customHeight="1">
      <c r="A243" s="145"/>
      <c r="B243" s="162"/>
      <c r="C243" s="162"/>
      <c r="D243" s="155"/>
      <c r="E243" s="155"/>
      <c r="F243" s="155"/>
      <c r="G243" s="267"/>
      <c r="H243" s="239"/>
      <c r="I243" s="436" t="s">
        <v>58</v>
      </c>
      <c r="J243" s="515"/>
      <c r="K243" s="437" t="s">
        <v>58</v>
      </c>
      <c r="L243" s="437" t="s">
        <v>58</v>
      </c>
      <c r="M243" s="438">
        <v>1</v>
      </c>
      <c r="N243" s="183" t="s">
        <v>191</v>
      </c>
      <c r="O243" s="184" t="s">
        <v>157</v>
      </c>
      <c r="P243" s="183"/>
      <c r="Q243" s="184"/>
      <c r="R243" s="183"/>
      <c r="S243" s="184"/>
      <c r="T243" s="183"/>
      <c r="U243" s="184"/>
      <c r="W243" s="208" t="s">
        <v>89</v>
      </c>
      <c r="X243" s="217">
        <f>_xlfn.XLOOKUP(W243,マスタ!A:A,マスタ!C:C,0)*M243</f>
        <v>0.99</v>
      </c>
      <c r="Y243" s="218">
        <f>IF(N243="",0,_xlfn.XLOOKUP(W243,マスタ!A:A,マスタ!D:D,0)*M243)</f>
        <v>0.28999999999999998</v>
      </c>
      <c r="Z243" s="219">
        <f>_xlfn.XLOOKUP(W243,マスタ!A:A,マスタ!E:E,0)*M243</f>
        <v>1.17</v>
      </c>
      <c r="AA243" s="219">
        <f>_xlfn.XLOOKUP(W243,マスタ!A:A,マスタ!F:F,0)*M243</f>
        <v>1.32</v>
      </c>
      <c r="AB243" s="219">
        <f>_xlfn.XLOOKUP(W243,マスタ!A:A,マスタ!G:G,0)*M243</f>
        <v>0.39</v>
      </c>
      <c r="AC243" s="220">
        <f>_xlfn.XLOOKUP(W243,マスタ!A:A,マスタ!H:H,0)*M243</f>
        <v>0.39</v>
      </c>
      <c r="AD243" s="227">
        <f t="shared" si="14"/>
        <v>4.55</v>
      </c>
    </row>
    <row r="244" spans="1:30" ht="15" customHeight="1">
      <c r="A244" s="145"/>
      <c r="B244" s="162"/>
      <c r="C244" s="580" t="s">
        <v>192</v>
      </c>
      <c r="D244" s="581"/>
      <c r="E244" s="581"/>
      <c r="F244" s="581"/>
      <c r="G244" s="582"/>
      <c r="H244" s="581" t="s">
        <v>193</v>
      </c>
      <c r="I244" s="430" t="s">
        <v>58</v>
      </c>
      <c r="J244" s="513"/>
      <c r="K244" s="431" t="s">
        <v>57</v>
      </c>
      <c r="L244" s="431" t="s">
        <v>58</v>
      </c>
      <c r="M244" s="432">
        <v>1</v>
      </c>
      <c r="N244" s="179" t="s">
        <v>194</v>
      </c>
      <c r="O244" s="180" t="s">
        <v>195</v>
      </c>
      <c r="P244" s="179"/>
      <c r="Q244" s="180"/>
      <c r="R244" s="179"/>
      <c r="S244" s="180"/>
      <c r="T244" s="179"/>
      <c r="U244" s="180"/>
      <c r="W244" s="208" t="s">
        <v>89</v>
      </c>
      <c r="X244" s="217">
        <f>_xlfn.XLOOKUP(W244,マスタ!A:A,マスタ!C:C,0)*M244</f>
        <v>0.99</v>
      </c>
      <c r="Y244" s="218">
        <f>IF(N244="",0,_xlfn.XLOOKUP(W244,マスタ!A:A,マスタ!D:D,0)*M244)</f>
        <v>0.28999999999999998</v>
      </c>
      <c r="Z244" s="219">
        <f>_xlfn.XLOOKUP(W244,マスタ!A:A,マスタ!E:E,0)*M244</f>
        <v>1.17</v>
      </c>
      <c r="AA244" s="219">
        <f>_xlfn.XLOOKUP(W244,マスタ!A:A,マスタ!F:F,0)*M244</f>
        <v>1.32</v>
      </c>
      <c r="AB244" s="219">
        <f>_xlfn.XLOOKUP(W244,マスタ!A:A,マスタ!G:G,0)*M244</f>
        <v>0.39</v>
      </c>
      <c r="AC244" s="220">
        <f>_xlfn.XLOOKUP(W244,マスタ!A:A,マスタ!H:H,0)*M244</f>
        <v>0.39</v>
      </c>
      <c r="AD244" s="227">
        <f t="shared" si="14"/>
        <v>4.55</v>
      </c>
    </row>
    <row r="245" spans="1:30" ht="15" customHeight="1">
      <c r="A245" s="145"/>
      <c r="B245" s="162"/>
      <c r="C245" s="583"/>
      <c r="D245" s="584"/>
      <c r="E245" s="584"/>
      <c r="F245" s="584"/>
      <c r="G245" s="585"/>
      <c r="H245" s="584"/>
      <c r="I245" s="433" t="s">
        <v>58</v>
      </c>
      <c r="J245" s="514"/>
      <c r="K245" s="434" t="s">
        <v>57</v>
      </c>
      <c r="L245" s="434" t="s">
        <v>58</v>
      </c>
      <c r="M245" s="466">
        <v>1</v>
      </c>
      <c r="N245" s="389" t="s">
        <v>196</v>
      </c>
      <c r="O245" s="182" t="s">
        <v>195</v>
      </c>
      <c r="P245" s="181"/>
      <c r="Q245" s="182"/>
      <c r="R245" s="181"/>
      <c r="S245" s="182"/>
      <c r="T245" s="390"/>
      <c r="U245" s="391"/>
      <c r="W245" s="208" t="s">
        <v>158</v>
      </c>
      <c r="X245" s="217">
        <f>_xlfn.XLOOKUP(W245,マスタ!A:A,マスタ!C:C,0)*M245</f>
        <v>1.98</v>
      </c>
      <c r="Y245" s="218">
        <f>IF(N245="",0,_xlfn.XLOOKUP(W245,マスタ!A:A,マスタ!D:D,0)*M245)</f>
        <v>0.57999999999999996</v>
      </c>
      <c r="Z245" s="219">
        <f>_xlfn.XLOOKUP(W245,マスタ!A:A,マスタ!E:E,0)*M245</f>
        <v>2.33</v>
      </c>
      <c r="AA245" s="219">
        <f>_xlfn.XLOOKUP(W245,マスタ!A:A,マスタ!F:F,0)*M245</f>
        <v>2.64</v>
      </c>
      <c r="AB245" s="219">
        <f>_xlfn.XLOOKUP(W245,マスタ!A:A,マスタ!G:G,0)*M245</f>
        <v>0.77</v>
      </c>
      <c r="AC245" s="220">
        <f>_xlfn.XLOOKUP(W245,マスタ!A:A,マスタ!H:H,0)*M245</f>
        <v>0.77</v>
      </c>
      <c r="AD245" s="227">
        <f t="shared" si="14"/>
        <v>9.07</v>
      </c>
    </row>
    <row r="246" spans="1:30" ht="15" customHeight="1">
      <c r="A246" s="145"/>
      <c r="B246" s="162"/>
      <c r="C246" s="586"/>
      <c r="D246" s="587"/>
      <c r="E246" s="587"/>
      <c r="F246" s="587"/>
      <c r="G246" s="588"/>
      <c r="H246" s="587"/>
      <c r="I246" s="436" t="s">
        <v>58</v>
      </c>
      <c r="J246" s="515"/>
      <c r="K246" s="437" t="s">
        <v>58</v>
      </c>
      <c r="L246" s="437" t="s">
        <v>58</v>
      </c>
      <c r="M246" s="438">
        <v>1</v>
      </c>
      <c r="N246" s="183" t="s">
        <v>197</v>
      </c>
      <c r="O246" s="184" t="s">
        <v>198</v>
      </c>
      <c r="P246" s="183"/>
      <c r="Q246" s="184"/>
      <c r="R246" s="183"/>
      <c r="S246" s="184"/>
      <c r="T246" s="183"/>
      <c r="U246" s="184"/>
      <c r="W246" s="208" t="s">
        <v>158</v>
      </c>
      <c r="X246" s="217">
        <f>_xlfn.XLOOKUP(W246,マスタ!A:A,マスタ!C:C,0)*M246</f>
        <v>1.98</v>
      </c>
      <c r="Y246" s="218">
        <f>IF(N246="",0,_xlfn.XLOOKUP(W246,マスタ!A:A,マスタ!D:D,0)*M246)</f>
        <v>0.57999999999999996</v>
      </c>
      <c r="Z246" s="219">
        <f>_xlfn.XLOOKUP(W246,マスタ!A:A,マスタ!E:E,0)*M246</f>
        <v>2.33</v>
      </c>
      <c r="AA246" s="219">
        <f>_xlfn.XLOOKUP(W246,マスタ!A:A,マスタ!F:F,0)*M246</f>
        <v>2.64</v>
      </c>
      <c r="AB246" s="219">
        <f>_xlfn.XLOOKUP(W246,マスタ!A:A,マスタ!G:G,0)*M246</f>
        <v>0.77</v>
      </c>
      <c r="AC246" s="220">
        <f>_xlfn.XLOOKUP(W246,マスタ!A:A,マスタ!H:H,0)*M246</f>
        <v>0.77</v>
      </c>
      <c r="AD246" s="227">
        <f t="shared" si="14"/>
        <v>9.07</v>
      </c>
    </row>
    <row r="247" spans="1:30" ht="69.75" customHeight="1">
      <c r="A247" s="145"/>
      <c r="B247" s="162"/>
      <c r="C247" s="160" t="s">
        <v>199</v>
      </c>
      <c r="D247" s="161"/>
      <c r="E247" s="161"/>
      <c r="F247" s="161"/>
      <c r="G247" s="260"/>
      <c r="H247" s="589" t="s">
        <v>200</v>
      </c>
      <c r="I247" s="385" t="s">
        <v>58</v>
      </c>
      <c r="J247" s="385"/>
      <c r="K247" s="385" t="s">
        <v>58</v>
      </c>
      <c r="L247" s="385" t="s">
        <v>58</v>
      </c>
      <c r="M247" s="385">
        <v>1</v>
      </c>
      <c r="N247" s="386" t="s">
        <v>201</v>
      </c>
      <c r="O247" s="387" t="s">
        <v>202</v>
      </c>
      <c r="P247" s="388"/>
      <c r="Q247" s="192"/>
      <c r="R247" s="191"/>
      <c r="S247" s="192"/>
      <c r="T247" s="191"/>
      <c r="U247" s="192"/>
      <c r="W247" s="208" t="s">
        <v>89</v>
      </c>
      <c r="X247" s="217">
        <f>_xlfn.XLOOKUP(W247,マスタ!A:A,マスタ!C:C,0)*M247</f>
        <v>0.99</v>
      </c>
      <c r="Y247" s="218">
        <f>IF(N247="",0,_xlfn.XLOOKUP(W247,マスタ!A:A,マスタ!D:D,0)*M247)</f>
        <v>0.28999999999999998</v>
      </c>
      <c r="Z247" s="219">
        <f>_xlfn.XLOOKUP(W247,マスタ!A:A,マスタ!E:E,0)*M247</f>
        <v>1.17</v>
      </c>
      <c r="AA247" s="219">
        <f>_xlfn.XLOOKUP(W247,マスタ!A:A,マスタ!F:F,0)*M247</f>
        <v>1.32</v>
      </c>
      <c r="AB247" s="219">
        <f>_xlfn.XLOOKUP(W247,マスタ!A:A,マスタ!G:G,0)*M247</f>
        <v>0.39</v>
      </c>
      <c r="AC247" s="220">
        <f>_xlfn.XLOOKUP(W247,マスタ!A:A,マスタ!H:H,0)*M247</f>
        <v>0.39</v>
      </c>
      <c r="AD247" s="227">
        <f t="shared" si="14"/>
        <v>4.55</v>
      </c>
    </row>
    <row r="248" spans="1:30" ht="15.75" customHeight="1">
      <c r="A248" s="145"/>
      <c r="B248" s="162"/>
      <c r="C248" s="162"/>
      <c r="D248" s="155"/>
      <c r="E248" s="155"/>
      <c r="F248" s="155"/>
      <c r="G248" s="267"/>
      <c r="H248" s="590"/>
      <c r="I248" s="467" t="s">
        <v>58</v>
      </c>
      <c r="J248" s="524"/>
      <c r="K248" s="468" t="s">
        <v>58</v>
      </c>
      <c r="L248" s="468" t="s">
        <v>58</v>
      </c>
      <c r="M248" s="469">
        <v>1</v>
      </c>
      <c r="N248" s="191" t="s">
        <v>203</v>
      </c>
      <c r="O248" s="192" t="s">
        <v>204</v>
      </c>
      <c r="P248" s="248"/>
      <c r="Q248" s="249"/>
      <c r="R248" s="248"/>
      <c r="S248" s="249"/>
      <c r="T248" s="248"/>
      <c r="U248" s="249"/>
      <c r="W248" s="208" t="s">
        <v>158</v>
      </c>
      <c r="X248" s="217">
        <f>_xlfn.XLOOKUP(W248,マスタ!A:A,マスタ!C:C,0)*M248</f>
        <v>1.98</v>
      </c>
      <c r="Y248" s="218">
        <f>IF(N248="",0,_xlfn.XLOOKUP(W248,マスタ!A:A,マスタ!D:D,0)*M248)</f>
        <v>0.57999999999999996</v>
      </c>
      <c r="Z248" s="219">
        <f>_xlfn.XLOOKUP(W248,マスタ!A:A,マスタ!E:E,0)*M248</f>
        <v>2.33</v>
      </c>
      <c r="AA248" s="219">
        <f>_xlfn.XLOOKUP(W248,マスタ!A:A,マスタ!F:F,0)*M248</f>
        <v>2.64</v>
      </c>
      <c r="AB248" s="219">
        <f>_xlfn.XLOOKUP(W248,マスタ!A:A,マスタ!G:G,0)*M248</f>
        <v>0.77</v>
      </c>
      <c r="AC248" s="220">
        <f>_xlfn.XLOOKUP(W248,マスタ!A:A,マスタ!H:H,0)*M248</f>
        <v>0.77</v>
      </c>
      <c r="AD248" s="227">
        <f t="shared" si="14"/>
        <v>9.07</v>
      </c>
    </row>
    <row r="249" spans="1:30" ht="15.75" customHeight="1">
      <c r="A249" s="145"/>
      <c r="B249" s="162"/>
      <c r="C249" s="162"/>
      <c r="D249" s="155"/>
      <c r="E249" s="155"/>
      <c r="F249" s="155"/>
      <c r="G249" s="267"/>
      <c r="H249" s="590"/>
      <c r="I249" s="470" t="s">
        <v>58</v>
      </c>
      <c r="J249" s="525"/>
      <c r="K249" s="471" t="s">
        <v>58</v>
      </c>
      <c r="L249" s="471" t="s">
        <v>58</v>
      </c>
      <c r="M249" s="472">
        <v>1</v>
      </c>
      <c r="N249" s="248" t="s">
        <v>205</v>
      </c>
      <c r="O249" s="249" t="s">
        <v>206</v>
      </c>
      <c r="P249" s="248"/>
      <c r="Q249" s="249"/>
      <c r="R249" s="248"/>
      <c r="S249" s="249"/>
      <c r="T249" s="248"/>
      <c r="U249" s="249"/>
      <c r="W249" s="208" t="s">
        <v>158</v>
      </c>
      <c r="X249" s="217">
        <f>_xlfn.XLOOKUP(W249,マスタ!A:A,マスタ!C:C,0)*M249</f>
        <v>1.98</v>
      </c>
      <c r="Y249" s="218">
        <f>IF(N249="",0,_xlfn.XLOOKUP(W249,マスタ!A:A,マスタ!D:D,0)*M249)</f>
        <v>0.57999999999999996</v>
      </c>
      <c r="Z249" s="219">
        <f>_xlfn.XLOOKUP(W249,マスタ!A:A,マスタ!E:E,0)*M249</f>
        <v>2.33</v>
      </c>
      <c r="AA249" s="219">
        <f>_xlfn.XLOOKUP(W249,マスタ!A:A,マスタ!F:F,0)*M249</f>
        <v>2.64</v>
      </c>
      <c r="AB249" s="219">
        <f>_xlfn.XLOOKUP(W249,マスタ!A:A,マスタ!G:G,0)*M249</f>
        <v>0.77</v>
      </c>
      <c r="AC249" s="220">
        <f>_xlfn.XLOOKUP(W249,マスタ!A:A,マスタ!H:H,0)*M249</f>
        <v>0.77</v>
      </c>
      <c r="AD249" s="227">
        <f t="shared" si="14"/>
        <v>9.07</v>
      </c>
    </row>
    <row r="250" spans="1:30" ht="15" customHeight="1">
      <c r="A250" s="145"/>
      <c r="B250" s="162"/>
      <c r="C250" s="167"/>
      <c r="D250" s="238"/>
      <c r="E250" s="238"/>
      <c r="F250" s="238"/>
      <c r="G250" s="261"/>
      <c r="H250" s="591"/>
      <c r="I250" s="473" t="s">
        <v>58</v>
      </c>
      <c r="J250" s="526"/>
      <c r="K250" s="474" t="s">
        <v>58</v>
      </c>
      <c r="L250" s="474" t="s">
        <v>58</v>
      </c>
      <c r="M250" s="475">
        <v>1</v>
      </c>
      <c r="N250" s="183" t="s">
        <v>207</v>
      </c>
      <c r="O250" s="184" t="s">
        <v>208</v>
      </c>
      <c r="P250" s="183"/>
      <c r="Q250" s="184"/>
      <c r="R250" s="183"/>
      <c r="S250" s="184"/>
      <c r="T250" s="183"/>
      <c r="U250" s="184"/>
      <c r="W250" s="208" t="s">
        <v>158</v>
      </c>
      <c r="X250" s="217">
        <f>_xlfn.XLOOKUP(W250,マスタ!A:A,マスタ!C:C,0)*M250</f>
        <v>1.98</v>
      </c>
      <c r="Y250" s="218">
        <f>IF(N250="",0,_xlfn.XLOOKUP(W250,マスタ!A:A,マスタ!D:D,0)*M250)</f>
        <v>0.57999999999999996</v>
      </c>
      <c r="Z250" s="219">
        <f>_xlfn.XLOOKUP(W250,マスタ!A:A,マスタ!E:E,0)*M250</f>
        <v>2.33</v>
      </c>
      <c r="AA250" s="219">
        <f>_xlfn.XLOOKUP(W250,マスタ!A:A,マスタ!F:F,0)*M250</f>
        <v>2.64</v>
      </c>
      <c r="AB250" s="219">
        <f>_xlfn.XLOOKUP(W250,マスタ!A:A,マスタ!G:G,0)*M250</f>
        <v>0.77</v>
      </c>
      <c r="AC250" s="220">
        <f>_xlfn.XLOOKUP(W250,マスタ!A:A,マスタ!H:H,0)*M250</f>
        <v>0.77</v>
      </c>
      <c r="AD250" s="227">
        <f t="shared" si="14"/>
        <v>9.07</v>
      </c>
    </row>
    <row r="251" spans="1:30" ht="15" customHeight="1">
      <c r="A251" s="145"/>
      <c r="B251" s="162"/>
      <c r="C251" s="160" t="s">
        <v>209</v>
      </c>
      <c r="D251" s="161"/>
      <c r="E251" s="161"/>
      <c r="F251" s="161"/>
      <c r="G251" s="260"/>
      <c r="H251" s="383"/>
      <c r="I251" s="430" t="s">
        <v>58</v>
      </c>
      <c r="J251" s="513"/>
      <c r="K251" s="431" t="s">
        <v>58</v>
      </c>
      <c r="L251" s="431" t="s">
        <v>58</v>
      </c>
      <c r="M251" s="432">
        <v>1</v>
      </c>
      <c r="N251" s="179" t="s">
        <v>210</v>
      </c>
      <c r="O251" s="180" t="s">
        <v>157</v>
      </c>
      <c r="P251" s="179"/>
      <c r="Q251" s="180"/>
      <c r="R251" s="179"/>
      <c r="S251" s="180"/>
      <c r="T251" s="179"/>
      <c r="U251" s="180"/>
      <c r="W251" s="208" t="s">
        <v>158</v>
      </c>
      <c r="X251" s="217">
        <f>_xlfn.XLOOKUP(W251,マスタ!A:A,マスタ!C:C,0)*M251</f>
        <v>1.98</v>
      </c>
      <c r="Y251" s="218">
        <f>IF(N251="",0,_xlfn.XLOOKUP(W251,マスタ!A:A,マスタ!D:D,0)*M251)</f>
        <v>0.57999999999999996</v>
      </c>
      <c r="Z251" s="219">
        <f>_xlfn.XLOOKUP(W251,マスタ!A:A,マスタ!E:E,0)*M251</f>
        <v>2.33</v>
      </c>
      <c r="AA251" s="219">
        <f>_xlfn.XLOOKUP(W251,マスタ!A:A,マスタ!F:F,0)*M251</f>
        <v>2.64</v>
      </c>
      <c r="AB251" s="219">
        <f>_xlfn.XLOOKUP(W251,マスタ!A:A,マスタ!G:G,0)*M251</f>
        <v>0.77</v>
      </c>
      <c r="AC251" s="220">
        <f>_xlfn.XLOOKUP(W251,マスタ!A:A,マスタ!H:H,0)*M251</f>
        <v>0.77</v>
      </c>
      <c r="AD251" s="227">
        <f t="shared" si="14"/>
        <v>9.07</v>
      </c>
    </row>
    <row r="252" spans="1:30" ht="15" customHeight="1">
      <c r="A252" s="145"/>
      <c r="B252" s="162"/>
      <c r="C252" s="167"/>
      <c r="D252" s="238"/>
      <c r="E252" s="238"/>
      <c r="F252" s="238"/>
      <c r="G252" s="261"/>
      <c r="H252" s="384"/>
      <c r="I252" s="436" t="s">
        <v>58</v>
      </c>
      <c r="J252" s="515"/>
      <c r="K252" s="437" t="s">
        <v>58</v>
      </c>
      <c r="L252" s="437" t="s">
        <v>58</v>
      </c>
      <c r="M252" s="438">
        <v>1</v>
      </c>
      <c r="N252" s="183" t="s">
        <v>211</v>
      </c>
      <c r="O252" s="184" t="s">
        <v>157</v>
      </c>
      <c r="P252" s="183"/>
      <c r="Q252" s="184"/>
      <c r="R252" s="183"/>
      <c r="S252" s="184"/>
      <c r="T252" s="183"/>
      <c r="U252" s="184"/>
      <c r="W252" s="208" t="s">
        <v>59</v>
      </c>
      <c r="X252" s="217">
        <f>_xlfn.XLOOKUP(W252,マスタ!A:A,マスタ!C:C,0)*M252</f>
        <v>2.98</v>
      </c>
      <c r="Y252" s="218">
        <f>IF(N252="",0,_xlfn.XLOOKUP(W252,マスタ!A:A,マスタ!D:D,0)*M252)</f>
        <v>0.88</v>
      </c>
      <c r="Z252" s="219">
        <f>_xlfn.XLOOKUP(W252,マスタ!A:A,マスタ!E:E,0)*M252</f>
        <v>3.5</v>
      </c>
      <c r="AA252" s="219">
        <f>_xlfn.XLOOKUP(W252,マスタ!A:A,マスタ!F:F,0)*M252</f>
        <v>3.96</v>
      </c>
      <c r="AB252" s="219">
        <f>_xlfn.XLOOKUP(W252,マスタ!A:A,マスタ!G:G,0)*M252</f>
        <v>1.1599999999999999</v>
      </c>
      <c r="AC252" s="220">
        <f>_xlfn.XLOOKUP(W252,マスタ!A:A,マスタ!H:H,0)*M252</f>
        <v>1.1599999999999999</v>
      </c>
      <c r="AD252" s="227">
        <f t="shared" si="14"/>
        <v>13.64</v>
      </c>
    </row>
    <row r="253" spans="1:30" ht="15" customHeight="1">
      <c r="A253" s="145"/>
      <c r="B253" s="162"/>
      <c r="C253" s="167" t="s">
        <v>212</v>
      </c>
      <c r="D253" s="238"/>
      <c r="E253" s="238"/>
      <c r="F253" s="238"/>
      <c r="G253" s="261"/>
      <c r="H253" s="244"/>
      <c r="I253" s="454" t="s">
        <v>58</v>
      </c>
      <c r="J253" s="520"/>
      <c r="K253" s="455" t="s">
        <v>58</v>
      </c>
      <c r="L253" s="455" t="s">
        <v>58</v>
      </c>
      <c r="M253" s="456">
        <v>1</v>
      </c>
      <c r="N253" s="245" t="s">
        <v>213</v>
      </c>
      <c r="O253" s="246" t="s">
        <v>157</v>
      </c>
      <c r="P253" s="245"/>
      <c r="Q253" s="246"/>
      <c r="R253" s="245"/>
      <c r="S253" s="246"/>
      <c r="T253" s="245"/>
      <c r="U253" s="246"/>
      <c r="W253" s="208" t="s">
        <v>89</v>
      </c>
      <c r="X253" s="217">
        <f>_xlfn.XLOOKUP(W253,マスタ!A:A,マスタ!C:C,0)*M253</f>
        <v>0.99</v>
      </c>
      <c r="Y253" s="218">
        <f>IF(N253="",0,_xlfn.XLOOKUP(W253,マスタ!A:A,マスタ!D:D,0)*M253)</f>
        <v>0.28999999999999998</v>
      </c>
      <c r="Z253" s="219">
        <f>_xlfn.XLOOKUP(W253,マスタ!A:A,マスタ!E:E,0)*M253</f>
        <v>1.17</v>
      </c>
      <c r="AA253" s="219">
        <f>_xlfn.XLOOKUP(W253,マスタ!A:A,マスタ!F:F,0)*M253</f>
        <v>1.32</v>
      </c>
      <c r="AB253" s="219">
        <f>_xlfn.XLOOKUP(W253,マスタ!A:A,マスタ!G:G,0)*M253</f>
        <v>0.39</v>
      </c>
      <c r="AC253" s="220">
        <f>_xlfn.XLOOKUP(W253,マスタ!A:A,マスタ!H:H,0)*M253</f>
        <v>0.39</v>
      </c>
      <c r="AD253" s="227">
        <f t="shared" si="14"/>
        <v>4.55</v>
      </c>
    </row>
    <row r="254" spans="1:30" ht="15" customHeight="1">
      <c r="A254" s="145"/>
      <c r="B254" s="162"/>
      <c r="C254" s="160" t="s">
        <v>214</v>
      </c>
      <c r="D254" s="161"/>
      <c r="E254" s="161"/>
      <c r="F254" s="161"/>
      <c r="G254" s="260"/>
      <c r="H254" s="236" t="s">
        <v>215</v>
      </c>
      <c r="I254" s="430" t="s">
        <v>58</v>
      </c>
      <c r="J254" s="513"/>
      <c r="K254" s="431" t="s">
        <v>58</v>
      </c>
      <c r="L254" s="431" t="s">
        <v>58</v>
      </c>
      <c r="M254" s="432">
        <v>1</v>
      </c>
      <c r="N254" s="179" t="s">
        <v>216</v>
      </c>
      <c r="O254" s="180" t="s">
        <v>157</v>
      </c>
      <c r="P254" s="179"/>
      <c r="Q254" s="180"/>
      <c r="R254" s="179"/>
      <c r="S254" s="180"/>
      <c r="T254" s="179"/>
      <c r="U254" s="180"/>
      <c r="W254" s="208" t="s">
        <v>89</v>
      </c>
      <c r="X254" s="217">
        <f>_xlfn.XLOOKUP(W254,マスタ!A:A,マスタ!C:C,0)*M254</f>
        <v>0.99</v>
      </c>
      <c r="Y254" s="218">
        <f>IF(N254="",0,_xlfn.XLOOKUP(W254,マスタ!A:A,マスタ!D:D,0)*M254)</f>
        <v>0.28999999999999998</v>
      </c>
      <c r="Z254" s="219">
        <f>_xlfn.XLOOKUP(W254,マスタ!A:A,マスタ!E:E,0)*M254</f>
        <v>1.17</v>
      </c>
      <c r="AA254" s="219">
        <f>_xlfn.XLOOKUP(W254,マスタ!A:A,マスタ!F:F,0)*M254</f>
        <v>1.32</v>
      </c>
      <c r="AB254" s="219">
        <f>_xlfn.XLOOKUP(W254,マスタ!A:A,マスタ!G:G,0)*M254</f>
        <v>0.39</v>
      </c>
      <c r="AC254" s="220">
        <f>_xlfn.XLOOKUP(W254,マスタ!A:A,マスタ!H:H,0)*M254</f>
        <v>0.39</v>
      </c>
      <c r="AD254" s="227">
        <f t="shared" si="14"/>
        <v>4.55</v>
      </c>
    </row>
    <row r="255" spans="1:30" ht="15" customHeight="1">
      <c r="A255" s="145"/>
      <c r="B255" s="162"/>
      <c r="C255" s="167"/>
      <c r="D255" s="238"/>
      <c r="E255" s="238"/>
      <c r="F255" s="238"/>
      <c r="G255" s="261"/>
      <c r="H255" s="239" t="s">
        <v>217</v>
      </c>
      <c r="I255" s="436" t="s">
        <v>58</v>
      </c>
      <c r="J255" s="515"/>
      <c r="K255" s="437" t="s">
        <v>58</v>
      </c>
      <c r="L255" s="437" t="s">
        <v>58</v>
      </c>
      <c r="M255" s="438">
        <v>1</v>
      </c>
      <c r="N255" s="183" t="s">
        <v>218</v>
      </c>
      <c r="O255" s="184" t="s">
        <v>157</v>
      </c>
      <c r="P255" s="183"/>
      <c r="Q255" s="184"/>
      <c r="R255" s="183"/>
      <c r="S255" s="184"/>
      <c r="T255" s="183"/>
      <c r="U255" s="184"/>
      <c r="W255" s="208" t="s">
        <v>89</v>
      </c>
      <c r="X255" s="217">
        <f>_xlfn.XLOOKUP(W255,マスタ!A:A,マスタ!C:C,0)*M255</f>
        <v>0.99</v>
      </c>
      <c r="Y255" s="218">
        <f>IF(N255="",0,_xlfn.XLOOKUP(W255,マスタ!A:A,マスタ!D:D,0)*M255)</f>
        <v>0.28999999999999998</v>
      </c>
      <c r="Z255" s="219">
        <f>_xlfn.XLOOKUP(W255,マスタ!A:A,マスタ!E:E,0)*M255</f>
        <v>1.17</v>
      </c>
      <c r="AA255" s="219">
        <f>_xlfn.XLOOKUP(W255,マスタ!A:A,マスタ!F:F,0)*M255</f>
        <v>1.32</v>
      </c>
      <c r="AB255" s="219">
        <f>_xlfn.XLOOKUP(W255,マスタ!A:A,マスタ!G:G,0)*M255</f>
        <v>0.39</v>
      </c>
      <c r="AC255" s="220">
        <f>_xlfn.XLOOKUP(W255,マスタ!A:A,マスタ!H:H,0)*M255</f>
        <v>0.39</v>
      </c>
      <c r="AD255" s="227">
        <f t="shared" si="14"/>
        <v>4.55</v>
      </c>
    </row>
    <row r="256" spans="1:30" ht="42.75">
      <c r="A256" s="145"/>
      <c r="B256" s="162"/>
      <c r="C256" s="167" t="s">
        <v>219</v>
      </c>
      <c r="D256" s="238"/>
      <c r="E256" s="238"/>
      <c r="F256" s="238"/>
      <c r="G256" s="261"/>
      <c r="H256" s="264" t="s">
        <v>220</v>
      </c>
      <c r="I256" s="454" t="s">
        <v>58</v>
      </c>
      <c r="J256" s="520"/>
      <c r="K256" s="455" t="s">
        <v>58</v>
      </c>
      <c r="L256" s="455" t="s">
        <v>58</v>
      </c>
      <c r="M256" s="456">
        <v>1</v>
      </c>
      <c r="N256" s="245" t="s">
        <v>219</v>
      </c>
      <c r="O256" s="246" t="s">
        <v>221</v>
      </c>
      <c r="P256" s="245"/>
      <c r="Q256" s="246"/>
      <c r="R256" s="245"/>
      <c r="S256" s="246"/>
      <c r="T256" s="245"/>
      <c r="U256" s="246"/>
      <c r="W256" s="208" t="s">
        <v>158</v>
      </c>
      <c r="X256" s="217">
        <f>_xlfn.XLOOKUP(W256,マスタ!A:A,マスタ!C:C,0)*M256</f>
        <v>1.98</v>
      </c>
      <c r="Y256" s="218">
        <f>IF(N256="",0,_xlfn.XLOOKUP(W256,マスタ!A:A,マスタ!D:D,0)*M256)</f>
        <v>0.57999999999999996</v>
      </c>
      <c r="Z256" s="219">
        <f>_xlfn.XLOOKUP(W256,マスタ!A:A,マスタ!E:E,0)*M256</f>
        <v>2.33</v>
      </c>
      <c r="AA256" s="219">
        <f>_xlfn.XLOOKUP(W256,マスタ!A:A,マスタ!F:F,0)*M256</f>
        <v>2.64</v>
      </c>
      <c r="AB256" s="219">
        <f>_xlfn.XLOOKUP(W256,マスタ!A:A,マスタ!G:G,0)*M256</f>
        <v>0.77</v>
      </c>
      <c r="AC256" s="220">
        <f>_xlfn.XLOOKUP(W256,マスタ!A:A,マスタ!H:H,0)*M256</f>
        <v>0.77</v>
      </c>
      <c r="AD256" s="227">
        <f>SUM(X256:AC256)</f>
        <v>9.07</v>
      </c>
    </row>
    <row r="257" spans="1:30" ht="15" customHeight="1">
      <c r="A257" s="145"/>
      <c r="B257" s="162"/>
      <c r="C257" s="167" t="s">
        <v>222</v>
      </c>
      <c r="D257" s="238"/>
      <c r="E257" s="238"/>
      <c r="F257" s="238"/>
      <c r="G257" s="261"/>
      <c r="H257" s="244" t="s">
        <v>223</v>
      </c>
      <c r="I257" s="454" t="s">
        <v>58</v>
      </c>
      <c r="J257" s="520"/>
      <c r="K257" s="455" t="s">
        <v>58</v>
      </c>
      <c r="L257" s="455" t="s">
        <v>58</v>
      </c>
      <c r="M257" s="456">
        <v>1</v>
      </c>
      <c r="N257" s="245" t="s">
        <v>224</v>
      </c>
      <c r="O257" s="246" t="s">
        <v>225</v>
      </c>
      <c r="P257" s="245"/>
      <c r="Q257" s="246"/>
      <c r="R257" s="245"/>
      <c r="S257" s="246"/>
      <c r="T257" s="245"/>
      <c r="U257" s="246"/>
      <c r="W257" s="208" t="s">
        <v>158</v>
      </c>
      <c r="X257" s="217">
        <f>_xlfn.XLOOKUP(W257,マスタ!A:A,マスタ!C:C,0)*M257</f>
        <v>1.98</v>
      </c>
      <c r="Y257" s="218">
        <f>IF(N257="",0,_xlfn.XLOOKUP(W257,マスタ!A:A,マスタ!D:D,0)*M257)</f>
        <v>0.57999999999999996</v>
      </c>
      <c r="Z257" s="219">
        <f>_xlfn.XLOOKUP(W257,マスタ!A:A,マスタ!E:E,0)*M257</f>
        <v>2.33</v>
      </c>
      <c r="AA257" s="219">
        <f>_xlfn.XLOOKUP(W257,マスタ!A:A,マスタ!F:F,0)*M257</f>
        <v>2.64</v>
      </c>
      <c r="AB257" s="219">
        <f>_xlfn.XLOOKUP(W257,マスタ!A:A,マスタ!G:G,0)*M257</f>
        <v>0.77</v>
      </c>
      <c r="AC257" s="220">
        <f>_xlfn.XLOOKUP(W257,マスタ!A:A,マスタ!H:H,0)*M257</f>
        <v>0.77</v>
      </c>
      <c r="AD257" s="227">
        <f>SUM(X257:AC257)</f>
        <v>9.07</v>
      </c>
    </row>
    <row r="258" spans="1:30" ht="15" customHeight="1">
      <c r="A258" s="145"/>
      <c r="B258" s="162"/>
      <c r="C258" s="160" t="s">
        <v>226</v>
      </c>
      <c r="D258" s="161"/>
      <c r="E258" s="161"/>
      <c r="F258" s="161"/>
      <c r="G258" s="260"/>
      <c r="H258" s="236"/>
      <c r="I258" s="430" t="s">
        <v>58</v>
      </c>
      <c r="J258" s="513"/>
      <c r="K258" s="431" t="s">
        <v>58</v>
      </c>
      <c r="L258" s="431" t="s">
        <v>57</v>
      </c>
      <c r="M258" s="432">
        <v>1</v>
      </c>
      <c r="N258" s="179" t="s">
        <v>227</v>
      </c>
      <c r="O258" s="180" t="s">
        <v>157</v>
      </c>
      <c r="P258" s="179"/>
      <c r="Q258" s="180"/>
      <c r="R258" s="179"/>
      <c r="S258" s="180"/>
      <c r="T258" s="179"/>
      <c r="U258" s="180"/>
      <c r="W258" s="208" t="s">
        <v>89</v>
      </c>
      <c r="X258" s="217">
        <f>_xlfn.XLOOKUP(W258,マスタ!A:A,マスタ!C:C,0)*M258</f>
        <v>0.99</v>
      </c>
      <c r="Y258" s="218">
        <f>IF(N258="",0,_xlfn.XLOOKUP(W258,マスタ!A:A,マスタ!D:D,0)*M258)</f>
        <v>0.28999999999999998</v>
      </c>
      <c r="Z258" s="219">
        <f>_xlfn.XLOOKUP(W258,マスタ!A:A,マスタ!E:E,0)*M258</f>
        <v>1.17</v>
      </c>
      <c r="AA258" s="219">
        <f>_xlfn.XLOOKUP(W258,マスタ!A:A,マスタ!F:F,0)*M258</f>
        <v>1.32</v>
      </c>
      <c r="AB258" s="219">
        <f>_xlfn.XLOOKUP(W258,マスタ!A:A,マスタ!G:G,0)*M258</f>
        <v>0.39</v>
      </c>
      <c r="AC258" s="220">
        <f>_xlfn.XLOOKUP(W258,マスタ!A:A,マスタ!H:H,0)*M258</f>
        <v>0.39</v>
      </c>
      <c r="AD258" s="227">
        <f t="shared" si="14"/>
        <v>4.55</v>
      </c>
    </row>
    <row r="259" spans="1:30" ht="15" customHeight="1">
      <c r="A259" s="145"/>
      <c r="B259" s="247"/>
      <c r="C259" s="238"/>
      <c r="D259" s="238"/>
      <c r="E259" s="238"/>
      <c r="F259" s="238"/>
      <c r="G259" s="261"/>
      <c r="H259" s="239"/>
      <c r="I259" s="436" t="s">
        <v>58</v>
      </c>
      <c r="J259" s="515"/>
      <c r="K259" s="437" t="s">
        <v>58</v>
      </c>
      <c r="L259" s="437" t="s">
        <v>58</v>
      </c>
      <c r="M259" s="438">
        <v>1</v>
      </c>
      <c r="N259" s="183" t="s">
        <v>228</v>
      </c>
      <c r="O259" s="184" t="s">
        <v>157</v>
      </c>
      <c r="P259" s="183"/>
      <c r="Q259" s="184"/>
      <c r="R259" s="183"/>
      <c r="S259" s="184"/>
      <c r="T259" s="183"/>
      <c r="U259" s="184"/>
      <c r="W259" s="208" t="s">
        <v>89</v>
      </c>
      <c r="X259" s="217">
        <f>_xlfn.XLOOKUP(W259,マスタ!A:A,マスタ!C:C,0)*M259</f>
        <v>0.99</v>
      </c>
      <c r="Y259" s="218">
        <f>IF(N259="",0,_xlfn.XLOOKUP(W259,マスタ!A:A,マスタ!D:D,0)*M259)</f>
        <v>0.28999999999999998</v>
      </c>
      <c r="Z259" s="219">
        <f>_xlfn.XLOOKUP(W259,マスタ!A:A,マスタ!E:E,0)*M259</f>
        <v>1.17</v>
      </c>
      <c r="AA259" s="219">
        <f>_xlfn.XLOOKUP(W259,マスタ!A:A,マスタ!F:F,0)*M259</f>
        <v>1.32</v>
      </c>
      <c r="AB259" s="219">
        <f>_xlfn.XLOOKUP(W259,マスタ!A:A,マスタ!G:G,0)*M259</f>
        <v>0.39</v>
      </c>
      <c r="AC259" s="220">
        <f>_xlfn.XLOOKUP(W259,マスタ!A:A,マスタ!H:H,0)*M259</f>
        <v>0.39</v>
      </c>
      <c r="AD259" s="227">
        <f t="shared" si="14"/>
        <v>4.55</v>
      </c>
    </row>
    <row r="260" spans="1:30" ht="45" customHeight="1">
      <c r="A260" s="145"/>
      <c r="B260" s="162"/>
      <c r="C260" s="242" t="s">
        <v>229</v>
      </c>
      <c r="D260" s="243"/>
      <c r="E260" s="243"/>
      <c r="F260" s="243"/>
      <c r="G260" s="262"/>
      <c r="H260" s="264" t="s">
        <v>230</v>
      </c>
      <c r="I260" s="454" t="s">
        <v>58</v>
      </c>
      <c r="J260" s="520"/>
      <c r="K260" s="455" t="s">
        <v>58</v>
      </c>
      <c r="L260" s="455" t="s">
        <v>58</v>
      </c>
      <c r="M260" s="456">
        <v>1</v>
      </c>
      <c r="N260" s="245" t="s">
        <v>231</v>
      </c>
      <c r="O260" s="246" t="s">
        <v>232</v>
      </c>
      <c r="P260" s="245"/>
      <c r="Q260" s="246"/>
      <c r="R260" s="245"/>
      <c r="S260" s="246"/>
      <c r="T260" s="245"/>
      <c r="U260" s="246"/>
      <c r="W260" s="208" t="s">
        <v>158</v>
      </c>
      <c r="X260" s="217">
        <f>_xlfn.XLOOKUP(W260,マスタ!A:A,マスタ!C:C,0)*M260</f>
        <v>1.98</v>
      </c>
      <c r="Y260" s="218">
        <f>IF(N260="",0,_xlfn.XLOOKUP(W260,マスタ!A:A,マスタ!D:D,0)*M260)</f>
        <v>0.57999999999999996</v>
      </c>
      <c r="Z260" s="219">
        <f>_xlfn.XLOOKUP(W260,マスタ!A:A,マスタ!E:E,0)*M260</f>
        <v>2.33</v>
      </c>
      <c r="AA260" s="219">
        <f>_xlfn.XLOOKUP(W260,マスタ!A:A,マスタ!F:F,0)*M260</f>
        <v>2.64</v>
      </c>
      <c r="AB260" s="219">
        <f>_xlfn.XLOOKUP(W260,マスタ!A:A,マスタ!G:G,0)*M260</f>
        <v>0.77</v>
      </c>
      <c r="AC260" s="220">
        <f>_xlfn.XLOOKUP(W260,マスタ!A:A,マスタ!H:H,0)*M260</f>
        <v>0.77</v>
      </c>
      <c r="AD260" s="227">
        <f t="shared" ref="AD260:AD270" si="15">SUM(X260:AC260)</f>
        <v>9.07</v>
      </c>
    </row>
    <row r="261" spans="1:30" ht="33.75" customHeight="1">
      <c r="A261" s="145"/>
      <c r="B261" s="162"/>
      <c r="C261" s="531" t="s">
        <v>233</v>
      </c>
      <c r="D261" s="243"/>
      <c r="E261" s="243"/>
      <c r="F261" s="243"/>
      <c r="G261" s="262"/>
      <c r="H261" s="264" t="s">
        <v>234</v>
      </c>
      <c r="I261" s="454" t="s">
        <v>58</v>
      </c>
      <c r="J261" s="520"/>
      <c r="K261" s="455" t="s">
        <v>58</v>
      </c>
      <c r="L261" s="455" t="s">
        <v>58</v>
      </c>
      <c r="M261" s="456">
        <v>1</v>
      </c>
      <c r="N261" s="245" t="s">
        <v>235</v>
      </c>
      <c r="O261" s="246" t="s">
        <v>236</v>
      </c>
      <c r="P261" s="245"/>
      <c r="Q261" s="246"/>
      <c r="R261" s="245"/>
      <c r="S261" s="246"/>
      <c r="T261" s="245"/>
      <c r="U261" s="246"/>
      <c r="W261" s="208" t="s">
        <v>158</v>
      </c>
      <c r="X261" s="217">
        <f>_xlfn.XLOOKUP(W261,マスタ!A:A,マスタ!C:C,0)*M261</f>
        <v>1.98</v>
      </c>
      <c r="Y261" s="218">
        <f>IF(N261="",0,_xlfn.XLOOKUP(W261,マスタ!A:A,マスタ!D:D,0)*M261)</f>
        <v>0.57999999999999996</v>
      </c>
      <c r="Z261" s="219">
        <f>_xlfn.XLOOKUP(W261,マスタ!A:A,マスタ!E:E,0)*M261</f>
        <v>2.33</v>
      </c>
      <c r="AA261" s="219">
        <f>_xlfn.XLOOKUP(W261,マスタ!A:A,マスタ!F:F,0)*M261</f>
        <v>2.64</v>
      </c>
      <c r="AB261" s="219">
        <f>_xlfn.XLOOKUP(W261,マスタ!A:A,マスタ!G:G,0)*M261</f>
        <v>0.77</v>
      </c>
      <c r="AC261" s="220">
        <f>_xlfn.XLOOKUP(W261,マスタ!A:A,マスタ!H:H,0)*M261</f>
        <v>0.77</v>
      </c>
      <c r="AD261" s="227">
        <f t="shared" si="15"/>
        <v>9.07</v>
      </c>
    </row>
    <row r="262" spans="1:30" ht="221.25" customHeight="1">
      <c r="A262" s="145"/>
      <c r="B262" s="162"/>
      <c r="C262" s="160" t="s">
        <v>237</v>
      </c>
      <c r="D262" s="416"/>
      <c r="E262" s="416"/>
      <c r="F262" s="416"/>
      <c r="G262" s="417"/>
      <c r="H262" s="596" t="s">
        <v>238</v>
      </c>
      <c r="I262" s="434" t="s">
        <v>58</v>
      </c>
      <c r="J262" s="434"/>
      <c r="K262" s="434" t="s">
        <v>58</v>
      </c>
      <c r="L262" s="434" t="s">
        <v>58</v>
      </c>
      <c r="M262" s="434">
        <v>1</v>
      </c>
      <c r="N262" s="276" t="s">
        <v>239</v>
      </c>
      <c r="O262" s="276" t="s">
        <v>240</v>
      </c>
      <c r="P262" s="276"/>
      <c r="Q262" s="276"/>
      <c r="R262" s="276"/>
      <c r="S262" s="276"/>
      <c r="T262" s="276"/>
      <c r="U262" s="182"/>
      <c r="W262" s="208" t="s">
        <v>158</v>
      </c>
      <c r="X262" s="217">
        <f>_xlfn.XLOOKUP(W262,マスタ!A:A,マスタ!C:C,0)*M262</f>
        <v>1.98</v>
      </c>
      <c r="Y262" s="218">
        <f>IF(N262="",0,_xlfn.XLOOKUP(W262,マスタ!A:A,マスタ!D:D,0)*M262)</f>
        <v>0.57999999999999996</v>
      </c>
      <c r="Z262" s="219">
        <f>_xlfn.XLOOKUP(W262,マスタ!A:A,マスタ!E:E,0)*M262</f>
        <v>2.33</v>
      </c>
      <c r="AA262" s="219">
        <f>_xlfn.XLOOKUP(W262,マスタ!A:A,マスタ!F:F,0)*M262</f>
        <v>2.64</v>
      </c>
      <c r="AB262" s="219">
        <f>_xlfn.XLOOKUP(W262,マスタ!A:A,マスタ!G:G,0)*M262</f>
        <v>0.77</v>
      </c>
      <c r="AC262" s="220">
        <f>_xlfn.XLOOKUP(W262,マスタ!A:A,マスタ!H:H,0)*M262</f>
        <v>0.77</v>
      </c>
      <c r="AD262" s="227">
        <f t="shared" si="15"/>
        <v>9.07</v>
      </c>
    </row>
    <row r="263" spans="1:30" ht="28.5">
      <c r="A263" s="145"/>
      <c r="B263" s="162"/>
      <c r="C263" s="162"/>
      <c r="D263" s="418"/>
      <c r="E263" s="418"/>
      <c r="F263" s="418"/>
      <c r="G263" s="419"/>
      <c r="H263" s="596"/>
      <c r="I263" s="434" t="s">
        <v>58</v>
      </c>
      <c r="J263" s="434"/>
      <c r="K263" s="434" t="s">
        <v>58</v>
      </c>
      <c r="L263" s="434" t="s">
        <v>58</v>
      </c>
      <c r="M263" s="434">
        <v>1</v>
      </c>
      <c r="N263" s="322" t="s">
        <v>241</v>
      </c>
      <c r="O263" s="276" t="s">
        <v>242</v>
      </c>
      <c r="P263" s="276"/>
      <c r="Q263" s="276"/>
      <c r="R263" s="276"/>
      <c r="S263" s="276"/>
      <c r="T263" s="276"/>
      <c r="U263" s="182"/>
      <c r="W263" s="208" t="s">
        <v>158</v>
      </c>
      <c r="X263" s="217">
        <f>_xlfn.XLOOKUP(W263,マスタ!A:A,マスタ!C:C,0)*M263</f>
        <v>1.98</v>
      </c>
      <c r="Y263" s="218">
        <f>IF(N263="",0,_xlfn.XLOOKUP(W263,マスタ!A:A,マスタ!D:D,0)*M263)</f>
        <v>0.57999999999999996</v>
      </c>
      <c r="Z263" s="219">
        <f>_xlfn.XLOOKUP(W263,マスタ!A:A,マスタ!E:E,0)*M263</f>
        <v>2.33</v>
      </c>
      <c r="AA263" s="219">
        <f>_xlfn.XLOOKUP(W263,マスタ!A:A,マスタ!F:F,0)*M263</f>
        <v>2.64</v>
      </c>
      <c r="AB263" s="219">
        <f>_xlfn.XLOOKUP(W263,マスタ!A:A,マスタ!G:G,0)*M263</f>
        <v>0.77</v>
      </c>
      <c r="AC263" s="220">
        <f>_xlfn.XLOOKUP(W263,マスタ!A:A,マスタ!H:H,0)*M263</f>
        <v>0.77</v>
      </c>
      <c r="AD263" s="227">
        <f t="shared" si="15"/>
        <v>9.07</v>
      </c>
    </row>
    <row r="264" spans="1:30" ht="14.25">
      <c r="A264" s="145"/>
      <c r="B264" s="162"/>
      <c r="C264" s="162"/>
      <c r="D264" s="418"/>
      <c r="E264" s="418"/>
      <c r="F264" s="418"/>
      <c r="G264" s="419"/>
      <c r="H264" s="596"/>
      <c r="I264" s="434" t="s">
        <v>58</v>
      </c>
      <c r="J264" s="434"/>
      <c r="K264" s="434" t="s">
        <v>58</v>
      </c>
      <c r="L264" s="434" t="s">
        <v>58</v>
      </c>
      <c r="M264" s="434">
        <v>1</v>
      </c>
      <c r="N264" s="276" t="s">
        <v>243</v>
      </c>
      <c r="O264" s="276" t="s">
        <v>244</v>
      </c>
      <c r="P264" s="276"/>
      <c r="Q264" s="276"/>
      <c r="R264" s="276"/>
      <c r="S264" s="276"/>
      <c r="T264" s="276"/>
      <c r="U264" s="182"/>
      <c r="W264" s="208" t="s">
        <v>158</v>
      </c>
      <c r="X264" s="217">
        <f>_xlfn.XLOOKUP(W264,マスタ!A:A,マスタ!C:C,0)*M264</f>
        <v>1.98</v>
      </c>
      <c r="Y264" s="218">
        <f>IF(N264="",0,_xlfn.XLOOKUP(W264,マスタ!A:A,マスタ!D:D,0)*M264)</f>
        <v>0.57999999999999996</v>
      </c>
      <c r="Z264" s="219">
        <f>_xlfn.XLOOKUP(W264,マスタ!A:A,マスタ!E:E,0)*M264</f>
        <v>2.33</v>
      </c>
      <c r="AA264" s="219">
        <f>_xlfn.XLOOKUP(W264,マスタ!A:A,マスタ!F:F,0)*M264</f>
        <v>2.64</v>
      </c>
      <c r="AB264" s="219">
        <f>_xlfn.XLOOKUP(W264,マスタ!A:A,マスタ!G:G,0)*M264</f>
        <v>0.77</v>
      </c>
      <c r="AC264" s="220">
        <f>_xlfn.XLOOKUP(W264,マスタ!A:A,マスタ!H:H,0)*M264</f>
        <v>0.77</v>
      </c>
      <c r="AD264" s="227">
        <f t="shared" si="15"/>
        <v>9.07</v>
      </c>
    </row>
    <row r="265" spans="1:30" ht="14.25">
      <c r="A265" s="145"/>
      <c r="B265" s="162"/>
      <c r="C265" s="162"/>
      <c r="D265" s="418"/>
      <c r="E265" s="418"/>
      <c r="F265" s="418"/>
      <c r="G265" s="419"/>
      <c r="H265" s="596"/>
      <c r="I265" s="434" t="s">
        <v>58</v>
      </c>
      <c r="J265" s="434"/>
      <c r="K265" s="434" t="s">
        <v>58</v>
      </c>
      <c r="L265" s="434" t="s">
        <v>58</v>
      </c>
      <c r="M265" s="434">
        <v>1</v>
      </c>
      <c r="N265" s="276" t="s">
        <v>245</v>
      </c>
      <c r="O265" s="276" t="s">
        <v>246</v>
      </c>
      <c r="P265" s="276"/>
      <c r="Q265" s="276"/>
      <c r="R265" s="276"/>
      <c r="S265" s="276"/>
      <c r="T265" s="276"/>
      <c r="U265" s="182"/>
      <c r="W265" s="208" t="s">
        <v>158</v>
      </c>
      <c r="X265" s="217">
        <f>_xlfn.XLOOKUP(W265,マスタ!A:A,マスタ!C:C,0)*M265</f>
        <v>1.98</v>
      </c>
      <c r="Y265" s="218">
        <f>IF(N265="",0,_xlfn.XLOOKUP(W265,マスタ!A:A,マスタ!D:D,0)*M265)</f>
        <v>0.57999999999999996</v>
      </c>
      <c r="Z265" s="219">
        <f>_xlfn.XLOOKUP(W265,マスタ!A:A,マスタ!E:E,0)*M265</f>
        <v>2.33</v>
      </c>
      <c r="AA265" s="219">
        <f>_xlfn.XLOOKUP(W265,マスタ!A:A,マスタ!F:F,0)*M265</f>
        <v>2.64</v>
      </c>
      <c r="AB265" s="219">
        <f>_xlfn.XLOOKUP(W265,マスタ!A:A,マスタ!G:G,0)*M265</f>
        <v>0.77</v>
      </c>
      <c r="AC265" s="220">
        <f>_xlfn.XLOOKUP(W265,マスタ!A:A,マスタ!H:H,0)*M265</f>
        <v>0.77</v>
      </c>
      <c r="AD265" s="227">
        <f t="shared" si="15"/>
        <v>9.07</v>
      </c>
    </row>
    <row r="266" spans="1:30" ht="14.25">
      <c r="A266" s="145"/>
      <c r="B266" s="162"/>
      <c r="C266" s="162"/>
      <c r="D266" s="418"/>
      <c r="E266" s="418"/>
      <c r="F266" s="418"/>
      <c r="G266" s="419"/>
      <c r="H266" s="596"/>
      <c r="I266" s="434" t="s">
        <v>58</v>
      </c>
      <c r="J266" s="434"/>
      <c r="K266" s="434" t="s">
        <v>58</v>
      </c>
      <c r="L266" s="434" t="s">
        <v>58</v>
      </c>
      <c r="M266" s="434">
        <v>1</v>
      </c>
      <c r="N266" s="276" t="s">
        <v>247</v>
      </c>
      <c r="O266" s="276" t="s">
        <v>248</v>
      </c>
      <c r="P266" s="276"/>
      <c r="Q266" s="276"/>
      <c r="R266" s="276"/>
      <c r="S266" s="276"/>
      <c r="T266" s="276"/>
      <c r="U266" s="182"/>
      <c r="W266" s="208" t="s">
        <v>158</v>
      </c>
      <c r="X266" s="217">
        <f>_xlfn.XLOOKUP(W266,マスタ!A:A,マスタ!C:C,0)*M266</f>
        <v>1.98</v>
      </c>
      <c r="Y266" s="218">
        <f>IF(N266="",0,_xlfn.XLOOKUP(W266,マスタ!A:A,マスタ!D:D,0)*M266)</f>
        <v>0.57999999999999996</v>
      </c>
      <c r="Z266" s="219">
        <f>_xlfn.XLOOKUP(W266,マスタ!A:A,マスタ!E:E,0)*M266</f>
        <v>2.33</v>
      </c>
      <c r="AA266" s="219">
        <f>_xlfn.XLOOKUP(W266,マスタ!A:A,マスタ!F:F,0)*M266</f>
        <v>2.64</v>
      </c>
      <c r="AB266" s="219">
        <f>_xlfn.XLOOKUP(W266,マスタ!A:A,マスタ!G:G,0)*M266</f>
        <v>0.77</v>
      </c>
      <c r="AC266" s="220">
        <f>_xlfn.XLOOKUP(W266,マスタ!A:A,マスタ!H:H,0)*M266</f>
        <v>0.77</v>
      </c>
      <c r="AD266" s="227">
        <f t="shared" si="15"/>
        <v>9.07</v>
      </c>
    </row>
    <row r="267" spans="1:30" ht="14.25">
      <c r="A267" s="145"/>
      <c r="B267" s="162"/>
      <c r="C267" s="162"/>
      <c r="D267" s="418"/>
      <c r="E267" s="418"/>
      <c r="F267" s="418"/>
      <c r="G267" s="419"/>
      <c r="H267" s="597"/>
      <c r="I267" s="440" t="s">
        <v>58</v>
      </c>
      <c r="J267" s="440"/>
      <c r="K267" s="440" t="s">
        <v>58</v>
      </c>
      <c r="L267" s="440" t="s">
        <v>58</v>
      </c>
      <c r="M267" s="440">
        <v>1</v>
      </c>
      <c r="N267" s="397" t="s">
        <v>249</v>
      </c>
      <c r="O267" s="397" t="s">
        <v>250</v>
      </c>
      <c r="P267" s="397"/>
      <c r="Q267" s="397"/>
      <c r="R267" s="397"/>
      <c r="S267" s="397"/>
      <c r="T267" s="397"/>
      <c r="U267" s="186"/>
      <c r="W267" s="208" t="s">
        <v>158</v>
      </c>
      <c r="X267" s="217">
        <f>_xlfn.XLOOKUP(W267,マスタ!A:A,マスタ!C:C,0)*M267</f>
        <v>1.98</v>
      </c>
      <c r="Y267" s="218">
        <f>IF(N267="",0,_xlfn.XLOOKUP(W267,マスタ!A:A,マスタ!D:D,0)*M267)</f>
        <v>0.57999999999999996</v>
      </c>
      <c r="Z267" s="219">
        <f>_xlfn.XLOOKUP(W267,マスタ!A:A,マスタ!E:E,0)*M267</f>
        <v>2.33</v>
      </c>
      <c r="AA267" s="219">
        <f>_xlfn.XLOOKUP(W267,マスタ!A:A,マスタ!F:F,0)*M267</f>
        <v>2.64</v>
      </c>
      <c r="AB267" s="219">
        <f>_xlfn.XLOOKUP(W267,マスタ!A:A,マスタ!G:G,0)*M267</f>
        <v>0.77</v>
      </c>
      <c r="AC267" s="220">
        <f>_xlfn.XLOOKUP(W267,マスタ!A:A,マスタ!H:H,0)*M267</f>
        <v>0.77</v>
      </c>
      <c r="AD267" s="227">
        <f t="shared" si="15"/>
        <v>9.07</v>
      </c>
    </row>
    <row r="268" spans="1:30" ht="71.25">
      <c r="A268" s="145"/>
      <c r="B268" s="162"/>
      <c r="C268" s="323" t="s">
        <v>251</v>
      </c>
      <c r="D268" s="421"/>
      <c r="E268" s="243"/>
      <c r="F268" s="243"/>
      <c r="G268" s="299"/>
      <c r="H268" s="420" t="s">
        <v>252</v>
      </c>
      <c r="I268" s="455" t="s">
        <v>58</v>
      </c>
      <c r="J268" s="455"/>
      <c r="K268" s="455" t="s">
        <v>58</v>
      </c>
      <c r="L268" s="455" t="s">
        <v>58</v>
      </c>
      <c r="M268" s="455">
        <v>1</v>
      </c>
      <c r="N268" s="314" t="s">
        <v>253</v>
      </c>
      <c r="O268" s="314" t="s">
        <v>254</v>
      </c>
      <c r="P268" s="314"/>
      <c r="Q268" s="314"/>
      <c r="R268" s="314"/>
      <c r="S268" s="314"/>
      <c r="T268" s="314"/>
      <c r="U268" s="246"/>
      <c r="W268" s="208" t="s">
        <v>158</v>
      </c>
      <c r="X268" s="217">
        <f>_xlfn.XLOOKUP(W268,マスタ!A:A,マスタ!C:C,0)*M268</f>
        <v>1.98</v>
      </c>
      <c r="Y268" s="218">
        <f>IF(N268="",0,_xlfn.XLOOKUP(W268,マスタ!A:A,マスタ!D:D,0)*M268)</f>
        <v>0.57999999999999996</v>
      </c>
      <c r="Z268" s="219">
        <f>_xlfn.XLOOKUP(W268,マスタ!A:A,マスタ!E:E,0)*M268</f>
        <v>2.33</v>
      </c>
      <c r="AA268" s="219">
        <f>_xlfn.XLOOKUP(W268,マスタ!A:A,マスタ!F:F,0)*M268</f>
        <v>2.64</v>
      </c>
      <c r="AB268" s="219">
        <f>_xlfn.XLOOKUP(W268,マスタ!A:A,マスタ!G:G,0)*M268</f>
        <v>0.77</v>
      </c>
      <c r="AC268" s="220">
        <f>_xlfn.XLOOKUP(W268,マスタ!A:A,マスタ!H:H,0)*M268</f>
        <v>0.77</v>
      </c>
      <c r="AD268" s="227">
        <f t="shared" si="15"/>
        <v>9.07</v>
      </c>
    </row>
    <row r="269" spans="1:30" ht="15" customHeight="1">
      <c r="A269" s="145"/>
      <c r="B269" s="379" t="s">
        <v>255</v>
      </c>
      <c r="C269" s="378"/>
      <c r="D269" s="380"/>
      <c r="E269" s="380"/>
      <c r="F269" s="380"/>
      <c r="G269" s="380"/>
      <c r="H269" s="380"/>
      <c r="I269" s="476"/>
      <c r="J269" s="476"/>
      <c r="K269" s="476"/>
      <c r="L269" s="476"/>
      <c r="M269" s="476"/>
      <c r="N269" s="381"/>
      <c r="O269" s="381"/>
      <c r="P269" s="381"/>
      <c r="Q269" s="381"/>
      <c r="R269" s="381"/>
      <c r="S269" s="381"/>
      <c r="T269" s="381"/>
      <c r="U269" s="382"/>
      <c r="W269" s="208" t="s">
        <v>158</v>
      </c>
      <c r="X269" s="217">
        <f>_xlfn.XLOOKUP(W269,マスタ!A:A,マスタ!C:C,0)*M269</f>
        <v>0</v>
      </c>
      <c r="Y269" s="218">
        <f>IF(N269="",0,_xlfn.XLOOKUP(W269,マスタ!A:A,マスタ!D:D,0)*M269)</f>
        <v>0</v>
      </c>
      <c r="Z269" s="219">
        <f>_xlfn.XLOOKUP(W269,マスタ!A:A,マスタ!E:E,0)*M269</f>
        <v>0</v>
      </c>
      <c r="AA269" s="219">
        <f>_xlfn.XLOOKUP(W269,マスタ!A:A,マスタ!F:F,0)*M269</f>
        <v>0</v>
      </c>
      <c r="AB269" s="219">
        <f>_xlfn.XLOOKUP(W269,マスタ!A:A,マスタ!G:G,0)*M269</f>
        <v>0</v>
      </c>
      <c r="AC269" s="220">
        <f>_xlfn.XLOOKUP(W269,マスタ!A:A,マスタ!H:H,0)*M269</f>
        <v>0</v>
      </c>
      <c r="AD269" s="227">
        <f t="shared" si="15"/>
        <v>0</v>
      </c>
    </row>
    <row r="270" spans="1:30" ht="15" customHeight="1">
      <c r="A270" s="145"/>
      <c r="B270" s="162"/>
      <c r="C270" s="323" t="s">
        <v>256</v>
      </c>
      <c r="D270" s="310"/>
      <c r="E270" s="310"/>
      <c r="F270" s="310"/>
      <c r="G270" s="310"/>
      <c r="H270" s="310"/>
      <c r="I270" s="455" t="s">
        <v>58</v>
      </c>
      <c r="J270" s="455"/>
      <c r="K270" s="455" t="s">
        <v>58</v>
      </c>
      <c r="L270" s="455" t="s">
        <v>58</v>
      </c>
      <c r="M270" s="455">
        <v>1</v>
      </c>
      <c r="N270" s="314" t="s">
        <v>257</v>
      </c>
      <c r="O270" s="314" t="s">
        <v>258</v>
      </c>
      <c r="P270" s="314"/>
      <c r="Q270" s="314"/>
      <c r="R270" s="314"/>
      <c r="S270" s="314"/>
      <c r="T270" s="314"/>
      <c r="U270" s="246"/>
      <c r="W270" s="208" t="s">
        <v>158</v>
      </c>
      <c r="X270" s="217">
        <f>_xlfn.XLOOKUP(W270,マスタ!A:A,マスタ!C:C,0)*M270</f>
        <v>1.98</v>
      </c>
      <c r="Y270" s="218">
        <f>IF(N270="",0,_xlfn.XLOOKUP(W270,マスタ!A:A,マスタ!D:D,0)*M270)</f>
        <v>0.57999999999999996</v>
      </c>
      <c r="Z270" s="219">
        <f>_xlfn.XLOOKUP(W270,マスタ!A:A,マスタ!E:E,0)*M270</f>
        <v>2.33</v>
      </c>
      <c r="AA270" s="219">
        <f>_xlfn.XLOOKUP(W270,マスタ!A:A,マスタ!F:F,0)*M270</f>
        <v>2.64</v>
      </c>
      <c r="AB270" s="219">
        <f>_xlfn.XLOOKUP(W270,マスタ!A:A,マスタ!G:G,0)*M270</f>
        <v>0.77</v>
      </c>
      <c r="AC270" s="220">
        <f>_xlfn.XLOOKUP(W270,マスタ!A:A,マスタ!H:H,0)*M270</f>
        <v>0.77</v>
      </c>
      <c r="AD270" s="227">
        <f t="shared" si="15"/>
        <v>9.07</v>
      </c>
    </row>
    <row r="271" spans="1:30" ht="15" customHeight="1">
      <c r="A271" s="145"/>
      <c r="B271" s="198" t="s">
        <v>259</v>
      </c>
      <c r="C271" s="199"/>
      <c r="D271" s="199"/>
      <c r="E271" s="199"/>
      <c r="F271" s="199"/>
      <c r="G271" s="199"/>
      <c r="H271" s="199"/>
      <c r="I271" s="477"/>
      <c r="J271" s="477"/>
      <c r="K271" s="477"/>
      <c r="L271" s="477"/>
      <c r="M271" s="477"/>
      <c r="N271" s="376"/>
      <c r="O271" s="376"/>
      <c r="P271" s="376"/>
      <c r="Q271" s="376"/>
      <c r="R271" s="376"/>
      <c r="S271" s="376"/>
      <c r="T271" s="376"/>
      <c r="U271" s="377"/>
      <c r="W271" s="208" t="s">
        <v>158</v>
      </c>
      <c r="X271" s="217">
        <f>_xlfn.XLOOKUP(W271,マスタ!A:A,マスタ!C:C,0)*M271</f>
        <v>0</v>
      </c>
      <c r="Y271" s="218">
        <f>IF(N271="",0,_xlfn.XLOOKUP(W271,マスタ!A:A,マスタ!D:D,0)*M271)</f>
        <v>0</v>
      </c>
      <c r="Z271" s="219">
        <f>_xlfn.XLOOKUP(W271,マスタ!A:A,マスタ!E:E,0)*M271</f>
        <v>0</v>
      </c>
      <c r="AA271" s="219">
        <f>_xlfn.XLOOKUP(W271,マスタ!A:A,マスタ!F:F,0)*M271</f>
        <v>0</v>
      </c>
      <c r="AB271" s="219">
        <f>_xlfn.XLOOKUP(W271,マスタ!A:A,マスタ!G:G,0)*M271</f>
        <v>0</v>
      </c>
      <c r="AC271" s="220">
        <f>_xlfn.XLOOKUP(W271,マスタ!A:A,マスタ!H:H,0)*M271</f>
        <v>0</v>
      </c>
      <c r="AD271" s="227">
        <f t="shared" si="14"/>
        <v>0</v>
      </c>
    </row>
    <row r="272" spans="1:30" ht="85.5">
      <c r="A272" s="145"/>
      <c r="B272" s="162"/>
      <c r="C272" s="160" t="s">
        <v>260</v>
      </c>
      <c r="D272" s="161"/>
      <c r="E272" s="161"/>
      <c r="F272" s="161"/>
      <c r="G272" s="161"/>
      <c r="H272" s="414" t="s">
        <v>261</v>
      </c>
      <c r="I272" s="478"/>
      <c r="J272" s="478"/>
      <c r="K272" s="478"/>
      <c r="L272" s="478"/>
      <c r="M272" s="478"/>
      <c r="N272" s="269"/>
      <c r="O272" s="269"/>
      <c r="P272" s="269"/>
      <c r="Q272" s="269"/>
      <c r="R272" s="269"/>
      <c r="S272" s="269"/>
      <c r="T272" s="269"/>
      <c r="U272" s="270"/>
      <c r="W272" s="208" t="s">
        <v>158</v>
      </c>
      <c r="X272" s="217">
        <f>_xlfn.XLOOKUP(W272,マスタ!A:A,マスタ!C:C,0)*M272</f>
        <v>0</v>
      </c>
      <c r="Y272" s="218">
        <f>IF(N272="",0,_xlfn.XLOOKUP(W272,マスタ!A:A,マスタ!D:D,0)*M272)</f>
        <v>0</v>
      </c>
      <c r="Z272" s="219">
        <f>_xlfn.XLOOKUP(W272,マスタ!A:A,マスタ!E:E,0)*M272</f>
        <v>0</v>
      </c>
      <c r="AA272" s="219">
        <f>_xlfn.XLOOKUP(W272,マスタ!A:A,マスタ!F:F,0)*M272</f>
        <v>0</v>
      </c>
      <c r="AB272" s="219">
        <f>_xlfn.XLOOKUP(W272,マスタ!A:A,マスタ!G:G,0)*M272</f>
        <v>0</v>
      </c>
      <c r="AC272" s="220">
        <f>_xlfn.XLOOKUP(W272,マスタ!A:A,マスタ!H:H,0)*M272</f>
        <v>0</v>
      </c>
      <c r="AD272" s="227">
        <f t="shared" si="14"/>
        <v>0</v>
      </c>
    </row>
    <row r="273" spans="1:30" ht="19.5" customHeight="1">
      <c r="A273" s="145"/>
      <c r="B273" s="162"/>
      <c r="C273" s="162"/>
      <c r="D273" s="598" t="s">
        <v>262</v>
      </c>
      <c r="E273" s="598"/>
      <c r="F273" s="598"/>
      <c r="G273" s="598"/>
      <c r="H273" s="321" t="s">
        <v>263</v>
      </c>
      <c r="I273" s="434" t="s">
        <v>58</v>
      </c>
      <c r="J273" s="434"/>
      <c r="K273" s="434" t="s">
        <v>58</v>
      </c>
      <c r="L273" s="434" t="s">
        <v>58</v>
      </c>
      <c r="M273" s="434">
        <v>1</v>
      </c>
      <c r="N273" s="392" t="s">
        <v>264</v>
      </c>
      <c r="O273" s="393" t="s">
        <v>265</v>
      </c>
      <c r="P273" s="276"/>
      <c r="Q273" s="276"/>
      <c r="R273" s="276"/>
      <c r="S273" s="276"/>
      <c r="T273" s="276"/>
      <c r="U273" s="182"/>
      <c r="W273" s="208" t="s">
        <v>158</v>
      </c>
      <c r="X273" s="217">
        <f>_xlfn.XLOOKUP(W273,マスタ!A:A,マスタ!C:C,0)*M273</f>
        <v>1.98</v>
      </c>
      <c r="Y273" s="218">
        <f>IF(N273="",0,_xlfn.XLOOKUP(W273,マスタ!A:A,マスタ!D:D,0)*M273)</f>
        <v>0.57999999999999996</v>
      </c>
      <c r="Z273" s="219">
        <f>_xlfn.XLOOKUP(W273,マスタ!A:A,マスタ!E:E,0)*M273</f>
        <v>2.33</v>
      </c>
      <c r="AA273" s="219">
        <f>_xlfn.XLOOKUP(W273,マスタ!A:A,マスタ!F:F,0)*M273</f>
        <v>2.64</v>
      </c>
      <c r="AB273" s="219">
        <f>_xlfn.XLOOKUP(W273,マスタ!A:A,マスタ!G:G,0)*M273</f>
        <v>0.77</v>
      </c>
      <c r="AC273" s="220">
        <f>_xlfn.XLOOKUP(W273,マスタ!A:A,マスタ!H:H,0)*M273</f>
        <v>0.77</v>
      </c>
      <c r="AD273" s="227">
        <f t="shared" si="14"/>
        <v>9.07</v>
      </c>
    </row>
    <row r="274" spans="1:30" ht="26.25" customHeight="1">
      <c r="A274" s="145"/>
      <c r="B274" s="162"/>
      <c r="C274" s="162"/>
      <c r="D274" s="598"/>
      <c r="E274" s="598"/>
      <c r="F274" s="598"/>
      <c r="G274" s="598"/>
      <c r="H274" s="321" t="s">
        <v>266</v>
      </c>
      <c r="I274" s="434" t="s">
        <v>58</v>
      </c>
      <c r="J274" s="434"/>
      <c r="K274" s="434" t="s">
        <v>58</v>
      </c>
      <c r="L274" s="434" t="s">
        <v>58</v>
      </c>
      <c r="M274" s="434">
        <v>1</v>
      </c>
      <c r="N274" s="394" t="s">
        <v>267</v>
      </c>
      <c r="O274" s="322" t="s">
        <v>268</v>
      </c>
      <c r="P274" s="276"/>
      <c r="Q274" s="276"/>
      <c r="R274" s="276"/>
      <c r="S274" s="276"/>
      <c r="T274" s="276"/>
      <c r="U274" s="182"/>
      <c r="W274" s="208" t="s">
        <v>158</v>
      </c>
      <c r="X274" s="217">
        <f>_xlfn.XLOOKUP(W274,マスタ!A:A,マスタ!C:C,0)*M274</f>
        <v>1.98</v>
      </c>
      <c r="Y274" s="218">
        <f>IF(N274="",0,_xlfn.XLOOKUP(W274,マスタ!A:A,マスタ!D:D,0)*M274)</f>
        <v>0.57999999999999996</v>
      </c>
      <c r="Z274" s="219">
        <f>_xlfn.XLOOKUP(W274,マスタ!A:A,マスタ!E:E,0)*M274</f>
        <v>2.33</v>
      </c>
      <c r="AA274" s="219">
        <f>_xlfn.XLOOKUP(W274,マスタ!A:A,マスタ!F:F,0)*M274</f>
        <v>2.64</v>
      </c>
      <c r="AB274" s="219">
        <f>_xlfn.XLOOKUP(W274,マスタ!A:A,マスタ!G:G,0)*M274</f>
        <v>0.77</v>
      </c>
      <c r="AC274" s="220">
        <f>_xlfn.XLOOKUP(W274,マスタ!A:A,マスタ!H:H,0)*M274</f>
        <v>0.77</v>
      </c>
      <c r="AD274" s="227">
        <f t="shared" si="14"/>
        <v>9.07</v>
      </c>
    </row>
    <row r="275" spans="1:30" ht="26.25" customHeight="1">
      <c r="A275" s="145"/>
      <c r="B275" s="162"/>
      <c r="C275" s="162"/>
      <c r="D275" s="598"/>
      <c r="E275" s="598"/>
      <c r="F275" s="598"/>
      <c r="G275" s="598"/>
      <c r="H275" s="321" t="s">
        <v>269</v>
      </c>
      <c r="I275" s="434" t="s">
        <v>58</v>
      </c>
      <c r="J275" s="434"/>
      <c r="K275" s="434" t="s">
        <v>58</v>
      </c>
      <c r="L275" s="434" t="s">
        <v>58</v>
      </c>
      <c r="M275" s="434">
        <v>1</v>
      </c>
      <c r="N275" s="395" t="s">
        <v>270</v>
      </c>
      <c r="O275" s="322" t="s">
        <v>271</v>
      </c>
      <c r="P275" s="276"/>
      <c r="Q275" s="276"/>
      <c r="R275" s="276"/>
      <c r="S275" s="276"/>
      <c r="T275" s="276"/>
      <c r="U275" s="182"/>
      <c r="W275" s="208" t="s">
        <v>158</v>
      </c>
      <c r="X275" s="217">
        <f>_xlfn.XLOOKUP(W275,マスタ!A:A,マスタ!C:C,0)*M275</f>
        <v>1.98</v>
      </c>
      <c r="Y275" s="218">
        <f>IF(N275="",0,_xlfn.XLOOKUP(W275,マスタ!A:A,マスタ!D:D,0)*M275)</f>
        <v>0.57999999999999996</v>
      </c>
      <c r="Z275" s="219">
        <f>_xlfn.XLOOKUP(W275,マスタ!A:A,マスタ!E:E,0)*M275</f>
        <v>2.33</v>
      </c>
      <c r="AA275" s="219">
        <f>_xlfn.XLOOKUP(W275,マスタ!A:A,マスタ!F:F,0)*M275</f>
        <v>2.64</v>
      </c>
      <c r="AB275" s="219">
        <f>_xlfn.XLOOKUP(W275,マスタ!A:A,マスタ!G:G,0)*M275</f>
        <v>0.77</v>
      </c>
      <c r="AC275" s="220">
        <f>_xlfn.XLOOKUP(W275,マスタ!A:A,マスタ!H:H,0)*M275</f>
        <v>0.77</v>
      </c>
      <c r="AD275" s="227">
        <f t="shared" si="14"/>
        <v>9.07</v>
      </c>
    </row>
    <row r="276" spans="1:30" ht="26.25" customHeight="1">
      <c r="A276" s="145"/>
      <c r="B276" s="162"/>
      <c r="C276" s="162"/>
      <c r="D276" s="598"/>
      <c r="E276" s="598"/>
      <c r="F276" s="598"/>
      <c r="G276" s="598"/>
      <c r="H276" s="321" t="s">
        <v>272</v>
      </c>
      <c r="I276" s="434" t="s">
        <v>58</v>
      </c>
      <c r="J276" s="434"/>
      <c r="K276" s="434" t="s">
        <v>58</v>
      </c>
      <c r="L276" s="434" t="s">
        <v>58</v>
      </c>
      <c r="M276" s="434">
        <v>1</v>
      </c>
      <c r="N276" s="395" t="s">
        <v>273</v>
      </c>
      <c r="O276" s="322" t="s">
        <v>274</v>
      </c>
      <c r="P276" s="276"/>
      <c r="Q276" s="276"/>
      <c r="R276" s="276"/>
      <c r="S276" s="276"/>
      <c r="T276" s="276"/>
      <c r="U276" s="182"/>
      <c r="W276" s="208" t="s">
        <v>158</v>
      </c>
      <c r="X276" s="217">
        <f>_xlfn.XLOOKUP(W276,マスタ!A:A,マスタ!C:C,0)*M276</f>
        <v>1.98</v>
      </c>
      <c r="Y276" s="218">
        <f>IF(N276="",0,_xlfn.XLOOKUP(W276,マスタ!A:A,マスタ!D:D,0)*M276)</f>
        <v>0.57999999999999996</v>
      </c>
      <c r="Z276" s="219">
        <f>_xlfn.XLOOKUP(W276,マスタ!A:A,マスタ!E:E,0)*M276</f>
        <v>2.33</v>
      </c>
      <c r="AA276" s="219">
        <f>_xlfn.XLOOKUP(W276,マスタ!A:A,マスタ!F:F,0)*M276</f>
        <v>2.64</v>
      </c>
      <c r="AB276" s="219">
        <f>_xlfn.XLOOKUP(W276,マスタ!A:A,マスタ!G:G,0)*M276</f>
        <v>0.77</v>
      </c>
      <c r="AC276" s="220">
        <f>_xlfn.XLOOKUP(W276,マスタ!A:A,マスタ!H:H,0)*M276</f>
        <v>0.77</v>
      </c>
      <c r="AD276" s="227">
        <f t="shared" si="14"/>
        <v>9.07</v>
      </c>
    </row>
    <row r="277" spans="1:30" ht="26.25" customHeight="1">
      <c r="A277" s="145"/>
      <c r="B277" s="162"/>
      <c r="C277" s="162"/>
      <c r="D277" s="598"/>
      <c r="E277" s="598"/>
      <c r="F277" s="598"/>
      <c r="G277" s="598"/>
      <c r="H277" s="321" t="s">
        <v>275</v>
      </c>
      <c r="I277" s="434" t="s">
        <v>58</v>
      </c>
      <c r="J277" s="434"/>
      <c r="K277" s="434" t="s">
        <v>58</v>
      </c>
      <c r="L277" s="434" t="s">
        <v>58</v>
      </c>
      <c r="M277" s="434">
        <v>1</v>
      </c>
      <c r="N277" s="395" t="s">
        <v>276</v>
      </c>
      <c r="O277" s="322" t="s">
        <v>277</v>
      </c>
      <c r="P277" s="276"/>
      <c r="Q277" s="276"/>
      <c r="R277" s="276"/>
      <c r="S277" s="276"/>
      <c r="T277" s="276"/>
      <c r="U277" s="182"/>
      <c r="W277" s="208" t="s">
        <v>158</v>
      </c>
      <c r="X277" s="217">
        <f>_xlfn.XLOOKUP(W277,マスタ!A:A,マスタ!C:C,0)*M277</f>
        <v>1.98</v>
      </c>
      <c r="Y277" s="218">
        <f>IF(N277="",0,_xlfn.XLOOKUP(W277,マスタ!A:A,マスタ!D:D,0)*M277)</f>
        <v>0.57999999999999996</v>
      </c>
      <c r="Z277" s="219">
        <f>_xlfn.XLOOKUP(W277,マスタ!A:A,マスタ!E:E,0)*M277</f>
        <v>2.33</v>
      </c>
      <c r="AA277" s="219">
        <f>_xlfn.XLOOKUP(W277,マスタ!A:A,マスタ!F:F,0)*M277</f>
        <v>2.64</v>
      </c>
      <c r="AB277" s="219">
        <f>_xlfn.XLOOKUP(W277,マスタ!A:A,マスタ!G:G,0)*M277</f>
        <v>0.77</v>
      </c>
      <c r="AC277" s="220">
        <f>_xlfn.XLOOKUP(W277,マスタ!A:A,マスタ!H:H,0)*M277</f>
        <v>0.77</v>
      </c>
      <c r="AD277" s="227">
        <f t="shared" si="14"/>
        <v>9.07</v>
      </c>
    </row>
    <row r="278" spans="1:30" ht="26.25" customHeight="1">
      <c r="A278" s="145"/>
      <c r="B278" s="162"/>
      <c r="C278" s="162"/>
      <c r="D278" s="598"/>
      <c r="E278" s="598"/>
      <c r="F278" s="598"/>
      <c r="G278" s="598"/>
      <c r="H278" s="321" t="s">
        <v>278</v>
      </c>
      <c r="I278" s="434" t="s">
        <v>58</v>
      </c>
      <c r="J278" s="434"/>
      <c r="K278" s="434" t="s">
        <v>58</v>
      </c>
      <c r="L278" s="434" t="s">
        <v>58</v>
      </c>
      <c r="M278" s="434">
        <v>1</v>
      </c>
      <c r="N278" s="322" t="s">
        <v>279</v>
      </c>
      <c r="O278" s="276" t="s">
        <v>280</v>
      </c>
      <c r="P278" s="276"/>
      <c r="Q278" s="276"/>
      <c r="R278" s="276"/>
      <c r="S278" s="276"/>
      <c r="T278" s="276"/>
      <c r="U278" s="182"/>
      <c r="W278" s="208" t="s">
        <v>158</v>
      </c>
      <c r="X278" s="217">
        <f>_xlfn.XLOOKUP(W278,マスタ!A:A,マスタ!C:C,0)*M278</f>
        <v>1.98</v>
      </c>
      <c r="Y278" s="218">
        <f>IF(N278="",0,_xlfn.XLOOKUP(W278,マスタ!A:A,マスタ!D:D,0)*M278)</f>
        <v>0.57999999999999996</v>
      </c>
      <c r="Z278" s="219">
        <f>_xlfn.XLOOKUP(W278,マスタ!A:A,マスタ!E:E,0)*M278</f>
        <v>2.33</v>
      </c>
      <c r="AA278" s="219">
        <f>_xlfn.XLOOKUP(W278,マスタ!A:A,マスタ!F:F,0)*M278</f>
        <v>2.64</v>
      </c>
      <c r="AB278" s="219">
        <f>_xlfn.XLOOKUP(W278,マスタ!A:A,マスタ!G:G,0)*M278</f>
        <v>0.77</v>
      </c>
      <c r="AC278" s="220">
        <f>_xlfn.XLOOKUP(W278,マスタ!A:A,マスタ!H:H,0)*M278</f>
        <v>0.77</v>
      </c>
      <c r="AD278" s="227">
        <f t="shared" si="14"/>
        <v>9.07</v>
      </c>
    </row>
    <row r="279" spans="1:30" ht="28.5">
      <c r="A279" s="145"/>
      <c r="B279" s="316"/>
      <c r="C279" s="316"/>
      <c r="D279" s="280" t="s">
        <v>281</v>
      </c>
      <c r="E279" s="280"/>
      <c r="F279" s="280"/>
      <c r="G279" s="280"/>
      <c r="H279" s="321" t="s">
        <v>282</v>
      </c>
      <c r="I279" s="434" t="s">
        <v>58</v>
      </c>
      <c r="J279" s="434"/>
      <c r="K279" s="434" t="s">
        <v>58</v>
      </c>
      <c r="L279" s="434" t="s">
        <v>58</v>
      </c>
      <c r="M279" s="434">
        <v>1</v>
      </c>
      <c r="N279" s="276" t="s">
        <v>283</v>
      </c>
      <c r="O279" s="276" t="s">
        <v>284</v>
      </c>
      <c r="P279" s="276"/>
      <c r="Q279" s="276"/>
      <c r="R279" s="276"/>
      <c r="S279" s="276"/>
      <c r="T279" s="276"/>
      <c r="U279" s="182"/>
      <c r="W279" s="208" t="s">
        <v>158</v>
      </c>
      <c r="X279" s="217">
        <f>_xlfn.XLOOKUP(W279,マスタ!A:A,マスタ!C:C,0)*M279</f>
        <v>1.98</v>
      </c>
      <c r="Y279" s="218">
        <f>IF(N279="",0,_xlfn.XLOOKUP(W279,マスタ!A:A,マスタ!D:D,0)*M279)</f>
        <v>0.57999999999999996</v>
      </c>
      <c r="Z279" s="219">
        <f>_xlfn.XLOOKUP(W279,マスタ!A:A,マスタ!E:E,0)*M279</f>
        <v>2.33</v>
      </c>
      <c r="AA279" s="219">
        <f>_xlfn.XLOOKUP(W279,マスタ!A:A,マスタ!F:F,0)*M279</f>
        <v>2.64</v>
      </c>
      <c r="AB279" s="219">
        <f>_xlfn.XLOOKUP(W279,マスタ!A:A,マスタ!G:G,0)*M279</f>
        <v>0.77</v>
      </c>
      <c r="AC279" s="220">
        <f>_xlfn.XLOOKUP(W279,マスタ!A:A,マスタ!H:H,0)*M279</f>
        <v>0.77</v>
      </c>
      <c r="AD279" s="227">
        <f t="shared" si="14"/>
        <v>9.07</v>
      </c>
    </row>
    <row r="280" spans="1:30" ht="28.5">
      <c r="A280" s="145"/>
      <c r="B280" s="316"/>
      <c r="C280" s="316"/>
      <c r="D280" s="280" t="s">
        <v>285</v>
      </c>
      <c r="E280" s="280"/>
      <c r="F280" s="280"/>
      <c r="G280" s="280"/>
      <c r="H280" s="321" t="s">
        <v>286</v>
      </c>
      <c r="I280" s="434" t="s">
        <v>58</v>
      </c>
      <c r="J280" s="434"/>
      <c r="K280" s="434" t="s">
        <v>58</v>
      </c>
      <c r="L280" s="434" t="s">
        <v>58</v>
      </c>
      <c r="M280" s="434">
        <v>1</v>
      </c>
      <c r="N280" s="322" t="s">
        <v>287</v>
      </c>
      <c r="O280" s="276"/>
      <c r="P280" s="276"/>
      <c r="Q280" s="276"/>
      <c r="R280" s="276"/>
      <c r="S280" s="276"/>
      <c r="T280" s="276"/>
      <c r="U280" s="182"/>
      <c r="W280" s="208" t="s">
        <v>158</v>
      </c>
      <c r="X280" s="217">
        <f>_xlfn.XLOOKUP(W280,マスタ!A:A,マスタ!C:C,0)*M280</f>
        <v>1.98</v>
      </c>
      <c r="Y280" s="218">
        <f>IF(N280="",0,_xlfn.XLOOKUP(W280,マスタ!A:A,マスタ!D:D,0)*M280)</f>
        <v>0.57999999999999996</v>
      </c>
      <c r="Z280" s="219">
        <f>_xlfn.XLOOKUP(W280,マスタ!A:A,マスタ!E:E,0)*M280</f>
        <v>2.33</v>
      </c>
      <c r="AA280" s="219">
        <f>_xlfn.XLOOKUP(W280,マスタ!A:A,マスタ!F:F,0)*M280</f>
        <v>2.64</v>
      </c>
      <c r="AB280" s="219">
        <f>_xlfn.XLOOKUP(W280,マスタ!A:A,マスタ!G:G,0)*M280</f>
        <v>0.77</v>
      </c>
      <c r="AC280" s="220">
        <f>_xlfn.XLOOKUP(W280,マスタ!A:A,マスタ!H:H,0)*M280</f>
        <v>0.77</v>
      </c>
      <c r="AD280" s="227">
        <f t="shared" si="14"/>
        <v>9.07</v>
      </c>
    </row>
    <row r="281" spans="1:30" ht="85.5">
      <c r="A281" s="145"/>
      <c r="B281" s="162"/>
      <c r="C281" s="162"/>
      <c r="D281" s="281" t="s">
        <v>288</v>
      </c>
      <c r="E281" s="281"/>
      <c r="F281" s="281"/>
      <c r="G281" s="281"/>
      <c r="H281" s="396" t="s">
        <v>289</v>
      </c>
      <c r="I281" s="440" t="s">
        <v>58</v>
      </c>
      <c r="J281" s="440"/>
      <c r="K281" s="440" t="s">
        <v>58</v>
      </c>
      <c r="L281" s="440" t="s">
        <v>58</v>
      </c>
      <c r="M281" s="440">
        <v>1</v>
      </c>
      <c r="N281" s="397" t="s">
        <v>290</v>
      </c>
      <c r="O281" s="397" t="s">
        <v>291</v>
      </c>
      <c r="P281" s="397"/>
      <c r="Q281" s="397"/>
      <c r="R281" s="397"/>
      <c r="S281" s="397"/>
      <c r="T281" s="397"/>
      <c r="U281" s="186"/>
      <c r="W281" s="208" t="s">
        <v>158</v>
      </c>
      <c r="X281" s="217">
        <f>_xlfn.XLOOKUP(W281,マスタ!A:A,マスタ!C:C,0)*M281</f>
        <v>1.98</v>
      </c>
      <c r="Y281" s="218">
        <f>IF(N281="",0,_xlfn.XLOOKUP(W281,マスタ!A:A,マスタ!D:D,0)*M281)</f>
        <v>0.57999999999999996</v>
      </c>
      <c r="Z281" s="219">
        <f>_xlfn.XLOOKUP(W281,マスタ!A:A,マスタ!E:E,0)*M281</f>
        <v>2.33</v>
      </c>
      <c r="AA281" s="219">
        <f>_xlfn.XLOOKUP(W281,マスタ!A:A,マスタ!F:F,0)*M281</f>
        <v>2.64</v>
      </c>
      <c r="AB281" s="219">
        <f>_xlfn.XLOOKUP(W281,マスタ!A:A,マスタ!G:G,0)*M281</f>
        <v>0.77</v>
      </c>
      <c r="AC281" s="220">
        <f>_xlfn.XLOOKUP(W281,マスタ!A:A,マスタ!H:H,0)*M281</f>
        <v>0.77</v>
      </c>
      <c r="AD281" s="227">
        <f t="shared" si="14"/>
        <v>9.07</v>
      </c>
    </row>
    <row r="282" spans="1:30" ht="99.75">
      <c r="A282" s="145"/>
      <c r="B282" s="162"/>
      <c r="C282" s="293" t="s">
        <v>292</v>
      </c>
      <c r="D282" s="272"/>
      <c r="E282" s="272"/>
      <c r="F282" s="272"/>
      <c r="G282" s="272"/>
      <c r="H282" s="318" t="s">
        <v>293</v>
      </c>
      <c r="I282" s="431"/>
      <c r="J282" s="431"/>
      <c r="K282" s="431"/>
      <c r="L282" s="431"/>
      <c r="M282" s="431"/>
      <c r="N282" s="273"/>
      <c r="O282" s="273"/>
      <c r="P282" s="273"/>
      <c r="Q282" s="273"/>
      <c r="R282" s="273"/>
      <c r="S282" s="273"/>
      <c r="T282" s="273"/>
      <c r="U282" s="180"/>
      <c r="W282" s="208" t="s">
        <v>158</v>
      </c>
      <c r="X282" s="217">
        <f>_xlfn.XLOOKUP(W282,マスタ!A:A,マスタ!C:C,0)*M282</f>
        <v>0</v>
      </c>
      <c r="Y282" s="218">
        <f>IF(N282="",0,_xlfn.XLOOKUP(W282,マスタ!A:A,マスタ!D:D,0)*M282)</f>
        <v>0</v>
      </c>
      <c r="Z282" s="219">
        <f>_xlfn.XLOOKUP(W282,マスタ!A:A,マスタ!E:E,0)*M282</f>
        <v>0</v>
      </c>
      <c r="AA282" s="219">
        <f>_xlfn.XLOOKUP(W282,マスタ!A:A,マスタ!F:F,0)*M282</f>
        <v>0</v>
      </c>
      <c r="AB282" s="219">
        <f>_xlfn.XLOOKUP(W282,マスタ!A:A,マスタ!G:G,0)*M282</f>
        <v>0</v>
      </c>
      <c r="AC282" s="220">
        <f>_xlfn.XLOOKUP(W282,マスタ!A:A,マスタ!H:H,0)*M282</f>
        <v>0</v>
      </c>
      <c r="AD282" s="227">
        <f t="shared" si="14"/>
        <v>0</v>
      </c>
    </row>
    <row r="283" spans="1:30" ht="28.5" customHeight="1">
      <c r="A283" s="145"/>
      <c r="B283" s="162"/>
      <c r="C283" s="288"/>
      <c r="D283" s="289" t="s">
        <v>294</v>
      </c>
      <c r="E283" s="289"/>
      <c r="F283" s="289"/>
      <c r="G283" s="289"/>
      <c r="H283" s="319"/>
      <c r="I283" s="437" t="s">
        <v>58</v>
      </c>
      <c r="J283" s="437"/>
      <c r="K283" s="437" t="s">
        <v>58</v>
      </c>
      <c r="L283" s="437" t="s">
        <v>58</v>
      </c>
      <c r="M283" s="437">
        <v>1</v>
      </c>
      <c r="N283" s="320" t="s">
        <v>295</v>
      </c>
      <c r="O283" s="278" t="s">
        <v>296</v>
      </c>
      <c r="P283" s="278"/>
      <c r="Q283" s="278"/>
      <c r="R283" s="278"/>
      <c r="S283" s="278"/>
      <c r="T283" s="278"/>
      <c r="U283" s="184"/>
      <c r="W283" s="208" t="s">
        <v>158</v>
      </c>
      <c r="X283" s="217">
        <f>_xlfn.XLOOKUP(W283,マスタ!A:A,マスタ!C:C,0)*M283</f>
        <v>1.98</v>
      </c>
      <c r="Y283" s="218">
        <f>IF(N283="",0,_xlfn.XLOOKUP(W283,マスタ!A:A,マスタ!D:D,0)*M283)</f>
        <v>0.57999999999999996</v>
      </c>
      <c r="Z283" s="219">
        <f>_xlfn.XLOOKUP(W283,マスタ!A:A,マスタ!E:E,0)*M283</f>
        <v>2.33</v>
      </c>
      <c r="AA283" s="219">
        <f>_xlfn.XLOOKUP(W283,マスタ!A:A,マスタ!F:F,0)*M283</f>
        <v>2.64</v>
      </c>
      <c r="AB283" s="219">
        <f>_xlfn.XLOOKUP(W283,マスタ!A:A,マスタ!G:G,0)*M283</f>
        <v>0.77</v>
      </c>
      <c r="AC283" s="220">
        <f>_xlfn.XLOOKUP(W283,マスタ!A:A,マスタ!H:H,0)*M283</f>
        <v>0.77</v>
      </c>
      <c r="AD283" s="227">
        <f t="shared" si="14"/>
        <v>9.07</v>
      </c>
    </row>
    <row r="284" spans="1:30" ht="15" customHeight="1">
      <c r="A284" s="145"/>
      <c r="B284" s="162"/>
      <c r="C284" s="293" t="s">
        <v>297</v>
      </c>
      <c r="D284" s="272"/>
      <c r="E284" s="272"/>
      <c r="F284" s="272"/>
      <c r="G284" s="272"/>
      <c r="H284" s="318"/>
      <c r="I284" s="479"/>
      <c r="J284" s="479"/>
      <c r="K284" s="479"/>
      <c r="L284" s="479"/>
      <c r="M284" s="479"/>
      <c r="N284" s="273"/>
      <c r="O284" s="273"/>
      <c r="P284" s="273"/>
      <c r="Q284" s="273"/>
      <c r="R284" s="273"/>
      <c r="S284" s="273"/>
      <c r="T284" s="273"/>
      <c r="U284" s="180"/>
      <c r="W284" s="208" t="s">
        <v>158</v>
      </c>
      <c r="X284" s="217">
        <f>_xlfn.XLOOKUP(W284,マスタ!A:A,マスタ!C:C,0)*M284</f>
        <v>0</v>
      </c>
      <c r="Y284" s="218">
        <f>IF(N284="",0,_xlfn.XLOOKUP(W284,マスタ!A:A,マスタ!D:D,0)*M284)</f>
        <v>0</v>
      </c>
      <c r="Z284" s="219">
        <f>_xlfn.XLOOKUP(W284,マスタ!A:A,マスタ!E:E,0)*M284</f>
        <v>0</v>
      </c>
      <c r="AA284" s="219">
        <f>_xlfn.XLOOKUP(W284,マスタ!A:A,マスタ!F:F,0)*M284</f>
        <v>0</v>
      </c>
      <c r="AB284" s="219">
        <f>_xlfn.XLOOKUP(W284,マスタ!A:A,マスタ!G:G,0)*M284</f>
        <v>0</v>
      </c>
      <c r="AC284" s="220">
        <f>_xlfn.XLOOKUP(W284,マスタ!A:A,マスタ!H:H,0)*M284</f>
        <v>0</v>
      </c>
      <c r="AD284" s="227">
        <f t="shared" si="14"/>
        <v>0</v>
      </c>
    </row>
    <row r="285" spans="1:30" ht="193.5" customHeight="1">
      <c r="A285" s="145"/>
      <c r="B285" s="162"/>
      <c r="C285" s="287"/>
      <c r="D285" s="592" t="s">
        <v>298</v>
      </c>
      <c r="E285" s="592"/>
      <c r="F285" s="592"/>
      <c r="G285" s="592"/>
      <c r="H285" s="321" t="s">
        <v>299</v>
      </c>
      <c r="I285" s="434" t="s">
        <v>58</v>
      </c>
      <c r="J285" s="434"/>
      <c r="K285" s="434" t="s">
        <v>58</v>
      </c>
      <c r="L285" s="434" t="s">
        <v>58</v>
      </c>
      <c r="M285" s="434">
        <v>1</v>
      </c>
      <c r="N285" s="322" t="s">
        <v>300</v>
      </c>
      <c r="O285" s="276" t="s">
        <v>301</v>
      </c>
      <c r="P285" s="276"/>
      <c r="Q285" s="276"/>
      <c r="R285" s="276"/>
      <c r="S285" s="276"/>
      <c r="T285" s="276"/>
      <c r="U285" s="182"/>
      <c r="W285" s="208" t="s">
        <v>158</v>
      </c>
      <c r="X285" s="217">
        <f>_xlfn.XLOOKUP(W285,マスタ!A:A,マスタ!C:C,0)*M285</f>
        <v>1.98</v>
      </c>
      <c r="Y285" s="218">
        <f>IF(N285="",0,_xlfn.XLOOKUP(W285,マスタ!A:A,マスタ!D:D,0)*M285)</f>
        <v>0.57999999999999996</v>
      </c>
      <c r="Z285" s="219">
        <f>_xlfn.XLOOKUP(W285,マスタ!A:A,マスタ!E:E,0)*M285</f>
        <v>2.33</v>
      </c>
      <c r="AA285" s="219">
        <f>_xlfn.XLOOKUP(W285,マスタ!A:A,マスタ!F:F,0)*M285</f>
        <v>2.64</v>
      </c>
      <c r="AB285" s="219">
        <f>_xlfn.XLOOKUP(W285,マスタ!A:A,マスタ!G:G,0)*M285</f>
        <v>0.77</v>
      </c>
      <c r="AC285" s="220">
        <f>_xlfn.XLOOKUP(W285,マスタ!A:A,マスタ!H:H,0)*M285</f>
        <v>0.77</v>
      </c>
      <c r="AD285" s="227">
        <f t="shared" si="14"/>
        <v>9.07</v>
      </c>
    </row>
    <row r="286" spans="1:30" ht="14.25">
      <c r="A286" s="145"/>
      <c r="B286" s="162"/>
      <c r="C286" s="287"/>
      <c r="D286" s="592"/>
      <c r="E286" s="592"/>
      <c r="F286" s="592"/>
      <c r="G286" s="592"/>
      <c r="H286" s="321" t="s">
        <v>302</v>
      </c>
      <c r="I286" s="434" t="s">
        <v>58</v>
      </c>
      <c r="J286" s="434"/>
      <c r="K286" s="434" t="s">
        <v>58</v>
      </c>
      <c r="L286" s="434" t="s">
        <v>58</v>
      </c>
      <c r="M286" s="434">
        <v>1</v>
      </c>
      <c r="N286" s="322" t="s">
        <v>303</v>
      </c>
      <c r="O286" s="276" t="s">
        <v>304</v>
      </c>
      <c r="P286" s="276"/>
      <c r="Q286" s="276"/>
      <c r="R286" s="276"/>
      <c r="S286" s="276"/>
      <c r="T286" s="276"/>
      <c r="U286" s="182"/>
      <c r="W286" s="208" t="s">
        <v>158</v>
      </c>
      <c r="X286" s="217">
        <f>_xlfn.XLOOKUP(W286,マスタ!A:A,マスタ!C:C,0)*M286</f>
        <v>1.98</v>
      </c>
      <c r="Y286" s="218">
        <f>IF(N286="",0,_xlfn.XLOOKUP(W286,マスタ!A:A,マスタ!D:D,0)*M286)</f>
        <v>0.57999999999999996</v>
      </c>
      <c r="Z286" s="219">
        <f>_xlfn.XLOOKUP(W286,マスタ!A:A,マスタ!E:E,0)*M286</f>
        <v>2.33</v>
      </c>
      <c r="AA286" s="219">
        <f>_xlfn.XLOOKUP(W286,マスタ!A:A,マスタ!F:F,0)*M286</f>
        <v>2.64</v>
      </c>
      <c r="AB286" s="219">
        <f>_xlfn.XLOOKUP(W286,マスタ!A:A,マスタ!G:G,0)*M286</f>
        <v>0.77</v>
      </c>
      <c r="AC286" s="220">
        <f>_xlfn.XLOOKUP(W286,マスタ!A:A,マスタ!H:H,0)*M286</f>
        <v>0.77</v>
      </c>
      <c r="AD286" s="227">
        <f t="shared" si="14"/>
        <v>9.07</v>
      </c>
    </row>
    <row r="287" spans="1:30" ht="142.5">
      <c r="A287" s="145"/>
      <c r="B287" s="162"/>
      <c r="C287" s="288"/>
      <c r="D287" s="289" t="s">
        <v>305</v>
      </c>
      <c r="E287" s="289"/>
      <c r="F287" s="289"/>
      <c r="G287" s="289"/>
      <c r="H287" s="319" t="s">
        <v>306</v>
      </c>
      <c r="I287" s="437" t="s">
        <v>58</v>
      </c>
      <c r="J287" s="437"/>
      <c r="K287" s="437" t="s">
        <v>58</v>
      </c>
      <c r="L287" s="437" t="s">
        <v>58</v>
      </c>
      <c r="M287" s="437">
        <v>1</v>
      </c>
      <c r="N287" s="278" t="s">
        <v>307</v>
      </c>
      <c r="O287" s="278" t="s">
        <v>308</v>
      </c>
      <c r="P287" s="278"/>
      <c r="Q287" s="278"/>
      <c r="R287" s="278"/>
      <c r="S287" s="278"/>
      <c r="T287" s="278"/>
      <c r="U287" s="184"/>
      <c r="W287" s="208" t="s">
        <v>158</v>
      </c>
      <c r="X287" s="217">
        <f>_xlfn.XLOOKUP(W287,マスタ!A:A,マスタ!C:C,0)*M287</f>
        <v>1.98</v>
      </c>
      <c r="Y287" s="218">
        <f>IF(N287="",0,_xlfn.XLOOKUP(W287,マスタ!A:A,マスタ!D:D,0)*M287)</f>
        <v>0.57999999999999996</v>
      </c>
      <c r="Z287" s="219">
        <f>_xlfn.XLOOKUP(W287,マスタ!A:A,マスタ!E:E,0)*M287</f>
        <v>2.33</v>
      </c>
      <c r="AA287" s="219">
        <f>_xlfn.XLOOKUP(W287,マスタ!A:A,マスタ!F:F,0)*M287</f>
        <v>2.64</v>
      </c>
      <c r="AB287" s="219">
        <f>_xlfn.XLOOKUP(W287,マスタ!A:A,マスタ!G:G,0)*M287</f>
        <v>0.77</v>
      </c>
      <c r="AC287" s="220">
        <f>_xlfn.XLOOKUP(W287,マスタ!A:A,マスタ!H:H,0)*M287</f>
        <v>0.77</v>
      </c>
      <c r="AD287" s="227">
        <f t="shared" si="14"/>
        <v>9.07</v>
      </c>
    </row>
    <row r="288" spans="1:30" ht="114">
      <c r="A288" s="145"/>
      <c r="B288" s="162"/>
      <c r="C288" s="293" t="s">
        <v>309</v>
      </c>
      <c r="D288" s="272"/>
      <c r="E288" s="272"/>
      <c r="F288" s="272"/>
      <c r="G288" s="272"/>
      <c r="H288" s="318" t="s">
        <v>310</v>
      </c>
      <c r="I288" s="479"/>
      <c r="J288" s="479"/>
      <c r="K288" s="479"/>
      <c r="L288" s="479"/>
      <c r="M288" s="479"/>
      <c r="N288" s="273"/>
      <c r="O288" s="273"/>
      <c r="P288" s="273"/>
      <c r="Q288" s="273"/>
      <c r="R288" s="273"/>
      <c r="S288" s="273"/>
      <c r="T288" s="273"/>
      <c r="U288" s="180"/>
      <c r="W288" s="208" t="s">
        <v>158</v>
      </c>
      <c r="X288" s="217">
        <f>_xlfn.XLOOKUP(W288,マスタ!A:A,マスタ!C:C,0)*M288</f>
        <v>0</v>
      </c>
      <c r="Y288" s="218">
        <f>IF(N288="",0,_xlfn.XLOOKUP(W288,マスタ!A:A,マスタ!D:D,0)*M288)</f>
        <v>0</v>
      </c>
      <c r="Z288" s="219">
        <f>_xlfn.XLOOKUP(W288,マスタ!A:A,マスタ!E:E,0)*M288</f>
        <v>0</v>
      </c>
      <c r="AA288" s="219">
        <f>_xlfn.XLOOKUP(W288,マスタ!A:A,マスタ!F:F,0)*M288</f>
        <v>0</v>
      </c>
      <c r="AB288" s="219">
        <f>_xlfn.XLOOKUP(W288,マスタ!A:A,マスタ!G:G,0)*M288</f>
        <v>0</v>
      </c>
      <c r="AC288" s="220">
        <f>_xlfn.XLOOKUP(W288,マスタ!A:A,マスタ!H:H,0)*M288</f>
        <v>0</v>
      </c>
      <c r="AD288" s="227">
        <f t="shared" si="14"/>
        <v>0</v>
      </c>
    </row>
    <row r="289" spans="1:30" ht="15" customHeight="1">
      <c r="A289" s="145"/>
      <c r="B289" s="162"/>
      <c r="C289" s="288"/>
      <c r="D289" s="289" t="s">
        <v>311</v>
      </c>
      <c r="E289" s="289"/>
      <c r="F289" s="289"/>
      <c r="G289" s="289"/>
      <c r="H289" s="319"/>
      <c r="I289" s="437" t="s">
        <v>58</v>
      </c>
      <c r="J289" s="437"/>
      <c r="K289" s="437" t="s">
        <v>58</v>
      </c>
      <c r="L289" s="437" t="s">
        <v>58</v>
      </c>
      <c r="M289" s="437">
        <v>1</v>
      </c>
      <c r="N289" s="278" t="s">
        <v>312</v>
      </c>
      <c r="O289" s="278" t="s">
        <v>313</v>
      </c>
      <c r="P289" s="278"/>
      <c r="Q289" s="278"/>
      <c r="R289" s="278"/>
      <c r="S289" s="278"/>
      <c r="T289" s="278"/>
      <c r="U289" s="184"/>
      <c r="W289" s="208" t="s">
        <v>158</v>
      </c>
      <c r="X289" s="217">
        <f>_xlfn.XLOOKUP(W289,マスタ!A:A,マスタ!C:C,0)*M289</f>
        <v>1.98</v>
      </c>
      <c r="Y289" s="218">
        <f>IF(N289="",0,_xlfn.XLOOKUP(W289,マスタ!A:A,マスタ!D:D,0)*M289)</f>
        <v>0.57999999999999996</v>
      </c>
      <c r="Z289" s="219">
        <f>_xlfn.XLOOKUP(W289,マスタ!A:A,マスタ!E:E,0)*M289</f>
        <v>2.33</v>
      </c>
      <c r="AA289" s="219">
        <f>_xlfn.XLOOKUP(W289,マスタ!A:A,マスタ!F:F,0)*M289</f>
        <v>2.64</v>
      </c>
      <c r="AB289" s="219">
        <f>_xlfn.XLOOKUP(W289,マスタ!A:A,マスタ!G:G,0)*M289</f>
        <v>0.77</v>
      </c>
      <c r="AC289" s="220">
        <f>_xlfn.XLOOKUP(W289,マスタ!A:A,マスタ!H:H,0)*M289</f>
        <v>0.77</v>
      </c>
      <c r="AD289" s="227">
        <f t="shared" si="14"/>
        <v>9.07</v>
      </c>
    </row>
    <row r="290" spans="1:30" ht="57">
      <c r="A290" s="145"/>
      <c r="B290" s="162"/>
      <c r="C290" s="293" t="s">
        <v>314</v>
      </c>
      <c r="D290" s="272"/>
      <c r="E290" s="272"/>
      <c r="F290" s="272"/>
      <c r="G290" s="272"/>
      <c r="H290" s="318" t="s">
        <v>315</v>
      </c>
      <c r="I290" s="479"/>
      <c r="J290" s="479"/>
      <c r="K290" s="479"/>
      <c r="L290" s="479"/>
      <c r="M290" s="479"/>
      <c r="N290" s="273"/>
      <c r="O290" s="273"/>
      <c r="P290" s="273"/>
      <c r="Q290" s="273"/>
      <c r="R290" s="273"/>
      <c r="S290" s="273"/>
      <c r="T290" s="273"/>
      <c r="U290" s="180"/>
      <c r="W290" s="208" t="s">
        <v>158</v>
      </c>
      <c r="X290" s="217">
        <f>_xlfn.XLOOKUP(W290,マスタ!A:A,マスタ!C:C,0)*M290</f>
        <v>0</v>
      </c>
      <c r="Y290" s="218">
        <f>IF(N290="",0,_xlfn.XLOOKUP(W290,マスタ!A:A,マスタ!D:D,0)*M290)</f>
        <v>0</v>
      </c>
      <c r="Z290" s="219">
        <f>_xlfn.XLOOKUP(W290,マスタ!A:A,マスタ!E:E,0)*M290</f>
        <v>0</v>
      </c>
      <c r="AA290" s="219">
        <f>_xlfn.XLOOKUP(W290,マスタ!A:A,マスタ!F:F,0)*M290</f>
        <v>0</v>
      </c>
      <c r="AB290" s="219">
        <f>_xlfn.XLOOKUP(W290,マスタ!A:A,マスタ!G:G,0)*M290</f>
        <v>0</v>
      </c>
      <c r="AC290" s="220">
        <f>_xlfn.XLOOKUP(W290,マスタ!A:A,マスタ!H:H,0)*M290</f>
        <v>0</v>
      </c>
      <c r="AD290" s="227">
        <f t="shared" si="14"/>
        <v>0</v>
      </c>
    </row>
    <row r="291" spans="1:30" ht="15" customHeight="1">
      <c r="A291" s="145"/>
      <c r="B291" s="162"/>
      <c r="C291" s="287"/>
      <c r="D291" s="176" t="s">
        <v>316</v>
      </c>
      <c r="E291" s="171"/>
      <c r="F291" s="171"/>
      <c r="G291" s="296"/>
      <c r="H291" s="280"/>
      <c r="I291" s="434" t="s">
        <v>58</v>
      </c>
      <c r="J291" s="434"/>
      <c r="K291" s="434" t="s">
        <v>58</v>
      </c>
      <c r="L291" s="434" t="s">
        <v>58</v>
      </c>
      <c r="M291" s="434">
        <v>1</v>
      </c>
      <c r="N291" s="276" t="s">
        <v>317</v>
      </c>
      <c r="O291" s="276" t="s">
        <v>318</v>
      </c>
      <c r="P291" s="276"/>
      <c r="Q291" s="276"/>
      <c r="R291" s="276"/>
      <c r="S291" s="276"/>
      <c r="T291" s="276"/>
      <c r="U291" s="182"/>
      <c r="W291" s="208" t="s">
        <v>158</v>
      </c>
      <c r="X291" s="217">
        <f>_xlfn.XLOOKUP(W291,マスタ!A:A,マスタ!C:C,0)*M291</f>
        <v>1.98</v>
      </c>
      <c r="Y291" s="218">
        <f>IF(N291="",0,_xlfn.XLOOKUP(W291,マスタ!A:A,マスタ!D:D,0)*M291)</f>
        <v>0.57999999999999996</v>
      </c>
      <c r="Z291" s="219">
        <f>_xlfn.XLOOKUP(W291,マスタ!A:A,マスタ!E:E,0)*M291</f>
        <v>2.33</v>
      </c>
      <c r="AA291" s="219">
        <f>_xlfn.XLOOKUP(W291,マスタ!A:A,マスタ!F:F,0)*M291</f>
        <v>2.64</v>
      </c>
      <c r="AB291" s="219">
        <f>_xlfn.XLOOKUP(W291,マスタ!A:A,マスタ!G:G,0)*M291</f>
        <v>0.77</v>
      </c>
      <c r="AC291" s="220">
        <f>_xlfn.XLOOKUP(W291,マスタ!A:A,マスタ!H:H,0)*M291</f>
        <v>0.77</v>
      </c>
      <c r="AD291" s="227">
        <f t="shared" si="14"/>
        <v>9.07</v>
      </c>
    </row>
    <row r="292" spans="1:30" ht="15" customHeight="1">
      <c r="A292" s="145"/>
      <c r="B292" s="162"/>
      <c r="C292" s="288"/>
      <c r="D292" s="315"/>
      <c r="E292" s="238"/>
      <c r="F292" s="238"/>
      <c r="G292" s="309"/>
      <c r="H292" s="289"/>
      <c r="I292" s="437" t="s">
        <v>58</v>
      </c>
      <c r="J292" s="437"/>
      <c r="K292" s="437" t="s">
        <v>58</v>
      </c>
      <c r="L292" s="437" t="s">
        <v>58</v>
      </c>
      <c r="M292" s="437">
        <v>1</v>
      </c>
      <c r="N292" s="278" t="s">
        <v>319</v>
      </c>
      <c r="O292" s="278" t="s">
        <v>320</v>
      </c>
      <c r="P292" s="278"/>
      <c r="Q292" s="278"/>
      <c r="R292" s="278"/>
      <c r="S292" s="278"/>
      <c r="T292" s="278"/>
      <c r="U292" s="184"/>
      <c r="W292" s="208" t="s">
        <v>158</v>
      </c>
      <c r="X292" s="217">
        <f>_xlfn.XLOOKUP(W292,マスタ!A:A,マスタ!C:C,0)*M292</f>
        <v>1.98</v>
      </c>
      <c r="Y292" s="218">
        <f>IF(N292="",0,_xlfn.XLOOKUP(W292,マスタ!A:A,マスタ!D:D,0)*M292)</f>
        <v>0.57999999999999996</v>
      </c>
      <c r="Z292" s="219">
        <f>_xlfn.XLOOKUP(W292,マスタ!A:A,マスタ!E:E,0)*M292</f>
        <v>2.33</v>
      </c>
      <c r="AA292" s="219">
        <f>_xlfn.XLOOKUP(W292,マスタ!A:A,マスタ!F:F,0)*M292</f>
        <v>2.64</v>
      </c>
      <c r="AB292" s="219">
        <f>_xlfn.XLOOKUP(W292,マスタ!A:A,マスタ!G:G,0)*M292</f>
        <v>0.77</v>
      </c>
      <c r="AC292" s="220">
        <f>_xlfn.XLOOKUP(W292,マスタ!A:A,マスタ!H:H,0)*M292</f>
        <v>0.77</v>
      </c>
      <c r="AD292" s="227">
        <f t="shared" si="14"/>
        <v>9.07</v>
      </c>
    </row>
    <row r="293" spans="1:30" ht="15" customHeight="1">
      <c r="B293" s="162"/>
      <c r="C293" s="293" t="s">
        <v>321</v>
      </c>
      <c r="D293" s="173"/>
      <c r="E293" s="164"/>
      <c r="F293" s="164"/>
      <c r="G293" s="234"/>
      <c r="H293" s="272" t="s">
        <v>322</v>
      </c>
      <c r="I293" s="431" t="s">
        <v>58</v>
      </c>
      <c r="J293" s="431"/>
      <c r="K293" s="431" t="s">
        <v>58</v>
      </c>
      <c r="L293" s="431" t="s">
        <v>58</v>
      </c>
      <c r="M293" s="431">
        <v>1</v>
      </c>
      <c r="N293" s="273"/>
      <c r="O293" s="273"/>
      <c r="P293" s="273"/>
      <c r="Q293" s="273"/>
      <c r="R293" s="273"/>
      <c r="S293" s="273"/>
      <c r="T293" s="273"/>
      <c r="U293" s="180"/>
      <c r="W293" s="208" t="s">
        <v>59</v>
      </c>
      <c r="X293" s="217">
        <f>_xlfn.XLOOKUP(W293,マスタ!A:A,マスタ!C:C,0)*M293</f>
        <v>2.98</v>
      </c>
      <c r="Y293" s="218">
        <f>IF(N293="",0,_xlfn.XLOOKUP(W293,マスタ!A:A,マスタ!D:D,0)*M293)</f>
        <v>0</v>
      </c>
      <c r="Z293" s="219">
        <f>_xlfn.XLOOKUP(W293,マスタ!A:A,マスタ!E:E,0)*M293</f>
        <v>3.5</v>
      </c>
      <c r="AA293" s="219">
        <f>_xlfn.XLOOKUP(W293,マスタ!A:A,マスタ!F:F,0)*M293</f>
        <v>3.96</v>
      </c>
      <c r="AB293" s="219">
        <f>_xlfn.XLOOKUP(W293,マスタ!A:A,マスタ!G:G,0)*M293</f>
        <v>1.1599999999999999</v>
      </c>
      <c r="AC293" s="220">
        <f>_xlfn.XLOOKUP(W293,マスタ!A:A,マスタ!H:H,0)*M293</f>
        <v>1.1599999999999999</v>
      </c>
      <c r="AD293" s="227">
        <f t="shared" ref="AD293:AD298" si="16">SUM(X293:AC293)</f>
        <v>12.760000000000002</v>
      </c>
    </row>
    <row r="294" spans="1:30" ht="15" customHeight="1">
      <c r="B294" s="162"/>
      <c r="C294" s="293" t="s">
        <v>323</v>
      </c>
      <c r="D294" s="173"/>
      <c r="E294" s="164"/>
      <c r="F294" s="164"/>
      <c r="G294" s="234"/>
      <c r="H294" s="272"/>
      <c r="I294" s="431"/>
      <c r="J294" s="431"/>
      <c r="K294" s="431"/>
      <c r="L294" s="431"/>
      <c r="M294" s="431"/>
      <c r="N294" s="273"/>
      <c r="O294" s="273"/>
      <c r="P294" s="273"/>
      <c r="Q294" s="273"/>
      <c r="R294" s="273"/>
      <c r="S294" s="273"/>
      <c r="T294" s="273"/>
      <c r="U294" s="180"/>
      <c r="W294" s="208" t="s">
        <v>158</v>
      </c>
      <c r="X294" s="217">
        <f>_xlfn.XLOOKUP(W294,マスタ!A:A,マスタ!C:C,0)*M294</f>
        <v>0</v>
      </c>
      <c r="Y294" s="218">
        <f>IF(N294="",0,_xlfn.XLOOKUP(W294,マスタ!A:A,マスタ!D:D,0)*M294)</f>
        <v>0</v>
      </c>
      <c r="Z294" s="219">
        <f>_xlfn.XLOOKUP(W294,マスタ!A:A,マスタ!E:E,0)*M294</f>
        <v>0</v>
      </c>
      <c r="AA294" s="219">
        <f>_xlfn.XLOOKUP(W294,マスタ!A:A,マスタ!F:F,0)*M294</f>
        <v>0</v>
      </c>
      <c r="AB294" s="219">
        <f>_xlfn.XLOOKUP(W294,マスタ!A:A,マスタ!G:G,0)*M294</f>
        <v>0</v>
      </c>
      <c r="AC294" s="220">
        <f>_xlfn.XLOOKUP(W294,マスタ!A:A,マスタ!H:H,0)*M294</f>
        <v>0</v>
      </c>
      <c r="AD294" s="227">
        <f t="shared" si="16"/>
        <v>0</v>
      </c>
    </row>
    <row r="295" spans="1:30" ht="15" customHeight="1">
      <c r="B295" s="162"/>
      <c r="C295" s="287"/>
      <c r="D295" s="174" t="s">
        <v>324</v>
      </c>
      <c r="E295" s="166"/>
      <c r="F295" s="166"/>
      <c r="G295" s="275"/>
      <c r="H295" s="280"/>
      <c r="I295" s="434" t="s">
        <v>58</v>
      </c>
      <c r="J295" s="434"/>
      <c r="K295" s="434" t="s">
        <v>58</v>
      </c>
      <c r="L295" s="434" t="s">
        <v>58</v>
      </c>
      <c r="M295" s="434">
        <v>1</v>
      </c>
      <c r="N295" s="276"/>
      <c r="O295" s="276"/>
      <c r="P295" s="276"/>
      <c r="Q295" s="276"/>
      <c r="R295" s="276"/>
      <c r="S295" s="276"/>
      <c r="T295" s="276"/>
      <c r="U295" s="182"/>
      <c r="W295" s="208" t="s">
        <v>158</v>
      </c>
      <c r="X295" s="217">
        <f>_xlfn.XLOOKUP(W295,マスタ!A:A,マスタ!C:C,0)*M295</f>
        <v>1.98</v>
      </c>
      <c r="Y295" s="218">
        <f>IF(N295="",0,_xlfn.XLOOKUP(W295,マスタ!A:A,マスタ!D:D,0)*M295)</f>
        <v>0</v>
      </c>
      <c r="Z295" s="219">
        <f>_xlfn.XLOOKUP(W295,マスタ!A:A,マスタ!E:E,0)*M295</f>
        <v>2.33</v>
      </c>
      <c r="AA295" s="219">
        <f>_xlfn.XLOOKUP(W295,マスタ!A:A,マスタ!F:F,0)*M295</f>
        <v>2.64</v>
      </c>
      <c r="AB295" s="219">
        <f>_xlfn.XLOOKUP(W295,マスタ!A:A,マスタ!G:G,0)*M295</f>
        <v>0.77</v>
      </c>
      <c r="AC295" s="220">
        <f>_xlfn.XLOOKUP(W295,マスタ!A:A,マスタ!H:H,0)*M295</f>
        <v>0.77</v>
      </c>
      <c r="AD295" s="227">
        <f t="shared" si="16"/>
        <v>8.49</v>
      </c>
    </row>
    <row r="296" spans="1:30" ht="15" customHeight="1">
      <c r="A296" s="145"/>
      <c r="B296" s="162"/>
      <c r="C296" s="288"/>
      <c r="D296" s="175" t="s">
        <v>325</v>
      </c>
      <c r="E296" s="169"/>
      <c r="F296" s="169"/>
      <c r="G296" s="235"/>
      <c r="H296" s="289"/>
      <c r="I296" s="437" t="s">
        <v>58</v>
      </c>
      <c r="J296" s="437"/>
      <c r="K296" s="437" t="s">
        <v>58</v>
      </c>
      <c r="L296" s="437" t="s">
        <v>58</v>
      </c>
      <c r="M296" s="437">
        <v>1</v>
      </c>
      <c r="N296" s="278"/>
      <c r="O296" s="278"/>
      <c r="P296" s="278"/>
      <c r="Q296" s="278"/>
      <c r="R296" s="278"/>
      <c r="S296" s="278"/>
      <c r="T296" s="278"/>
      <c r="U296" s="184"/>
      <c r="W296" s="208" t="s">
        <v>158</v>
      </c>
      <c r="X296" s="217">
        <f>_xlfn.XLOOKUP(W296,マスタ!A:A,マスタ!C:C,0)*M296</f>
        <v>1.98</v>
      </c>
      <c r="Y296" s="218">
        <f>IF(N296="",0,_xlfn.XLOOKUP(W296,マスタ!A:A,マスタ!D:D,0)*M296)</f>
        <v>0</v>
      </c>
      <c r="Z296" s="219">
        <f>_xlfn.XLOOKUP(W296,マスタ!A:A,マスタ!E:E,0)*M296</f>
        <v>2.33</v>
      </c>
      <c r="AA296" s="219">
        <f>_xlfn.XLOOKUP(W296,マスタ!A:A,マスタ!F:F,0)*M296</f>
        <v>2.64</v>
      </c>
      <c r="AB296" s="219">
        <f>_xlfn.XLOOKUP(W296,マスタ!A:A,マスタ!G:G,0)*M296</f>
        <v>0.77</v>
      </c>
      <c r="AC296" s="220">
        <f>_xlfn.XLOOKUP(W296,マスタ!A:A,マスタ!H:H,0)*M296</f>
        <v>0.77</v>
      </c>
      <c r="AD296" s="227">
        <f t="shared" si="16"/>
        <v>8.49</v>
      </c>
    </row>
    <row r="297" spans="1:30" ht="42.75">
      <c r="A297" s="145"/>
      <c r="B297" s="316"/>
      <c r="C297" s="325" t="s">
        <v>326</v>
      </c>
      <c r="D297" s="272"/>
      <c r="E297" s="272"/>
      <c r="F297" s="272"/>
      <c r="G297" s="272"/>
      <c r="H297" s="318" t="s">
        <v>327</v>
      </c>
      <c r="I297" s="479"/>
      <c r="J297" s="479"/>
      <c r="K297" s="479"/>
      <c r="L297" s="479"/>
      <c r="M297" s="479"/>
      <c r="N297" s="273"/>
      <c r="O297" s="273"/>
      <c r="P297" s="273"/>
      <c r="Q297" s="273"/>
      <c r="R297" s="273"/>
      <c r="S297" s="273"/>
      <c r="T297" s="273"/>
      <c r="U297" s="180"/>
      <c r="W297" s="208" t="s">
        <v>158</v>
      </c>
      <c r="X297" s="217">
        <f>_xlfn.XLOOKUP(W297,マスタ!A:A,マスタ!C:C,0)*M297</f>
        <v>0</v>
      </c>
      <c r="Y297" s="218">
        <f>IF(N297="",0,_xlfn.XLOOKUP(W297,マスタ!A:A,マスタ!D:D,0)*M297)</f>
        <v>0</v>
      </c>
      <c r="Z297" s="219">
        <f>_xlfn.XLOOKUP(W297,マスタ!A:A,マスタ!E:E,0)*M297</f>
        <v>0</v>
      </c>
      <c r="AA297" s="219">
        <f>_xlfn.XLOOKUP(W297,マスタ!A:A,マスタ!F:F,0)*M297</f>
        <v>0</v>
      </c>
      <c r="AB297" s="219">
        <f>_xlfn.XLOOKUP(W297,マスタ!A:A,マスタ!G:G,0)*M297</f>
        <v>0</v>
      </c>
      <c r="AC297" s="220">
        <f>_xlfn.XLOOKUP(W297,マスタ!A:A,マスタ!H:H,0)*M297</f>
        <v>0</v>
      </c>
      <c r="AD297" s="227">
        <f t="shared" si="16"/>
        <v>0</v>
      </c>
    </row>
    <row r="298" spans="1:30" ht="15" customHeight="1">
      <c r="A298" s="145"/>
      <c r="B298" s="162"/>
      <c r="C298" s="287"/>
      <c r="D298" s="281" t="s">
        <v>328</v>
      </c>
      <c r="E298" s="281"/>
      <c r="F298" s="281"/>
      <c r="G298" s="281"/>
      <c r="H298" s="281"/>
      <c r="I298" s="440" t="s">
        <v>58</v>
      </c>
      <c r="J298" s="440"/>
      <c r="K298" s="440" t="s">
        <v>58</v>
      </c>
      <c r="L298" s="440" t="s">
        <v>58</v>
      </c>
      <c r="M298" s="440">
        <v>1</v>
      </c>
      <c r="N298" s="397" t="s">
        <v>329</v>
      </c>
      <c r="O298" s="397" t="s">
        <v>330</v>
      </c>
      <c r="P298" s="397"/>
      <c r="Q298" s="397"/>
      <c r="R298" s="397"/>
      <c r="S298" s="397"/>
      <c r="T298" s="397"/>
      <c r="U298" s="186"/>
      <c r="W298" s="208" t="s">
        <v>158</v>
      </c>
      <c r="X298" s="217">
        <f>_xlfn.XLOOKUP(W298,マスタ!A:A,マスタ!C:C,0)*M298</f>
        <v>1.98</v>
      </c>
      <c r="Y298" s="218">
        <f>IF(N298="",0,_xlfn.XLOOKUP(W298,マスタ!A:A,マスタ!D:D,0)*M298)</f>
        <v>0.57999999999999996</v>
      </c>
      <c r="Z298" s="219">
        <f>_xlfn.XLOOKUP(W298,マスタ!A:A,マスタ!E:E,0)*M298</f>
        <v>2.33</v>
      </c>
      <c r="AA298" s="219">
        <f>_xlfn.XLOOKUP(W298,マスタ!A:A,マスタ!F:F,0)*M298</f>
        <v>2.64</v>
      </c>
      <c r="AB298" s="219">
        <f>_xlfn.XLOOKUP(W298,マスタ!A:A,マスタ!G:G,0)*M298</f>
        <v>0.77</v>
      </c>
      <c r="AC298" s="220">
        <f>_xlfn.XLOOKUP(W298,マスタ!A:A,マスタ!H:H,0)*M298</f>
        <v>0.77</v>
      </c>
      <c r="AD298" s="227">
        <f t="shared" si="16"/>
        <v>9.07</v>
      </c>
    </row>
    <row r="299" spans="1:30" ht="15" customHeight="1">
      <c r="A299" s="145"/>
      <c r="B299" s="375" t="s">
        <v>331</v>
      </c>
      <c r="C299" s="379"/>
      <c r="D299" s="200"/>
      <c r="E299" s="199"/>
      <c r="F299" s="199"/>
      <c r="G299" s="398"/>
      <c r="H299" s="399"/>
      <c r="I299" s="428"/>
      <c r="J299" s="428"/>
      <c r="K299" s="428"/>
      <c r="L299" s="428"/>
      <c r="M299" s="428"/>
      <c r="N299" s="400"/>
      <c r="O299" s="400"/>
      <c r="P299" s="400"/>
      <c r="Q299" s="400"/>
      <c r="R299" s="400"/>
      <c r="S299" s="400"/>
      <c r="T299" s="400"/>
      <c r="U299" s="202"/>
      <c r="W299" s="208"/>
      <c r="X299" s="217"/>
      <c r="Y299" s="218"/>
      <c r="Z299" s="219"/>
      <c r="AA299" s="219"/>
      <c r="AB299" s="219"/>
      <c r="AC299" s="220"/>
      <c r="AD299" s="227"/>
    </row>
    <row r="300" spans="1:30" ht="85.5">
      <c r="A300" s="145"/>
      <c r="B300" s="247"/>
      <c r="C300" s="402" t="s">
        <v>332</v>
      </c>
      <c r="D300" s="403"/>
      <c r="E300" s="161"/>
      <c r="F300" s="161"/>
      <c r="G300" s="161"/>
      <c r="H300" s="411" t="s">
        <v>333</v>
      </c>
      <c r="I300" s="430"/>
      <c r="J300" s="513"/>
      <c r="K300" s="431"/>
      <c r="L300" s="431"/>
      <c r="M300" s="432"/>
      <c r="N300" s="179"/>
      <c r="O300" s="180"/>
      <c r="P300" s="179"/>
      <c r="Q300" s="180"/>
      <c r="R300" s="179"/>
      <c r="S300" s="180"/>
      <c r="T300" s="179"/>
      <c r="U300" s="180"/>
      <c r="W300" s="208" t="s">
        <v>158</v>
      </c>
      <c r="X300" s="217">
        <f>_xlfn.XLOOKUP(W300,マスタ!A:A,マスタ!C:C,0)*M300</f>
        <v>0</v>
      </c>
      <c r="Y300" s="218">
        <f>IF(N300="",0,_xlfn.XLOOKUP(W300,マスタ!A:A,マスタ!D:D,0)*M300)</f>
        <v>0</v>
      </c>
      <c r="Z300" s="219">
        <f>_xlfn.XLOOKUP(W300,マスタ!A:A,マスタ!E:E,0)*M300</f>
        <v>0</v>
      </c>
      <c r="AA300" s="219">
        <f>_xlfn.XLOOKUP(W300,マスタ!A:A,マスタ!F:F,0)*M300</f>
        <v>0</v>
      </c>
      <c r="AB300" s="219">
        <f>_xlfn.XLOOKUP(W300,マスタ!A:A,マスタ!G:G,0)*M300</f>
        <v>0</v>
      </c>
      <c r="AC300" s="220">
        <f>_xlfn.XLOOKUP(W300,マスタ!A:A,マスタ!H:H,0)*M300</f>
        <v>0</v>
      </c>
      <c r="AD300" s="227">
        <f t="shared" si="14"/>
        <v>0</v>
      </c>
    </row>
    <row r="301" spans="1:30" ht="15" customHeight="1">
      <c r="A301" s="145"/>
      <c r="B301" s="247"/>
      <c r="C301" s="248"/>
      <c r="D301" s="280" t="s">
        <v>334</v>
      </c>
      <c r="E301" s="280"/>
      <c r="F301" s="280"/>
      <c r="G301" s="174"/>
      <c r="H301" s="295"/>
      <c r="I301" s="433" t="s">
        <v>57</v>
      </c>
      <c r="J301" s="514"/>
      <c r="K301" s="434" t="s">
        <v>74</v>
      </c>
      <c r="L301" s="434" t="s">
        <v>74</v>
      </c>
      <c r="M301" s="435">
        <v>1</v>
      </c>
      <c r="N301" s="181" t="s">
        <v>335</v>
      </c>
      <c r="O301" s="182" t="s">
        <v>157</v>
      </c>
      <c r="P301" s="181"/>
      <c r="Q301" s="182"/>
      <c r="R301" s="181"/>
      <c r="S301" s="182"/>
      <c r="T301" s="181"/>
      <c r="U301" s="182"/>
      <c r="W301" s="208" t="s">
        <v>158</v>
      </c>
      <c r="X301" s="217">
        <f>_xlfn.XLOOKUP(W301,マスタ!A:A,マスタ!C:C,0)*M301</f>
        <v>1.98</v>
      </c>
      <c r="Y301" s="218">
        <f>IF(N301="",0,_xlfn.XLOOKUP(W301,マスタ!A:A,マスタ!D:D,0)*M301)</f>
        <v>0.57999999999999996</v>
      </c>
      <c r="Z301" s="219">
        <f>_xlfn.XLOOKUP(W301,マスタ!A:A,マスタ!E:E,0)*M301</f>
        <v>2.33</v>
      </c>
      <c r="AA301" s="219">
        <f>_xlfn.XLOOKUP(W301,マスタ!A:A,マスタ!F:F,0)*M301</f>
        <v>2.64</v>
      </c>
      <c r="AB301" s="219">
        <f>_xlfn.XLOOKUP(W301,マスタ!A:A,マスタ!G:G,0)*M301</f>
        <v>0.77</v>
      </c>
      <c r="AC301" s="220">
        <f>_xlfn.XLOOKUP(W301,マスタ!A:A,マスタ!H:H,0)*M301</f>
        <v>0.77</v>
      </c>
      <c r="AD301" s="227">
        <f t="shared" si="14"/>
        <v>9.07</v>
      </c>
    </row>
    <row r="302" spans="1:30" ht="15" customHeight="1">
      <c r="A302" s="145"/>
      <c r="B302" s="247"/>
      <c r="C302" s="191"/>
      <c r="D302" s="592" t="s">
        <v>336</v>
      </c>
      <c r="E302" s="592"/>
      <c r="F302" s="592"/>
      <c r="G302" s="593"/>
      <c r="H302" s="295"/>
      <c r="I302" s="433" t="s">
        <v>74</v>
      </c>
      <c r="J302" s="514"/>
      <c r="K302" s="434" t="s">
        <v>57</v>
      </c>
      <c r="L302" s="434" t="s">
        <v>57</v>
      </c>
      <c r="M302" s="435">
        <v>1</v>
      </c>
      <c r="N302" s="181" t="s">
        <v>337</v>
      </c>
      <c r="O302" s="182" t="s">
        <v>338</v>
      </c>
      <c r="P302" s="181"/>
      <c r="Q302" s="182"/>
      <c r="R302" s="181"/>
      <c r="S302" s="182"/>
      <c r="T302" s="181"/>
      <c r="U302" s="182"/>
      <c r="W302" s="208" t="s">
        <v>158</v>
      </c>
      <c r="X302" s="217">
        <f>_xlfn.XLOOKUP(W302,マスタ!A:A,マスタ!C:C,0)*M302</f>
        <v>1.98</v>
      </c>
      <c r="Y302" s="218">
        <f>IF(N302="",0,_xlfn.XLOOKUP(W302,マスタ!A:A,マスタ!D:D,0)*M302)</f>
        <v>0.57999999999999996</v>
      </c>
      <c r="Z302" s="219">
        <f>_xlfn.XLOOKUP(W302,マスタ!A:A,マスタ!E:E,0)*M302</f>
        <v>2.33</v>
      </c>
      <c r="AA302" s="219">
        <f>_xlfn.XLOOKUP(W302,マスタ!A:A,マスタ!F:F,0)*M302</f>
        <v>2.64</v>
      </c>
      <c r="AB302" s="219">
        <f>_xlfn.XLOOKUP(W302,マスタ!A:A,マスタ!G:G,0)*M302</f>
        <v>0.77</v>
      </c>
      <c r="AC302" s="220">
        <f>_xlfn.XLOOKUP(W302,マスタ!A:A,マスタ!H:H,0)*M302</f>
        <v>0.77</v>
      </c>
      <c r="AD302" s="227">
        <f t="shared" si="14"/>
        <v>9.07</v>
      </c>
    </row>
    <row r="303" spans="1:30" ht="15" customHeight="1">
      <c r="A303" s="145"/>
      <c r="B303" s="247"/>
      <c r="C303" s="183"/>
      <c r="D303" s="594"/>
      <c r="E303" s="594"/>
      <c r="F303" s="594"/>
      <c r="G303" s="595"/>
      <c r="H303" s="412"/>
      <c r="I303" s="436"/>
      <c r="J303" s="515"/>
      <c r="K303" s="437"/>
      <c r="L303" s="437"/>
      <c r="M303" s="438"/>
      <c r="N303" s="183"/>
      <c r="O303" s="184"/>
      <c r="P303" s="183" t="s">
        <v>339</v>
      </c>
      <c r="Q303" s="184" t="s">
        <v>340</v>
      </c>
      <c r="R303" s="183"/>
      <c r="S303" s="184"/>
      <c r="T303" s="183"/>
      <c r="U303" s="184"/>
      <c r="W303" s="208" t="s">
        <v>158</v>
      </c>
      <c r="X303" s="217">
        <f>_xlfn.XLOOKUP(W303,マスタ!A:A,マスタ!C:C,0)*M303</f>
        <v>0</v>
      </c>
      <c r="Y303" s="218">
        <f>IF(N303="",0,_xlfn.XLOOKUP(W303,マスタ!A:A,マスタ!D:D,0)*M303)</f>
        <v>0</v>
      </c>
      <c r="Z303" s="219">
        <f>_xlfn.XLOOKUP(W303,マスタ!A:A,マスタ!E:E,0)*M303</f>
        <v>0</v>
      </c>
      <c r="AA303" s="219">
        <f>_xlfn.XLOOKUP(W303,マスタ!A:A,マスタ!F:F,0)*M303</f>
        <v>0</v>
      </c>
      <c r="AB303" s="219">
        <f>_xlfn.XLOOKUP(W303,マスタ!A:A,マスタ!G:G,0)*M303</f>
        <v>0</v>
      </c>
      <c r="AC303" s="220">
        <f>_xlfn.XLOOKUP(W303,マスタ!A:A,マスタ!H:H,0)*M303</f>
        <v>0</v>
      </c>
      <c r="AD303" s="227">
        <f t="shared" si="14"/>
        <v>0</v>
      </c>
    </row>
    <row r="304" spans="1:30" ht="71.25">
      <c r="A304" s="145"/>
      <c r="B304" s="247"/>
      <c r="C304" s="404" t="s">
        <v>341</v>
      </c>
      <c r="D304" s="405"/>
      <c r="E304" s="406"/>
      <c r="F304" s="243"/>
      <c r="G304" s="243"/>
      <c r="H304" s="413" t="s">
        <v>342</v>
      </c>
      <c r="I304" s="454" t="s">
        <v>73</v>
      </c>
      <c r="J304" s="520"/>
      <c r="K304" s="455" t="s">
        <v>58</v>
      </c>
      <c r="L304" s="455" t="s">
        <v>58</v>
      </c>
      <c r="M304" s="456">
        <v>1</v>
      </c>
      <c r="N304" s="245" t="s">
        <v>341</v>
      </c>
      <c r="O304" s="246" t="s">
        <v>343</v>
      </c>
      <c r="P304" s="245"/>
      <c r="Q304" s="246"/>
      <c r="R304" s="245"/>
      <c r="S304" s="246"/>
      <c r="T304" s="245"/>
      <c r="U304" s="246"/>
      <c r="W304" s="208" t="s">
        <v>158</v>
      </c>
      <c r="X304" s="217">
        <f>_xlfn.XLOOKUP(W304,マスタ!A:A,マスタ!C:C,0)*M304</f>
        <v>1.98</v>
      </c>
      <c r="Y304" s="218">
        <f>IF(N304="",0,_xlfn.XLOOKUP(W304,マスタ!A:A,マスタ!D:D,0)*M304)</f>
        <v>0.57999999999999996</v>
      </c>
      <c r="Z304" s="219">
        <f>_xlfn.XLOOKUP(W304,マスタ!A:A,マスタ!E:E,0)*M304</f>
        <v>2.33</v>
      </c>
      <c r="AA304" s="219">
        <f>_xlfn.XLOOKUP(W304,マスタ!A:A,マスタ!F:F,0)*M304</f>
        <v>2.64</v>
      </c>
      <c r="AB304" s="219">
        <f>_xlfn.XLOOKUP(W304,マスタ!A:A,マスタ!G:G,0)*M304</f>
        <v>0.77</v>
      </c>
      <c r="AC304" s="220">
        <f>_xlfn.XLOOKUP(W304,マスタ!A:A,マスタ!H:H,0)*M304</f>
        <v>0.77</v>
      </c>
      <c r="AD304" s="227">
        <f>SUM(X304:AC304)</f>
        <v>9.07</v>
      </c>
    </row>
    <row r="305" spans="1:30" ht="71.25">
      <c r="A305" s="145"/>
      <c r="B305" s="408"/>
      <c r="C305" s="407" t="s">
        <v>344</v>
      </c>
      <c r="D305" s="405"/>
      <c r="E305" s="243"/>
      <c r="F305" s="243"/>
      <c r="G305" s="243"/>
      <c r="H305" s="413" t="s">
        <v>345</v>
      </c>
      <c r="I305" s="454" t="s">
        <v>73</v>
      </c>
      <c r="J305" s="520"/>
      <c r="K305" s="455" t="s">
        <v>58</v>
      </c>
      <c r="L305" s="455" t="s">
        <v>58</v>
      </c>
      <c r="M305" s="456">
        <v>1</v>
      </c>
      <c r="N305" s="407" t="s">
        <v>344</v>
      </c>
      <c r="O305" s="246" t="s">
        <v>346</v>
      </c>
      <c r="P305" s="245"/>
      <c r="Q305" s="246"/>
      <c r="R305" s="245"/>
      <c r="S305" s="246"/>
      <c r="T305" s="245"/>
      <c r="U305" s="246"/>
      <c r="W305" s="208" t="s">
        <v>158</v>
      </c>
      <c r="X305" s="217">
        <f>_xlfn.XLOOKUP(W305,マスタ!A:A,マスタ!C:C,0)*M305</f>
        <v>1.98</v>
      </c>
      <c r="Y305" s="218">
        <f>IF(N305="",0,_xlfn.XLOOKUP(W305,マスタ!A:A,マスタ!D:D,0)*M305)</f>
        <v>0.57999999999999996</v>
      </c>
      <c r="Z305" s="219">
        <f>_xlfn.XLOOKUP(W305,マスタ!A:A,マスタ!E:E,0)*M305</f>
        <v>2.33</v>
      </c>
      <c r="AA305" s="219">
        <f>_xlfn.XLOOKUP(W305,マスタ!A:A,マスタ!F:F,0)*M305</f>
        <v>2.64</v>
      </c>
      <c r="AB305" s="219">
        <f>_xlfn.XLOOKUP(W305,マスタ!A:A,マスタ!G:G,0)*M305</f>
        <v>0.77</v>
      </c>
      <c r="AC305" s="220">
        <f>_xlfn.XLOOKUP(W305,マスタ!A:A,マスタ!H:H,0)*M305</f>
        <v>0.77</v>
      </c>
      <c r="AD305" s="227">
        <f>SUM(X305:AC305)</f>
        <v>9.07</v>
      </c>
    </row>
    <row r="306" spans="1:30" ht="57">
      <c r="A306" s="145"/>
      <c r="B306" s="247"/>
      <c r="C306" s="327" t="s">
        <v>347</v>
      </c>
      <c r="D306" s="328"/>
      <c r="E306" s="164"/>
      <c r="F306" s="164"/>
      <c r="G306" s="164"/>
      <c r="H306" s="414" t="s">
        <v>348</v>
      </c>
      <c r="I306" s="430"/>
      <c r="J306" s="513"/>
      <c r="K306" s="431"/>
      <c r="L306" s="431"/>
      <c r="M306" s="432"/>
      <c r="N306" s="179"/>
      <c r="O306" s="180"/>
      <c r="P306" s="179"/>
      <c r="Q306" s="180"/>
      <c r="R306" s="179"/>
      <c r="S306" s="180"/>
      <c r="T306" s="179"/>
      <c r="U306" s="180"/>
      <c r="W306" s="208" t="s">
        <v>158</v>
      </c>
      <c r="X306" s="217">
        <f>_xlfn.XLOOKUP(W306,マスタ!A:A,マスタ!C:C,0)*M306</f>
        <v>0</v>
      </c>
      <c r="Y306" s="218">
        <f>IF(N306="",0,_xlfn.XLOOKUP(W306,マスタ!A:A,マスタ!D:D,0)*M306)</f>
        <v>0</v>
      </c>
      <c r="Z306" s="219">
        <f>_xlfn.XLOOKUP(W306,マスタ!A:A,マスタ!E:E,0)*M306</f>
        <v>0</v>
      </c>
      <c r="AA306" s="219">
        <f>_xlfn.XLOOKUP(W306,マスタ!A:A,マスタ!F:F,0)*M306</f>
        <v>0</v>
      </c>
      <c r="AB306" s="219">
        <f>_xlfn.XLOOKUP(W306,マスタ!A:A,マスタ!G:G,0)*M306</f>
        <v>0</v>
      </c>
      <c r="AC306" s="220">
        <f>_xlfn.XLOOKUP(W306,マスタ!A:A,マスタ!H:H,0)*M306</f>
        <v>0</v>
      </c>
      <c r="AD306" s="227">
        <f t="shared" si="14"/>
        <v>0</v>
      </c>
    </row>
    <row r="307" spans="1:30" ht="14.25">
      <c r="A307" s="145"/>
      <c r="B307" s="247"/>
      <c r="C307" s="326"/>
      <c r="D307" s="324" t="s">
        <v>349</v>
      </c>
      <c r="E307" s="289"/>
      <c r="F307" s="289"/>
      <c r="G307" s="175"/>
      <c r="H307" s="415"/>
      <c r="I307" s="436" t="s">
        <v>58</v>
      </c>
      <c r="J307" s="515"/>
      <c r="K307" s="437" t="s">
        <v>58</v>
      </c>
      <c r="L307" s="437" t="s">
        <v>58</v>
      </c>
      <c r="M307" s="438">
        <v>1</v>
      </c>
      <c r="N307" s="183" t="s">
        <v>350</v>
      </c>
      <c r="O307" s="184" t="s">
        <v>351</v>
      </c>
      <c r="P307" s="183"/>
      <c r="Q307" s="184"/>
      <c r="R307" s="183"/>
      <c r="S307" s="184"/>
      <c r="T307" s="183"/>
      <c r="U307" s="184"/>
      <c r="W307" s="208" t="s">
        <v>158</v>
      </c>
      <c r="X307" s="217">
        <f>_xlfn.XLOOKUP(W307,マスタ!A:A,マスタ!C:C,0)*M307</f>
        <v>1.98</v>
      </c>
      <c r="Y307" s="218">
        <f>IF(N307="",0,_xlfn.XLOOKUP(W307,マスタ!A:A,マスタ!D:D,0)*M307)</f>
        <v>0.57999999999999996</v>
      </c>
      <c r="Z307" s="219">
        <f>_xlfn.XLOOKUP(W307,マスタ!A:A,マスタ!E:E,0)*M307</f>
        <v>2.33</v>
      </c>
      <c r="AA307" s="219">
        <f>_xlfn.XLOOKUP(W307,マスタ!A:A,マスタ!F:F,0)*M307</f>
        <v>2.64</v>
      </c>
      <c r="AB307" s="219">
        <f>_xlfn.XLOOKUP(W307,マスタ!A:A,マスタ!G:G,0)*M307</f>
        <v>0.77</v>
      </c>
      <c r="AC307" s="220">
        <f>_xlfn.XLOOKUP(W307,マスタ!A:A,マスタ!H:H,0)*M307</f>
        <v>0.77</v>
      </c>
      <c r="AD307" s="227">
        <f t="shared" si="14"/>
        <v>9.07</v>
      </c>
    </row>
    <row r="308" spans="1:30" ht="57">
      <c r="A308" s="145"/>
      <c r="B308" s="247"/>
      <c r="C308" s="327" t="s">
        <v>352</v>
      </c>
      <c r="D308" s="328"/>
      <c r="E308" s="164"/>
      <c r="F308" s="164"/>
      <c r="G308" s="164"/>
      <c r="H308" s="414" t="s">
        <v>353</v>
      </c>
      <c r="I308" s="430"/>
      <c r="J308" s="513"/>
      <c r="K308" s="431"/>
      <c r="L308" s="431"/>
      <c r="M308" s="432"/>
      <c r="N308" s="245"/>
      <c r="O308" s="246"/>
      <c r="P308" s="179"/>
      <c r="Q308" s="180"/>
      <c r="R308" s="179"/>
      <c r="S308" s="180"/>
      <c r="T308" s="179"/>
      <c r="U308" s="180"/>
      <c r="W308" s="208" t="s">
        <v>158</v>
      </c>
      <c r="X308" s="217">
        <f>_xlfn.XLOOKUP(W308,マスタ!A:A,マスタ!C:C,0)*M308</f>
        <v>0</v>
      </c>
      <c r="Y308" s="218">
        <f>IF(N308="",0,_xlfn.XLOOKUP(W308,マスタ!A:A,マスタ!D:D,0)*M308)</f>
        <v>0</v>
      </c>
      <c r="Z308" s="219">
        <f>_xlfn.XLOOKUP(W308,マスタ!A:A,マスタ!E:E,0)*M308</f>
        <v>0</v>
      </c>
      <c r="AA308" s="219">
        <f>_xlfn.XLOOKUP(W308,マスタ!A:A,マスタ!F:F,0)*M308</f>
        <v>0</v>
      </c>
      <c r="AB308" s="219">
        <f>_xlfn.XLOOKUP(W308,マスタ!A:A,マスタ!G:G,0)*M308</f>
        <v>0</v>
      </c>
      <c r="AC308" s="220">
        <f>_xlfn.XLOOKUP(W308,マスタ!A:A,マスタ!H:H,0)*M308</f>
        <v>0</v>
      </c>
      <c r="AD308" s="227">
        <f t="shared" si="14"/>
        <v>0</v>
      </c>
    </row>
    <row r="309" spans="1:30" ht="15" customHeight="1">
      <c r="A309" s="145"/>
      <c r="B309" s="263"/>
      <c r="C309" s="288"/>
      <c r="D309" s="289" t="s">
        <v>354</v>
      </c>
      <c r="E309" s="289"/>
      <c r="F309" s="289"/>
      <c r="G309" s="175"/>
      <c r="H309" s="412"/>
      <c r="I309" s="436" t="s">
        <v>58</v>
      </c>
      <c r="J309" s="515"/>
      <c r="K309" s="437" t="s">
        <v>58</v>
      </c>
      <c r="L309" s="437" t="s">
        <v>58</v>
      </c>
      <c r="M309" s="438">
        <v>1</v>
      </c>
      <c r="N309" s="409" t="s">
        <v>352</v>
      </c>
      <c r="O309" s="410" t="s">
        <v>355</v>
      </c>
      <c r="P309" s="183"/>
      <c r="Q309" s="184"/>
      <c r="R309" s="183"/>
      <c r="S309" s="184"/>
      <c r="T309" s="183"/>
      <c r="U309" s="184"/>
      <c r="W309" s="208" t="s">
        <v>158</v>
      </c>
      <c r="X309" s="217">
        <f>_xlfn.XLOOKUP(W309,マスタ!A:A,マスタ!C:C,0)*M309</f>
        <v>1.98</v>
      </c>
      <c r="Y309" s="218">
        <f>IF(N309="",0,_xlfn.XLOOKUP(W309,マスタ!A:A,マスタ!D:D,0)*M309)</f>
        <v>0.57999999999999996</v>
      </c>
      <c r="Z309" s="219">
        <f>_xlfn.XLOOKUP(W309,マスタ!A:A,マスタ!E:E,0)*M309</f>
        <v>2.33</v>
      </c>
      <c r="AA309" s="219">
        <f>_xlfn.XLOOKUP(W309,マスタ!A:A,マスタ!F:F,0)*M309</f>
        <v>2.64</v>
      </c>
      <c r="AB309" s="219">
        <f>_xlfn.XLOOKUP(W309,マスタ!A:A,マスタ!G:G,0)*M309</f>
        <v>0.77</v>
      </c>
      <c r="AC309" s="220">
        <f>_xlfn.XLOOKUP(W309,マスタ!A:A,マスタ!H:H,0)*M309</f>
        <v>0.77</v>
      </c>
      <c r="AD309" s="227">
        <f t="shared" si="14"/>
        <v>9.07</v>
      </c>
    </row>
    <row r="310" spans="1:30" ht="15" customHeight="1">
      <c r="A310" s="145"/>
      <c r="B310" s="495" t="s">
        <v>356</v>
      </c>
      <c r="C310" s="199"/>
      <c r="D310" s="199"/>
      <c r="E310" s="199"/>
      <c r="F310" s="199"/>
      <c r="G310" s="199"/>
      <c r="H310" s="199"/>
      <c r="I310" s="477"/>
      <c r="J310" s="477"/>
      <c r="K310" s="477"/>
      <c r="L310" s="477"/>
      <c r="M310" s="477"/>
      <c r="N310" s="376"/>
      <c r="O310" s="376"/>
      <c r="P310" s="376"/>
      <c r="Q310" s="376"/>
      <c r="R310" s="376"/>
      <c r="S310" s="376"/>
      <c r="T310" s="376"/>
      <c r="U310" s="377"/>
      <c r="W310" s="208"/>
      <c r="X310" s="217">
        <f>_xlfn.XLOOKUP(W310,マスタ!A:A,マスタ!C:C,0)*M310</f>
        <v>0</v>
      </c>
      <c r="Y310" s="218">
        <f>IF(N310="",0,_xlfn.XLOOKUP(W310,マスタ!A:A,マスタ!D:D,0)*M310)</f>
        <v>0</v>
      </c>
      <c r="Z310" s="219">
        <f>_xlfn.XLOOKUP(W310,マスタ!A:A,マスタ!E:E,0)*M310</f>
        <v>0</v>
      </c>
      <c r="AA310" s="219">
        <f>_xlfn.XLOOKUP(W310,マスタ!A:A,マスタ!F:F,0)*M310</f>
        <v>0</v>
      </c>
      <c r="AB310" s="219">
        <f>_xlfn.XLOOKUP(W310,マスタ!A:A,マスタ!G:G,0)*M310</f>
        <v>0</v>
      </c>
      <c r="AC310" s="220">
        <f>_xlfn.XLOOKUP(W310,マスタ!A:A,マスタ!H:H,0)*M310</f>
        <v>0</v>
      </c>
      <c r="AD310" s="227">
        <f>SUM(X310:AC310)</f>
        <v>0</v>
      </c>
    </row>
    <row r="311" spans="1:30" ht="15" customHeight="1">
      <c r="A311" s="145"/>
      <c r="B311" s="162"/>
      <c r="C311" s="323" t="s">
        <v>357</v>
      </c>
      <c r="D311" s="243"/>
      <c r="E311" s="310"/>
      <c r="F311" s="310"/>
      <c r="G311" s="243"/>
      <c r="H311" s="286" t="s">
        <v>358</v>
      </c>
      <c r="I311" s="454" t="s">
        <v>58</v>
      </c>
      <c r="J311" s="520"/>
      <c r="K311" s="455" t="s">
        <v>58</v>
      </c>
      <c r="L311" s="455" t="s">
        <v>58</v>
      </c>
      <c r="M311" s="484">
        <v>1</v>
      </c>
      <c r="N311" s="245"/>
      <c r="O311" s="246"/>
      <c r="P311" s="245"/>
      <c r="Q311" s="246"/>
      <c r="R311" s="245"/>
      <c r="S311" s="246"/>
      <c r="T311" s="245"/>
      <c r="U311" s="246"/>
      <c r="W311" s="208" t="s">
        <v>158</v>
      </c>
      <c r="X311" s="217">
        <f>_xlfn.XLOOKUP(W311,マスタ!A:A,マスタ!C:C,0)*M311</f>
        <v>1.98</v>
      </c>
      <c r="Y311" s="218">
        <f>IF(N311="",0,_xlfn.XLOOKUP(W311,マスタ!A:A,マスタ!D:D,0)*M311)</f>
        <v>0</v>
      </c>
      <c r="Z311" s="219">
        <f>_xlfn.XLOOKUP(W311,マスタ!A:A,マスタ!E:E,0)*M311</f>
        <v>2.33</v>
      </c>
      <c r="AA311" s="219">
        <f>_xlfn.XLOOKUP(W311,マスタ!A:A,マスタ!F:F,0)*M311</f>
        <v>2.64</v>
      </c>
      <c r="AB311" s="219">
        <f>_xlfn.XLOOKUP(W311,マスタ!A:A,マスタ!G:G,0)*M311</f>
        <v>0.77</v>
      </c>
      <c r="AC311" s="220">
        <f>_xlfn.XLOOKUP(W311,マスタ!A:A,マスタ!H:H,0)*M311</f>
        <v>0.77</v>
      </c>
      <c r="AD311" s="227">
        <f>SUM(X311:AC311)</f>
        <v>8.49</v>
      </c>
    </row>
    <row r="312" spans="1:30" ht="28.5">
      <c r="A312" s="145"/>
      <c r="B312" s="162"/>
      <c r="C312" s="404" t="s">
        <v>359</v>
      </c>
      <c r="D312" s="405"/>
      <c r="E312" s="243"/>
      <c r="F312" s="243"/>
      <c r="G312" s="243"/>
      <c r="H312" s="413" t="s">
        <v>360</v>
      </c>
      <c r="I312" s="454" t="s">
        <v>58</v>
      </c>
      <c r="J312" s="520"/>
      <c r="K312" s="455" t="s">
        <v>58</v>
      </c>
      <c r="L312" s="455" t="s">
        <v>58</v>
      </c>
      <c r="M312" s="484">
        <v>1</v>
      </c>
      <c r="N312" s="404" t="s">
        <v>359</v>
      </c>
      <c r="O312" s="246" t="s">
        <v>361</v>
      </c>
      <c r="P312" s="245"/>
      <c r="Q312" s="246"/>
      <c r="R312" s="245"/>
      <c r="S312" s="246"/>
      <c r="T312" s="245"/>
      <c r="U312" s="246"/>
      <c r="W312" s="208" t="s">
        <v>158</v>
      </c>
      <c r="X312" s="217">
        <f>_xlfn.XLOOKUP(W312,マスタ!A:A,マスタ!C:C,0)*M312</f>
        <v>1.98</v>
      </c>
      <c r="Y312" s="218">
        <f>IF(N312="",0,_xlfn.XLOOKUP(W312,マスタ!A:A,マスタ!D:D,0)*M312)</f>
        <v>0.57999999999999996</v>
      </c>
      <c r="Z312" s="219">
        <f>_xlfn.XLOOKUP(W312,マスタ!A:A,マスタ!E:E,0)*M312</f>
        <v>2.33</v>
      </c>
      <c r="AA312" s="219">
        <f>_xlfn.XLOOKUP(W312,マスタ!A:A,マスタ!F:F,0)*M312</f>
        <v>2.64</v>
      </c>
      <c r="AB312" s="219">
        <f>_xlfn.XLOOKUP(W312,マスタ!A:A,マスタ!G:G,0)*M312</f>
        <v>0.77</v>
      </c>
      <c r="AC312" s="220">
        <f>_xlfn.XLOOKUP(W312,マスタ!A:A,マスタ!H:H,0)*M312</f>
        <v>0.77</v>
      </c>
      <c r="AD312" s="227">
        <f>SUM(X312:AC312)</f>
        <v>9.07</v>
      </c>
    </row>
    <row r="313" spans="1:30" ht="28.5">
      <c r="A313" s="145"/>
      <c r="B313" s="167"/>
      <c r="C313" s="404" t="s">
        <v>362</v>
      </c>
      <c r="D313" s="405"/>
      <c r="E313" s="243"/>
      <c r="F313" s="243"/>
      <c r="G313" s="243"/>
      <c r="H313" s="413" t="s">
        <v>363</v>
      </c>
      <c r="I313" s="454" t="s">
        <v>58</v>
      </c>
      <c r="J313" s="520"/>
      <c r="K313" s="455" t="s">
        <v>58</v>
      </c>
      <c r="L313" s="455" t="s">
        <v>58</v>
      </c>
      <c r="M313" s="484">
        <v>1</v>
      </c>
      <c r="N313" s="404" t="s">
        <v>362</v>
      </c>
      <c r="O313" s="246" t="s">
        <v>364</v>
      </c>
      <c r="P313" s="245"/>
      <c r="Q313" s="246"/>
      <c r="R313" s="245"/>
      <c r="S313" s="246"/>
      <c r="T313" s="245"/>
      <c r="U313" s="246"/>
      <c r="W313" s="208" t="s">
        <v>158</v>
      </c>
      <c r="X313" s="217">
        <f>_xlfn.XLOOKUP(W313,マスタ!A:A,マスタ!C:C,0)*M313</f>
        <v>1.98</v>
      </c>
      <c r="Y313" s="218">
        <f>IF(N313="",0,_xlfn.XLOOKUP(W313,マスタ!A:A,マスタ!D:D,0)*M313)</f>
        <v>0.57999999999999996</v>
      </c>
      <c r="Z313" s="219">
        <f>_xlfn.XLOOKUP(W313,マスタ!A:A,マスタ!E:E,0)*M313</f>
        <v>2.33</v>
      </c>
      <c r="AA313" s="219">
        <f>_xlfn.XLOOKUP(W313,マスタ!A:A,マスタ!F:F,0)*M313</f>
        <v>2.64</v>
      </c>
      <c r="AB313" s="219">
        <f>_xlfn.XLOOKUP(W313,マスタ!A:A,マスタ!G:G,0)*M313</f>
        <v>0.77</v>
      </c>
      <c r="AC313" s="220">
        <f>_xlfn.XLOOKUP(W313,マスタ!A:A,マスタ!H:H,0)*M313</f>
        <v>0.77</v>
      </c>
      <c r="AD313" s="227">
        <f>SUM(X313:AC313)</f>
        <v>9.07</v>
      </c>
    </row>
    <row r="314" spans="1:30" ht="15" customHeight="1">
      <c r="A314" s="145"/>
      <c r="B314" s="379" t="s">
        <v>365</v>
      </c>
      <c r="C314" s="200"/>
      <c r="D314" s="199"/>
      <c r="E314" s="199"/>
      <c r="F314" s="199"/>
      <c r="G314" s="398"/>
      <c r="H314" s="399"/>
      <c r="I314" s="428"/>
      <c r="J314" s="428"/>
      <c r="K314" s="428"/>
      <c r="L314" s="428"/>
      <c r="M314" s="428"/>
      <c r="N314" s="400"/>
      <c r="O314" s="400"/>
      <c r="P314" s="400"/>
      <c r="Q314" s="400"/>
      <c r="R314" s="400"/>
      <c r="S314" s="400"/>
      <c r="T314" s="400"/>
      <c r="U314" s="202"/>
      <c r="W314" s="208" t="s">
        <v>158</v>
      </c>
      <c r="X314" s="217">
        <f>_xlfn.XLOOKUP(W314,マスタ!A:A,マスタ!C:C,0)*M314</f>
        <v>0</v>
      </c>
      <c r="Y314" s="218">
        <f>IF(N314="",0,_xlfn.XLOOKUP(W314,マスタ!A:A,マスタ!D:D,0)*M314)</f>
        <v>0</v>
      </c>
      <c r="Z314" s="219">
        <f>_xlfn.XLOOKUP(W314,マスタ!A:A,マスタ!E:E,0)*M314</f>
        <v>0</v>
      </c>
      <c r="AA314" s="219">
        <f>_xlfn.XLOOKUP(W314,マスタ!A:A,マスタ!F:F,0)*M314</f>
        <v>0</v>
      </c>
      <c r="AB314" s="219">
        <f>_xlfn.XLOOKUP(W314,マスタ!A:A,マスタ!G:G,0)*M314</f>
        <v>0</v>
      </c>
      <c r="AC314" s="220">
        <f>_xlfn.XLOOKUP(W314,マスタ!A:A,マスタ!H:H,0)*M314</f>
        <v>0</v>
      </c>
      <c r="AD314" s="227">
        <f t="shared" si="14"/>
        <v>0</v>
      </c>
    </row>
    <row r="315" spans="1:30" ht="57">
      <c r="A315" s="145"/>
      <c r="B315" s="167"/>
      <c r="C315" s="242" t="s">
        <v>366</v>
      </c>
      <c r="D315" s="401"/>
      <c r="E315" s="243"/>
      <c r="F315" s="243"/>
      <c r="G315" s="299"/>
      <c r="H315" s="420" t="s">
        <v>367</v>
      </c>
      <c r="I315" s="455" t="s">
        <v>58</v>
      </c>
      <c r="J315" s="455"/>
      <c r="K315" s="455" t="s">
        <v>58</v>
      </c>
      <c r="L315" s="455" t="s">
        <v>58</v>
      </c>
      <c r="M315" s="455">
        <v>1</v>
      </c>
      <c r="N315" s="314" t="s">
        <v>368</v>
      </c>
      <c r="O315" s="314" t="s">
        <v>369</v>
      </c>
      <c r="P315" s="314"/>
      <c r="Q315" s="314"/>
      <c r="R315" s="314"/>
      <c r="S315" s="314"/>
      <c r="T315" s="314"/>
      <c r="U315" s="246"/>
      <c r="W315" s="208" t="s">
        <v>158</v>
      </c>
      <c r="X315" s="217">
        <f>_xlfn.XLOOKUP(W315,マスタ!A:A,マスタ!C:C,0)*M315</f>
        <v>1.98</v>
      </c>
      <c r="Y315" s="218">
        <f>IF(N315="",0,_xlfn.XLOOKUP(W315,マスタ!A:A,マスタ!D:D,0)*M315)</f>
        <v>0.57999999999999996</v>
      </c>
      <c r="Z315" s="219">
        <f>_xlfn.XLOOKUP(W315,マスタ!A:A,マスタ!E:E,0)*M315</f>
        <v>2.33</v>
      </c>
      <c r="AA315" s="219">
        <f>_xlfn.XLOOKUP(W315,マスタ!A:A,マスタ!F:F,0)*M315</f>
        <v>2.64</v>
      </c>
      <c r="AB315" s="219">
        <f>_xlfn.XLOOKUP(W315,マスタ!A:A,マスタ!G:G,0)*M315</f>
        <v>0.77</v>
      </c>
      <c r="AC315" s="220">
        <f>_xlfn.XLOOKUP(W315,マスタ!A:A,マスタ!H:H,0)*M315</f>
        <v>0.77</v>
      </c>
      <c r="AD315" s="227">
        <f t="shared" ref="AD315:AD336" si="17">SUM(X315:AC315)</f>
        <v>9.07</v>
      </c>
    </row>
    <row r="316" spans="1:30" ht="15" customHeight="1">
      <c r="A316" s="145"/>
      <c r="B316" s="379" t="s">
        <v>370</v>
      </c>
      <c r="C316" s="200"/>
      <c r="D316" s="199"/>
      <c r="E316" s="199"/>
      <c r="F316" s="199"/>
      <c r="G316" s="398"/>
      <c r="H316" s="399"/>
      <c r="I316" s="428"/>
      <c r="J316" s="428"/>
      <c r="K316" s="428"/>
      <c r="L316" s="428"/>
      <c r="M316" s="428"/>
      <c r="N316" s="400"/>
      <c r="O316" s="400"/>
      <c r="P316" s="400"/>
      <c r="Q316" s="400"/>
      <c r="R316" s="400"/>
      <c r="S316" s="400"/>
      <c r="T316" s="400"/>
      <c r="U316" s="202"/>
      <c r="W316" s="208" t="s">
        <v>158</v>
      </c>
      <c r="X316" s="217">
        <f>_xlfn.XLOOKUP(W316,マスタ!A:A,マスタ!C:C,0)*M316</f>
        <v>0</v>
      </c>
      <c r="Y316" s="218">
        <f>IF(N316="",0,_xlfn.XLOOKUP(W316,マスタ!A:A,マスタ!D:D,0)*M316)</f>
        <v>0</v>
      </c>
      <c r="Z316" s="219">
        <f>_xlfn.XLOOKUP(W316,マスタ!A:A,マスタ!E:E,0)*M316</f>
        <v>0</v>
      </c>
      <c r="AA316" s="219">
        <f>_xlfn.XLOOKUP(W316,マスタ!A:A,マスタ!F:F,0)*M316</f>
        <v>0</v>
      </c>
      <c r="AB316" s="219">
        <f>_xlfn.XLOOKUP(W316,マスタ!A:A,マスタ!G:G,0)*M316</f>
        <v>0</v>
      </c>
      <c r="AC316" s="220">
        <f>_xlfn.XLOOKUP(W316,マスタ!A:A,マスタ!H:H,0)*M316</f>
        <v>0</v>
      </c>
      <c r="AD316" s="227">
        <f t="shared" si="17"/>
        <v>0</v>
      </c>
    </row>
    <row r="317" spans="1:30" ht="99.75">
      <c r="A317" s="145"/>
      <c r="B317" s="162"/>
      <c r="C317" s="242" t="s">
        <v>371</v>
      </c>
      <c r="D317" s="243"/>
      <c r="E317" s="243"/>
      <c r="F317" s="243"/>
      <c r="G317" s="243"/>
      <c r="H317" s="491" t="s">
        <v>372</v>
      </c>
      <c r="I317" s="454" t="s">
        <v>58</v>
      </c>
      <c r="J317" s="520"/>
      <c r="K317" s="455" t="s">
        <v>58</v>
      </c>
      <c r="L317" s="455" t="s">
        <v>58</v>
      </c>
      <c r="M317" s="456">
        <v>1</v>
      </c>
      <c r="N317" s="245" t="s">
        <v>371</v>
      </c>
      <c r="O317" s="246" t="s">
        <v>373</v>
      </c>
      <c r="P317" s="245"/>
      <c r="Q317" s="246"/>
      <c r="R317" s="245"/>
      <c r="S317" s="246"/>
      <c r="T317" s="245"/>
      <c r="U317" s="246"/>
      <c r="W317" s="208" t="s">
        <v>158</v>
      </c>
      <c r="X317" s="217">
        <f>_xlfn.XLOOKUP(W317,マスタ!A:A,マスタ!C:C,0)*M317</f>
        <v>1.98</v>
      </c>
      <c r="Y317" s="218">
        <f>IF(N317="",0,_xlfn.XLOOKUP(W317,マスタ!A:A,マスタ!D:D,0)*M317)</f>
        <v>0.57999999999999996</v>
      </c>
      <c r="Z317" s="219">
        <f>_xlfn.XLOOKUP(W317,マスタ!A:A,マスタ!E:E,0)*M317</f>
        <v>2.33</v>
      </c>
      <c r="AA317" s="219">
        <f>_xlfn.XLOOKUP(W317,マスタ!A:A,マスタ!F:F,0)*M317</f>
        <v>2.64</v>
      </c>
      <c r="AB317" s="219">
        <f>_xlfn.XLOOKUP(W317,マスタ!A:A,マスタ!G:G,0)*M317</f>
        <v>0.77</v>
      </c>
      <c r="AC317" s="220">
        <f>_xlfn.XLOOKUP(W317,マスタ!A:A,マスタ!H:H,0)*M317</f>
        <v>0.77</v>
      </c>
      <c r="AD317" s="227">
        <f>SUM(X317:AC317)</f>
        <v>9.07</v>
      </c>
    </row>
    <row r="318" spans="1:30" ht="15" customHeight="1">
      <c r="A318" s="145"/>
      <c r="B318" s="316"/>
      <c r="C318" s="407" t="s">
        <v>374</v>
      </c>
      <c r="D318" s="405"/>
      <c r="E318" s="243"/>
      <c r="F318" s="243"/>
      <c r="G318" s="243"/>
      <c r="H318" s="421"/>
      <c r="I318" s="454" t="s">
        <v>58</v>
      </c>
      <c r="J318" s="520"/>
      <c r="K318" s="455" t="s">
        <v>58</v>
      </c>
      <c r="L318" s="455" t="s">
        <v>58</v>
      </c>
      <c r="M318" s="456">
        <v>1</v>
      </c>
      <c r="N318" s="245"/>
      <c r="O318" s="246"/>
      <c r="P318" s="245"/>
      <c r="Q318" s="246"/>
      <c r="R318" s="245"/>
      <c r="S318" s="246"/>
      <c r="T318" s="245"/>
      <c r="U318" s="246"/>
      <c r="W318" s="208" t="s">
        <v>158</v>
      </c>
      <c r="X318" s="217">
        <f>_xlfn.XLOOKUP(W318,マスタ!A:A,マスタ!C:C,0)*M318</f>
        <v>1.98</v>
      </c>
      <c r="Y318" s="218">
        <f>IF(N318="",0,_xlfn.XLOOKUP(W318,マスタ!A:A,マスタ!D:D,0)*M318)</f>
        <v>0</v>
      </c>
      <c r="Z318" s="219">
        <f>_xlfn.XLOOKUP(W318,マスタ!A:A,マスタ!E:E,0)*M318</f>
        <v>2.33</v>
      </c>
      <c r="AA318" s="219">
        <f>_xlfn.XLOOKUP(W318,マスタ!A:A,マスタ!F:F,0)*M318</f>
        <v>2.64</v>
      </c>
      <c r="AB318" s="219">
        <f>_xlfn.XLOOKUP(W318,マスタ!A:A,マスタ!G:G,0)*M318</f>
        <v>0.77</v>
      </c>
      <c r="AC318" s="220">
        <f>_xlfn.XLOOKUP(W318,マスタ!A:A,マスタ!H:H,0)*M318</f>
        <v>0.77</v>
      </c>
      <c r="AD318" s="227">
        <f>SUM(X318:AC318)</f>
        <v>8.49</v>
      </c>
    </row>
    <row r="319" spans="1:30" ht="15" customHeight="1">
      <c r="A319" s="145"/>
      <c r="B319" s="490"/>
      <c r="C319" s="498" t="s">
        <v>375</v>
      </c>
      <c r="D319" s="489"/>
      <c r="E319" s="169"/>
      <c r="F319" s="169"/>
      <c r="G319" s="169"/>
      <c r="H319" s="175"/>
      <c r="I319" s="436" t="s">
        <v>58</v>
      </c>
      <c r="J319" s="515"/>
      <c r="K319" s="437" t="s">
        <v>58</v>
      </c>
      <c r="L319" s="437" t="s">
        <v>58</v>
      </c>
      <c r="M319" s="438">
        <v>1</v>
      </c>
      <c r="N319" s="183"/>
      <c r="O319" s="184"/>
      <c r="P319" s="183"/>
      <c r="Q319" s="184"/>
      <c r="R319" s="183"/>
      <c r="S319" s="184"/>
      <c r="T319" s="183"/>
      <c r="U319" s="184"/>
      <c r="W319" s="208" t="s">
        <v>158</v>
      </c>
      <c r="X319" s="217">
        <f>_xlfn.XLOOKUP(W319,マスタ!A:A,マスタ!C:C,0)*M319</f>
        <v>1.98</v>
      </c>
      <c r="Y319" s="218">
        <f>IF(N319="",0,_xlfn.XLOOKUP(W319,マスタ!A:A,マスタ!D:D,0)*M319)</f>
        <v>0</v>
      </c>
      <c r="Z319" s="219">
        <f>_xlfn.XLOOKUP(W319,マスタ!A:A,マスタ!E:E,0)*M319</f>
        <v>2.33</v>
      </c>
      <c r="AA319" s="219">
        <f>_xlfn.XLOOKUP(W319,マスタ!A:A,マスタ!F:F,0)*M319</f>
        <v>2.64</v>
      </c>
      <c r="AB319" s="219">
        <f>_xlfn.XLOOKUP(W319,マスタ!A:A,マスタ!G:G,0)*M319</f>
        <v>0.77</v>
      </c>
      <c r="AC319" s="220">
        <f>_xlfn.XLOOKUP(W319,マスタ!A:A,マスタ!H:H,0)*M319</f>
        <v>0.77</v>
      </c>
      <c r="AD319" s="227">
        <f>SUM(X319:AC319)</f>
        <v>8.49</v>
      </c>
    </row>
    <row r="320" spans="1:30" ht="15" customHeight="1">
      <c r="A320" s="145"/>
      <c r="B320" s="496" t="s">
        <v>376</v>
      </c>
      <c r="C320" s="499"/>
      <c r="D320" s="497"/>
      <c r="E320" s="497"/>
      <c r="F320" s="497"/>
      <c r="G320" s="500"/>
      <c r="H320" s="501"/>
      <c r="I320" s="502"/>
      <c r="J320" s="502"/>
      <c r="K320" s="502"/>
      <c r="L320" s="502"/>
      <c r="M320" s="502"/>
      <c r="N320" s="503"/>
      <c r="O320" s="503"/>
      <c r="P320" s="503"/>
      <c r="Q320" s="503"/>
      <c r="R320" s="503"/>
      <c r="S320" s="503"/>
      <c r="T320" s="503"/>
      <c r="U320" s="504"/>
      <c r="W320" s="208" t="s">
        <v>158</v>
      </c>
      <c r="X320" s="217">
        <f>_xlfn.XLOOKUP(W320,マスタ!A:A,マスタ!C:C,0)*M320</f>
        <v>0</v>
      </c>
      <c r="Y320" s="218">
        <f>IF(N320="",0,_xlfn.XLOOKUP(W320,マスタ!A:A,マスタ!D:D,0)*M320)</f>
        <v>0</v>
      </c>
      <c r="Z320" s="219">
        <f>_xlfn.XLOOKUP(W320,マスタ!A:A,マスタ!E:E,0)*M320</f>
        <v>0</v>
      </c>
      <c r="AA320" s="219">
        <f>_xlfn.XLOOKUP(W320,マスタ!A:A,マスタ!F:F,0)*M320</f>
        <v>0</v>
      </c>
      <c r="AB320" s="219">
        <f>_xlfn.XLOOKUP(W320,マスタ!A:A,マスタ!G:G,0)*M320</f>
        <v>0</v>
      </c>
      <c r="AC320" s="220">
        <f>_xlfn.XLOOKUP(W320,マスタ!A:A,マスタ!H:H,0)*M320</f>
        <v>0</v>
      </c>
      <c r="AD320" s="227">
        <f t="shared" si="17"/>
        <v>0</v>
      </c>
    </row>
    <row r="321" spans="1:30" ht="15" customHeight="1">
      <c r="A321" s="145"/>
      <c r="B321" s="162"/>
      <c r="C321" s="160" t="s">
        <v>377</v>
      </c>
      <c r="D321" s="161"/>
      <c r="E321" s="161"/>
      <c r="F321" s="161"/>
      <c r="G321" s="297"/>
      <c r="H321" s="272" t="s">
        <v>378</v>
      </c>
      <c r="I321" s="431" t="s">
        <v>58</v>
      </c>
      <c r="J321" s="431"/>
      <c r="K321" s="431" t="s">
        <v>58</v>
      </c>
      <c r="L321" s="431" t="s">
        <v>58</v>
      </c>
      <c r="M321" s="431">
        <v>1</v>
      </c>
      <c r="N321" s="273" t="s">
        <v>379</v>
      </c>
      <c r="O321" s="273" t="s">
        <v>380</v>
      </c>
      <c r="P321" s="273"/>
      <c r="Q321" s="273"/>
      <c r="R321" s="273"/>
      <c r="S321" s="273"/>
      <c r="T321" s="273"/>
      <c r="U321" s="180"/>
      <c r="W321" s="208" t="s">
        <v>158</v>
      </c>
      <c r="X321" s="217">
        <f>_xlfn.XLOOKUP(W321,マスタ!A:A,マスタ!C:C,0)*M321</f>
        <v>1.98</v>
      </c>
      <c r="Y321" s="218">
        <f>IF(N321="",0,_xlfn.XLOOKUP(W321,マスタ!A:A,マスタ!D:D,0)*M321)</f>
        <v>0.57999999999999996</v>
      </c>
      <c r="Z321" s="219">
        <f>_xlfn.XLOOKUP(W321,マスタ!A:A,マスタ!E:E,0)*M321</f>
        <v>2.33</v>
      </c>
      <c r="AA321" s="219">
        <f>_xlfn.XLOOKUP(W321,マスタ!A:A,マスタ!F:F,0)*M321</f>
        <v>2.64</v>
      </c>
      <c r="AB321" s="219">
        <f>_xlfn.XLOOKUP(W321,マスタ!A:A,マスタ!G:G,0)*M321</f>
        <v>0.77</v>
      </c>
      <c r="AC321" s="220">
        <f>_xlfn.XLOOKUP(W321,マスタ!A:A,マスタ!H:H,0)*M321</f>
        <v>0.77</v>
      </c>
      <c r="AD321" s="227">
        <f t="shared" si="17"/>
        <v>9.07</v>
      </c>
    </row>
    <row r="322" spans="1:30" ht="15" customHeight="1">
      <c r="A322" s="145"/>
      <c r="B322" s="162"/>
      <c r="C322" s="162"/>
      <c r="D322" s="155"/>
      <c r="E322" s="155"/>
      <c r="F322" s="155"/>
      <c r="G322" s="373"/>
      <c r="H322" s="280" t="s">
        <v>381</v>
      </c>
      <c r="I322" s="434" t="s">
        <v>58</v>
      </c>
      <c r="J322" s="434"/>
      <c r="K322" s="434" t="s">
        <v>58</v>
      </c>
      <c r="L322" s="434" t="s">
        <v>58</v>
      </c>
      <c r="M322" s="434">
        <v>1</v>
      </c>
      <c r="N322" s="276"/>
      <c r="O322" s="276"/>
      <c r="P322" s="276"/>
      <c r="Q322" s="276"/>
      <c r="R322" s="276"/>
      <c r="S322" s="276"/>
      <c r="T322" s="276"/>
      <c r="U322" s="182"/>
      <c r="W322" s="208" t="s">
        <v>158</v>
      </c>
      <c r="X322" s="217">
        <f>_xlfn.XLOOKUP(W322,マスタ!A:A,マスタ!C:C,0)*M322</f>
        <v>1.98</v>
      </c>
      <c r="Y322" s="218">
        <f>IF(N322="",0,_xlfn.XLOOKUP(W322,マスタ!A:A,マスタ!D:D,0)*M322)</f>
        <v>0</v>
      </c>
      <c r="Z322" s="219">
        <f>_xlfn.XLOOKUP(W322,マスタ!A:A,マスタ!E:E,0)*M322</f>
        <v>2.33</v>
      </c>
      <c r="AA322" s="219">
        <f>_xlfn.XLOOKUP(W322,マスタ!A:A,マスタ!F:F,0)*M322</f>
        <v>2.64</v>
      </c>
      <c r="AB322" s="219">
        <f>_xlfn.XLOOKUP(W322,マスタ!A:A,マスタ!G:G,0)*M322</f>
        <v>0.77</v>
      </c>
      <c r="AC322" s="220">
        <f>_xlfn.XLOOKUP(W322,マスタ!A:A,マスタ!H:H,0)*M322</f>
        <v>0.77</v>
      </c>
      <c r="AD322" s="227">
        <f t="shared" si="17"/>
        <v>8.49</v>
      </c>
    </row>
    <row r="323" spans="1:30" ht="15" customHeight="1">
      <c r="A323" s="145"/>
      <c r="B323" s="162"/>
      <c r="C323" s="162"/>
      <c r="D323" s="155"/>
      <c r="E323" s="155"/>
      <c r="F323" s="155"/>
      <c r="G323" s="373"/>
      <c r="H323" s="281" t="s">
        <v>382</v>
      </c>
      <c r="I323" s="440" t="s">
        <v>58</v>
      </c>
      <c r="J323" s="440"/>
      <c r="K323" s="440" t="s">
        <v>58</v>
      </c>
      <c r="L323" s="440" t="s">
        <v>58</v>
      </c>
      <c r="M323" s="440">
        <v>1</v>
      </c>
      <c r="N323" s="397"/>
      <c r="O323" s="397"/>
      <c r="P323" s="397"/>
      <c r="Q323" s="397"/>
      <c r="R323" s="397"/>
      <c r="S323" s="397"/>
      <c r="T323" s="397"/>
      <c r="U323" s="186"/>
      <c r="W323" s="208" t="s">
        <v>158</v>
      </c>
      <c r="X323" s="217">
        <f>_xlfn.XLOOKUP(W323,マスタ!A:A,マスタ!C:C,0)*M323</f>
        <v>1.98</v>
      </c>
      <c r="Y323" s="218">
        <f>IF(N323="",0,_xlfn.XLOOKUP(W323,マスタ!A:A,マスタ!D:D,0)*M323)</f>
        <v>0</v>
      </c>
      <c r="Z323" s="219">
        <f>_xlfn.XLOOKUP(W323,マスタ!A:A,マスタ!E:E,0)*M323</f>
        <v>2.33</v>
      </c>
      <c r="AA323" s="219">
        <f>_xlfn.XLOOKUP(W323,マスタ!A:A,マスタ!F:F,0)*M323</f>
        <v>2.64</v>
      </c>
      <c r="AB323" s="219">
        <f>_xlfn.XLOOKUP(W323,マスタ!A:A,マスタ!G:G,0)*M323</f>
        <v>0.77</v>
      </c>
      <c r="AC323" s="220">
        <f>_xlfn.XLOOKUP(W323,マスタ!A:A,マスタ!H:H,0)*M323</f>
        <v>0.77</v>
      </c>
      <c r="AD323" s="227">
        <f t="shared" si="17"/>
        <v>8.49</v>
      </c>
    </row>
    <row r="324" spans="1:30" ht="15" customHeight="1">
      <c r="A324" s="145"/>
      <c r="B324" s="162"/>
      <c r="C324" s="242" t="s">
        <v>383</v>
      </c>
      <c r="D324" s="243"/>
      <c r="E324" s="243"/>
      <c r="F324" s="243"/>
      <c r="G324" s="299"/>
      <c r="H324" s="310"/>
      <c r="I324" s="455" t="s">
        <v>58</v>
      </c>
      <c r="J324" s="455"/>
      <c r="K324" s="455" t="s">
        <v>58</v>
      </c>
      <c r="L324" s="455" t="s">
        <v>58</v>
      </c>
      <c r="M324" s="455">
        <v>1</v>
      </c>
      <c r="N324" s="314" t="s">
        <v>384</v>
      </c>
      <c r="O324" s="314" t="s">
        <v>385</v>
      </c>
      <c r="P324" s="314"/>
      <c r="Q324" s="314"/>
      <c r="R324" s="314"/>
      <c r="S324" s="314"/>
      <c r="T324" s="314"/>
      <c r="U324" s="246"/>
      <c r="W324" s="208" t="s">
        <v>158</v>
      </c>
      <c r="X324" s="217">
        <f>_xlfn.XLOOKUP(W324,マスタ!A:A,マスタ!C:C,0)*M324</f>
        <v>1.98</v>
      </c>
      <c r="Y324" s="218">
        <f>IF(N324="",0,_xlfn.XLOOKUP(W324,マスタ!A:A,マスタ!D:D,0)*M324)</f>
        <v>0.57999999999999996</v>
      </c>
      <c r="Z324" s="219">
        <f>_xlfn.XLOOKUP(W324,マスタ!A:A,マスタ!E:E,0)*M324</f>
        <v>2.33</v>
      </c>
      <c r="AA324" s="219">
        <f>_xlfn.XLOOKUP(W324,マスタ!A:A,マスタ!F:F,0)*M324</f>
        <v>2.64</v>
      </c>
      <c r="AB324" s="219">
        <f>_xlfn.XLOOKUP(W324,マスタ!A:A,マスタ!G:G,0)*M324</f>
        <v>0.77</v>
      </c>
      <c r="AC324" s="220">
        <f>_xlfn.XLOOKUP(W324,マスタ!A:A,マスタ!H:H,0)*M324</f>
        <v>0.77</v>
      </c>
      <c r="AD324" s="227">
        <f t="shared" si="17"/>
        <v>9.07</v>
      </c>
    </row>
    <row r="325" spans="1:30" ht="15" customHeight="1">
      <c r="A325" s="145"/>
      <c r="B325" s="198" t="s">
        <v>386</v>
      </c>
      <c r="C325" s="199"/>
      <c r="D325" s="199"/>
      <c r="E325" s="199"/>
      <c r="F325" s="199"/>
      <c r="G325" s="199"/>
      <c r="H325" s="199"/>
      <c r="I325" s="477"/>
      <c r="J325" s="477"/>
      <c r="K325" s="477"/>
      <c r="L325" s="477"/>
      <c r="M325" s="477"/>
      <c r="N325" s="376"/>
      <c r="O325" s="376"/>
      <c r="P325" s="376"/>
      <c r="Q325" s="376"/>
      <c r="R325" s="376"/>
      <c r="S325" s="376"/>
      <c r="T325" s="376"/>
      <c r="U325" s="377"/>
      <c r="W325" s="208" t="s">
        <v>158</v>
      </c>
      <c r="X325" s="217">
        <f>_xlfn.XLOOKUP(W325,マスタ!A:A,マスタ!C:C,0)*M325</f>
        <v>0</v>
      </c>
      <c r="Y325" s="218">
        <f>IF(N325="",0,_xlfn.XLOOKUP(W325,マスタ!A:A,マスタ!D:D,0)*M325)</f>
        <v>0</v>
      </c>
      <c r="Z325" s="219">
        <f>_xlfn.XLOOKUP(W325,マスタ!A:A,マスタ!E:E,0)*M325</f>
        <v>0</v>
      </c>
      <c r="AA325" s="219">
        <f>_xlfn.XLOOKUP(W325,マスタ!A:A,マスタ!F:F,0)*M325</f>
        <v>0</v>
      </c>
      <c r="AB325" s="219">
        <f>_xlfn.XLOOKUP(W325,マスタ!A:A,マスタ!G:G,0)*M325</f>
        <v>0</v>
      </c>
      <c r="AC325" s="220">
        <f>_xlfn.XLOOKUP(W325,マスタ!A:A,マスタ!H:H,0)*M325</f>
        <v>0</v>
      </c>
      <c r="AD325" s="227">
        <f t="shared" si="17"/>
        <v>0</v>
      </c>
    </row>
    <row r="326" spans="1:30" ht="85.5">
      <c r="A326" s="145"/>
      <c r="B326" s="317"/>
      <c r="C326" s="505" t="s">
        <v>387</v>
      </c>
      <c r="D326" s="328"/>
      <c r="E326" s="164"/>
      <c r="F326" s="164"/>
      <c r="G326" s="234"/>
      <c r="H326" s="291" t="s">
        <v>388</v>
      </c>
      <c r="I326" s="430" t="s">
        <v>74</v>
      </c>
      <c r="J326" s="513"/>
      <c r="K326" s="431" t="s">
        <v>58</v>
      </c>
      <c r="L326" s="431" t="s">
        <v>58</v>
      </c>
      <c r="M326" s="432">
        <v>1</v>
      </c>
      <c r="N326" s="532" t="s">
        <v>387</v>
      </c>
      <c r="O326" s="180" t="s">
        <v>389</v>
      </c>
      <c r="P326" s="179"/>
      <c r="Q326" s="180"/>
      <c r="R326" s="179"/>
      <c r="S326" s="180"/>
      <c r="T326" s="179"/>
      <c r="U326" s="180"/>
      <c r="W326" s="208" t="s">
        <v>158</v>
      </c>
      <c r="X326" s="217">
        <f>_xlfn.XLOOKUP(W326,マスタ!A:A,マスタ!C:C,0)*M326</f>
        <v>1.98</v>
      </c>
      <c r="Y326" s="218">
        <f>IF(N326="",0,_xlfn.XLOOKUP(W326,マスタ!A:A,マスタ!D:D,0)*M326)</f>
        <v>0.57999999999999996</v>
      </c>
      <c r="Z326" s="219">
        <f>_xlfn.XLOOKUP(W326,マスタ!A:A,マスタ!E:E,0)*M326</f>
        <v>2.33</v>
      </c>
      <c r="AA326" s="219">
        <f>_xlfn.XLOOKUP(W326,マスタ!A:A,マスタ!F:F,0)*M326</f>
        <v>2.64</v>
      </c>
      <c r="AB326" s="219">
        <f>_xlfn.XLOOKUP(W326,マスタ!A:A,マスタ!G:G,0)*M326</f>
        <v>0.77</v>
      </c>
      <c r="AC326" s="220">
        <f>_xlfn.XLOOKUP(W326,マスタ!A:A,マスタ!H:H,0)*M326</f>
        <v>0.77</v>
      </c>
      <c r="AD326" s="227">
        <f t="shared" si="17"/>
        <v>9.07</v>
      </c>
    </row>
    <row r="327" spans="1:30" ht="85.5">
      <c r="A327" s="145"/>
      <c r="B327" s="317"/>
      <c r="C327" s="487" t="s">
        <v>390</v>
      </c>
      <c r="D327" s="488"/>
      <c r="E327" s="166"/>
      <c r="F327" s="166"/>
      <c r="G327" s="275"/>
      <c r="H327" s="492" t="s">
        <v>391</v>
      </c>
      <c r="I327" s="433" t="s">
        <v>74</v>
      </c>
      <c r="J327" s="514"/>
      <c r="K327" s="434" t="s">
        <v>58</v>
      </c>
      <c r="L327" s="434" t="s">
        <v>58</v>
      </c>
      <c r="M327" s="435">
        <v>1</v>
      </c>
      <c r="N327" s="532" t="s">
        <v>387</v>
      </c>
      <c r="O327" s="182" t="s">
        <v>392</v>
      </c>
      <c r="P327" s="181"/>
      <c r="Q327" s="182"/>
      <c r="R327" s="181"/>
      <c r="S327" s="182"/>
      <c r="T327" s="181"/>
      <c r="U327" s="182"/>
      <c r="W327" s="208" t="s">
        <v>158</v>
      </c>
      <c r="X327" s="217">
        <f>_xlfn.XLOOKUP(W327,マスタ!A:A,マスタ!C:C,0)*M327</f>
        <v>1.98</v>
      </c>
      <c r="Y327" s="218">
        <f>IF(N327="",0,_xlfn.XLOOKUP(W327,マスタ!A:A,マスタ!D:D,0)*M327)</f>
        <v>0.57999999999999996</v>
      </c>
      <c r="Z327" s="219">
        <f>_xlfn.XLOOKUP(W327,マスタ!A:A,マスタ!E:E,0)*M327</f>
        <v>2.33</v>
      </c>
      <c r="AA327" s="219">
        <f>_xlfn.XLOOKUP(W327,マスタ!A:A,マスタ!F:F,0)*M327</f>
        <v>2.64</v>
      </c>
      <c r="AB327" s="219">
        <f>_xlfn.XLOOKUP(W327,マスタ!A:A,マスタ!G:G,0)*M327</f>
        <v>0.77</v>
      </c>
      <c r="AC327" s="220">
        <f>_xlfn.XLOOKUP(W327,マスタ!A:A,マスタ!H:H,0)*M327</f>
        <v>0.77</v>
      </c>
      <c r="AD327" s="227">
        <f t="shared" si="17"/>
        <v>9.07</v>
      </c>
    </row>
    <row r="328" spans="1:30" ht="15" customHeight="1">
      <c r="A328" s="145"/>
      <c r="B328" s="162"/>
      <c r="C328" s="165" t="s">
        <v>181</v>
      </c>
      <c r="D328" s="166"/>
      <c r="E328" s="166"/>
      <c r="F328" s="166"/>
      <c r="G328" s="275"/>
      <c r="H328" s="174" t="s">
        <v>393</v>
      </c>
      <c r="I328" s="433" t="s">
        <v>58</v>
      </c>
      <c r="J328" s="514"/>
      <c r="K328" s="434" t="s">
        <v>58</v>
      </c>
      <c r="L328" s="434" t="s">
        <v>58</v>
      </c>
      <c r="M328" s="435">
        <v>1</v>
      </c>
      <c r="N328" s="181"/>
      <c r="O328" s="182"/>
      <c r="P328" s="181"/>
      <c r="Q328" s="182"/>
      <c r="R328" s="181"/>
      <c r="S328" s="182"/>
      <c r="T328" s="181"/>
      <c r="U328" s="182"/>
      <c r="W328" s="208" t="s">
        <v>158</v>
      </c>
      <c r="X328" s="217">
        <f>_xlfn.XLOOKUP(W328,マスタ!A:A,マスタ!C:C,0)*M328</f>
        <v>1.98</v>
      </c>
      <c r="Y328" s="218">
        <f>IF(N328="",0,_xlfn.XLOOKUP(W328,マスタ!A:A,マスタ!D:D,0)*M328)</f>
        <v>0</v>
      </c>
      <c r="Z328" s="219">
        <f>_xlfn.XLOOKUP(W328,マスタ!A:A,マスタ!E:E,0)*M328</f>
        <v>2.33</v>
      </c>
      <c r="AA328" s="219">
        <f>_xlfn.XLOOKUP(W328,マスタ!A:A,マスタ!F:F,0)*M328</f>
        <v>2.64</v>
      </c>
      <c r="AB328" s="219">
        <f>_xlfn.XLOOKUP(W328,マスタ!A:A,マスタ!G:G,0)*M328</f>
        <v>0.77</v>
      </c>
      <c r="AC328" s="220">
        <f>_xlfn.XLOOKUP(W328,マスタ!A:A,マスタ!H:H,0)*M328</f>
        <v>0.77</v>
      </c>
      <c r="AD328" s="227">
        <f>SUM(X328:AC328)</f>
        <v>8.49</v>
      </c>
    </row>
    <row r="329" spans="1:30" ht="15" customHeight="1">
      <c r="A329" s="145"/>
      <c r="B329" s="162"/>
      <c r="C329" s="165" t="s">
        <v>394</v>
      </c>
      <c r="D329" s="166"/>
      <c r="E329" s="166"/>
      <c r="F329" s="166"/>
      <c r="G329" s="275"/>
      <c r="H329" s="174" t="s">
        <v>395</v>
      </c>
      <c r="I329" s="433" t="s">
        <v>58</v>
      </c>
      <c r="J329" s="514"/>
      <c r="K329" s="434" t="s">
        <v>58</v>
      </c>
      <c r="L329" s="434" t="s">
        <v>58</v>
      </c>
      <c r="M329" s="435">
        <v>1</v>
      </c>
      <c r="N329" s="181"/>
      <c r="O329" s="182"/>
      <c r="P329" s="181"/>
      <c r="Q329" s="182"/>
      <c r="R329" s="181"/>
      <c r="S329" s="182"/>
      <c r="T329" s="181"/>
      <c r="U329" s="182"/>
      <c r="W329" s="208" t="s">
        <v>158</v>
      </c>
      <c r="X329" s="217">
        <f>_xlfn.XLOOKUP(W329,マスタ!A:A,マスタ!C:C,0)*M329</f>
        <v>1.98</v>
      </c>
      <c r="Y329" s="218">
        <f>IF(N329="",0,_xlfn.XLOOKUP(W329,マスタ!A:A,マスタ!D:D,0)*M329)</f>
        <v>0</v>
      </c>
      <c r="Z329" s="219">
        <f>_xlfn.XLOOKUP(W329,マスタ!A:A,マスタ!E:E,0)*M329</f>
        <v>2.33</v>
      </c>
      <c r="AA329" s="219">
        <f>_xlfn.XLOOKUP(W329,マスタ!A:A,マスタ!F:F,0)*M329</f>
        <v>2.64</v>
      </c>
      <c r="AB329" s="219">
        <f>_xlfn.XLOOKUP(W329,マスタ!A:A,マスタ!G:G,0)*M329</f>
        <v>0.77</v>
      </c>
      <c r="AC329" s="220">
        <f>_xlfn.XLOOKUP(W329,マスタ!A:A,マスタ!H:H,0)*M329</f>
        <v>0.77</v>
      </c>
      <c r="AD329" s="227">
        <f>SUM(X329:AC329)</f>
        <v>8.49</v>
      </c>
    </row>
    <row r="330" spans="1:30" ht="15" customHeight="1">
      <c r="A330" s="145"/>
      <c r="B330" s="162"/>
      <c r="C330" s="165" t="s">
        <v>396</v>
      </c>
      <c r="D330" s="166"/>
      <c r="E330" s="166"/>
      <c r="F330" s="166"/>
      <c r="G330" s="275"/>
      <c r="H330" s="174" t="s">
        <v>397</v>
      </c>
      <c r="I330" s="433" t="s">
        <v>58</v>
      </c>
      <c r="J330" s="514"/>
      <c r="K330" s="434" t="s">
        <v>58</v>
      </c>
      <c r="L330" s="434" t="s">
        <v>58</v>
      </c>
      <c r="M330" s="435">
        <v>1</v>
      </c>
      <c r="N330" s="181"/>
      <c r="O330" s="182"/>
      <c r="P330" s="181"/>
      <c r="Q330" s="182"/>
      <c r="R330" s="181"/>
      <c r="S330" s="182"/>
      <c r="T330" s="181"/>
      <c r="U330" s="182"/>
      <c r="W330" s="208" t="s">
        <v>158</v>
      </c>
      <c r="X330" s="217">
        <f>_xlfn.XLOOKUP(W330,マスタ!A:A,マスタ!C:C,0)*M330</f>
        <v>1.98</v>
      </c>
      <c r="Y330" s="218">
        <f>IF(N330="",0,_xlfn.XLOOKUP(W330,マスタ!A:A,マスタ!D:D,0)*M330)</f>
        <v>0</v>
      </c>
      <c r="Z330" s="219">
        <f>_xlfn.XLOOKUP(W330,マスタ!A:A,マスタ!E:E,0)*M330</f>
        <v>2.33</v>
      </c>
      <c r="AA330" s="219">
        <f>_xlfn.XLOOKUP(W330,マスタ!A:A,マスタ!F:F,0)*M330</f>
        <v>2.64</v>
      </c>
      <c r="AB330" s="219">
        <f>_xlfn.XLOOKUP(W330,マスタ!A:A,マスタ!G:G,0)*M330</f>
        <v>0.77</v>
      </c>
      <c r="AC330" s="220">
        <f>_xlfn.XLOOKUP(W330,マスタ!A:A,マスタ!H:H,0)*M330</f>
        <v>0.77</v>
      </c>
      <c r="AD330" s="227">
        <f>SUM(X330:AC330)</f>
        <v>8.49</v>
      </c>
    </row>
    <row r="331" spans="1:30" ht="99.75">
      <c r="A331" s="145"/>
      <c r="B331" s="317"/>
      <c r="C331" s="487" t="s">
        <v>398</v>
      </c>
      <c r="D331" s="488"/>
      <c r="E331" s="166"/>
      <c r="F331" s="166"/>
      <c r="G331" s="275"/>
      <c r="H331" s="492" t="s">
        <v>399</v>
      </c>
      <c r="I331" s="433" t="s">
        <v>58</v>
      </c>
      <c r="J331" s="514"/>
      <c r="K331" s="434" t="s">
        <v>58</v>
      </c>
      <c r="L331" s="434" t="s">
        <v>58</v>
      </c>
      <c r="M331" s="435">
        <v>1</v>
      </c>
      <c r="N331" s="533" t="s">
        <v>398</v>
      </c>
      <c r="O331" s="182" t="s">
        <v>400</v>
      </c>
      <c r="P331" s="181"/>
      <c r="Q331" s="182"/>
      <c r="R331" s="181"/>
      <c r="S331" s="182"/>
      <c r="T331" s="181"/>
      <c r="U331" s="182"/>
      <c r="W331" s="208" t="s">
        <v>158</v>
      </c>
      <c r="X331" s="217">
        <f>_xlfn.XLOOKUP(W331,マスタ!A:A,マスタ!C:C,0)*M331</f>
        <v>1.98</v>
      </c>
      <c r="Y331" s="218">
        <f>IF(N331="",0,_xlfn.XLOOKUP(W331,マスタ!A:A,マスタ!D:D,0)*M331)</f>
        <v>0.57999999999999996</v>
      </c>
      <c r="Z331" s="219">
        <f>_xlfn.XLOOKUP(W331,マスタ!A:A,マスタ!E:E,0)*M331</f>
        <v>2.33</v>
      </c>
      <c r="AA331" s="219">
        <f>_xlfn.XLOOKUP(W331,マスタ!A:A,マスタ!F:F,0)*M331</f>
        <v>2.64</v>
      </c>
      <c r="AB331" s="219">
        <f>_xlfn.XLOOKUP(W331,マスタ!A:A,マスタ!G:G,0)*M331</f>
        <v>0.77</v>
      </c>
      <c r="AC331" s="220">
        <f>_xlfn.XLOOKUP(W331,マスタ!A:A,マスタ!H:H,0)*M331</f>
        <v>0.77</v>
      </c>
      <c r="AD331" s="227">
        <f t="shared" si="17"/>
        <v>9.07</v>
      </c>
    </row>
    <row r="332" spans="1:30" ht="99.75">
      <c r="A332" s="145"/>
      <c r="B332" s="317"/>
      <c r="C332" s="487" t="s">
        <v>401</v>
      </c>
      <c r="D332" s="488"/>
      <c r="E332" s="166"/>
      <c r="F332" s="166"/>
      <c r="G332" s="275"/>
      <c r="H332" s="492" t="s">
        <v>402</v>
      </c>
      <c r="I332" s="433" t="s">
        <v>58</v>
      </c>
      <c r="J332" s="514"/>
      <c r="K332" s="434" t="s">
        <v>58</v>
      </c>
      <c r="L332" s="434" t="s">
        <v>58</v>
      </c>
      <c r="M332" s="435">
        <v>1</v>
      </c>
      <c r="N332" s="181" t="s">
        <v>403</v>
      </c>
      <c r="O332" s="182" t="s">
        <v>195</v>
      </c>
      <c r="P332" s="181"/>
      <c r="Q332" s="182"/>
      <c r="R332" s="181"/>
      <c r="S332" s="182"/>
      <c r="T332" s="181"/>
      <c r="U332" s="182"/>
      <c r="W332" s="208" t="s">
        <v>158</v>
      </c>
      <c r="X332" s="217">
        <f>_xlfn.XLOOKUP(W332,マスタ!A:A,マスタ!C:C,0)*M332</f>
        <v>1.98</v>
      </c>
      <c r="Y332" s="218">
        <f>IF(N332="",0,_xlfn.XLOOKUP(W332,マスタ!A:A,マスタ!D:D,0)*M332)</f>
        <v>0.57999999999999996</v>
      </c>
      <c r="Z332" s="219">
        <f>_xlfn.XLOOKUP(W332,マスタ!A:A,マスタ!E:E,0)*M332</f>
        <v>2.33</v>
      </c>
      <c r="AA332" s="219">
        <f>_xlfn.XLOOKUP(W332,マスタ!A:A,マスタ!F:F,0)*M332</f>
        <v>2.64</v>
      </c>
      <c r="AB332" s="219">
        <f>_xlfn.XLOOKUP(W332,マスタ!A:A,マスタ!G:G,0)*M332</f>
        <v>0.77</v>
      </c>
      <c r="AC332" s="220">
        <f>_xlfn.XLOOKUP(W332,マスタ!A:A,マスタ!H:H,0)*M332</f>
        <v>0.77</v>
      </c>
      <c r="AD332" s="227">
        <f>SUM(X332:AC332)</f>
        <v>9.07</v>
      </c>
    </row>
    <row r="333" spans="1:30" ht="15" customHeight="1">
      <c r="A333" s="145"/>
      <c r="B333" s="317"/>
      <c r="C333" s="487" t="s">
        <v>404</v>
      </c>
      <c r="D333" s="488"/>
      <c r="E333" s="166"/>
      <c r="F333" s="166"/>
      <c r="G333" s="275"/>
      <c r="H333" s="174"/>
      <c r="I333" s="433" t="s">
        <v>58</v>
      </c>
      <c r="J333" s="514"/>
      <c r="K333" s="434" t="s">
        <v>58</v>
      </c>
      <c r="L333" s="434" t="s">
        <v>58</v>
      </c>
      <c r="M333" s="435">
        <v>1</v>
      </c>
      <c r="N333" s="487" t="s">
        <v>404</v>
      </c>
      <c r="O333" s="182" t="s">
        <v>405</v>
      </c>
      <c r="P333" s="181"/>
      <c r="Q333" s="182"/>
      <c r="R333" s="181"/>
      <c r="S333" s="182"/>
      <c r="T333" s="181"/>
      <c r="U333" s="182"/>
      <c r="W333" s="208" t="s">
        <v>158</v>
      </c>
      <c r="X333" s="217">
        <f>_xlfn.XLOOKUP(W333,マスタ!A:A,マスタ!C:C,0)*M333</f>
        <v>1.98</v>
      </c>
      <c r="Y333" s="218">
        <f>IF(N333="",0,_xlfn.XLOOKUP(W333,マスタ!A:A,マスタ!D:D,0)*M333)</f>
        <v>0.57999999999999996</v>
      </c>
      <c r="Z333" s="219">
        <f>_xlfn.XLOOKUP(W333,マスタ!A:A,マスタ!E:E,0)*M333</f>
        <v>2.33</v>
      </c>
      <c r="AA333" s="219">
        <f>_xlfn.XLOOKUP(W333,マスタ!A:A,マスタ!F:F,0)*M333</f>
        <v>2.64</v>
      </c>
      <c r="AB333" s="219">
        <f>_xlfn.XLOOKUP(W333,マスタ!A:A,マスタ!G:G,0)*M333</f>
        <v>0.77</v>
      </c>
      <c r="AC333" s="220">
        <f>_xlfn.XLOOKUP(W333,マスタ!A:A,マスタ!H:H,0)*M333</f>
        <v>0.77</v>
      </c>
      <c r="AD333" s="227">
        <f>SUM(X333:AC333)</f>
        <v>9.07</v>
      </c>
    </row>
    <row r="334" spans="1:30" ht="15" customHeight="1">
      <c r="A334" s="145"/>
      <c r="B334" s="490"/>
      <c r="C334" s="506" t="s">
        <v>406</v>
      </c>
      <c r="D334" s="489"/>
      <c r="E334" s="169"/>
      <c r="F334" s="169"/>
      <c r="G334" s="235"/>
      <c r="H334" s="175"/>
      <c r="I334" s="436" t="s">
        <v>58</v>
      </c>
      <c r="J334" s="515"/>
      <c r="K334" s="437" t="s">
        <v>58</v>
      </c>
      <c r="L334" s="437" t="s">
        <v>58</v>
      </c>
      <c r="M334" s="438">
        <v>1</v>
      </c>
      <c r="N334" s="506" t="s">
        <v>406</v>
      </c>
      <c r="O334" s="184" t="s">
        <v>407</v>
      </c>
      <c r="P334" s="183"/>
      <c r="Q334" s="184"/>
      <c r="R334" s="183"/>
      <c r="S334" s="184"/>
      <c r="T334" s="183"/>
      <c r="U334" s="184"/>
      <c r="W334" s="208" t="s">
        <v>158</v>
      </c>
      <c r="X334" s="217">
        <f>_xlfn.XLOOKUP(W334,マスタ!A:A,マスタ!C:C,0)*M334</f>
        <v>1.98</v>
      </c>
      <c r="Y334" s="218">
        <f>IF(N334="",0,_xlfn.XLOOKUP(W334,マスタ!A:A,マスタ!D:D,0)*M334)</f>
        <v>0.57999999999999996</v>
      </c>
      <c r="Z334" s="219">
        <f>_xlfn.XLOOKUP(W334,マスタ!A:A,マスタ!E:E,0)*M334</f>
        <v>2.33</v>
      </c>
      <c r="AA334" s="219">
        <f>_xlfn.XLOOKUP(W334,マスタ!A:A,マスタ!F:F,0)*M334</f>
        <v>2.64</v>
      </c>
      <c r="AB334" s="219">
        <f>_xlfn.XLOOKUP(W334,マスタ!A:A,マスタ!G:G,0)*M334</f>
        <v>0.77</v>
      </c>
      <c r="AC334" s="220">
        <f>_xlfn.XLOOKUP(W334,マスタ!A:A,マスタ!H:H,0)*M334</f>
        <v>0.77</v>
      </c>
      <c r="AD334" s="227">
        <f>SUM(X334:AC334)</f>
        <v>9.07</v>
      </c>
    </row>
    <row r="335" spans="1:30" ht="15" customHeight="1">
      <c r="A335" s="145"/>
      <c r="B335" s="325" t="s">
        <v>408</v>
      </c>
      <c r="C335" s="493"/>
      <c r="D335" s="161"/>
      <c r="E335" s="161"/>
      <c r="F335" s="161"/>
      <c r="G335" s="297"/>
      <c r="H335" s="172" t="s">
        <v>409</v>
      </c>
      <c r="I335" s="442"/>
      <c r="J335" s="517"/>
      <c r="K335" s="443"/>
      <c r="L335" s="443"/>
      <c r="M335" s="444"/>
      <c r="N335" s="177"/>
      <c r="O335" s="178"/>
      <c r="P335" s="177"/>
      <c r="Q335" s="178"/>
      <c r="R335" s="177"/>
      <c r="S335" s="178"/>
      <c r="T335" s="177"/>
      <c r="U335" s="178"/>
      <c r="W335" s="208" t="s">
        <v>158</v>
      </c>
      <c r="X335" s="217">
        <f>_xlfn.XLOOKUP(W335,マスタ!A:A,マスタ!C:C,0)*M335</f>
        <v>0</v>
      </c>
      <c r="Y335" s="218">
        <f>IF(N335="",0,_xlfn.XLOOKUP(W335,マスタ!A:A,マスタ!D:D,0)*M335)</f>
        <v>0</v>
      </c>
      <c r="Z335" s="219">
        <f>_xlfn.XLOOKUP(W335,マスタ!A:A,マスタ!E:E,0)*M335</f>
        <v>0</v>
      </c>
      <c r="AA335" s="219">
        <f>_xlfn.XLOOKUP(W335,マスタ!A:A,マスタ!F:F,0)*M335</f>
        <v>0</v>
      </c>
      <c r="AB335" s="219">
        <f>_xlfn.XLOOKUP(W335,マスタ!A:A,マスタ!G:G,0)*M335</f>
        <v>0</v>
      </c>
      <c r="AC335" s="220">
        <f>_xlfn.XLOOKUP(W335,マスタ!A:A,マスタ!H:H,0)*M335</f>
        <v>0</v>
      </c>
      <c r="AD335" s="227">
        <f t="shared" si="17"/>
        <v>0</v>
      </c>
    </row>
    <row r="336" spans="1:30" ht="15" customHeight="1">
      <c r="A336" s="145"/>
      <c r="B336" s="162"/>
      <c r="C336" s="163" t="s">
        <v>410</v>
      </c>
      <c r="D336" s="164"/>
      <c r="E336" s="164"/>
      <c r="F336" s="164"/>
      <c r="G336" s="234"/>
      <c r="H336" s="173"/>
      <c r="I336" s="430" t="s">
        <v>58</v>
      </c>
      <c r="J336" s="513"/>
      <c r="K336" s="431" t="s">
        <v>58</v>
      </c>
      <c r="L336" s="431" t="s">
        <v>58</v>
      </c>
      <c r="M336" s="432">
        <v>1</v>
      </c>
      <c r="N336" s="179" t="s">
        <v>411</v>
      </c>
      <c r="O336" s="180" t="s">
        <v>412</v>
      </c>
      <c r="P336" s="179"/>
      <c r="Q336" s="180"/>
      <c r="R336" s="179"/>
      <c r="S336" s="180"/>
      <c r="T336" s="179"/>
      <c r="U336" s="180"/>
      <c r="W336" s="208" t="s">
        <v>158</v>
      </c>
      <c r="X336" s="217">
        <f>_xlfn.XLOOKUP(W336,マスタ!A:A,マスタ!C:C,0)*M336</f>
        <v>1.98</v>
      </c>
      <c r="Y336" s="218">
        <f>IF(N336="",0,_xlfn.XLOOKUP(W336,マスタ!A:A,マスタ!D:D,0)*M336)</f>
        <v>0.57999999999999996</v>
      </c>
      <c r="Z336" s="219">
        <f>_xlfn.XLOOKUP(W336,マスタ!A:A,マスタ!E:E,0)*M336</f>
        <v>2.33</v>
      </c>
      <c r="AA336" s="219">
        <f>_xlfn.XLOOKUP(W336,マスタ!A:A,マスタ!F:F,0)*M336</f>
        <v>2.64</v>
      </c>
      <c r="AB336" s="219">
        <f>_xlfn.XLOOKUP(W336,マスタ!A:A,マスタ!G:G,0)*M336</f>
        <v>0.77</v>
      </c>
      <c r="AC336" s="220">
        <f>_xlfn.XLOOKUP(W336,マスタ!A:A,マスタ!H:H,0)*M336</f>
        <v>0.77</v>
      </c>
      <c r="AD336" s="227">
        <f t="shared" si="17"/>
        <v>9.07</v>
      </c>
    </row>
    <row r="337" spans="1:30" ht="15" customHeight="1">
      <c r="A337" s="145"/>
      <c r="B337" s="162"/>
      <c r="C337" s="165" t="s">
        <v>413</v>
      </c>
      <c r="D337" s="166"/>
      <c r="E337" s="166"/>
      <c r="F337" s="166"/>
      <c r="G337" s="275"/>
      <c r="H337" s="174" t="s">
        <v>414</v>
      </c>
      <c r="I337" s="433" t="s">
        <v>58</v>
      </c>
      <c r="J337" s="514"/>
      <c r="K337" s="434" t="s">
        <v>58</v>
      </c>
      <c r="L337" s="434" t="s">
        <v>58</v>
      </c>
      <c r="M337" s="435">
        <v>1</v>
      </c>
      <c r="N337" s="181"/>
      <c r="O337" s="182"/>
      <c r="P337" s="181"/>
      <c r="Q337" s="182"/>
      <c r="R337" s="181"/>
      <c r="S337" s="182"/>
      <c r="T337" s="181"/>
      <c r="U337" s="182"/>
      <c r="W337" s="208" t="s">
        <v>158</v>
      </c>
      <c r="X337" s="217">
        <f>_xlfn.XLOOKUP(W337,マスタ!A:A,マスタ!C:C,0)*M337</f>
        <v>1.98</v>
      </c>
      <c r="Y337" s="218">
        <f>IF(N337="",0,_xlfn.XLOOKUP(W337,マスタ!A:A,マスタ!D:D,0)*M337)</f>
        <v>0</v>
      </c>
      <c r="Z337" s="219">
        <f>_xlfn.XLOOKUP(W337,マスタ!A:A,マスタ!E:E,0)*M337</f>
        <v>2.33</v>
      </c>
      <c r="AA337" s="219">
        <f>_xlfn.XLOOKUP(W337,マスタ!A:A,マスタ!F:F,0)*M337</f>
        <v>2.64</v>
      </c>
      <c r="AB337" s="219">
        <f>_xlfn.XLOOKUP(W337,マスタ!A:A,マスタ!G:G,0)*M337</f>
        <v>0.77</v>
      </c>
      <c r="AC337" s="220">
        <f>_xlfn.XLOOKUP(W337,マスタ!A:A,マスタ!H:H,0)*M337</f>
        <v>0.77</v>
      </c>
      <c r="AD337" s="227">
        <f t="shared" ref="AD337:AD420" si="18">SUM(X337:AC337)</f>
        <v>8.49</v>
      </c>
    </row>
    <row r="338" spans="1:30" ht="57">
      <c r="A338" s="145"/>
      <c r="B338" s="490"/>
      <c r="C338" s="498" t="s">
        <v>415</v>
      </c>
      <c r="D338" s="489"/>
      <c r="E338" s="169"/>
      <c r="F338" s="169"/>
      <c r="G338" s="169" t="str">
        <f>CLEAN(H338)</f>
        <v>システム権限を持つアカウントのみがこの機能を使用できる。・各商品の売価をScan&amp;Goサーバーに再配信してScan&amp;Goに提供する。・それぞれのScan&amp;Go店舗に適用する。・バッチを実行して売価をScan&amp;Goサーバーに配信する。</v>
      </c>
      <c r="H338" s="494" t="s">
        <v>416</v>
      </c>
      <c r="I338" s="436"/>
      <c r="J338" s="515"/>
      <c r="K338" s="437"/>
      <c r="L338" s="437"/>
      <c r="M338" s="438"/>
      <c r="N338" s="183"/>
      <c r="O338" s="184"/>
      <c r="P338" s="183"/>
      <c r="Q338" s="184"/>
      <c r="R338" s="183"/>
      <c r="S338" s="184"/>
      <c r="T338" s="183"/>
      <c r="U338" s="184"/>
      <c r="W338" s="208" t="s">
        <v>158</v>
      </c>
      <c r="X338" s="217">
        <f>_xlfn.XLOOKUP(W338,マスタ!A:A,マスタ!C:C,0)*M338</f>
        <v>0</v>
      </c>
      <c r="Y338" s="218">
        <f>IF(N338="",0,_xlfn.XLOOKUP(W338,マスタ!A:A,マスタ!D:D,0)*M338)</f>
        <v>0</v>
      </c>
      <c r="Z338" s="219">
        <f>_xlfn.XLOOKUP(W338,マスタ!A:A,マスタ!E:E,0)*M338</f>
        <v>0</v>
      </c>
      <c r="AA338" s="219">
        <f>_xlfn.XLOOKUP(W338,マスタ!A:A,マスタ!F:F,0)*M338</f>
        <v>0</v>
      </c>
      <c r="AB338" s="219">
        <f>_xlfn.XLOOKUP(W338,マスタ!A:A,マスタ!G:G,0)*M338</f>
        <v>0</v>
      </c>
      <c r="AC338" s="220">
        <f>_xlfn.XLOOKUP(W338,マスタ!A:A,マスタ!H:H,0)*M338</f>
        <v>0</v>
      </c>
      <c r="AD338" s="227">
        <f>SUM(X338:AC338)</f>
        <v>0</v>
      </c>
    </row>
    <row r="339" spans="1:30" ht="15" customHeight="1">
      <c r="A339" s="16"/>
      <c r="B339" s="148" t="s">
        <v>417</v>
      </c>
      <c r="C339" s="149"/>
      <c r="D339" s="149"/>
      <c r="E339" s="149"/>
      <c r="F339" s="149"/>
      <c r="G339" s="149"/>
      <c r="H339" s="149"/>
      <c r="I339" s="423"/>
      <c r="J339" s="423"/>
      <c r="K339" s="423"/>
      <c r="L339" s="423"/>
      <c r="M339" s="423"/>
      <c r="N339" s="144"/>
      <c r="O339" s="144"/>
      <c r="P339" s="144"/>
      <c r="Q339" s="144"/>
      <c r="R339" s="144"/>
      <c r="S339" s="144"/>
      <c r="T339" s="144"/>
      <c r="U339" s="144"/>
      <c r="W339" s="208" t="s">
        <v>158</v>
      </c>
      <c r="X339" s="217">
        <f>_xlfn.XLOOKUP(W339,マスタ!A:A,マスタ!C:C,0)*M339</f>
        <v>0</v>
      </c>
      <c r="Y339" s="218">
        <f>IF(N339="",0,_xlfn.XLOOKUP(W339,マスタ!A:A,マスタ!D:D,0)*M339)</f>
        <v>0</v>
      </c>
      <c r="Z339" s="219">
        <f>_xlfn.XLOOKUP(W339,マスタ!A:A,マスタ!E:E,0)*M339</f>
        <v>0</v>
      </c>
      <c r="AA339" s="219">
        <f>_xlfn.XLOOKUP(W339,マスタ!A:A,マスタ!F:F,0)*M339</f>
        <v>0</v>
      </c>
      <c r="AB339" s="219">
        <f>_xlfn.XLOOKUP(W339,マスタ!A:A,マスタ!G:G,0)*M339</f>
        <v>0</v>
      </c>
      <c r="AC339" s="220">
        <f>_xlfn.XLOOKUP(W339,マスタ!A:A,マスタ!H:H,0)*M339</f>
        <v>0</v>
      </c>
      <c r="AD339" s="227">
        <f t="shared" si="18"/>
        <v>0</v>
      </c>
    </row>
    <row r="340" spans="1:30" ht="15" customHeight="1">
      <c r="A340" s="145"/>
      <c r="B340" s="146" t="s">
        <v>418</v>
      </c>
      <c r="H340" s="146" t="s">
        <v>419</v>
      </c>
      <c r="I340" s="436" t="s">
        <v>58</v>
      </c>
      <c r="J340" s="515"/>
      <c r="K340" s="437" t="s">
        <v>58</v>
      </c>
      <c r="L340" s="437" t="s">
        <v>58</v>
      </c>
      <c r="M340" s="438">
        <v>1</v>
      </c>
      <c r="W340" s="208" t="s">
        <v>59</v>
      </c>
      <c r="X340" s="217">
        <f>_xlfn.XLOOKUP(W340,マスタ!A:A,マスタ!C:C,0)*M340</f>
        <v>2.98</v>
      </c>
      <c r="Y340" s="218">
        <f>IF(N340="",0,_xlfn.XLOOKUP(W340,マスタ!A:A,マスタ!D:D,0)*M340)</f>
        <v>0</v>
      </c>
      <c r="Z340" s="219">
        <f>_xlfn.XLOOKUP(W340,マスタ!A:A,マスタ!E:E,0)*M340</f>
        <v>3.5</v>
      </c>
      <c r="AA340" s="219">
        <f>_xlfn.XLOOKUP(W340,マスタ!A:A,マスタ!F:F,0)*M340</f>
        <v>3.96</v>
      </c>
      <c r="AB340" s="219">
        <f>_xlfn.XLOOKUP(W340,マスタ!A:A,マスタ!G:G,0)*M340</f>
        <v>1.1599999999999999</v>
      </c>
      <c r="AC340" s="220">
        <f>_xlfn.XLOOKUP(W340,マスタ!A:A,マスタ!H:H,0)*M340</f>
        <v>1.1599999999999999</v>
      </c>
      <c r="AD340" s="227">
        <f t="shared" si="18"/>
        <v>12.760000000000002</v>
      </c>
    </row>
    <row r="341" spans="1:30" ht="15" customHeight="1">
      <c r="A341" s="145"/>
      <c r="B341" s="146" t="s">
        <v>420</v>
      </c>
      <c r="H341" s="146" t="s">
        <v>419</v>
      </c>
      <c r="I341" s="436" t="s">
        <v>58</v>
      </c>
      <c r="J341" s="515"/>
      <c r="K341" s="437" t="s">
        <v>58</v>
      </c>
      <c r="L341" s="437" t="s">
        <v>58</v>
      </c>
      <c r="M341" s="438">
        <v>1</v>
      </c>
      <c r="W341" s="208" t="s">
        <v>59</v>
      </c>
      <c r="X341" s="217">
        <f>_xlfn.XLOOKUP(W341,マスタ!A:A,マスタ!C:C,0)*M341</f>
        <v>2.98</v>
      </c>
      <c r="Y341" s="218">
        <f>IF(N341="",0,_xlfn.XLOOKUP(W341,マスタ!A:A,マスタ!D:D,0)*M341)</f>
        <v>0</v>
      </c>
      <c r="Z341" s="219">
        <f>_xlfn.XLOOKUP(W341,マスタ!A:A,マスタ!E:E,0)*M341</f>
        <v>3.5</v>
      </c>
      <c r="AA341" s="219">
        <f>_xlfn.XLOOKUP(W341,マスタ!A:A,マスタ!F:F,0)*M341</f>
        <v>3.96</v>
      </c>
      <c r="AB341" s="219">
        <f>_xlfn.XLOOKUP(W341,マスタ!A:A,マスタ!G:G,0)*M341</f>
        <v>1.1599999999999999</v>
      </c>
      <c r="AC341" s="220">
        <f>_xlfn.XLOOKUP(W341,マスタ!A:A,マスタ!H:H,0)*M341</f>
        <v>1.1599999999999999</v>
      </c>
      <c r="AD341" s="227">
        <f t="shared" si="18"/>
        <v>12.760000000000002</v>
      </c>
    </row>
    <row r="342" spans="1:30" ht="15" customHeight="1">
      <c r="A342" s="16"/>
      <c r="B342" s="148" t="s">
        <v>421</v>
      </c>
      <c r="C342" s="149"/>
      <c r="D342" s="149"/>
      <c r="E342" s="149"/>
      <c r="F342" s="149"/>
      <c r="G342" s="149"/>
      <c r="H342" s="149"/>
      <c r="I342" s="423"/>
      <c r="J342" s="423"/>
      <c r="K342" s="423"/>
      <c r="L342" s="423"/>
      <c r="M342" s="423"/>
      <c r="N342" s="144"/>
      <c r="O342" s="144"/>
      <c r="P342" s="144"/>
      <c r="Q342" s="144"/>
      <c r="R342" s="144"/>
      <c r="S342" s="144"/>
      <c r="T342" s="144"/>
      <c r="U342" s="144"/>
      <c r="W342" s="208" t="s">
        <v>158</v>
      </c>
      <c r="X342" s="217">
        <f>_xlfn.XLOOKUP(W342,マスタ!A:A,マスタ!C:C,0)*M342</f>
        <v>0</v>
      </c>
      <c r="Y342" s="218">
        <f>IF(N342="",0,_xlfn.XLOOKUP(W342,マスタ!A:A,マスタ!D:D,0)*M342)</f>
        <v>0</v>
      </c>
      <c r="Z342" s="219">
        <f>_xlfn.XLOOKUP(W342,マスタ!A:A,マスタ!E:E,0)*M342</f>
        <v>0</v>
      </c>
      <c r="AA342" s="219">
        <f>_xlfn.XLOOKUP(W342,マスタ!A:A,マスタ!F:F,0)*M342</f>
        <v>0</v>
      </c>
      <c r="AB342" s="219">
        <f>_xlfn.XLOOKUP(W342,マスタ!A:A,マスタ!G:G,0)*M342</f>
        <v>0</v>
      </c>
      <c r="AC342" s="220">
        <f>_xlfn.XLOOKUP(W342,マスタ!A:A,マスタ!H:H,0)*M342</f>
        <v>0</v>
      </c>
      <c r="AD342" s="227">
        <f t="shared" si="18"/>
        <v>0</v>
      </c>
    </row>
    <row r="343" spans="1:30" ht="15" customHeight="1">
      <c r="A343" s="145"/>
      <c r="B343" s="151"/>
      <c r="C343" s="146" t="s">
        <v>422</v>
      </c>
      <c r="I343" s="436" t="s">
        <v>58</v>
      </c>
      <c r="J343" s="515"/>
      <c r="K343" s="437" t="s">
        <v>58</v>
      </c>
      <c r="L343" s="437" t="s">
        <v>58</v>
      </c>
      <c r="M343" s="438">
        <v>1</v>
      </c>
      <c r="W343" s="208" t="s">
        <v>61</v>
      </c>
      <c r="X343" s="217">
        <f>_xlfn.XLOOKUP(W343,マスタ!A:A,マスタ!C:C,0)*M343</f>
        <v>5.95</v>
      </c>
      <c r="Y343" s="218">
        <f>IF(N343="",0,_xlfn.XLOOKUP(W343,マスタ!A:A,マスタ!D:D,0)*M343)</f>
        <v>0</v>
      </c>
      <c r="Z343" s="219">
        <f>_xlfn.XLOOKUP(W343,マスタ!A:A,マスタ!E:E,0)*M343</f>
        <v>7</v>
      </c>
      <c r="AA343" s="219">
        <f>_xlfn.XLOOKUP(W343,マスタ!A:A,マスタ!F:F,0)*M343</f>
        <v>7.91</v>
      </c>
      <c r="AB343" s="219">
        <f>_xlfn.XLOOKUP(W343,マスタ!A:A,マスタ!G:G,0)*M343</f>
        <v>2.31</v>
      </c>
      <c r="AC343" s="220">
        <f>_xlfn.XLOOKUP(W343,マスタ!A:A,マスタ!H:H,0)*M343</f>
        <v>2.31</v>
      </c>
      <c r="AD343" s="227">
        <f t="shared" si="18"/>
        <v>25.479999999999997</v>
      </c>
    </row>
    <row r="344" spans="1:30" ht="15" customHeight="1">
      <c r="A344" s="145"/>
      <c r="B344" s="151"/>
      <c r="W344" s="208" t="s">
        <v>158</v>
      </c>
      <c r="X344" s="217">
        <f>_xlfn.XLOOKUP(W344,マスタ!A:A,マスタ!C:C,0)*M344</f>
        <v>0</v>
      </c>
      <c r="Y344" s="218">
        <f>IF(N344="",0,_xlfn.XLOOKUP(W344,マスタ!A:A,マスタ!D:D,0)*M344)</f>
        <v>0</v>
      </c>
      <c r="Z344" s="219">
        <f>_xlfn.XLOOKUP(W344,マスタ!A:A,マスタ!E:E,0)*M344</f>
        <v>0</v>
      </c>
      <c r="AA344" s="219">
        <f>_xlfn.XLOOKUP(W344,マスタ!A:A,マスタ!F:F,0)*M344</f>
        <v>0</v>
      </c>
      <c r="AB344" s="219">
        <f>_xlfn.XLOOKUP(W344,マスタ!A:A,マスタ!G:G,0)*M344</f>
        <v>0</v>
      </c>
      <c r="AC344" s="220">
        <f>_xlfn.XLOOKUP(W344,マスタ!A:A,マスタ!H:H,0)*M344</f>
        <v>0</v>
      </c>
      <c r="AD344" s="227">
        <f t="shared" si="18"/>
        <v>0</v>
      </c>
    </row>
    <row r="345" spans="1:30" ht="15" customHeight="1">
      <c r="A345" s="16"/>
      <c r="B345" s="148" t="s">
        <v>423</v>
      </c>
      <c r="C345" s="149"/>
      <c r="D345" s="149"/>
      <c r="E345" s="149"/>
      <c r="F345" s="149"/>
      <c r="G345" s="149"/>
      <c r="H345" s="149"/>
      <c r="I345" s="423"/>
      <c r="J345" s="423"/>
      <c r="K345" s="423"/>
      <c r="L345" s="423"/>
      <c r="M345" s="423"/>
      <c r="N345" s="144"/>
      <c r="O345" s="144"/>
      <c r="P345" s="144"/>
      <c r="Q345" s="144"/>
      <c r="R345" s="144"/>
      <c r="S345" s="144"/>
      <c r="T345" s="144"/>
      <c r="U345" s="144"/>
      <c r="W345" s="208" t="s">
        <v>158</v>
      </c>
      <c r="X345" s="217">
        <f>_xlfn.XLOOKUP(W345,マスタ!A:A,マスタ!C:C,0)*M345</f>
        <v>0</v>
      </c>
      <c r="Y345" s="218">
        <f>IF(N345="",0,_xlfn.XLOOKUP(W345,マスタ!A:A,マスタ!D:D,0)*M345)</f>
        <v>0</v>
      </c>
      <c r="Z345" s="219">
        <f>_xlfn.XLOOKUP(W345,マスタ!A:A,マスタ!E:E,0)*M345</f>
        <v>0</v>
      </c>
      <c r="AA345" s="219">
        <f>_xlfn.XLOOKUP(W345,マスタ!A:A,マスタ!F:F,0)*M345</f>
        <v>0</v>
      </c>
      <c r="AB345" s="219">
        <f>_xlfn.XLOOKUP(W345,マスタ!A:A,マスタ!G:G,0)*M345</f>
        <v>0</v>
      </c>
      <c r="AC345" s="220">
        <f>_xlfn.XLOOKUP(W345,マスタ!A:A,マスタ!H:H,0)*M345</f>
        <v>0</v>
      </c>
      <c r="AD345" s="227">
        <f t="shared" si="18"/>
        <v>0</v>
      </c>
    </row>
    <row r="346" spans="1:30" ht="15" customHeight="1">
      <c r="A346" s="145"/>
      <c r="B346" s="146" t="s">
        <v>424</v>
      </c>
      <c r="C346" s="20"/>
      <c r="I346" s="436" t="s">
        <v>58</v>
      </c>
      <c r="J346" s="515"/>
      <c r="K346" s="437" t="s">
        <v>58</v>
      </c>
      <c r="L346" s="437" t="s">
        <v>58</v>
      </c>
      <c r="M346" s="438">
        <v>1</v>
      </c>
      <c r="W346" s="208" t="s">
        <v>158</v>
      </c>
      <c r="X346" s="217">
        <f>_xlfn.XLOOKUP(W346,マスタ!A:A,マスタ!C:C,0)*M346</f>
        <v>1.98</v>
      </c>
      <c r="Y346" s="218">
        <f>IF(N346="",0,_xlfn.XLOOKUP(W346,マスタ!A:A,マスタ!D:D,0)*M346)</f>
        <v>0</v>
      </c>
      <c r="Z346" s="219">
        <f>_xlfn.XLOOKUP(W346,マスタ!A:A,マスタ!E:E,0)*M346</f>
        <v>2.33</v>
      </c>
      <c r="AA346" s="219">
        <f>_xlfn.XLOOKUP(W346,マスタ!A:A,マスタ!F:F,0)*M346</f>
        <v>2.64</v>
      </c>
      <c r="AB346" s="219">
        <f>_xlfn.XLOOKUP(W346,マスタ!A:A,マスタ!G:G,0)*M346</f>
        <v>0.77</v>
      </c>
      <c r="AC346" s="220">
        <f>_xlfn.XLOOKUP(W346,マスタ!A:A,マスタ!H:H,0)*M346</f>
        <v>0.77</v>
      </c>
      <c r="AD346" s="227">
        <f t="shared" si="18"/>
        <v>8.49</v>
      </c>
    </row>
    <row r="347" spans="1:30" ht="15" customHeight="1">
      <c r="A347" s="145"/>
      <c r="B347" s="151"/>
      <c r="W347" s="208" t="s">
        <v>158</v>
      </c>
      <c r="X347" s="217">
        <f>_xlfn.XLOOKUP(W347,マスタ!A:A,マスタ!C:C,0)*M347</f>
        <v>0</v>
      </c>
      <c r="Y347" s="218">
        <f>IF(N347="",0,_xlfn.XLOOKUP(W347,マスタ!A:A,マスタ!D:D,0)*M347)</f>
        <v>0</v>
      </c>
      <c r="Z347" s="219">
        <f>_xlfn.XLOOKUP(W347,マスタ!A:A,マスタ!E:E,0)*M347</f>
        <v>0</v>
      </c>
      <c r="AA347" s="219">
        <f>_xlfn.XLOOKUP(W347,マスタ!A:A,マスタ!F:F,0)*M347</f>
        <v>0</v>
      </c>
      <c r="AB347" s="219">
        <f>_xlfn.XLOOKUP(W347,マスタ!A:A,マスタ!G:G,0)*M347</f>
        <v>0</v>
      </c>
      <c r="AC347" s="220">
        <f>_xlfn.XLOOKUP(W347,マスタ!A:A,マスタ!H:H,0)*M347</f>
        <v>0</v>
      </c>
      <c r="AD347" s="227">
        <f t="shared" si="18"/>
        <v>0</v>
      </c>
    </row>
    <row r="348" spans="1:30" ht="15" customHeight="1">
      <c r="A348" s="16"/>
      <c r="B348" s="148" t="s">
        <v>425</v>
      </c>
      <c r="C348" s="149"/>
      <c r="D348" s="149"/>
      <c r="E348" s="149"/>
      <c r="F348" s="149"/>
      <c r="G348" s="149"/>
      <c r="H348" s="149"/>
      <c r="I348" s="423"/>
      <c r="J348" s="423"/>
      <c r="K348" s="423"/>
      <c r="L348" s="423"/>
      <c r="M348" s="423"/>
      <c r="N348" s="144"/>
      <c r="O348" s="144"/>
      <c r="P348" s="144"/>
      <c r="Q348" s="144"/>
      <c r="R348" s="144"/>
      <c r="S348" s="144"/>
      <c r="T348" s="144"/>
      <c r="U348" s="144"/>
      <c r="W348" s="208" t="s">
        <v>158</v>
      </c>
      <c r="X348" s="217">
        <f>_xlfn.XLOOKUP(W348,マスタ!A:A,マスタ!C:C,0)*M348</f>
        <v>0</v>
      </c>
      <c r="Y348" s="218">
        <f>IF(N348="",0,_xlfn.XLOOKUP(W348,マスタ!A:A,マスタ!D:D,0)*M348)</f>
        <v>0</v>
      </c>
      <c r="Z348" s="219">
        <f>_xlfn.XLOOKUP(W348,マスタ!A:A,マスタ!E:E,0)*M348</f>
        <v>0</v>
      </c>
      <c r="AA348" s="219">
        <f>_xlfn.XLOOKUP(W348,マスタ!A:A,マスタ!F:F,0)*M348</f>
        <v>0</v>
      </c>
      <c r="AB348" s="219">
        <f>_xlfn.XLOOKUP(W348,マスタ!A:A,マスタ!G:G,0)*M348</f>
        <v>0</v>
      </c>
      <c r="AC348" s="220">
        <f>_xlfn.XLOOKUP(W348,マスタ!A:A,マスタ!H:H,0)*M348</f>
        <v>0</v>
      </c>
      <c r="AD348" s="227">
        <f t="shared" si="18"/>
        <v>0</v>
      </c>
    </row>
    <row r="349" spans="1:30" ht="15" customHeight="1">
      <c r="A349" s="145"/>
      <c r="B349" s="151"/>
      <c r="W349" s="208" t="s">
        <v>158</v>
      </c>
      <c r="X349" s="217">
        <f>_xlfn.XLOOKUP(W349,マスタ!A:A,マスタ!C:C,0)*M349</f>
        <v>0</v>
      </c>
      <c r="Y349" s="218">
        <f>IF(N349="",0,_xlfn.XLOOKUP(W349,マスタ!A:A,マスタ!D:D,0)*M349)</f>
        <v>0</v>
      </c>
      <c r="Z349" s="219">
        <f>_xlfn.XLOOKUP(W349,マスタ!A:A,マスタ!E:E,0)*M349</f>
        <v>0</v>
      </c>
      <c r="AA349" s="219">
        <f>_xlfn.XLOOKUP(W349,マスタ!A:A,マスタ!F:F,0)*M349</f>
        <v>0</v>
      </c>
      <c r="AB349" s="219">
        <f>_xlfn.XLOOKUP(W349,マスタ!A:A,マスタ!G:G,0)*M349</f>
        <v>0</v>
      </c>
      <c r="AC349" s="220">
        <f>_xlfn.XLOOKUP(W349,マスタ!A:A,マスタ!H:H,0)*M349</f>
        <v>0</v>
      </c>
      <c r="AD349" s="227">
        <f t="shared" si="18"/>
        <v>0</v>
      </c>
    </row>
    <row r="350" spans="1:30" ht="15" customHeight="1">
      <c r="A350" s="145"/>
      <c r="B350" s="151"/>
      <c r="C350" s="146" t="s">
        <v>426</v>
      </c>
      <c r="H350" s="146" t="s">
        <v>427</v>
      </c>
      <c r="I350" s="436" t="s">
        <v>58</v>
      </c>
      <c r="J350" s="515"/>
      <c r="K350" s="437" t="s">
        <v>58</v>
      </c>
      <c r="L350" s="437" t="s">
        <v>58</v>
      </c>
      <c r="M350" s="438">
        <v>1</v>
      </c>
      <c r="W350" s="208" t="s">
        <v>61</v>
      </c>
      <c r="X350" s="217">
        <f>_xlfn.XLOOKUP(W350,マスタ!A:A,マスタ!C:C,0)*M350</f>
        <v>5.95</v>
      </c>
      <c r="Y350" s="218">
        <f>IF(N350="",0,_xlfn.XLOOKUP(W350,マスタ!A:A,マスタ!D:D,0)*M350)</f>
        <v>0</v>
      </c>
      <c r="Z350" s="219">
        <f>_xlfn.XLOOKUP(W350,マスタ!A:A,マスタ!E:E,0)*M350</f>
        <v>7</v>
      </c>
      <c r="AA350" s="219">
        <f>_xlfn.XLOOKUP(W350,マスタ!A:A,マスタ!F:F,0)*M350</f>
        <v>7.91</v>
      </c>
      <c r="AB350" s="219">
        <f>_xlfn.XLOOKUP(W350,マスタ!A:A,マスタ!G:G,0)*M350</f>
        <v>2.31</v>
      </c>
      <c r="AC350" s="220">
        <f>_xlfn.XLOOKUP(W350,マスタ!A:A,マスタ!H:H,0)*M350</f>
        <v>2.31</v>
      </c>
      <c r="AD350" s="227">
        <f t="shared" si="18"/>
        <v>25.479999999999997</v>
      </c>
    </row>
    <row r="351" spans="1:30" ht="15" customHeight="1">
      <c r="A351" s="16"/>
      <c r="B351" s="148" t="s">
        <v>428</v>
      </c>
      <c r="C351" s="149"/>
      <c r="D351" s="149"/>
      <c r="E351" s="149"/>
      <c r="F351" s="149"/>
      <c r="G351" s="149"/>
      <c r="H351" s="149"/>
      <c r="I351" s="423"/>
      <c r="J351" s="423"/>
      <c r="K351" s="423"/>
      <c r="L351" s="423"/>
      <c r="M351" s="423"/>
      <c r="N351" s="144"/>
      <c r="O351" s="144"/>
      <c r="P351" s="144"/>
      <c r="Q351" s="144"/>
      <c r="R351" s="144"/>
      <c r="S351" s="144"/>
      <c r="T351" s="144"/>
      <c r="U351" s="144"/>
      <c r="W351" s="208" t="s">
        <v>158</v>
      </c>
      <c r="X351" s="217">
        <f>_xlfn.XLOOKUP(W351,マスタ!A:A,マスタ!C:C,0)*M351</f>
        <v>0</v>
      </c>
      <c r="Y351" s="218">
        <f>IF(N351="",0,_xlfn.XLOOKUP(W351,マスタ!A:A,マスタ!D:D,0)*M351)</f>
        <v>0</v>
      </c>
      <c r="Z351" s="219">
        <f>_xlfn.XLOOKUP(W351,マスタ!A:A,マスタ!E:E,0)*M351</f>
        <v>0</v>
      </c>
      <c r="AA351" s="219">
        <f>_xlfn.XLOOKUP(W351,マスタ!A:A,マスタ!F:F,0)*M351</f>
        <v>0</v>
      </c>
      <c r="AB351" s="219">
        <f>_xlfn.XLOOKUP(W351,マスタ!A:A,マスタ!G:G,0)*M351</f>
        <v>0</v>
      </c>
      <c r="AC351" s="220">
        <f>_xlfn.XLOOKUP(W351,マスタ!A:A,マスタ!H:H,0)*M351</f>
        <v>0</v>
      </c>
      <c r="AD351" s="227">
        <f t="shared" si="18"/>
        <v>0</v>
      </c>
    </row>
    <row r="352" spans="1:30" ht="119.25" customHeight="1">
      <c r="A352" s="145"/>
      <c r="B352" s="153" t="s">
        <v>429</v>
      </c>
      <c r="C352" s="20"/>
      <c r="D352" s="153"/>
      <c r="H352" s="152" t="s">
        <v>430</v>
      </c>
      <c r="N352" s="534" t="s">
        <v>429</v>
      </c>
      <c r="O352" s="20" t="s">
        <v>431</v>
      </c>
      <c r="W352" s="208"/>
      <c r="X352" s="217">
        <f>_xlfn.XLOOKUP(W352,マスタ!A:A,マスタ!C:C,0)*M352</f>
        <v>0</v>
      </c>
      <c r="Y352" s="218">
        <f>IF(N352="",0,_xlfn.XLOOKUP(W352,マスタ!A:A,マスタ!D:D,0)*M352)</f>
        <v>0</v>
      </c>
      <c r="Z352" s="219">
        <f>_xlfn.XLOOKUP(W352,マスタ!A:A,マスタ!E:E,0)*M352</f>
        <v>0</v>
      </c>
      <c r="AA352" s="219">
        <f>_xlfn.XLOOKUP(W352,マスタ!A:A,マスタ!F:F,0)*M352</f>
        <v>0</v>
      </c>
      <c r="AB352" s="219">
        <f>_xlfn.XLOOKUP(W352,マスタ!A:A,マスタ!G:G,0)*M352</f>
        <v>0</v>
      </c>
      <c r="AC352" s="220">
        <f>_xlfn.XLOOKUP(W352,マスタ!A:A,マスタ!H:H,0)*M352</f>
        <v>0</v>
      </c>
      <c r="AD352" s="227">
        <f t="shared" ref="AD352:AD358" si="19">SUM(X352:AC352)</f>
        <v>0</v>
      </c>
    </row>
    <row r="353" spans="1:32" ht="42.75">
      <c r="A353" s="145"/>
      <c r="B353" s="153" t="s">
        <v>432</v>
      </c>
      <c r="C353" s="20"/>
      <c r="D353" s="153"/>
      <c r="H353" s="152" t="s">
        <v>433</v>
      </c>
      <c r="N353" s="534" t="s">
        <v>432</v>
      </c>
      <c r="O353" s="20" t="s">
        <v>434</v>
      </c>
      <c r="W353" s="208"/>
      <c r="X353" s="217">
        <f>_xlfn.XLOOKUP(W353,マスタ!A:A,マスタ!C:C,0)*M353</f>
        <v>0</v>
      </c>
      <c r="Y353" s="218">
        <f>IF(N353="",0,_xlfn.XLOOKUP(W353,マスタ!A:A,マスタ!D:D,0)*M353)</f>
        <v>0</v>
      </c>
      <c r="Z353" s="219">
        <f>_xlfn.XLOOKUP(W353,マスタ!A:A,マスタ!E:E,0)*M353</f>
        <v>0</v>
      </c>
      <c r="AA353" s="219">
        <f>_xlfn.XLOOKUP(W353,マスタ!A:A,マスタ!F:F,0)*M353</f>
        <v>0</v>
      </c>
      <c r="AB353" s="219">
        <f>_xlfn.XLOOKUP(W353,マスタ!A:A,マスタ!G:G,0)*M353</f>
        <v>0</v>
      </c>
      <c r="AC353" s="220">
        <f>_xlfn.XLOOKUP(W353,マスタ!A:A,マスタ!H:H,0)*M353</f>
        <v>0</v>
      </c>
      <c r="AD353" s="227">
        <f t="shared" si="19"/>
        <v>0</v>
      </c>
    </row>
    <row r="354" spans="1:32" ht="85.5">
      <c r="A354" s="145"/>
      <c r="B354" s="153" t="s">
        <v>435</v>
      </c>
      <c r="C354" s="20"/>
      <c r="D354" s="153"/>
      <c r="H354" s="152" t="s">
        <v>436</v>
      </c>
      <c r="N354" s="534" t="s">
        <v>435</v>
      </c>
      <c r="O354" s="20" t="s">
        <v>437</v>
      </c>
      <c r="W354" s="208"/>
      <c r="X354" s="217">
        <f>_xlfn.XLOOKUP(W354,マスタ!A:A,マスタ!C:C,0)*M354</f>
        <v>0</v>
      </c>
      <c r="Y354" s="218">
        <f>IF(N354="",0,_xlfn.XLOOKUP(W354,マスタ!A:A,マスタ!D:D,0)*M354)</f>
        <v>0</v>
      </c>
      <c r="Z354" s="219">
        <f>_xlfn.XLOOKUP(W354,マスタ!A:A,マスタ!E:E,0)*M354</f>
        <v>0</v>
      </c>
      <c r="AA354" s="219">
        <f>_xlfn.XLOOKUP(W354,マスタ!A:A,マスタ!F:F,0)*M354</f>
        <v>0</v>
      </c>
      <c r="AB354" s="219">
        <f>_xlfn.XLOOKUP(W354,マスタ!A:A,マスタ!G:G,0)*M354</f>
        <v>0</v>
      </c>
      <c r="AC354" s="220">
        <f>_xlfn.XLOOKUP(W354,マスタ!A:A,マスタ!H:H,0)*M354</f>
        <v>0</v>
      </c>
      <c r="AD354" s="227">
        <f t="shared" si="19"/>
        <v>0</v>
      </c>
    </row>
    <row r="355" spans="1:32" ht="99.75">
      <c r="A355" s="145"/>
      <c r="B355" s="153" t="s">
        <v>438</v>
      </c>
      <c r="C355" s="20"/>
      <c r="D355" s="153"/>
      <c r="H355" s="152" t="s">
        <v>439</v>
      </c>
      <c r="N355" s="534" t="s">
        <v>438</v>
      </c>
      <c r="O355" s="20" t="s">
        <v>440</v>
      </c>
      <c r="W355" s="208"/>
      <c r="X355" s="217">
        <f>_xlfn.XLOOKUP(W355,マスタ!A:A,マスタ!C:C,0)*M355</f>
        <v>0</v>
      </c>
      <c r="Y355" s="218">
        <f>IF(N355="",0,_xlfn.XLOOKUP(W355,マスタ!A:A,マスタ!D:D,0)*M355)</f>
        <v>0</v>
      </c>
      <c r="Z355" s="219">
        <f>_xlfn.XLOOKUP(W355,マスタ!A:A,マスタ!E:E,0)*M355</f>
        <v>0</v>
      </c>
      <c r="AA355" s="219">
        <f>_xlfn.XLOOKUP(W355,マスタ!A:A,マスタ!F:F,0)*M355</f>
        <v>0</v>
      </c>
      <c r="AB355" s="219">
        <f>_xlfn.XLOOKUP(W355,マスタ!A:A,マスタ!G:G,0)*M355</f>
        <v>0</v>
      </c>
      <c r="AC355" s="220">
        <f>_xlfn.XLOOKUP(W355,マスタ!A:A,マスタ!H:H,0)*M355</f>
        <v>0</v>
      </c>
      <c r="AD355" s="227">
        <f t="shared" si="19"/>
        <v>0</v>
      </c>
    </row>
    <row r="356" spans="1:32" ht="57">
      <c r="A356" s="145"/>
      <c r="B356" s="153" t="s">
        <v>441</v>
      </c>
      <c r="C356" s="20"/>
      <c r="D356" s="153"/>
      <c r="H356" s="152" t="s">
        <v>442</v>
      </c>
      <c r="N356" s="534" t="s">
        <v>441</v>
      </c>
      <c r="O356" s="20" t="s">
        <v>443</v>
      </c>
      <c r="W356" s="208"/>
      <c r="X356" s="217">
        <f>_xlfn.XLOOKUP(W356,マスタ!A:A,マスタ!C:C,0)*M356</f>
        <v>0</v>
      </c>
      <c r="Y356" s="218">
        <f>IF(N356="",0,_xlfn.XLOOKUP(W356,マスタ!A:A,マスタ!D:D,0)*M356)</f>
        <v>0</v>
      </c>
      <c r="Z356" s="219">
        <f>_xlfn.XLOOKUP(W356,マスタ!A:A,マスタ!E:E,0)*M356</f>
        <v>0</v>
      </c>
      <c r="AA356" s="219">
        <f>_xlfn.XLOOKUP(W356,マスタ!A:A,マスタ!F:F,0)*M356</f>
        <v>0</v>
      </c>
      <c r="AB356" s="219">
        <f>_xlfn.XLOOKUP(W356,マスタ!A:A,マスタ!G:G,0)*M356</f>
        <v>0</v>
      </c>
      <c r="AC356" s="220">
        <f>_xlfn.XLOOKUP(W356,マスタ!A:A,マスタ!H:H,0)*M356</f>
        <v>0</v>
      </c>
      <c r="AD356" s="227">
        <f t="shared" si="19"/>
        <v>0</v>
      </c>
    </row>
    <row r="357" spans="1:32" ht="85.5">
      <c r="A357" s="145"/>
      <c r="B357" s="153" t="s">
        <v>444</v>
      </c>
      <c r="C357" s="20"/>
      <c r="D357" s="153"/>
      <c r="H357" s="152" t="s">
        <v>445</v>
      </c>
      <c r="N357" s="534" t="s">
        <v>444</v>
      </c>
      <c r="O357" s="20" t="s">
        <v>446</v>
      </c>
      <c r="W357" s="208"/>
      <c r="X357" s="217">
        <f>_xlfn.XLOOKUP(W357,マスタ!A:A,マスタ!C:C,0)*M357</f>
        <v>0</v>
      </c>
      <c r="Y357" s="218">
        <f>IF(N357="",0,_xlfn.XLOOKUP(W357,マスタ!A:A,マスタ!D:D,0)*M357)</f>
        <v>0</v>
      </c>
      <c r="Z357" s="219">
        <f>_xlfn.XLOOKUP(W357,マスタ!A:A,マスタ!E:E,0)*M357</f>
        <v>0</v>
      </c>
      <c r="AA357" s="219">
        <f>_xlfn.XLOOKUP(W357,マスタ!A:A,マスタ!F:F,0)*M357</f>
        <v>0</v>
      </c>
      <c r="AB357" s="219">
        <f>_xlfn.XLOOKUP(W357,マスタ!A:A,マスタ!G:G,0)*M357</f>
        <v>0</v>
      </c>
      <c r="AC357" s="220">
        <f>_xlfn.XLOOKUP(W357,マスタ!A:A,マスタ!H:H,0)*M357</f>
        <v>0</v>
      </c>
      <c r="AD357" s="227">
        <f t="shared" si="19"/>
        <v>0</v>
      </c>
    </row>
    <row r="358" spans="1:32" ht="42.75">
      <c r="A358" s="145"/>
      <c r="B358" s="153" t="s">
        <v>447</v>
      </c>
      <c r="C358" s="20"/>
      <c r="D358" s="153"/>
      <c r="H358" s="152" t="s">
        <v>448</v>
      </c>
      <c r="N358" s="534" t="s">
        <v>447</v>
      </c>
      <c r="O358" s="20" t="s">
        <v>449</v>
      </c>
      <c r="W358" s="208"/>
      <c r="X358" s="217">
        <f>_xlfn.XLOOKUP(W358,マスタ!A:A,マスタ!C:C,0)*M358</f>
        <v>0</v>
      </c>
      <c r="Y358" s="218">
        <f>IF(N358="",0,_xlfn.XLOOKUP(W358,マスタ!A:A,マスタ!D:D,0)*M358)</f>
        <v>0</v>
      </c>
      <c r="Z358" s="219">
        <f>_xlfn.XLOOKUP(W358,マスタ!A:A,マスタ!E:E,0)*M358</f>
        <v>0</v>
      </c>
      <c r="AA358" s="219">
        <f>_xlfn.XLOOKUP(W358,マスタ!A:A,マスタ!F:F,0)*M358</f>
        <v>0</v>
      </c>
      <c r="AB358" s="219">
        <f>_xlfn.XLOOKUP(W358,マスタ!A:A,マスタ!G:G,0)*M358</f>
        <v>0</v>
      </c>
      <c r="AC358" s="220">
        <f>_xlfn.XLOOKUP(W358,マスタ!A:A,マスタ!H:H,0)*M358</f>
        <v>0</v>
      </c>
      <c r="AD358" s="227">
        <f t="shared" si="19"/>
        <v>0</v>
      </c>
    </row>
    <row r="359" spans="1:32" ht="15" customHeight="1">
      <c r="A359" s="16"/>
      <c r="B359" s="148" t="s">
        <v>450</v>
      </c>
      <c r="C359" s="149"/>
      <c r="D359" s="149"/>
      <c r="E359" s="149"/>
      <c r="F359" s="149"/>
      <c r="G359" s="149"/>
      <c r="H359" s="149"/>
      <c r="I359" s="423"/>
      <c r="J359" s="423"/>
      <c r="K359" s="423"/>
      <c r="L359" s="423"/>
      <c r="M359" s="423"/>
      <c r="N359" s="144"/>
      <c r="O359" s="144"/>
      <c r="P359" s="144"/>
      <c r="Q359" s="144"/>
      <c r="R359" s="144"/>
      <c r="S359" s="144"/>
      <c r="T359" s="144"/>
      <c r="U359" s="144"/>
      <c r="W359" s="208" t="s">
        <v>158</v>
      </c>
      <c r="X359" s="217">
        <f>_xlfn.XLOOKUP(W359,マスタ!A:A,マスタ!C:C,0)*M359</f>
        <v>0</v>
      </c>
      <c r="Y359" s="218">
        <f>IF(N359="",0,_xlfn.XLOOKUP(W359,マスタ!A:A,マスタ!D:D,0)*M359)</f>
        <v>0</v>
      </c>
      <c r="Z359" s="219">
        <f>_xlfn.XLOOKUP(W359,マスタ!A:A,マスタ!E:E,0)*M359</f>
        <v>0</v>
      </c>
      <c r="AA359" s="219">
        <f>_xlfn.XLOOKUP(W359,マスタ!A:A,マスタ!F:F,0)*M359</f>
        <v>0</v>
      </c>
      <c r="AB359" s="219">
        <f>_xlfn.XLOOKUP(W359,マスタ!A:A,マスタ!G:G,0)*M359</f>
        <v>0</v>
      </c>
      <c r="AC359" s="220">
        <f>_xlfn.XLOOKUP(W359,マスタ!A:A,マスタ!H:H,0)*M359</f>
        <v>0</v>
      </c>
      <c r="AD359" s="227">
        <f t="shared" si="18"/>
        <v>0</v>
      </c>
    </row>
    <row r="360" spans="1:32" ht="57">
      <c r="A360" s="145"/>
      <c r="B360" s="146" t="s">
        <v>451</v>
      </c>
      <c r="D360" s="20"/>
      <c r="H360" s="152" t="s">
        <v>452</v>
      </c>
      <c r="I360" s="436" t="s">
        <v>58</v>
      </c>
      <c r="J360" s="515"/>
      <c r="K360" s="437" t="s">
        <v>58</v>
      </c>
      <c r="L360" s="437" t="s">
        <v>58</v>
      </c>
      <c r="M360" s="438">
        <v>1</v>
      </c>
      <c r="N360" s="535" t="s">
        <v>451</v>
      </c>
      <c r="O360" s="20" t="s">
        <v>453</v>
      </c>
      <c r="W360" s="208" t="s">
        <v>158</v>
      </c>
      <c r="X360" s="217">
        <f>_xlfn.XLOOKUP(W360,マスタ!A:A,マスタ!C:C,0)*M360</f>
        <v>1.98</v>
      </c>
      <c r="Y360" s="218">
        <f>IF(N360="",0,_xlfn.XLOOKUP(W360,マスタ!A:A,マスタ!D:D,0)*M360)</f>
        <v>0.57999999999999996</v>
      </c>
      <c r="Z360" s="219">
        <f>_xlfn.XLOOKUP(W360,マスタ!A:A,マスタ!E:E,0)*M360</f>
        <v>2.33</v>
      </c>
      <c r="AA360" s="219">
        <f>_xlfn.XLOOKUP(W360,マスタ!A:A,マスタ!F:F,0)*M360</f>
        <v>2.64</v>
      </c>
      <c r="AB360" s="219">
        <f>_xlfn.XLOOKUP(W360,マスタ!A:A,マスタ!G:G,0)*M360</f>
        <v>0.77</v>
      </c>
      <c r="AC360" s="220">
        <f>_xlfn.XLOOKUP(W360,マスタ!A:A,マスタ!H:H,0)*M360</f>
        <v>0.77</v>
      </c>
      <c r="AD360" s="227">
        <f t="shared" si="18"/>
        <v>9.07</v>
      </c>
    </row>
    <row r="361" spans="1:32" ht="42.75">
      <c r="A361" s="145"/>
      <c r="B361" s="146" t="s">
        <v>454</v>
      </c>
      <c r="D361" s="20"/>
      <c r="H361" s="152" t="s">
        <v>455</v>
      </c>
      <c r="I361" s="436" t="s">
        <v>58</v>
      </c>
      <c r="J361" s="515"/>
      <c r="K361" s="437" t="s">
        <v>58</v>
      </c>
      <c r="L361" s="437" t="s">
        <v>58</v>
      </c>
      <c r="M361" s="438">
        <v>1</v>
      </c>
      <c r="N361" s="535" t="s">
        <v>454</v>
      </c>
      <c r="O361" s="20" t="s">
        <v>456</v>
      </c>
      <c r="W361" s="208" t="s">
        <v>158</v>
      </c>
      <c r="X361" s="217">
        <f>_xlfn.XLOOKUP(W361,マスタ!A:A,マスタ!C:C,0)*M361</f>
        <v>1.98</v>
      </c>
      <c r="Y361" s="218">
        <f>IF(N361="",0,_xlfn.XLOOKUP(W361,マスタ!A:A,マスタ!D:D,0)*M361)</f>
        <v>0.57999999999999996</v>
      </c>
      <c r="Z361" s="219">
        <f>_xlfn.XLOOKUP(W361,マスタ!A:A,マスタ!E:E,0)*M361</f>
        <v>2.33</v>
      </c>
      <c r="AA361" s="219">
        <f>_xlfn.XLOOKUP(W361,マスタ!A:A,マスタ!F:F,0)*M361</f>
        <v>2.64</v>
      </c>
      <c r="AB361" s="219">
        <f>_xlfn.XLOOKUP(W361,マスタ!A:A,マスタ!G:G,0)*M361</f>
        <v>0.77</v>
      </c>
      <c r="AC361" s="220">
        <f>_xlfn.XLOOKUP(W361,マスタ!A:A,マスタ!H:H,0)*M361</f>
        <v>0.77</v>
      </c>
      <c r="AD361" s="227">
        <f t="shared" si="18"/>
        <v>9.07</v>
      </c>
    </row>
    <row r="362" spans="1:32" ht="71.25">
      <c r="A362" s="145"/>
      <c r="B362" s="146" t="s">
        <v>457</v>
      </c>
      <c r="D362" s="20"/>
      <c r="H362" s="152" t="s">
        <v>458</v>
      </c>
      <c r="I362" s="436" t="s">
        <v>58</v>
      </c>
      <c r="J362" s="515"/>
      <c r="K362" s="437" t="s">
        <v>58</v>
      </c>
      <c r="L362" s="437" t="s">
        <v>58</v>
      </c>
      <c r="M362" s="438">
        <v>1</v>
      </c>
      <c r="N362" s="535" t="s">
        <v>457</v>
      </c>
      <c r="O362" s="20" t="s">
        <v>459</v>
      </c>
      <c r="W362" s="208" t="s">
        <v>158</v>
      </c>
      <c r="X362" s="217">
        <f>_xlfn.XLOOKUP(W362,マスタ!A:A,マスタ!C:C,0)*M362</f>
        <v>1.98</v>
      </c>
      <c r="Y362" s="218">
        <f>IF(N362="",0,_xlfn.XLOOKUP(W362,マスタ!A:A,マスタ!D:D,0)*M362)</f>
        <v>0.57999999999999996</v>
      </c>
      <c r="Z362" s="219">
        <f>_xlfn.XLOOKUP(W362,マスタ!A:A,マスタ!E:E,0)*M362</f>
        <v>2.33</v>
      </c>
      <c r="AA362" s="219">
        <f>_xlfn.XLOOKUP(W362,マスタ!A:A,マスタ!F:F,0)*M362</f>
        <v>2.64</v>
      </c>
      <c r="AB362" s="219">
        <f>_xlfn.XLOOKUP(W362,マスタ!A:A,マスタ!G:G,0)*M362</f>
        <v>0.77</v>
      </c>
      <c r="AC362" s="220">
        <f>_xlfn.XLOOKUP(W362,マスタ!A:A,マスタ!H:H,0)*M362</f>
        <v>0.77</v>
      </c>
      <c r="AD362" s="227">
        <f t="shared" si="18"/>
        <v>9.07</v>
      </c>
    </row>
    <row r="363" spans="1:32" ht="15" customHeight="1">
      <c r="A363" s="16"/>
      <c r="B363" s="148" t="s">
        <v>460</v>
      </c>
      <c r="C363" s="149"/>
      <c r="D363" s="149"/>
      <c r="E363" s="149"/>
      <c r="F363" s="149"/>
      <c r="G363" s="149"/>
      <c r="H363" s="149"/>
      <c r="I363" s="423"/>
      <c r="J363" s="423"/>
      <c r="K363" s="423"/>
      <c r="L363" s="423"/>
      <c r="M363" s="423"/>
      <c r="N363" s="144"/>
      <c r="O363" s="144"/>
      <c r="P363" s="144"/>
      <c r="Q363" s="144"/>
      <c r="R363" s="144"/>
      <c r="S363" s="144"/>
      <c r="T363" s="144"/>
      <c r="U363" s="144"/>
      <c r="W363" s="207"/>
      <c r="X363" s="213">
        <f>SUM(X364:X394)</f>
        <v>107.10000000000004</v>
      </c>
      <c r="Y363" s="214">
        <f t="shared" ref="Y363:AC363" si="20">SUM(Y364:Y394)</f>
        <v>0</v>
      </c>
      <c r="Z363" s="215">
        <f t="shared" si="20"/>
        <v>125.98</v>
      </c>
      <c r="AA363" s="215">
        <f t="shared" si="20"/>
        <v>142.41999999999996</v>
      </c>
      <c r="AB363" s="215">
        <f t="shared" si="20"/>
        <v>41.6</v>
      </c>
      <c r="AC363" s="216">
        <f t="shared" si="20"/>
        <v>41.6</v>
      </c>
      <c r="AD363" s="226">
        <f>SUM(AD364:AD394)</f>
        <v>458.7000000000001</v>
      </c>
      <c r="AE363" s="205">
        <f>AD363/20</f>
        <v>22.935000000000006</v>
      </c>
      <c r="AF363" s="204">
        <f>AE363*350000</f>
        <v>8027250.0000000019</v>
      </c>
    </row>
    <row r="364" spans="1:32" ht="15" customHeight="1">
      <c r="A364" s="145"/>
      <c r="B364" s="160" t="s">
        <v>461</v>
      </c>
      <c r="C364" s="161"/>
      <c r="D364" s="161"/>
      <c r="E364" s="161"/>
      <c r="F364" s="161"/>
      <c r="G364" s="161"/>
      <c r="H364" s="161"/>
      <c r="I364" s="480"/>
      <c r="J364" s="480"/>
      <c r="K364" s="480"/>
      <c r="L364" s="480"/>
      <c r="M364" s="480"/>
      <c r="N364" s="269"/>
      <c r="O364" s="269"/>
      <c r="P364" s="269"/>
      <c r="Q364" s="269"/>
      <c r="R364" s="269"/>
      <c r="S364" s="269"/>
      <c r="T364" s="269"/>
      <c r="U364" s="270"/>
      <c r="W364" s="208"/>
      <c r="X364" s="217">
        <f>_xlfn.XLOOKUP(W364,マスタ!A:A,マスタ!C:C,0)*M364</f>
        <v>0</v>
      </c>
      <c r="Y364" s="218">
        <f>IF(N364="",0,_xlfn.XLOOKUP(W364,マスタ!A:A,マスタ!D:D,0)*M364)</f>
        <v>0</v>
      </c>
      <c r="Z364" s="219">
        <f>_xlfn.XLOOKUP(W364,マスタ!A:A,マスタ!E:E,0)*M364</f>
        <v>0</v>
      </c>
      <c r="AA364" s="219">
        <f>_xlfn.XLOOKUP(W364,マスタ!A:A,マスタ!F:F,0)*M364</f>
        <v>0</v>
      </c>
      <c r="AB364" s="219">
        <f>_xlfn.XLOOKUP(W364,マスタ!A:A,マスタ!G:G,0)*M364</f>
        <v>0</v>
      </c>
      <c r="AC364" s="220">
        <f>_xlfn.XLOOKUP(W364,マスタ!A:A,マスタ!H:H,0)*M364</f>
        <v>0</v>
      </c>
      <c r="AD364" s="227">
        <f t="shared" si="18"/>
        <v>0</v>
      </c>
    </row>
    <row r="365" spans="1:32" ht="15" customHeight="1">
      <c r="A365" s="145"/>
      <c r="B365" s="162"/>
      <c r="C365" s="163" t="s">
        <v>462</v>
      </c>
      <c r="D365" s="164"/>
      <c r="E365" s="164"/>
      <c r="F365" s="164"/>
      <c r="G365" s="234"/>
      <c r="H365" s="173"/>
      <c r="I365" s="430" t="s">
        <v>74</v>
      </c>
      <c r="J365" s="513"/>
      <c r="K365" s="431" t="s">
        <v>57</v>
      </c>
      <c r="L365" s="431" t="s">
        <v>57</v>
      </c>
      <c r="M365" s="432">
        <v>1</v>
      </c>
      <c r="N365" s="179"/>
      <c r="O365" s="180"/>
      <c r="P365" s="179"/>
      <c r="Q365" s="180"/>
      <c r="R365" s="179"/>
      <c r="S365" s="180"/>
      <c r="T365" s="179"/>
      <c r="U365" s="180"/>
      <c r="W365" s="208" t="s">
        <v>158</v>
      </c>
      <c r="X365" s="217">
        <f>_xlfn.XLOOKUP(W365,マスタ!A:A,マスタ!C:C,0)*M365</f>
        <v>1.98</v>
      </c>
      <c r="Y365" s="218">
        <f>IF(N365="",0,_xlfn.XLOOKUP(W365,マスタ!A:A,マスタ!D:D,0)*M365)</f>
        <v>0</v>
      </c>
      <c r="Z365" s="219">
        <f>_xlfn.XLOOKUP(W365,マスタ!A:A,マスタ!E:E,0)*M365</f>
        <v>2.33</v>
      </c>
      <c r="AA365" s="219">
        <f>_xlfn.XLOOKUP(W365,マスタ!A:A,マスタ!F:F,0)*M365</f>
        <v>2.64</v>
      </c>
      <c r="AB365" s="219">
        <f>_xlfn.XLOOKUP(W365,マスタ!A:A,マスタ!G:G,0)*M365</f>
        <v>0.77</v>
      </c>
      <c r="AC365" s="220">
        <f>_xlfn.XLOOKUP(W365,マスタ!A:A,マスタ!H:H,0)*M365</f>
        <v>0.77</v>
      </c>
      <c r="AD365" s="227">
        <f t="shared" ref="AD365:AD382" si="21">SUM(X365:AC365)</f>
        <v>8.49</v>
      </c>
    </row>
    <row r="366" spans="1:32" ht="15" customHeight="1">
      <c r="A366" s="145"/>
      <c r="B366" s="162"/>
      <c r="C366" s="165" t="s">
        <v>463</v>
      </c>
      <c r="D366" s="166"/>
      <c r="E366" s="166"/>
      <c r="F366" s="166"/>
      <c r="G366" s="275"/>
      <c r="H366" s="174"/>
      <c r="I366" s="433" t="s">
        <v>74</v>
      </c>
      <c r="J366" s="514"/>
      <c r="K366" s="434" t="s">
        <v>57</v>
      </c>
      <c r="L366" s="434" t="s">
        <v>57</v>
      </c>
      <c r="M366" s="435">
        <v>1</v>
      </c>
      <c r="N366" s="181"/>
      <c r="O366" s="182"/>
      <c r="P366" s="181"/>
      <c r="Q366" s="182"/>
      <c r="R366" s="181"/>
      <c r="S366" s="182"/>
      <c r="T366" s="181"/>
      <c r="U366" s="182"/>
      <c r="W366" s="208" t="s">
        <v>158</v>
      </c>
      <c r="X366" s="217">
        <f>_xlfn.XLOOKUP(W366,マスタ!A:A,マスタ!C:C,0)*M366</f>
        <v>1.98</v>
      </c>
      <c r="Y366" s="218">
        <f>IF(N366="",0,_xlfn.XLOOKUP(W366,マスタ!A:A,マスタ!D:D,0)*M366)</f>
        <v>0</v>
      </c>
      <c r="Z366" s="219">
        <f>_xlfn.XLOOKUP(W366,マスタ!A:A,マスタ!E:E,0)*M366</f>
        <v>2.33</v>
      </c>
      <c r="AA366" s="219">
        <f>_xlfn.XLOOKUP(W366,マスタ!A:A,マスタ!F:F,0)*M366</f>
        <v>2.64</v>
      </c>
      <c r="AB366" s="219">
        <f>_xlfn.XLOOKUP(W366,マスタ!A:A,マスタ!G:G,0)*M366</f>
        <v>0.77</v>
      </c>
      <c r="AC366" s="220">
        <f>_xlfn.XLOOKUP(W366,マスタ!A:A,マスタ!H:H,0)*M366</f>
        <v>0.77</v>
      </c>
      <c r="AD366" s="227">
        <f t="shared" si="21"/>
        <v>8.49</v>
      </c>
    </row>
    <row r="367" spans="1:32" ht="15" customHeight="1">
      <c r="A367" s="145"/>
      <c r="B367" s="162"/>
      <c r="C367" s="165" t="s">
        <v>464</v>
      </c>
      <c r="D367" s="166"/>
      <c r="E367" s="166"/>
      <c r="F367" s="166"/>
      <c r="G367" s="275"/>
      <c r="H367" s="174"/>
      <c r="I367" s="433" t="s">
        <v>74</v>
      </c>
      <c r="J367" s="514"/>
      <c r="K367" s="434" t="s">
        <v>57</v>
      </c>
      <c r="L367" s="434" t="s">
        <v>57</v>
      </c>
      <c r="M367" s="435">
        <v>1</v>
      </c>
      <c r="N367" s="181"/>
      <c r="O367" s="182"/>
      <c r="P367" s="181"/>
      <c r="Q367" s="182"/>
      <c r="R367" s="181"/>
      <c r="S367" s="182"/>
      <c r="T367" s="181"/>
      <c r="U367" s="182"/>
      <c r="W367" s="208" t="s">
        <v>158</v>
      </c>
      <c r="X367" s="217">
        <f>_xlfn.XLOOKUP(W367,マスタ!A:A,マスタ!C:C,0)*M367</f>
        <v>1.98</v>
      </c>
      <c r="Y367" s="218">
        <f>IF(N367="",0,_xlfn.XLOOKUP(W367,マスタ!A:A,マスタ!D:D,0)*M367)</f>
        <v>0</v>
      </c>
      <c r="Z367" s="219">
        <f>_xlfn.XLOOKUP(W367,マスタ!A:A,マスタ!E:E,0)*M367</f>
        <v>2.33</v>
      </c>
      <c r="AA367" s="219">
        <f>_xlfn.XLOOKUP(W367,マスタ!A:A,マスタ!F:F,0)*M367</f>
        <v>2.64</v>
      </c>
      <c r="AB367" s="219">
        <f>_xlfn.XLOOKUP(W367,マスタ!A:A,マスタ!G:G,0)*M367</f>
        <v>0.77</v>
      </c>
      <c r="AC367" s="220">
        <f>_xlfn.XLOOKUP(W367,マスタ!A:A,マスタ!H:H,0)*M367</f>
        <v>0.77</v>
      </c>
      <c r="AD367" s="227">
        <f t="shared" si="21"/>
        <v>8.49</v>
      </c>
    </row>
    <row r="368" spans="1:32" ht="15" customHeight="1">
      <c r="A368" s="145"/>
      <c r="B368" s="162"/>
      <c r="C368" s="165" t="s">
        <v>465</v>
      </c>
      <c r="D368" s="166"/>
      <c r="E368" s="166"/>
      <c r="F368" s="166"/>
      <c r="G368" s="275"/>
      <c r="H368" s="174"/>
      <c r="I368" s="433" t="s">
        <v>74</v>
      </c>
      <c r="J368" s="514"/>
      <c r="K368" s="434" t="s">
        <v>57</v>
      </c>
      <c r="L368" s="434" t="s">
        <v>57</v>
      </c>
      <c r="M368" s="435">
        <v>1</v>
      </c>
      <c r="N368" s="181"/>
      <c r="O368" s="182"/>
      <c r="P368" s="181"/>
      <c r="Q368" s="182"/>
      <c r="R368" s="181"/>
      <c r="S368" s="182"/>
      <c r="T368" s="181"/>
      <c r="U368" s="182"/>
      <c r="W368" s="208" t="s">
        <v>158</v>
      </c>
      <c r="X368" s="217">
        <f>_xlfn.XLOOKUP(W368,マスタ!A:A,マスタ!C:C,0)*M368</f>
        <v>1.98</v>
      </c>
      <c r="Y368" s="218">
        <f>IF(N368="",0,_xlfn.XLOOKUP(W368,マスタ!A:A,マスタ!D:D,0)*M368)</f>
        <v>0</v>
      </c>
      <c r="Z368" s="219">
        <f>_xlfn.XLOOKUP(W368,マスタ!A:A,マスタ!E:E,0)*M368</f>
        <v>2.33</v>
      </c>
      <c r="AA368" s="219">
        <f>_xlfn.XLOOKUP(W368,マスタ!A:A,マスタ!F:F,0)*M368</f>
        <v>2.64</v>
      </c>
      <c r="AB368" s="219">
        <f>_xlfn.XLOOKUP(W368,マスタ!A:A,マスタ!G:G,0)*M368</f>
        <v>0.77</v>
      </c>
      <c r="AC368" s="220">
        <f>_xlfn.XLOOKUP(W368,マスタ!A:A,マスタ!H:H,0)*M368</f>
        <v>0.77</v>
      </c>
      <c r="AD368" s="227">
        <f t="shared" si="21"/>
        <v>8.49</v>
      </c>
    </row>
    <row r="369" spans="1:30" ht="15" customHeight="1">
      <c r="A369" s="145"/>
      <c r="B369" s="162"/>
      <c r="C369" s="165" t="s">
        <v>466</v>
      </c>
      <c r="D369" s="166"/>
      <c r="E369" s="166"/>
      <c r="F369" s="166"/>
      <c r="G369" s="275"/>
      <c r="H369" s="174"/>
      <c r="I369" s="433" t="s">
        <v>74</v>
      </c>
      <c r="J369" s="514"/>
      <c r="K369" s="434" t="s">
        <v>57</v>
      </c>
      <c r="L369" s="434" t="s">
        <v>57</v>
      </c>
      <c r="M369" s="435">
        <v>1</v>
      </c>
      <c r="N369" s="181"/>
      <c r="O369" s="182"/>
      <c r="P369" s="181"/>
      <c r="Q369" s="182"/>
      <c r="R369" s="181"/>
      <c r="S369" s="182"/>
      <c r="T369" s="181"/>
      <c r="U369" s="182"/>
      <c r="W369" s="208" t="s">
        <v>158</v>
      </c>
      <c r="X369" s="217">
        <f>_xlfn.XLOOKUP(W369,マスタ!A:A,マスタ!C:C,0)*M369</f>
        <v>1.98</v>
      </c>
      <c r="Y369" s="218">
        <f>IF(N369="",0,_xlfn.XLOOKUP(W369,マスタ!A:A,マスタ!D:D,0)*M369)</f>
        <v>0</v>
      </c>
      <c r="Z369" s="219">
        <f>_xlfn.XLOOKUP(W369,マスタ!A:A,マスタ!E:E,0)*M369</f>
        <v>2.33</v>
      </c>
      <c r="AA369" s="219">
        <f>_xlfn.XLOOKUP(W369,マスタ!A:A,マスタ!F:F,0)*M369</f>
        <v>2.64</v>
      </c>
      <c r="AB369" s="219">
        <f>_xlfn.XLOOKUP(W369,マスタ!A:A,マスタ!G:G,0)*M369</f>
        <v>0.77</v>
      </c>
      <c r="AC369" s="220">
        <f>_xlfn.XLOOKUP(W369,マスタ!A:A,マスタ!H:H,0)*M369</f>
        <v>0.77</v>
      </c>
      <c r="AD369" s="227">
        <f t="shared" si="21"/>
        <v>8.49</v>
      </c>
    </row>
    <row r="370" spans="1:30" ht="15" customHeight="1">
      <c r="A370" s="145"/>
      <c r="B370" s="162"/>
      <c r="C370" s="165" t="s">
        <v>467</v>
      </c>
      <c r="D370" s="166"/>
      <c r="E370" s="166"/>
      <c r="F370" s="166"/>
      <c r="G370" s="275"/>
      <c r="H370" s="174"/>
      <c r="I370" s="433" t="s">
        <v>74</v>
      </c>
      <c r="J370" s="514"/>
      <c r="K370" s="434" t="s">
        <v>58</v>
      </c>
      <c r="L370" s="434" t="s">
        <v>57</v>
      </c>
      <c r="M370" s="435">
        <v>1</v>
      </c>
      <c r="N370" s="181"/>
      <c r="O370" s="182"/>
      <c r="P370" s="181"/>
      <c r="Q370" s="182"/>
      <c r="R370" s="181"/>
      <c r="S370" s="182"/>
      <c r="T370" s="181"/>
      <c r="U370" s="182"/>
      <c r="W370" s="208" t="s">
        <v>158</v>
      </c>
      <c r="X370" s="217">
        <f>_xlfn.XLOOKUP(W370,マスタ!A:A,マスタ!C:C,0)*M370</f>
        <v>1.98</v>
      </c>
      <c r="Y370" s="218">
        <f>IF(N370="",0,_xlfn.XLOOKUP(W370,マスタ!A:A,マスタ!D:D,0)*M370)</f>
        <v>0</v>
      </c>
      <c r="Z370" s="219">
        <f>_xlfn.XLOOKUP(W370,マスタ!A:A,マスタ!E:E,0)*M370</f>
        <v>2.33</v>
      </c>
      <c r="AA370" s="219">
        <f>_xlfn.XLOOKUP(W370,マスタ!A:A,マスタ!F:F,0)*M370</f>
        <v>2.64</v>
      </c>
      <c r="AB370" s="219">
        <f>_xlfn.XLOOKUP(W370,マスタ!A:A,マスタ!G:G,0)*M370</f>
        <v>0.77</v>
      </c>
      <c r="AC370" s="220">
        <f>_xlfn.XLOOKUP(W370,マスタ!A:A,マスタ!H:H,0)*M370</f>
        <v>0.77</v>
      </c>
      <c r="AD370" s="227">
        <f t="shared" si="21"/>
        <v>8.49</v>
      </c>
    </row>
    <row r="371" spans="1:30" ht="15" customHeight="1">
      <c r="A371" s="145"/>
      <c r="B371" s="167"/>
      <c r="C371" s="168" t="s">
        <v>468</v>
      </c>
      <c r="D371" s="169"/>
      <c r="E371" s="169"/>
      <c r="F371" s="169"/>
      <c r="G371" s="235"/>
      <c r="H371" s="175"/>
      <c r="I371" s="436" t="s">
        <v>74</v>
      </c>
      <c r="J371" s="515"/>
      <c r="K371" s="437" t="s">
        <v>57</v>
      </c>
      <c r="L371" s="437" t="s">
        <v>57</v>
      </c>
      <c r="M371" s="438">
        <v>1</v>
      </c>
      <c r="N371" s="183"/>
      <c r="O371" s="184"/>
      <c r="P371" s="183"/>
      <c r="Q371" s="184"/>
      <c r="R371" s="183"/>
      <c r="S371" s="184"/>
      <c r="T371" s="183"/>
      <c r="U371" s="184"/>
      <c r="W371" s="208" t="s">
        <v>59</v>
      </c>
      <c r="X371" s="217">
        <f>_xlfn.XLOOKUP(W371,マスタ!A:A,マスタ!C:C,0)*M371</f>
        <v>2.98</v>
      </c>
      <c r="Y371" s="218">
        <f>IF(N371="",0,_xlfn.XLOOKUP(W371,マスタ!A:A,マスタ!D:D,0)*M371)</f>
        <v>0</v>
      </c>
      <c r="Z371" s="219">
        <f>_xlfn.XLOOKUP(W371,マスタ!A:A,マスタ!E:E,0)*M371</f>
        <v>3.5</v>
      </c>
      <c r="AA371" s="219">
        <f>_xlfn.XLOOKUP(W371,マスタ!A:A,マスタ!F:F,0)*M371</f>
        <v>3.96</v>
      </c>
      <c r="AB371" s="219">
        <f>_xlfn.XLOOKUP(W371,マスタ!A:A,マスタ!G:G,0)*M371</f>
        <v>1.1599999999999999</v>
      </c>
      <c r="AC371" s="220">
        <f>_xlfn.XLOOKUP(W371,マスタ!A:A,マスタ!H:H,0)*M371</f>
        <v>1.1599999999999999</v>
      </c>
      <c r="AD371" s="227">
        <f t="shared" si="21"/>
        <v>12.760000000000002</v>
      </c>
    </row>
    <row r="372" spans="1:30" ht="15" customHeight="1">
      <c r="A372" s="145"/>
      <c r="B372" s="160" t="s">
        <v>469</v>
      </c>
      <c r="C372" s="161"/>
      <c r="D372" s="161"/>
      <c r="E372" s="161"/>
      <c r="F372" s="161"/>
      <c r="G372" s="161"/>
      <c r="H372" s="260"/>
      <c r="I372" s="442" t="s">
        <v>74</v>
      </c>
      <c r="J372" s="517"/>
      <c r="K372" s="443" t="s">
        <v>58</v>
      </c>
      <c r="L372" s="443" t="s">
        <v>58</v>
      </c>
      <c r="M372" s="444">
        <v>1</v>
      </c>
      <c r="N372" s="177"/>
      <c r="O372" s="178"/>
      <c r="P372" s="177"/>
      <c r="Q372" s="178"/>
      <c r="R372" s="177"/>
      <c r="S372" s="178"/>
      <c r="T372" s="177"/>
      <c r="U372" s="178"/>
      <c r="W372" s="208"/>
      <c r="X372" s="217">
        <f>_xlfn.XLOOKUP(W372,マスタ!A:A,マスタ!C:C,0)*M372</f>
        <v>0</v>
      </c>
      <c r="Y372" s="218">
        <f>IF(N372="",0,_xlfn.XLOOKUP(W372,マスタ!A:A,マスタ!D:D,0)*M372)</f>
        <v>0</v>
      </c>
      <c r="Z372" s="219">
        <f>_xlfn.XLOOKUP(W372,マスタ!A:A,マスタ!E:E,0)*M372</f>
        <v>0</v>
      </c>
      <c r="AA372" s="219">
        <f>_xlfn.XLOOKUP(W372,マスタ!A:A,マスタ!F:F,0)*M372</f>
        <v>0</v>
      </c>
      <c r="AB372" s="219">
        <f>_xlfn.XLOOKUP(W372,マスタ!A:A,マスタ!G:G,0)*M372</f>
        <v>0</v>
      </c>
      <c r="AC372" s="220">
        <f>_xlfn.XLOOKUP(W372,マスタ!A:A,マスタ!H:H,0)*M372</f>
        <v>0</v>
      </c>
      <c r="AD372" s="227">
        <f t="shared" si="21"/>
        <v>0</v>
      </c>
    </row>
    <row r="373" spans="1:30" ht="15" customHeight="1">
      <c r="A373" s="145"/>
      <c r="B373" s="162"/>
      <c r="C373" s="293" t="s">
        <v>470</v>
      </c>
      <c r="D373" s="272"/>
      <c r="E373" s="272"/>
      <c r="F373" s="272"/>
      <c r="G373" s="272"/>
      <c r="H373" s="173" t="s">
        <v>471</v>
      </c>
      <c r="I373" s="430" t="s">
        <v>74</v>
      </c>
      <c r="J373" s="513"/>
      <c r="K373" s="431" t="s">
        <v>58</v>
      </c>
      <c r="L373" s="431" t="s">
        <v>58</v>
      </c>
      <c r="M373" s="432">
        <v>1</v>
      </c>
      <c r="N373" s="179"/>
      <c r="O373" s="180"/>
      <c r="P373" s="179"/>
      <c r="Q373" s="180"/>
      <c r="R373" s="179"/>
      <c r="S373" s="180"/>
      <c r="T373" s="179"/>
      <c r="U373" s="180"/>
      <c r="W373" s="208"/>
      <c r="X373" s="217">
        <f>_xlfn.XLOOKUP(W373,マスタ!A:A,マスタ!C:C,0)*M373</f>
        <v>0</v>
      </c>
      <c r="Y373" s="218">
        <f>IF(N373="",0,_xlfn.XLOOKUP(W373,マスタ!A:A,マスタ!D:D,0)*M373)</f>
        <v>0</v>
      </c>
      <c r="Z373" s="219">
        <f>_xlfn.XLOOKUP(W373,マスタ!A:A,マスタ!E:E,0)*M373</f>
        <v>0</v>
      </c>
      <c r="AA373" s="219">
        <f>_xlfn.XLOOKUP(W373,マスタ!A:A,マスタ!F:F,0)*M373</f>
        <v>0</v>
      </c>
      <c r="AB373" s="219">
        <f>_xlfn.XLOOKUP(W373,マスタ!A:A,マスタ!G:G,0)*M373</f>
        <v>0</v>
      </c>
      <c r="AC373" s="220">
        <f>_xlfn.XLOOKUP(W373,マスタ!A:A,マスタ!H:H,0)*M373</f>
        <v>0</v>
      </c>
      <c r="AD373" s="227">
        <f t="shared" si="21"/>
        <v>0</v>
      </c>
    </row>
    <row r="374" spans="1:30" ht="15" customHeight="1">
      <c r="A374" s="145"/>
      <c r="B374" s="162"/>
      <c r="C374" s="287"/>
      <c r="D374" s="280" t="s">
        <v>472</v>
      </c>
      <c r="E374" s="280"/>
      <c r="F374" s="280"/>
      <c r="G374" s="280"/>
      <c r="H374" s="174"/>
      <c r="I374" s="433" t="s">
        <v>74</v>
      </c>
      <c r="J374" s="514"/>
      <c r="K374" s="434" t="s">
        <v>58</v>
      </c>
      <c r="L374" s="434" t="s">
        <v>58</v>
      </c>
      <c r="M374" s="435">
        <v>1</v>
      </c>
      <c r="N374" s="181"/>
      <c r="O374" s="182"/>
      <c r="P374" s="181"/>
      <c r="Q374" s="182"/>
      <c r="R374" s="181"/>
      <c r="S374" s="182"/>
      <c r="T374" s="181"/>
      <c r="U374" s="182"/>
      <c r="W374" s="208" t="s">
        <v>59</v>
      </c>
      <c r="X374" s="217">
        <f>_xlfn.XLOOKUP(W374,マスタ!A:A,マスタ!C:C,0)*M374</f>
        <v>2.98</v>
      </c>
      <c r="Y374" s="218">
        <f>IF(N374="",0,_xlfn.XLOOKUP(W374,マスタ!A:A,マスタ!D:D,0)*M374)</f>
        <v>0</v>
      </c>
      <c r="Z374" s="219">
        <f>_xlfn.XLOOKUP(W374,マスタ!A:A,マスタ!E:E,0)*M374</f>
        <v>3.5</v>
      </c>
      <c r="AA374" s="219">
        <f>_xlfn.XLOOKUP(W374,マスタ!A:A,マスタ!F:F,0)*M374</f>
        <v>3.96</v>
      </c>
      <c r="AB374" s="219">
        <f>_xlfn.XLOOKUP(W374,マスタ!A:A,マスタ!G:G,0)*M374</f>
        <v>1.1599999999999999</v>
      </c>
      <c r="AC374" s="220">
        <f>_xlfn.XLOOKUP(W374,マスタ!A:A,マスタ!H:H,0)*M374</f>
        <v>1.1599999999999999</v>
      </c>
      <c r="AD374" s="227">
        <f t="shared" si="21"/>
        <v>12.760000000000002</v>
      </c>
    </row>
    <row r="375" spans="1:30" ht="15" customHeight="1">
      <c r="A375" s="145"/>
      <c r="B375" s="162"/>
      <c r="C375" s="287"/>
      <c r="D375" s="280" t="s">
        <v>473</v>
      </c>
      <c r="E375" s="280"/>
      <c r="F375" s="280"/>
      <c r="G375" s="280"/>
      <c r="H375" s="174"/>
      <c r="I375" s="433" t="s">
        <v>74</v>
      </c>
      <c r="J375" s="514"/>
      <c r="K375" s="434" t="s">
        <v>58</v>
      </c>
      <c r="L375" s="434" t="s">
        <v>58</v>
      </c>
      <c r="M375" s="435">
        <v>1</v>
      </c>
      <c r="N375" s="181"/>
      <c r="O375" s="182"/>
      <c r="P375" s="181"/>
      <c r="Q375" s="182"/>
      <c r="R375" s="181"/>
      <c r="S375" s="182"/>
      <c r="T375" s="181"/>
      <c r="U375" s="182"/>
      <c r="W375" s="208" t="s">
        <v>59</v>
      </c>
      <c r="X375" s="217">
        <f>_xlfn.XLOOKUP(W375,マスタ!A:A,マスタ!C:C,0)*M375</f>
        <v>2.98</v>
      </c>
      <c r="Y375" s="218">
        <f>IF(N375="",0,_xlfn.XLOOKUP(W375,マスタ!A:A,マスタ!D:D,0)*M375)</f>
        <v>0</v>
      </c>
      <c r="Z375" s="219">
        <f>_xlfn.XLOOKUP(W375,マスタ!A:A,マスタ!E:E,0)*M375</f>
        <v>3.5</v>
      </c>
      <c r="AA375" s="219">
        <f>_xlfn.XLOOKUP(W375,マスタ!A:A,マスタ!F:F,0)*M375</f>
        <v>3.96</v>
      </c>
      <c r="AB375" s="219">
        <f>_xlfn.XLOOKUP(W375,マスタ!A:A,マスタ!G:G,0)*M375</f>
        <v>1.1599999999999999</v>
      </c>
      <c r="AC375" s="220">
        <f>_xlfn.XLOOKUP(W375,マスタ!A:A,マスタ!H:H,0)*M375</f>
        <v>1.1599999999999999</v>
      </c>
      <c r="AD375" s="227">
        <f t="shared" si="21"/>
        <v>12.760000000000002</v>
      </c>
    </row>
    <row r="376" spans="1:30" ht="15" customHeight="1">
      <c r="A376" s="145"/>
      <c r="B376" s="162"/>
      <c r="C376" s="288"/>
      <c r="D376" s="281" t="s">
        <v>474</v>
      </c>
      <c r="E376" s="281"/>
      <c r="F376" s="281"/>
      <c r="G376" s="281"/>
      <c r="H376" s="176"/>
      <c r="I376" s="439" t="s">
        <v>74</v>
      </c>
      <c r="J376" s="516"/>
      <c r="K376" s="440" t="s">
        <v>58</v>
      </c>
      <c r="L376" s="440" t="s">
        <v>58</v>
      </c>
      <c r="M376" s="441">
        <v>1</v>
      </c>
      <c r="N376" s="185"/>
      <c r="O376" s="186"/>
      <c r="P376" s="185"/>
      <c r="Q376" s="186"/>
      <c r="R376" s="185"/>
      <c r="S376" s="186"/>
      <c r="T376" s="185"/>
      <c r="U376" s="186"/>
      <c r="W376" s="208" t="s">
        <v>59</v>
      </c>
      <c r="X376" s="217">
        <f>_xlfn.XLOOKUP(W376,マスタ!A:A,マスタ!C:C,0)*M376</f>
        <v>2.98</v>
      </c>
      <c r="Y376" s="218">
        <f>IF(N376="",0,_xlfn.XLOOKUP(W376,マスタ!A:A,マスタ!D:D,0)*M376)</f>
        <v>0</v>
      </c>
      <c r="Z376" s="219">
        <f>_xlfn.XLOOKUP(W376,マスタ!A:A,マスタ!E:E,0)*M376</f>
        <v>3.5</v>
      </c>
      <c r="AA376" s="219">
        <f>_xlfn.XLOOKUP(W376,マスタ!A:A,マスタ!F:F,0)*M376</f>
        <v>3.96</v>
      </c>
      <c r="AB376" s="219">
        <f>_xlfn.XLOOKUP(W376,マスタ!A:A,マスタ!G:G,0)*M376</f>
        <v>1.1599999999999999</v>
      </c>
      <c r="AC376" s="220">
        <f>_xlfn.XLOOKUP(W376,マスタ!A:A,マスタ!H:H,0)*M376</f>
        <v>1.1599999999999999</v>
      </c>
      <c r="AD376" s="227">
        <f t="shared" si="21"/>
        <v>12.760000000000002</v>
      </c>
    </row>
    <row r="377" spans="1:30" ht="15" customHeight="1">
      <c r="A377" s="145"/>
      <c r="B377" s="162"/>
      <c r="C377" s="293" t="s">
        <v>475</v>
      </c>
      <c r="D377" s="272"/>
      <c r="E377" s="272"/>
      <c r="F377" s="272"/>
      <c r="G377" s="272"/>
      <c r="H377" s="173" t="s">
        <v>471</v>
      </c>
      <c r="I377" s="430" t="s">
        <v>74</v>
      </c>
      <c r="J377" s="513"/>
      <c r="K377" s="431" t="s">
        <v>58</v>
      </c>
      <c r="L377" s="431" t="s">
        <v>58</v>
      </c>
      <c r="M377" s="432">
        <v>1</v>
      </c>
      <c r="N377" s="179"/>
      <c r="O377" s="180"/>
      <c r="P377" s="179"/>
      <c r="Q377" s="180"/>
      <c r="R377" s="179"/>
      <c r="S377" s="180"/>
      <c r="T377" s="179"/>
      <c r="U377" s="180"/>
      <c r="W377" s="208"/>
      <c r="X377" s="217">
        <f>_xlfn.XLOOKUP(W377,マスタ!A:A,マスタ!C:C,0)*M377</f>
        <v>0</v>
      </c>
      <c r="Y377" s="218">
        <f>IF(N377="",0,_xlfn.XLOOKUP(W377,マスタ!A:A,マスタ!D:D,0)*M377)</f>
        <v>0</v>
      </c>
      <c r="Z377" s="219">
        <f>_xlfn.XLOOKUP(W377,マスタ!A:A,マスタ!E:E,0)*M377</f>
        <v>0</v>
      </c>
      <c r="AA377" s="219">
        <f>_xlfn.XLOOKUP(W377,マスタ!A:A,マスタ!F:F,0)*M377</f>
        <v>0</v>
      </c>
      <c r="AB377" s="219">
        <f>_xlfn.XLOOKUP(W377,マスタ!A:A,マスタ!G:G,0)*M377</f>
        <v>0</v>
      </c>
      <c r="AC377" s="220">
        <f>_xlfn.XLOOKUP(W377,マスタ!A:A,マスタ!H:H,0)*M377</f>
        <v>0</v>
      </c>
      <c r="AD377" s="227">
        <f t="shared" si="21"/>
        <v>0</v>
      </c>
    </row>
    <row r="378" spans="1:30" ht="15" customHeight="1">
      <c r="A378" s="145"/>
      <c r="B378" s="167"/>
      <c r="C378" s="288"/>
      <c r="D378" s="289" t="s">
        <v>476</v>
      </c>
      <c r="E378" s="289"/>
      <c r="F378" s="289"/>
      <c r="G378" s="289"/>
      <c r="H378" s="175"/>
      <c r="I378" s="436" t="s">
        <v>74</v>
      </c>
      <c r="J378" s="515"/>
      <c r="K378" s="437" t="s">
        <v>58</v>
      </c>
      <c r="L378" s="437" t="s">
        <v>58</v>
      </c>
      <c r="M378" s="438">
        <v>1</v>
      </c>
      <c r="N378" s="183"/>
      <c r="O378" s="184"/>
      <c r="P378" s="183"/>
      <c r="Q378" s="184"/>
      <c r="R378" s="183"/>
      <c r="S378" s="184"/>
      <c r="T378" s="183"/>
      <c r="U378" s="184"/>
      <c r="W378" s="208" t="s">
        <v>61</v>
      </c>
      <c r="X378" s="217">
        <f>_xlfn.XLOOKUP(W378,マスタ!A:A,マスタ!C:C,0)*M378</f>
        <v>5.95</v>
      </c>
      <c r="Y378" s="218">
        <f>IF(N378="",0,_xlfn.XLOOKUP(W378,マスタ!A:A,マスタ!D:D,0)*M378)</f>
        <v>0</v>
      </c>
      <c r="Z378" s="219">
        <f>_xlfn.XLOOKUP(W378,マスタ!A:A,マスタ!E:E,0)*M378</f>
        <v>7</v>
      </c>
      <c r="AA378" s="219">
        <f>_xlfn.XLOOKUP(W378,マスタ!A:A,マスタ!F:F,0)*M378</f>
        <v>7.91</v>
      </c>
      <c r="AB378" s="219">
        <f>_xlfn.XLOOKUP(W378,マスタ!A:A,マスタ!G:G,0)*M378</f>
        <v>2.31</v>
      </c>
      <c r="AC378" s="220">
        <f>_xlfn.XLOOKUP(W378,マスタ!A:A,マスタ!H:H,0)*M378</f>
        <v>2.31</v>
      </c>
      <c r="AD378" s="227">
        <f t="shared" si="21"/>
        <v>25.479999999999997</v>
      </c>
    </row>
    <row r="379" spans="1:30" ht="15" customHeight="1">
      <c r="A379" s="145"/>
      <c r="B379" s="293" t="s">
        <v>477</v>
      </c>
      <c r="C379" s="172"/>
      <c r="D379" s="161"/>
      <c r="E379" s="161"/>
      <c r="F379" s="161"/>
      <c r="G379" s="297"/>
      <c r="H379" s="298"/>
      <c r="I379" s="442"/>
      <c r="J379" s="517"/>
      <c r="K379" s="443"/>
      <c r="L379" s="443"/>
      <c r="M379" s="444"/>
      <c r="N379" s="177"/>
      <c r="O379" s="178"/>
      <c r="P379" s="177"/>
      <c r="Q379" s="178"/>
      <c r="R379" s="177"/>
      <c r="S379" s="178"/>
      <c r="T379" s="177"/>
      <c r="U379" s="178"/>
      <c r="W379" s="208"/>
      <c r="X379" s="217">
        <f>_xlfn.XLOOKUP(W379,マスタ!A:A,マスタ!C:C,0)*M379</f>
        <v>0</v>
      </c>
      <c r="Y379" s="218">
        <f>IF(N379="",0,_xlfn.XLOOKUP(W379,マスタ!A:A,マスタ!D:D,0)*M379)</f>
        <v>0</v>
      </c>
      <c r="Z379" s="219">
        <f>_xlfn.XLOOKUP(W379,マスタ!A:A,マスタ!E:E,0)*M379</f>
        <v>0</v>
      </c>
      <c r="AA379" s="219">
        <f>_xlfn.XLOOKUP(W379,マスタ!A:A,マスタ!F:F,0)*M379</f>
        <v>0</v>
      </c>
      <c r="AB379" s="219">
        <f>_xlfn.XLOOKUP(W379,マスタ!A:A,マスタ!G:G,0)*M379</f>
        <v>0</v>
      </c>
      <c r="AC379" s="220">
        <f>_xlfn.XLOOKUP(W379,マスタ!A:A,マスタ!H:H,0)*M379</f>
        <v>0</v>
      </c>
      <c r="AD379" s="227">
        <f t="shared" si="21"/>
        <v>0</v>
      </c>
    </row>
    <row r="380" spans="1:30" ht="15" customHeight="1">
      <c r="A380" s="145"/>
      <c r="B380" s="162"/>
      <c r="C380" s="242" t="s">
        <v>478</v>
      </c>
      <c r="D380" s="243"/>
      <c r="E380" s="243"/>
      <c r="F380" s="243"/>
      <c r="G380" s="299"/>
      <c r="H380" s="286"/>
      <c r="I380" s="454" t="s">
        <v>73</v>
      </c>
      <c r="J380" s="520"/>
      <c r="K380" s="455" t="s">
        <v>58</v>
      </c>
      <c r="L380" s="455" t="s">
        <v>58</v>
      </c>
      <c r="M380" s="456">
        <v>1</v>
      </c>
      <c r="N380" s="245"/>
      <c r="O380" s="246"/>
      <c r="P380" s="245"/>
      <c r="Q380" s="246"/>
      <c r="R380" s="245"/>
      <c r="S380" s="246"/>
      <c r="T380" s="245"/>
      <c r="U380" s="246"/>
      <c r="W380" s="208" t="s">
        <v>61</v>
      </c>
      <c r="X380" s="217">
        <f>_xlfn.XLOOKUP(W380,マスタ!A:A,マスタ!C:C,0)*M380</f>
        <v>5.95</v>
      </c>
      <c r="Y380" s="218">
        <f>IF(N380="",0,_xlfn.XLOOKUP(W380,マスタ!A:A,マスタ!D:D,0)*M380)</f>
        <v>0</v>
      </c>
      <c r="Z380" s="219">
        <f>_xlfn.XLOOKUP(W380,マスタ!A:A,マスタ!E:E,0)*M380</f>
        <v>7</v>
      </c>
      <c r="AA380" s="219">
        <f>_xlfn.XLOOKUP(W380,マスタ!A:A,マスタ!F:F,0)*M380</f>
        <v>7.91</v>
      </c>
      <c r="AB380" s="219">
        <f>_xlfn.XLOOKUP(W380,マスタ!A:A,マスタ!G:G,0)*M380</f>
        <v>2.31</v>
      </c>
      <c r="AC380" s="220">
        <f>_xlfn.XLOOKUP(W380,マスタ!A:A,マスタ!H:H,0)*M380</f>
        <v>2.31</v>
      </c>
      <c r="AD380" s="227">
        <f t="shared" si="21"/>
        <v>25.479999999999997</v>
      </c>
    </row>
    <row r="381" spans="1:30" ht="15" customHeight="1">
      <c r="A381" s="145"/>
      <c r="B381" s="293" t="s">
        <v>479</v>
      </c>
      <c r="C381" s="172"/>
      <c r="D381" s="161"/>
      <c r="E381" s="161"/>
      <c r="F381" s="161"/>
      <c r="G381" s="297"/>
      <c r="H381" s="298"/>
      <c r="I381" s="442"/>
      <c r="J381" s="517"/>
      <c r="K381" s="443"/>
      <c r="L381" s="443"/>
      <c r="M381" s="444"/>
      <c r="N381" s="177"/>
      <c r="O381" s="178"/>
      <c r="P381" s="177"/>
      <c r="Q381" s="178"/>
      <c r="R381" s="177"/>
      <c r="S381" s="178"/>
      <c r="T381" s="177"/>
      <c r="U381" s="178"/>
      <c r="W381" s="208"/>
      <c r="X381" s="217">
        <f>_xlfn.XLOOKUP(W381,マスタ!A:A,マスタ!C:C,0)*M381</f>
        <v>0</v>
      </c>
      <c r="Y381" s="218">
        <f>IF(N381="",0,_xlfn.XLOOKUP(W381,マスタ!A:A,マスタ!D:D,0)*M381)</f>
        <v>0</v>
      </c>
      <c r="Z381" s="219">
        <f>_xlfn.XLOOKUP(W381,マスタ!A:A,マスタ!E:E,0)*M381</f>
        <v>0</v>
      </c>
      <c r="AA381" s="219">
        <f>_xlfn.XLOOKUP(W381,マスタ!A:A,マスタ!F:F,0)*M381</f>
        <v>0</v>
      </c>
      <c r="AB381" s="219">
        <f>_xlfn.XLOOKUP(W381,マスタ!A:A,マスタ!G:G,0)*M381</f>
        <v>0</v>
      </c>
      <c r="AC381" s="220">
        <f>_xlfn.XLOOKUP(W381,マスタ!A:A,マスタ!H:H,0)*M381</f>
        <v>0</v>
      </c>
      <c r="AD381" s="227">
        <f t="shared" si="21"/>
        <v>0</v>
      </c>
    </row>
    <row r="382" spans="1:30" ht="15" customHeight="1">
      <c r="A382" s="145"/>
      <c r="B382" s="167"/>
      <c r="C382" s="242" t="s">
        <v>480</v>
      </c>
      <c r="D382" s="243"/>
      <c r="E382" s="243"/>
      <c r="F382" s="243"/>
      <c r="G382" s="299"/>
      <c r="H382" s="286"/>
      <c r="I382" s="454" t="s">
        <v>73</v>
      </c>
      <c r="J382" s="520"/>
      <c r="K382" s="455" t="s">
        <v>57</v>
      </c>
      <c r="L382" s="455" t="s">
        <v>58</v>
      </c>
      <c r="M382" s="456">
        <v>1</v>
      </c>
      <c r="N382" s="245"/>
      <c r="O382" s="246"/>
      <c r="P382" s="245"/>
      <c r="Q382" s="246"/>
      <c r="R382" s="245"/>
      <c r="S382" s="246"/>
      <c r="T382" s="245"/>
      <c r="U382" s="246"/>
      <c r="W382" s="208" t="s">
        <v>61</v>
      </c>
      <c r="X382" s="217">
        <f>_xlfn.XLOOKUP(W382,マスタ!A:A,マスタ!C:C,0)*M382</f>
        <v>5.95</v>
      </c>
      <c r="Y382" s="218">
        <f>IF(N382="",0,_xlfn.XLOOKUP(W382,マスタ!A:A,マスタ!D:D,0)*M382)</f>
        <v>0</v>
      </c>
      <c r="Z382" s="219">
        <f>_xlfn.XLOOKUP(W382,マスタ!A:A,マスタ!E:E,0)*M382</f>
        <v>7</v>
      </c>
      <c r="AA382" s="219">
        <f>_xlfn.XLOOKUP(W382,マスタ!A:A,マスタ!F:F,0)*M382</f>
        <v>7.91</v>
      </c>
      <c r="AB382" s="219">
        <f>_xlfn.XLOOKUP(W382,マスタ!A:A,マスタ!G:G,0)*M382</f>
        <v>2.31</v>
      </c>
      <c r="AC382" s="220">
        <f>_xlfn.XLOOKUP(W382,マスタ!A:A,マスタ!H:H,0)*M382</f>
        <v>2.31</v>
      </c>
      <c r="AD382" s="227">
        <f t="shared" si="21"/>
        <v>25.479999999999997</v>
      </c>
    </row>
    <row r="383" spans="1:30" ht="15" customHeight="1">
      <c r="A383" s="145"/>
      <c r="B383" s="293" t="s">
        <v>481</v>
      </c>
      <c r="C383" s="172"/>
      <c r="D383" s="161"/>
      <c r="E383" s="161"/>
      <c r="F383" s="161"/>
      <c r="G383" s="297"/>
      <c r="H383" s="298"/>
      <c r="I383" s="442"/>
      <c r="J383" s="517"/>
      <c r="K383" s="443"/>
      <c r="L383" s="443"/>
      <c r="M383" s="444"/>
      <c r="N383" s="177"/>
      <c r="O383" s="178"/>
      <c r="P383" s="177"/>
      <c r="Q383" s="178"/>
      <c r="R383" s="177"/>
      <c r="S383" s="178"/>
      <c r="T383" s="177"/>
      <c r="U383" s="178"/>
      <c r="W383" s="208"/>
      <c r="X383" s="217">
        <f>_xlfn.XLOOKUP(W383,マスタ!A:A,マスタ!C:C,0)*M383</f>
        <v>0</v>
      </c>
      <c r="Y383" s="218">
        <f>IF(N383="",0,_xlfn.XLOOKUP(W383,マスタ!A:A,マスタ!D:D,0)*M383)</f>
        <v>0</v>
      </c>
      <c r="Z383" s="219">
        <f>_xlfn.XLOOKUP(W383,マスタ!A:A,マスタ!E:E,0)*M383</f>
        <v>0</v>
      </c>
      <c r="AA383" s="219">
        <f>_xlfn.XLOOKUP(W383,マスタ!A:A,マスタ!F:F,0)*M383</f>
        <v>0</v>
      </c>
      <c r="AB383" s="219">
        <f>_xlfn.XLOOKUP(W383,マスタ!A:A,マスタ!G:G,0)*M383</f>
        <v>0</v>
      </c>
      <c r="AC383" s="220">
        <f>_xlfn.XLOOKUP(W383,マスタ!A:A,マスタ!H:H,0)*M383</f>
        <v>0</v>
      </c>
      <c r="AD383" s="227">
        <f t="shared" ref="AD383:AD384" si="22">SUM(X383:AC383)</f>
        <v>0</v>
      </c>
    </row>
    <row r="384" spans="1:30" ht="15" customHeight="1">
      <c r="A384" s="145"/>
      <c r="B384" s="162"/>
      <c r="C384" s="163" t="s">
        <v>482</v>
      </c>
      <c r="D384" s="164"/>
      <c r="E384" s="164"/>
      <c r="F384" s="164"/>
      <c r="G384" s="234"/>
      <c r="H384" s="294"/>
      <c r="I384" s="430" t="s">
        <v>57</v>
      </c>
      <c r="J384" s="513"/>
      <c r="K384" s="431" t="s">
        <v>74</v>
      </c>
      <c r="L384" s="431" t="s">
        <v>74</v>
      </c>
      <c r="M384" s="432">
        <v>1</v>
      </c>
      <c r="N384" s="179"/>
      <c r="O384" s="180"/>
      <c r="P384" s="179"/>
      <c r="Q384" s="180"/>
      <c r="R384" s="179"/>
      <c r="S384" s="180"/>
      <c r="T384" s="179"/>
      <c r="U384" s="180"/>
      <c r="W384" s="208" t="s">
        <v>61</v>
      </c>
      <c r="X384" s="217">
        <f>_xlfn.XLOOKUP(W384,マスタ!A:A,マスタ!C:C,0)*M384</f>
        <v>5.95</v>
      </c>
      <c r="Y384" s="218">
        <f>IF(N384="",0,_xlfn.XLOOKUP(W384,マスタ!A:A,マスタ!D:D,0)*M384)</f>
        <v>0</v>
      </c>
      <c r="Z384" s="219">
        <f>_xlfn.XLOOKUP(W384,マスタ!A:A,マスタ!E:E,0)*M384</f>
        <v>7</v>
      </c>
      <c r="AA384" s="219">
        <f>_xlfn.XLOOKUP(W384,マスタ!A:A,マスタ!F:F,0)*M384</f>
        <v>7.91</v>
      </c>
      <c r="AB384" s="219">
        <f>_xlfn.XLOOKUP(W384,マスタ!A:A,マスタ!G:G,0)*M384</f>
        <v>2.31</v>
      </c>
      <c r="AC384" s="220">
        <f>_xlfn.XLOOKUP(W384,マスタ!A:A,マスタ!H:H,0)*M384</f>
        <v>2.31</v>
      </c>
      <c r="AD384" s="227">
        <f t="shared" si="22"/>
        <v>25.479999999999997</v>
      </c>
    </row>
    <row r="385" spans="1:30" ht="15" customHeight="1">
      <c r="A385" s="145"/>
      <c r="B385" s="162"/>
      <c r="C385" s="165" t="s">
        <v>483</v>
      </c>
      <c r="D385" s="166"/>
      <c r="E385" s="166"/>
      <c r="F385" s="166"/>
      <c r="G385" s="275"/>
      <c r="H385" s="295"/>
      <c r="I385" s="433" t="s">
        <v>57</v>
      </c>
      <c r="J385" s="514"/>
      <c r="K385" s="434" t="s">
        <v>74</v>
      </c>
      <c r="L385" s="434" t="s">
        <v>74</v>
      </c>
      <c r="M385" s="435">
        <v>1</v>
      </c>
      <c r="N385" s="181"/>
      <c r="O385" s="182"/>
      <c r="P385" s="181"/>
      <c r="Q385" s="182"/>
      <c r="R385" s="181"/>
      <c r="S385" s="182"/>
      <c r="T385" s="181"/>
      <c r="U385" s="182"/>
      <c r="W385" s="208" t="s">
        <v>61</v>
      </c>
      <c r="X385" s="217">
        <f>_xlfn.XLOOKUP(W385,マスタ!A:A,マスタ!C:C,0)*M385</f>
        <v>5.95</v>
      </c>
      <c r="Y385" s="218">
        <f>IF(N385="",0,_xlfn.XLOOKUP(W385,マスタ!A:A,マスタ!D:D,0)*M385)</f>
        <v>0</v>
      </c>
      <c r="Z385" s="219">
        <f>_xlfn.XLOOKUP(W385,マスタ!A:A,マスタ!E:E,0)*M385</f>
        <v>7</v>
      </c>
      <c r="AA385" s="219">
        <f>_xlfn.XLOOKUP(W385,マスタ!A:A,マスタ!F:F,0)*M385</f>
        <v>7.91</v>
      </c>
      <c r="AB385" s="219">
        <f>_xlfn.XLOOKUP(W385,マスタ!A:A,マスタ!G:G,0)*M385</f>
        <v>2.31</v>
      </c>
      <c r="AC385" s="220">
        <f>_xlfn.XLOOKUP(W385,マスタ!A:A,マスタ!H:H,0)*M385</f>
        <v>2.31</v>
      </c>
      <c r="AD385" s="227">
        <f t="shared" ref="AD385:AD396" si="23">SUM(X385:AC385)</f>
        <v>25.479999999999997</v>
      </c>
    </row>
    <row r="386" spans="1:30" ht="15" customHeight="1">
      <c r="A386" s="145"/>
      <c r="B386" s="162"/>
      <c r="C386" s="165" t="s">
        <v>484</v>
      </c>
      <c r="D386" s="166"/>
      <c r="E386" s="166"/>
      <c r="F386" s="166"/>
      <c r="G386" s="275"/>
      <c r="H386" s="295"/>
      <c r="I386" s="433" t="s">
        <v>57</v>
      </c>
      <c r="J386" s="514"/>
      <c r="K386" s="434" t="s">
        <v>74</v>
      </c>
      <c r="L386" s="434" t="s">
        <v>74</v>
      </c>
      <c r="M386" s="435">
        <v>1</v>
      </c>
      <c r="N386" s="181"/>
      <c r="O386" s="182"/>
      <c r="P386" s="181"/>
      <c r="Q386" s="182"/>
      <c r="R386" s="181"/>
      <c r="S386" s="182"/>
      <c r="T386" s="181"/>
      <c r="U386" s="182"/>
      <c r="W386" s="208" t="s">
        <v>61</v>
      </c>
      <c r="X386" s="217">
        <f>_xlfn.XLOOKUP(W386,マスタ!A:A,マスタ!C:C,0)*M386</f>
        <v>5.95</v>
      </c>
      <c r="Y386" s="218">
        <f>IF(N386="",0,_xlfn.XLOOKUP(W386,マスタ!A:A,マスタ!D:D,0)*M386)</f>
        <v>0</v>
      </c>
      <c r="Z386" s="219">
        <f>_xlfn.XLOOKUP(W386,マスタ!A:A,マスタ!E:E,0)*M386</f>
        <v>7</v>
      </c>
      <c r="AA386" s="219">
        <f>_xlfn.XLOOKUP(W386,マスタ!A:A,マスタ!F:F,0)*M386</f>
        <v>7.91</v>
      </c>
      <c r="AB386" s="219">
        <f>_xlfn.XLOOKUP(W386,マスタ!A:A,マスタ!G:G,0)*M386</f>
        <v>2.31</v>
      </c>
      <c r="AC386" s="220">
        <f>_xlfn.XLOOKUP(W386,マスタ!A:A,マスタ!H:H,0)*M386</f>
        <v>2.31</v>
      </c>
      <c r="AD386" s="227">
        <f t="shared" si="23"/>
        <v>25.479999999999997</v>
      </c>
    </row>
    <row r="387" spans="1:30" ht="15" customHeight="1">
      <c r="A387" s="145"/>
      <c r="B387" s="162"/>
      <c r="C387" s="165" t="s">
        <v>485</v>
      </c>
      <c r="D387" s="166"/>
      <c r="E387" s="166"/>
      <c r="F387" s="166"/>
      <c r="G387" s="275"/>
      <c r="H387" s="295"/>
      <c r="I387" s="433" t="s">
        <v>57</v>
      </c>
      <c r="J387" s="514"/>
      <c r="K387" s="434" t="s">
        <v>74</v>
      </c>
      <c r="L387" s="434" t="s">
        <v>74</v>
      </c>
      <c r="M387" s="435">
        <v>1</v>
      </c>
      <c r="N387" s="181"/>
      <c r="O387" s="182"/>
      <c r="P387" s="181"/>
      <c r="Q387" s="182"/>
      <c r="R387" s="181"/>
      <c r="S387" s="182"/>
      <c r="T387" s="181"/>
      <c r="U387" s="182"/>
      <c r="W387" s="208" t="s">
        <v>61</v>
      </c>
      <c r="X387" s="217">
        <f>_xlfn.XLOOKUP(W387,マスタ!A:A,マスタ!C:C,0)*M387</f>
        <v>5.95</v>
      </c>
      <c r="Y387" s="218">
        <f>IF(N387="",0,_xlfn.XLOOKUP(W387,マスタ!A:A,マスタ!D:D,0)*M387)</f>
        <v>0</v>
      </c>
      <c r="Z387" s="219">
        <f>_xlfn.XLOOKUP(W387,マスタ!A:A,マスタ!E:E,0)*M387</f>
        <v>7</v>
      </c>
      <c r="AA387" s="219">
        <f>_xlfn.XLOOKUP(W387,マスタ!A:A,マスタ!F:F,0)*M387</f>
        <v>7.91</v>
      </c>
      <c r="AB387" s="219">
        <f>_xlfn.XLOOKUP(W387,マスタ!A:A,マスタ!G:G,0)*M387</f>
        <v>2.31</v>
      </c>
      <c r="AC387" s="220">
        <f>_xlfn.XLOOKUP(W387,マスタ!A:A,マスタ!H:H,0)*M387</f>
        <v>2.31</v>
      </c>
      <c r="AD387" s="227">
        <f t="shared" si="23"/>
        <v>25.479999999999997</v>
      </c>
    </row>
    <row r="388" spans="1:30" ht="15" customHeight="1">
      <c r="A388" s="145"/>
      <c r="B388" s="162"/>
      <c r="C388" s="165" t="s">
        <v>486</v>
      </c>
      <c r="D388" s="166"/>
      <c r="E388" s="166"/>
      <c r="F388" s="166"/>
      <c r="G388" s="275"/>
      <c r="H388" s="295"/>
      <c r="I388" s="433" t="s">
        <v>57</v>
      </c>
      <c r="J388" s="514"/>
      <c r="K388" s="434" t="s">
        <v>74</v>
      </c>
      <c r="L388" s="434" t="s">
        <v>74</v>
      </c>
      <c r="M388" s="435">
        <v>1</v>
      </c>
      <c r="N388" s="181"/>
      <c r="O388" s="182"/>
      <c r="P388" s="181"/>
      <c r="Q388" s="182"/>
      <c r="R388" s="181"/>
      <c r="S388" s="182"/>
      <c r="T388" s="181"/>
      <c r="U388" s="182"/>
      <c r="W388" s="208" t="s">
        <v>61</v>
      </c>
      <c r="X388" s="217">
        <f>_xlfn.XLOOKUP(W388,マスタ!A:A,マスタ!C:C,0)*M388</f>
        <v>5.95</v>
      </c>
      <c r="Y388" s="218">
        <f>IF(N388="",0,_xlfn.XLOOKUP(W388,マスタ!A:A,マスタ!D:D,0)*M388)</f>
        <v>0</v>
      </c>
      <c r="Z388" s="219">
        <f>_xlfn.XLOOKUP(W388,マスタ!A:A,マスタ!E:E,0)*M388</f>
        <v>7</v>
      </c>
      <c r="AA388" s="219">
        <f>_xlfn.XLOOKUP(W388,マスタ!A:A,マスタ!F:F,0)*M388</f>
        <v>7.91</v>
      </c>
      <c r="AB388" s="219">
        <f>_xlfn.XLOOKUP(W388,マスタ!A:A,マスタ!G:G,0)*M388</f>
        <v>2.31</v>
      </c>
      <c r="AC388" s="220">
        <f>_xlfn.XLOOKUP(W388,マスタ!A:A,マスタ!H:H,0)*M388</f>
        <v>2.31</v>
      </c>
      <c r="AD388" s="227">
        <f t="shared" si="23"/>
        <v>25.479999999999997</v>
      </c>
    </row>
    <row r="389" spans="1:30" ht="15" customHeight="1">
      <c r="A389" s="145"/>
      <c r="B389" s="162"/>
      <c r="C389" s="165" t="s">
        <v>487</v>
      </c>
      <c r="D389" s="166"/>
      <c r="E389" s="166"/>
      <c r="F389" s="166"/>
      <c r="G389" s="275"/>
      <c r="H389" s="295"/>
      <c r="I389" s="433" t="s">
        <v>57</v>
      </c>
      <c r="J389" s="514"/>
      <c r="K389" s="434" t="s">
        <v>74</v>
      </c>
      <c r="L389" s="434" t="s">
        <v>74</v>
      </c>
      <c r="M389" s="435">
        <v>1</v>
      </c>
      <c r="N389" s="181"/>
      <c r="O389" s="182"/>
      <c r="P389" s="181"/>
      <c r="Q389" s="182"/>
      <c r="R389" s="181"/>
      <c r="S389" s="182"/>
      <c r="T389" s="181"/>
      <c r="U389" s="182"/>
      <c r="W389" s="208" t="s">
        <v>61</v>
      </c>
      <c r="X389" s="217">
        <f>_xlfn.XLOOKUP(W389,マスタ!A:A,マスタ!C:C,0)*M389</f>
        <v>5.95</v>
      </c>
      <c r="Y389" s="218">
        <f>IF(N389="",0,_xlfn.XLOOKUP(W389,マスタ!A:A,マスタ!D:D,0)*M389)</f>
        <v>0</v>
      </c>
      <c r="Z389" s="219">
        <f>_xlfn.XLOOKUP(W389,マスタ!A:A,マスタ!E:E,0)*M389</f>
        <v>7</v>
      </c>
      <c r="AA389" s="219">
        <f>_xlfn.XLOOKUP(W389,マスタ!A:A,マスタ!F:F,0)*M389</f>
        <v>7.91</v>
      </c>
      <c r="AB389" s="219">
        <f>_xlfn.XLOOKUP(W389,マスタ!A:A,マスタ!G:G,0)*M389</f>
        <v>2.31</v>
      </c>
      <c r="AC389" s="220">
        <f>_xlfn.XLOOKUP(W389,マスタ!A:A,マスタ!H:H,0)*M389</f>
        <v>2.31</v>
      </c>
      <c r="AD389" s="227">
        <f t="shared" si="23"/>
        <v>25.479999999999997</v>
      </c>
    </row>
    <row r="390" spans="1:30" ht="15" customHeight="1">
      <c r="A390" s="145"/>
      <c r="B390" s="162"/>
      <c r="C390" s="165" t="s">
        <v>488</v>
      </c>
      <c r="D390" s="166"/>
      <c r="E390" s="166"/>
      <c r="F390" s="166"/>
      <c r="G390" s="275"/>
      <c r="H390" s="295"/>
      <c r="I390" s="433" t="s">
        <v>57</v>
      </c>
      <c r="J390" s="514"/>
      <c r="K390" s="434" t="s">
        <v>74</v>
      </c>
      <c r="L390" s="434" t="s">
        <v>74</v>
      </c>
      <c r="M390" s="435">
        <v>1</v>
      </c>
      <c r="N390" s="181"/>
      <c r="O390" s="182"/>
      <c r="P390" s="181"/>
      <c r="Q390" s="182"/>
      <c r="R390" s="181"/>
      <c r="S390" s="182"/>
      <c r="T390" s="181"/>
      <c r="U390" s="182"/>
      <c r="W390" s="208" t="s">
        <v>61</v>
      </c>
      <c r="X390" s="217">
        <f>_xlfn.XLOOKUP(W390,マスタ!A:A,マスタ!C:C,0)*M390</f>
        <v>5.95</v>
      </c>
      <c r="Y390" s="218">
        <f>IF(N390="",0,_xlfn.XLOOKUP(W390,マスタ!A:A,マスタ!D:D,0)*M390)</f>
        <v>0</v>
      </c>
      <c r="Z390" s="219">
        <f>_xlfn.XLOOKUP(W390,マスタ!A:A,マスタ!E:E,0)*M390</f>
        <v>7</v>
      </c>
      <c r="AA390" s="219">
        <f>_xlfn.XLOOKUP(W390,マスタ!A:A,マスタ!F:F,0)*M390</f>
        <v>7.91</v>
      </c>
      <c r="AB390" s="219">
        <f>_xlfn.XLOOKUP(W390,マスタ!A:A,マスタ!G:G,0)*M390</f>
        <v>2.31</v>
      </c>
      <c r="AC390" s="220">
        <f>_xlfn.XLOOKUP(W390,マスタ!A:A,マスタ!H:H,0)*M390</f>
        <v>2.31</v>
      </c>
      <c r="AD390" s="227">
        <f t="shared" si="23"/>
        <v>25.479999999999997</v>
      </c>
    </row>
    <row r="391" spans="1:30" ht="15" customHeight="1">
      <c r="A391" s="145"/>
      <c r="B391" s="162"/>
      <c r="C391" s="165" t="s">
        <v>489</v>
      </c>
      <c r="D391" s="166"/>
      <c r="E391" s="166"/>
      <c r="F391" s="166"/>
      <c r="G391" s="275"/>
      <c r="H391" s="295"/>
      <c r="I391" s="433" t="s">
        <v>57</v>
      </c>
      <c r="J391" s="514"/>
      <c r="K391" s="434" t="s">
        <v>74</v>
      </c>
      <c r="L391" s="434" t="s">
        <v>74</v>
      </c>
      <c r="M391" s="435">
        <v>1</v>
      </c>
      <c r="N391" s="181"/>
      <c r="O391" s="182"/>
      <c r="P391" s="181"/>
      <c r="Q391" s="182"/>
      <c r="R391" s="181"/>
      <c r="S391" s="182"/>
      <c r="T391" s="181"/>
      <c r="U391" s="182"/>
      <c r="W391" s="208" t="s">
        <v>61</v>
      </c>
      <c r="X391" s="217">
        <f>_xlfn.XLOOKUP(W391,マスタ!A:A,マスタ!C:C,0)*M391</f>
        <v>5.95</v>
      </c>
      <c r="Y391" s="218">
        <f>IF(N391="",0,_xlfn.XLOOKUP(W391,マスタ!A:A,マスタ!D:D,0)*M391)</f>
        <v>0</v>
      </c>
      <c r="Z391" s="219">
        <f>_xlfn.XLOOKUP(W391,マスタ!A:A,マスタ!E:E,0)*M391</f>
        <v>7</v>
      </c>
      <c r="AA391" s="219">
        <f>_xlfn.XLOOKUP(W391,マスタ!A:A,マスタ!F:F,0)*M391</f>
        <v>7.91</v>
      </c>
      <c r="AB391" s="219">
        <f>_xlfn.XLOOKUP(W391,マスタ!A:A,マスタ!G:G,0)*M391</f>
        <v>2.31</v>
      </c>
      <c r="AC391" s="220">
        <f>_xlfn.XLOOKUP(W391,マスタ!A:A,マスタ!H:H,0)*M391</f>
        <v>2.31</v>
      </c>
      <c r="AD391" s="227">
        <f t="shared" si="23"/>
        <v>25.479999999999997</v>
      </c>
    </row>
    <row r="392" spans="1:30" ht="15" customHeight="1">
      <c r="A392" s="145"/>
      <c r="B392" s="162"/>
      <c r="C392" s="165" t="s">
        <v>490</v>
      </c>
      <c r="D392" s="166"/>
      <c r="E392" s="166"/>
      <c r="F392" s="166"/>
      <c r="G392" s="275"/>
      <c r="H392" s="295"/>
      <c r="I392" s="433" t="s">
        <v>57</v>
      </c>
      <c r="J392" s="514"/>
      <c r="K392" s="434" t="s">
        <v>74</v>
      </c>
      <c r="L392" s="434" t="s">
        <v>74</v>
      </c>
      <c r="M392" s="435">
        <v>1</v>
      </c>
      <c r="N392" s="181"/>
      <c r="O392" s="182"/>
      <c r="P392" s="181"/>
      <c r="Q392" s="182"/>
      <c r="R392" s="181"/>
      <c r="S392" s="182"/>
      <c r="T392" s="181"/>
      <c r="U392" s="182"/>
      <c r="W392" s="208" t="s">
        <v>61</v>
      </c>
      <c r="X392" s="217">
        <f>_xlfn.XLOOKUP(W392,マスタ!A:A,マスタ!C:C,0)*M392</f>
        <v>5.95</v>
      </c>
      <c r="Y392" s="218">
        <f>IF(N392="",0,_xlfn.XLOOKUP(W392,マスタ!A:A,マスタ!D:D,0)*M392)</f>
        <v>0</v>
      </c>
      <c r="Z392" s="219">
        <f>_xlfn.XLOOKUP(W392,マスタ!A:A,マスタ!E:E,0)*M392</f>
        <v>7</v>
      </c>
      <c r="AA392" s="219">
        <f>_xlfn.XLOOKUP(W392,マスタ!A:A,マスタ!F:F,0)*M392</f>
        <v>7.91</v>
      </c>
      <c r="AB392" s="219">
        <f>_xlfn.XLOOKUP(W392,マスタ!A:A,マスタ!G:G,0)*M392</f>
        <v>2.31</v>
      </c>
      <c r="AC392" s="220">
        <f>_xlfn.XLOOKUP(W392,マスタ!A:A,マスタ!H:H,0)*M392</f>
        <v>2.31</v>
      </c>
      <c r="AD392" s="227">
        <f t="shared" si="23"/>
        <v>25.479999999999997</v>
      </c>
    </row>
    <row r="393" spans="1:30" ht="15" customHeight="1">
      <c r="A393" s="145"/>
      <c r="B393" s="162"/>
      <c r="C393" s="165" t="s">
        <v>491</v>
      </c>
      <c r="D393" s="166"/>
      <c r="E393" s="166"/>
      <c r="F393" s="166"/>
      <c r="G393" s="275"/>
      <c r="H393" s="295"/>
      <c r="I393" s="433" t="s">
        <v>57</v>
      </c>
      <c r="J393" s="514"/>
      <c r="K393" s="434" t="s">
        <v>74</v>
      </c>
      <c r="L393" s="434" t="s">
        <v>74</v>
      </c>
      <c r="M393" s="435">
        <v>1</v>
      </c>
      <c r="N393" s="181"/>
      <c r="O393" s="182"/>
      <c r="P393" s="181"/>
      <c r="Q393" s="182"/>
      <c r="R393" s="181"/>
      <c r="S393" s="182"/>
      <c r="T393" s="181"/>
      <c r="U393" s="182"/>
      <c r="W393" s="208" t="s">
        <v>61</v>
      </c>
      <c r="X393" s="217">
        <f>_xlfn.XLOOKUP(W393,マスタ!A:A,マスタ!C:C,0)*M393</f>
        <v>5.95</v>
      </c>
      <c r="Y393" s="218">
        <f>IF(N393="",0,_xlfn.XLOOKUP(W393,マスタ!A:A,マスタ!D:D,0)*M393)</f>
        <v>0</v>
      </c>
      <c r="Z393" s="219">
        <f>_xlfn.XLOOKUP(W393,マスタ!A:A,マスタ!E:E,0)*M393</f>
        <v>7</v>
      </c>
      <c r="AA393" s="219">
        <f>_xlfn.XLOOKUP(W393,マスタ!A:A,マスタ!F:F,0)*M393</f>
        <v>7.91</v>
      </c>
      <c r="AB393" s="219">
        <f>_xlfn.XLOOKUP(W393,マスタ!A:A,マスタ!G:G,0)*M393</f>
        <v>2.31</v>
      </c>
      <c r="AC393" s="220">
        <f>_xlfn.XLOOKUP(W393,マスタ!A:A,マスタ!H:H,0)*M393</f>
        <v>2.31</v>
      </c>
      <c r="AD393" s="227">
        <f t="shared" si="23"/>
        <v>25.479999999999997</v>
      </c>
    </row>
    <row r="394" spans="1:30" ht="15" customHeight="1">
      <c r="A394" s="145"/>
      <c r="B394" s="162"/>
      <c r="C394" s="165" t="s">
        <v>492</v>
      </c>
      <c r="D394" s="166"/>
      <c r="E394" s="166"/>
      <c r="F394" s="166"/>
      <c r="G394" s="275"/>
      <c r="H394" s="295"/>
      <c r="I394" s="433" t="s">
        <v>57</v>
      </c>
      <c r="J394" s="514"/>
      <c r="K394" s="434" t="s">
        <v>74</v>
      </c>
      <c r="L394" s="434" t="s">
        <v>74</v>
      </c>
      <c r="M394" s="435">
        <v>1</v>
      </c>
      <c r="N394" s="181"/>
      <c r="O394" s="182"/>
      <c r="P394" s="181"/>
      <c r="Q394" s="182"/>
      <c r="R394" s="181"/>
      <c r="S394" s="182"/>
      <c r="T394" s="181"/>
      <c r="U394" s="182"/>
      <c r="W394" s="208" t="s">
        <v>61</v>
      </c>
      <c r="X394" s="217">
        <f>_xlfn.XLOOKUP(W394,マスタ!A:A,マスタ!C:C,0)*M394</f>
        <v>5.95</v>
      </c>
      <c r="Y394" s="218">
        <f>IF(N394="",0,_xlfn.XLOOKUP(W394,マスタ!A:A,マスタ!D:D,0)*M394)</f>
        <v>0</v>
      </c>
      <c r="Z394" s="219">
        <f>_xlfn.XLOOKUP(W394,マスタ!A:A,マスタ!E:E,0)*M394</f>
        <v>7</v>
      </c>
      <c r="AA394" s="219">
        <f>_xlfn.XLOOKUP(W394,マスタ!A:A,マスタ!F:F,0)*M394</f>
        <v>7.91</v>
      </c>
      <c r="AB394" s="219">
        <f>_xlfn.XLOOKUP(W394,マスタ!A:A,マスタ!G:G,0)*M394</f>
        <v>2.31</v>
      </c>
      <c r="AC394" s="220">
        <f>_xlfn.XLOOKUP(W394,マスタ!A:A,マスタ!H:H,0)*M394</f>
        <v>2.31</v>
      </c>
      <c r="AD394" s="227">
        <f t="shared" si="23"/>
        <v>25.479999999999997</v>
      </c>
    </row>
    <row r="395" spans="1:30" ht="15" customHeight="1">
      <c r="A395" s="145"/>
      <c r="B395" s="293" t="s">
        <v>493</v>
      </c>
      <c r="C395" s="172"/>
      <c r="D395" s="161"/>
      <c r="E395" s="161"/>
      <c r="F395" s="161"/>
      <c r="G395" s="297"/>
      <c r="H395" s="298"/>
      <c r="I395" s="442"/>
      <c r="J395" s="517"/>
      <c r="K395" s="443"/>
      <c r="L395" s="443"/>
      <c r="M395" s="444"/>
      <c r="N395" s="177"/>
      <c r="O395" s="178"/>
      <c r="P395" s="177"/>
      <c r="Q395" s="178"/>
      <c r="R395" s="177"/>
      <c r="S395" s="178"/>
      <c r="T395" s="177"/>
      <c r="U395" s="178"/>
      <c r="W395" s="208"/>
      <c r="X395" s="217">
        <f>_xlfn.XLOOKUP(W395,マスタ!A:A,マスタ!C:C,0)*M395</f>
        <v>0</v>
      </c>
      <c r="Y395" s="218">
        <f>IF(N395="",0,_xlfn.XLOOKUP(W395,マスタ!A:A,マスタ!D:D,0)*M395)</f>
        <v>0</v>
      </c>
      <c r="Z395" s="219">
        <f>_xlfn.XLOOKUP(W395,マスタ!A:A,マスタ!E:E,0)*M395</f>
        <v>0</v>
      </c>
      <c r="AA395" s="219">
        <f>_xlfn.XLOOKUP(W395,マスタ!A:A,マスタ!F:F,0)*M395</f>
        <v>0</v>
      </c>
      <c r="AB395" s="219">
        <f>_xlfn.XLOOKUP(W395,マスタ!A:A,マスタ!G:G,0)*M395</f>
        <v>0</v>
      </c>
      <c r="AC395" s="220">
        <f>_xlfn.XLOOKUP(W395,マスタ!A:A,マスタ!H:H,0)*M395</f>
        <v>0</v>
      </c>
      <c r="AD395" s="227">
        <f t="shared" si="23"/>
        <v>0</v>
      </c>
    </row>
    <row r="396" spans="1:30" ht="15" customHeight="1">
      <c r="A396" s="145"/>
      <c r="B396" s="162"/>
      <c r="C396" s="163" t="s">
        <v>482</v>
      </c>
      <c r="D396" s="164"/>
      <c r="E396" s="164"/>
      <c r="F396" s="164"/>
      <c r="G396" s="234"/>
      <c r="H396" s="294"/>
      <c r="I396" s="430" t="s">
        <v>57</v>
      </c>
      <c r="J396" s="513"/>
      <c r="K396" s="431" t="s">
        <v>74</v>
      </c>
      <c r="L396" s="431" t="s">
        <v>74</v>
      </c>
      <c r="M396" s="432">
        <v>1</v>
      </c>
      <c r="N396" s="179"/>
      <c r="O396" s="180"/>
      <c r="P396" s="179"/>
      <c r="Q396" s="180"/>
      <c r="R396" s="179"/>
      <c r="S396" s="180"/>
      <c r="T396" s="179"/>
      <c r="U396" s="180"/>
      <c r="W396" s="208" t="s">
        <v>61</v>
      </c>
      <c r="X396" s="217">
        <f>_xlfn.XLOOKUP(W396,マスタ!A:A,マスタ!C:C,0)*M396</f>
        <v>5.95</v>
      </c>
      <c r="Y396" s="218">
        <f>IF(N396="",0,_xlfn.XLOOKUP(W396,マスタ!A:A,マスタ!D:D,0)*M396)</f>
        <v>0</v>
      </c>
      <c r="Z396" s="219">
        <f>_xlfn.XLOOKUP(W396,マスタ!A:A,マスタ!E:E,0)*M396</f>
        <v>7</v>
      </c>
      <c r="AA396" s="219">
        <f>_xlfn.XLOOKUP(W396,マスタ!A:A,マスタ!F:F,0)*M396</f>
        <v>7.91</v>
      </c>
      <c r="AB396" s="219">
        <f>_xlfn.XLOOKUP(W396,マスタ!A:A,マスタ!G:G,0)*M396</f>
        <v>2.31</v>
      </c>
      <c r="AC396" s="220">
        <f>_xlfn.XLOOKUP(W396,マスタ!A:A,マスタ!H:H,0)*M396</f>
        <v>2.31</v>
      </c>
      <c r="AD396" s="227">
        <f t="shared" si="23"/>
        <v>25.479999999999997</v>
      </c>
    </row>
    <row r="397" spans="1:30" ht="15" customHeight="1">
      <c r="A397" s="145"/>
      <c r="B397" s="162"/>
      <c r="C397" s="165" t="s">
        <v>483</v>
      </c>
      <c r="D397" s="166"/>
      <c r="E397" s="166"/>
      <c r="F397" s="166"/>
      <c r="G397" s="275"/>
      <c r="H397" s="295"/>
      <c r="I397" s="433" t="s">
        <v>57</v>
      </c>
      <c r="J397" s="514"/>
      <c r="K397" s="434" t="s">
        <v>74</v>
      </c>
      <c r="L397" s="434" t="s">
        <v>74</v>
      </c>
      <c r="M397" s="435">
        <v>1</v>
      </c>
      <c r="N397" s="181"/>
      <c r="O397" s="182"/>
      <c r="P397" s="181"/>
      <c r="Q397" s="182"/>
      <c r="R397" s="181"/>
      <c r="S397" s="182"/>
      <c r="T397" s="181"/>
      <c r="U397" s="182"/>
      <c r="W397" s="208" t="s">
        <v>61</v>
      </c>
      <c r="X397" s="217">
        <f>_xlfn.XLOOKUP(W397,マスタ!A:A,マスタ!C:C,0)*M397</f>
        <v>5.95</v>
      </c>
      <c r="Y397" s="218">
        <f>IF(N397="",0,_xlfn.XLOOKUP(W397,マスタ!A:A,マスタ!D:D,0)*M397)</f>
        <v>0</v>
      </c>
      <c r="Z397" s="219">
        <f>_xlfn.XLOOKUP(W397,マスタ!A:A,マスタ!E:E,0)*M397</f>
        <v>7</v>
      </c>
      <c r="AA397" s="219">
        <f>_xlfn.XLOOKUP(W397,マスタ!A:A,マスタ!F:F,0)*M397</f>
        <v>7.91</v>
      </c>
      <c r="AB397" s="219">
        <f>_xlfn.XLOOKUP(W397,マスタ!A:A,マスタ!G:G,0)*M397</f>
        <v>2.31</v>
      </c>
      <c r="AC397" s="220">
        <f>_xlfn.XLOOKUP(W397,マスタ!A:A,マスタ!H:H,0)*M397</f>
        <v>2.31</v>
      </c>
      <c r="AD397" s="227">
        <f t="shared" ref="AD397:AD406" si="24">SUM(X397:AC397)</f>
        <v>25.479999999999997</v>
      </c>
    </row>
    <row r="398" spans="1:30" ht="15" customHeight="1">
      <c r="A398" s="145"/>
      <c r="B398" s="162"/>
      <c r="C398" s="165" t="s">
        <v>484</v>
      </c>
      <c r="D398" s="166"/>
      <c r="E398" s="166"/>
      <c r="F398" s="166"/>
      <c r="G398" s="275"/>
      <c r="H398" s="295"/>
      <c r="I398" s="433" t="s">
        <v>57</v>
      </c>
      <c r="J398" s="514"/>
      <c r="K398" s="434" t="s">
        <v>74</v>
      </c>
      <c r="L398" s="434" t="s">
        <v>74</v>
      </c>
      <c r="M398" s="435">
        <v>1</v>
      </c>
      <c r="N398" s="181"/>
      <c r="O398" s="182"/>
      <c r="P398" s="181"/>
      <c r="Q398" s="182"/>
      <c r="R398" s="181"/>
      <c r="S398" s="182"/>
      <c r="T398" s="181"/>
      <c r="U398" s="182"/>
      <c r="W398" s="208" t="s">
        <v>61</v>
      </c>
      <c r="X398" s="217">
        <f>_xlfn.XLOOKUP(W398,マスタ!A:A,マスタ!C:C,0)*M398</f>
        <v>5.95</v>
      </c>
      <c r="Y398" s="218">
        <f>IF(N398="",0,_xlfn.XLOOKUP(W398,マスタ!A:A,マスタ!D:D,0)*M398)</f>
        <v>0</v>
      </c>
      <c r="Z398" s="219">
        <f>_xlfn.XLOOKUP(W398,マスタ!A:A,マスタ!E:E,0)*M398</f>
        <v>7</v>
      </c>
      <c r="AA398" s="219">
        <f>_xlfn.XLOOKUP(W398,マスタ!A:A,マスタ!F:F,0)*M398</f>
        <v>7.91</v>
      </c>
      <c r="AB398" s="219">
        <f>_xlfn.XLOOKUP(W398,マスタ!A:A,マスタ!G:G,0)*M398</f>
        <v>2.31</v>
      </c>
      <c r="AC398" s="220">
        <f>_xlfn.XLOOKUP(W398,マスタ!A:A,マスタ!H:H,0)*M398</f>
        <v>2.31</v>
      </c>
      <c r="AD398" s="227">
        <f t="shared" si="24"/>
        <v>25.479999999999997</v>
      </c>
    </row>
    <row r="399" spans="1:30" ht="15" customHeight="1">
      <c r="A399" s="145"/>
      <c r="B399" s="162"/>
      <c r="C399" s="165" t="s">
        <v>485</v>
      </c>
      <c r="D399" s="166"/>
      <c r="E399" s="166"/>
      <c r="F399" s="166"/>
      <c r="G399" s="275"/>
      <c r="H399" s="295"/>
      <c r="I399" s="433" t="s">
        <v>57</v>
      </c>
      <c r="J399" s="514"/>
      <c r="K399" s="434" t="s">
        <v>74</v>
      </c>
      <c r="L399" s="434" t="s">
        <v>74</v>
      </c>
      <c r="M399" s="435">
        <v>1</v>
      </c>
      <c r="N399" s="181"/>
      <c r="O399" s="182"/>
      <c r="P399" s="181"/>
      <c r="Q399" s="182"/>
      <c r="R399" s="181"/>
      <c r="S399" s="182"/>
      <c r="T399" s="181"/>
      <c r="U399" s="182"/>
      <c r="W399" s="208" t="s">
        <v>61</v>
      </c>
      <c r="X399" s="217">
        <f>_xlfn.XLOOKUP(W399,マスタ!A:A,マスタ!C:C,0)*M399</f>
        <v>5.95</v>
      </c>
      <c r="Y399" s="218">
        <f>IF(N399="",0,_xlfn.XLOOKUP(W399,マスタ!A:A,マスタ!D:D,0)*M399)</f>
        <v>0</v>
      </c>
      <c r="Z399" s="219">
        <f>_xlfn.XLOOKUP(W399,マスタ!A:A,マスタ!E:E,0)*M399</f>
        <v>7</v>
      </c>
      <c r="AA399" s="219">
        <f>_xlfn.XLOOKUP(W399,マスタ!A:A,マスタ!F:F,0)*M399</f>
        <v>7.91</v>
      </c>
      <c r="AB399" s="219">
        <f>_xlfn.XLOOKUP(W399,マスタ!A:A,マスタ!G:G,0)*M399</f>
        <v>2.31</v>
      </c>
      <c r="AC399" s="220">
        <f>_xlfn.XLOOKUP(W399,マスタ!A:A,マスタ!H:H,0)*M399</f>
        <v>2.31</v>
      </c>
      <c r="AD399" s="227">
        <f t="shared" si="24"/>
        <v>25.479999999999997</v>
      </c>
    </row>
    <row r="400" spans="1:30" ht="15" customHeight="1">
      <c r="A400" s="145"/>
      <c r="B400" s="162"/>
      <c r="C400" s="165" t="s">
        <v>486</v>
      </c>
      <c r="D400" s="166"/>
      <c r="E400" s="166"/>
      <c r="F400" s="166"/>
      <c r="G400" s="275"/>
      <c r="H400" s="295"/>
      <c r="I400" s="433" t="s">
        <v>57</v>
      </c>
      <c r="J400" s="514"/>
      <c r="K400" s="434" t="s">
        <v>74</v>
      </c>
      <c r="L400" s="434" t="s">
        <v>74</v>
      </c>
      <c r="M400" s="435">
        <v>1</v>
      </c>
      <c r="N400" s="181"/>
      <c r="O400" s="182"/>
      <c r="P400" s="181"/>
      <c r="Q400" s="182"/>
      <c r="R400" s="181"/>
      <c r="S400" s="182"/>
      <c r="T400" s="181"/>
      <c r="U400" s="182"/>
      <c r="W400" s="208" t="s">
        <v>61</v>
      </c>
      <c r="X400" s="217">
        <f>_xlfn.XLOOKUP(W400,マスタ!A:A,マスタ!C:C,0)*M400</f>
        <v>5.95</v>
      </c>
      <c r="Y400" s="218">
        <f>IF(N400="",0,_xlfn.XLOOKUP(W400,マスタ!A:A,マスタ!D:D,0)*M400)</f>
        <v>0</v>
      </c>
      <c r="Z400" s="219">
        <f>_xlfn.XLOOKUP(W400,マスタ!A:A,マスタ!E:E,0)*M400</f>
        <v>7</v>
      </c>
      <c r="AA400" s="219">
        <f>_xlfn.XLOOKUP(W400,マスタ!A:A,マスタ!F:F,0)*M400</f>
        <v>7.91</v>
      </c>
      <c r="AB400" s="219">
        <f>_xlfn.XLOOKUP(W400,マスタ!A:A,マスタ!G:G,0)*M400</f>
        <v>2.31</v>
      </c>
      <c r="AC400" s="220">
        <f>_xlfn.XLOOKUP(W400,マスタ!A:A,マスタ!H:H,0)*M400</f>
        <v>2.31</v>
      </c>
      <c r="AD400" s="227">
        <f t="shared" si="24"/>
        <v>25.479999999999997</v>
      </c>
    </row>
    <row r="401" spans="1:32" ht="15" customHeight="1">
      <c r="A401" s="145"/>
      <c r="B401" s="162"/>
      <c r="C401" s="165" t="s">
        <v>487</v>
      </c>
      <c r="D401" s="166"/>
      <c r="E401" s="166"/>
      <c r="F401" s="166"/>
      <c r="G401" s="275"/>
      <c r="H401" s="295"/>
      <c r="I401" s="433" t="s">
        <v>57</v>
      </c>
      <c r="J401" s="514"/>
      <c r="K401" s="434" t="s">
        <v>74</v>
      </c>
      <c r="L401" s="434" t="s">
        <v>74</v>
      </c>
      <c r="M401" s="435">
        <v>1</v>
      </c>
      <c r="N401" s="181"/>
      <c r="O401" s="182"/>
      <c r="P401" s="181"/>
      <c r="Q401" s="182"/>
      <c r="R401" s="181"/>
      <c r="S401" s="182"/>
      <c r="T401" s="181"/>
      <c r="U401" s="182"/>
      <c r="W401" s="208" t="s">
        <v>61</v>
      </c>
      <c r="X401" s="217">
        <f>_xlfn.XLOOKUP(W401,マスタ!A:A,マスタ!C:C,0)*M401</f>
        <v>5.95</v>
      </c>
      <c r="Y401" s="218">
        <f>IF(N401="",0,_xlfn.XLOOKUP(W401,マスタ!A:A,マスタ!D:D,0)*M401)</f>
        <v>0</v>
      </c>
      <c r="Z401" s="219">
        <f>_xlfn.XLOOKUP(W401,マスタ!A:A,マスタ!E:E,0)*M401</f>
        <v>7</v>
      </c>
      <c r="AA401" s="219">
        <f>_xlfn.XLOOKUP(W401,マスタ!A:A,マスタ!F:F,0)*M401</f>
        <v>7.91</v>
      </c>
      <c r="AB401" s="219">
        <f>_xlfn.XLOOKUP(W401,マスタ!A:A,マスタ!G:G,0)*M401</f>
        <v>2.31</v>
      </c>
      <c r="AC401" s="220">
        <f>_xlfn.XLOOKUP(W401,マスタ!A:A,マスタ!H:H,0)*M401</f>
        <v>2.31</v>
      </c>
      <c r="AD401" s="227">
        <f t="shared" si="24"/>
        <v>25.479999999999997</v>
      </c>
    </row>
    <row r="402" spans="1:32" ht="15" customHeight="1">
      <c r="A402" s="145"/>
      <c r="B402" s="162"/>
      <c r="C402" s="165" t="s">
        <v>488</v>
      </c>
      <c r="D402" s="166"/>
      <c r="E402" s="166"/>
      <c r="F402" s="166"/>
      <c r="G402" s="275"/>
      <c r="H402" s="295"/>
      <c r="I402" s="433" t="s">
        <v>57</v>
      </c>
      <c r="J402" s="514"/>
      <c r="K402" s="434" t="s">
        <v>74</v>
      </c>
      <c r="L402" s="434" t="s">
        <v>74</v>
      </c>
      <c r="M402" s="435">
        <v>1</v>
      </c>
      <c r="N402" s="181"/>
      <c r="O402" s="182"/>
      <c r="P402" s="181"/>
      <c r="Q402" s="182"/>
      <c r="R402" s="181"/>
      <c r="S402" s="182"/>
      <c r="T402" s="181"/>
      <c r="U402" s="182"/>
      <c r="W402" s="208" t="s">
        <v>61</v>
      </c>
      <c r="X402" s="217">
        <f>_xlfn.XLOOKUP(W402,マスタ!A:A,マスタ!C:C,0)*M402</f>
        <v>5.95</v>
      </c>
      <c r="Y402" s="218">
        <f>IF(N402="",0,_xlfn.XLOOKUP(W402,マスタ!A:A,マスタ!D:D,0)*M402)</f>
        <v>0</v>
      </c>
      <c r="Z402" s="219">
        <f>_xlfn.XLOOKUP(W402,マスタ!A:A,マスタ!E:E,0)*M402</f>
        <v>7</v>
      </c>
      <c r="AA402" s="219">
        <f>_xlfn.XLOOKUP(W402,マスタ!A:A,マスタ!F:F,0)*M402</f>
        <v>7.91</v>
      </c>
      <c r="AB402" s="219">
        <f>_xlfn.XLOOKUP(W402,マスタ!A:A,マスタ!G:G,0)*M402</f>
        <v>2.31</v>
      </c>
      <c r="AC402" s="220">
        <f>_xlfn.XLOOKUP(W402,マスタ!A:A,マスタ!H:H,0)*M402</f>
        <v>2.31</v>
      </c>
      <c r="AD402" s="227">
        <f t="shared" si="24"/>
        <v>25.479999999999997</v>
      </c>
    </row>
    <row r="403" spans="1:32" ht="15" customHeight="1">
      <c r="A403" s="145"/>
      <c r="B403" s="162"/>
      <c r="C403" s="165" t="s">
        <v>489</v>
      </c>
      <c r="D403" s="166"/>
      <c r="E403" s="166"/>
      <c r="F403" s="166"/>
      <c r="G403" s="275"/>
      <c r="H403" s="295"/>
      <c r="I403" s="433" t="s">
        <v>57</v>
      </c>
      <c r="J403" s="514"/>
      <c r="K403" s="434" t="s">
        <v>74</v>
      </c>
      <c r="L403" s="434" t="s">
        <v>74</v>
      </c>
      <c r="M403" s="435">
        <v>1</v>
      </c>
      <c r="N403" s="181"/>
      <c r="O403" s="182"/>
      <c r="P403" s="181"/>
      <c r="Q403" s="182"/>
      <c r="R403" s="181"/>
      <c r="S403" s="182"/>
      <c r="T403" s="181"/>
      <c r="U403" s="182"/>
      <c r="W403" s="208" t="s">
        <v>61</v>
      </c>
      <c r="X403" s="217">
        <f>_xlfn.XLOOKUP(W403,マスタ!A:A,マスタ!C:C,0)*M403</f>
        <v>5.95</v>
      </c>
      <c r="Y403" s="218">
        <f>IF(N403="",0,_xlfn.XLOOKUP(W403,マスタ!A:A,マスタ!D:D,0)*M403)</f>
        <v>0</v>
      </c>
      <c r="Z403" s="219">
        <f>_xlfn.XLOOKUP(W403,マスタ!A:A,マスタ!E:E,0)*M403</f>
        <v>7</v>
      </c>
      <c r="AA403" s="219">
        <f>_xlfn.XLOOKUP(W403,マスタ!A:A,マスタ!F:F,0)*M403</f>
        <v>7.91</v>
      </c>
      <c r="AB403" s="219">
        <f>_xlfn.XLOOKUP(W403,マスタ!A:A,マスタ!G:G,0)*M403</f>
        <v>2.31</v>
      </c>
      <c r="AC403" s="220">
        <f>_xlfn.XLOOKUP(W403,マスタ!A:A,マスタ!H:H,0)*M403</f>
        <v>2.31</v>
      </c>
      <c r="AD403" s="227">
        <f t="shared" si="24"/>
        <v>25.479999999999997</v>
      </c>
    </row>
    <row r="404" spans="1:32" ht="15" customHeight="1">
      <c r="A404" s="145"/>
      <c r="B404" s="162"/>
      <c r="C404" s="165" t="s">
        <v>490</v>
      </c>
      <c r="D404" s="166"/>
      <c r="E404" s="166"/>
      <c r="F404" s="166"/>
      <c r="G404" s="275"/>
      <c r="H404" s="295"/>
      <c r="I404" s="433" t="s">
        <v>57</v>
      </c>
      <c r="J404" s="514"/>
      <c r="K404" s="434" t="s">
        <v>74</v>
      </c>
      <c r="L404" s="434" t="s">
        <v>74</v>
      </c>
      <c r="M404" s="435">
        <v>1</v>
      </c>
      <c r="N404" s="181"/>
      <c r="O404" s="182"/>
      <c r="P404" s="181"/>
      <c r="Q404" s="182"/>
      <c r="R404" s="181"/>
      <c r="S404" s="182"/>
      <c r="T404" s="181"/>
      <c r="U404" s="182"/>
      <c r="W404" s="208" t="s">
        <v>61</v>
      </c>
      <c r="X404" s="217">
        <f>_xlfn.XLOOKUP(W404,マスタ!A:A,マスタ!C:C,0)*M404</f>
        <v>5.95</v>
      </c>
      <c r="Y404" s="218">
        <f>IF(N404="",0,_xlfn.XLOOKUP(W404,マスタ!A:A,マスタ!D:D,0)*M404)</f>
        <v>0</v>
      </c>
      <c r="Z404" s="219">
        <f>_xlfn.XLOOKUP(W404,マスタ!A:A,マスタ!E:E,0)*M404</f>
        <v>7</v>
      </c>
      <c r="AA404" s="219">
        <f>_xlfn.XLOOKUP(W404,マスタ!A:A,マスタ!F:F,0)*M404</f>
        <v>7.91</v>
      </c>
      <c r="AB404" s="219">
        <f>_xlfn.XLOOKUP(W404,マスタ!A:A,マスタ!G:G,0)*M404</f>
        <v>2.31</v>
      </c>
      <c r="AC404" s="220">
        <f>_xlfn.XLOOKUP(W404,マスタ!A:A,マスタ!H:H,0)*M404</f>
        <v>2.31</v>
      </c>
      <c r="AD404" s="227">
        <f t="shared" si="24"/>
        <v>25.479999999999997</v>
      </c>
    </row>
    <row r="405" spans="1:32" ht="15" customHeight="1">
      <c r="A405" s="145"/>
      <c r="B405" s="162"/>
      <c r="C405" s="165" t="s">
        <v>491</v>
      </c>
      <c r="D405" s="166"/>
      <c r="E405" s="166"/>
      <c r="F405" s="166"/>
      <c r="G405" s="275"/>
      <c r="H405" s="295"/>
      <c r="I405" s="433" t="s">
        <v>57</v>
      </c>
      <c r="J405" s="514"/>
      <c r="K405" s="434" t="s">
        <v>74</v>
      </c>
      <c r="L405" s="434" t="s">
        <v>74</v>
      </c>
      <c r="M405" s="435">
        <v>1</v>
      </c>
      <c r="N405" s="181"/>
      <c r="O405" s="182"/>
      <c r="P405" s="181"/>
      <c r="Q405" s="182"/>
      <c r="R405" s="181"/>
      <c r="S405" s="182"/>
      <c r="T405" s="181"/>
      <c r="U405" s="182"/>
      <c r="W405" s="208" t="s">
        <v>61</v>
      </c>
      <c r="X405" s="217">
        <f>_xlfn.XLOOKUP(W405,マスタ!A:A,マスタ!C:C,0)*M405</f>
        <v>5.95</v>
      </c>
      <c r="Y405" s="218">
        <f>IF(N405="",0,_xlfn.XLOOKUP(W405,マスタ!A:A,マスタ!D:D,0)*M405)</f>
        <v>0</v>
      </c>
      <c r="Z405" s="219">
        <f>_xlfn.XLOOKUP(W405,マスタ!A:A,マスタ!E:E,0)*M405</f>
        <v>7</v>
      </c>
      <c r="AA405" s="219">
        <f>_xlfn.XLOOKUP(W405,マスタ!A:A,マスタ!F:F,0)*M405</f>
        <v>7.91</v>
      </c>
      <c r="AB405" s="219">
        <f>_xlfn.XLOOKUP(W405,マスタ!A:A,マスタ!G:G,0)*M405</f>
        <v>2.31</v>
      </c>
      <c r="AC405" s="220">
        <f>_xlfn.XLOOKUP(W405,マスタ!A:A,マスタ!H:H,0)*M405</f>
        <v>2.31</v>
      </c>
      <c r="AD405" s="227">
        <f t="shared" si="24"/>
        <v>25.479999999999997</v>
      </c>
    </row>
    <row r="406" spans="1:32" ht="15" customHeight="1">
      <c r="A406" s="145"/>
      <c r="B406" s="162"/>
      <c r="C406" s="165" t="s">
        <v>492</v>
      </c>
      <c r="D406" s="166"/>
      <c r="E406" s="166"/>
      <c r="F406" s="166"/>
      <c r="G406" s="275"/>
      <c r="H406" s="295"/>
      <c r="I406" s="433" t="s">
        <v>57</v>
      </c>
      <c r="J406" s="514"/>
      <c r="K406" s="434" t="s">
        <v>74</v>
      </c>
      <c r="L406" s="434" t="s">
        <v>74</v>
      </c>
      <c r="M406" s="435">
        <v>1</v>
      </c>
      <c r="N406" s="181"/>
      <c r="O406" s="182"/>
      <c r="P406" s="181"/>
      <c r="Q406" s="182"/>
      <c r="R406" s="181"/>
      <c r="S406" s="182"/>
      <c r="T406" s="181"/>
      <c r="U406" s="182"/>
      <c r="W406" s="208" t="s">
        <v>61</v>
      </c>
      <c r="X406" s="217">
        <f>_xlfn.XLOOKUP(W406,マスタ!A:A,マスタ!C:C,0)*M406</f>
        <v>5.95</v>
      </c>
      <c r="Y406" s="218">
        <f>IF(N406="",0,_xlfn.XLOOKUP(W406,マスタ!A:A,マスタ!D:D,0)*M406)</f>
        <v>0</v>
      </c>
      <c r="Z406" s="219">
        <f>_xlfn.XLOOKUP(W406,マスタ!A:A,マスタ!E:E,0)*M406</f>
        <v>7</v>
      </c>
      <c r="AA406" s="219">
        <f>_xlfn.XLOOKUP(W406,マスタ!A:A,マスタ!F:F,0)*M406</f>
        <v>7.91</v>
      </c>
      <c r="AB406" s="219">
        <f>_xlfn.XLOOKUP(W406,マスタ!A:A,マスタ!G:G,0)*M406</f>
        <v>2.31</v>
      </c>
      <c r="AC406" s="220">
        <f>_xlfn.XLOOKUP(W406,マスタ!A:A,マスタ!H:H,0)*M406</f>
        <v>2.31</v>
      </c>
      <c r="AD406" s="227">
        <f t="shared" si="24"/>
        <v>25.479999999999997</v>
      </c>
    </row>
    <row r="407" spans="1:32" ht="15" customHeight="1">
      <c r="A407" s="16"/>
      <c r="B407" s="148" t="s">
        <v>494</v>
      </c>
      <c r="C407" s="149"/>
      <c r="D407" s="149"/>
      <c r="E407" s="149"/>
      <c r="F407" s="149"/>
      <c r="G407" s="149"/>
      <c r="H407" s="149"/>
      <c r="I407" s="423"/>
      <c r="J407" s="423"/>
      <c r="K407" s="423"/>
      <c r="L407" s="423"/>
      <c r="M407" s="423"/>
      <c r="N407" s="144"/>
      <c r="O407" s="144"/>
      <c r="P407" s="144"/>
      <c r="Q407" s="144"/>
      <c r="R407" s="144"/>
      <c r="S407" s="144"/>
      <c r="T407" s="144"/>
      <c r="U407" s="144"/>
      <c r="W407" s="207"/>
      <c r="X407" s="213">
        <f>SUM(X408:X423)</f>
        <v>14.860000000000001</v>
      </c>
      <c r="Y407" s="214">
        <f t="shared" ref="Y407:AD407" si="25">SUM(Y408:Y423)</f>
        <v>0</v>
      </c>
      <c r="Z407" s="215">
        <f t="shared" si="25"/>
        <v>17.54</v>
      </c>
      <c r="AA407" s="215">
        <f t="shared" si="25"/>
        <v>19.8</v>
      </c>
      <c r="AB407" s="215">
        <f t="shared" si="25"/>
        <v>5.8400000000000007</v>
      </c>
      <c r="AC407" s="216">
        <f t="shared" si="25"/>
        <v>5.8400000000000007</v>
      </c>
      <c r="AD407" s="226">
        <f t="shared" si="25"/>
        <v>63.879999999999995</v>
      </c>
      <c r="AE407" s="205">
        <f>AD407/20</f>
        <v>3.194</v>
      </c>
      <c r="AF407" s="204">
        <f>AE407*350000</f>
        <v>1117900</v>
      </c>
    </row>
    <row r="408" spans="1:32" ht="15" customHeight="1">
      <c r="A408" s="145"/>
      <c r="B408" s="160" t="s">
        <v>495</v>
      </c>
      <c r="C408" s="161"/>
      <c r="D408" s="161"/>
      <c r="E408" s="161"/>
      <c r="F408" s="161"/>
      <c r="G408" s="161"/>
      <c r="H408" s="303"/>
      <c r="I408" s="443"/>
      <c r="J408" s="443"/>
      <c r="K408" s="443"/>
      <c r="L408" s="443"/>
      <c r="M408" s="443"/>
      <c r="N408" s="304"/>
      <c r="O408" s="304"/>
      <c r="P408" s="304"/>
      <c r="Q408" s="304"/>
      <c r="R408" s="304"/>
      <c r="S408" s="304"/>
      <c r="T408" s="304"/>
      <c r="U408" s="178"/>
      <c r="W408" s="208"/>
      <c r="X408" s="217">
        <f>_xlfn.XLOOKUP(W408,マスタ!A:A,マスタ!C:C,0)*M408</f>
        <v>0</v>
      </c>
      <c r="Y408" s="218">
        <f>IF(N408="",0,_xlfn.XLOOKUP(W408,マスタ!A:A,マスタ!D:D,0)*M408)</f>
        <v>0</v>
      </c>
      <c r="Z408" s="219">
        <f>_xlfn.XLOOKUP(W408,マスタ!A:A,マスタ!E:E,0)*M408</f>
        <v>0</v>
      </c>
      <c r="AA408" s="219">
        <f>_xlfn.XLOOKUP(W408,マスタ!A:A,マスタ!F:F,0)*M408</f>
        <v>0</v>
      </c>
      <c r="AB408" s="219">
        <f>_xlfn.XLOOKUP(W408,マスタ!A:A,マスタ!G:G,0)*M408</f>
        <v>0</v>
      </c>
      <c r="AC408" s="220">
        <f>_xlfn.XLOOKUP(W408,マスタ!A:A,マスタ!H:H,0)*M408</f>
        <v>0</v>
      </c>
      <c r="AD408" s="227">
        <f t="shared" si="18"/>
        <v>0</v>
      </c>
    </row>
    <row r="409" spans="1:32" ht="15" customHeight="1">
      <c r="A409" s="145"/>
      <c r="B409" s="162"/>
      <c r="C409" s="163" t="s">
        <v>496</v>
      </c>
      <c r="D409" s="164"/>
      <c r="E409" s="164"/>
      <c r="F409" s="164"/>
      <c r="G409" s="164"/>
      <c r="H409" s="272"/>
      <c r="I409" s="431" t="s">
        <v>73</v>
      </c>
      <c r="J409" s="431"/>
      <c r="K409" s="431" t="s">
        <v>58</v>
      </c>
      <c r="L409" s="431" t="s">
        <v>58</v>
      </c>
      <c r="M409" s="431">
        <v>1</v>
      </c>
      <c r="N409" s="273"/>
      <c r="O409" s="273"/>
      <c r="P409" s="273"/>
      <c r="Q409" s="273"/>
      <c r="R409" s="273"/>
      <c r="S409" s="273"/>
      <c r="T409" s="273"/>
      <c r="U409" s="180"/>
      <c r="W409" s="208" t="s">
        <v>89</v>
      </c>
      <c r="X409" s="217">
        <f>_xlfn.XLOOKUP(W409,マスタ!A:A,マスタ!C:C,0)*M409</f>
        <v>0.99</v>
      </c>
      <c r="Y409" s="218">
        <f>IF(N409="",0,_xlfn.XLOOKUP(W409,マスタ!A:A,マスタ!D:D,0)*M409)</f>
        <v>0</v>
      </c>
      <c r="Z409" s="219">
        <f>_xlfn.XLOOKUP(W409,マスタ!A:A,マスタ!E:E,0)*M409</f>
        <v>1.17</v>
      </c>
      <c r="AA409" s="219">
        <f>_xlfn.XLOOKUP(W409,マスタ!A:A,マスタ!F:F,0)*M409</f>
        <v>1.32</v>
      </c>
      <c r="AB409" s="219">
        <f>_xlfn.XLOOKUP(W409,マスタ!A:A,マスタ!G:G,0)*M409</f>
        <v>0.39</v>
      </c>
      <c r="AC409" s="220">
        <f>_xlfn.XLOOKUP(W409,マスタ!A:A,マスタ!H:H,0)*M409</f>
        <v>0.39</v>
      </c>
      <c r="AD409" s="227">
        <f t="shared" si="18"/>
        <v>4.2600000000000007</v>
      </c>
    </row>
    <row r="410" spans="1:32" ht="15" customHeight="1">
      <c r="A410" s="145"/>
      <c r="B410" s="162"/>
      <c r="C410" s="165" t="s">
        <v>131</v>
      </c>
      <c r="D410" s="166"/>
      <c r="E410" s="166"/>
      <c r="F410" s="166"/>
      <c r="G410" s="166"/>
      <c r="H410" s="280"/>
      <c r="I410" s="434" t="s">
        <v>73</v>
      </c>
      <c r="J410" s="434"/>
      <c r="K410" s="434" t="s">
        <v>58</v>
      </c>
      <c r="L410" s="434" t="s">
        <v>58</v>
      </c>
      <c r="M410" s="434">
        <v>1</v>
      </c>
      <c r="N410" s="276"/>
      <c r="O410" s="276"/>
      <c r="P410" s="276"/>
      <c r="Q410" s="276"/>
      <c r="R410" s="276"/>
      <c r="S410" s="276"/>
      <c r="T410" s="276"/>
      <c r="U410" s="182"/>
      <c r="W410" s="208" t="s">
        <v>89</v>
      </c>
      <c r="X410" s="217">
        <f>_xlfn.XLOOKUP(W410,マスタ!A:A,マスタ!C:C,0)*M410</f>
        <v>0.99</v>
      </c>
      <c r="Y410" s="218">
        <f>IF(N410="",0,_xlfn.XLOOKUP(W410,マスタ!A:A,マスタ!D:D,0)*M410)</f>
        <v>0</v>
      </c>
      <c r="Z410" s="219">
        <f>_xlfn.XLOOKUP(W410,マスタ!A:A,マスタ!E:E,0)*M410</f>
        <v>1.17</v>
      </c>
      <c r="AA410" s="219">
        <f>_xlfn.XLOOKUP(W410,マスタ!A:A,マスタ!F:F,0)*M410</f>
        <v>1.32</v>
      </c>
      <c r="AB410" s="219">
        <f>_xlfn.XLOOKUP(W410,マスタ!A:A,マスタ!G:G,0)*M410</f>
        <v>0.39</v>
      </c>
      <c r="AC410" s="220">
        <f>_xlfn.XLOOKUP(W410,マスタ!A:A,マスタ!H:H,0)*M410</f>
        <v>0.39</v>
      </c>
      <c r="AD410" s="227">
        <f t="shared" si="18"/>
        <v>4.2600000000000007</v>
      </c>
    </row>
    <row r="411" spans="1:32" ht="15" customHeight="1">
      <c r="A411" s="145"/>
      <c r="B411" s="162"/>
      <c r="C411" s="165" t="s">
        <v>497</v>
      </c>
      <c r="D411" s="166"/>
      <c r="E411" s="166"/>
      <c r="F411" s="166"/>
      <c r="G411" s="166"/>
      <c r="H411" s="280"/>
      <c r="I411" s="434" t="s">
        <v>73</v>
      </c>
      <c r="J411" s="434"/>
      <c r="K411" s="434" t="s">
        <v>58</v>
      </c>
      <c r="L411" s="434" t="s">
        <v>58</v>
      </c>
      <c r="M411" s="434">
        <v>1</v>
      </c>
      <c r="N411" s="276"/>
      <c r="O411" s="276"/>
      <c r="P411" s="276"/>
      <c r="Q411" s="276"/>
      <c r="R411" s="276"/>
      <c r="S411" s="276"/>
      <c r="T411" s="276"/>
      <c r="U411" s="182"/>
      <c r="W411" s="208" t="s">
        <v>89</v>
      </c>
      <c r="X411" s="217">
        <f>_xlfn.XLOOKUP(W411,マスタ!A:A,マスタ!C:C,0)*M411</f>
        <v>0.99</v>
      </c>
      <c r="Y411" s="218">
        <f>IF(N411="",0,_xlfn.XLOOKUP(W411,マスタ!A:A,マスタ!D:D,0)*M411)</f>
        <v>0</v>
      </c>
      <c r="Z411" s="219">
        <f>_xlfn.XLOOKUP(W411,マスタ!A:A,マスタ!E:E,0)*M411</f>
        <v>1.17</v>
      </c>
      <c r="AA411" s="219">
        <f>_xlfn.XLOOKUP(W411,マスタ!A:A,マスタ!F:F,0)*M411</f>
        <v>1.32</v>
      </c>
      <c r="AB411" s="219">
        <f>_xlfn.XLOOKUP(W411,マスタ!A:A,マスタ!G:G,0)*M411</f>
        <v>0.39</v>
      </c>
      <c r="AC411" s="220">
        <f>_xlfn.XLOOKUP(W411,マスタ!A:A,マスタ!H:H,0)*M411</f>
        <v>0.39</v>
      </c>
      <c r="AD411" s="227">
        <f t="shared" si="18"/>
        <v>4.2600000000000007</v>
      </c>
    </row>
    <row r="412" spans="1:32" ht="15" customHeight="1">
      <c r="A412" s="145"/>
      <c r="B412" s="162"/>
      <c r="C412" s="165" t="s">
        <v>498</v>
      </c>
      <c r="D412" s="166"/>
      <c r="E412" s="166"/>
      <c r="F412" s="166"/>
      <c r="G412" s="166"/>
      <c r="H412" s="280"/>
      <c r="I412" s="434" t="s">
        <v>73</v>
      </c>
      <c r="J412" s="434"/>
      <c r="K412" s="434" t="s">
        <v>58</v>
      </c>
      <c r="L412" s="434" t="s">
        <v>58</v>
      </c>
      <c r="M412" s="434">
        <v>1</v>
      </c>
      <c r="N412" s="276"/>
      <c r="O412" s="276"/>
      <c r="P412" s="276"/>
      <c r="Q412" s="276"/>
      <c r="R412" s="276"/>
      <c r="S412" s="276"/>
      <c r="T412" s="276"/>
      <c r="U412" s="182"/>
      <c r="W412" s="208" t="s">
        <v>89</v>
      </c>
      <c r="X412" s="217">
        <f>_xlfn.XLOOKUP(W412,マスタ!A:A,マスタ!C:C,0)*M412</f>
        <v>0.99</v>
      </c>
      <c r="Y412" s="218">
        <f>IF(N412="",0,_xlfn.XLOOKUP(W412,マスタ!A:A,マスタ!D:D,0)*M412)</f>
        <v>0</v>
      </c>
      <c r="Z412" s="219">
        <f>_xlfn.XLOOKUP(W412,マスタ!A:A,マスタ!E:E,0)*M412</f>
        <v>1.17</v>
      </c>
      <c r="AA412" s="219">
        <f>_xlfn.XLOOKUP(W412,マスタ!A:A,マスタ!F:F,0)*M412</f>
        <v>1.32</v>
      </c>
      <c r="AB412" s="219">
        <f>_xlfn.XLOOKUP(W412,マスタ!A:A,マスタ!G:G,0)*M412</f>
        <v>0.39</v>
      </c>
      <c r="AC412" s="220">
        <f>_xlfn.XLOOKUP(W412,マスタ!A:A,マスタ!H:H,0)*M412</f>
        <v>0.39</v>
      </c>
      <c r="AD412" s="227">
        <f t="shared" si="18"/>
        <v>4.2600000000000007</v>
      </c>
    </row>
    <row r="413" spans="1:32" ht="15" customHeight="1">
      <c r="A413" s="145"/>
      <c r="B413" s="162"/>
      <c r="C413" s="165" t="s">
        <v>499</v>
      </c>
      <c r="D413" s="166"/>
      <c r="E413" s="166"/>
      <c r="F413" s="166"/>
      <c r="G413" s="166"/>
      <c r="H413" s="280"/>
      <c r="I413" s="434" t="s">
        <v>73</v>
      </c>
      <c r="J413" s="434"/>
      <c r="K413" s="434" t="s">
        <v>58</v>
      </c>
      <c r="L413" s="434" t="s">
        <v>58</v>
      </c>
      <c r="M413" s="434">
        <v>1</v>
      </c>
      <c r="N413" s="276"/>
      <c r="O413" s="276"/>
      <c r="P413" s="276"/>
      <c r="Q413" s="276"/>
      <c r="R413" s="276"/>
      <c r="S413" s="276"/>
      <c r="T413" s="276"/>
      <c r="U413" s="182"/>
      <c r="W413" s="208" t="s">
        <v>89</v>
      </c>
      <c r="X413" s="217">
        <f>_xlfn.XLOOKUP(W413,マスタ!A:A,マスタ!C:C,0)*M413</f>
        <v>0.99</v>
      </c>
      <c r="Y413" s="218">
        <f>IF(N413="",0,_xlfn.XLOOKUP(W413,マスタ!A:A,マスタ!D:D,0)*M413)</f>
        <v>0</v>
      </c>
      <c r="Z413" s="219">
        <f>_xlfn.XLOOKUP(W413,マスタ!A:A,マスタ!E:E,0)*M413</f>
        <v>1.17</v>
      </c>
      <c r="AA413" s="219">
        <f>_xlfn.XLOOKUP(W413,マスタ!A:A,マスタ!F:F,0)*M413</f>
        <v>1.32</v>
      </c>
      <c r="AB413" s="219">
        <f>_xlfn.XLOOKUP(W413,マスタ!A:A,マスタ!G:G,0)*M413</f>
        <v>0.39</v>
      </c>
      <c r="AC413" s="220">
        <f>_xlfn.XLOOKUP(W413,マスタ!A:A,マスタ!H:H,0)*M413</f>
        <v>0.39</v>
      </c>
      <c r="AD413" s="227">
        <f t="shared" si="18"/>
        <v>4.2600000000000007</v>
      </c>
    </row>
    <row r="414" spans="1:32" ht="15" customHeight="1">
      <c r="A414" s="145"/>
      <c r="B414" s="162"/>
      <c r="C414" s="165" t="s">
        <v>500</v>
      </c>
      <c r="D414" s="166"/>
      <c r="E414" s="166"/>
      <c r="F414" s="166"/>
      <c r="G414" s="166"/>
      <c r="H414" s="280"/>
      <c r="I414" s="434" t="s">
        <v>73</v>
      </c>
      <c r="J414" s="434"/>
      <c r="K414" s="434" t="s">
        <v>58</v>
      </c>
      <c r="L414" s="434" t="s">
        <v>58</v>
      </c>
      <c r="M414" s="434">
        <v>1</v>
      </c>
      <c r="N414" s="276"/>
      <c r="O414" s="276"/>
      <c r="P414" s="276"/>
      <c r="Q414" s="276"/>
      <c r="R414" s="276"/>
      <c r="S414" s="276"/>
      <c r="T414" s="276"/>
      <c r="U414" s="182"/>
      <c r="W414" s="208" t="s">
        <v>89</v>
      </c>
      <c r="X414" s="217">
        <f>_xlfn.XLOOKUP(W414,マスタ!A:A,マスタ!C:C,0)*M414</f>
        <v>0.99</v>
      </c>
      <c r="Y414" s="218">
        <f>IF(N414="",0,_xlfn.XLOOKUP(W414,マスタ!A:A,マスタ!D:D,0)*M414)</f>
        <v>0</v>
      </c>
      <c r="Z414" s="219">
        <f>_xlfn.XLOOKUP(W414,マスタ!A:A,マスタ!E:E,0)*M414</f>
        <v>1.17</v>
      </c>
      <c r="AA414" s="219">
        <f>_xlfn.XLOOKUP(W414,マスタ!A:A,マスタ!F:F,0)*M414</f>
        <v>1.32</v>
      </c>
      <c r="AB414" s="219">
        <f>_xlfn.XLOOKUP(W414,マスタ!A:A,マスタ!G:G,0)*M414</f>
        <v>0.39</v>
      </c>
      <c r="AC414" s="220">
        <f>_xlfn.XLOOKUP(W414,マスタ!A:A,マスタ!H:H,0)*M414</f>
        <v>0.39</v>
      </c>
      <c r="AD414" s="227">
        <f t="shared" si="18"/>
        <v>4.2600000000000007</v>
      </c>
    </row>
    <row r="415" spans="1:32" ht="15" customHeight="1">
      <c r="A415" s="145"/>
      <c r="B415" s="162"/>
      <c r="C415" s="165" t="s">
        <v>501</v>
      </c>
      <c r="D415" s="166"/>
      <c r="E415" s="166"/>
      <c r="F415" s="166"/>
      <c r="G415" s="166"/>
      <c r="H415" s="280"/>
      <c r="I415" s="434" t="s">
        <v>73</v>
      </c>
      <c r="J415" s="434"/>
      <c r="K415" s="434" t="s">
        <v>58</v>
      </c>
      <c r="L415" s="434" t="s">
        <v>58</v>
      </c>
      <c r="M415" s="434">
        <v>1</v>
      </c>
      <c r="N415" s="276"/>
      <c r="O415" s="276"/>
      <c r="P415" s="276"/>
      <c r="Q415" s="276"/>
      <c r="R415" s="276"/>
      <c r="S415" s="276"/>
      <c r="T415" s="276"/>
      <c r="U415" s="182"/>
      <c r="W415" s="208" t="s">
        <v>89</v>
      </c>
      <c r="X415" s="217">
        <f>_xlfn.XLOOKUP(W415,マスタ!A:A,マスタ!C:C,0)*M415</f>
        <v>0.99</v>
      </c>
      <c r="Y415" s="218">
        <f>IF(N415="",0,_xlfn.XLOOKUP(W415,マスタ!A:A,マスタ!D:D,0)*M415)</f>
        <v>0</v>
      </c>
      <c r="Z415" s="219">
        <f>_xlfn.XLOOKUP(W415,マスタ!A:A,マスタ!E:E,0)*M415</f>
        <v>1.17</v>
      </c>
      <c r="AA415" s="219">
        <f>_xlfn.XLOOKUP(W415,マスタ!A:A,マスタ!F:F,0)*M415</f>
        <v>1.32</v>
      </c>
      <c r="AB415" s="219">
        <f>_xlfn.XLOOKUP(W415,マスタ!A:A,マスタ!G:G,0)*M415</f>
        <v>0.39</v>
      </c>
      <c r="AC415" s="220">
        <f>_xlfn.XLOOKUP(W415,マスタ!A:A,マスタ!H:H,0)*M415</f>
        <v>0.39</v>
      </c>
      <c r="AD415" s="227">
        <f t="shared" si="18"/>
        <v>4.2600000000000007</v>
      </c>
    </row>
    <row r="416" spans="1:32" ht="15" customHeight="1">
      <c r="A416" s="145"/>
      <c r="B416" s="162"/>
      <c r="C416" s="165" t="s">
        <v>502</v>
      </c>
      <c r="D416" s="166"/>
      <c r="E416" s="166"/>
      <c r="F416" s="166"/>
      <c r="G416" s="166"/>
      <c r="H416" s="280"/>
      <c r="I416" s="434" t="s">
        <v>73</v>
      </c>
      <c r="J416" s="434"/>
      <c r="K416" s="434" t="s">
        <v>58</v>
      </c>
      <c r="L416" s="434" t="s">
        <v>58</v>
      </c>
      <c r="M416" s="434">
        <v>1</v>
      </c>
      <c r="N416" s="276"/>
      <c r="O416" s="276"/>
      <c r="P416" s="276"/>
      <c r="Q416" s="276"/>
      <c r="R416" s="276"/>
      <c r="S416" s="276"/>
      <c r="T416" s="276"/>
      <c r="U416" s="182"/>
      <c r="W416" s="208" t="s">
        <v>89</v>
      </c>
      <c r="X416" s="217">
        <f>_xlfn.XLOOKUP(W416,マスタ!A:A,マスタ!C:C,0)*M416</f>
        <v>0.99</v>
      </c>
      <c r="Y416" s="218">
        <f>IF(N416="",0,_xlfn.XLOOKUP(W416,マスタ!A:A,マスタ!D:D,0)*M416)</f>
        <v>0</v>
      </c>
      <c r="Z416" s="219">
        <f>_xlfn.XLOOKUP(W416,マスタ!A:A,マスタ!E:E,0)*M416</f>
        <v>1.17</v>
      </c>
      <c r="AA416" s="219">
        <f>_xlfn.XLOOKUP(W416,マスタ!A:A,マスタ!F:F,0)*M416</f>
        <v>1.32</v>
      </c>
      <c r="AB416" s="219">
        <f>_xlfn.XLOOKUP(W416,マスタ!A:A,マスタ!G:G,0)*M416</f>
        <v>0.39</v>
      </c>
      <c r="AC416" s="220">
        <f>_xlfn.XLOOKUP(W416,マスタ!A:A,マスタ!H:H,0)*M416</f>
        <v>0.39</v>
      </c>
      <c r="AD416" s="227">
        <f t="shared" si="18"/>
        <v>4.2600000000000007</v>
      </c>
    </row>
    <row r="417" spans="1:32" ht="15" customHeight="1">
      <c r="A417" s="145"/>
      <c r="B417" s="162"/>
      <c r="C417" s="165" t="s">
        <v>503</v>
      </c>
      <c r="D417" s="166"/>
      <c r="E417" s="166"/>
      <c r="F417" s="166"/>
      <c r="G417" s="166"/>
      <c r="H417" s="280"/>
      <c r="I417" s="434" t="s">
        <v>73</v>
      </c>
      <c r="J417" s="434"/>
      <c r="K417" s="434" t="s">
        <v>58</v>
      </c>
      <c r="L417" s="434" t="s">
        <v>58</v>
      </c>
      <c r="M417" s="434">
        <v>1</v>
      </c>
      <c r="N417" s="276"/>
      <c r="O417" s="276"/>
      <c r="P417" s="276"/>
      <c r="Q417" s="276"/>
      <c r="R417" s="276"/>
      <c r="S417" s="276"/>
      <c r="T417" s="276"/>
      <c r="U417" s="182"/>
      <c r="W417" s="208" t="s">
        <v>89</v>
      </c>
      <c r="X417" s="217">
        <f>_xlfn.XLOOKUP(W417,マスタ!A:A,マスタ!C:C,0)*M417</f>
        <v>0.99</v>
      </c>
      <c r="Y417" s="218">
        <f>IF(N417="",0,_xlfn.XLOOKUP(W417,マスタ!A:A,マスタ!D:D,0)*M417)</f>
        <v>0</v>
      </c>
      <c r="Z417" s="219">
        <f>_xlfn.XLOOKUP(W417,マスタ!A:A,マスタ!E:E,0)*M417</f>
        <v>1.17</v>
      </c>
      <c r="AA417" s="219">
        <f>_xlfn.XLOOKUP(W417,マスタ!A:A,マスタ!F:F,0)*M417</f>
        <v>1.32</v>
      </c>
      <c r="AB417" s="219">
        <f>_xlfn.XLOOKUP(W417,マスタ!A:A,マスタ!G:G,0)*M417</f>
        <v>0.39</v>
      </c>
      <c r="AC417" s="220">
        <f>_xlfn.XLOOKUP(W417,マスタ!A:A,マスタ!H:H,0)*M417</f>
        <v>0.39</v>
      </c>
      <c r="AD417" s="227">
        <f t="shared" si="18"/>
        <v>4.2600000000000007</v>
      </c>
    </row>
    <row r="418" spans="1:32" ht="15" customHeight="1">
      <c r="A418" s="145"/>
      <c r="B418" s="162"/>
      <c r="C418" s="165" t="s">
        <v>504</v>
      </c>
      <c r="D418" s="166"/>
      <c r="E418" s="166"/>
      <c r="F418" s="166"/>
      <c r="G418" s="166"/>
      <c r="H418" s="280"/>
      <c r="I418" s="434" t="s">
        <v>73</v>
      </c>
      <c r="J418" s="434"/>
      <c r="K418" s="434" t="s">
        <v>58</v>
      </c>
      <c r="L418" s="434" t="s">
        <v>58</v>
      </c>
      <c r="M418" s="434">
        <v>1</v>
      </c>
      <c r="N418" s="276"/>
      <c r="O418" s="276"/>
      <c r="P418" s="276"/>
      <c r="Q418" s="276"/>
      <c r="R418" s="276"/>
      <c r="S418" s="276"/>
      <c r="T418" s="276"/>
      <c r="U418" s="182"/>
      <c r="W418" s="208" t="s">
        <v>89</v>
      </c>
      <c r="X418" s="217">
        <f>_xlfn.XLOOKUP(W418,マスタ!A:A,マスタ!C:C,0)*M418</f>
        <v>0.99</v>
      </c>
      <c r="Y418" s="218">
        <f>IF(N418="",0,_xlfn.XLOOKUP(W418,マスタ!A:A,マスタ!D:D,0)*M418)</f>
        <v>0</v>
      </c>
      <c r="Z418" s="219">
        <f>_xlfn.XLOOKUP(W418,マスタ!A:A,マスタ!E:E,0)*M418</f>
        <v>1.17</v>
      </c>
      <c r="AA418" s="219">
        <f>_xlfn.XLOOKUP(W418,マスタ!A:A,マスタ!F:F,0)*M418</f>
        <v>1.32</v>
      </c>
      <c r="AB418" s="219">
        <f>_xlfn.XLOOKUP(W418,マスタ!A:A,マスタ!G:G,0)*M418</f>
        <v>0.39</v>
      </c>
      <c r="AC418" s="220">
        <f>_xlfn.XLOOKUP(W418,マスタ!A:A,マスタ!H:H,0)*M418</f>
        <v>0.39</v>
      </c>
      <c r="AD418" s="227">
        <f t="shared" si="18"/>
        <v>4.2600000000000007</v>
      </c>
    </row>
    <row r="419" spans="1:32" ht="15" customHeight="1">
      <c r="A419" s="145"/>
      <c r="B419" s="162"/>
      <c r="C419" s="165" t="s">
        <v>505</v>
      </c>
      <c r="D419" s="166"/>
      <c r="E419" s="166"/>
      <c r="F419" s="166"/>
      <c r="G419" s="166"/>
      <c r="H419" s="280"/>
      <c r="I419" s="434" t="s">
        <v>73</v>
      </c>
      <c r="J419" s="434"/>
      <c r="K419" s="434" t="s">
        <v>58</v>
      </c>
      <c r="L419" s="434" t="s">
        <v>58</v>
      </c>
      <c r="M419" s="434">
        <v>1</v>
      </c>
      <c r="N419" s="276"/>
      <c r="O419" s="276"/>
      <c r="P419" s="276"/>
      <c r="Q419" s="276"/>
      <c r="R419" s="276"/>
      <c r="S419" s="276"/>
      <c r="T419" s="276"/>
      <c r="U419" s="182"/>
      <c r="W419" s="208" t="s">
        <v>89</v>
      </c>
      <c r="X419" s="217">
        <f>_xlfn.XLOOKUP(W419,マスタ!A:A,マスタ!C:C,0)*M419</f>
        <v>0.99</v>
      </c>
      <c r="Y419" s="218">
        <f>IF(N419="",0,_xlfn.XLOOKUP(W419,マスタ!A:A,マスタ!D:D,0)*M419)</f>
        <v>0</v>
      </c>
      <c r="Z419" s="219">
        <f>_xlfn.XLOOKUP(W419,マスタ!A:A,マスタ!E:E,0)*M419</f>
        <v>1.17</v>
      </c>
      <c r="AA419" s="219">
        <f>_xlfn.XLOOKUP(W419,マスタ!A:A,マスタ!F:F,0)*M419</f>
        <v>1.32</v>
      </c>
      <c r="AB419" s="219">
        <f>_xlfn.XLOOKUP(W419,マスタ!A:A,マスタ!G:G,0)*M419</f>
        <v>0.39</v>
      </c>
      <c r="AC419" s="220">
        <f>_xlfn.XLOOKUP(W419,マスタ!A:A,マスタ!H:H,0)*M419</f>
        <v>0.39</v>
      </c>
      <c r="AD419" s="227">
        <f t="shared" si="18"/>
        <v>4.2600000000000007</v>
      </c>
    </row>
    <row r="420" spans="1:32" ht="15" customHeight="1">
      <c r="A420" s="145"/>
      <c r="B420" s="188"/>
      <c r="C420" s="168" t="s">
        <v>506</v>
      </c>
      <c r="D420" s="169"/>
      <c r="E420" s="169"/>
      <c r="F420" s="169"/>
      <c r="G420" s="169"/>
      <c r="H420" s="289"/>
      <c r="I420" s="437" t="s">
        <v>73</v>
      </c>
      <c r="J420" s="437"/>
      <c r="K420" s="437" t="s">
        <v>58</v>
      </c>
      <c r="L420" s="437" t="s">
        <v>58</v>
      </c>
      <c r="M420" s="437">
        <v>1</v>
      </c>
      <c r="N420" s="278"/>
      <c r="O420" s="278"/>
      <c r="P420" s="278"/>
      <c r="Q420" s="278"/>
      <c r="R420" s="278"/>
      <c r="S420" s="278"/>
      <c r="T420" s="278"/>
      <c r="U420" s="184"/>
      <c r="W420" s="208" t="s">
        <v>89</v>
      </c>
      <c r="X420" s="217">
        <f>_xlfn.XLOOKUP(W420,マスタ!A:A,マスタ!C:C,0)*M420</f>
        <v>0.99</v>
      </c>
      <c r="Y420" s="218">
        <f>IF(N420="",0,_xlfn.XLOOKUP(W420,マスタ!A:A,マスタ!D:D,0)*M420)</f>
        <v>0</v>
      </c>
      <c r="Z420" s="219">
        <f>_xlfn.XLOOKUP(W420,マスタ!A:A,マスタ!E:E,0)*M420</f>
        <v>1.17</v>
      </c>
      <c r="AA420" s="219">
        <f>_xlfn.XLOOKUP(W420,マスタ!A:A,マスタ!F:F,0)*M420</f>
        <v>1.32</v>
      </c>
      <c r="AB420" s="219">
        <f>_xlfn.XLOOKUP(W420,マスタ!A:A,マスタ!G:G,0)*M420</f>
        <v>0.39</v>
      </c>
      <c r="AC420" s="220">
        <f>_xlfn.XLOOKUP(W420,マスタ!A:A,マスタ!H:H,0)*M420</f>
        <v>0.39</v>
      </c>
      <c r="AD420" s="227">
        <f t="shared" si="18"/>
        <v>4.2600000000000007</v>
      </c>
    </row>
    <row r="421" spans="1:32" ht="15" customHeight="1">
      <c r="A421" s="145"/>
      <c r="B421" s="170" t="s">
        <v>507</v>
      </c>
      <c r="C421" s="155"/>
      <c r="D421" s="155"/>
      <c r="E421" s="155"/>
      <c r="F421" s="155"/>
      <c r="G421" s="155"/>
      <c r="H421" s="312"/>
      <c r="I421" s="458"/>
      <c r="J421" s="458"/>
      <c r="K421" s="458"/>
      <c r="L421" s="458"/>
      <c r="M421" s="458"/>
      <c r="N421" s="313"/>
      <c r="O421" s="313"/>
      <c r="P421" s="313"/>
      <c r="Q421" s="313"/>
      <c r="R421" s="313"/>
      <c r="S421" s="313"/>
      <c r="T421" s="313"/>
      <c r="U421" s="249"/>
      <c r="W421" s="208"/>
      <c r="X421" s="217">
        <f>_xlfn.XLOOKUP(W421,マスタ!A:A,マスタ!C:C,0)*M421</f>
        <v>0</v>
      </c>
      <c r="Y421" s="218">
        <f>IF(N421="",0,_xlfn.XLOOKUP(W421,マスタ!A:A,マスタ!D:D,0)*M421)</f>
        <v>0</v>
      </c>
      <c r="Z421" s="219">
        <f>_xlfn.XLOOKUP(W421,マスタ!A:A,マスタ!E:E,0)*M421</f>
        <v>0</v>
      </c>
      <c r="AA421" s="219">
        <f>_xlfn.XLOOKUP(W421,マスタ!A:A,マスタ!F:F,0)*M421</f>
        <v>0</v>
      </c>
      <c r="AB421" s="219">
        <f>_xlfn.XLOOKUP(W421,マスタ!A:A,マスタ!G:G,0)*M421</f>
        <v>0</v>
      </c>
      <c r="AC421" s="220">
        <f>_xlfn.XLOOKUP(W421,マスタ!A:A,マスタ!H:H,0)*M421</f>
        <v>0</v>
      </c>
      <c r="AD421" s="227">
        <f t="shared" ref="AD421:AD479" si="26">SUM(X421:AC421)</f>
        <v>0</v>
      </c>
    </row>
    <row r="422" spans="1:32" ht="15" customHeight="1">
      <c r="A422" s="145"/>
      <c r="B422" s="188"/>
      <c r="C422" s="242" t="s">
        <v>508</v>
      </c>
      <c r="D422" s="243"/>
      <c r="E422" s="243"/>
      <c r="F422" s="243"/>
      <c r="G422" s="243"/>
      <c r="H422" s="310"/>
      <c r="I422" s="455" t="s">
        <v>73</v>
      </c>
      <c r="J422" s="455"/>
      <c r="K422" s="455" t="s">
        <v>58</v>
      </c>
      <c r="L422" s="455" t="s">
        <v>58</v>
      </c>
      <c r="M422" s="455">
        <v>1</v>
      </c>
      <c r="N422" s="314"/>
      <c r="O422" s="314"/>
      <c r="P422" s="314"/>
      <c r="Q422" s="314"/>
      <c r="R422" s="314"/>
      <c r="S422" s="314"/>
      <c r="T422" s="314"/>
      <c r="U422" s="246"/>
      <c r="W422" s="208" t="s">
        <v>59</v>
      </c>
      <c r="X422" s="217">
        <f>_xlfn.XLOOKUP(W422,マスタ!A:A,マスタ!C:C,0)*M422</f>
        <v>2.98</v>
      </c>
      <c r="Y422" s="218">
        <f>IF(N422="",0,_xlfn.XLOOKUP(W422,マスタ!A:A,マスタ!D:D,0)*M422)</f>
        <v>0</v>
      </c>
      <c r="Z422" s="219">
        <f>_xlfn.XLOOKUP(W422,マスタ!A:A,マスタ!E:E,0)*M422</f>
        <v>3.5</v>
      </c>
      <c r="AA422" s="219">
        <f>_xlfn.XLOOKUP(W422,マスタ!A:A,マスタ!F:F,0)*M422</f>
        <v>3.96</v>
      </c>
      <c r="AB422" s="219">
        <f>_xlfn.XLOOKUP(W422,マスタ!A:A,マスタ!G:G,0)*M422</f>
        <v>1.1599999999999999</v>
      </c>
      <c r="AC422" s="220">
        <f>_xlfn.XLOOKUP(W422,マスタ!A:A,マスタ!H:H,0)*M422</f>
        <v>1.1599999999999999</v>
      </c>
      <c r="AD422" s="227">
        <f t="shared" si="26"/>
        <v>12.760000000000002</v>
      </c>
    </row>
    <row r="423" spans="1:32" ht="15" customHeight="1">
      <c r="A423" s="145"/>
      <c r="B423" s="292" t="s">
        <v>509</v>
      </c>
      <c r="C423" s="305"/>
      <c r="D423" s="305"/>
      <c r="E423" s="305"/>
      <c r="F423" s="305"/>
      <c r="G423" s="315"/>
      <c r="H423" s="305" t="s">
        <v>510</v>
      </c>
      <c r="I423" s="481"/>
      <c r="J423" s="481"/>
      <c r="K423" s="481"/>
      <c r="L423" s="481"/>
      <c r="M423" s="481"/>
      <c r="N423" s="306"/>
      <c r="O423" s="306"/>
      <c r="P423" s="306"/>
      <c r="Q423" s="306"/>
      <c r="R423" s="306"/>
      <c r="S423" s="306"/>
      <c r="T423" s="306"/>
      <c r="U423" s="307"/>
      <c r="W423" s="208" t="s">
        <v>59</v>
      </c>
      <c r="X423" s="217">
        <f>_xlfn.XLOOKUP(W423,マスタ!A:A,マスタ!C:C,0)*M423</f>
        <v>0</v>
      </c>
      <c r="Y423" s="218">
        <f>IF(N423="",0,_xlfn.XLOOKUP(W423,マスタ!A:A,マスタ!D:D,0)*M423)</f>
        <v>0</v>
      </c>
      <c r="Z423" s="219">
        <f>_xlfn.XLOOKUP(W423,マスタ!A:A,マスタ!E:E,0)*M423</f>
        <v>0</v>
      </c>
      <c r="AA423" s="219">
        <f>_xlfn.XLOOKUP(W423,マスタ!A:A,マスタ!F:F,0)*M423</f>
        <v>0</v>
      </c>
      <c r="AB423" s="219">
        <f>_xlfn.XLOOKUP(W423,マスタ!A:A,マスタ!G:G,0)*M423</f>
        <v>0</v>
      </c>
      <c r="AC423" s="220">
        <f>_xlfn.XLOOKUP(W423,マスタ!A:A,マスタ!H:H,0)*M423</f>
        <v>0</v>
      </c>
      <c r="AD423" s="227">
        <f t="shared" si="26"/>
        <v>0</v>
      </c>
    </row>
    <row r="424" spans="1:32" ht="15" customHeight="1">
      <c r="A424" s="16"/>
      <c r="B424" s="148" t="s">
        <v>511</v>
      </c>
      <c r="C424" s="149"/>
      <c r="D424" s="149"/>
      <c r="E424" s="149"/>
      <c r="F424" s="149"/>
      <c r="G424" s="149"/>
      <c r="H424" s="149"/>
      <c r="I424" s="423"/>
      <c r="J424" s="423"/>
      <c r="K424" s="423"/>
      <c r="L424" s="423"/>
      <c r="M424" s="423"/>
      <c r="N424" s="144"/>
      <c r="O424" s="144"/>
      <c r="P424" s="144"/>
      <c r="Q424" s="144"/>
      <c r="R424" s="144"/>
      <c r="S424" s="144"/>
      <c r="T424" s="144"/>
      <c r="U424" s="144"/>
      <c r="W424" s="207"/>
      <c r="X424" s="213">
        <f>SUM(X425:X455)</f>
        <v>55.439999999999969</v>
      </c>
      <c r="Y424" s="214">
        <f t="shared" ref="Y424:AD424" si="27">SUM(Y425:Y455)</f>
        <v>0</v>
      </c>
      <c r="Z424" s="215">
        <f t="shared" si="27"/>
        <v>65.259999999999962</v>
      </c>
      <c r="AA424" s="215">
        <f t="shared" si="27"/>
        <v>73.92</v>
      </c>
      <c r="AB424" s="215">
        <f t="shared" si="27"/>
        <v>21.579999999999991</v>
      </c>
      <c r="AC424" s="216">
        <f t="shared" si="27"/>
        <v>21.579999999999991</v>
      </c>
      <c r="AD424" s="226">
        <f t="shared" si="27"/>
        <v>237.78000000000009</v>
      </c>
      <c r="AE424" s="205">
        <f>AD424/20</f>
        <v>11.889000000000005</v>
      </c>
      <c r="AF424" s="204">
        <f>AE424*350000</f>
        <v>4161150.0000000019</v>
      </c>
    </row>
    <row r="425" spans="1:32" ht="15" customHeight="1">
      <c r="A425" s="20"/>
      <c r="B425" s="160" t="s">
        <v>512</v>
      </c>
      <c r="C425" s="161"/>
      <c r="D425" s="161"/>
      <c r="E425" s="161"/>
      <c r="F425" s="161"/>
      <c r="G425" s="161"/>
      <c r="H425" s="161"/>
      <c r="I425" s="480"/>
      <c r="J425" s="480"/>
      <c r="K425" s="480"/>
      <c r="L425" s="480"/>
      <c r="M425" s="480"/>
      <c r="N425" s="269"/>
      <c r="O425" s="269"/>
      <c r="P425" s="269"/>
      <c r="Q425" s="269"/>
      <c r="R425" s="269"/>
      <c r="S425" s="269"/>
      <c r="T425" s="269"/>
      <c r="U425" s="270"/>
      <c r="W425" s="208"/>
      <c r="X425" s="217"/>
      <c r="Y425" s="218"/>
      <c r="Z425" s="300"/>
      <c r="AA425" s="300"/>
      <c r="AB425" s="300"/>
      <c r="AC425" s="301"/>
      <c r="AD425" s="302"/>
    </row>
    <row r="426" spans="1:32" ht="15" customHeight="1">
      <c r="A426" s="20"/>
      <c r="B426" s="308"/>
      <c r="C426" s="163" t="s">
        <v>513</v>
      </c>
      <c r="D426" s="164"/>
      <c r="E426" s="271"/>
      <c r="F426" s="164"/>
      <c r="G426" s="234"/>
      <c r="H426" s="272" t="s">
        <v>514</v>
      </c>
      <c r="I426" s="431" t="s">
        <v>73</v>
      </c>
      <c r="J426" s="431"/>
      <c r="K426" s="431" t="s">
        <v>58</v>
      </c>
      <c r="L426" s="431" t="s">
        <v>58</v>
      </c>
      <c r="M426" s="482">
        <v>1</v>
      </c>
      <c r="N426" s="179"/>
      <c r="O426" s="180"/>
      <c r="P426" s="179"/>
      <c r="Q426" s="180"/>
      <c r="R426" s="179"/>
      <c r="S426" s="180"/>
      <c r="T426" s="268"/>
      <c r="U426" s="180"/>
      <c r="W426" s="208" t="s">
        <v>89</v>
      </c>
      <c r="X426" s="217">
        <f>_xlfn.XLOOKUP(W426,マスタ!A:A,マスタ!C:C,0)*M426</f>
        <v>0.99</v>
      </c>
      <c r="Y426" s="218">
        <f>IF(N426="",0,_xlfn.XLOOKUP(W426,マスタ!A:A,マスタ!D:D,0)*M426)</f>
        <v>0</v>
      </c>
      <c r="Z426" s="219">
        <f>_xlfn.XLOOKUP(W426,マスタ!A:A,マスタ!E:E,0)*M426</f>
        <v>1.17</v>
      </c>
      <c r="AA426" s="219">
        <f>_xlfn.XLOOKUP(W426,マスタ!A:A,マスタ!F:F,0)*M426</f>
        <v>1.32</v>
      </c>
      <c r="AB426" s="219">
        <f>_xlfn.XLOOKUP(W426,マスタ!A:A,マスタ!G:G,0)*M426</f>
        <v>0.39</v>
      </c>
      <c r="AC426" s="220">
        <f>_xlfn.XLOOKUP(W426,マスタ!A:A,マスタ!H:H,0)*M426</f>
        <v>0.39</v>
      </c>
      <c r="AD426" s="227">
        <f t="shared" si="26"/>
        <v>4.2600000000000007</v>
      </c>
    </row>
    <row r="427" spans="1:32" ht="15" customHeight="1">
      <c r="A427" s="20"/>
      <c r="B427" s="308"/>
      <c r="C427" s="165" t="s">
        <v>515</v>
      </c>
      <c r="D427" s="166"/>
      <c r="E427" s="274"/>
      <c r="F427" s="166"/>
      <c r="G427" s="275"/>
      <c r="H427" s="280" t="s">
        <v>516</v>
      </c>
      <c r="I427" s="434" t="s">
        <v>73</v>
      </c>
      <c r="J427" s="434"/>
      <c r="K427" s="434" t="s">
        <v>58</v>
      </c>
      <c r="L427" s="434" t="s">
        <v>58</v>
      </c>
      <c r="M427" s="466">
        <v>1</v>
      </c>
      <c r="N427" s="181"/>
      <c r="O427" s="182"/>
      <c r="P427" s="181"/>
      <c r="Q427" s="182"/>
      <c r="R427" s="181"/>
      <c r="S427" s="182"/>
      <c r="T427" s="284"/>
      <c r="U427" s="182"/>
      <c r="W427" s="208" t="s">
        <v>89</v>
      </c>
      <c r="X427" s="217">
        <f>_xlfn.XLOOKUP(W427,マスタ!A:A,マスタ!C:C,0)*M427</f>
        <v>0.99</v>
      </c>
      <c r="Y427" s="218">
        <f>IF(N427="",0,_xlfn.XLOOKUP(W427,マスタ!A:A,マスタ!D:D,0)*M427)</f>
        <v>0</v>
      </c>
      <c r="Z427" s="219">
        <f>_xlfn.XLOOKUP(W427,マスタ!A:A,マスタ!E:E,0)*M427</f>
        <v>1.17</v>
      </c>
      <c r="AA427" s="219">
        <f>_xlfn.XLOOKUP(W427,マスタ!A:A,マスタ!F:F,0)*M427</f>
        <v>1.32</v>
      </c>
      <c r="AB427" s="219">
        <f>_xlfn.XLOOKUP(W427,マスタ!A:A,マスタ!G:G,0)*M427</f>
        <v>0.39</v>
      </c>
      <c r="AC427" s="220">
        <f>_xlfn.XLOOKUP(W427,マスタ!A:A,マスタ!H:H,0)*M427</f>
        <v>0.39</v>
      </c>
      <c r="AD427" s="227">
        <f t="shared" si="26"/>
        <v>4.2600000000000007</v>
      </c>
    </row>
    <row r="428" spans="1:32" ht="15" customHeight="1">
      <c r="A428" s="20"/>
      <c r="B428" s="308"/>
      <c r="C428" s="165" t="s">
        <v>517</v>
      </c>
      <c r="D428" s="166"/>
      <c r="E428" s="274"/>
      <c r="F428" s="166"/>
      <c r="G428" s="275"/>
      <c r="H428" s="280" t="s">
        <v>518</v>
      </c>
      <c r="I428" s="434" t="s">
        <v>73</v>
      </c>
      <c r="J428" s="434"/>
      <c r="K428" s="434" t="s">
        <v>58</v>
      </c>
      <c r="L428" s="434" t="s">
        <v>58</v>
      </c>
      <c r="M428" s="466">
        <v>1</v>
      </c>
      <c r="N428" s="181"/>
      <c r="O428" s="182"/>
      <c r="P428" s="181"/>
      <c r="Q428" s="182"/>
      <c r="R428" s="181"/>
      <c r="S428" s="182"/>
      <c r="T428" s="284"/>
      <c r="U428" s="182"/>
      <c r="W428" s="208" t="s">
        <v>89</v>
      </c>
      <c r="X428" s="217">
        <f>_xlfn.XLOOKUP(W428,マスタ!A:A,マスタ!C:C,0)*M428</f>
        <v>0.99</v>
      </c>
      <c r="Y428" s="218">
        <f>IF(N428="",0,_xlfn.XLOOKUP(W428,マスタ!A:A,マスタ!D:D,0)*M428)</f>
        <v>0</v>
      </c>
      <c r="Z428" s="219">
        <f>_xlfn.XLOOKUP(W428,マスタ!A:A,マスタ!E:E,0)*M428</f>
        <v>1.17</v>
      </c>
      <c r="AA428" s="219">
        <f>_xlfn.XLOOKUP(W428,マスタ!A:A,マスタ!F:F,0)*M428</f>
        <v>1.32</v>
      </c>
      <c r="AB428" s="219">
        <f>_xlfn.XLOOKUP(W428,マスタ!A:A,マスタ!G:G,0)*M428</f>
        <v>0.39</v>
      </c>
      <c r="AC428" s="220">
        <f>_xlfn.XLOOKUP(W428,マスタ!A:A,マスタ!H:H,0)*M428</f>
        <v>0.39</v>
      </c>
      <c r="AD428" s="227">
        <f t="shared" si="26"/>
        <v>4.2600000000000007</v>
      </c>
    </row>
    <row r="429" spans="1:32" ht="15" customHeight="1">
      <c r="A429" s="20"/>
      <c r="B429" s="308"/>
      <c r="C429" s="165" t="s">
        <v>519</v>
      </c>
      <c r="D429" s="166"/>
      <c r="E429" s="274"/>
      <c r="F429" s="166"/>
      <c r="G429" s="275"/>
      <c r="H429" s="280" t="s">
        <v>520</v>
      </c>
      <c r="I429" s="434" t="s">
        <v>73</v>
      </c>
      <c r="J429" s="434"/>
      <c r="K429" s="434" t="s">
        <v>58</v>
      </c>
      <c r="L429" s="434" t="s">
        <v>58</v>
      </c>
      <c r="M429" s="466">
        <v>1</v>
      </c>
      <c r="N429" s="181"/>
      <c r="O429" s="182"/>
      <c r="P429" s="181"/>
      <c r="Q429" s="182"/>
      <c r="R429" s="181"/>
      <c r="S429" s="182"/>
      <c r="T429" s="284"/>
      <c r="U429" s="182"/>
      <c r="W429" s="208" t="s">
        <v>158</v>
      </c>
      <c r="X429" s="217">
        <f>_xlfn.XLOOKUP(W429,マスタ!A:A,マスタ!C:C,0)*M429</f>
        <v>1.98</v>
      </c>
      <c r="Y429" s="218">
        <f>IF(N429="",0,_xlfn.XLOOKUP(W429,マスタ!A:A,マスタ!D:D,0)*M429)</f>
        <v>0</v>
      </c>
      <c r="Z429" s="219">
        <f>_xlfn.XLOOKUP(W429,マスタ!A:A,マスタ!E:E,0)*M429</f>
        <v>2.33</v>
      </c>
      <c r="AA429" s="219">
        <f>_xlfn.XLOOKUP(W429,マスタ!A:A,マスタ!F:F,0)*M429</f>
        <v>2.64</v>
      </c>
      <c r="AB429" s="219">
        <f>_xlfn.XLOOKUP(W429,マスタ!A:A,マスタ!G:G,0)*M429</f>
        <v>0.77</v>
      </c>
      <c r="AC429" s="220">
        <f>_xlfn.XLOOKUP(W429,マスタ!A:A,マスタ!H:H,0)*M429</f>
        <v>0.77</v>
      </c>
      <c r="AD429" s="227">
        <f t="shared" si="26"/>
        <v>8.49</v>
      </c>
    </row>
    <row r="430" spans="1:32" ht="15" customHeight="1">
      <c r="A430" s="20"/>
      <c r="B430" s="308"/>
      <c r="C430" s="165" t="s">
        <v>521</v>
      </c>
      <c r="D430" s="166"/>
      <c r="E430" s="274"/>
      <c r="F430" s="166"/>
      <c r="G430" s="275"/>
      <c r="H430" s="280" t="s">
        <v>522</v>
      </c>
      <c r="I430" s="434" t="s">
        <v>73</v>
      </c>
      <c r="J430" s="434"/>
      <c r="K430" s="434" t="s">
        <v>58</v>
      </c>
      <c r="L430" s="434" t="s">
        <v>58</v>
      </c>
      <c r="M430" s="466">
        <v>1</v>
      </c>
      <c r="N430" s="181"/>
      <c r="O430" s="182"/>
      <c r="P430" s="181"/>
      <c r="Q430" s="182"/>
      <c r="R430" s="181"/>
      <c r="S430" s="182"/>
      <c r="T430" s="284"/>
      <c r="U430" s="182"/>
      <c r="W430" s="208" t="s">
        <v>89</v>
      </c>
      <c r="X430" s="217">
        <f>_xlfn.XLOOKUP(W430,マスタ!A:A,マスタ!C:C,0)*M430</f>
        <v>0.99</v>
      </c>
      <c r="Y430" s="218">
        <f>IF(N430="",0,_xlfn.XLOOKUP(W430,マスタ!A:A,マスタ!D:D,0)*M430)</f>
        <v>0</v>
      </c>
      <c r="Z430" s="219">
        <f>_xlfn.XLOOKUP(W430,マスタ!A:A,マスタ!E:E,0)*M430</f>
        <v>1.17</v>
      </c>
      <c r="AA430" s="219">
        <f>_xlfn.XLOOKUP(W430,マスタ!A:A,マスタ!F:F,0)*M430</f>
        <v>1.32</v>
      </c>
      <c r="AB430" s="219">
        <f>_xlfn.XLOOKUP(W430,マスタ!A:A,マスタ!G:G,0)*M430</f>
        <v>0.39</v>
      </c>
      <c r="AC430" s="220">
        <f>_xlfn.XLOOKUP(W430,マスタ!A:A,マスタ!H:H,0)*M430</f>
        <v>0.39</v>
      </c>
      <c r="AD430" s="227">
        <f t="shared" si="26"/>
        <v>4.2600000000000007</v>
      </c>
    </row>
    <row r="431" spans="1:32" ht="15" customHeight="1">
      <c r="A431" s="20"/>
      <c r="B431" s="308"/>
      <c r="C431" s="165" t="s">
        <v>523</v>
      </c>
      <c r="D431" s="166"/>
      <c r="E431" s="274"/>
      <c r="F431" s="166"/>
      <c r="G431" s="275"/>
      <c r="H431" s="280" t="s">
        <v>524</v>
      </c>
      <c r="I431" s="434" t="s">
        <v>73</v>
      </c>
      <c r="J431" s="434"/>
      <c r="K431" s="434" t="s">
        <v>58</v>
      </c>
      <c r="L431" s="434" t="s">
        <v>58</v>
      </c>
      <c r="M431" s="466">
        <v>1</v>
      </c>
      <c r="N431" s="181"/>
      <c r="O431" s="182"/>
      <c r="P431" s="181"/>
      <c r="Q431" s="182"/>
      <c r="R431" s="181"/>
      <c r="S431" s="182"/>
      <c r="T431" s="284"/>
      <c r="U431" s="182"/>
      <c r="W431" s="208" t="s">
        <v>158</v>
      </c>
      <c r="X431" s="217">
        <f>_xlfn.XLOOKUP(W431,マスタ!A:A,マスタ!C:C,0)*M431</f>
        <v>1.98</v>
      </c>
      <c r="Y431" s="218">
        <f>IF(N431="",0,_xlfn.XLOOKUP(W431,マスタ!A:A,マスタ!D:D,0)*M431)</f>
        <v>0</v>
      </c>
      <c r="Z431" s="219">
        <f>_xlfn.XLOOKUP(W431,マスタ!A:A,マスタ!E:E,0)*M431</f>
        <v>2.33</v>
      </c>
      <c r="AA431" s="219">
        <f>_xlfn.XLOOKUP(W431,マスタ!A:A,マスタ!F:F,0)*M431</f>
        <v>2.64</v>
      </c>
      <c r="AB431" s="219">
        <f>_xlfn.XLOOKUP(W431,マスタ!A:A,マスタ!G:G,0)*M431</f>
        <v>0.77</v>
      </c>
      <c r="AC431" s="220">
        <f>_xlfn.XLOOKUP(W431,マスタ!A:A,マスタ!H:H,0)*M431</f>
        <v>0.77</v>
      </c>
      <c r="AD431" s="227">
        <f t="shared" si="26"/>
        <v>8.49</v>
      </c>
    </row>
    <row r="432" spans="1:32" ht="15" customHeight="1">
      <c r="A432" s="20"/>
      <c r="B432" s="308"/>
      <c r="C432" s="165" t="s">
        <v>525</v>
      </c>
      <c r="D432" s="166"/>
      <c r="E432" s="274"/>
      <c r="F432" s="166"/>
      <c r="G432" s="275"/>
      <c r="H432" s="280" t="s">
        <v>526</v>
      </c>
      <c r="I432" s="434" t="s">
        <v>73</v>
      </c>
      <c r="J432" s="434"/>
      <c r="K432" s="434" t="s">
        <v>58</v>
      </c>
      <c r="L432" s="434" t="s">
        <v>58</v>
      </c>
      <c r="M432" s="466">
        <v>1</v>
      </c>
      <c r="N432" s="181"/>
      <c r="O432" s="182"/>
      <c r="P432" s="181"/>
      <c r="Q432" s="182"/>
      <c r="R432" s="181"/>
      <c r="S432" s="182"/>
      <c r="T432" s="284"/>
      <c r="U432" s="182"/>
      <c r="W432" s="208" t="s">
        <v>158</v>
      </c>
      <c r="X432" s="217">
        <f>_xlfn.XLOOKUP(W432,マスタ!A:A,マスタ!C:C,0)*M432</f>
        <v>1.98</v>
      </c>
      <c r="Y432" s="218">
        <f>IF(N432="",0,_xlfn.XLOOKUP(W432,マスタ!A:A,マスタ!D:D,0)*M432)</f>
        <v>0</v>
      </c>
      <c r="Z432" s="219">
        <f>_xlfn.XLOOKUP(W432,マスタ!A:A,マスタ!E:E,0)*M432</f>
        <v>2.33</v>
      </c>
      <c r="AA432" s="219">
        <f>_xlfn.XLOOKUP(W432,マスタ!A:A,マスタ!F:F,0)*M432</f>
        <v>2.64</v>
      </c>
      <c r="AB432" s="219">
        <f>_xlfn.XLOOKUP(W432,マスタ!A:A,マスタ!G:G,0)*M432</f>
        <v>0.77</v>
      </c>
      <c r="AC432" s="220">
        <f>_xlfn.XLOOKUP(W432,マスタ!A:A,マスタ!H:H,0)*M432</f>
        <v>0.77</v>
      </c>
      <c r="AD432" s="227">
        <f t="shared" si="26"/>
        <v>8.49</v>
      </c>
    </row>
    <row r="433" spans="1:30" ht="15" customHeight="1">
      <c r="A433" s="20"/>
      <c r="B433" s="308"/>
      <c r="C433" s="165" t="s">
        <v>527</v>
      </c>
      <c r="D433" s="166"/>
      <c r="E433" s="274"/>
      <c r="F433" s="166"/>
      <c r="G433" s="275"/>
      <c r="H433" s="280" t="s">
        <v>528</v>
      </c>
      <c r="I433" s="434" t="s">
        <v>73</v>
      </c>
      <c r="J433" s="434"/>
      <c r="K433" s="434" t="s">
        <v>58</v>
      </c>
      <c r="L433" s="434" t="s">
        <v>58</v>
      </c>
      <c r="M433" s="466">
        <v>1</v>
      </c>
      <c r="N433" s="181"/>
      <c r="O433" s="182"/>
      <c r="P433" s="181"/>
      <c r="Q433" s="182"/>
      <c r="R433" s="181"/>
      <c r="S433" s="182"/>
      <c r="T433" s="284"/>
      <c r="U433" s="182"/>
      <c r="W433" s="208" t="s">
        <v>158</v>
      </c>
      <c r="X433" s="217">
        <f>_xlfn.XLOOKUP(W433,マスタ!A:A,マスタ!C:C,0)*M433</f>
        <v>1.98</v>
      </c>
      <c r="Y433" s="218">
        <f>IF(N433="",0,_xlfn.XLOOKUP(W433,マスタ!A:A,マスタ!D:D,0)*M433)</f>
        <v>0</v>
      </c>
      <c r="Z433" s="219">
        <f>_xlfn.XLOOKUP(W433,マスタ!A:A,マスタ!E:E,0)*M433</f>
        <v>2.33</v>
      </c>
      <c r="AA433" s="219">
        <f>_xlfn.XLOOKUP(W433,マスタ!A:A,マスタ!F:F,0)*M433</f>
        <v>2.64</v>
      </c>
      <c r="AB433" s="219">
        <f>_xlfn.XLOOKUP(W433,マスタ!A:A,マスタ!G:G,0)*M433</f>
        <v>0.77</v>
      </c>
      <c r="AC433" s="220">
        <f>_xlfn.XLOOKUP(W433,マスタ!A:A,マスタ!H:H,0)*M433</f>
        <v>0.77</v>
      </c>
      <c r="AD433" s="227">
        <f t="shared" si="26"/>
        <v>8.49</v>
      </c>
    </row>
    <row r="434" spans="1:30" ht="15" customHeight="1">
      <c r="A434" s="20"/>
      <c r="B434" s="308"/>
      <c r="C434" s="165" t="s">
        <v>529</v>
      </c>
      <c r="D434" s="166"/>
      <c r="E434" s="274"/>
      <c r="F434" s="166"/>
      <c r="G434" s="275"/>
      <c r="H434" s="280" t="s">
        <v>530</v>
      </c>
      <c r="I434" s="434" t="s">
        <v>73</v>
      </c>
      <c r="J434" s="434"/>
      <c r="K434" s="434" t="s">
        <v>58</v>
      </c>
      <c r="L434" s="434" t="s">
        <v>58</v>
      </c>
      <c r="M434" s="466">
        <v>1</v>
      </c>
      <c r="N434" s="181"/>
      <c r="O434" s="182"/>
      <c r="P434" s="181"/>
      <c r="Q434" s="182"/>
      <c r="R434" s="181"/>
      <c r="S434" s="182"/>
      <c r="T434" s="284"/>
      <c r="U434" s="182"/>
      <c r="W434" s="208" t="s">
        <v>158</v>
      </c>
      <c r="X434" s="217">
        <f>_xlfn.XLOOKUP(W434,マスタ!A:A,マスタ!C:C,0)*M434</f>
        <v>1.98</v>
      </c>
      <c r="Y434" s="218">
        <f>IF(N434="",0,_xlfn.XLOOKUP(W434,マスタ!A:A,マスタ!D:D,0)*M434)</f>
        <v>0</v>
      </c>
      <c r="Z434" s="219">
        <f>_xlfn.XLOOKUP(W434,マスタ!A:A,マスタ!E:E,0)*M434</f>
        <v>2.33</v>
      </c>
      <c r="AA434" s="219">
        <f>_xlfn.XLOOKUP(W434,マスタ!A:A,マスタ!F:F,0)*M434</f>
        <v>2.64</v>
      </c>
      <c r="AB434" s="219">
        <f>_xlfn.XLOOKUP(W434,マスタ!A:A,マスタ!G:G,0)*M434</f>
        <v>0.77</v>
      </c>
      <c r="AC434" s="220">
        <f>_xlfn.XLOOKUP(W434,マスタ!A:A,マスタ!H:H,0)*M434</f>
        <v>0.77</v>
      </c>
      <c r="AD434" s="227">
        <f t="shared" si="26"/>
        <v>8.49</v>
      </c>
    </row>
    <row r="435" spans="1:30" ht="15" customHeight="1">
      <c r="A435" s="20"/>
      <c r="B435" s="308"/>
      <c r="C435" s="165" t="s">
        <v>531</v>
      </c>
      <c r="D435" s="166"/>
      <c r="E435" s="274"/>
      <c r="F435" s="166"/>
      <c r="G435" s="275"/>
      <c r="H435" s="280" t="s">
        <v>532</v>
      </c>
      <c r="I435" s="434" t="s">
        <v>73</v>
      </c>
      <c r="J435" s="434"/>
      <c r="K435" s="434" t="s">
        <v>58</v>
      </c>
      <c r="L435" s="434" t="s">
        <v>58</v>
      </c>
      <c r="M435" s="466">
        <v>1</v>
      </c>
      <c r="N435" s="181"/>
      <c r="O435" s="182"/>
      <c r="P435" s="181"/>
      <c r="Q435" s="182"/>
      <c r="R435" s="181"/>
      <c r="S435" s="182"/>
      <c r="T435" s="284"/>
      <c r="U435" s="182"/>
      <c r="W435" s="208" t="s">
        <v>158</v>
      </c>
      <c r="X435" s="217">
        <f>_xlfn.XLOOKUP(W435,マスタ!A:A,マスタ!C:C,0)*M435</f>
        <v>1.98</v>
      </c>
      <c r="Y435" s="218">
        <f>IF(N435="",0,_xlfn.XLOOKUP(W435,マスタ!A:A,マスタ!D:D,0)*M435)</f>
        <v>0</v>
      </c>
      <c r="Z435" s="219">
        <f>_xlfn.XLOOKUP(W435,マスタ!A:A,マスタ!E:E,0)*M435</f>
        <v>2.33</v>
      </c>
      <c r="AA435" s="219">
        <f>_xlfn.XLOOKUP(W435,マスタ!A:A,マスタ!F:F,0)*M435</f>
        <v>2.64</v>
      </c>
      <c r="AB435" s="219">
        <f>_xlfn.XLOOKUP(W435,マスタ!A:A,マスタ!G:G,0)*M435</f>
        <v>0.77</v>
      </c>
      <c r="AC435" s="220">
        <f>_xlfn.XLOOKUP(W435,マスタ!A:A,マスタ!H:H,0)*M435</f>
        <v>0.77</v>
      </c>
      <c r="AD435" s="227">
        <f t="shared" si="26"/>
        <v>8.49</v>
      </c>
    </row>
    <row r="436" spans="1:30" ht="15" customHeight="1">
      <c r="A436" s="20"/>
      <c r="B436" s="308"/>
      <c r="C436" s="165" t="s">
        <v>533</v>
      </c>
      <c r="D436" s="166"/>
      <c r="E436" s="274"/>
      <c r="F436" s="166"/>
      <c r="G436" s="275"/>
      <c r="H436" s="280" t="s">
        <v>534</v>
      </c>
      <c r="I436" s="434" t="s">
        <v>73</v>
      </c>
      <c r="J436" s="434"/>
      <c r="K436" s="434" t="s">
        <v>58</v>
      </c>
      <c r="L436" s="434" t="s">
        <v>58</v>
      </c>
      <c r="M436" s="466">
        <v>1</v>
      </c>
      <c r="N436" s="181"/>
      <c r="O436" s="182"/>
      <c r="P436" s="181"/>
      <c r="Q436" s="182"/>
      <c r="R436" s="181"/>
      <c r="S436" s="182"/>
      <c r="T436" s="284"/>
      <c r="U436" s="182"/>
      <c r="W436" s="208" t="s">
        <v>158</v>
      </c>
      <c r="X436" s="217">
        <f>_xlfn.XLOOKUP(W436,マスタ!A:A,マスタ!C:C,0)*M436</f>
        <v>1.98</v>
      </c>
      <c r="Y436" s="218">
        <f>IF(N436="",0,_xlfn.XLOOKUP(W436,マスタ!A:A,マスタ!D:D,0)*M436)</f>
        <v>0</v>
      </c>
      <c r="Z436" s="219">
        <f>_xlfn.XLOOKUP(W436,マスタ!A:A,マスタ!E:E,0)*M436</f>
        <v>2.33</v>
      </c>
      <c r="AA436" s="219">
        <f>_xlfn.XLOOKUP(W436,マスタ!A:A,マスタ!F:F,0)*M436</f>
        <v>2.64</v>
      </c>
      <c r="AB436" s="219">
        <f>_xlfn.XLOOKUP(W436,マスタ!A:A,マスタ!G:G,0)*M436</f>
        <v>0.77</v>
      </c>
      <c r="AC436" s="220">
        <f>_xlfn.XLOOKUP(W436,マスタ!A:A,マスタ!H:H,0)*M436</f>
        <v>0.77</v>
      </c>
      <c r="AD436" s="227">
        <f t="shared" si="26"/>
        <v>8.49</v>
      </c>
    </row>
    <row r="437" spans="1:30" ht="15" customHeight="1">
      <c r="A437" s="20"/>
      <c r="B437" s="308"/>
      <c r="C437" s="165" t="s">
        <v>535</v>
      </c>
      <c r="D437" s="166"/>
      <c r="E437" s="274"/>
      <c r="F437" s="166"/>
      <c r="G437" s="275"/>
      <c r="H437" s="280" t="s">
        <v>536</v>
      </c>
      <c r="I437" s="434" t="s">
        <v>73</v>
      </c>
      <c r="J437" s="434"/>
      <c r="K437" s="434" t="s">
        <v>58</v>
      </c>
      <c r="L437" s="434" t="s">
        <v>58</v>
      </c>
      <c r="M437" s="466">
        <v>1</v>
      </c>
      <c r="N437" s="181"/>
      <c r="O437" s="182"/>
      <c r="P437" s="181"/>
      <c r="Q437" s="182"/>
      <c r="R437" s="181"/>
      <c r="S437" s="182"/>
      <c r="T437" s="284"/>
      <c r="U437" s="182"/>
      <c r="W437" s="208" t="s">
        <v>158</v>
      </c>
      <c r="X437" s="217">
        <f>_xlfn.XLOOKUP(W437,マスタ!A:A,マスタ!C:C,0)*M437</f>
        <v>1.98</v>
      </c>
      <c r="Y437" s="218">
        <f>IF(N437="",0,_xlfn.XLOOKUP(W437,マスタ!A:A,マスタ!D:D,0)*M437)</f>
        <v>0</v>
      </c>
      <c r="Z437" s="219">
        <f>_xlfn.XLOOKUP(W437,マスタ!A:A,マスタ!E:E,0)*M437</f>
        <v>2.33</v>
      </c>
      <c r="AA437" s="219">
        <f>_xlfn.XLOOKUP(W437,マスタ!A:A,マスタ!F:F,0)*M437</f>
        <v>2.64</v>
      </c>
      <c r="AB437" s="219">
        <f>_xlfn.XLOOKUP(W437,マスタ!A:A,マスタ!G:G,0)*M437</f>
        <v>0.77</v>
      </c>
      <c r="AC437" s="220">
        <f>_xlfn.XLOOKUP(W437,マスタ!A:A,マスタ!H:H,0)*M437</f>
        <v>0.77</v>
      </c>
      <c r="AD437" s="227">
        <f t="shared" si="26"/>
        <v>8.49</v>
      </c>
    </row>
    <row r="438" spans="1:30" ht="15" customHeight="1">
      <c r="A438" s="20"/>
      <c r="B438" s="308"/>
      <c r="C438" s="165" t="s">
        <v>537</v>
      </c>
      <c r="D438" s="166"/>
      <c r="E438" s="274"/>
      <c r="F438" s="166"/>
      <c r="G438" s="275"/>
      <c r="H438" s="280" t="s">
        <v>538</v>
      </c>
      <c r="I438" s="434" t="s">
        <v>73</v>
      </c>
      <c r="J438" s="434"/>
      <c r="K438" s="434" t="s">
        <v>58</v>
      </c>
      <c r="L438" s="434" t="s">
        <v>58</v>
      </c>
      <c r="M438" s="466">
        <v>1</v>
      </c>
      <c r="N438" s="181"/>
      <c r="O438" s="182"/>
      <c r="P438" s="181"/>
      <c r="Q438" s="182"/>
      <c r="R438" s="181"/>
      <c r="S438" s="182"/>
      <c r="T438" s="284"/>
      <c r="U438" s="182"/>
      <c r="W438" s="208" t="s">
        <v>158</v>
      </c>
      <c r="X438" s="217">
        <f>_xlfn.XLOOKUP(W438,マスタ!A:A,マスタ!C:C,0)*M438</f>
        <v>1.98</v>
      </c>
      <c r="Y438" s="218">
        <f>IF(N438="",0,_xlfn.XLOOKUP(W438,マスタ!A:A,マスタ!D:D,0)*M438)</f>
        <v>0</v>
      </c>
      <c r="Z438" s="219">
        <f>_xlfn.XLOOKUP(W438,マスタ!A:A,マスタ!E:E,0)*M438</f>
        <v>2.33</v>
      </c>
      <c r="AA438" s="219">
        <f>_xlfn.XLOOKUP(W438,マスタ!A:A,マスタ!F:F,0)*M438</f>
        <v>2.64</v>
      </c>
      <c r="AB438" s="219">
        <f>_xlfn.XLOOKUP(W438,マスタ!A:A,マスタ!G:G,0)*M438</f>
        <v>0.77</v>
      </c>
      <c r="AC438" s="220">
        <f>_xlfn.XLOOKUP(W438,マスタ!A:A,マスタ!H:H,0)*M438</f>
        <v>0.77</v>
      </c>
      <c r="AD438" s="227">
        <f t="shared" si="26"/>
        <v>8.49</v>
      </c>
    </row>
    <row r="439" spans="1:30" ht="15" customHeight="1">
      <c r="A439" s="20"/>
      <c r="B439" s="308"/>
      <c r="C439" s="165" t="s">
        <v>539</v>
      </c>
      <c r="D439" s="166"/>
      <c r="E439" s="274"/>
      <c r="F439" s="166"/>
      <c r="G439" s="275"/>
      <c r="H439" s="280" t="s">
        <v>540</v>
      </c>
      <c r="I439" s="434" t="s">
        <v>73</v>
      </c>
      <c r="J439" s="434"/>
      <c r="K439" s="434" t="s">
        <v>58</v>
      </c>
      <c r="L439" s="434" t="s">
        <v>58</v>
      </c>
      <c r="M439" s="466">
        <v>1</v>
      </c>
      <c r="N439" s="181"/>
      <c r="O439" s="182"/>
      <c r="P439" s="181"/>
      <c r="Q439" s="182"/>
      <c r="R439" s="181"/>
      <c r="S439" s="182"/>
      <c r="T439" s="284"/>
      <c r="U439" s="182"/>
      <c r="W439" s="208" t="s">
        <v>158</v>
      </c>
      <c r="X439" s="217">
        <f>_xlfn.XLOOKUP(W439,マスタ!A:A,マスタ!C:C,0)*M439</f>
        <v>1.98</v>
      </c>
      <c r="Y439" s="218">
        <f>IF(N439="",0,_xlfn.XLOOKUP(W439,マスタ!A:A,マスタ!D:D,0)*M439)</f>
        <v>0</v>
      </c>
      <c r="Z439" s="219">
        <f>_xlfn.XLOOKUP(W439,マスタ!A:A,マスタ!E:E,0)*M439</f>
        <v>2.33</v>
      </c>
      <c r="AA439" s="219">
        <f>_xlfn.XLOOKUP(W439,マスタ!A:A,マスタ!F:F,0)*M439</f>
        <v>2.64</v>
      </c>
      <c r="AB439" s="219">
        <f>_xlfn.XLOOKUP(W439,マスタ!A:A,マスタ!G:G,0)*M439</f>
        <v>0.77</v>
      </c>
      <c r="AC439" s="220">
        <f>_xlfn.XLOOKUP(W439,マスタ!A:A,マスタ!H:H,0)*M439</f>
        <v>0.77</v>
      </c>
      <c r="AD439" s="227">
        <f t="shared" si="26"/>
        <v>8.49</v>
      </c>
    </row>
    <row r="440" spans="1:30" ht="15" customHeight="1">
      <c r="A440" s="20"/>
      <c r="B440" s="308"/>
      <c r="C440" s="165" t="s">
        <v>541</v>
      </c>
      <c r="D440" s="166"/>
      <c r="E440" s="274"/>
      <c r="F440" s="166"/>
      <c r="G440" s="275"/>
      <c r="H440" s="280" t="s">
        <v>542</v>
      </c>
      <c r="I440" s="434" t="s">
        <v>73</v>
      </c>
      <c r="J440" s="434"/>
      <c r="K440" s="434" t="s">
        <v>58</v>
      </c>
      <c r="L440" s="434" t="s">
        <v>58</v>
      </c>
      <c r="M440" s="466">
        <v>1</v>
      </c>
      <c r="N440" s="181"/>
      <c r="O440" s="182"/>
      <c r="P440" s="181"/>
      <c r="Q440" s="182"/>
      <c r="R440" s="181"/>
      <c r="S440" s="182"/>
      <c r="T440" s="284"/>
      <c r="U440" s="182"/>
      <c r="W440" s="208" t="s">
        <v>158</v>
      </c>
      <c r="X440" s="217">
        <f>_xlfn.XLOOKUP(W440,マスタ!A:A,マスタ!C:C,0)*M440</f>
        <v>1.98</v>
      </c>
      <c r="Y440" s="218">
        <f>IF(N440="",0,_xlfn.XLOOKUP(W440,マスタ!A:A,マスタ!D:D,0)*M440)</f>
        <v>0</v>
      </c>
      <c r="Z440" s="219">
        <f>_xlfn.XLOOKUP(W440,マスタ!A:A,マスタ!E:E,0)*M440</f>
        <v>2.33</v>
      </c>
      <c r="AA440" s="219">
        <f>_xlfn.XLOOKUP(W440,マスタ!A:A,マスタ!F:F,0)*M440</f>
        <v>2.64</v>
      </c>
      <c r="AB440" s="219">
        <f>_xlfn.XLOOKUP(W440,マスタ!A:A,マスタ!G:G,0)*M440</f>
        <v>0.77</v>
      </c>
      <c r="AC440" s="220">
        <f>_xlfn.XLOOKUP(W440,マスタ!A:A,マスタ!H:H,0)*M440</f>
        <v>0.77</v>
      </c>
      <c r="AD440" s="227">
        <f t="shared" si="26"/>
        <v>8.49</v>
      </c>
    </row>
    <row r="441" spans="1:30" ht="15" customHeight="1">
      <c r="A441" s="20"/>
      <c r="B441" s="308"/>
      <c r="C441" s="165" t="s">
        <v>543</v>
      </c>
      <c r="D441" s="166"/>
      <c r="E441" s="274"/>
      <c r="F441" s="166"/>
      <c r="G441" s="275"/>
      <c r="H441" s="280" t="s">
        <v>544</v>
      </c>
      <c r="I441" s="434" t="s">
        <v>73</v>
      </c>
      <c r="J441" s="434"/>
      <c r="K441" s="434" t="s">
        <v>58</v>
      </c>
      <c r="L441" s="434" t="s">
        <v>58</v>
      </c>
      <c r="M441" s="466">
        <v>1</v>
      </c>
      <c r="N441" s="181"/>
      <c r="O441" s="182"/>
      <c r="P441" s="181"/>
      <c r="Q441" s="182"/>
      <c r="R441" s="181"/>
      <c r="S441" s="182"/>
      <c r="T441" s="284"/>
      <c r="U441" s="182"/>
      <c r="W441" s="208" t="s">
        <v>158</v>
      </c>
      <c r="X441" s="217">
        <f>_xlfn.XLOOKUP(W441,マスタ!A:A,マスタ!C:C,0)*M441</f>
        <v>1.98</v>
      </c>
      <c r="Y441" s="218">
        <f>IF(N441="",0,_xlfn.XLOOKUP(W441,マスタ!A:A,マスタ!D:D,0)*M441)</f>
        <v>0</v>
      </c>
      <c r="Z441" s="219">
        <f>_xlfn.XLOOKUP(W441,マスタ!A:A,マスタ!E:E,0)*M441</f>
        <v>2.33</v>
      </c>
      <c r="AA441" s="219">
        <f>_xlfn.XLOOKUP(W441,マスタ!A:A,マスタ!F:F,0)*M441</f>
        <v>2.64</v>
      </c>
      <c r="AB441" s="219">
        <f>_xlfn.XLOOKUP(W441,マスタ!A:A,マスタ!G:G,0)*M441</f>
        <v>0.77</v>
      </c>
      <c r="AC441" s="220">
        <f>_xlfn.XLOOKUP(W441,マスタ!A:A,マスタ!H:H,0)*M441</f>
        <v>0.77</v>
      </c>
      <c r="AD441" s="227">
        <f t="shared" si="26"/>
        <v>8.49</v>
      </c>
    </row>
    <row r="442" spans="1:30" ht="15" customHeight="1">
      <c r="A442" s="20"/>
      <c r="B442" s="308"/>
      <c r="C442" s="165" t="s">
        <v>545</v>
      </c>
      <c r="D442" s="166"/>
      <c r="E442" s="274"/>
      <c r="F442" s="166"/>
      <c r="G442" s="275"/>
      <c r="H442" s="280" t="s">
        <v>546</v>
      </c>
      <c r="I442" s="434" t="s">
        <v>73</v>
      </c>
      <c r="J442" s="434"/>
      <c r="K442" s="434" t="s">
        <v>58</v>
      </c>
      <c r="L442" s="434" t="s">
        <v>58</v>
      </c>
      <c r="M442" s="466">
        <v>1</v>
      </c>
      <c r="N442" s="181"/>
      <c r="O442" s="182"/>
      <c r="P442" s="181"/>
      <c r="Q442" s="182"/>
      <c r="R442" s="181"/>
      <c r="S442" s="182"/>
      <c r="T442" s="284"/>
      <c r="U442" s="182"/>
      <c r="W442" s="208" t="s">
        <v>158</v>
      </c>
      <c r="X442" s="217">
        <f>_xlfn.XLOOKUP(W442,マスタ!A:A,マスタ!C:C,0)*M442</f>
        <v>1.98</v>
      </c>
      <c r="Y442" s="218">
        <f>IF(N442="",0,_xlfn.XLOOKUP(W442,マスタ!A:A,マスタ!D:D,0)*M442)</f>
        <v>0</v>
      </c>
      <c r="Z442" s="219">
        <f>_xlfn.XLOOKUP(W442,マスタ!A:A,マスタ!E:E,0)*M442</f>
        <v>2.33</v>
      </c>
      <c r="AA442" s="219">
        <f>_xlfn.XLOOKUP(W442,マスタ!A:A,マスタ!F:F,0)*M442</f>
        <v>2.64</v>
      </c>
      <c r="AB442" s="219">
        <f>_xlfn.XLOOKUP(W442,マスタ!A:A,マスタ!G:G,0)*M442</f>
        <v>0.77</v>
      </c>
      <c r="AC442" s="220">
        <f>_xlfn.XLOOKUP(W442,マスタ!A:A,マスタ!H:H,0)*M442</f>
        <v>0.77</v>
      </c>
      <c r="AD442" s="227">
        <f t="shared" si="26"/>
        <v>8.49</v>
      </c>
    </row>
    <row r="443" spans="1:30" ht="15" customHeight="1">
      <c r="A443" s="20"/>
      <c r="B443" s="308"/>
      <c r="C443" s="165" t="s">
        <v>547</v>
      </c>
      <c r="D443" s="166"/>
      <c r="E443" s="274"/>
      <c r="F443" s="166"/>
      <c r="G443" s="275"/>
      <c r="H443" s="280" t="s">
        <v>548</v>
      </c>
      <c r="I443" s="434" t="s">
        <v>73</v>
      </c>
      <c r="J443" s="434"/>
      <c r="K443" s="434" t="s">
        <v>58</v>
      </c>
      <c r="L443" s="434" t="s">
        <v>58</v>
      </c>
      <c r="M443" s="466">
        <v>1</v>
      </c>
      <c r="N443" s="181"/>
      <c r="O443" s="182"/>
      <c r="P443" s="181"/>
      <c r="Q443" s="182"/>
      <c r="R443" s="181"/>
      <c r="S443" s="182"/>
      <c r="T443" s="284"/>
      <c r="U443" s="182"/>
      <c r="W443" s="208" t="s">
        <v>158</v>
      </c>
      <c r="X443" s="217">
        <f>_xlfn.XLOOKUP(W443,マスタ!A:A,マスタ!C:C,0)*M443</f>
        <v>1.98</v>
      </c>
      <c r="Y443" s="218">
        <f>IF(N443="",0,_xlfn.XLOOKUP(W443,マスタ!A:A,マスタ!D:D,0)*M443)</f>
        <v>0</v>
      </c>
      <c r="Z443" s="219">
        <f>_xlfn.XLOOKUP(W443,マスタ!A:A,マスタ!E:E,0)*M443</f>
        <v>2.33</v>
      </c>
      <c r="AA443" s="219">
        <f>_xlfn.XLOOKUP(W443,マスタ!A:A,マスタ!F:F,0)*M443</f>
        <v>2.64</v>
      </c>
      <c r="AB443" s="219">
        <f>_xlfn.XLOOKUP(W443,マスタ!A:A,マスタ!G:G,0)*M443</f>
        <v>0.77</v>
      </c>
      <c r="AC443" s="220">
        <f>_xlfn.XLOOKUP(W443,マスタ!A:A,マスタ!H:H,0)*M443</f>
        <v>0.77</v>
      </c>
      <c r="AD443" s="227">
        <f t="shared" si="26"/>
        <v>8.49</v>
      </c>
    </row>
    <row r="444" spans="1:30" ht="15" customHeight="1">
      <c r="A444" s="20"/>
      <c r="B444" s="308"/>
      <c r="C444" s="165" t="s">
        <v>549</v>
      </c>
      <c r="D444" s="166"/>
      <c r="E444" s="274"/>
      <c r="F444" s="166"/>
      <c r="G444" s="275"/>
      <c r="H444" s="280" t="s">
        <v>550</v>
      </c>
      <c r="I444" s="434" t="s">
        <v>73</v>
      </c>
      <c r="J444" s="434"/>
      <c r="K444" s="434" t="s">
        <v>58</v>
      </c>
      <c r="L444" s="434" t="s">
        <v>58</v>
      </c>
      <c r="M444" s="466">
        <v>1</v>
      </c>
      <c r="N444" s="181"/>
      <c r="O444" s="182"/>
      <c r="P444" s="181"/>
      <c r="Q444" s="182"/>
      <c r="R444" s="181"/>
      <c r="S444" s="182"/>
      <c r="T444" s="284"/>
      <c r="U444" s="182"/>
      <c r="W444" s="208" t="s">
        <v>158</v>
      </c>
      <c r="X444" s="217">
        <f>_xlfn.XLOOKUP(W444,マスタ!A:A,マスタ!C:C,0)*M444</f>
        <v>1.98</v>
      </c>
      <c r="Y444" s="218">
        <f>IF(N444="",0,_xlfn.XLOOKUP(W444,マスタ!A:A,マスタ!D:D,0)*M444)</f>
        <v>0</v>
      </c>
      <c r="Z444" s="219">
        <f>_xlfn.XLOOKUP(W444,マスタ!A:A,マスタ!E:E,0)*M444</f>
        <v>2.33</v>
      </c>
      <c r="AA444" s="219">
        <f>_xlfn.XLOOKUP(W444,マスタ!A:A,マスタ!F:F,0)*M444</f>
        <v>2.64</v>
      </c>
      <c r="AB444" s="219">
        <f>_xlfn.XLOOKUP(W444,マスタ!A:A,マスタ!G:G,0)*M444</f>
        <v>0.77</v>
      </c>
      <c r="AC444" s="220">
        <f>_xlfn.XLOOKUP(W444,マスタ!A:A,マスタ!H:H,0)*M444</f>
        <v>0.77</v>
      </c>
      <c r="AD444" s="227">
        <f t="shared" si="26"/>
        <v>8.49</v>
      </c>
    </row>
    <row r="445" spans="1:30" ht="15" customHeight="1">
      <c r="A445" s="20"/>
      <c r="B445" s="308"/>
      <c r="C445" s="165" t="s">
        <v>551</v>
      </c>
      <c r="D445" s="166"/>
      <c r="E445" s="274"/>
      <c r="F445" s="166"/>
      <c r="G445" s="275"/>
      <c r="H445" s="280" t="s">
        <v>552</v>
      </c>
      <c r="I445" s="434" t="s">
        <v>73</v>
      </c>
      <c r="J445" s="434"/>
      <c r="K445" s="434" t="s">
        <v>58</v>
      </c>
      <c r="L445" s="434" t="s">
        <v>58</v>
      </c>
      <c r="M445" s="466">
        <v>1</v>
      </c>
      <c r="N445" s="181"/>
      <c r="O445" s="182"/>
      <c r="P445" s="181"/>
      <c r="Q445" s="182"/>
      <c r="R445" s="181"/>
      <c r="S445" s="182"/>
      <c r="T445" s="284"/>
      <c r="U445" s="182"/>
      <c r="W445" s="208" t="s">
        <v>158</v>
      </c>
      <c r="X445" s="217">
        <f>_xlfn.XLOOKUP(W445,マスタ!A:A,マスタ!C:C,0)*M445</f>
        <v>1.98</v>
      </c>
      <c r="Y445" s="218">
        <f>IF(N445="",0,_xlfn.XLOOKUP(W445,マスタ!A:A,マスタ!D:D,0)*M445)</f>
        <v>0</v>
      </c>
      <c r="Z445" s="219">
        <f>_xlfn.XLOOKUP(W445,マスタ!A:A,マスタ!E:E,0)*M445</f>
        <v>2.33</v>
      </c>
      <c r="AA445" s="219">
        <f>_xlfn.XLOOKUP(W445,マスタ!A:A,マスタ!F:F,0)*M445</f>
        <v>2.64</v>
      </c>
      <c r="AB445" s="219">
        <f>_xlfn.XLOOKUP(W445,マスタ!A:A,マスタ!G:G,0)*M445</f>
        <v>0.77</v>
      </c>
      <c r="AC445" s="220">
        <f>_xlfn.XLOOKUP(W445,マスタ!A:A,マスタ!H:H,0)*M445</f>
        <v>0.77</v>
      </c>
      <c r="AD445" s="227">
        <f t="shared" si="26"/>
        <v>8.49</v>
      </c>
    </row>
    <row r="446" spans="1:30" ht="15" customHeight="1">
      <c r="A446" s="20"/>
      <c r="B446" s="308"/>
      <c r="C446" s="165" t="s">
        <v>553</v>
      </c>
      <c r="D446" s="166"/>
      <c r="E446" s="274"/>
      <c r="F446" s="166"/>
      <c r="G446" s="275"/>
      <c r="H446" s="280" t="s">
        <v>554</v>
      </c>
      <c r="I446" s="434" t="s">
        <v>73</v>
      </c>
      <c r="J446" s="434"/>
      <c r="K446" s="434" t="s">
        <v>58</v>
      </c>
      <c r="L446" s="434" t="s">
        <v>58</v>
      </c>
      <c r="M446" s="466">
        <v>1</v>
      </c>
      <c r="N446" s="181"/>
      <c r="O446" s="182"/>
      <c r="P446" s="181"/>
      <c r="Q446" s="182"/>
      <c r="R446" s="181"/>
      <c r="S446" s="182"/>
      <c r="T446" s="284"/>
      <c r="U446" s="182"/>
      <c r="W446" s="208" t="s">
        <v>158</v>
      </c>
      <c r="X446" s="217">
        <f>_xlfn.XLOOKUP(W446,マスタ!A:A,マスタ!C:C,0)*M446</f>
        <v>1.98</v>
      </c>
      <c r="Y446" s="218">
        <f>IF(N446="",0,_xlfn.XLOOKUP(W446,マスタ!A:A,マスタ!D:D,0)*M446)</f>
        <v>0</v>
      </c>
      <c r="Z446" s="219">
        <f>_xlfn.XLOOKUP(W446,マスタ!A:A,マスタ!E:E,0)*M446</f>
        <v>2.33</v>
      </c>
      <c r="AA446" s="219">
        <f>_xlfn.XLOOKUP(W446,マスタ!A:A,マスタ!F:F,0)*M446</f>
        <v>2.64</v>
      </c>
      <c r="AB446" s="219">
        <f>_xlfn.XLOOKUP(W446,マスタ!A:A,マスタ!G:G,0)*M446</f>
        <v>0.77</v>
      </c>
      <c r="AC446" s="220">
        <f>_xlfn.XLOOKUP(W446,マスタ!A:A,マスタ!H:H,0)*M446</f>
        <v>0.77</v>
      </c>
      <c r="AD446" s="227">
        <f t="shared" si="26"/>
        <v>8.49</v>
      </c>
    </row>
    <row r="447" spans="1:30" ht="15" customHeight="1">
      <c r="A447" s="20"/>
      <c r="B447" s="308"/>
      <c r="C447" s="165" t="s">
        <v>555</v>
      </c>
      <c r="D447" s="166"/>
      <c r="E447" s="274"/>
      <c r="F447" s="166"/>
      <c r="G447" s="275"/>
      <c r="H447" s="280" t="s">
        <v>556</v>
      </c>
      <c r="I447" s="434" t="s">
        <v>73</v>
      </c>
      <c r="J447" s="434"/>
      <c r="K447" s="434" t="s">
        <v>58</v>
      </c>
      <c r="L447" s="434" t="s">
        <v>58</v>
      </c>
      <c r="M447" s="466">
        <v>1</v>
      </c>
      <c r="N447" s="181"/>
      <c r="O447" s="182"/>
      <c r="P447" s="181"/>
      <c r="Q447" s="182"/>
      <c r="R447" s="181"/>
      <c r="S447" s="182"/>
      <c r="T447" s="284"/>
      <c r="U447" s="182"/>
      <c r="W447" s="208" t="s">
        <v>158</v>
      </c>
      <c r="X447" s="217">
        <f>_xlfn.XLOOKUP(W447,マスタ!A:A,マスタ!C:C,0)*M447</f>
        <v>1.98</v>
      </c>
      <c r="Y447" s="218">
        <f>IF(N447="",0,_xlfn.XLOOKUP(W447,マスタ!A:A,マスタ!D:D,0)*M447)</f>
        <v>0</v>
      </c>
      <c r="Z447" s="219">
        <f>_xlfn.XLOOKUP(W447,マスタ!A:A,マスタ!E:E,0)*M447</f>
        <v>2.33</v>
      </c>
      <c r="AA447" s="219">
        <f>_xlfn.XLOOKUP(W447,マスタ!A:A,マスタ!F:F,0)*M447</f>
        <v>2.64</v>
      </c>
      <c r="AB447" s="219">
        <f>_xlfn.XLOOKUP(W447,マスタ!A:A,マスタ!G:G,0)*M447</f>
        <v>0.77</v>
      </c>
      <c r="AC447" s="220">
        <f>_xlfn.XLOOKUP(W447,マスタ!A:A,マスタ!H:H,0)*M447</f>
        <v>0.77</v>
      </c>
      <c r="AD447" s="227">
        <f t="shared" si="26"/>
        <v>8.49</v>
      </c>
    </row>
    <row r="448" spans="1:30" ht="15" customHeight="1">
      <c r="A448" s="20"/>
      <c r="B448" s="308"/>
      <c r="C448" s="165" t="s">
        <v>557</v>
      </c>
      <c r="D448" s="166"/>
      <c r="E448" s="274"/>
      <c r="F448" s="166"/>
      <c r="G448" s="275"/>
      <c r="H448" s="280" t="s">
        <v>558</v>
      </c>
      <c r="I448" s="434" t="s">
        <v>73</v>
      </c>
      <c r="J448" s="434"/>
      <c r="K448" s="434" t="s">
        <v>58</v>
      </c>
      <c r="L448" s="434" t="s">
        <v>58</v>
      </c>
      <c r="M448" s="466">
        <v>1</v>
      </c>
      <c r="N448" s="181"/>
      <c r="O448" s="182"/>
      <c r="P448" s="181"/>
      <c r="Q448" s="182"/>
      <c r="R448" s="181"/>
      <c r="S448" s="182"/>
      <c r="T448" s="284"/>
      <c r="U448" s="182"/>
      <c r="W448" s="208" t="s">
        <v>158</v>
      </c>
      <c r="X448" s="217">
        <f>_xlfn.XLOOKUP(W448,マスタ!A:A,マスタ!C:C,0)*M448</f>
        <v>1.98</v>
      </c>
      <c r="Y448" s="218">
        <f>IF(N448="",0,_xlfn.XLOOKUP(W448,マスタ!A:A,マスタ!D:D,0)*M448)</f>
        <v>0</v>
      </c>
      <c r="Z448" s="219">
        <f>_xlfn.XLOOKUP(W448,マスタ!A:A,マスタ!E:E,0)*M448</f>
        <v>2.33</v>
      </c>
      <c r="AA448" s="219">
        <f>_xlfn.XLOOKUP(W448,マスタ!A:A,マスタ!F:F,0)*M448</f>
        <v>2.64</v>
      </c>
      <c r="AB448" s="219">
        <f>_xlfn.XLOOKUP(W448,マスタ!A:A,マスタ!G:G,0)*M448</f>
        <v>0.77</v>
      </c>
      <c r="AC448" s="220">
        <f>_xlfn.XLOOKUP(W448,マスタ!A:A,マスタ!H:H,0)*M448</f>
        <v>0.77</v>
      </c>
      <c r="AD448" s="227">
        <f t="shared" si="26"/>
        <v>8.49</v>
      </c>
    </row>
    <row r="449" spans="1:32" ht="15" customHeight="1">
      <c r="A449" s="20"/>
      <c r="B449" s="308"/>
      <c r="C449" s="165" t="s">
        <v>559</v>
      </c>
      <c r="D449" s="166"/>
      <c r="E449" s="274"/>
      <c r="F449" s="166"/>
      <c r="G449" s="275"/>
      <c r="H449" s="280" t="s">
        <v>560</v>
      </c>
      <c r="I449" s="434" t="s">
        <v>73</v>
      </c>
      <c r="J449" s="434"/>
      <c r="K449" s="434" t="s">
        <v>58</v>
      </c>
      <c r="L449" s="434" t="s">
        <v>58</v>
      </c>
      <c r="M449" s="466">
        <v>1</v>
      </c>
      <c r="N449" s="181"/>
      <c r="O449" s="182"/>
      <c r="P449" s="181"/>
      <c r="Q449" s="182"/>
      <c r="R449" s="181"/>
      <c r="S449" s="182"/>
      <c r="T449" s="284"/>
      <c r="U449" s="182"/>
      <c r="W449" s="208" t="s">
        <v>158</v>
      </c>
      <c r="X449" s="217">
        <f>_xlfn.XLOOKUP(W449,マスタ!A:A,マスタ!C:C,0)*M449</f>
        <v>1.98</v>
      </c>
      <c r="Y449" s="218">
        <f>IF(N449="",0,_xlfn.XLOOKUP(W449,マスタ!A:A,マスタ!D:D,0)*M449)</f>
        <v>0</v>
      </c>
      <c r="Z449" s="219">
        <f>_xlfn.XLOOKUP(W449,マスタ!A:A,マスタ!E:E,0)*M449</f>
        <v>2.33</v>
      </c>
      <c r="AA449" s="219">
        <f>_xlfn.XLOOKUP(W449,マスタ!A:A,マスタ!F:F,0)*M449</f>
        <v>2.64</v>
      </c>
      <c r="AB449" s="219">
        <f>_xlfn.XLOOKUP(W449,マスタ!A:A,マスタ!G:G,0)*M449</f>
        <v>0.77</v>
      </c>
      <c r="AC449" s="220">
        <f>_xlfn.XLOOKUP(W449,マスタ!A:A,マスタ!H:H,0)*M449</f>
        <v>0.77</v>
      </c>
      <c r="AD449" s="227">
        <f t="shared" si="26"/>
        <v>8.49</v>
      </c>
    </row>
    <row r="450" spans="1:32" ht="15" customHeight="1">
      <c r="A450" s="20"/>
      <c r="B450" s="308"/>
      <c r="C450" s="165" t="s">
        <v>561</v>
      </c>
      <c r="D450" s="166"/>
      <c r="E450" s="274"/>
      <c r="F450" s="166"/>
      <c r="G450" s="275"/>
      <c r="H450" s="280" t="s">
        <v>562</v>
      </c>
      <c r="I450" s="434" t="s">
        <v>73</v>
      </c>
      <c r="J450" s="434"/>
      <c r="K450" s="434" t="s">
        <v>58</v>
      </c>
      <c r="L450" s="434" t="s">
        <v>58</v>
      </c>
      <c r="M450" s="466">
        <v>1</v>
      </c>
      <c r="N450" s="181"/>
      <c r="O450" s="182"/>
      <c r="P450" s="181"/>
      <c r="Q450" s="182"/>
      <c r="R450" s="181"/>
      <c r="S450" s="182"/>
      <c r="T450" s="284"/>
      <c r="U450" s="182"/>
      <c r="W450" s="208" t="s">
        <v>158</v>
      </c>
      <c r="X450" s="217">
        <f>_xlfn.XLOOKUP(W450,マスタ!A:A,マスタ!C:C,0)*M450</f>
        <v>1.98</v>
      </c>
      <c r="Y450" s="218">
        <f>IF(N450="",0,_xlfn.XLOOKUP(W450,マスタ!A:A,マスタ!D:D,0)*M450)</f>
        <v>0</v>
      </c>
      <c r="Z450" s="219">
        <f>_xlfn.XLOOKUP(W450,マスタ!A:A,マスタ!E:E,0)*M450</f>
        <v>2.33</v>
      </c>
      <c r="AA450" s="219">
        <f>_xlfn.XLOOKUP(W450,マスタ!A:A,マスタ!F:F,0)*M450</f>
        <v>2.64</v>
      </c>
      <c r="AB450" s="219">
        <f>_xlfn.XLOOKUP(W450,マスタ!A:A,マスタ!G:G,0)*M450</f>
        <v>0.77</v>
      </c>
      <c r="AC450" s="220">
        <f>_xlfn.XLOOKUP(W450,マスタ!A:A,マスタ!H:H,0)*M450</f>
        <v>0.77</v>
      </c>
      <c r="AD450" s="227">
        <f t="shared" si="26"/>
        <v>8.49</v>
      </c>
    </row>
    <row r="451" spans="1:32" ht="15" customHeight="1">
      <c r="A451" s="20"/>
      <c r="B451" s="308"/>
      <c r="C451" s="165" t="s">
        <v>563</v>
      </c>
      <c r="D451" s="166"/>
      <c r="E451" s="274"/>
      <c r="F451" s="166"/>
      <c r="G451" s="275"/>
      <c r="H451" s="280" t="s">
        <v>564</v>
      </c>
      <c r="I451" s="434" t="s">
        <v>73</v>
      </c>
      <c r="J451" s="434"/>
      <c r="K451" s="434" t="s">
        <v>58</v>
      </c>
      <c r="L451" s="434" t="s">
        <v>58</v>
      </c>
      <c r="M451" s="466">
        <v>1</v>
      </c>
      <c r="N451" s="181"/>
      <c r="O451" s="182"/>
      <c r="P451" s="181"/>
      <c r="Q451" s="182"/>
      <c r="R451" s="181"/>
      <c r="S451" s="182"/>
      <c r="T451" s="284"/>
      <c r="U451" s="182"/>
      <c r="W451" s="208" t="s">
        <v>158</v>
      </c>
      <c r="X451" s="217">
        <f>_xlfn.XLOOKUP(W451,マスタ!A:A,マスタ!C:C,0)*M451</f>
        <v>1.98</v>
      </c>
      <c r="Y451" s="218">
        <f>IF(N451="",0,_xlfn.XLOOKUP(W451,マスタ!A:A,マスタ!D:D,0)*M451)</f>
        <v>0</v>
      </c>
      <c r="Z451" s="219">
        <f>_xlfn.XLOOKUP(W451,マスタ!A:A,マスタ!E:E,0)*M451</f>
        <v>2.33</v>
      </c>
      <c r="AA451" s="219">
        <f>_xlfn.XLOOKUP(W451,マスタ!A:A,マスタ!F:F,0)*M451</f>
        <v>2.64</v>
      </c>
      <c r="AB451" s="219">
        <f>_xlfn.XLOOKUP(W451,マスタ!A:A,マスタ!G:G,0)*M451</f>
        <v>0.77</v>
      </c>
      <c r="AC451" s="220">
        <f>_xlfn.XLOOKUP(W451,マスタ!A:A,マスタ!H:H,0)*M451</f>
        <v>0.77</v>
      </c>
      <c r="AD451" s="227">
        <f t="shared" si="26"/>
        <v>8.49</v>
      </c>
    </row>
    <row r="452" spans="1:32" ht="15" customHeight="1">
      <c r="A452" s="20"/>
      <c r="B452" s="308"/>
      <c r="C452" s="165" t="s">
        <v>565</v>
      </c>
      <c r="D452" s="166"/>
      <c r="E452" s="274"/>
      <c r="F452" s="166"/>
      <c r="G452" s="275"/>
      <c r="H452" s="280" t="s">
        <v>530</v>
      </c>
      <c r="I452" s="434" t="s">
        <v>73</v>
      </c>
      <c r="J452" s="434"/>
      <c r="K452" s="434" t="s">
        <v>58</v>
      </c>
      <c r="L452" s="434" t="s">
        <v>58</v>
      </c>
      <c r="M452" s="466">
        <v>1</v>
      </c>
      <c r="N452" s="181"/>
      <c r="O452" s="182"/>
      <c r="P452" s="181"/>
      <c r="Q452" s="182"/>
      <c r="R452" s="181"/>
      <c r="S452" s="182"/>
      <c r="T452" s="284"/>
      <c r="U452" s="182"/>
      <c r="W452" s="208" t="s">
        <v>158</v>
      </c>
      <c r="X452" s="217">
        <f>_xlfn.XLOOKUP(W452,マスタ!A:A,マスタ!C:C,0)*M452</f>
        <v>1.98</v>
      </c>
      <c r="Y452" s="218">
        <f>IF(N452="",0,_xlfn.XLOOKUP(W452,マスタ!A:A,マスタ!D:D,0)*M452)</f>
        <v>0</v>
      </c>
      <c r="Z452" s="219">
        <f>_xlfn.XLOOKUP(W452,マスタ!A:A,マスタ!E:E,0)*M452</f>
        <v>2.33</v>
      </c>
      <c r="AA452" s="219">
        <f>_xlfn.XLOOKUP(W452,マスタ!A:A,マスタ!F:F,0)*M452</f>
        <v>2.64</v>
      </c>
      <c r="AB452" s="219">
        <f>_xlfn.XLOOKUP(W452,マスタ!A:A,マスタ!G:G,0)*M452</f>
        <v>0.77</v>
      </c>
      <c r="AC452" s="220">
        <f>_xlfn.XLOOKUP(W452,マスタ!A:A,マスタ!H:H,0)*M452</f>
        <v>0.77</v>
      </c>
      <c r="AD452" s="227">
        <f t="shared" si="26"/>
        <v>8.49</v>
      </c>
    </row>
    <row r="453" spans="1:32" ht="15" customHeight="1">
      <c r="A453" s="20"/>
      <c r="B453" s="308"/>
      <c r="C453" s="165" t="s">
        <v>566</v>
      </c>
      <c r="D453" s="166"/>
      <c r="E453" s="274"/>
      <c r="F453" s="166"/>
      <c r="G453" s="275"/>
      <c r="H453" s="280" t="s">
        <v>567</v>
      </c>
      <c r="I453" s="434" t="s">
        <v>73</v>
      </c>
      <c r="J453" s="434"/>
      <c r="K453" s="434" t="s">
        <v>58</v>
      </c>
      <c r="L453" s="434" t="s">
        <v>58</v>
      </c>
      <c r="M453" s="466">
        <v>1</v>
      </c>
      <c r="N453" s="181"/>
      <c r="O453" s="182"/>
      <c r="P453" s="181"/>
      <c r="Q453" s="182"/>
      <c r="R453" s="181"/>
      <c r="S453" s="182"/>
      <c r="T453" s="284"/>
      <c r="U453" s="182"/>
      <c r="W453" s="208" t="s">
        <v>158</v>
      </c>
      <c r="X453" s="217">
        <f>_xlfn.XLOOKUP(W453,マスタ!A:A,マスタ!C:C,0)*M453</f>
        <v>1.98</v>
      </c>
      <c r="Y453" s="218">
        <f>IF(N453="",0,_xlfn.XLOOKUP(W453,マスタ!A:A,マスタ!D:D,0)*M453)</f>
        <v>0</v>
      </c>
      <c r="Z453" s="219">
        <f>_xlfn.XLOOKUP(W453,マスタ!A:A,マスタ!E:E,0)*M453</f>
        <v>2.33</v>
      </c>
      <c r="AA453" s="219">
        <f>_xlfn.XLOOKUP(W453,マスタ!A:A,マスタ!F:F,0)*M453</f>
        <v>2.64</v>
      </c>
      <c r="AB453" s="219">
        <f>_xlfn.XLOOKUP(W453,マスタ!A:A,マスタ!G:G,0)*M453</f>
        <v>0.77</v>
      </c>
      <c r="AC453" s="220">
        <f>_xlfn.XLOOKUP(W453,マスタ!A:A,マスタ!H:H,0)*M453</f>
        <v>0.77</v>
      </c>
      <c r="AD453" s="227">
        <f t="shared" si="26"/>
        <v>8.49</v>
      </c>
    </row>
    <row r="454" spans="1:32" ht="15" customHeight="1">
      <c r="A454" s="20"/>
      <c r="B454" s="162"/>
      <c r="C454" s="170" t="s">
        <v>568</v>
      </c>
      <c r="D454" s="171"/>
      <c r="E454" s="290"/>
      <c r="F454" s="171"/>
      <c r="G454" s="296"/>
      <c r="H454" s="281" t="s">
        <v>569</v>
      </c>
      <c r="I454" s="440" t="s">
        <v>73</v>
      </c>
      <c r="J454" s="440"/>
      <c r="K454" s="440" t="s">
        <v>58</v>
      </c>
      <c r="L454" s="440" t="s">
        <v>58</v>
      </c>
      <c r="M454" s="483">
        <v>1</v>
      </c>
      <c r="N454" s="185"/>
      <c r="O454" s="186"/>
      <c r="P454" s="185"/>
      <c r="Q454" s="186"/>
      <c r="R454" s="185"/>
      <c r="S454" s="186"/>
      <c r="T454" s="285"/>
      <c r="U454" s="186"/>
      <c r="W454" s="208" t="s">
        <v>158</v>
      </c>
      <c r="X454" s="217">
        <f>_xlfn.XLOOKUP(W454,マスタ!A:A,マスタ!C:C,0)*M454</f>
        <v>1.98</v>
      </c>
      <c r="Y454" s="218">
        <f>IF(N454="",0,_xlfn.XLOOKUP(W454,マスタ!A:A,マスタ!D:D,0)*M454)</f>
        <v>0</v>
      </c>
      <c r="Z454" s="219">
        <f>_xlfn.XLOOKUP(W454,マスタ!A:A,マスタ!E:E,0)*M454</f>
        <v>2.33</v>
      </c>
      <c r="AA454" s="219">
        <f>_xlfn.XLOOKUP(W454,マスタ!A:A,マスタ!F:F,0)*M454</f>
        <v>2.64</v>
      </c>
      <c r="AB454" s="219">
        <f>_xlfn.XLOOKUP(W454,マスタ!A:A,マスタ!G:G,0)*M454</f>
        <v>0.77</v>
      </c>
      <c r="AC454" s="220">
        <f>_xlfn.XLOOKUP(W454,マスタ!A:A,マスタ!H:H,0)*M454</f>
        <v>0.77</v>
      </c>
      <c r="AD454" s="227">
        <f t="shared" si="26"/>
        <v>8.49</v>
      </c>
    </row>
    <row r="455" spans="1:32" ht="15" customHeight="1">
      <c r="A455" s="20"/>
      <c r="B455" s="242" t="s">
        <v>570</v>
      </c>
      <c r="C455" s="243"/>
      <c r="D455" s="243"/>
      <c r="E455" s="243"/>
      <c r="F455" s="243"/>
      <c r="G455" s="299"/>
      <c r="H455" s="310"/>
      <c r="I455" s="455" t="s">
        <v>73</v>
      </c>
      <c r="J455" s="455"/>
      <c r="K455" s="455" t="s">
        <v>58</v>
      </c>
      <c r="L455" s="455" t="s">
        <v>58</v>
      </c>
      <c r="M455" s="484">
        <v>1</v>
      </c>
      <c r="N455" s="245"/>
      <c r="O455" s="246"/>
      <c r="P455" s="245"/>
      <c r="Q455" s="246"/>
      <c r="R455" s="245"/>
      <c r="S455" s="246"/>
      <c r="T455" s="311"/>
      <c r="U455" s="246"/>
      <c r="W455" s="208" t="s">
        <v>158</v>
      </c>
      <c r="X455" s="217">
        <f>_xlfn.XLOOKUP(W455,マスタ!A:A,マスタ!C:C,0)*M455</f>
        <v>1.98</v>
      </c>
      <c r="Y455" s="218">
        <f>IF(N455="",0,_xlfn.XLOOKUP(W455,マスタ!A:A,マスタ!D:D,0)*M455)</f>
        <v>0</v>
      </c>
      <c r="Z455" s="219">
        <f>_xlfn.XLOOKUP(W455,マスタ!A:A,マスタ!E:E,0)*M455</f>
        <v>2.33</v>
      </c>
      <c r="AA455" s="219">
        <f>_xlfn.XLOOKUP(W455,マスタ!A:A,マスタ!F:F,0)*M455</f>
        <v>2.64</v>
      </c>
      <c r="AB455" s="219">
        <f>_xlfn.XLOOKUP(W455,マスタ!A:A,マスタ!G:G,0)*M455</f>
        <v>0.77</v>
      </c>
      <c r="AC455" s="220">
        <f>_xlfn.XLOOKUP(W455,マスタ!A:A,マスタ!H:H,0)*M455</f>
        <v>0.77</v>
      </c>
      <c r="AD455" s="227">
        <f t="shared" si="26"/>
        <v>8.49</v>
      </c>
    </row>
    <row r="456" spans="1:32" ht="15" customHeight="1">
      <c r="A456" s="16"/>
      <c r="B456" s="148" t="s">
        <v>571</v>
      </c>
      <c r="C456" s="149"/>
      <c r="D456" s="149"/>
      <c r="E456" s="149"/>
      <c r="F456" s="149"/>
      <c r="G456" s="149"/>
      <c r="H456" s="149"/>
      <c r="I456" s="423"/>
      <c r="J456" s="423"/>
      <c r="K456" s="423"/>
      <c r="L456" s="423"/>
      <c r="M456" s="423"/>
      <c r="N456" s="144"/>
      <c r="O456" s="144"/>
      <c r="P456" s="144"/>
      <c r="Q456" s="144"/>
      <c r="R456" s="144"/>
      <c r="S456" s="144"/>
      <c r="T456" s="144"/>
      <c r="U456" s="144"/>
      <c r="W456" s="207"/>
      <c r="X456" s="213">
        <f>SUM(X457:X471)</f>
        <v>9.44</v>
      </c>
      <c r="Y456" s="214">
        <f t="shared" ref="Y456:AD456" si="28">SUM(Y457:Y471)</f>
        <v>0</v>
      </c>
      <c r="Z456" s="215">
        <f t="shared" si="28"/>
        <v>11.05</v>
      </c>
      <c r="AA456" s="215">
        <f t="shared" si="28"/>
        <v>12.540000000000001</v>
      </c>
      <c r="AB456" s="215">
        <f t="shared" si="28"/>
        <v>3.6399999999999997</v>
      </c>
      <c r="AC456" s="216">
        <f t="shared" si="28"/>
        <v>3.6399999999999997</v>
      </c>
      <c r="AD456" s="226">
        <f t="shared" si="28"/>
        <v>40.310000000000009</v>
      </c>
      <c r="AE456" s="205">
        <f>AD456/20</f>
        <v>2.0155000000000003</v>
      </c>
      <c r="AF456" s="204">
        <f>AE456*350000</f>
        <v>705425.00000000012</v>
      </c>
    </row>
    <row r="457" spans="1:32" ht="15" customHeight="1">
      <c r="A457" s="145"/>
      <c r="B457" s="160" t="s">
        <v>572</v>
      </c>
      <c r="C457" s="161"/>
      <c r="D457" s="161"/>
      <c r="E457" s="161"/>
      <c r="F457" s="161"/>
      <c r="G457" s="161"/>
      <c r="H457" s="161"/>
      <c r="I457" s="480"/>
      <c r="J457" s="480"/>
      <c r="K457" s="480"/>
      <c r="L457" s="480"/>
      <c r="M457" s="480"/>
      <c r="N457" s="269"/>
      <c r="O457" s="269"/>
      <c r="P457" s="269"/>
      <c r="Q457" s="269"/>
      <c r="R457" s="269"/>
      <c r="S457" s="269"/>
      <c r="T457" s="269"/>
      <c r="U457" s="270"/>
      <c r="W457" s="208"/>
      <c r="X457" s="217">
        <f>_xlfn.XLOOKUP(W457,マスタ!A:A,マスタ!C:C,0)*M457</f>
        <v>0</v>
      </c>
      <c r="Y457" s="218">
        <f>IF(N457="",0,_xlfn.XLOOKUP(W457,マスタ!A:A,マスタ!D:D,0)*M457)</f>
        <v>0</v>
      </c>
      <c r="Z457" s="219">
        <f>_xlfn.XLOOKUP(W457,マスタ!A:A,マスタ!E:E,0)*M457</f>
        <v>0</v>
      </c>
      <c r="AA457" s="219">
        <f>_xlfn.XLOOKUP(W457,マスタ!A:A,マスタ!F:F,0)*M457</f>
        <v>0</v>
      </c>
      <c r="AB457" s="219">
        <f>_xlfn.XLOOKUP(W457,マスタ!A:A,マスタ!G:G,0)*M457</f>
        <v>0</v>
      </c>
      <c r="AC457" s="220">
        <f>_xlfn.XLOOKUP(W457,マスタ!A:A,マスタ!H:H,0)*M457</f>
        <v>0</v>
      </c>
      <c r="AD457" s="227">
        <f t="shared" ref="AD457:AD471" si="29">SUM(X457:AC457)</f>
        <v>0</v>
      </c>
    </row>
    <row r="458" spans="1:32" ht="15" customHeight="1">
      <c r="A458" s="145"/>
      <c r="B458" s="162"/>
      <c r="C458" s="163" t="s">
        <v>573</v>
      </c>
      <c r="D458" s="271"/>
      <c r="E458" s="164"/>
      <c r="F458" s="164"/>
      <c r="G458" s="234"/>
      <c r="H458" s="173" t="s">
        <v>574</v>
      </c>
      <c r="I458" s="430" t="s">
        <v>74</v>
      </c>
      <c r="J458" s="513"/>
      <c r="K458" s="431" t="s">
        <v>57</v>
      </c>
      <c r="L458" s="431" t="s">
        <v>58</v>
      </c>
      <c r="M458" s="482">
        <v>1</v>
      </c>
      <c r="N458" s="179"/>
      <c r="O458" s="180"/>
      <c r="P458" s="179"/>
      <c r="Q458" s="180"/>
      <c r="R458" s="179"/>
      <c r="S458" s="180"/>
      <c r="T458" s="179"/>
      <c r="U458" s="180"/>
      <c r="W458" s="208" t="s">
        <v>158</v>
      </c>
      <c r="X458" s="217">
        <f>_xlfn.XLOOKUP(W458,マスタ!A:A,マスタ!C:C,0)*M458</f>
        <v>1.98</v>
      </c>
      <c r="Y458" s="218">
        <f>IF(N458="",0,_xlfn.XLOOKUP(W458,マスタ!A:A,マスタ!D:D,0)*M458)</f>
        <v>0</v>
      </c>
      <c r="Z458" s="219">
        <f>_xlfn.XLOOKUP(W458,マスタ!A:A,マスタ!E:E,0)*M458</f>
        <v>2.33</v>
      </c>
      <c r="AA458" s="219">
        <f>_xlfn.XLOOKUP(W458,マスタ!A:A,マスタ!F:F,0)*M458</f>
        <v>2.64</v>
      </c>
      <c r="AB458" s="219">
        <f>_xlfn.XLOOKUP(W458,マスタ!A:A,マスタ!G:G,0)*M458</f>
        <v>0.77</v>
      </c>
      <c r="AC458" s="220">
        <f>_xlfn.XLOOKUP(W458,マスタ!A:A,マスタ!H:H,0)*M458</f>
        <v>0.77</v>
      </c>
      <c r="AD458" s="227">
        <f t="shared" si="29"/>
        <v>8.49</v>
      </c>
    </row>
    <row r="459" spans="1:32" ht="15" customHeight="1">
      <c r="A459" s="145"/>
      <c r="B459" s="162"/>
      <c r="C459" s="165" t="s">
        <v>438</v>
      </c>
      <c r="D459" s="274"/>
      <c r="E459" s="166"/>
      <c r="F459" s="166"/>
      <c r="G459" s="275"/>
      <c r="H459" s="282" t="s">
        <v>575</v>
      </c>
      <c r="I459" s="433" t="s">
        <v>74</v>
      </c>
      <c r="J459" s="514"/>
      <c r="K459" s="434" t="s">
        <v>57</v>
      </c>
      <c r="L459" s="434" t="s">
        <v>58</v>
      </c>
      <c r="M459" s="466">
        <v>1</v>
      </c>
      <c r="N459" s="181"/>
      <c r="O459" s="182"/>
      <c r="P459" s="181"/>
      <c r="Q459" s="182"/>
      <c r="R459" s="181"/>
      <c r="S459" s="182"/>
      <c r="T459" s="181"/>
      <c r="U459" s="182"/>
      <c r="W459" s="208" t="s">
        <v>158</v>
      </c>
      <c r="X459" s="217">
        <f>_xlfn.XLOOKUP(W459,マスタ!A:A,マスタ!C:C,0)*M459</f>
        <v>1.98</v>
      </c>
      <c r="Y459" s="218">
        <f>IF(N459="",0,_xlfn.XLOOKUP(W459,マスタ!A:A,マスタ!D:D,0)*M459)</f>
        <v>0</v>
      </c>
      <c r="Z459" s="219">
        <f>_xlfn.XLOOKUP(W459,マスタ!A:A,マスタ!E:E,0)*M459</f>
        <v>2.33</v>
      </c>
      <c r="AA459" s="219">
        <f>_xlfn.XLOOKUP(W459,マスタ!A:A,マスタ!F:F,0)*M459</f>
        <v>2.64</v>
      </c>
      <c r="AB459" s="219">
        <f>_xlfn.XLOOKUP(W459,マスタ!A:A,マスタ!G:G,0)*M459</f>
        <v>0.77</v>
      </c>
      <c r="AC459" s="220">
        <f>_xlfn.XLOOKUP(W459,マスタ!A:A,マスタ!H:H,0)*M459</f>
        <v>0.77</v>
      </c>
      <c r="AD459" s="227">
        <f t="shared" si="29"/>
        <v>8.49</v>
      </c>
    </row>
    <row r="460" spans="1:32" ht="15" customHeight="1">
      <c r="A460" s="145"/>
      <c r="B460" s="162"/>
      <c r="C460" s="165" t="s">
        <v>576</v>
      </c>
      <c r="D460" s="274"/>
      <c r="E460" s="166"/>
      <c r="F460" s="166"/>
      <c r="G460" s="275"/>
      <c r="H460" s="282" t="s">
        <v>577</v>
      </c>
      <c r="I460" s="433" t="s">
        <v>74</v>
      </c>
      <c r="J460" s="514"/>
      <c r="K460" s="434" t="s">
        <v>57</v>
      </c>
      <c r="L460" s="434" t="s">
        <v>58</v>
      </c>
      <c r="M460" s="466">
        <v>1</v>
      </c>
      <c r="N460" s="181"/>
      <c r="O460" s="182"/>
      <c r="P460" s="181"/>
      <c r="Q460" s="182"/>
      <c r="R460" s="181"/>
      <c r="S460" s="182"/>
      <c r="T460" s="181"/>
      <c r="U460" s="182"/>
      <c r="W460" s="208" t="s">
        <v>190</v>
      </c>
      <c r="X460" s="217">
        <f>_xlfn.XLOOKUP(W460,マスタ!A:A,マスタ!C:C,0)*M460</f>
        <v>0.5</v>
      </c>
      <c r="Y460" s="218">
        <f>IF(N460="",0,_xlfn.XLOOKUP(W460,マスタ!A:A,マスタ!D:D,0)*M460)</f>
        <v>0</v>
      </c>
      <c r="Z460" s="219">
        <f>_xlfn.XLOOKUP(W460,マスタ!A:A,マスタ!E:E,0)*M460</f>
        <v>0.57999999999999996</v>
      </c>
      <c r="AA460" s="219">
        <f>_xlfn.XLOOKUP(W460,マスタ!A:A,マスタ!F:F,0)*M460</f>
        <v>0.66</v>
      </c>
      <c r="AB460" s="219">
        <f>_xlfn.XLOOKUP(W460,マスタ!A:A,マスタ!G:G,0)*M460</f>
        <v>0.19</v>
      </c>
      <c r="AC460" s="220">
        <f>_xlfn.XLOOKUP(W460,マスタ!A:A,マスタ!H:H,0)*M460</f>
        <v>0.19</v>
      </c>
      <c r="AD460" s="227">
        <f t="shared" si="29"/>
        <v>2.12</v>
      </c>
    </row>
    <row r="461" spans="1:32" ht="15" customHeight="1">
      <c r="A461" s="145"/>
      <c r="B461" s="167"/>
      <c r="C461" s="168" t="s">
        <v>515</v>
      </c>
      <c r="D461" s="277"/>
      <c r="E461" s="169"/>
      <c r="F461" s="169"/>
      <c r="G461" s="235"/>
      <c r="H461" s="283" t="s">
        <v>578</v>
      </c>
      <c r="I461" s="436" t="s">
        <v>74</v>
      </c>
      <c r="J461" s="515"/>
      <c r="K461" s="437" t="s">
        <v>57</v>
      </c>
      <c r="L461" s="437" t="s">
        <v>58</v>
      </c>
      <c r="M461" s="485">
        <v>1</v>
      </c>
      <c r="N461" s="183"/>
      <c r="O461" s="184"/>
      <c r="P461" s="183"/>
      <c r="Q461" s="184"/>
      <c r="R461" s="183"/>
      <c r="S461" s="184"/>
      <c r="T461" s="183"/>
      <c r="U461" s="184"/>
      <c r="W461" s="208" t="s">
        <v>190</v>
      </c>
      <c r="X461" s="217">
        <f>_xlfn.XLOOKUP(W461,マスタ!A:A,マスタ!C:C,0)*M461</f>
        <v>0.5</v>
      </c>
      <c r="Y461" s="218">
        <f>IF(N461="",0,_xlfn.XLOOKUP(W461,マスタ!A:A,マスタ!D:D,0)*M461)</f>
        <v>0</v>
      </c>
      <c r="Z461" s="219">
        <f>_xlfn.XLOOKUP(W461,マスタ!A:A,マスタ!E:E,0)*M461</f>
        <v>0.57999999999999996</v>
      </c>
      <c r="AA461" s="219">
        <f>_xlfn.XLOOKUP(W461,マスタ!A:A,マスタ!F:F,0)*M461</f>
        <v>0.66</v>
      </c>
      <c r="AB461" s="219">
        <f>_xlfn.XLOOKUP(W461,マスタ!A:A,マスタ!G:G,0)*M461</f>
        <v>0.19</v>
      </c>
      <c r="AC461" s="220">
        <f>_xlfn.XLOOKUP(W461,マスタ!A:A,マスタ!H:H,0)*M461</f>
        <v>0.19</v>
      </c>
      <c r="AD461" s="227">
        <f t="shared" si="29"/>
        <v>2.12</v>
      </c>
    </row>
    <row r="462" spans="1:32" ht="15" customHeight="1">
      <c r="A462" s="145"/>
      <c r="B462" s="160" t="s">
        <v>579</v>
      </c>
      <c r="C462" s="161"/>
      <c r="D462" s="269"/>
      <c r="E462" s="161"/>
      <c r="F462" s="161"/>
      <c r="G462" s="161"/>
      <c r="H462" s="161"/>
      <c r="I462" s="486"/>
      <c r="J462" s="486"/>
      <c r="K462" s="486"/>
      <c r="L462" s="486"/>
      <c r="M462" s="486"/>
      <c r="N462" s="55"/>
      <c r="O462" s="55"/>
      <c r="P462" s="55"/>
      <c r="Q462" s="55"/>
      <c r="R462" s="55"/>
      <c r="S462" s="55"/>
      <c r="T462" s="55"/>
      <c r="U462" s="279"/>
      <c r="W462" s="208"/>
      <c r="X462" s="217">
        <f>_xlfn.XLOOKUP(W462,マスタ!A:A,マスタ!C:C,0)*M462</f>
        <v>0</v>
      </c>
      <c r="Y462" s="218">
        <f>IF(N462="",0,_xlfn.XLOOKUP(W462,マスタ!A:A,マスタ!D:D,0)*M462)</f>
        <v>0</v>
      </c>
      <c r="Z462" s="219">
        <f>_xlfn.XLOOKUP(W462,マスタ!A:A,マスタ!E:E,0)*M462</f>
        <v>0</v>
      </c>
      <c r="AA462" s="219">
        <f>_xlfn.XLOOKUP(W462,マスタ!A:A,マスタ!F:F,0)*M462</f>
        <v>0</v>
      </c>
      <c r="AB462" s="219">
        <f>_xlfn.XLOOKUP(W462,マスタ!A:A,マスタ!G:G,0)*M462</f>
        <v>0</v>
      </c>
      <c r="AC462" s="220">
        <f>_xlfn.XLOOKUP(W462,マスタ!A:A,マスタ!H:H,0)*M462</f>
        <v>0</v>
      </c>
      <c r="AD462" s="227">
        <f t="shared" si="29"/>
        <v>0</v>
      </c>
    </row>
    <row r="463" spans="1:32" ht="15" customHeight="1">
      <c r="A463" s="145"/>
      <c r="B463" s="265"/>
      <c r="C463" s="163" t="s">
        <v>580</v>
      </c>
      <c r="D463" s="271"/>
      <c r="E463" s="164"/>
      <c r="F463" s="164"/>
      <c r="G463" s="164"/>
      <c r="H463" s="164" t="s">
        <v>581</v>
      </c>
      <c r="I463" s="430" t="s">
        <v>74</v>
      </c>
      <c r="J463" s="513"/>
      <c r="K463" s="431" t="s">
        <v>57</v>
      </c>
      <c r="L463" s="431" t="s">
        <v>58</v>
      </c>
      <c r="M463" s="482">
        <v>1</v>
      </c>
      <c r="N463" s="179"/>
      <c r="O463" s="180"/>
      <c r="P463" s="179"/>
      <c r="Q463" s="180"/>
      <c r="R463" s="179"/>
      <c r="S463" s="180"/>
      <c r="T463" s="179"/>
      <c r="U463" s="180"/>
      <c r="W463" s="208" t="s">
        <v>190</v>
      </c>
      <c r="X463" s="217">
        <f>_xlfn.XLOOKUP(W463,マスタ!A:A,マスタ!C:C,0)*M463</f>
        <v>0.5</v>
      </c>
      <c r="Y463" s="218">
        <f>IF(N463="",0,_xlfn.XLOOKUP(W463,マスタ!A:A,マスタ!D:D,0)*M463)</f>
        <v>0</v>
      </c>
      <c r="Z463" s="219">
        <f>_xlfn.XLOOKUP(W463,マスタ!A:A,マスタ!E:E,0)*M463</f>
        <v>0.57999999999999996</v>
      </c>
      <c r="AA463" s="219">
        <f>_xlfn.XLOOKUP(W463,マスタ!A:A,マスタ!F:F,0)*M463</f>
        <v>0.66</v>
      </c>
      <c r="AB463" s="219">
        <f>_xlfn.XLOOKUP(W463,マスタ!A:A,マスタ!G:G,0)*M463</f>
        <v>0.19</v>
      </c>
      <c r="AC463" s="220">
        <f>_xlfn.XLOOKUP(W463,マスタ!A:A,マスタ!H:H,0)*M463</f>
        <v>0.19</v>
      </c>
      <c r="AD463" s="227">
        <f t="shared" si="29"/>
        <v>2.12</v>
      </c>
    </row>
    <row r="464" spans="1:32" ht="15" customHeight="1">
      <c r="A464" s="145"/>
      <c r="B464" s="162"/>
      <c r="C464" s="165" t="s">
        <v>582</v>
      </c>
      <c r="D464" s="274"/>
      <c r="E464" s="166"/>
      <c r="F464" s="166"/>
      <c r="G464" s="166"/>
      <c r="H464" s="166" t="s">
        <v>583</v>
      </c>
      <c r="I464" s="433" t="s">
        <v>74</v>
      </c>
      <c r="J464" s="514"/>
      <c r="K464" s="434" t="s">
        <v>58</v>
      </c>
      <c r="L464" s="434" t="s">
        <v>58</v>
      </c>
      <c r="M464" s="466">
        <v>1</v>
      </c>
      <c r="N464" s="181"/>
      <c r="O464" s="182"/>
      <c r="P464" s="181"/>
      <c r="Q464" s="182"/>
      <c r="R464" s="181"/>
      <c r="S464" s="182"/>
      <c r="T464" s="181"/>
      <c r="U464" s="182"/>
      <c r="W464" s="208" t="s">
        <v>190</v>
      </c>
      <c r="X464" s="217">
        <f>_xlfn.XLOOKUP(W464,マスタ!A:A,マスタ!C:C,0)*M464</f>
        <v>0.5</v>
      </c>
      <c r="Y464" s="218">
        <f>IF(N464="",0,_xlfn.XLOOKUP(W464,マスタ!A:A,マスタ!D:D,0)*M464)</f>
        <v>0</v>
      </c>
      <c r="Z464" s="219">
        <f>_xlfn.XLOOKUP(W464,マスタ!A:A,マスタ!E:E,0)*M464</f>
        <v>0.57999999999999996</v>
      </c>
      <c r="AA464" s="219">
        <f>_xlfn.XLOOKUP(W464,マスタ!A:A,マスタ!F:F,0)*M464</f>
        <v>0.66</v>
      </c>
      <c r="AB464" s="219">
        <f>_xlfn.XLOOKUP(W464,マスタ!A:A,マスタ!G:G,0)*M464</f>
        <v>0.19</v>
      </c>
      <c r="AC464" s="220">
        <f>_xlfn.XLOOKUP(W464,マスタ!A:A,マスタ!H:H,0)*M464</f>
        <v>0.19</v>
      </c>
      <c r="AD464" s="227">
        <f t="shared" si="29"/>
        <v>2.12</v>
      </c>
    </row>
    <row r="465" spans="1:32" ht="15" customHeight="1">
      <c r="A465" s="145"/>
      <c r="B465" s="162"/>
      <c r="C465" s="165" t="s">
        <v>584</v>
      </c>
      <c r="D465" s="274"/>
      <c r="E465" s="166"/>
      <c r="F465" s="166"/>
      <c r="G465" s="166"/>
      <c r="H465" s="166" t="s">
        <v>585</v>
      </c>
      <c r="I465" s="433" t="s">
        <v>74</v>
      </c>
      <c r="J465" s="514"/>
      <c r="K465" s="434" t="s">
        <v>57</v>
      </c>
      <c r="L465" s="434" t="s">
        <v>58</v>
      </c>
      <c r="M465" s="466">
        <v>1</v>
      </c>
      <c r="N465" s="181"/>
      <c r="O465" s="182"/>
      <c r="P465" s="181"/>
      <c r="Q465" s="182"/>
      <c r="R465" s="181"/>
      <c r="S465" s="182"/>
      <c r="T465" s="181"/>
      <c r="U465" s="182"/>
      <c r="W465" s="208" t="s">
        <v>190</v>
      </c>
      <c r="X465" s="217">
        <f>_xlfn.XLOOKUP(W465,マスタ!A:A,マスタ!C:C,0)*M465</f>
        <v>0.5</v>
      </c>
      <c r="Y465" s="218">
        <f>IF(N465="",0,_xlfn.XLOOKUP(W465,マスタ!A:A,マスタ!D:D,0)*M465)</f>
        <v>0</v>
      </c>
      <c r="Z465" s="219">
        <f>_xlfn.XLOOKUP(W465,マスタ!A:A,マスタ!E:E,0)*M465</f>
        <v>0.57999999999999996</v>
      </c>
      <c r="AA465" s="219">
        <f>_xlfn.XLOOKUP(W465,マスタ!A:A,マスタ!F:F,0)*M465</f>
        <v>0.66</v>
      </c>
      <c r="AB465" s="219">
        <f>_xlfn.XLOOKUP(W465,マスタ!A:A,マスタ!G:G,0)*M465</f>
        <v>0.19</v>
      </c>
      <c r="AC465" s="220">
        <f>_xlfn.XLOOKUP(W465,マスタ!A:A,マスタ!H:H,0)*M465</f>
        <v>0.19</v>
      </c>
      <c r="AD465" s="227">
        <f t="shared" si="29"/>
        <v>2.12</v>
      </c>
    </row>
    <row r="466" spans="1:32" ht="15" customHeight="1">
      <c r="A466" s="145"/>
      <c r="B466" s="162"/>
      <c r="C466" s="165" t="s">
        <v>586</v>
      </c>
      <c r="D466" s="274"/>
      <c r="E466" s="166"/>
      <c r="F466" s="166"/>
      <c r="G466" s="166"/>
      <c r="H466" s="166" t="s">
        <v>587</v>
      </c>
      <c r="I466" s="433" t="s">
        <v>74</v>
      </c>
      <c r="J466" s="514"/>
      <c r="K466" s="434" t="s">
        <v>57</v>
      </c>
      <c r="L466" s="434" t="s">
        <v>58</v>
      </c>
      <c r="M466" s="466">
        <v>1</v>
      </c>
      <c r="N466" s="181"/>
      <c r="O466" s="182"/>
      <c r="P466" s="181"/>
      <c r="Q466" s="182"/>
      <c r="R466" s="181"/>
      <c r="S466" s="182"/>
      <c r="T466" s="181"/>
      <c r="U466" s="182"/>
      <c r="W466" s="208" t="s">
        <v>190</v>
      </c>
      <c r="X466" s="217">
        <f>_xlfn.XLOOKUP(W466,マスタ!A:A,マスタ!C:C,0)*M466</f>
        <v>0.5</v>
      </c>
      <c r="Y466" s="218">
        <f>IF(N466="",0,_xlfn.XLOOKUP(W466,マスタ!A:A,マスタ!D:D,0)*M466)</f>
        <v>0</v>
      </c>
      <c r="Z466" s="219">
        <f>_xlfn.XLOOKUP(W466,マスタ!A:A,マスタ!E:E,0)*M466</f>
        <v>0.57999999999999996</v>
      </c>
      <c r="AA466" s="219">
        <f>_xlfn.XLOOKUP(W466,マスタ!A:A,マスタ!F:F,0)*M466</f>
        <v>0.66</v>
      </c>
      <c r="AB466" s="219">
        <f>_xlfn.XLOOKUP(W466,マスタ!A:A,マスタ!G:G,0)*M466</f>
        <v>0.19</v>
      </c>
      <c r="AC466" s="220">
        <f>_xlfn.XLOOKUP(W466,マスタ!A:A,マスタ!H:H,0)*M466</f>
        <v>0.19</v>
      </c>
      <c r="AD466" s="227">
        <f t="shared" si="29"/>
        <v>2.12</v>
      </c>
    </row>
    <row r="467" spans="1:32" ht="15" customHeight="1">
      <c r="A467" s="145"/>
      <c r="B467" s="162"/>
      <c r="C467" s="165" t="s">
        <v>588</v>
      </c>
      <c r="D467" s="274"/>
      <c r="E467" s="166"/>
      <c r="F467" s="166"/>
      <c r="G467" s="166"/>
      <c r="H467" s="166" t="s">
        <v>589</v>
      </c>
      <c r="I467" s="433" t="s">
        <v>74</v>
      </c>
      <c r="J467" s="514"/>
      <c r="K467" s="434" t="s">
        <v>57</v>
      </c>
      <c r="L467" s="434" t="s">
        <v>58</v>
      </c>
      <c r="M467" s="466">
        <v>1</v>
      </c>
      <c r="N467" s="181"/>
      <c r="O467" s="182"/>
      <c r="P467" s="181"/>
      <c r="Q467" s="182"/>
      <c r="R467" s="181"/>
      <c r="S467" s="182"/>
      <c r="T467" s="181"/>
      <c r="U467" s="182"/>
      <c r="W467" s="208" t="s">
        <v>190</v>
      </c>
      <c r="X467" s="217">
        <f>_xlfn.XLOOKUP(W467,マスタ!A:A,マスタ!C:C,0)*M467</f>
        <v>0.5</v>
      </c>
      <c r="Y467" s="218">
        <f>IF(N467="",0,_xlfn.XLOOKUP(W467,マスタ!A:A,マスタ!D:D,0)*M467)</f>
        <v>0</v>
      </c>
      <c r="Z467" s="219">
        <f>_xlfn.XLOOKUP(W467,マスタ!A:A,マスタ!E:E,0)*M467</f>
        <v>0.57999999999999996</v>
      </c>
      <c r="AA467" s="219">
        <f>_xlfn.XLOOKUP(W467,マスタ!A:A,マスタ!F:F,0)*M467</f>
        <v>0.66</v>
      </c>
      <c r="AB467" s="219">
        <f>_xlfn.XLOOKUP(W467,マスタ!A:A,マスタ!G:G,0)*M467</f>
        <v>0.19</v>
      </c>
      <c r="AC467" s="220">
        <f>_xlfn.XLOOKUP(W467,マスタ!A:A,マスタ!H:H,0)*M467</f>
        <v>0.19</v>
      </c>
      <c r="AD467" s="227">
        <f t="shared" si="29"/>
        <v>2.12</v>
      </c>
    </row>
    <row r="468" spans="1:32" ht="15" customHeight="1">
      <c r="A468" s="145"/>
      <c r="B468" s="162"/>
      <c r="C468" s="165" t="s">
        <v>590</v>
      </c>
      <c r="D468" s="274"/>
      <c r="E468" s="166"/>
      <c r="F468" s="166"/>
      <c r="G468" s="166"/>
      <c r="H468" s="166" t="s">
        <v>591</v>
      </c>
      <c r="I468" s="433" t="s">
        <v>74</v>
      </c>
      <c r="J468" s="514"/>
      <c r="K468" s="434" t="s">
        <v>57</v>
      </c>
      <c r="L468" s="434" t="s">
        <v>58</v>
      </c>
      <c r="M468" s="466">
        <v>1</v>
      </c>
      <c r="N468" s="181"/>
      <c r="O468" s="182"/>
      <c r="P468" s="181"/>
      <c r="Q468" s="182"/>
      <c r="R468" s="181"/>
      <c r="S468" s="182"/>
      <c r="T468" s="181"/>
      <c r="U468" s="182"/>
      <c r="W468" s="208"/>
      <c r="X468" s="217">
        <f>_xlfn.XLOOKUP(W468,マスタ!A:A,マスタ!C:C,0)*M468</f>
        <v>0</v>
      </c>
      <c r="Y468" s="218">
        <f>IF(N468="",0,_xlfn.XLOOKUP(W468,マスタ!A:A,マスタ!D:D,0)*M468)</f>
        <v>0</v>
      </c>
      <c r="Z468" s="219">
        <f>_xlfn.XLOOKUP(W468,マスタ!A:A,マスタ!E:E,0)*M468</f>
        <v>0</v>
      </c>
      <c r="AA468" s="219">
        <f>_xlfn.XLOOKUP(W468,マスタ!A:A,マスタ!F:F,0)*M468</f>
        <v>0</v>
      </c>
      <c r="AB468" s="219">
        <f>_xlfn.XLOOKUP(W468,マスタ!A:A,マスタ!G:G,0)*M468</f>
        <v>0</v>
      </c>
      <c r="AC468" s="220">
        <f>_xlfn.XLOOKUP(W468,マスタ!A:A,マスタ!H:H,0)*M468</f>
        <v>0</v>
      </c>
      <c r="AD468" s="227">
        <f t="shared" si="29"/>
        <v>0</v>
      </c>
    </row>
    <row r="469" spans="1:32" ht="15" customHeight="1">
      <c r="A469" s="145"/>
      <c r="B469" s="162"/>
      <c r="C469" s="165" t="s">
        <v>592</v>
      </c>
      <c r="D469" s="274"/>
      <c r="E469" s="166"/>
      <c r="F469" s="166"/>
      <c r="G469" s="166"/>
      <c r="H469" s="166" t="s">
        <v>593</v>
      </c>
      <c r="I469" s="433" t="s">
        <v>74</v>
      </c>
      <c r="J469" s="514"/>
      <c r="K469" s="434" t="s">
        <v>57</v>
      </c>
      <c r="L469" s="434" t="s">
        <v>58</v>
      </c>
      <c r="M469" s="466">
        <v>1</v>
      </c>
      <c r="N469" s="181"/>
      <c r="O469" s="182"/>
      <c r="P469" s="181"/>
      <c r="Q469" s="182"/>
      <c r="R469" s="181"/>
      <c r="S469" s="182"/>
      <c r="T469" s="181"/>
      <c r="U469" s="182"/>
      <c r="W469" s="208"/>
      <c r="X469" s="217">
        <f>_xlfn.XLOOKUP(W469,マスタ!A:A,マスタ!C:C,0)*M469</f>
        <v>0</v>
      </c>
      <c r="Y469" s="218">
        <f>IF(N469="",0,_xlfn.XLOOKUP(W469,マスタ!A:A,マスタ!D:D,0)*M469)</f>
        <v>0</v>
      </c>
      <c r="Z469" s="219">
        <f>_xlfn.XLOOKUP(W469,マスタ!A:A,マスタ!E:E,0)*M469</f>
        <v>0</v>
      </c>
      <c r="AA469" s="219">
        <f>_xlfn.XLOOKUP(W469,マスタ!A:A,マスタ!F:F,0)*M469</f>
        <v>0</v>
      </c>
      <c r="AB469" s="219">
        <f>_xlfn.XLOOKUP(W469,マスタ!A:A,マスタ!G:G,0)*M469</f>
        <v>0</v>
      </c>
      <c r="AC469" s="220">
        <f>_xlfn.XLOOKUP(W469,マスタ!A:A,マスタ!H:H,0)*M469</f>
        <v>0</v>
      </c>
      <c r="AD469" s="227">
        <f t="shared" si="29"/>
        <v>0</v>
      </c>
    </row>
    <row r="470" spans="1:32" ht="15" customHeight="1">
      <c r="A470" s="145"/>
      <c r="B470" s="167"/>
      <c r="C470" s="168" t="s">
        <v>594</v>
      </c>
      <c r="D470" s="277"/>
      <c r="E470" s="169"/>
      <c r="F470" s="169"/>
      <c r="G470" s="169"/>
      <c r="H470" s="169" t="s">
        <v>595</v>
      </c>
      <c r="I470" s="436" t="s">
        <v>74</v>
      </c>
      <c r="J470" s="515"/>
      <c r="K470" s="437" t="s">
        <v>57</v>
      </c>
      <c r="L470" s="437" t="s">
        <v>58</v>
      </c>
      <c r="M470" s="485">
        <v>1</v>
      </c>
      <c r="N470" s="183"/>
      <c r="O470" s="184"/>
      <c r="P470" s="183"/>
      <c r="Q470" s="184"/>
      <c r="R470" s="183"/>
      <c r="S470" s="184"/>
      <c r="T470" s="183"/>
      <c r="U470" s="184"/>
      <c r="W470" s="208"/>
      <c r="X470" s="217">
        <f>_xlfn.XLOOKUP(W470,マスタ!A:A,マスタ!C:C,0)*M470</f>
        <v>0</v>
      </c>
      <c r="Y470" s="218">
        <f>IF(N470="",0,_xlfn.XLOOKUP(W470,マスタ!A:A,マスタ!D:D,0)*M470)</f>
        <v>0</v>
      </c>
      <c r="Z470" s="219">
        <f>_xlfn.XLOOKUP(W470,マスタ!A:A,マスタ!E:E,0)*M470</f>
        <v>0</v>
      </c>
      <c r="AA470" s="219">
        <f>_xlfn.XLOOKUP(W470,マスタ!A:A,マスタ!F:F,0)*M470</f>
        <v>0</v>
      </c>
      <c r="AB470" s="219">
        <f>_xlfn.XLOOKUP(W470,マスタ!A:A,マスタ!G:G,0)*M470</f>
        <v>0</v>
      </c>
      <c r="AC470" s="220">
        <f>_xlfn.XLOOKUP(W470,マスタ!A:A,マスタ!H:H,0)*M470</f>
        <v>0</v>
      </c>
      <c r="AD470" s="227">
        <f t="shared" si="29"/>
        <v>0</v>
      </c>
    </row>
    <row r="471" spans="1:32" ht="15" customHeight="1">
      <c r="A471" s="145"/>
      <c r="B471" s="242" t="s">
        <v>570</v>
      </c>
      <c r="C471" s="243"/>
      <c r="D471" s="243"/>
      <c r="E471" s="243"/>
      <c r="F471" s="243"/>
      <c r="G471" s="243"/>
      <c r="H471" s="286" t="s">
        <v>596</v>
      </c>
      <c r="I471" s="454" t="s">
        <v>74</v>
      </c>
      <c r="J471" s="520"/>
      <c r="K471" s="455" t="s">
        <v>57</v>
      </c>
      <c r="L471" s="455" t="s">
        <v>57</v>
      </c>
      <c r="M471" s="456">
        <v>1</v>
      </c>
      <c r="N471" s="245"/>
      <c r="O471" s="246"/>
      <c r="P471" s="245"/>
      <c r="Q471" s="246"/>
      <c r="R471" s="245"/>
      <c r="S471" s="246"/>
      <c r="T471" s="245"/>
      <c r="U471" s="246"/>
      <c r="W471" s="208" t="s">
        <v>158</v>
      </c>
      <c r="X471" s="217">
        <f>_xlfn.XLOOKUP(W471,マスタ!A:A,マスタ!C:C,0)*M471</f>
        <v>1.98</v>
      </c>
      <c r="Y471" s="218">
        <f>IF(N471="",0,_xlfn.XLOOKUP(W471,マスタ!A:A,マスタ!D:D,0)*M471)</f>
        <v>0</v>
      </c>
      <c r="Z471" s="219">
        <f>_xlfn.XLOOKUP(W471,マスタ!A:A,マスタ!E:E,0)*M471</f>
        <v>2.33</v>
      </c>
      <c r="AA471" s="219">
        <f>_xlfn.XLOOKUP(W471,マスタ!A:A,マスタ!F:F,0)*M471</f>
        <v>2.64</v>
      </c>
      <c r="AB471" s="219">
        <f>_xlfn.XLOOKUP(W471,マスタ!A:A,マスタ!G:G,0)*M471</f>
        <v>0.77</v>
      </c>
      <c r="AC471" s="220">
        <f>_xlfn.XLOOKUP(W471,マスタ!A:A,マスタ!H:H,0)*M471</f>
        <v>0.77</v>
      </c>
      <c r="AD471" s="227">
        <f t="shared" si="29"/>
        <v>8.49</v>
      </c>
    </row>
    <row r="472" spans="1:32" ht="15" customHeight="1">
      <c r="A472" s="16"/>
      <c r="B472" s="148" t="s">
        <v>597</v>
      </c>
      <c r="C472" s="149"/>
      <c r="D472" s="149"/>
      <c r="E472" s="149"/>
      <c r="F472" s="149"/>
      <c r="G472" s="149"/>
      <c r="H472" s="149"/>
      <c r="I472" s="423"/>
      <c r="J472" s="423"/>
      <c r="K472" s="423"/>
      <c r="L472" s="423"/>
      <c r="M472" s="423"/>
      <c r="N472" s="144"/>
      <c r="O472" s="144"/>
      <c r="P472" s="144"/>
      <c r="Q472" s="144"/>
      <c r="R472" s="144"/>
      <c r="S472" s="144"/>
      <c r="T472" s="144"/>
      <c r="U472" s="144"/>
      <c r="W472" s="207"/>
      <c r="X472" s="213">
        <f t="shared" ref="X472:AD472" si="30">SUM(X473:X475)</f>
        <v>6.9399999999999995</v>
      </c>
      <c r="Y472" s="214">
        <f t="shared" si="30"/>
        <v>0</v>
      </c>
      <c r="Z472" s="215">
        <f t="shared" si="30"/>
        <v>8.16</v>
      </c>
      <c r="AA472" s="215">
        <f t="shared" si="30"/>
        <v>9.24</v>
      </c>
      <c r="AB472" s="215">
        <f t="shared" si="30"/>
        <v>2.7</v>
      </c>
      <c r="AC472" s="216">
        <f t="shared" si="30"/>
        <v>2.7</v>
      </c>
      <c r="AD472" s="226">
        <f t="shared" si="30"/>
        <v>29.740000000000002</v>
      </c>
      <c r="AE472" s="205">
        <f>AD472/20</f>
        <v>1.4870000000000001</v>
      </c>
      <c r="AF472" s="204">
        <f>AE472*350000</f>
        <v>520450.00000000006</v>
      </c>
    </row>
    <row r="473" spans="1:32" ht="15" customHeight="1">
      <c r="A473" s="145"/>
      <c r="B473" s="163" t="s">
        <v>598</v>
      </c>
      <c r="C473" s="164"/>
      <c r="D473" s="164"/>
      <c r="E473" s="164"/>
      <c r="F473" s="164"/>
      <c r="G473" s="234"/>
      <c r="H473" s="173"/>
      <c r="I473" s="430" t="s">
        <v>73</v>
      </c>
      <c r="J473" s="513"/>
      <c r="K473" s="431" t="s">
        <v>58</v>
      </c>
      <c r="L473" s="431" t="s">
        <v>58</v>
      </c>
      <c r="M473" s="432">
        <v>1</v>
      </c>
      <c r="N473" s="179"/>
      <c r="O473" s="180"/>
      <c r="P473" s="179"/>
      <c r="Q473" s="180"/>
      <c r="R473" s="179"/>
      <c r="S473" s="180"/>
      <c r="T473" s="179"/>
      <c r="U473" s="180"/>
      <c r="W473" s="208" t="s">
        <v>158</v>
      </c>
      <c r="X473" s="217">
        <f>_xlfn.XLOOKUP(W473,マスタ!A:A,マスタ!C:C,0)*M473</f>
        <v>1.98</v>
      </c>
      <c r="Y473" s="218">
        <f>IF(N473="",0,_xlfn.XLOOKUP(W473,マスタ!A:A,マスタ!D:D,0)*M473)</f>
        <v>0</v>
      </c>
      <c r="Z473" s="219">
        <f>_xlfn.XLOOKUP(W473,マスタ!A:A,マスタ!E:E,0)*M473</f>
        <v>2.33</v>
      </c>
      <c r="AA473" s="219">
        <f>_xlfn.XLOOKUP(W473,マスタ!A:A,マスタ!F:F,0)*M473</f>
        <v>2.64</v>
      </c>
      <c r="AB473" s="219">
        <f>_xlfn.XLOOKUP(W473,マスタ!A:A,マスタ!G:G,0)*M473</f>
        <v>0.77</v>
      </c>
      <c r="AC473" s="220">
        <f>_xlfn.XLOOKUP(W473,マスタ!A:A,マスタ!H:H,0)*M473</f>
        <v>0.77</v>
      </c>
      <c r="AD473" s="227">
        <f t="shared" si="26"/>
        <v>8.49</v>
      </c>
    </row>
    <row r="474" spans="1:32" ht="15" customHeight="1">
      <c r="A474" s="145"/>
      <c r="B474" s="165" t="s">
        <v>599</v>
      </c>
      <c r="C474" s="166"/>
      <c r="D474" s="166"/>
      <c r="E474" s="166"/>
      <c r="F474" s="166"/>
      <c r="G474" s="275"/>
      <c r="H474" s="174"/>
      <c r="I474" s="433" t="s">
        <v>73</v>
      </c>
      <c r="J474" s="514"/>
      <c r="K474" s="434" t="s">
        <v>58</v>
      </c>
      <c r="L474" s="434" t="s">
        <v>58</v>
      </c>
      <c r="M474" s="435">
        <v>1</v>
      </c>
      <c r="N474" s="181"/>
      <c r="O474" s="182"/>
      <c r="P474" s="181"/>
      <c r="Q474" s="182"/>
      <c r="R474" s="181"/>
      <c r="S474" s="182"/>
      <c r="T474" s="181"/>
      <c r="U474" s="182"/>
      <c r="W474" s="208" t="s">
        <v>158</v>
      </c>
      <c r="X474" s="217">
        <f>_xlfn.XLOOKUP(W474,マスタ!A:A,マスタ!C:C,0)*M474</f>
        <v>1.98</v>
      </c>
      <c r="Y474" s="218">
        <f>IF(N474="",0,_xlfn.XLOOKUP(W474,マスタ!A:A,マスタ!D:D,0)*M474)</f>
        <v>0</v>
      </c>
      <c r="Z474" s="219">
        <f>_xlfn.XLOOKUP(W474,マスタ!A:A,マスタ!E:E,0)*M474</f>
        <v>2.33</v>
      </c>
      <c r="AA474" s="219">
        <f>_xlfn.XLOOKUP(W474,マスタ!A:A,マスタ!F:F,0)*M474</f>
        <v>2.64</v>
      </c>
      <c r="AB474" s="219">
        <f>_xlfn.XLOOKUP(W474,マスタ!A:A,マスタ!G:G,0)*M474</f>
        <v>0.77</v>
      </c>
      <c r="AC474" s="220">
        <f>_xlfn.XLOOKUP(W474,マスタ!A:A,マスタ!H:H,0)*M474</f>
        <v>0.77</v>
      </c>
      <c r="AD474" s="227">
        <f t="shared" si="26"/>
        <v>8.49</v>
      </c>
    </row>
    <row r="475" spans="1:32" ht="15" customHeight="1">
      <c r="A475" s="145"/>
      <c r="B475" s="168" t="s">
        <v>600</v>
      </c>
      <c r="C475" s="169"/>
      <c r="D475" s="169"/>
      <c r="E475" s="169"/>
      <c r="F475" s="169"/>
      <c r="G475" s="235"/>
      <c r="H475" s="175" t="s">
        <v>601</v>
      </c>
      <c r="I475" s="436" t="s">
        <v>73</v>
      </c>
      <c r="J475" s="515"/>
      <c r="K475" s="437" t="s">
        <v>58</v>
      </c>
      <c r="L475" s="437" t="s">
        <v>58</v>
      </c>
      <c r="M475" s="438">
        <v>1</v>
      </c>
      <c r="N475" s="183"/>
      <c r="O475" s="184"/>
      <c r="P475" s="183"/>
      <c r="Q475" s="184"/>
      <c r="R475" s="183"/>
      <c r="S475" s="184"/>
      <c r="T475" s="183"/>
      <c r="U475" s="184"/>
      <c r="W475" s="208" t="s">
        <v>59</v>
      </c>
      <c r="X475" s="217">
        <f>_xlfn.XLOOKUP(W475,マスタ!A:A,マスタ!C:C,0)*M475</f>
        <v>2.98</v>
      </c>
      <c r="Y475" s="218">
        <f>IF(N475="",0,_xlfn.XLOOKUP(W475,マスタ!A:A,マスタ!D:D,0)*M475)</f>
        <v>0</v>
      </c>
      <c r="Z475" s="219">
        <f>_xlfn.XLOOKUP(W475,マスタ!A:A,マスタ!E:E,0)*M475</f>
        <v>3.5</v>
      </c>
      <c r="AA475" s="219">
        <f>_xlfn.XLOOKUP(W475,マスタ!A:A,マスタ!F:F,0)*M475</f>
        <v>3.96</v>
      </c>
      <c r="AB475" s="219">
        <f>_xlfn.XLOOKUP(W475,マスタ!A:A,マスタ!G:G,0)*M475</f>
        <v>1.1599999999999999</v>
      </c>
      <c r="AC475" s="220">
        <f>_xlfn.XLOOKUP(W475,マスタ!A:A,マスタ!H:H,0)*M475</f>
        <v>1.1599999999999999</v>
      </c>
      <c r="AD475" s="227">
        <f t="shared" si="26"/>
        <v>12.760000000000002</v>
      </c>
    </row>
    <row r="476" spans="1:32" ht="15" customHeight="1">
      <c r="A476" s="16"/>
      <c r="B476" s="148" t="s">
        <v>602</v>
      </c>
      <c r="C476" s="149"/>
      <c r="D476" s="149"/>
      <c r="E476" s="149"/>
      <c r="F476" s="149"/>
      <c r="G476" s="149"/>
      <c r="H476" s="149"/>
      <c r="I476" s="423"/>
      <c r="J476" s="423"/>
      <c r="K476" s="423"/>
      <c r="L476" s="423"/>
      <c r="M476" s="423"/>
      <c r="N476" s="144"/>
      <c r="O476" s="144"/>
      <c r="P476" s="144"/>
      <c r="Q476" s="144"/>
      <c r="R476" s="144"/>
      <c r="S476" s="144"/>
      <c r="T476" s="144"/>
      <c r="U476" s="144"/>
      <c r="W476" s="207"/>
      <c r="X476" s="213">
        <f>SUM(X477:X482)</f>
        <v>7.9399999999999995</v>
      </c>
      <c r="Y476" s="214">
        <f t="shared" ref="Y476:AD476" si="31">SUM(Y477:Y482)</f>
        <v>0</v>
      </c>
      <c r="Z476" s="215">
        <f t="shared" si="31"/>
        <v>9.33</v>
      </c>
      <c r="AA476" s="215">
        <f t="shared" si="31"/>
        <v>10.559999999999999</v>
      </c>
      <c r="AB476" s="215">
        <f t="shared" si="31"/>
        <v>3.09</v>
      </c>
      <c r="AC476" s="216">
        <f t="shared" si="31"/>
        <v>3.09</v>
      </c>
      <c r="AD476" s="226">
        <f t="shared" si="31"/>
        <v>34.010000000000005</v>
      </c>
      <c r="AE476" s="205">
        <f>AD476/20</f>
        <v>1.7005000000000003</v>
      </c>
      <c r="AF476" s="204">
        <f>AE476*350000</f>
        <v>595175.00000000012</v>
      </c>
    </row>
    <row r="477" spans="1:32" ht="15" customHeight="1">
      <c r="A477" s="20"/>
      <c r="B477" s="160" t="s">
        <v>603</v>
      </c>
      <c r="C477" s="161"/>
      <c r="D477" s="161"/>
      <c r="E477" s="161"/>
      <c r="F477" s="161"/>
      <c r="G477" s="161"/>
      <c r="H477" s="161"/>
      <c r="I477" s="480"/>
      <c r="J477" s="480"/>
      <c r="K477" s="480"/>
      <c r="L477" s="480"/>
      <c r="M477" s="480"/>
      <c r="N477" s="269"/>
      <c r="O477" s="269"/>
      <c r="P477" s="269"/>
      <c r="Q477" s="269"/>
      <c r="R477" s="269"/>
      <c r="S477" s="269"/>
      <c r="T477" s="269"/>
      <c r="U477" s="270"/>
      <c r="W477" s="208"/>
      <c r="X477" s="217">
        <f>_xlfn.XLOOKUP(W477,マスタ!A:A,マスタ!C:C,0)*M477</f>
        <v>0</v>
      </c>
      <c r="Y477" s="218">
        <f>IF(N477="",0,_xlfn.XLOOKUP(W477,マスタ!A:A,マスタ!D:D,0)*M477)</f>
        <v>0</v>
      </c>
      <c r="Z477" s="219">
        <f>_xlfn.XLOOKUP(W477,マスタ!A:A,マスタ!E:E,0)*M477</f>
        <v>0</v>
      </c>
      <c r="AA477" s="219">
        <f>_xlfn.XLOOKUP(W477,マスタ!A:A,マスタ!F:F,0)*M477</f>
        <v>0</v>
      </c>
      <c r="AB477" s="219">
        <f>_xlfn.XLOOKUP(W477,マスタ!A:A,マスタ!G:G,0)*M477</f>
        <v>0</v>
      </c>
      <c r="AC477" s="220">
        <f>_xlfn.XLOOKUP(W477,マスタ!A:A,マスタ!H:H,0)*M477</f>
        <v>0</v>
      </c>
      <c r="AD477" s="227">
        <f t="shared" si="26"/>
        <v>0</v>
      </c>
    </row>
    <row r="478" spans="1:32" ht="15" customHeight="1">
      <c r="A478" s="20"/>
      <c r="B478" s="162"/>
      <c r="C478" s="163" t="s">
        <v>496</v>
      </c>
      <c r="D478" s="164"/>
      <c r="E478" s="164"/>
      <c r="F478" s="164"/>
      <c r="G478" s="234"/>
      <c r="H478" s="173" t="s">
        <v>604</v>
      </c>
      <c r="I478" s="430" t="s">
        <v>74</v>
      </c>
      <c r="J478" s="513"/>
      <c r="K478" s="431" t="s">
        <v>58</v>
      </c>
      <c r="L478" s="431" t="s">
        <v>58</v>
      </c>
      <c r="M478" s="432">
        <v>1</v>
      </c>
      <c r="N478" s="179"/>
      <c r="O478" s="180"/>
      <c r="P478" s="179"/>
      <c r="Q478" s="180"/>
      <c r="R478" s="179"/>
      <c r="S478" s="180"/>
      <c r="T478" s="179"/>
      <c r="U478" s="180"/>
      <c r="W478" s="208" t="s">
        <v>59</v>
      </c>
      <c r="X478" s="217">
        <f>_xlfn.XLOOKUP(W478,マスタ!A:A,マスタ!C:C,0)*M478</f>
        <v>2.98</v>
      </c>
      <c r="Y478" s="218">
        <f>IF(N478="",0,_xlfn.XLOOKUP(W478,マスタ!A:A,マスタ!D:D,0)*M478)</f>
        <v>0</v>
      </c>
      <c r="Z478" s="219">
        <f>_xlfn.XLOOKUP(W478,マスタ!A:A,マスタ!E:E,0)*M478</f>
        <v>3.5</v>
      </c>
      <c r="AA478" s="219">
        <f>_xlfn.XLOOKUP(W478,マスタ!A:A,マスタ!F:F,0)*M478</f>
        <v>3.96</v>
      </c>
      <c r="AB478" s="219">
        <f>_xlfn.XLOOKUP(W478,マスタ!A:A,マスタ!G:G,0)*M478</f>
        <v>1.1599999999999999</v>
      </c>
      <c r="AC478" s="220">
        <f>_xlfn.XLOOKUP(W478,マスタ!A:A,マスタ!H:H,0)*M478</f>
        <v>1.1599999999999999</v>
      </c>
      <c r="AD478" s="227">
        <f t="shared" si="26"/>
        <v>12.760000000000002</v>
      </c>
    </row>
    <row r="479" spans="1:32" ht="15" customHeight="1">
      <c r="A479" s="20"/>
      <c r="B479" s="188"/>
      <c r="C479" s="168" t="s">
        <v>605</v>
      </c>
      <c r="D479" s="169"/>
      <c r="E479" s="169"/>
      <c r="F479" s="169"/>
      <c r="G479" s="235"/>
      <c r="H479" s="175" t="s">
        <v>606</v>
      </c>
      <c r="I479" s="436" t="s">
        <v>74</v>
      </c>
      <c r="J479" s="515"/>
      <c r="K479" s="437" t="s">
        <v>58</v>
      </c>
      <c r="L479" s="437" t="s">
        <v>58</v>
      </c>
      <c r="M479" s="438">
        <v>1</v>
      </c>
      <c r="N479" s="183"/>
      <c r="O479" s="184"/>
      <c r="P479" s="183"/>
      <c r="Q479" s="184"/>
      <c r="R479" s="183"/>
      <c r="S479" s="184"/>
      <c r="T479" s="183"/>
      <c r="U479" s="184"/>
      <c r="W479" s="208" t="s">
        <v>158</v>
      </c>
      <c r="X479" s="217">
        <f>_xlfn.XLOOKUP(W479,マスタ!A:A,マスタ!C:C,0)*M479</f>
        <v>1.98</v>
      </c>
      <c r="Y479" s="218">
        <f>IF(N479="",0,_xlfn.XLOOKUP(W479,マスタ!A:A,マスタ!D:D,0)*M479)</f>
        <v>0</v>
      </c>
      <c r="Z479" s="219">
        <f>_xlfn.XLOOKUP(W479,マスタ!A:A,マスタ!E:E,0)*M479</f>
        <v>2.33</v>
      </c>
      <c r="AA479" s="219">
        <f>_xlfn.XLOOKUP(W479,マスタ!A:A,マスタ!F:F,0)*M479</f>
        <v>2.64</v>
      </c>
      <c r="AB479" s="219">
        <f>_xlfn.XLOOKUP(W479,マスタ!A:A,マスタ!G:G,0)*M479</f>
        <v>0.77</v>
      </c>
      <c r="AC479" s="220">
        <f>_xlfn.XLOOKUP(W479,マスタ!A:A,マスタ!H:H,0)*M479</f>
        <v>0.77</v>
      </c>
      <c r="AD479" s="227">
        <f t="shared" si="26"/>
        <v>8.49</v>
      </c>
    </row>
    <row r="480" spans="1:32" ht="15" customHeight="1">
      <c r="A480" s="20"/>
      <c r="B480" s="170" t="s">
        <v>607</v>
      </c>
      <c r="C480" s="155"/>
      <c r="D480" s="155"/>
      <c r="E480" s="155"/>
      <c r="F480" s="155"/>
      <c r="G480" s="155"/>
      <c r="H480" s="155"/>
      <c r="I480" s="486"/>
      <c r="J480" s="486"/>
      <c r="K480" s="486"/>
      <c r="L480" s="486"/>
      <c r="M480" s="486"/>
      <c r="N480" s="55"/>
      <c r="O480" s="55"/>
      <c r="P480" s="55"/>
      <c r="Q480" s="55"/>
      <c r="R480" s="55"/>
      <c r="S480" s="55"/>
      <c r="T480" s="55"/>
      <c r="U480" s="279"/>
      <c r="W480" s="208"/>
      <c r="X480" s="217">
        <f>_xlfn.XLOOKUP(W480,マスタ!A:A,マスタ!C:C,0)*M480</f>
        <v>0</v>
      </c>
      <c r="Y480" s="218">
        <f>IF(N480="",0,_xlfn.XLOOKUP(W480,マスタ!A:A,マスタ!D:D,0)*M480)</f>
        <v>0</v>
      </c>
      <c r="Z480" s="219">
        <f>_xlfn.XLOOKUP(W480,マスタ!A:A,マスタ!E:E,0)*M480</f>
        <v>0</v>
      </c>
      <c r="AA480" s="219">
        <f>_xlfn.XLOOKUP(W480,マスタ!A:A,マスタ!F:F,0)*M480</f>
        <v>0</v>
      </c>
      <c r="AB480" s="219">
        <f>_xlfn.XLOOKUP(W480,マスタ!A:A,マスタ!G:G,0)*M480</f>
        <v>0</v>
      </c>
      <c r="AC480" s="220">
        <f>_xlfn.XLOOKUP(W480,マスタ!A:A,マスタ!H:H,0)*M480</f>
        <v>0</v>
      </c>
      <c r="AD480" s="227">
        <f t="shared" ref="AD480:AD514" si="32">SUM(X480:AC480)</f>
        <v>0</v>
      </c>
    </row>
    <row r="481" spans="1:32" ht="42.75">
      <c r="A481" s="20"/>
      <c r="B481" s="162"/>
      <c r="C481" s="163" t="s">
        <v>608</v>
      </c>
      <c r="D481" s="164"/>
      <c r="E481" s="164"/>
      <c r="F481" s="164"/>
      <c r="G481" s="234"/>
      <c r="H481" s="291" t="s">
        <v>609</v>
      </c>
      <c r="I481" s="430" t="s">
        <v>74</v>
      </c>
      <c r="J481" s="513"/>
      <c r="K481" s="431" t="s">
        <v>58</v>
      </c>
      <c r="L481" s="431" t="s">
        <v>58</v>
      </c>
      <c r="M481" s="432">
        <v>1</v>
      </c>
      <c r="N481" s="179"/>
      <c r="O481" s="180"/>
      <c r="P481" s="179"/>
      <c r="Q481" s="180"/>
      <c r="R481" s="179"/>
      <c r="S481" s="180"/>
      <c r="T481" s="179"/>
      <c r="U481" s="180"/>
      <c r="W481" s="208" t="s">
        <v>59</v>
      </c>
      <c r="X481" s="217">
        <f>_xlfn.XLOOKUP(W481,マスタ!A:A,マスタ!C:C,0)*M481</f>
        <v>2.98</v>
      </c>
      <c r="Y481" s="218">
        <f>IF(N481="",0,_xlfn.XLOOKUP(W481,マスタ!A:A,マスタ!D:D,0)*M481)</f>
        <v>0</v>
      </c>
      <c r="Z481" s="219">
        <f>_xlfn.XLOOKUP(W481,マスタ!A:A,マスタ!E:E,0)*M481</f>
        <v>3.5</v>
      </c>
      <c r="AA481" s="219">
        <f>_xlfn.XLOOKUP(W481,マスタ!A:A,マスタ!F:F,0)*M481</f>
        <v>3.96</v>
      </c>
      <c r="AB481" s="219">
        <f>_xlfn.XLOOKUP(W481,マスタ!A:A,マスタ!G:G,0)*M481</f>
        <v>1.1599999999999999</v>
      </c>
      <c r="AC481" s="220">
        <f>_xlfn.XLOOKUP(W481,マスタ!A:A,マスタ!H:H,0)*M481</f>
        <v>1.1599999999999999</v>
      </c>
      <c r="AD481" s="227">
        <f t="shared" si="32"/>
        <v>12.760000000000002</v>
      </c>
    </row>
    <row r="482" spans="1:32" ht="15" customHeight="1">
      <c r="A482" s="20"/>
      <c r="B482" s="167"/>
      <c r="C482" s="168"/>
      <c r="D482" s="169"/>
      <c r="E482" s="169"/>
      <c r="F482" s="169"/>
      <c r="G482" s="235"/>
      <c r="H482" s="175"/>
      <c r="I482" s="436" t="s">
        <v>74</v>
      </c>
      <c r="J482" s="515"/>
      <c r="K482" s="437" t="s">
        <v>58</v>
      </c>
      <c r="L482" s="437" t="s">
        <v>58</v>
      </c>
      <c r="M482" s="438">
        <v>1</v>
      </c>
      <c r="N482" s="183"/>
      <c r="O482" s="184"/>
      <c r="P482" s="183"/>
      <c r="Q482" s="184"/>
      <c r="R482" s="183"/>
      <c r="S482" s="184"/>
      <c r="T482" s="183"/>
      <c r="U482" s="184"/>
      <c r="W482" s="208"/>
      <c r="X482" s="217">
        <f>_xlfn.XLOOKUP(W482,マスタ!A:A,マスタ!C:C,0)*M482</f>
        <v>0</v>
      </c>
      <c r="Y482" s="218">
        <f>IF(N482="",0,_xlfn.XLOOKUP(W482,マスタ!A:A,マスタ!D:D,0)*M482)</f>
        <v>0</v>
      </c>
      <c r="Z482" s="219">
        <f>_xlfn.XLOOKUP(W482,マスタ!A:A,マスタ!E:E,0)*M482</f>
        <v>0</v>
      </c>
      <c r="AA482" s="219">
        <f>_xlfn.XLOOKUP(W482,マスタ!A:A,マスタ!F:F,0)*M482</f>
        <v>0</v>
      </c>
      <c r="AB482" s="219">
        <f>_xlfn.XLOOKUP(W482,マスタ!A:A,マスタ!G:G,0)*M482</f>
        <v>0</v>
      </c>
      <c r="AC482" s="220">
        <f>_xlfn.XLOOKUP(W482,マスタ!A:A,マスタ!H:H,0)*M482</f>
        <v>0</v>
      </c>
      <c r="AD482" s="227">
        <f t="shared" si="32"/>
        <v>0</v>
      </c>
    </row>
    <row r="483" spans="1:32" ht="15" customHeight="1">
      <c r="A483" s="16"/>
      <c r="B483" s="148" t="s">
        <v>610</v>
      </c>
      <c r="C483" s="149"/>
      <c r="D483" s="149"/>
      <c r="E483" s="149"/>
      <c r="F483" s="149"/>
      <c r="G483" s="149"/>
      <c r="H483" s="149"/>
      <c r="I483" s="423"/>
      <c r="J483" s="423"/>
      <c r="K483" s="423"/>
      <c r="L483" s="423"/>
      <c r="M483" s="423"/>
      <c r="N483" s="144"/>
      <c r="O483" s="144"/>
      <c r="P483" s="144"/>
      <c r="Q483" s="144"/>
      <c r="R483" s="144"/>
      <c r="S483" s="144"/>
      <c r="T483" s="144"/>
      <c r="U483" s="144"/>
      <c r="W483" s="207"/>
      <c r="X483" s="213">
        <f>SUM(X484:X489)</f>
        <v>7.9399999999999995</v>
      </c>
      <c r="Y483" s="214">
        <f t="shared" ref="Y483" si="33">SUM(Y484:Y489)</f>
        <v>0</v>
      </c>
      <c r="Z483" s="215">
        <f t="shared" ref="Z483" si="34">SUM(Z484:Z489)</f>
        <v>9.33</v>
      </c>
      <c r="AA483" s="215">
        <f t="shared" ref="AA483" si="35">SUM(AA484:AA489)</f>
        <v>10.559999999999999</v>
      </c>
      <c r="AB483" s="215">
        <f t="shared" ref="AB483" si="36">SUM(AB484:AB489)</f>
        <v>3.09</v>
      </c>
      <c r="AC483" s="216">
        <f t="shared" ref="AC483" si="37">SUM(AC484:AC489)</f>
        <v>3.09</v>
      </c>
      <c r="AD483" s="226">
        <f t="shared" ref="AD483" si="38">SUM(AD484:AD489)</f>
        <v>34.010000000000005</v>
      </c>
      <c r="AE483" s="205">
        <f>AD483/20</f>
        <v>1.7005000000000003</v>
      </c>
      <c r="AF483" s="204">
        <f>AE483*350000</f>
        <v>595175.00000000012</v>
      </c>
    </row>
    <row r="484" spans="1:32" ht="15" customHeight="1">
      <c r="A484" s="20"/>
      <c r="B484" s="160" t="s">
        <v>603</v>
      </c>
      <c r="C484" s="161"/>
      <c r="D484" s="161"/>
      <c r="E484" s="161"/>
      <c r="F484" s="161"/>
      <c r="G484" s="161"/>
      <c r="H484" s="161"/>
      <c r="I484" s="480"/>
      <c r="J484" s="480"/>
      <c r="K484" s="480"/>
      <c r="L484" s="480"/>
      <c r="M484" s="480"/>
      <c r="N484" s="269"/>
      <c r="O484" s="269"/>
      <c r="P484" s="269"/>
      <c r="Q484" s="269"/>
      <c r="R484" s="269"/>
      <c r="S484" s="269"/>
      <c r="T484" s="269"/>
      <c r="U484" s="270"/>
      <c r="W484" s="208"/>
      <c r="X484" s="217">
        <f>_xlfn.XLOOKUP(W484,マスタ!A:A,マスタ!C:C,0)*M484</f>
        <v>0</v>
      </c>
      <c r="Y484" s="218">
        <f>IF(N484="",0,_xlfn.XLOOKUP(W484,マスタ!A:A,マスタ!D:D,0)*M484)</f>
        <v>0</v>
      </c>
      <c r="Z484" s="219">
        <f>_xlfn.XLOOKUP(W484,マスタ!A:A,マスタ!E:E,0)*M484</f>
        <v>0</v>
      </c>
      <c r="AA484" s="219">
        <f>_xlfn.XLOOKUP(W484,マスタ!A:A,マスタ!F:F,0)*M484</f>
        <v>0</v>
      </c>
      <c r="AB484" s="219">
        <f>_xlfn.XLOOKUP(W484,マスタ!A:A,マスタ!G:G,0)*M484</f>
        <v>0</v>
      </c>
      <c r="AC484" s="220">
        <f>_xlfn.XLOOKUP(W484,マスタ!A:A,マスタ!H:H,0)*M484</f>
        <v>0</v>
      </c>
      <c r="AD484" s="227">
        <f t="shared" si="32"/>
        <v>0</v>
      </c>
    </row>
    <row r="485" spans="1:32" ht="15" customHeight="1">
      <c r="A485" s="20"/>
      <c r="B485" s="162"/>
      <c r="C485" s="163" t="s">
        <v>496</v>
      </c>
      <c r="D485" s="164"/>
      <c r="E485" s="164"/>
      <c r="F485" s="164"/>
      <c r="G485" s="234"/>
      <c r="H485" s="173" t="s">
        <v>604</v>
      </c>
      <c r="I485" s="430" t="s">
        <v>74</v>
      </c>
      <c r="J485" s="513"/>
      <c r="K485" s="431" t="s">
        <v>58</v>
      </c>
      <c r="L485" s="431" t="s">
        <v>58</v>
      </c>
      <c r="M485" s="432">
        <v>1</v>
      </c>
      <c r="N485" s="179"/>
      <c r="O485" s="180"/>
      <c r="P485" s="179"/>
      <c r="Q485" s="180"/>
      <c r="R485" s="179"/>
      <c r="S485" s="180"/>
      <c r="T485" s="179"/>
      <c r="U485" s="180"/>
      <c r="W485" s="208" t="s">
        <v>59</v>
      </c>
      <c r="X485" s="217">
        <f>_xlfn.XLOOKUP(W485,マスタ!A:A,マスタ!C:C,0)*M485</f>
        <v>2.98</v>
      </c>
      <c r="Y485" s="218">
        <f>IF(N485="",0,_xlfn.XLOOKUP(W485,マスタ!A:A,マスタ!D:D,0)*M485)</f>
        <v>0</v>
      </c>
      <c r="Z485" s="219">
        <f>_xlfn.XLOOKUP(W485,マスタ!A:A,マスタ!E:E,0)*M485</f>
        <v>3.5</v>
      </c>
      <c r="AA485" s="219">
        <f>_xlfn.XLOOKUP(W485,マスタ!A:A,マスタ!F:F,0)*M485</f>
        <v>3.96</v>
      </c>
      <c r="AB485" s="219">
        <f>_xlfn.XLOOKUP(W485,マスタ!A:A,マスタ!G:G,0)*M485</f>
        <v>1.1599999999999999</v>
      </c>
      <c r="AC485" s="220">
        <f>_xlfn.XLOOKUP(W485,マスタ!A:A,マスタ!H:H,0)*M485</f>
        <v>1.1599999999999999</v>
      </c>
      <c r="AD485" s="227">
        <f t="shared" si="32"/>
        <v>12.760000000000002</v>
      </c>
    </row>
    <row r="486" spans="1:32" ht="15" customHeight="1">
      <c r="A486" s="20"/>
      <c r="B486" s="188"/>
      <c r="C486" s="168" t="s">
        <v>605</v>
      </c>
      <c r="D486" s="169"/>
      <c r="E486" s="169"/>
      <c r="F486" s="169"/>
      <c r="G486" s="235"/>
      <c r="H486" s="175" t="s">
        <v>606</v>
      </c>
      <c r="I486" s="436" t="s">
        <v>74</v>
      </c>
      <c r="J486" s="515"/>
      <c r="K486" s="437" t="s">
        <v>58</v>
      </c>
      <c r="L486" s="437" t="s">
        <v>58</v>
      </c>
      <c r="M486" s="438">
        <v>1</v>
      </c>
      <c r="N486" s="183"/>
      <c r="O486" s="184"/>
      <c r="P486" s="183"/>
      <c r="Q486" s="184"/>
      <c r="R486" s="183"/>
      <c r="S486" s="184"/>
      <c r="T486" s="183"/>
      <c r="U486" s="184"/>
      <c r="W486" s="208" t="s">
        <v>158</v>
      </c>
      <c r="X486" s="217">
        <f>_xlfn.XLOOKUP(W486,マスタ!A:A,マスタ!C:C,0)*M486</f>
        <v>1.98</v>
      </c>
      <c r="Y486" s="218">
        <f>IF(N486="",0,_xlfn.XLOOKUP(W486,マスタ!A:A,マスタ!D:D,0)*M486)</f>
        <v>0</v>
      </c>
      <c r="Z486" s="219">
        <f>_xlfn.XLOOKUP(W486,マスタ!A:A,マスタ!E:E,0)*M486</f>
        <v>2.33</v>
      </c>
      <c r="AA486" s="219">
        <f>_xlfn.XLOOKUP(W486,マスタ!A:A,マスタ!F:F,0)*M486</f>
        <v>2.64</v>
      </c>
      <c r="AB486" s="219">
        <f>_xlfn.XLOOKUP(W486,マスタ!A:A,マスタ!G:G,0)*M486</f>
        <v>0.77</v>
      </c>
      <c r="AC486" s="220">
        <f>_xlfn.XLOOKUP(W486,マスタ!A:A,マスタ!H:H,0)*M486</f>
        <v>0.77</v>
      </c>
      <c r="AD486" s="227">
        <f t="shared" si="32"/>
        <v>8.49</v>
      </c>
    </row>
    <row r="487" spans="1:32" ht="15" customHeight="1">
      <c r="A487" s="20"/>
      <c r="B487" s="170" t="s">
        <v>607</v>
      </c>
      <c r="C487" s="155"/>
      <c r="D487" s="155"/>
      <c r="E487" s="155"/>
      <c r="F487" s="155"/>
      <c r="G487" s="155"/>
      <c r="H487" s="155"/>
      <c r="I487" s="486"/>
      <c r="J487" s="486"/>
      <c r="K487" s="486"/>
      <c r="L487" s="486"/>
      <c r="M487" s="486"/>
      <c r="N487" s="55"/>
      <c r="O487" s="55"/>
      <c r="P487" s="55"/>
      <c r="Q487" s="55"/>
      <c r="R487" s="55"/>
      <c r="S487" s="55"/>
      <c r="T487" s="55"/>
      <c r="U487" s="279"/>
      <c r="W487" s="208"/>
      <c r="X487" s="217">
        <f>_xlfn.XLOOKUP(W487,マスタ!A:A,マスタ!C:C,0)*M487</f>
        <v>0</v>
      </c>
      <c r="Y487" s="218">
        <f>IF(N487="",0,_xlfn.XLOOKUP(W487,マスタ!A:A,マスタ!D:D,0)*M487)</f>
        <v>0</v>
      </c>
      <c r="Z487" s="219">
        <f>_xlfn.XLOOKUP(W487,マスタ!A:A,マスタ!E:E,0)*M487</f>
        <v>0</v>
      </c>
      <c r="AA487" s="219">
        <f>_xlfn.XLOOKUP(W487,マスタ!A:A,マスタ!F:F,0)*M487</f>
        <v>0</v>
      </c>
      <c r="AB487" s="219">
        <f>_xlfn.XLOOKUP(W487,マスタ!A:A,マスタ!G:G,0)*M487</f>
        <v>0</v>
      </c>
      <c r="AC487" s="220">
        <f>_xlfn.XLOOKUP(W487,マスタ!A:A,マスタ!H:H,0)*M487</f>
        <v>0</v>
      </c>
      <c r="AD487" s="227">
        <f t="shared" ref="AD487:AD489" si="39">SUM(X487:AC487)</f>
        <v>0</v>
      </c>
    </row>
    <row r="488" spans="1:32" ht="15" customHeight="1">
      <c r="A488" s="20"/>
      <c r="B488" s="162"/>
      <c r="C488" s="163" t="s">
        <v>608</v>
      </c>
      <c r="D488" s="164"/>
      <c r="E488" s="164"/>
      <c r="F488" s="164"/>
      <c r="G488" s="234"/>
      <c r="H488" s="173" t="s">
        <v>611</v>
      </c>
      <c r="I488" s="430" t="s">
        <v>74</v>
      </c>
      <c r="J488" s="513"/>
      <c r="K488" s="431" t="s">
        <v>58</v>
      </c>
      <c r="L488" s="431" t="s">
        <v>58</v>
      </c>
      <c r="M488" s="432">
        <v>1</v>
      </c>
      <c r="N488" s="179"/>
      <c r="O488" s="180"/>
      <c r="P488" s="179"/>
      <c r="Q488" s="180"/>
      <c r="R488" s="179"/>
      <c r="S488" s="180"/>
      <c r="T488" s="179"/>
      <c r="U488" s="180"/>
      <c r="W488" s="208" t="s">
        <v>59</v>
      </c>
      <c r="X488" s="217">
        <f>_xlfn.XLOOKUP(W488,マスタ!A:A,マスタ!C:C,0)*M488</f>
        <v>2.98</v>
      </c>
      <c r="Y488" s="218">
        <f>IF(N488="",0,_xlfn.XLOOKUP(W488,マスタ!A:A,マスタ!D:D,0)*M488)</f>
        <v>0</v>
      </c>
      <c r="Z488" s="219">
        <f>_xlfn.XLOOKUP(W488,マスタ!A:A,マスタ!E:E,0)*M488</f>
        <v>3.5</v>
      </c>
      <c r="AA488" s="219">
        <f>_xlfn.XLOOKUP(W488,マスタ!A:A,マスタ!F:F,0)*M488</f>
        <v>3.96</v>
      </c>
      <c r="AB488" s="219">
        <f>_xlfn.XLOOKUP(W488,マスタ!A:A,マスタ!G:G,0)*M488</f>
        <v>1.1599999999999999</v>
      </c>
      <c r="AC488" s="220">
        <f>_xlfn.XLOOKUP(W488,マスタ!A:A,マスタ!H:H,0)*M488</f>
        <v>1.1599999999999999</v>
      </c>
      <c r="AD488" s="227">
        <f t="shared" si="39"/>
        <v>12.760000000000002</v>
      </c>
    </row>
    <row r="489" spans="1:32" ht="15" customHeight="1">
      <c r="A489" s="20"/>
      <c r="B489" s="167"/>
      <c r="C489" s="168"/>
      <c r="D489" s="169"/>
      <c r="E489" s="169"/>
      <c r="F489" s="169"/>
      <c r="G489" s="235"/>
      <c r="H489" s="175"/>
      <c r="I489" s="436" t="s">
        <v>74</v>
      </c>
      <c r="J489" s="515"/>
      <c r="K489" s="437" t="s">
        <v>58</v>
      </c>
      <c r="L489" s="437" t="s">
        <v>58</v>
      </c>
      <c r="M489" s="438">
        <v>1</v>
      </c>
      <c r="N489" s="183"/>
      <c r="O489" s="184"/>
      <c r="P489" s="183"/>
      <c r="Q489" s="184"/>
      <c r="R489" s="183"/>
      <c r="S489" s="184"/>
      <c r="T489" s="183"/>
      <c r="U489" s="184"/>
      <c r="W489" s="208"/>
      <c r="X489" s="217">
        <f>_xlfn.XLOOKUP(W489,マスタ!A:A,マスタ!C:C,0)*M489</f>
        <v>0</v>
      </c>
      <c r="Y489" s="218">
        <f>IF(N489="",0,_xlfn.XLOOKUP(W489,マスタ!A:A,マスタ!D:D,0)*M489)</f>
        <v>0</v>
      </c>
      <c r="Z489" s="219">
        <f>_xlfn.XLOOKUP(W489,マスタ!A:A,マスタ!E:E,0)*M489</f>
        <v>0</v>
      </c>
      <c r="AA489" s="219">
        <f>_xlfn.XLOOKUP(W489,マスタ!A:A,マスタ!F:F,0)*M489</f>
        <v>0</v>
      </c>
      <c r="AB489" s="219">
        <f>_xlfn.XLOOKUP(W489,マスタ!A:A,マスタ!G:G,0)*M489</f>
        <v>0</v>
      </c>
      <c r="AC489" s="220">
        <f>_xlfn.XLOOKUP(W489,マスタ!A:A,マスタ!H:H,0)*M489</f>
        <v>0</v>
      </c>
      <c r="AD489" s="227">
        <f t="shared" si="39"/>
        <v>0</v>
      </c>
    </row>
    <row r="490" spans="1:32" ht="15" customHeight="1">
      <c r="A490" s="16"/>
      <c r="B490" s="148" t="s">
        <v>612</v>
      </c>
      <c r="C490" s="149"/>
      <c r="D490" s="149"/>
      <c r="E490" s="149"/>
      <c r="F490" s="149"/>
      <c r="G490" s="149"/>
      <c r="H490" s="149"/>
      <c r="I490" s="423"/>
      <c r="J490" s="423"/>
      <c r="K490" s="423"/>
      <c r="L490" s="423"/>
      <c r="M490" s="423"/>
      <c r="N490" s="144"/>
      <c r="O490" s="144"/>
      <c r="P490" s="144"/>
      <c r="Q490" s="144"/>
      <c r="R490" s="144"/>
      <c r="S490" s="144"/>
      <c r="T490" s="144"/>
      <c r="U490" s="144"/>
      <c r="W490" s="208"/>
      <c r="X490" s="217">
        <f>_xlfn.XLOOKUP(W490,マスタ!A:A,マスタ!C:C,0)*M490</f>
        <v>0</v>
      </c>
      <c r="Y490" s="218">
        <f>IF(N490="",0,_xlfn.XLOOKUP(W490,マスタ!A:A,マスタ!D:D,0)*M490)</f>
        <v>0</v>
      </c>
      <c r="Z490" s="219">
        <f>_xlfn.XLOOKUP(W490,マスタ!A:A,マスタ!E:E,0)*M490</f>
        <v>0</v>
      </c>
      <c r="AA490" s="219">
        <f>_xlfn.XLOOKUP(W490,マスタ!A:A,マスタ!F:F,0)*M490</f>
        <v>0</v>
      </c>
      <c r="AB490" s="219">
        <f>_xlfn.XLOOKUP(W490,マスタ!A:A,マスタ!G:G,0)*M490</f>
        <v>0</v>
      </c>
      <c r="AC490" s="220">
        <f>_xlfn.XLOOKUP(W490,マスタ!A:A,マスタ!H:H,0)*M490</f>
        <v>0</v>
      </c>
      <c r="AD490" s="227">
        <f t="shared" si="32"/>
        <v>0</v>
      </c>
    </row>
    <row r="491" spans="1:32" ht="15" customHeight="1">
      <c r="A491" s="145"/>
      <c r="B491" s="151"/>
      <c r="W491" s="208"/>
      <c r="X491" s="217">
        <f>_xlfn.XLOOKUP(W491,マスタ!A:A,マスタ!C:C,0)*M491</f>
        <v>0</v>
      </c>
      <c r="Y491" s="218">
        <f>IF(N491="",0,_xlfn.XLOOKUP(W491,マスタ!A:A,マスタ!D:D,0)*M491)</f>
        <v>0</v>
      </c>
      <c r="Z491" s="219">
        <f>_xlfn.XLOOKUP(W491,マスタ!A:A,マスタ!E:E,0)*M491</f>
        <v>0</v>
      </c>
      <c r="AA491" s="219">
        <f>_xlfn.XLOOKUP(W491,マスタ!A:A,マスタ!F:F,0)*M491</f>
        <v>0</v>
      </c>
      <c r="AB491" s="219">
        <f>_xlfn.XLOOKUP(W491,マスタ!A:A,マスタ!G:G,0)*M491</f>
        <v>0</v>
      </c>
      <c r="AC491" s="220">
        <f>_xlfn.XLOOKUP(W491,マスタ!A:A,マスタ!H:H,0)*M491</f>
        <v>0</v>
      </c>
      <c r="AD491" s="227">
        <f t="shared" si="32"/>
        <v>0</v>
      </c>
    </row>
    <row r="492" spans="1:32" ht="15" customHeight="1">
      <c r="A492" s="145"/>
      <c r="B492" s="151"/>
      <c r="W492" s="208"/>
      <c r="X492" s="217">
        <f>_xlfn.XLOOKUP(W492,マスタ!A:A,マスタ!C:C,0)*M492</f>
        <v>0</v>
      </c>
      <c r="Y492" s="218">
        <f>IF(N492="",0,_xlfn.XLOOKUP(W492,マスタ!A:A,マスタ!D:D,0)*M492)</f>
        <v>0</v>
      </c>
      <c r="Z492" s="219">
        <f>_xlfn.XLOOKUP(W492,マスタ!A:A,マスタ!E:E,0)*M492</f>
        <v>0</v>
      </c>
      <c r="AA492" s="219">
        <f>_xlfn.XLOOKUP(W492,マスタ!A:A,マスタ!F:F,0)*M492</f>
        <v>0</v>
      </c>
      <c r="AB492" s="219">
        <f>_xlfn.XLOOKUP(W492,マスタ!A:A,マスタ!G:G,0)*M492</f>
        <v>0</v>
      </c>
      <c r="AC492" s="220">
        <f>_xlfn.XLOOKUP(W492,マスタ!A:A,マスタ!H:H,0)*M492</f>
        <v>0</v>
      </c>
      <c r="AD492" s="227">
        <f t="shared" si="32"/>
        <v>0</v>
      </c>
    </row>
    <row r="493" spans="1:32" ht="15" customHeight="1">
      <c r="A493" s="16"/>
      <c r="B493" s="148" t="s">
        <v>613</v>
      </c>
      <c r="C493" s="149"/>
      <c r="D493" s="149"/>
      <c r="E493" s="149"/>
      <c r="F493" s="149"/>
      <c r="G493" s="149"/>
      <c r="H493" s="149"/>
      <c r="I493" s="423"/>
      <c r="J493" s="423"/>
      <c r="K493" s="423"/>
      <c r="L493" s="423"/>
      <c r="M493" s="423"/>
      <c r="N493" s="144"/>
      <c r="O493" s="144"/>
      <c r="P493" s="144"/>
      <c r="Q493" s="144"/>
      <c r="R493" s="144"/>
      <c r="S493" s="144"/>
      <c r="T493" s="144"/>
      <c r="U493" s="144"/>
      <c r="W493" s="208"/>
      <c r="X493" s="217">
        <f>_xlfn.XLOOKUP(W493,マスタ!A:A,マスタ!C:C,0)*M493</f>
        <v>0</v>
      </c>
      <c r="Y493" s="218">
        <f>IF(N493="",0,_xlfn.XLOOKUP(W493,マスタ!A:A,マスタ!D:D,0)*M493)</f>
        <v>0</v>
      </c>
      <c r="Z493" s="219">
        <f>_xlfn.XLOOKUP(W493,マスタ!A:A,マスタ!E:E,0)*M493</f>
        <v>0</v>
      </c>
      <c r="AA493" s="219">
        <f>_xlfn.XLOOKUP(W493,マスタ!A:A,マスタ!F:F,0)*M493</f>
        <v>0</v>
      </c>
      <c r="AB493" s="219">
        <f>_xlfn.XLOOKUP(W493,マスタ!A:A,マスタ!G:G,0)*M493</f>
        <v>0</v>
      </c>
      <c r="AC493" s="220">
        <f>_xlfn.XLOOKUP(W493,マスタ!A:A,マスタ!H:H,0)*M493</f>
        <v>0</v>
      </c>
      <c r="AD493" s="227">
        <f t="shared" si="32"/>
        <v>0</v>
      </c>
    </row>
    <row r="494" spans="1:32" ht="15" customHeight="1">
      <c r="A494" s="145"/>
      <c r="B494" s="151"/>
      <c r="W494" s="208"/>
      <c r="X494" s="217">
        <f>_xlfn.XLOOKUP(W494,マスタ!A:A,マスタ!C:C,0)*M494</f>
        <v>0</v>
      </c>
      <c r="Y494" s="218">
        <f>IF(N494="",0,_xlfn.XLOOKUP(W494,マスタ!A:A,マスタ!D:D,0)*M494)</f>
        <v>0</v>
      </c>
      <c r="Z494" s="219">
        <f>_xlfn.XLOOKUP(W494,マスタ!A:A,マスタ!E:E,0)*M494</f>
        <v>0</v>
      </c>
      <c r="AA494" s="219">
        <f>_xlfn.XLOOKUP(W494,マスタ!A:A,マスタ!F:F,0)*M494</f>
        <v>0</v>
      </c>
      <c r="AB494" s="219">
        <f>_xlfn.XLOOKUP(W494,マスタ!A:A,マスタ!G:G,0)*M494</f>
        <v>0</v>
      </c>
      <c r="AC494" s="220">
        <f>_xlfn.XLOOKUP(W494,マスタ!A:A,マスタ!H:H,0)*M494</f>
        <v>0</v>
      </c>
      <c r="AD494" s="227">
        <f t="shared" si="32"/>
        <v>0</v>
      </c>
    </row>
    <row r="495" spans="1:32" ht="15" customHeight="1">
      <c r="A495" s="145"/>
      <c r="B495" s="151"/>
      <c r="W495" s="208"/>
      <c r="X495" s="217">
        <f>_xlfn.XLOOKUP(W495,マスタ!A:A,マスタ!C:C,0)*M495</f>
        <v>0</v>
      </c>
      <c r="Y495" s="218">
        <f>IF(N495="",0,_xlfn.XLOOKUP(W495,マスタ!A:A,マスタ!D:D,0)*M495)</f>
        <v>0</v>
      </c>
      <c r="Z495" s="219">
        <f>_xlfn.XLOOKUP(W495,マスタ!A:A,マスタ!E:E,0)*M495</f>
        <v>0</v>
      </c>
      <c r="AA495" s="219">
        <f>_xlfn.XLOOKUP(W495,マスタ!A:A,マスタ!F:F,0)*M495</f>
        <v>0</v>
      </c>
      <c r="AB495" s="219">
        <f>_xlfn.XLOOKUP(W495,マスタ!A:A,マスタ!G:G,0)*M495</f>
        <v>0</v>
      </c>
      <c r="AC495" s="220">
        <f>_xlfn.XLOOKUP(W495,マスタ!A:A,マスタ!H:H,0)*M495</f>
        <v>0</v>
      </c>
      <c r="AD495" s="227">
        <f t="shared" si="32"/>
        <v>0</v>
      </c>
    </row>
    <row r="496" spans="1:32" ht="15" customHeight="1">
      <c r="A496" s="16"/>
      <c r="B496" s="148" t="s">
        <v>614</v>
      </c>
      <c r="C496" s="149"/>
      <c r="D496" s="149"/>
      <c r="E496" s="149"/>
      <c r="F496" s="149"/>
      <c r="G496" s="149"/>
      <c r="H496" s="149"/>
      <c r="I496" s="423"/>
      <c r="J496" s="423"/>
      <c r="K496" s="423"/>
      <c r="L496" s="423"/>
      <c r="M496" s="423"/>
      <c r="N496" s="144"/>
      <c r="O496" s="144"/>
      <c r="P496" s="144"/>
      <c r="Q496" s="144"/>
      <c r="R496" s="144"/>
      <c r="S496" s="144"/>
      <c r="T496" s="144"/>
      <c r="U496" s="144"/>
      <c r="W496" s="208"/>
      <c r="X496" s="217">
        <f>_xlfn.XLOOKUP(W496,マスタ!A:A,マスタ!C:C,0)*M496</f>
        <v>0</v>
      </c>
      <c r="Y496" s="218">
        <f>IF(N496="",0,_xlfn.XLOOKUP(W496,マスタ!A:A,マスタ!D:D,0)*M496)</f>
        <v>0</v>
      </c>
      <c r="Z496" s="219">
        <f>_xlfn.XLOOKUP(W496,マスタ!A:A,マスタ!E:E,0)*M496</f>
        <v>0</v>
      </c>
      <c r="AA496" s="219">
        <f>_xlfn.XLOOKUP(W496,マスタ!A:A,マスタ!F:F,0)*M496</f>
        <v>0</v>
      </c>
      <c r="AB496" s="219">
        <f>_xlfn.XLOOKUP(W496,マスタ!A:A,マスタ!G:G,0)*M496</f>
        <v>0</v>
      </c>
      <c r="AC496" s="220">
        <f>_xlfn.XLOOKUP(W496,マスタ!A:A,マスタ!H:H,0)*M496</f>
        <v>0</v>
      </c>
      <c r="AD496" s="227">
        <f t="shared" si="32"/>
        <v>0</v>
      </c>
    </row>
    <row r="497" spans="1:30" ht="15" customHeight="1">
      <c r="A497" s="145"/>
      <c r="B497" s="151"/>
      <c r="C497" s="146" t="s">
        <v>615</v>
      </c>
      <c r="W497" s="208"/>
      <c r="X497" s="217">
        <f>_xlfn.XLOOKUP(W497,マスタ!A:A,マスタ!C:C,0)*M497</f>
        <v>0</v>
      </c>
      <c r="Y497" s="218">
        <f>IF(N497="",0,_xlfn.XLOOKUP(W497,マスタ!A:A,マスタ!D:D,0)*M497)</f>
        <v>0</v>
      </c>
      <c r="Z497" s="219">
        <f>_xlfn.XLOOKUP(W497,マスタ!A:A,マスタ!E:E,0)*M497</f>
        <v>0</v>
      </c>
      <c r="AA497" s="219">
        <f>_xlfn.XLOOKUP(W497,マスタ!A:A,マスタ!F:F,0)*M497</f>
        <v>0</v>
      </c>
      <c r="AB497" s="219">
        <f>_xlfn.XLOOKUP(W497,マスタ!A:A,マスタ!G:G,0)*M497</f>
        <v>0</v>
      </c>
      <c r="AC497" s="220">
        <f>_xlfn.XLOOKUP(W497,マスタ!A:A,マスタ!H:H,0)*M497</f>
        <v>0</v>
      </c>
      <c r="AD497" s="227">
        <f t="shared" si="32"/>
        <v>0</v>
      </c>
    </row>
    <row r="498" spans="1:30" ht="15" customHeight="1">
      <c r="A498" s="145"/>
      <c r="B498" s="151"/>
      <c r="C498" s="146" t="s">
        <v>616</v>
      </c>
      <c r="W498" s="208"/>
      <c r="X498" s="217">
        <f>_xlfn.XLOOKUP(W498,マスタ!A:A,マスタ!C:C,0)*M498</f>
        <v>0</v>
      </c>
      <c r="Y498" s="218">
        <f>IF(N498="",0,_xlfn.XLOOKUP(W498,マスタ!A:A,マスタ!D:D,0)*M498)</f>
        <v>0</v>
      </c>
      <c r="Z498" s="219">
        <f>_xlfn.XLOOKUP(W498,マスタ!A:A,マスタ!E:E,0)*M498</f>
        <v>0</v>
      </c>
      <c r="AA498" s="219">
        <f>_xlfn.XLOOKUP(W498,マスタ!A:A,マスタ!F:F,0)*M498</f>
        <v>0</v>
      </c>
      <c r="AB498" s="219">
        <f>_xlfn.XLOOKUP(W498,マスタ!A:A,マスタ!G:G,0)*M498</f>
        <v>0</v>
      </c>
      <c r="AC498" s="220">
        <f>_xlfn.XLOOKUP(W498,マスタ!A:A,マスタ!H:H,0)*M498</f>
        <v>0</v>
      </c>
      <c r="AD498" s="227">
        <f t="shared" si="32"/>
        <v>0</v>
      </c>
    </row>
    <row r="499" spans="1:30" ht="15" customHeight="1">
      <c r="A499" s="145"/>
      <c r="B499" s="151"/>
      <c r="C499" s="146" t="s">
        <v>617</v>
      </c>
      <c r="W499" s="208"/>
      <c r="X499" s="217">
        <f>_xlfn.XLOOKUP(W499,マスタ!A:A,マスタ!C:C,0)*M499</f>
        <v>0</v>
      </c>
      <c r="Y499" s="218">
        <f>IF(N499="",0,_xlfn.XLOOKUP(W499,マスタ!A:A,マスタ!D:D,0)*M499)</f>
        <v>0</v>
      </c>
      <c r="Z499" s="219">
        <f>_xlfn.XLOOKUP(W499,マスタ!A:A,マスタ!E:E,0)*M499</f>
        <v>0</v>
      </c>
      <c r="AA499" s="219">
        <f>_xlfn.XLOOKUP(W499,マスタ!A:A,マスタ!F:F,0)*M499</f>
        <v>0</v>
      </c>
      <c r="AB499" s="219">
        <f>_xlfn.XLOOKUP(W499,マスタ!A:A,マスタ!G:G,0)*M499</f>
        <v>0</v>
      </c>
      <c r="AC499" s="220">
        <f>_xlfn.XLOOKUP(W499,マスタ!A:A,マスタ!H:H,0)*M499</f>
        <v>0</v>
      </c>
      <c r="AD499" s="227">
        <f t="shared" si="32"/>
        <v>0</v>
      </c>
    </row>
    <row r="500" spans="1:30" ht="15" customHeight="1">
      <c r="A500" s="145"/>
      <c r="B500" s="151"/>
      <c r="W500" s="208"/>
      <c r="X500" s="217">
        <f>_xlfn.XLOOKUP(W500,マスタ!A:A,マスタ!C:C,0)*M500</f>
        <v>0</v>
      </c>
      <c r="Y500" s="218">
        <f>IF(N500="",0,_xlfn.XLOOKUP(W500,マスタ!A:A,マスタ!D:D,0)*M500)</f>
        <v>0</v>
      </c>
      <c r="Z500" s="219">
        <f>_xlfn.XLOOKUP(W500,マスタ!A:A,マスタ!E:E,0)*M500</f>
        <v>0</v>
      </c>
      <c r="AA500" s="219">
        <f>_xlfn.XLOOKUP(W500,マスタ!A:A,マスタ!F:F,0)*M500</f>
        <v>0</v>
      </c>
      <c r="AB500" s="219">
        <f>_xlfn.XLOOKUP(W500,マスタ!A:A,マスタ!G:G,0)*M500</f>
        <v>0</v>
      </c>
      <c r="AC500" s="220">
        <f>_xlfn.XLOOKUP(W500,マスタ!A:A,マスタ!H:H,0)*M500</f>
        <v>0</v>
      </c>
      <c r="AD500" s="227">
        <f t="shared" si="32"/>
        <v>0</v>
      </c>
    </row>
    <row r="503" spans="1:30" ht="15" customHeight="1">
      <c r="A503" s="145"/>
      <c r="W503" s="208"/>
      <c r="X503" s="217"/>
      <c r="Y503" s="218"/>
      <c r="Z503" s="219"/>
      <c r="AA503" s="219"/>
      <c r="AB503" s="219"/>
      <c r="AC503" s="220"/>
      <c r="AD503" s="227"/>
    </row>
    <row r="504" spans="1:30" ht="15" customHeight="1">
      <c r="A504" s="145"/>
      <c r="W504" s="208"/>
      <c r="X504" s="217"/>
      <c r="Y504" s="218"/>
      <c r="Z504" s="219"/>
      <c r="AA504" s="219"/>
      <c r="AB504" s="219"/>
      <c r="AC504" s="220"/>
      <c r="AD504" s="227"/>
    </row>
    <row r="505" spans="1:30" ht="15" customHeight="1">
      <c r="A505" s="145"/>
      <c r="B505" s="154"/>
      <c r="C505" s="153"/>
      <c r="D505" s="153"/>
      <c r="W505" s="208"/>
      <c r="X505" s="217"/>
      <c r="Y505" s="218"/>
      <c r="Z505" s="219"/>
      <c r="AA505" s="219"/>
      <c r="AB505" s="219"/>
      <c r="AC505" s="220"/>
      <c r="AD505" s="227"/>
    </row>
    <row r="506" spans="1:30" ht="15" customHeight="1">
      <c r="A506" s="145"/>
      <c r="B506" s="154"/>
      <c r="C506" s="153"/>
      <c r="D506" s="153"/>
      <c r="W506" s="208"/>
      <c r="X506" s="217"/>
      <c r="Y506" s="218"/>
      <c r="Z506" s="219"/>
      <c r="AA506" s="219"/>
      <c r="AB506" s="219"/>
      <c r="AC506" s="220"/>
      <c r="AD506" s="227"/>
    </row>
    <row r="507" spans="1:30" ht="15" customHeight="1">
      <c r="A507" s="145"/>
      <c r="B507" s="154"/>
      <c r="C507" s="153"/>
      <c r="D507" s="153"/>
      <c r="W507" s="208"/>
      <c r="X507" s="217"/>
      <c r="Y507" s="218"/>
      <c r="Z507" s="219"/>
      <c r="AA507" s="219"/>
      <c r="AB507" s="219"/>
      <c r="AC507" s="220"/>
      <c r="AD507" s="227"/>
    </row>
    <row r="508" spans="1:30" ht="15" customHeight="1">
      <c r="A508" s="145"/>
      <c r="W508" s="208"/>
      <c r="X508" s="217"/>
      <c r="Y508" s="218"/>
      <c r="Z508" s="219"/>
      <c r="AA508" s="219"/>
      <c r="AB508" s="219"/>
      <c r="AC508" s="220"/>
      <c r="AD508" s="227"/>
    </row>
    <row r="509" spans="1:30" ht="15" customHeight="1">
      <c r="A509" s="145"/>
      <c r="C509" s="153"/>
      <c r="D509" s="153"/>
      <c r="W509" s="208"/>
      <c r="X509" s="217"/>
      <c r="Y509" s="218"/>
      <c r="Z509" s="219"/>
      <c r="AA509" s="219"/>
      <c r="AB509" s="219"/>
      <c r="AC509" s="220"/>
      <c r="AD509" s="227"/>
    </row>
    <row r="510" spans="1:30" ht="15" customHeight="1">
      <c r="A510" s="145"/>
      <c r="B510" s="150" t="s">
        <v>618</v>
      </c>
      <c r="G510" s="146" t="str">
        <f t="shared" ref="G510" si="40">CLEAN(H510)</f>
        <v/>
      </c>
      <c r="H510" s="146" t="s">
        <v>619</v>
      </c>
      <c r="W510" s="208"/>
      <c r="X510" s="217">
        <f>_xlfn.XLOOKUP(W510,マスタ!A:A,マスタ!C:C,0)*M510</f>
        <v>0</v>
      </c>
      <c r="Y510" s="218">
        <f>IF(N510="",0,_xlfn.XLOOKUP(W510,マスタ!A:A,マスタ!D:D,0)*M510)</f>
        <v>0</v>
      </c>
      <c r="Z510" s="219">
        <f>_xlfn.XLOOKUP(W510,マスタ!A:A,マスタ!E:E,0)*M510</f>
        <v>0</v>
      </c>
      <c r="AA510" s="219">
        <f>_xlfn.XLOOKUP(W510,マスタ!A:A,マスタ!F:F,0)*M510</f>
        <v>0</v>
      </c>
      <c r="AB510" s="219">
        <f>_xlfn.XLOOKUP(W510,マスタ!A:A,マスタ!G:G,0)*M510</f>
        <v>0</v>
      </c>
      <c r="AC510" s="220">
        <f>_xlfn.XLOOKUP(W510,マスタ!A:A,マスタ!H:H,0)*M510</f>
        <v>0</v>
      </c>
      <c r="AD510" s="227">
        <f t="shared" si="32"/>
        <v>0</v>
      </c>
    </row>
    <row r="511" spans="1:30" ht="15" customHeight="1">
      <c r="A511" s="145"/>
      <c r="B511" s="154" t="s">
        <v>620</v>
      </c>
      <c r="C511" s="153" t="s">
        <v>621</v>
      </c>
      <c r="D511" s="153"/>
      <c r="W511" s="208"/>
      <c r="X511" s="217">
        <f>_xlfn.XLOOKUP(W511,マスタ!A:A,マスタ!C:C,0)*M511</f>
        <v>0</v>
      </c>
      <c r="Y511" s="218">
        <f>IF(N511="",0,_xlfn.XLOOKUP(W511,マスタ!A:A,マスタ!D:D,0)*M511)</f>
        <v>0</v>
      </c>
      <c r="Z511" s="219">
        <f>_xlfn.XLOOKUP(W511,マスタ!A:A,マスタ!E:E,0)*M511</f>
        <v>0</v>
      </c>
      <c r="AA511" s="219">
        <f>_xlfn.XLOOKUP(W511,マスタ!A:A,マスタ!F:F,0)*M511</f>
        <v>0</v>
      </c>
      <c r="AB511" s="219">
        <f>_xlfn.XLOOKUP(W511,マスタ!A:A,マスタ!G:G,0)*M511</f>
        <v>0</v>
      </c>
      <c r="AC511" s="220">
        <f>_xlfn.XLOOKUP(W511,マスタ!A:A,マスタ!H:H,0)*M511</f>
        <v>0</v>
      </c>
      <c r="AD511" s="227">
        <f t="shared" si="32"/>
        <v>0</v>
      </c>
    </row>
    <row r="512" spans="1:30" ht="15" customHeight="1">
      <c r="A512" s="145"/>
      <c r="B512" s="154" t="s">
        <v>622</v>
      </c>
      <c r="C512" s="153" t="s">
        <v>623</v>
      </c>
      <c r="D512" s="153"/>
      <c r="W512" s="208"/>
      <c r="X512" s="217">
        <f>_xlfn.XLOOKUP(W512,マスタ!A:A,マスタ!C:C,0)*M512</f>
        <v>0</v>
      </c>
      <c r="Y512" s="218">
        <f>IF(N512="",0,_xlfn.XLOOKUP(W512,マスタ!A:A,マスタ!D:D,0)*M512)</f>
        <v>0</v>
      </c>
      <c r="Z512" s="219">
        <f>_xlfn.XLOOKUP(W512,マスタ!A:A,マスタ!E:E,0)*M512</f>
        <v>0</v>
      </c>
      <c r="AA512" s="219">
        <f>_xlfn.XLOOKUP(W512,マスタ!A:A,マスタ!F:F,0)*M512</f>
        <v>0</v>
      </c>
      <c r="AB512" s="219">
        <f>_xlfn.XLOOKUP(W512,マスタ!A:A,マスタ!G:G,0)*M512</f>
        <v>0</v>
      </c>
      <c r="AC512" s="220">
        <f>_xlfn.XLOOKUP(W512,マスタ!A:A,マスタ!H:H,0)*M512</f>
        <v>0</v>
      </c>
      <c r="AD512" s="227">
        <f t="shared" si="32"/>
        <v>0</v>
      </c>
    </row>
    <row r="513" spans="1:30" ht="15" customHeight="1">
      <c r="A513" s="145"/>
      <c r="B513" s="154" t="s">
        <v>624</v>
      </c>
      <c r="C513" s="153" t="s">
        <v>625</v>
      </c>
      <c r="D513" s="153"/>
      <c r="W513" s="208"/>
      <c r="X513" s="217">
        <f>_xlfn.XLOOKUP(W513,マスタ!A:A,マスタ!C:C,0)*M513</f>
        <v>0</v>
      </c>
      <c r="Y513" s="218">
        <f>IF(N513="",0,_xlfn.XLOOKUP(W513,マスタ!A:A,マスタ!D:D,0)*M513)</f>
        <v>0</v>
      </c>
      <c r="Z513" s="219">
        <f>_xlfn.XLOOKUP(W513,マスタ!A:A,マスタ!E:E,0)*M513</f>
        <v>0</v>
      </c>
      <c r="AA513" s="219">
        <f>_xlfn.XLOOKUP(W513,マスタ!A:A,マスタ!F:F,0)*M513</f>
        <v>0</v>
      </c>
      <c r="AB513" s="219">
        <f>_xlfn.XLOOKUP(W513,マスタ!A:A,マスタ!G:G,0)*M513</f>
        <v>0</v>
      </c>
      <c r="AC513" s="220">
        <f>_xlfn.XLOOKUP(W513,マスタ!A:A,マスタ!H:H,0)*M513</f>
        <v>0</v>
      </c>
      <c r="AD513" s="227">
        <f t="shared" si="32"/>
        <v>0</v>
      </c>
    </row>
    <row r="514" spans="1:30" ht="15" customHeight="1">
      <c r="A514" s="145"/>
      <c r="B514" s="154" t="s">
        <v>626</v>
      </c>
      <c r="C514" s="153" t="s">
        <v>627</v>
      </c>
      <c r="D514" s="153"/>
      <c r="W514" s="208"/>
      <c r="X514" s="217">
        <f>_xlfn.XLOOKUP(W514,マスタ!A:A,マスタ!C:C,0)*M514</f>
        <v>0</v>
      </c>
      <c r="Y514" s="218">
        <f>IF(N514="",0,_xlfn.XLOOKUP(W514,マスタ!A:A,マスタ!D:D,0)*M514)</f>
        <v>0</v>
      </c>
      <c r="Z514" s="219">
        <f>_xlfn.XLOOKUP(W514,マスタ!A:A,マスタ!E:E,0)*M514</f>
        <v>0</v>
      </c>
      <c r="AA514" s="219">
        <f>_xlfn.XLOOKUP(W514,マスタ!A:A,マスタ!F:F,0)*M514</f>
        <v>0</v>
      </c>
      <c r="AB514" s="219">
        <f>_xlfn.XLOOKUP(W514,マスタ!A:A,マスタ!G:G,0)*M514</f>
        <v>0</v>
      </c>
      <c r="AC514" s="220">
        <f>_xlfn.XLOOKUP(W514,マスタ!A:A,マスタ!H:H,0)*M514</f>
        <v>0</v>
      </c>
      <c r="AD514" s="227">
        <f t="shared" si="32"/>
        <v>0</v>
      </c>
    </row>
    <row r="515" spans="1:30" ht="15" customHeight="1">
      <c r="A515" s="145"/>
      <c r="B515" s="154" t="s">
        <v>628</v>
      </c>
      <c r="C515" s="153" t="s">
        <v>629</v>
      </c>
      <c r="D515" s="153"/>
      <c r="W515" s="208"/>
      <c r="X515" s="217">
        <f>_xlfn.XLOOKUP(W515,マスタ!A:A,マスタ!C:C,0)*M515</f>
        <v>0</v>
      </c>
      <c r="Y515" s="218">
        <f>IF(N515="",0,_xlfn.XLOOKUP(W515,マスタ!A:A,マスタ!D:D,0)*M515)</f>
        <v>0</v>
      </c>
      <c r="Z515" s="219">
        <f>_xlfn.XLOOKUP(W515,マスタ!A:A,マスタ!E:E,0)*M515</f>
        <v>0</v>
      </c>
      <c r="AA515" s="219">
        <f>_xlfn.XLOOKUP(W515,マスタ!A:A,マスタ!F:F,0)*M515</f>
        <v>0</v>
      </c>
      <c r="AB515" s="219">
        <f>_xlfn.XLOOKUP(W515,マスタ!A:A,マスタ!G:G,0)*M515</f>
        <v>0</v>
      </c>
      <c r="AC515" s="220">
        <f>_xlfn.XLOOKUP(W515,マスタ!A:A,マスタ!H:H,0)*M515</f>
        <v>0</v>
      </c>
      <c r="AD515" s="227">
        <f t="shared" ref="AD515:AD529" si="41">SUM(X515:AC515)</f>
        <v>0</v>
      </c>
    </row>
    <row r="516" spans="1:30" ht="15" customHeight="1">
      <c r="A516" s="145"/>
      <c r="B516" s="154" t="s">
        <v>630</v>
      </c>
      <c r="C516" s="153" t="s">
        <v>631</v>
      </c>
      <c r="D516" s="153"/>
      <c r="W516" s="208"/>
      <c r="X516" s="217">
        <f>_xlfn.XLOOKUP(W516,マスタ!A:A,マスタ!C:C,0)*M516</f>
        <v>0</v>
      </c>
      <c r="Y516" s="218">
        <f>IF(N516="",0,_xlfn.XLOOKUP(W516,マスタ!A:A,マスタ!D:D,0)*M516)</f>
        <v>0</v>
      </c>
      <c r="Z516" s="219">
        <f>_xlfn.XLOOKUP(W516,マスタ!A:A,マスタ!E:E,0)*M516</f>
        <v>0</v>
      </c>
      <c r="AA516" s="219">
        <f>_xlfn.XLOOKUP(W516,マスタ!A:A,マスタ!F:F,0)*M516</f>
        <v>0</v>
      </c>
      <c r="AB516" s="219">
        <f>_xlfn.XLOOKUP(W516,マスタ!A:A,マスタ!G:G,0)*M516</f>
        <v>0</v>
      </c>
      <c r="AC516" s="220">
        <f>_xlfn.XLOOKUP(W516,マスタ!A:A,マスタ!H:H,0)*M516</f>
        <v>0</v>
      </c>
      <c r="AD516" s="227">
        <f t="shared" si="41"/>
        <v>0</v>
      </c>
    </row>
    <row r="517" spans="1:30" ht="15" customHeight="1">
      <c r="A517" s="145"/>
      <c r="B517" s="154"/>
      <c r="C517" s="153" t="s">
        <v>632</v>
      </c>
      <c r="D517" s="153"/>
      <c r="W517" s="208"/>
      <c r="X517" s="217">
        <f>_xlfn.XLOOKUP(W517,マスタ!A:A,マスタ!C:C,0)*M517</f>
        <v>0</v>
      </c>
      <c r="Y517" s="218">
        <f>IF(N517="",0,_xlfn.XLOOKUP(W517,マスタ!A:A,マスタ!D:D,0)*M517)</f>
        <v>0</v>
      </c>
      <c r="Z517" s="219">
        <f>_xlfn.XLOOKUP(W517,マスタ!A:A,マスタ!E:E,0)*M517</f>
        <v>0</v>
      </c>
      <c r="AA517" s="219">
        <f>_xlfn.XLOOKUP(W517,マスタ!A:A,マスタ!F:F,0)*M517</f>
        <v>0</v>
      </c>
      <c r="AB517" s="219">
        <f>_xlfn.XLOOKUP(W517,マスタ!A:A,マスタ!G:G,0)*M517</f>
        <v>0</v>
      </c>
      <c r="AC517" s="220">
        <f>_xlfn.XLOOKUP(W517,マスタ!A:A,マスタ!H:H,0)*M517</f>
        <v>0</v>
      </c>
      <c r="AD517" s="227">
        <f t="shared" si="41"/>
        <v>0</v>
      </c>
    </row>
    <row r="518" spans="1:30" ht="15" customHeight="1">
      <c r="A518" s="145"/>
      <c r="B518" s="154"/>
      <c r="C518" s="153" t="s">
        <v>633</v>
      </c>
      <c r="D518" s="153"/>
      <c r="W518" s="208"/>
      <c r="X518" s="217">
        <f>_xlfn.XLOOKUP(W518,マスタ!A:A,マスタ!C:C,0)*M518</f>
        <v>0</v>
      </c>
      <c r="Y518" s="218">
        <f>IF(N518="",0,_xlfn.XLOOKUP(W518,マスタ!A:A,マスタ!D:D,0)*M518)</f>
        <v>0</v>
      </c>
      <c r="Z518" s="219">
        <f>_xlfn.XLOOKUP(W518,マスタ!A:A,マスタ!E:E,0)*M518</f>
        <v>0</v>
      </c>
      <c r="AA518" s="219">
        <f>_xlfn.XLOOKUP(W518,マスタ!A:A,マスタ!F:F,0)*M518</f>
        <v>0</v>
      </c>
      <c r="AB518" s="219">
        <f>_xlfn.XLOOKUP(W518,マスタ!A:A,マスタ!G:G,0)*M518</f>
        <v>0</v>
      </c>
      <c r="AC518" s="220">
        <f>_xlfn.XLOOKUP(W518,マスタ!A:A,マスタ!H:H,0)*M518</f>
        <v>0</v>
      </c>
      <c r="AD518" s="227">
        <f t="shared" si="41"/>
        <v>0</v>
      </c>
    </row>
    <row r="519" spans="1:30" ht="15" customHeight="1">
      <c r="A519" s="145"/>
      <c r="B519" s="154"/>
      <c r="C519" s="153" t="s">
        <v>634</v>
      </c>
      <c r="D519" s="153"/>
      <c r="W519" s="208"/>
      <c r="X519" s="217">
        <f>_xlfn.XLOOKUP(W519,マスタ!A:A,マスタ!C:C,0)*M519</f>
        <v>0</v>
      </c>
      <c r="Y519" s="218">
        <f>IF(N519="",0,_xlfn.XLOOKUP(W519,マスタ!A:A,マスタ!D:D,0)*M519)</f>
        <v>0</v>
      </c>
      <c r="Z519" s="219">
        <f>_xlfn.XLOOKUP(W519,マスタ!A:A,マスタ!E:E,0)*M519</f>
        <v>0</v>
      </c>
      <c r="AA519" s="219">
        <f>_xlfn.XLOOKUP(W519,マスタ!A:A,マスタ!F:F,0)*M519</f>
        <v>0</v>
      </c>
      <c r="AB519" s="219">
        <f>_xlfn.XLOOKUP(W519,マスタ!A:A,マスタ!G:G,0)*M519</f>
        <v>0</v>
      </c>
      <c r="AC519" s="220">
        <f>_xlfn.XLOOKUP(W519,マスタ!A:A,マスタ!H:H,0)*M519</f>
        <v>0</v>
      </c>
      <c r="AD519" s="227">
        <f t="shared" si="41"/>
        <v>0</v>
      </c>
    </row>
    <row r="520" spans="1:30" ht="15" customHeight="1">
      <c r="A520" s="145"/>
      <c r="B520" s="154"/>
      <c r="C520" s="153" t="s">
        <v>635</v>
      </c>
      <c r="D520" s="153"/>
      <c r="W520" s="208"/>
      <c r="X520" s="217">
        <f>_xlfn.XLOOKUP(W520,マスタ!A:A,マスタ!C:C,0)*M520</f>
        <v>0</v>
      </c>
      <c r="Y520" s="218">
        <f>IF(N520="",0,_xlfn.XLOOKUP(W520,マスタ!A:A,マスタ!D:D,0)*M520)</f>
        <v>0</v>
      </c>
      <c r="Z520" s="219">
        <f>_xlfn.XLOOKUP(W520,マスタ!A:A,マスタ!E:E,0)*M520</f>
        <v>0</v>
      </c>
      <c r="AA520" s="219">
        <f>_xlfn.XLOOKUP(W520,マスタ!A:A,マスタ!F:F,0)*M520</f>
        <v>0</v>
      </c>
      <c r="AB520" s="219">
        <f>_xlfn.XLOOKUP(W520,マスタ!A:A,マスタ!G:G,0)*M520</f>
        <v>0</v>
      </c>
      <c r="AC520" s="220">
        <f>_xlfn.XLOOKUP(W520,マスタ!A:A,マスタ!H:H,0)*M520</f>
        <v>0</v>
      </c>
      <c r="AD520" s="227">
        <f t="shared" si="41"/>
        <v>0</v>
      </c>
    </row>
    <row r="521" spans="1:30" ht="15" customHeight="1">
      <c r="A521" s="145"/>
      <c r="B521" s="154"/>
      <c r="C521" s="153" t="s">
        <v>636</v>
      </c>
      <c r="D521" s="153"/>
      <c r="W521" s="208"/>
      <c r="X521" s="217">
        <f>_xlfn.XLOOKUP(W521,マスタ!A:A,マスタ!C:C,0)*M521</f>
        <v>0</v>
      </c>
      <c r="Y521" s="218">
        <f>IF(N521="",0,_xlfn.XLOOKUP(W521,マスタ!A:A,マスタ!D:D,0)*M521)</f>
        <v>0</v>
      </c>
      <c r="Z521" s="219">
        <f>_xlfn.XLOOKUP(W521,マスタ!A:A,マスタ!E:E,0)*M521</f>
        <v>0</v>
      </c>
      <c r="AA521" s="219">
        <f>_xlfn.XLOOKUP(W521,マスタ!A:A,マスタ!F:F,0)*M521</f>
        <v>0</v>
      </c>
      <c r="AB521" s="219">
        <f>_xlfn.XLOOKUP(W521,マスタ!A:A,マスタ!G:G,0)*M521</f>
        <v>0</v>
      </c>
      <c r="AC521" s="220">
        <f>_xlfn.XLOOKUP(W521,マスタ!A:A,マスタ!H:H,0)*M521</f>
        <v>0</v>
      </c>
      <c r="AD521" s="227">
        <f t="shared" si="41"/>
        <v>0</v>
      </c>
    </row>
    <row r="522" spans="1:30" ht="15" customHeight="1">
      <c r="A522" s="145"/>
      <c r="B522" s="154"/>
      <c r="C522" s="153" t="s">
        <v>637</v>
      </c>
      <c r="D522" s="153"/>
      <c r="W522" s="208"/>
      <c r="X522" s="217">
        <f>_xlfn.XLOOKUP(W522,マスタ!A:A,マスタ!C:C,0)*M522</f>
        <v>0</v>
      </c>
      <c r="Y522" s="218">
        <f>IF(N522="",0,_xlfn.XLOOKUP(W522,マスタ!A:A,マスタ!D:D,0)*M522)</f>
        <v>0</v>
      </c>
      <c r="Z522" s="219">
        <f>_xlfn.XLOOKUP(W522,マスタ!A:A,マスタ!E:E,0)*M522</f>
        <v>0</v>
      </c>
      <c r="AA522" s="219">
        <f>_xlfn.XLOOKUP(W522,マスタ!A:A,マスタ!F:F,0)*M522</f>
        <v>0</v>
      </c>
      <c r="AB522" s="219">
        <f>_xlfn.XLOOKUP(W522,マスタ!A:A,マスタ!G:G,0)*M522</f>
        <v>0</v>
      </c>
      <c r="AC522" s="220">
        <f>_xlfn.XLOOKUP(W522,マスタ!A:A,マスタ!H:H,0)*M522</f>
        <v>0</v>
      </c>
      <c r="AD522" s="227">
        <f t="shared" si="41"/>
        <v>0</v>
      </c>
    </row>
    <row r="523" spans="1:30" ht="15" customHeight="1">
      <c r="A523" s="145"/>
      <c r="B523" s="154"/>
      <c r="C523" s="153" t="s">
        <v>638</v>
      </c>
      <c r="D523" s="153"/>
      <c r="W523" s="208"/>
      <c r="X523" s="217">
        <f>_xlfn.XLOOKUP(W523,マスタ!A:A,マスタ!C:C,0)*M523</f>
        <v>0</v>
      </c>
      <c r="Y523" s="218">
        <f>IF(N523="",0,_xlfn.XLOOKUP(W523,マスタ!A:A,マスタ!D:D,0)*M523)</f>
        <v>0</v>
      </c>
      <c r="Z523" s="219">
        <f>_xlfn.XLOOKUP(W523,マスタ!A:A,マスタ!E:E,0)*M523</f>
        <v>0</v>
      </c>
      <c r="AA523" s="219">
        <f>_xlfn.XLOOKUP(W523,マスタ!A:A,マスタ!F:F,0)*M523</f>
        <v>0</v>
      </c>
      <c r="AB523" s="219">
        <f>_xlfn.XLOOKUP(W523,マスタ!A:A,マスタ!G:G,0)*M523</f>
        <v>0</v>
      </c>
      <c r="AC523" s="220">
        <f>_xlfn.XLOOKUP(W523,マスタ!A:A,マスタ!H:H,0)*M523</f>
        <v>0</v>
      </c>
      <c r="AD523" s="227">
        <f t="shared" si="41"/>
        <v>0</v>
      </c>
    </row>
    <row r="524" spans="1:30" ht="15" customHeight="1">
      <c r="A524" s="145"/>
      <c r="B524" s="154"/>
      <c r="C524" s="153" t="s">
        <v>639</v>
      </c>
      <c r="D524" s="153"/>
      <c r="W524" s="208"/>
      <c r="X524" s="217">
        <f>_xlfn.XLOOKUP(W524,マスタ!A:A,マスタ!C:C,0)*M524</f>
        <v>0</v>
      </c>
      <c r="Y524" s="218">
        <f>IF(N524="",0,_xlfn.XLOOKUP(W524,マスタ!A:A,マスタ!D:D,0)*M524)</f>
        <v>0</v>
      </c>
      <c r="Z524" s="219">
        <f>_xlfn.XLOOKUP(W524,マスタ!A:A,マスタ!E:E,0)*M524</f>
        <v>0</v>
      </c>
      <c r="AA524" s="219">
        <f>_xlfn.XLOOKUP(W524,マスタ!A:A,マスタ!F:F,0)*M524</f>
        <v>0</v>
      </c>
      <c r="AB524" s="219">
        <f>_xlfn.XLOOKUP(W524,マスタ!A:A,マスタ!G:G,0)*M524</f>
        <v>0</v>
      </c>
      <c r="AC524" s="220">
        <f>_xlfn.XLOOKUP(W524,マスタ!A:A,マスタ!H:H,0)*M524</f>
        <v>0</v>
      </c>
      <c r="AD524" s="227">
        <f t="shared" si="41"/>
        <v>0</v>
      </c>
    </row>
    <row r="525" spans="1:30" ht="15" customHeight="1">
      <c r="A525" s="145"/>
      <c r="B525" s="154"/>
      <c r="C525" s="153" t="s">
        <v>640</v>
      </c>
      <c r="D525" s="153"/>
      <c r="W525" s="208"/>
      <c r="X525" s="217">
        <f>_xlfn.XLOOKUP(W525,マスタ!A:A,マスタ!C:C,0)*M525</f>
        <v>0</v>
      </c>
      <c r="Y525" s="218">
        <f>IF(N525="",0,_xlfn.XLOOKUP(W525,マスタ!A:A,マスタ!D:D,0)*M525)</f>
        <v>0</v>
      </c>
      <c r="Z525" s="219">
        <f>_xlfn.XLOOKUP(W525,マスタ!A:A,マスタ!E:E,0)*M525</f>
        <v>0</v>
      </c>
      <c r="AA525" s="219">
        <f>_xlfn.XLOOKUP(W525,マスタ!A:A,マスタ!F:F,0)*M525</f>
        <v>0</v>
      </c>
      <c r="AB525" s="219">
        <f>_xlfn.XLOOKUP(W525,マスタ!A:A,マスタ!G:G,0)*M525</f>
        <v>0</v>
      </c>
      <c r="AC525" s="220">
        <f>_xlfn.XLOOKUP(W525,マスタ!A:A,マスタ!H:H,0)*M525</f>
        <v>0</v>
      </c>
      <c r="AD525" s="227">
        <f t="shared" si="41"/>
        <v>0</v>
      </c>
    </row>
    <row r="526" spans="1:30" ht="15" customHeight="1">
      <c r="A526" s="145"/>
      <c r="B526" s="154"/>
      <c r="C526" s="153" t="s">
        <v>641</v>
      </c>
      <c r="D526" s="153"/>
      <c r="W526" s="208"/>
      <c r="X526" s="217">
        <f>_xlfn.XLOOKUP(W526,マスタ!A:A,マスタ!C:C,0)*M526</f>
        <v>0</v>
      </c>
      <c r="Y526" s="218">
        <f>IF(N526="",0,_xlfn.XLOOKUP(W526,マスタ!A:A,マスタ!D:D,0)*M526)</f>
        <v>0</v>
      </c>
      <c r="Z526" s="219">
        <f>_xlfn.XLOOKUP(W526,マスタ!A:A,マスタ!E:E,0)*M526</f>
        <v>0</v>
      </c>
      <c r="AA526" s="219">
        <f>_xlfn.XLOOKUP(W526,マスタ!A:A,マスタ!F:F,0)*M526</f>
        <v>0</v>
      </c>
      <c r="AB526" s="219">
        <f>_xlfn.XLOOKUP(W526,マスタ!A:A,マスタ!G:G,0)*M526</f>
        <v>0</v>
      </c>
      <c r="AC526" s="220">
        <f>_xlfn.XLOOKUP(W526,マスタ!A:A,マスタ!H:H,0)*M526</f>
        <v>0</v>
      </c>
      <c r="AD526" s="227">
        <f t="shared" si="41"/>
        <v>0</v>
      </c>
    </row>
    <row r="527" spans="1:30" ht="15" customHeight="1">
      <c r="A527" s="20"/>
      <c r="W527" s="208"/>
      <c r="X527" s="217">
        <f>_xlfn.XLOOKUP(W527,マスタ!A:A,マスタ!C:C,0)*M527</f>
        <v>0</v>
      </c>
      <c r="Y527" s="218">
        <f>IF(N527="",0,_xlfn.XLOOKUP(W527,マスタ!A:A,マスタ!D:D,0)*M527)</f>
        <v>0</v>
      </c>
      <c r="Z527" s="219">
        <f>_xlfn.XLOOKUP(W527,マスタ!A:A,マスタ!E:E,0)*M527</f>
        <v>0</v>
      </c>
      <c r="AA527" s="219">
        <f>_xlfn.XLOOKUP(W527,マスタ!A:A,マスタ!F:F,0)*M527</f>
        <v>0</v>
      </c>
      <c r="AB527" s="219">
        <f>_xlfn.XLOOKUP(W527,マスタ!A:A,マスタ!G:G,0)*M527</f>
        <v>0</v>
      </c>
      <c r="AC527" s="220">
        <f>_xlfn.XLOOKUP(W527,マスタ!A:A,マスタ!H:H,0)*M527</f>
        <v>0</v>
      </c>
      <c r="AD527" s="227">
        <f t="shared" si="41"/>
        <v>0</v>
      </c>
    </row>
    <row r="528" spans="1:30" ht="15" customHeight="1">
      <c r="A528" s="20"/>
      <c r="W528" s="208"/>
      <c r="X528" s="217">
        <f>_xlfn.XLOOKUP(W528,マスタ!A:A,マスタ!C:C,0)*M528</f>
        <v>0</v>
      </c>
      <c r="Y528" s="218">
        <f>IF(N528="",0,_xlfn.XLOOKUP(W528,マスタ!A:A,マスタ!D:D,0)*M528)</f>
        <v>0</v>
      </c>
      <c r="Z528" s="219">
        <f>_xlfn.XLOOKUP(W528,マスタ!A:A,マスタ!E:E,0)*M528</f>
        <v>0</v>
      </c>
      <c r="AA528" s="219">
        <f>_xlfn.XLOOKUP(W528,マスタ!A:A,マスタ!F:F,0)*M528</f>
        <v>0</v>
      </c>
      <c r="AB528" s="219">
        <f>_xlfn.XLOOKUP(W528,マスタ!A:A,マスタ!G:G,0)*M528</f>
        <v>0</v>
      </c>
      <c r="AC528" s="220">
        <f>_xlfn.XLOOKUP(W528,マスタ!A:A,マスタ!H:H,0)*M528</f>
        <v>0</v>
      </c>
      <c r="AD528" s="227">
        <f t="shared" si="41"/>
        <v>0</v>
      </c>
    </row>
    <row r="529" spans="23:30" ht="15" customHeight="1">
      <c r="W529" s="209"/>
      <c r="X529" s="221">
        <f>_xlfn.XLOOKUP(W529,マスタ!A:A,マスタ!C:C,0)*M529</f>
        <v>0</v>
      </c>
      <c r="Y529" s="222">
        <f>IF(N529="",0,_xlfn.XLOOKUP(W529,マスタ!A:A,マスタ!D:D,0)*M529)</f>
        <v>0</v>
      </c>
      <c r="Z529" s="223">
        <f>_xlfn.XLOOKUP(W529,マスタ!A:A,マスタ!E:E,0)*M529</f>
        <v>0</v>
      </c>
      <c r="AA529" s="223">
        <f>_xlfn.XLOOKUP(W529,マスタ!A:A,マスタ!F:F,0)*M529</f>
        <v>0</v>
      </c>
      <c r="AB529" s="223">
        <f>_xlfn.XLOOKUP(W529,マスタ!A:A,マスタ!G:G,0)*M529</f>
        <v>0</v>
      </c>
      <c r="AC529" s="224">
        <f>_xlfn.XLOOKUP(W529,マスタ!A:A,マスタ!H:H,0)*M529</f>
        <v>0</v>
      </c>
      <c r="AD529" s="228">
        <f t="shared" si="41"/>
        <v>0</v>
      </c>
    </row>
  </sheetData>
  <autoFilter ref="A7:AF343" xr:uid="{B745B34A-C06D-4EB4-A6A7-A50B7F37DF0C}">
    <filterColumn colId="1" showButton="0"/>
    <filterColumn colId="2" showButton="0"/>
    <filterColumn colId="3" showButton="0"/>
    <filterColumn colId="4" showButton="0"/>
    <filterColumn colId="5" showButton="0"/>
    <filterColumn colId="8">
      <filters blank="1">
        <filter val="〇"/>
        <filter val="ー"/>
      </filters>
    </filterColumn>
  </autoFilter>
  <mergeCells count="19">
    <mergeCell ref="P6:P7"/>
    <mergeCell ref="O6:O7"/>
    <mergeCell ref="U6:U7"/>
    <mergeCell ref="T6:T7"/>
    <mergeCell ref="S6:S7"/>
    <mergeCell ref="R6:R7"/>
    <mergeCell ref="Q6:Q7"/>
    <mergeCell ref="N6:N7"/>
    <mergeCell ref="H6:H7"/>
    <mergeCell ref="B6:G7"/>
    <mergeCell ref="M6:M7"/>
    <mergeCell ref="J6:L6"/>
    <mergeCell ref="C244:G246"/>
    <mergeCell ref="H244:H246"/>
    <mergeCell ref="H247:H250"/>
    <mergeCell ref="D302:G303"/>
    <mergeCell ref="H262:H267"/>
    <mergeCell ref="D273:G278"/>
    <mergeCell ref="D285:G286"/>
  </mergeCells>
  <phoneticPr fontId="7"/>
  <dataValidations disablePrompts="1" count="2">
    <dataValidation type="list" allowBlank="1" showInputMessage="1" showErrorMessage="1" sqref="W503:W561 W7:W500" xr:uid="{8626CB95-6A81-4002-A35A-3EE78F11AAEF}">
      <formula1>"より簡単,簡単,普通,複雑,より複雑,【重複】より簡単,【重複】簡単,【重複】普通,【重複】複雑,【重複】より複雑"</formula1>
    </dataValidation>
    <dataValidation type="whole" allowBlank="1" showInputMessage="1" showErrorMessage="1" sqref="M503:M529 M8:M500" xr:uid="{67769A49-EDA7-4960-9120-118FAA05F392}">
      <formula1>0</formula1>
      <formula2>3</formula2>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6AD54-701F-4D03-9E48-A8E14F4F980C}">
  <dimension ref="B2:N59"/>
  <sheetViews>
    <sheetView zoomScale="90" zoomScaleNormal="90" workbookViewId="0">
      <selection activeCell="J78" sqref="J78"/>
    </sheetView>
    <sheetView topLeftCell="A21" workbookViewId="1">
      <selection activeCell="H65" sqref="H65"/>
    </sheetView>
  </sheetViews>
  <sheetFormatPr defaultColWidth="8.88671875" defaultRowHeight="14.25"/>
  <cols>
    <col min="1" max="1" width="8.88671875" style="329"/>
    <col min="2" max="2" width="3.6640625" style="329" customWidth="1"/>
    <col min="3" max="3" width="20.77734375" style="330" customWidth="1"/>
    <col min="4" max="5" width="8.77734375" style="330" customWidth="1"/>
    <col min="6" max="6" width="10.77734375" style="330" customWidth="1"/>
    <col min="7" max="7" width="8.77734375" style="330" customWidth="1"/>
    <col min="8" max="8" width="30.77734375" style="331" customWidth="1"/>
    <col min="9" max="9" width="35.77734375" style="330" customWidth="1"/>
    <col min="10" max="10" width="20.77734375" style="330" customWidth="1"/>
    <col min="11" max="11" width="40.77734375" style="329" customWidth="1"/>
    <col min="12" max="13" width="8.77734375" style="329" customWidth="1"/>
    <col min="14" max="16384" width="8.88671875" style="329"/>
  </cols>
  <sheetData>
    <row r="2" spans="2:14">
      <c r="B2" s="372" t="s">
        <v>642</v>
      </c>
      <c r="C2" s="371"/>
      <c r="D2" s="371" t="s">
        <v>643</v>
      </c>
      <c r="E2" s="371" t="s">
        <v>644</v>
      </c>
      <c r="F2" s="371"/>
      <c r="G2" s="371" t="s">
        <v>645</v>
      </c>
      <c r="H2" s="371" t="s">
        <v>646</v>
      </c>
      <c r="I2" s="371" t="s">
        <v>647</v>
      </c>
      <c r="J2" s="371"/>
      <c r="K2" s="370" t="s">
        <v>648</v>
      </c>
      <c r="L2" s="370" t="s">
        <v>649</v>
      </c>
      <c r="M2" s="369"/>
    </row>
    <row r="3" spans="2:14">
      <c r="B3" s="616" t="s">
        <v>650</v>
      </c>
      <c r="C3" s="619" t="s">
        <v>651</v>
      </c>
      <c r="D3" s="613"/>
      <c r="E3" s="610"/>
      <c r="F3" s="619" t="s">
        <v>652</v>
      </c>
      <c r="G3" s="640"/>
      <c r="H3" s="624" t="s">
        <v>653</v>
      </c>
      <c r="I3" s="343" t="s">
        <v>94</v>
      </c>
      <c r="J3" s="343" t="s">
        <v>654</v>
      </c>
      <c r="K3" s="344" t="s">
        <v>655</v>
      </c>
      <c r="L3" s="343" t="s">
        <v>656</v>
      </c>
      <c r="M3" s="342"/>
    </row>
    <row r="4" spans="2:14">
      <c r="B4" s="617"/>
      <c r="C4" s="620"/>
      <c r="D4" s="614"/>
      <c r="E4" s="611"/>
      <c r="F4" s="620"/>
      <c r="G4" s="641"/>
      <c r="H4" s="625"/>
      <c r="I4" s="348" t="s">
        <v>97</v>
      </c>
      <c r="J4" s="348" t="s">
        <v>657</v>
      </c>
      <c r="K4" s="348" t="s">
        <v>655</v>
      </c>
      <c r="L4" s="348"/>
      <c r="M4" s="347"/>
    </row>
    <row r="5" spans="2:14">
      <c r="B5" s="617"/>
      <c r="C5" s="620"/>
      <c r="D5" s="614"/>
      <c r="E5" s="611"/>
      <c r="F5" s="620"/>
      <c r="G5" s="641"/>
      <c r="H5" s="625"/>
      <c r="I5" s="348" t="s">
        <v>99</v>
      </c>
      <c r="J5" s="348" t="s">
        <v>658</v>
      </c>
      <c r="K5" s="348" t="s">
        <v>655</v>
      </c>
      <c r="L5" s="348"/>
      <c r="M5" s="347"/>
    </row>
    <row r="6" spans="2:14">
      <c r="B6" s="617"/>
      <c r="C6" s="620"/>
      <c r="D6" s="614"/>
      <c r="E6" s="611"/>
      <c r="F6" s="620"/>
      <c r="G6" s="641"/>
      <c r="H6" s="625"/>
      <c r="I6" s="348" t="s">
        <v>100</v>
      </c>
      <c r="J6" s="348" t="s">
        <v>659</v>
      </c>
      <c r="K6" s="348" t="s">
        <v>655</v>
      </c>
      <c r="L6" s="348"/>
      <c r="M6" s="347"/>
    </row>
    <row r="7" spans="2:14">
      <c r="B7" s="617"/>
      <c r="C7" s="620"/>
      <c r="D7" s="614"/>
      <c r="E7" s="611"/>
      <c r="F7" s="620"/>
      <c r="G7" s="641"/>
      <c r="H7" s="625"/>
      <c r="I7" s="348" t="s">
        <v>101</v>
      </c>
      <c r="J7" s="348" t="s">
        <v>660</v>
      </c>
      <c r="K7" s="348" t="s">
        <v>655</v>
      </c>
      <c r="L7" s="348"/>
      <c r="M7" s="347"/>
    </row>
    <row r="8" spans="2:14">
      <c r="B8" s="617"/>
      <c r="C8" s="620"/>
      <c r="D8" s="614"/>
      <c r="E8" s="611"/>
      <c r="F8" s="620"/>
      <c r="G8" s="641"/>
      <c r="H8" s="625"/>
      <c r="I8" s="348" t="s">
        <v>102</v>
      </c>
      <c r="J8" s="348" t="s">
        <v>661</v>
      </c>
      <c r="K8" s="348" t="s">
        <v>655</v>
      </c>
      <c r="L8" s="348"/>
      <c r="M8" s="347"/>
    </row>
    <row r="9" spans="2:14">
      <c r="B9" s="617"/>
      <c r="C9" s="620"/>
      <c r="D9" s="614"/>
      <c r="E9" s="611"/>
      <c r="F9" s="620"/>
      <c r="G9" s="641"/>
      <c r="H9" s="625"/>
      <c r="I9" s="348" t="s">
        <v>662</v>
      </c>
      <c r="J9" s="348" t="s">
        <v>663</v>
      </c>
      <c r="K9" s="348" t="s">
        <v>655</v>
      </c>
      <c r="L9" s="348"/>
      <c r="M9" s="347"/>
    </row>
    <row r="10" spans="2:14">
      <c r="B10" s="617"/>
      <c r="C10" s="620"/>
      <c r="D10" s="614"/>
      <c r="E10" s="611"/>
      <c r="F10" s="620"/>
      <c r="G10" s="641"/>
      <c r="H10" s="625"/>
      <c r="I10" s="348" t="s">
        <v>664</v>
      </c>
      <c r="J10" s="348" t="s">
        <v>665</v>
      </c>
      <c r="K10" s="348" t="s">
        <v>666</v>
      </c>
      <c r="L10" s="348"/>
      <c r="M10" s="347"/>
    </row>
    <row r="11" spans="2:14">
      <c r="B11" s="617"/>
      <c r="C11" s="620"/>
      <c r="D11" s="614"/>
      <c r="E11" s="611"/>
      <c r="F11" s="621"/>
      <c r="G11" s="642"/>
      <c r="H11" s="626"/>
      <c r="I11" s="338" t="s">
        <v>667</v>
      </c>
      <c r="J11" s="338" t="s">
        <v>668</v>
      </c>
      <c r="K11" s="338" t="s">
        <v>669</v>
      </c>
      <c r="L11" s="338"/>
      <c r="M11" s="337"/>
    </row>
    <row r="12" spans="2:14">
      <c r="B12" s="617"/>
      <c r="C12" s="620"/>
      <c r="D12" s="614"/>
      <c r="E12" s="611"/>
      <c r="F12" s="619" t="s">
        <v>670</v>
      </c>
      <c r="G12" s="640"/>
      <c r="H12" s="624" t="s">
        <v>671</v>
      </c>
      <c r="I12" s="712" t="s">
        <v>672</v>
      </c>
      <c r="J12" s="712" t="s">
        <v>673</v>
      </c>
      <c r="K12" s="343" t="s">
        <v>674</v>
      </c>
      <c r="L12" s="343"/>
      <c r="M12" s="342"/>
    </row>
    <row r="13" spans="2:14">
      <c r="B13" s="617"/>
      <c r="C13" s="620"/>
      <c r="D13" s="614"/>
      <c r="E13" s="611"/>
      <c r="F13" s="620"/>
      <c r="G13" s="641"/>
      <c r="H13" s="625"/>
      <c r="I13" s="713"/>
      <c r="J13" s="713"/>
      <c r="K13" s="348" t="s">
        <v>675</v>
      </c>
      <c r="L13" s="348"/>
      <c r="M13" s="347"/>
    </row>
    <row r="14" spans="2:14">
      <c r="B14" s="617"/>
      <c r="C14" s="620"/>
      <c r="D14" s="614"/>
      <c r="E14" s="611"/>
      <c r="F14" s="620"/>
      <c r="G14" s="641"/>
      <c r="H14" s="625" t="s">
        <v>676</v>
      </c>
      <c r="I14" s="348" t="s">
        <v>462</v>
      </c>
      <c r="J14" s="348" t="s">
        <v>677</v>
      </c>
      <c r="K14" s="643" t="s">
        <v>678</v>
      </c>
      <c r="L14" s="349"/>
      <c r="M14" s="368"/>
      <c r="N14" s="330"/>
    </row>
    <row r="15" spans="2:14">
      <c r="B15" s="617"/>
      <c r="C15" s="620"/>
      <c r="D15" s="614"/>
      <c r="E15" s="611"/>
      <c r="F15" s="620"/>
      <c r="G15" s="641"/>
      <c r="H15" s="625"/>
      <c r="I15" s="348" t="s">
        <v>463</v>
      </c>
      <c r="J15" s="348" t="s">
        <v>679</v>
      </c>
      <c r="K15" s="625"/>
      <c r="L15" s="349"/>
      <c r="M15" s="368"/>
      <c r="N15" s="330"/>
    </row>
    <row r="16" spans="2:14">
      <c r="B16" s="617"/>
      <c r="C16" s="620"/>
      <c r="D16" s="614"/>
      <c r="E16" s="611"/>
      <c r="F16" s="620"/>
      <c r="G16" s="641"/>
      <c r="H16" s="625"/>
      <c r="I16" s="348" t="s">
        <v>464</v>
      </c>
      <c r="J16" s="348" t="s">
        <v>680</v>
      </c>
      <c r="K16" s="625"/>
      <c r="L16" s="349"/>
      <c r="M16" s="368"/>
      <c r="N16" s="330"/>
    </row>
    <row r="17" spans="2:14">
      <c r="B17" s="617"/>
      <c r="C17" s="620"/>
      <c r="D17" s="614"/>
      <c r="E17" s="611"/>
      <c r="F17" s="620"/>
      <c r="G17" s="641"/>
      <c r="H17" s="625"/>
      <c r="I17" s="348" t="s">
        <v>465</v>
      </c>
      <c r="J17" s="348" t="s">
        <v>681</v>
      </c>
      <c r="K17" s="625"/>
      <c r="L17" s="349"/>
      <c r="M17" s="368"/>
      <c r="N17" s="330"/>
    </row>
    <row r="18" spans="2:14">
      <c r="B18" s="617"/>
      <c r="C18" s="620"/>
      <c r="D18" s="614"/>
      <c r="E18" s="611"/>
      <c r="F18" s="620"/>
      <c r="G18" s="641"/>
      <c r="H18" s="625"/>
      <c r="I18" s="348" t="s">
        <v>466</v>
      </c>
      <c r="J18" s="348" t="s">
        <v>682</v>
      </c>
      <c r="K18" s="625"/>
      <c r="L18" s="349"/>
      <c r="M18" s="368"/>
      <c r="N18" s="330"/>
    </row>
    <row r="19" spans="2:14">
      <c r="B19" s="618"/>
      <c r="C19" s="621"/>
      <c r="D19" s="615"/>
      <c r="E19" s="612"/>
      <c r="F19" s="621"/>
      <c r="G19" s="642"/>
      <c r="H19" s="626"/>
      <c r="I19" s="338" t="s">
        <v>467</v>
      </c>
      <c r="J19" s="338" t="s">
        <v>683</v>
      </c>
      <c r="K19" s="626"/>
      <c r="L19" s="339"/>
      <c r="M19" s="367"/>
      <c r="N19" s="330"/>
    </row>
    <row r="20" spans="2:14">
      <c r="B20" s="714" t="s">
        <v>684</v>
      </c>
      <c r="C20" s="624" t="s">
        <v>685</v>
      </c>
      <c r="D20" s="624"/>
      <c r="E20" s="627"/>
      <c r="F20" s="354" t="s">
        <v>652</v>
      </c>
      <c r="G20" s="366" t="s">
        <v>686</v>
      </c>
      <c r="H20" s="352" t="s">
        <v>686</v>
      </c>
      <c r="I20" s="351"/>
      <c r="J20" s="351"/>
      <c r="K20" s="351" t="s">
        <v>686</v>
      </c>
      <c r="L20" s="351"/>
      <c r="M20" s="350"/>
    </row>
    <row r="21" spans="2:14" ht="28.5">
      <c r="B21" s="715"/>
      <c r="C21" s="625"/>
      <c r="D21" s="625"/>
      <c r="E21" s="628"/>
      <c r="F21" s="619" t="s">
        <v>670</v>
      </c>
      <c r="G21" s="716" t="s">
        <v>687</v>
      </c>
      <c r="H21" s="344"/>
      <c r="I21" s="365" t="s">
        <v>688</v>
      </c>
      <c r="J21" s="343" t="s">
        <v>689</v>
      </c>
      <c r="K21" s="343" t="s">
        <v>690</v>
      </c>
      <c r="L21" s="343"/>
      <c r="M21" s="342"/>
    </row>
    <row r="22" spans="2:14">
      <c r="B22" s="715"/>
      <c r="C22" s="625"/>
      <c r="D22" s="625"/>
      <c r="E22" s="628"/>
      <c r="F22" s="620"/>
      <c r="G22" s="717"/>
      <c r="H22" s="625" t="s">
        <v>691</v>
      </c>
      <c r="I22" s="348" t="s">
        <v>692</v>
      </c>
      <c r="J22" s="348" t="s">
        <v>693</v>
      </c>
      <c r="K22" s="348" t="s">
        <v>690</v>
      </c>
      <c r="L22" s="348"/>
      <c r="M22" s="347"/>
    </row>
    <row r="23" spans="2:14">
      <c r="B23" s="715"/>
      <c r="C23" s="625"/>
      <c r="D23" s="625"/>
      <c r="E23" s="628"/>
      <c r="F23" s="620"/>
      <c r="G23" s="717"/>
      <c r="H23" s="625"/>
      <c r="I23" s="507" t="s">
        <v>694</v>
      </c>
      <c r="J23" s="348"/>
      <c r="K23" s="348"/>
      <c r="L23" s="348"/>
      <c r="M23" s="347"/>
    </row>
    <row r="24" spans="2:14">
      <c r="B24" s="718"/>
      <c r="C24" s="626"/>
      <c r="D24" s="626"/>
      <c r="E24" s="629"/>
      <c r="F24" s="621"/>
      <c r="G24" s="719"/>
      <c r="H24" s="626"/>
      <c r="I24" s="508" t="s">
        <v>695</v>
      </c>
      <c r="J24" s="338" t="s">
        <v>696</v>
      </c>
      <c r="K24" s="338"/>
      <c r="L24" s="338"/>
      <c r="M24" s="337"/>
    </row>
    <row r="25" spans="2:14">
      <c r="B25" s="720" t="s">
        <v>697</v>
      </c>
      <c r="C25" s="622" t="s">
        <v>698</v>
      </c>
      <c r="D25" s="721"/>
      <c r="E25" s="722"/>
      <c r="F25" s="346" t="s">
        <v>652</v>
      </c>
      <c r="G25" s="345"/>
      <c r="H25" s="344"/>
      <c r="I25" s="343"/>
      <c r="J25" s="343"/>
      <c r="K25" s="343"/>
      <c r="L25" s="343"/>
      <c r="M25" s="342"/>
    </row>
    <row r="26" spans="2:14">
      <c r="B26" s="723"/>
      <c r="C26" s="623"/>
      <c r="D26" s="724"/>
      <c r="E26" s="725"/>
      <c r="F26" s="341" t="s">
        <v>670</v>
      </c>
      <c r="G26" s="340"/>
      <c r="H26" s="339"/>
      <c r="I26" s="338"/>
      <c r="J26" s="338"/>
      <c r="K26" s="338"/>
      <c r="L26" s="338"/>
      <c r="M26" s="337"/>
    </row>
    <row r="27" spans="2:14">
      <c r="B27" s="720" t="s">
        <v>699</v>
      </c>
      <c r="C27" s="622" t="s">
        <v>700</v>
      </c>
      <c r="D27" s="721"/>
      <c r="E27" s="722"/>
      <c r="F27" s="364" t="s">
        <v>652</v>
      </c>
      <c r="G27" s="363"/>
      <c r="H27" s="362"/>
      <c r="I27" s="361"/>
      <c r="J27" s="361"/>
      <c r="K27" s="361"/>
      <c r="L27" s="361"/>
      <c r="M27" s="360"/>
    </row>
    <row r="28" spans="2:14">
      <c r="B28" s="723"/>
      <c r="C28" s="623"/>
      <c r="D28" s="724"/>
      <c r="E28" s="725"/>
      <c r="F28" s="341" t="s">
        <v>670</v>
      </c>
      <c r="G28" s="340"/>
      <c r="H28" s="339" t="s">
        <v>701</v>
      </c>
      <c r="I28" s="338" t="s">
        <v>701</v>
      </c>
      <c r="J28" s="338" t="s">
        <v>702</v>
      </c>
      <c r="K28" s="338"/>
      <c r="L28" s="338"/>
      <c r="M28" s="337"/>
    </row>
    <row r="29" spans="2:14">
      <c r="B29" s="720" t="s">
        <v>703</v>
      </c>
      <c r="C29" s="622" t="s">
        <v>704</v>
      </c>
      <c r="D29" s="622"/>
      <c r="E29" s="644"/>
      <c r="F29" s="359" t="s">
        <v>652</v>
      </c>
      <c r="G29" s="358"/>
      <c r="H29" s="357"/>
      <c r="I29" s="356" t="s">
        <v>705</v>
      </c>
      <c r="J29" s="356" t="s">
        <v>665</v>
      </c>
      <c r="K29" s="356" t="s">
        <v>655</v>
      </c>
      <c r="L29" s="356"/>
      <c r="M29" s="355"/>
    </row>
    <row r="30" spans="2:14">
      <c r="B30" s="726"/>
      <c r="C30" s="647"/>
      <c r="D30" s="647"/>
      <c r="E30" s="645"/>
      <c r="F30" s="619" t="s">
        <v>670</v>
      </c>
      <c r="G30" s="631"/>
      <c r="H30" s="624"/>
      <c r="I30" s="343" t="s">
        <v>706</v>
      </c>
      <c r="J30" s="343" t="s">
        <v>707</v>
      </c>
      <c r="K30" s="630" t="s">
        <v>708</v>
      </c>
      <c r="L30" s="343"/>
      <c r="M30" s="342"/>
    </row>
    <row r="31" spans="2:14">
      <c r="B31" s="726"/>
      <c r="C31" s="647"/>
      <c r="D31" s="647"/>
      <c r="E31" s="645"/>
      <c r="F31" s="620"/>
      <c r="G31" s="632"/>
      <c r="H31" s="625"/>
      <c r="I31" s="348" t="s">
        <v>709</v>
      </c>
      <c r="J31" s="348" t="s">
        <v>710</v>
      </c>
      <c r="K31" s="727"/>
      <c r="L31" s="348"/>
      <c r="M31" s="347"/>
    </row>
    <row r="32" spans="2:14">
      <c r="B32" s="726"/>
      <c r="C32" s="647"/>
      <c r="D32" s="647"/>
      <c r="E32" s="645"/>
      <c r="F32" s="620"/>
      <c r="G32" s="632"/>
      <c r="H32" s="625"/>
      <c r="I32" s="348" t="s">
        <v>711</v>
      </c>
      <c r="J32" s="348" t="s">
        <v>712</v>
      </c>
      <c r="K32" s="727"/>
      <c r="L32" s="348"/>
      <c r="M32" s="347"/>
    </row>
    <row r="33" spans="2:13">
      <c r="B33" s="726"/>
      <c r="C33" s="647"/>
      <c r="D33" s="647"/>
      <c r="E33" s="645"/>
      <c r="F33" s="620"/>
      <c r="G33" s="632"/>
      <c r="H33" s="625"/>
      <c r="I33" s="348" t="s">
        <v>713</v>
      </c>
      <c r="J33" s="348" t="s">
        <v>714</v>
      </c>
      <c r="K33" s="727"/>
      <c r="L33" s="348"/>
      <c r="M33" s="347"/>
    </row>
    <row r="34" spans="2:13">
      <c r="B34" s="726"/>
      <c r="C34" s="647"/>
      <c r="D34" s="647"/>
      <c r="E34" s="645"/>
      <c r="F34" s="620"/>
      <c r="G34" s="632"/>
      <c r="H34" s="625"/>
      <c r="I34" s="348" t="s">
        <v>715</v>
      </c>
      <c r="J34" s="348" t="s">
        <v>716</v>
      </c>
      <c r="K34" s="727"/>
      <c r="L34" s="348"/>
      <c r="M34" s="347"/>
    </row>
    <row r="35" spans="2:13">
      <c r="B35" s="726"/>
      <c r="C35" s="647"/>
      <c r="D35" s="647"/>
      <c r="E35" s="645"/>
      <c r="F35" s="620"/>
      <c r="G35" s="632"/>
      <c r="H35" s="625"/>
      <c r="I35" s="348" t="s">
        <v>717</v>
      </c>
      <c r="J35" s="348" t="s">
        <v>718</v>
      </c>
      <c r="K35" s="727"/>
      <c r="L35" s="348"/>
      <c r="M35" s="347"/>
    </row>
    <row r="36" spans="2:13">
      <c r="B36" s="726"/>
      <c r="C36" s="647"/>
      <c r="D36" s="647"/>
      <c r="E36" s="645"/>
      <c r="F36" s="620"/>
      <c r="G36" s="632"/>
      <c r="H36" s="625"/>
      <c r="I36" s="348" t="s">
        <v>719</v>
      </c>
      <c r="J36" s="348" t="s">
        <v>720</v>
      </c>
      <c r="K36" s="727"/>
      <c r="L36" s="348"/>
      <c r="M36" s="347"/>
    </row>
    <row r="37" spans="2:13">
      <c r="B37" s="723"/>
      <c r="C37" s="623"/>
      <c r="D37" s="623"/>
      <c r="E37" s="646"/>
      <c r="F37" s="621"/>
      <c r="G37" s="633"/>
      <c r="H37" s="626"/>
      <c r="I37" s="338" t="s">
        <v>721</v>
      </c>
      <c r="J37" s="338" t="s">
        <v>722</v>
      </c>
      <c r="K37" s="724"/>
      <c r="L37" s="338"/>
      <c r="M37" s="337"/>
    </row>
    <row r="38" spans="2:13">
      <c r="B38" s="720" t="s">
        <v>723</v>
      </c>
      <c r="C38" s="622" t="s">
        <v>724</v>
      </c>
      <c r="D38" s="721"/>
      <c r="E38" s="722"/>
      <c r="F38" s="354" t="s">
        <v>652</v>
      </c>
      <c r="G38" s="353" t="s">
        <v>686</v>
      </c>
      <c r="H38" s="352" t="s">
        <v>686</v>
      </c>
      <c r="I38" s="351"/>
      <c r="J38" s="351"/>
      <c r="K38" s="351"/>
      <c r="L38" s="351"/>
      <c r="M38" s="350"/>
    </row>
    <row r="39" spans="2:13">
      <c r="B39" s="726"/>
      <c r="C39" s="647"/>
      <c r="D39" s="727"/>
      <c r="E39" s="728"/>
      <c r="F39" s="637" t="s">
        <v>670</v>
      </c>
      <c r="G39" s="634" t="s">
        <v>725</v>
      </c>
      <c r="H39" s="622" t="s">
        <v>726</v>
      </c>
      <c r="I39" s="343" t="s">
        <v>727</v>
      </c>
      <c r="J39" s="343" t="s">
        <v>728</v>
      </c>
      <c r="K39" s="343" t="s">
        <v>729</v>
      </c>
      <c r="L39" s="343"/>
      <c r="M39" s="342"/>
    </row>
    <row r="40" spans="2:13">
      <c r="B40" s="726"/>
      <c r="C40" s="647"/>
      <c r="D40" s="727"/>
      <c r="E40" s="728"/>
      <c r="F40" s="638"/>
      <c r="G40" s="635"/>
      <c r="H40" s="647"/>
      <c r="I40" s="349" t="s">
        <v>730</v>
      </c>
      <c r="J40" s="349" t="s">
        <v>731</v>
      </c>
      <c r="K40" s="348" t="s">
        <v>732</v>
      </c>
      <c r="L40" s="348"/>
      <c r="M40" s="347"/>
    </row>
    <row r="41" spans="2:13">
      <c r="B41" s="723"/>
      <c r="C41" s="623"/>
      <c r="D41" s="724"/>
      <c r="E41" s="725"/>
      <c r="F41" s="639"/>
      <c r="G41" s="636"/>
      <c r="H41" s="623"/>
      <c r="I41" s="339" t="s">
        <v>733</v>
      </c>
      <c r="J41" s="339"/>
      <c r="K41" s="338"/>
      <c r="L41" s="338"/>
      <c r="M41" s="337"/>
    </row>
    <row r="42" spans="2:13">
      <c r="B42" s="720" t="s">
        <v>734</v>
      </c>
      <c r="C42" s="622" t="s">
        <v>735</v>
      </c>
      <c r="D42" s="721"/>
      <c r="E42" s="722"/>
      <c r="F42" s="346" t="s">
        <v>652</v>
      </c>
      <c r="G42" s="345" t="s">
        <v>736</v>
      </c>
      <c r="H42" s="344"/>
      <c r="I42" s="343" t="s">
        <v>737</v>
      </c>
      <c r="J42" s="343" t="s">
        <v>738</v>
      </c>
      <c r="K42" s="343" t="s">
        <v>739</v>
      </c>
      <c r="L42" s="343"/>
      <c r="M42" s="342"/>
    </row>
    <row r="43" spans="2:13">
      <c r="B43" s="723"/>
      <c r="C43" s="623"/>
      <c r="D43" s="724"/>
      <c r="E43" s="725"/>
      <c r="F43" s="341" t="s">
        <v>670</v>
      </c>
      <c r="G43" s="340" t="s">
        <v>687</v>
      </c>
      <c r="H43" s="339"/>
      <c r="I43" s="338" t="s">
        <v>740</v>
      </c>
      <c r="J43" s="338" t="s">
        <v>741</v>
      </c>
      <c r="K43" s="338" t="s">
        <v>742</v>
      </c>
      <c r="L43" s="338"/>
      <c r="M43" s="337"/>
    </row>
    <row r="44" spans="2:13">
      <c r="B44" s="714" t="s">
        <v>743</v>
      </c>
      <c r="C44" s="624" t="s">
        <v>744</v>
      </c>
      <c r="D44" s="712"/>
      <c r="E44" s="729"/>
      <c r="F44" s="346"/>
      <c r="G44" s="345"/>
      <c r="H44" s="344"/>
      <c r="I44" s="343"/>
      <c r="J44" s="343"/>
      <c r="K44" s="343"/>
      <c r="L44" s="343"/>
      <c r="M44" s="342"/>
    </row>
    <row r="45" spans="2:13">
      <c r="B45" s="718"/>
      <c r="C45" s="626"/>
      <c r="D45" s="730"/>
      <c r="E45" s="731"/>
      <c r="F45" s="341"/>
      <c r="G45" s="340"/>
      <c r="H45" s="339"/>
      <c r="I45" s="338"/>
      <c r="J45" s="338"/>
      <c r="K45" s="338"/>
      <c r="L45" s="338"/>
      <c r="M45" s="337"/>
    </row>
    <row r="46" spans="2:13">
      <c r="B46" s="333"/>
      <c r="D46" s="329"/>
      <c r="E46" s="329"/>
      <c r="F46" s="332"/>
      <c r="H46" s="330"/>
      <c r="I46" s="329"/>
      <c r="J46" s="329"/>
    </row>
    <row r="47" spans="2:13">
      <c r="B47" s="333" t="s">
        <v>745</v>
      </c>
      <c r="C47" s="330" t="s">
        <v>746</v>
      </c>
      <c r="D47" s="609"/>
      <c r="E47" s="609"/>
      <c r="F47" s="332" t="s">
        <v>652</v>
      </c>
      <c r="H47" s="330"/>
      <c r="I47" s="329"/>
      <c r="J47" s="329"/>
    </row>
    <row r="48" spans="2:13">
      <c r="B48" s="333"/>
      <c r="D48" s="609"/>
      <c r="E48" s="609"/>
      <c r="F48" s="332" t="s">
        <v>670</v>
      </c>
      <c r="H48" s="330"/>
      <c r="I48" s="329"/>
      <c r="J48" s="329"/>
    </row>
    <row r="49" spans="2:13">
      <c r="B49" s="333" t="s">
        <v>747</v>
      </c>
      <c r="C49" s="330" t="s">
        <v>748</v>
      </c>
      <c r="D49" s="329"/>
      <c r="E49" s="329"/>
      <c r="F49" s="332" t="s">
        <v>652</v>
      </c>
      <c r="H49" s="330"/>
      <c r="I49" s="329"/>
      <c r="J49" s="329"/>
    </row>
    <row r="50" spans="2:13">
      <c r="B50" s="333"/>
      <c r="D50" s="329"/>
      <c r="E50" s="329"/>
      <c r="F50" s="332" t="s">
        <v>670</v>
      </c>
      <c r="H50" s="330"/>
      <c r="I50" s="329"/>
      <c r="J50" s="329"/>
    </row>
    <row r="51" spans="2:13">
      <c r="B51" s="333"/>
      <c r="D51" s="329"/>
      <c r="E51" s="329"/>
      <c r="F51" s="332"/>
      <c r="H51" s="330"/>
      <c r="I51" s="329"/>
      <c r="J51" s="329"/>
    </row>
    <row r="52" spans="2:13">
      <c r="B52" s="333"/>
      <c r="D52" s="329"/>
      <c r="E52" s="329"/>
      <c r="F52" s="332"/>
      <c r="H52" s="330"/>
      <c r="I52" s="329"/>
      <c r="J52" s="329"/>
    </row>
    <row r="53" spans="2:13">
      <c r="B53" s="333"/>
      <c r="D53" s="329"/>
      <c r="E53" s="329"/>
      <c r="F53" s="332"/>
      <c r="H53" s="330"/>
      <c r="I53" s="329"/>
      <c r="J53" s="329"/>
    </row>
    <row r="54" spans="2:13">
      <c r="B54" s="333"/>
      <c r="D54" s="329"/>
      <c r="E54" s="329"/>
      <c r="F54" s="332"/>
      <c r="H54" s="330"/>
      <c r="I54" s="329"/>
      <c r="J54" s="329"/>
    </row>
    <row r="55" spans="2:13">
      <c r="B55" s="333"/>
      <c r="D55" s="329"/>
      <c r="E55" s="329"/>
      <c r="F55" s="332"/>
      <c r="H55" s="330"/>
      <c r="I55" s="329"/>
      <c r="J55" s="329"/>
    </row>
    <row r="56" spans="2:13">
      <c r="B56" s="333"/>
      <c r="D56" s="329"/>
      <c r="E56" s="329"/>
      <c r="F56" s="332"/>
      <c r="H56" s="330"/>
      <c r="I56" s="329"/>
      <c r="J56" s="329"/>
    </row>
    <row r="57" spans="2:13">
      <c r="B57" s="334" t="s">
        <v>749</v>
      </c>
      <c r="C57" s="335"/>
      <c r="D57" s="335" t="s">
        <v>643</v>
      </c>
      <c r="E57" s="335" t="s">
        <v>644</v>
      </c>
      <c r="F57" s="335"/>
      <c r="G57" s="335"/>
      <c r="H57" s="336" t="s">
        <v>646</v>
      </c>
      <c r="I57" s="335"/>
      <c r="J57" s="335"/>
      <c r="K57" s="334"/>
      <c r="L57" s="334"/>
      <c r="M57" s="334"/>
    </row>
    <row r="58" spans="2:13">
      <c r="B58" s="333" t="s">
        <v>750</v>
      </c>
      <c r="C58" s="330" t="s">
        <v>751</v>
      </c>
      <c r="D58" s="609"/>
      <c r="E58" s="609"/>
      <c r="F58" s="332" t="s">
        <v>652</v>
      </c>
    </row>
    <row r="59" spans="2:13">
      <c r="D59" s="609"/>
      <c r="E59" s="609"/>
      <c r="F59" s="332" t="s">
        <v>670</v>
      </c>
    </row>
  </sheetData>
  <mergeCells count="56">
    <mergeCell ref="B25:B26"/>
    <mergeCell ref="C25:C26"/>
    <mergeCell ref="H39:H41"/>
    <mergeCell ref="E38:E41"/>
    <mergeCell ref="D38:D41"/>
    <mergeCell ref="C38:C41"/>
    <mergeCell ref="B38:B41"/>
    <mergeCell ref="B27:B28"/>
    <mergeCell ref="C27:C28"/>
    <mergeCell ref="H30:H37"/>
    <mergeCell ref="B44:B45"/>
    <mergeCell ref="C44:C45"/>
    <mergeCell ref="D44:D45"/>
    <mergeCell ref="E44:E45"/>
    <mergeCell ref="F30:F37"/>
    <mergeCell ref="E29:E37"/>
    <mergeCell ref="D29:D37"/>
    <mergeCell ref="C29:C37"/>
    <mergeCell ref="B29:B37"/>
    <mergeCell ref="K30:K37"/>
    <mergeCell ref="G30:G37"/>
    <mergeCell ref="G39:G41"/>
    <mergeCell ref="F39:F41"/>
    <mergeCell ref="G3:G11"/>
    <mergeCell ref="G21:G24"/>
    <mergeCell ref="K14:K19"/>
    <mergeCell ref="F21:F24"/>
    <mergeCell ref="G12:G19"/>
    <mergeCell ref="J12:J13"/>
    <mergeCell ref="I12:I13"/>
    <mergeCell ref="H12:H13"/>
    <mergeCell ref="H14:H19"/>
    <mergeCell ref="F3:F11"/>
    <mergeCell ref="F12:F19"/>
    <mergeCell ref="H3:H11"/>
    <mergeCell ref="B20:B24"/>
    <mergeCell ref="C20:C24"/>
    <mergeCell ref="E20:E24"/>
    <mergeCell ref="D20:D24"/>
    <mergeCell ref="H22:H24"/>
    <mergeCell ref="D58:D59"/>
    <mergeCell ref="E3:E19"/>
    <mergeCell ref="D3:D19"/>
    <mergeCell ref="B3:B19"/>
    <mergeCell ref="C3:C19"/>
    <mergeCell ref="C42:C43"/>
    <mergeCell ref="B42:B43"/>
    <mergeCell ref="E27:E28"/>
    <mergeCell ref="D27:D28"/>
    <mergeCell ref="E25:E26"/>
    <mergeCell ref="E58:E59"/>
    <mergeCell ref="D47:D48"/>
    <mergeCell ref="E47:E48"/>
    <mergeCell ref="E42:E43"/>
    <mergeCell ref="D42:D43"/>
    <mergeCell ref="D25:D26"/>
  </mergeCells>
  <phoneticPr fontId="7"/>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3AC5E-A0B8-4009-926B-3517339BDFD5}">
  <dimension ref="A1:H12"/>
  <sheetViews>
    <sheetView workbookViewId="0">
      <selection activeCell="C2" sqref="C2:H6"/>
    </sheetView>
    <sheetView workbookViewId="1"/>
  </sheetViews>
  <sheetFormatPr defaultColWidth="8.88671875" defaultRowHeight="14.25"/>
  <cols>
    <col min="1" max="1" width="10.77734375" style="203" bestFit="1" customWidth="1"/>
    <col min="2" max="2" width="8.88671875" style="203"/>
    <col min="3" max="8" width="5.77734375" style="205" customWidth="1"/>
    <col min="9" max="16384" width="8.88671875" style="203"/>
  </cols>
  <sheetData>
    <row r="1" spans="1:8">
      <c r="A1" s="203" t="s">
        <v>74</v>
      </c>
      <c r="C1" s="205" t="s">
        <v>752</v>
      </c>
      <c r="D1" s="205" t="s">
        <v>753</v>
      </c>
      <c r="E1" s="205" t="s">
        <v>754</v>
      </c>
      <c r="F1" s="205" t="s">
        <v>755</v>
      </c>
      <c r="G1" s="205" t="s">
        <v>756</v>
      </c>
      <c r="H1" s="205" t="s">
        <v>757</v>
      </c>
    </row>
    <row r="2" spans="1:8">
      <c r="A2" s="203" t="s">
        <v>758</v>
      </c>
      <c r="B2" s="203" t="s">
        <v>759</v>
      </c>
      <c r="C2" s="205">
        <v>0.5</v>
      </c>
      <c r="D2" s="205">
        <v>0.15</v>
      </c>
      <c r="E2" s="205">
        <v>0.57999999999999996</v>
      </c>
      <c r="F2" s="205">
        <v>0.66</v>
      </c>
      <c r="G2" s="205">
        <v>0.19</v>
      </c>
      <c r="H2" s="205">
        <v>0.19</v>
      </c>
    </row>
    <row r="3" spans="1:8">
      <c r="A3" s="203" t="s">
        <v>760</v>
      </c>
      <c r="B3" s="203" t="s">
        <v>761</v>
      </c>
      <c r="C3" s="205">
        <v>0.99</v>
      </c>
      <c r="D3" s="205">
        <v>0.28999999999999998</v>
      </c>
      <c r="E3" s="205">
        <v>1.17</v>
      </c>
      <c r="F3" s="205">
        <v>1.32</v>
      </c>
      <c r="G3" s="205">
        <v>0.39</v>
      </c>
      <c r="H3" s="205">
        <v>0.39</v>
      </c>
    </row>
    <row r="4" spans="1:8">
      <c r="A4" s="203" t="s">
        <v>762</v>
      </c>
      <c r="B4" s="203" t="s">
        <v>763</v>
      </c>
      <c r="C4" s="205">
        <v>1.98</v>
      </c>
      <c r="D4" s="205">
        <v>0.57999999999999996</v>
      </c>
      <c r="E4" s="205">
        <v>2.33</v>
      </c>
      <c r="F4" s="205">
        <v>2.64</v>
      </c>
      <c r="G4" s="205">
        <v>0.77</v>
      </c>
      <c r="H4" s="205">
        <v>0.77</v>
      </c>
    </row>
    <row r="5" spans="1:8">
      <c r="A5" s="203" t="s">
        <v>764</v>
      </c>
      <c r="B5" s="203" t="s">
        <v>765</v>
      </c>
      <c r="C5" s="205">
        <v>2.98</v>
      </c>
      <c r="D5" s="205">
        <v>0.88</v>
      </c>
      <c r="E5" s="205">
        <v>3.5</v>
      </c>
      <c r="F5" s="205">
        <v>3.96</v>
      </c>
      <c r="G5" s="205">
        <v>1.1599999999999999</v>
      </c>
      <c r="H5" s="205">
        <v>1.1599999999999999</v>
      </c>
    </row>
    <row r="6" spans="1:8">
      <c r="A6" s="203" t="s">
        <v>766</v>
      </c>
      <c r="B6" s="203" t="s">
        <v>767</v>
      </c>
      <c r="C6" s="205">
        <v>5.95</v>
      </c>
      <c r="D6" s="205">
        <v>1.75</v>
      </c>
      <c r="E6" s="205">
        <v>7</v>
      </c>
      <c r="F6" s="205">
        <v>7.91</v>
      </c>
      <c r="G6" s="205">
        <v>2.31</v>
      </c>
      <c r="H6" s="205">
        <v>2.31</v>
      </c>
    </row>
    <row r="8" spans="1:8">
      <c r="A8" s="203" t="s">
        <v>768</v>
      </c>
      <c r="B8" s="203" t="s">
        <v>759</v>
      </c>
      <c r="C8" s="205">
        <v>0.5</v>
      </c>
      <c r="D8" s="205">
        <v>0.15</v>
      </c>
      <c r="E8" s="205">
        <v>0.57999999999999996</v>
      </c>
      <c r="F8" s="205">
        <v>0.66</v>
      </c>
      <c r="G8" s="205">
        <v>0.19</v>
      </c>
      <c r="H8" s="205">
        <v>0.19</v>
      </c>
    </row>
    <row r="9" spans="1:8">
      <c r="A9" s="203" t="s">
        <v>769</v>
      </c>
      <c r="B9" s="203" t="s">
        <v>761</v>
      </c>
      <c r="C9" s="205">
        <v>0.99</v>
      </c>
      <c r="D9" s="205">
        <v>0.28999999999999998</v>
      </c>
      <c r="E9" s="205">
        <v>1.17</v>
      </c>
      <c r="F9" s="205">
        <v>1.32</v>
      </c>
      <c r="G9" s="205">
        <v>0.39</v>
      </c>
      <c r="H9" s="205">
        <v>0.39</v>
      </c>
    </row>
    <row r="10" spans="1:8">
      <c r="A10" s="203" t="s">
        <v>770</v>
      </c>
      <c r="B10" s="203" t="s">
        <v>763</v>
      </c>
      <c r="C10" s="205">
        <v>1.98</v>
      </c>
      <c r="D10" s="205">
        <v>0.57999999999999996</v>
      </c>
      <c r="E10" s="205">
        <v>2.33</v>
      </c>
      <c r="F10" s="205">
        <v>2.64</v>
      </c>
      <c r="G10" s="205">
        <v>0.77</v>
      </c>
      <c r="H10" s="205">
        <v>0.77</v>
      </c>
    </row>
    <row r="11" spans="1:8">
      <c r="A11" s="203" t="s">
        <v>771</v>
      </c>
      <c r="B11" s="203" t="s">
        <v>765</v>
      </c>
      <c r="C11" s="205">
        <v>2.98</v>
      </c>
      <c r="D11" s="205">
        <v>0.88</v>
      </c>
      <c r="E11" s="205">
        <v>3.5</v>
      </c>
      <c r="F11" s="205">
        <v>3.96</v>
      </c>
      <c r="G11" s="205">
        <v>1.1599999999999999</v>
      </c>
      <c r="H11" s="205">
        <v>1.1599999999999999</v>
      </c>
    </row>
    <row r="12" spans="1:8">
      <c r="A12" s="203" t="s">
        <v>772</v>
      </c>
      <c r="B12" s="203" t="s">
        <v>767</v>
      </c>
      <c r="C12" s="205">
        <v>5.95</v>
      </c>
      <c r="D12" s="205">
        <v>1.75</v>
      </c>
      <c r="E12" s="205">
        <v>7</v>
      </c>
      <c r="F12" s="205">
        <v>7.91</v>
      </c>
      <c r="G12" s="205">
        <v>2.31</v>
      </c>
      <c r="H12" s="205">
        <v>2.31</v>
      </c>
    </row>
  </sheetData>
  <phoneticPr fontId="7"/>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909A3-1F2D-4454-889E-EEECC7333970}">
  <dimension ref="A1:U181"/>
  <sheetViews>
    <sheetView zoomScaleNormal="100" workbookViewId="0">
      <pane ySplit="7" topLeftCell="A8" activePane="bottomLeft" state="frozen"/>
      <selection pane="bottomLeft" activeCell="C38" sqref="C38"/>
    </sheetView>
    <sheetView workbookViewId="1"/>
  </sheetViews>
  <sheetFormatPr defaultColWidth="8.88671875" defaultRowHeight="14.25" outlineLevelRow="1"/>
  <cols>
    <col min="1" max="1" width="0.88671875" style="55" customWidth="1"/>
    <col min="2" max="2" width="3" style="20" customWidth="1"/>
    <col min="3" max="3" width="23.33203125" style="20" customWidth="1"/>
    <col min="4" max="4" width="53.88671875" style="18" customWidth="1"/>
    <col min="5" max="5" width="6.5546875" style="18" customWidth="1"/>
    <col min="6" max="10" width="6.109375" style="20" customWidth="1"/>
    <col min="11" max="12" width="9.5546875" style="20" customWidth="1"/>
    <col min="13" max="17" width="6.109375" style="20" customWidth="1"/>
    <col min="18" max="19" width="9.5546875" style="20" customWidth="1"/>
    <col min="20" max="20" width="40.44140625" style="18" customWidth="1"/>
    <col min="21" max="21" width="8.88671875" style="19"/>
    <col min="22" max="16384" width="8.88671875" style="20"/>
  </cols>
  <sheetData>
    <row r="1" spans="1:21">
      <c r="A1" s="16"/>
      <c r="B1" s="17" t="s">
        <v>26</v>
      </c>
      <c r="C1" s="17"/>
      <c r="F1" s="17"/>
      <c r="G1" s="17"/>
      <c r="H1" s="17"/>
      <c r="I1" s="17"/>
      <c r="J1" s="17"/>
      <c r="K1" s="17"/>
      <c r="L1" s="17"/>
      <c r="M1" s="17"/>
      <c r="N1" s="17"/>
      <c r="O1" s="17"/>
      <c r="P1" s="17"/>
      <c r="Q1" s="17"/>
      <c r="R1" s="17"/>
      <c r="S1" s="17"/>
      <c r="U1" s="19" t="s">
        <v>773</v>
      </c>
    </row>
    <row r="2" spans="1:21" ht="2.25" customHeight="1">
      <c r="A2" s="16"/>
      <c r="B2" s="17"/>
      <c r="C2" s="17"/>
      <c r="F2" s="17"/>
      <c r="G2" s="17"/>
      <c r="H2" s="17"/>
      <c r="I2" s="17"/>
      <c r="J2" s="17"/>
      <c r="K2" s="17"/>
      <c r="L2" s="17"/>
      <c r="M2" s="17"/>
      <c r="N2" s="17"/>
      <c r="O2" s="17"/>
      <c r="P2" s="17"/>
      <c r="Q2" s="17"/>
      <c r="R2" s="17"/>
      <c r="S2" s="17"/>
    </row>
    <row r="3" spans="1:21" ht="15.75" customHeight="1">
      <c r="A3" s="16"/>
      <c r="B3" s="648" t="s">
        <v>774</v>
      </c>
      <c r="C3" s="649"/>
      <c r="D3" s="649"/>
      <c r="E3" s="688" t="s">
        <v>775</v>
      </c>
      <c r="F3" s="695" t="s">
        <v>8</v>
      </c>
      <c r="G3" s="696"/>
      <c r="H3" s="696"/>
      <c r="I3" s="696"/>
      <c r="J3" s="696"/>
      <c r="K3" s="696"/>
      <c r="L3" s="696"/>
      <c r="M3" s="696"/>
      <c r="N3" s="696"/>
      <c r="O3" s="696"/>
      <c r="P3" s="696"/>
      <c r="Q3" s="696"/>
      <c r="R3" s="696"/>
      <c r="S3" s="697"/>
      <c r="T3" s="654" t="s">
        <v>776</v>
      </c>
      <c r="U3" s="21"/>
    </row>
    <row r="4" spans="1:21" ht="14.25" customHeight="1">
      <c r="A4" s="16"/>
      <c r="B4" s="650"/>
      <c r="C4" s="651"/>
      <c r="D4" s="651"/>
      <c r="E4" s="689"/>
      <c r="F4" s="664" t="s">
        <v>777</v>
      </c>
      <c r="G4" s="665"/>
      <c r="H4" s="665"/>
      <c r="I4" s="665"/>
      <c r="J4" s="665"/>
      <c r="K4" s="665"/>
      <c r="L4" s="666"/>
      <c r="M4" s="691" t="s">
        <v>778</v>
      </c>
      <c r="N4" s="665"/>
      <c r="O4" s="665"/>
      <c r="P4" s="665"/>
      <c r="Q4" s="665"/>
      <c r="R4" s="665"/>
      <c r="S4" s="692"/>
      <c r="T4" s="655"/>
      <c r="U4" s="21"/>
    </row>
    <row r="5" spans="1:21">
      <c r="A5" s="16"/>
      <c r="B5" s="650"/>
      <c r="C5" s="651"/>
      <c r="D5" s="651"/>
      <c r="E5" s="689"/>
      <c r="F5" s="667"/>
      <c r="G5" s="668"/>
      <c r="H5" s="668"/>
      <c r="I5" s="668"/>
      <c r="J5" s="668"/>
      <c r="K5" s="668"/>
      <c r="L5" s="669"/>
      <c r="M5" s="693"/>
      <c r="N5" s="668"/>
      <c r="O5" s="668"/>
      <c r="P5" s="668"/>
      <c r="Q5" s="668"/>
      <c r="R5" s="668"/>
      <c r="S5" s="694"/>
      <c r="T5" s="656"/>
      <c r="U5" s="21"/>
    </row>
    <row r="6" spans="1:21" ht="16.5" customHeight="1">
      <c r="A6" s="16"/>
      <c r="B6" s="650"/>
      <c r="C6" s="651"/>
      <c r="D6" s="651"/>
      <c r="E6" s="689"/>
      <c r="F6" s="698" t="s">
        <v>752</v>
      </c>
      <c r="G6" s="687"/>
      <c r="H6" s="672" t="s">
        <v>779</v>
      </c>
      <c r="I6" s="674" t="s">
        <v>780</v>
      </c>
      <c r="J6" s="670" t="s">
        <v>781</v>
      </c>
      <c r="K6" s="670" t="s">
        <v>782</v>
      </c>
      <c r="L6" s="676" t="s">
        <v>783</v>
      </c>
      <c r="M6" s="686" t="s">
        <v>752</v>
      </c>
      <c r="N6" s="687"/>
      <c r="O6" s="672" t="s">
        <v>779</v>
      </c>
      <c r="P6" s="674" t="s">
        <v>780</v>
      </c>
      <c r="Q6" s="670" t="s">
        <v>781</v>
      </c>
      <c r="R6" s="670" t="s">
        <v>782</v>
      </c>
      <c r="S6" s="676" t="s">
        <v>783</v>
      </c>
      <c r="T6" s="88"/>
      <c r="U6" s="21"/>
    </row>
    <row r="7" spans="1:21" ht="38.25" customHeight="1">
      <c r="A7" s="16"/>
      <c r="B7" s="652"/>
      <c r="C7" s="653"/>
      <c r="D7" s="653"/>
      <c r="E7" s="690"/>
      <c r="F7" s="99" t="s">
        <v>784</v>
      </c>
      <c r="G7" s="100" t="s">
        <v>785</v>
      </c>
      <c r="H7" s="673"/>
      <c r="I7" s="675"/>
      <c r="J7" s="671"/>
      <c r="K7" s="671"/>
      <c r="L7" s="677"/>
      <c r="M7" s="103" t="s">
        <v>784</v>
      </c>
      <c r="N7" s="100" t="s">
        <v>785</v>
      </c>
      <c r="O7" s="673"/>
      <c r="P7" s="675"/>
      <c r="Q7" s="671"/>
      <c r="R7" s="671"/>
      <c r="S7" s="677"/>
      <c r="T7" s="88"/>
      <c r="U7" s="21"/>
    </row>
    <row r="8" spans="1:21">
      <c r="A8" s="16"/>
      <c r="B8" s="657" t="s">
        <v>786</v>
      </c>
      <c r="C8" s="658"/>
      <c r="D8" s="658"/>
      <c r="E8" s="658"/>
      <c r="F8" s="658"/>
      <c r="G8" s="658"/>
      <c r="H8" s="658"/>
      <c r="I8" s="658"/>
      <c r="J8" s="658"/>
      <c r="K8" s="658"/>
      <c r="L8" s="658"/>
      <c r="M8" s="658"/>
      <c r="N8" s="658"/>
      <c r="O8" s="658"/>
      <c r="P8" s="658"/>
      <c r="Q8" s="658"/>
      <c r="R8" s="658"/>
      <c r="S8" s="658"/>
      <c r="T8" s="659"/>
      <c r="U8" s="21" t="str">
        <f t="shared" ref="U8:U12" si="0">REPT("a"&amp;CHAR(10)&amp;"b",INT(LENB(SUBSTITUTE(T8,CHAR(10),""))/70))</f>
        <v/>
      </c>
    </row>
    <row r="9" spans="1:21" ht="28.5">
      <c r="A9" s="16"/>
      <c r="B9" s="26"/>
      <c r="C9" s="662" t="s">
        <v>787</v>
      </c>
      <c r="D9" s="30" t="s">
        <v>55</v>
      </c>
      <c r="E9" s="130">
        <v>0</v>
      </c>
      <c r="F9" s="678" t="s">
        <v>788</v>
      </c>
      <c r="G9" s="679"/>
      <c r="H9" s="83" t="s">
        <v>789</v>
      </c>
      <c r="I9" s="83" t="s">
        <v>58</v>
      </c>
      <c r="J9" s="83" t="s">
        <v>58</v>
      </c>
      <c r="K9" s="83" t="s">
        <v>790</v>
      </c>
      <c r="L9" s="104">
        <v>45566</v>
      </c>
      <c r="M9" s="678" t="s">
        <v>788</v>
      </c>
      <c r="N9" s="679"/>
      <c r="O9" s="83" t="s">
        <v>789</v>
      </c>
      <c r="P9" s="83" t="s">
        <v>58</v>
      </c>
      <c r="Q9" s="83" t="s">
        <v>58</v>
      </c>
      <c r="R9" s="83" t="s">
        <v>790</v>
      </c>
      <c r="S9" s="104">
        <v>45566</v>
      </c>
      <c r="T9" s="91" t="s">
        <v>791</v>
      </c>
      <c r="U9" s="21"/>
    </row>
    <row r="10" spans="1:21" ht="27.75" customHeight="1">
      <c r="A10" s="16"/>
      <c r="B10" s="22"/>
      <c r="C10" s="663"/>
      <c r="D10" s="90" t="s">
        <v>67</v>
      </c>
      <c r="E10" s="131"/>
      <c r="F10" s="680" t="s">
        <v>792</v>
      </c>
      <c r="G10" s="681"/>
      <c r="H10" s="83" t="s">
        <v>792</v>
      </c>
      <c r="I10" s="83" t="s">
        <v>792</v>
      </c>
      <c r="J10" s="83" t="s">
        <v>792</v>
      </c>
      <c r="K10" s="83" t="s">
        <v>792</v>
      </c>
      <c r="L10" s="83" t="s">
        <v>792</v>
      </c>
      <c r="M10" s="680" t="s">
        <v>792</v>
      </c>
      <c r="N10" s="681"/>
      <c r="O10" s="83" t="s">
        <v>792</v>
      </c>
      <c r="P10" s="83" t="s">
        <v>792</v>
      </c>
      <c r="Q10" s="83" t="s">
        <v>792</v>
      </c>
      <c r="R10" s="83" t="s">
        <v>792</v>
      </c>
      <c r="S10" s="83" t="s">
        <v>792</v>
      </c>
      <c r="T10" s="89" t="s">
        <v>793</v>
      </c>
      <c r="U10" s="21" t="str">
        <f t="shared" si="0"/>
        <v/>
      </c>
    </row>
    <row r="11" spans="1:21">
      <c r="A11" s="16"/>
      <c r="B11" s="657" t="s">
        <v>794</v>
      </c>
      <c r="C11" s="658"/>
      <c r="D11" s="658"/>
      <c r="E11" s="658"/>
      <c r="F11" s="658"/>
      <c r="G11" s="658"/>
      <c r="H11" s="658"/>
      <c r="I11" s="658"/>
      <c r="J11" s="658"/>
      <c r="K11" s="658"/>
      <c r="L11" s="658"/>
      <c r="M11" s="658"/>
      <c r="N11" s="658"/>
      <c r="O11" s="658"/>
      <c r="P11" s="658"/>
      <c r="Q11" s="658"/>
      <c r="R11" s="658"/>
      <c r="S11" s="658"/>
      <c r="T11" s="659"/>
      <c r="U11" s="21" t="str">
        <f t="shared" si="0"/>
        <v/>
      </c>
    </row>
    <row r="12" spans="1:21" ht="28.5">
      <c r="A12" s="16"/>
      <c r="B12" s="26" t="s">
        <v>795</v>
      </c>
      <c r="C12" s="27" t="s">
        <v>796</v>
      </c>
      <c r="D12" s="30" t="s">
        <v>797</v>
      </c>
      <c r="E12" s="130">
        <v>0</v>
      </c>
      <c r="F12" s="96" t="s">
        <v>798</v>
      </c>
      <c r="G12" s="98" t="s">
        <v>799</v>
      </c>
      <c r="H12" s="83" t="s">
        <v>800</v>
      </c>
      <c r="I12" s="83" t="s">
        <v>58</v>
      </c>
      <c r="J12" s="114" t="s">
        <v>801</v>
      </c>
      <c r="K12" s="83" t="s">
        <v>790</v>
      </c>
      <c r="L12" s="83" t="s">
        <v>790</v>
      </c>
      <c r="M12" s="96" t="s">
        <v>798</v>
      </c>
      <c r="N12" s="98" t="s">
        <v>799</v>
      </c>
      <c r="O12" s="83" t="s">
        <v>800</v>
      </c>
      <c r="P12" s="83" t="s">
        <v>58</v>
      </c>
      <c r="Q12" s="114" t="s">
        <v>801</v>
      </c>
      <c r="R12" s="83" t="s">
        <v>790</v>
      </c>
      <c r="S12" s="101">
        <v>45536</v>
      </c>
      <c r="T12" s="92" t="s">
        <v>802</v>
      </c>
      <c r="U12" s="21" t="str">
        <f t="shared" si="0"/>
        <v/>
      </c>
    </row>
    <row r="13" spans="1:21">
      <c r="A13" s="16"/>
      <c r="B13" s="657" t="s">
        <v>803</v>
      </c>
      <c r="C13" s="658"/>
      <c r="D13" s="658"/>
      <c r="E13" s="658"/>
      <c r="F13" s="658"/>
      <c r="G13" s="658"/>
      <c r="H13" s="658"/>
      <c r="I13" s="658"/>
      <c r="J13" s="658"/>
      <c r="K13" s="658"/>
      <c r="L13" s="658"/>
      <c r="M13" s="658"/>
      <c r="N13" s="658"/>
      <c r="O13" s="658"/>
      <c r="P13" s="658"/>
      <c r="Q13" s="658"/>
      <c r="R13" s="658"/>
      <c r="S13" s="658"/>
      <c r="T13" s="659"/>
      <c r="U13" s="21" t="str">
        <f t="shared" ref="U13:U14" si="1">REPT("a"&amp;CHAR(10)&amp;"b",INT(LENB(SUBSTITUTE(T13,CHAR(10),""))/70))</f>
        <v/>
      </c>
    </row>
    <row r="14" spans="1:21" ht="28.5">
      <c r="A14" s="16"/>
      <c r="B14" s="22" t="s">
        <v>804</v>
      </c>
      <c r="C14" s="23" t="s">
        <v>805</v>
      </c>
      <c r="D14" s="25" t="s">
        <v>806</v>
      </c>
      <c r="E14" s="132">
        <v>0</v>
      </c>
      <c r="F14" s="28" t="s">
        <v>807</v>
      </c>
      <c r="G14" s="83" t="s">
        <v>808</v>
      </c>
      <c r="H14" s="83" t="s">
        <v>800</v>
      </c>
      <c r="I14" s="83" t="s">
        <v>809</v>
      </c>
      <c r="J14" s="114" t="s">
        <v>801</v>
      </c>
      <c r="K14" s="83" t="s">
        <v>790</v>
      </c>
      <c r="L14" s="104">
        <v>45566</v>
      </c>
      <c r="M14" s="28" t="s">
        <v>807</v>
      </c>
      <c r="N14" s="83" t="s">
        <v>808</v>
      </c>
      <c r="O14" s="83" t="s">
        <v>800</v>
      </c>
      <c r="P14" s="83" t="s">
        <v>809</v>
      </c>
      <c r="Q14" s="114" t="s">
        <v>801</v>
      </c>
      <c r="R14" s="83" t="s">
        <v>790</v>
      </c>
      <c r="S14" s="104">
        <v>45566</v>
      </c>
      <c r="T14" s="92" t="s">
        <v>810</v>
      </c>
      <c r="U14" s="21" t="str">
        <f t="shared" si="1"/>
        <v/>
      </c>
    </row>
    <row r="15" spans="1:21">
      <c r="A15" s="16"/>
      <c r="B15" s="682" t="s">
        <v>811</v>
      </c>
      <c r="C15" s="658"/>
      <c r="D15" s="658"/>
      <c r="E15" s="658"/>
      <c r="F15" s="658"/>
      <c r="G15" s="658"/>
      <c r="H15" s="658"/>
      <c r="I15" s="658"/>
      <c r="J15" s="658"/>
      <c r="K15" s="658"/>
      <c r="L15" s="658"/>
      <c r="M15" s="658"/>
      <c r="N15" s="658"/>
      <c r="O15" s="658"/>
      <c r="P15" s="658"/>
      <c r="Q15" s="658"/>
      <c r="R15" s="658"/>
      <c r="S15" s="658"/>
      <c r="T15" s="659"/>
      <c r="U15" s="21" t="str">
        <f t="shared" ref="U15:U70" si="2">REPT("a"&amp;CHAR(10)&amp;"b",INT(LENB(SUBSTITUTE(T15,CHAR(10),""))/70))</f>
        <v/>
      </c>
    </row>
    <row r="16" spans="1:21" ht="213.75">
      <c r="A16" s="16"/>
      <c r="B16" s="26">
        <v>15</v>
      </c>
      <c r="C16" s="27" t="s">
        <v>812</v>
      </c>
      <c r="D16" s="30" t="s">
        <v>813</v>
      </c>
      <c r="E16" s="130">
        <v>0</v>
      </c>
      <c r="F16" s="28" t="s">
        <v>814</v>
      </c>
      <c r="G16" s="83" t="s">
        <v>815</v>
      </c>
      <c r="H16" s="83" t="s">
        <v>809</v>
      </c>
      <c r="I16" s="83" t="s">
        <v>58</v>
      </c>
      <c r="J16" s="83" t="s">
        <v>58</v>
      </c>
      <c r="K16" s="83" t="s">
        <v>790</v>
      </c>
      <c r="L16" s="104">
        <v>45597</v>
      </c>
      <c r="M16" s="28" t="s">
        <v>814</v>
      </c>
      <c r="N16" s="83" t="s">
        <v>816</v>
      </c>
      <c r="O16" s="83" t="s">
        <v>809</v>
      </c>
      <c r="P16" s="83" t="s">
        <v>58</v>
      </c>
      <c r="Q16" s="83" t="s">
        <v>58</v>
      </c>
      <c r="R16" s="83" t="s">
        <v>790</v>
      </c>
      <c r="S16" s="104">
        <v>45597</v>
      </c>
      <c r="T16" s="91" t="s">
        <v>810</v>
      </c>
      <c r="U16" s="21" t="str">
        <f t="shared" si="2"/>
        <v/>
      </c>
    </row>
    <row r="17" spans="1:21" ht="71.25">
      <c r="A17" s="16"/>
      <c r="B17" s="26">
        <v>62</v>
      </c>
      <c r="C17" s="31" t="s">
        <v>817</v>
      </c>
      <c r="D17" s="33" t="s">
        <v>818</v>
      </c>
      <c r="E17" s="132">
        <v>0</v>
      </c>
      <c r="F17" s="32" t="s">
        <v>801</v>
      </c>
      <c r="G17" s="83" t="s">
        <v>801</v>
      </c>
      <c r="H17" s="86" t="s">
        <v>819</v>
      </c>
      <c r="I17" s="86" t="s">
        <v>819</v>
      </c>
      <c r="J17" s="86" t="s">
        <v>819</v>
      </c>
      <c r="K17" s="86" t="s">
        <v>819</v>
      </c>
      <c r="L17" s="86" t="s">
        <v>819</v>
      </c>
      <c r="M17" s="32" t="s">
        <v>801</v>
      </c>
      <c r="N17" s="83" t="s">
        <v>801</v>
      </c>
      <c r="O17" s="84" t="s">
        <v>792</v>
      </c>
      <c r="P17" s="83" t="s">
        <v>792</v>
      </c>
      <c r="Q17" s="83" t="s">
        <v>792</v>
      </c>
      <c r="R17" s="104">
        <v>45689</v>
      </c>
      <c r="S17" s="101" t="s">
        <v>792</v>
      </c>
      <c r="T17" s="92" t="s">
        <v>820</v>
      </c>
      <c r="U17" s="21" t="str">
        <f>REPT("a"&amp;CHAR(10)&amp;"b",INT(LENB(SUBSTITUTE(T17,CHAR(10),""))/70))</f>
        <v/>
      </c>
    </row>
    <row r="18" spans="1:21">
      <c r="A18" s="16"/>
      <c r="B18" s="657" t="s">
        <v>821</v>
      </c>
      <c r="C18" s="658"/>
      <c r="D18" s="658"/>
      <c r="E18" s="658"/>
      <c r="F18" s="658"/>
      <c r="G18" s="658"/>
      <c r="H18" s="658"/>
      <c r="I18" s="658"/>
      <c r="J18" s="658"/>
      <c r="K18" s="658"/>
      <c r="L18" s="658"/>
      <c r="M18" s="658"/>
      <c r="N18" s="658"/>
      <c r="O18" s="658"/>
      <c r="P18" s="658"/>
      <c r="Q18" s="658"/>
      <c r="R18" s="658"/>
      <c r="S18" s="658"/>
      <c r="T18" s="659"/>
      <c r="U18" s="21" t="str">
        <f>REPT("a"&amp;CHAR(10)&amp;"b",INT(LENB(SUBSTITUTE(T18,CHAR(10),""))/70))</f>
        <v/>
      </c>
    </row>
    <row r="19" spans="1:21" ht="83.25" customHeight="1">
      <c r="A19" s="16"/>
      <c r="B19" s="22">
        <v>21</v>
      </c>
      <c r="C19" s="23" t="s">
        <v>368</v>
      </c>
      <c r="D19" s="25" t="s">
        <v>822</v>
      </c>
      <c r="E19" s="132">
        <v>2.5</v>
      </c>
      <c r="F19" s="32" t="s">
        <v>823</v>
      </c>
      <c r="G19" s="83" t="s">
        <v>824</v>
      </c>
      <c r="H19" s="83" t="s">
        <v>58</v>
      </c>
      <c r="I19" s="83" t="s">
        <v>58</v>
      </c>
      <c r="J19" s="114" t="s">
        <v>801</v>
      </c>
      <c r="K19" s="83" t="s">
        <v>790</v>
      </c>
      <c r="L19" s="104">
        <v>45597</v>
      </c>
      <c r="M19" s="32" t="s">
        <v>825</v>
      </c>
      <c r="N19" s="83" t="s">
        <v>824</v>
      </c>
      <c r="O19" s="83" t="s">
        <v>58</v>
      </c>
      <c r="P19" s="83" t="s">
        <v>58</v>
      </c>
      <c r="Q19" s="114" t="s">
        <v>801</v>
      </c>
      <c r="R19" s="83" t="s">
        <v>790</v>
      </c>
      <c r="S19" s="104">
        <v>45597</v>
      </c>
      <c r="T19" s="89" t="s">
        <v>810</v>
      </c>
      <c r="U19" s="21" t="str">
        <f>REPT("a"&amp;CHAR(10)&amp;"b",INT(LENB(SUBSTITUTE(T19,CHAR(10),""))/70))</f>
        <v/>
      </c>
    </row>
    <row r="20" spans="1:21">
      <c r="A20" s="16"/>
      <c r="B20" s="657" t="s">
        <v>826</v>
      </c>
      <c r="C20" s="660"/>
      <c r="D20" s="660"/>
      <c r="E20" s="660"/>
      <c r="F20" s="660"/>
      <c r="G20" s="660"/>
      <c r="H20" s="660"/>
      <c r="I20" s="660"/>
      <c r="J20" s="660"/>
      <c r="K20" s="660"/>
      <c r="L20" s="660"/>
      <c r="M20" s="660"/>
      <c r="N20" s="660"/>
      <c r="O20" s="660"/>
      <c r="P20" s="660"/>
      <c r="Q20" s="660"/>
      <c r="R20" s="660"/>
      <c r="S20" s="660"/>
      <c r="T20" s="661"/>
      <c r="U20" s="21" t="str">
        <f t="shared" si="2"/>
        <v/>
      </c>
    </row>
    <row r="21" spans="1:21" ht="206.25" customHeight="1">
      <c r="A21" s="16"/>
      <c r="B21" s="34">
        <v>33</v>
      </c>
      <c r="C21" s="35" t="s">
        <v>827</v>
      </c>
      <c r="D21" s="30" t="s">
        <v>828</v>
      </c>
      <c r="E21" s="132">
        <v>0.68</v>
      </c>
      <c r="F21" s="32" t="s">
        <v>829</v>
      </c>
      <c r="G21" s="84" t="s">
        <v>829</v>
      </c>
      <c r="H21" s="83" t="s">
        <v>58</v>
      </c>
      <c r="I21" s="114" t="s">
        <v>58</v>
      </c>
      <c r="J21" s="114" t="s">
        <v>801</v>
      </c>
      <c r="K21" s="101">
        <v>45597</v>
      </c>
      <c r="L21" s="101">
        <v>45597</v>
      </c>
      <c r="M21" s="32" t="s">
        <v>829</v>
      </c>
      <c r="N21" s="84" t="s">
        <v>829</v>
      </c>
      <c r="O21" s="83" t="s">
        <v>58</v>
      </c>
      <c r="P21" s="114" t="s">
        <v>58</v>
      </c>
      <c r="Q21" s="114" t="s">
        <v>801</v>
      </c>
      <c r="R21" s="101">
        <v>45597</v>
      </c>
      <c r="S21" s="101">
        <v>45597</v>
      </c>
      <c r="T21" s="91" t="s">
        <v>830</v>
      </c>
      <c r="U21" s="21" t="str">
        <f>REPT("a"&amp;CHAR(10)&amp;"b",INT(LENB(SUBSTITUTE(T21,CHAR(10),""))/70))</f>
        <v/>
      </c>
    </row>
    <row r="22" spans="1:21" ht="57">
      <c r="A22" s="16"/>
      <c r="B22" s="36">
        <v>71</v>
      </c>
      <c r="C22" s="37" t="s">
        <v>831</v>
      </c>
      <c r="D22" s="25" t="s">
        <v>832</v>
      </c>
      <c r="E22" s="132">
        <v>0</v>
      </c>
      <c r="F22" s="28" t="s">
        <v>825</v>
      </c>
      <c r="G22" s="98" t="s">
        <v>833</v>
      </c>
      <c r="H22" s="83" t="s">
        <v>58</v>
      </c>
      <c r="I22" s="114" t="s">
        <v>801</v>
      </c>
      <c r="J22" s="114" t="s">
        <v>801</v>
      </c>
      <c r="K22" s="101">
        <v>45536</v>
      </c>
      <c r="L22" s="104">
        <v>45597</v>
      </c>
      <c r="M22" s="28" t="s">
        <v>825</v>
      </c>
      <c r="N22" s="142" t="s">
        <v>801</v>
      </c>
      <c r="O22" s="83" t="s">
        <v>58</v>
      </c>
      <c r="P22" s="114" t="s">
        <v>801</v>
      </c>
      <c r="Q22" s="114" t="s">
        <v>801</v>
      </c>
      <c r="R22" s="101">
        <v>45536</v>
      </c>
      <c r="S22" s="104">
        <v>45597</v>
      </c>
      <c r="T22" s="143" t="s">
        <v>834</v>
      </c>
      <c r="U22" s="21" t="str">
        <f>REPT("a"&amp;CHAR(10)&amp;"b",INT(LENB(SUBSTITUTE(T22,CHAR(10),""))/70))</f>
        <v/>
      </c>
    </row>
    <row r="23" spans="1:21">
      <c r="A23" s="16"/>
      <c r="B23" s="657" t="s">
        <v>835</v>
      </c>
      <c r="C23" s="660"/>
      <c r="D23" s="660"/>
      <c r="E23" s="660"/>
      <c r="F23" s="660"/>
      <c r="G23" s="660"/>
      <c r="H23" s="660"/>
      <c r="I23" s="660"/>
      <c r="J23" s="660"/>
      <c r="K23" s="660"/>
      <c r="L23" s="660"/>
      <c r="M23" s="660"/>
      <c r="N23" s="660"/>
      <c r="O23" s="660"/>
      <c r="P23" s="660"/>
      <c r="Q23" s="660"/>
      <c r="R23" s="660"/>
      <c r="S23" s="660"/>
      <c r="T23" s="661"/>
      <c r="U23" s="21" t="str">
        <f t="shared" si="2"/>
        <v/>
      </c>
    </row>
    <row r="24" spans="1:21" ht="18" customHeight="1">
      <c r="A24" s="16"/>
      <c r="B24" s="38">
        <v>16</v>
      </c>
      <c r="C24" s="23" t="s">
        <v>836</v>
      </c>
      <c r="D24" s="25" t="s">
        <v>837</v>
      </c>
      <c r="E24" s="132">
        <v>0</v>
      </c>
      <c r="F24" s="28" t="s">
        <v>801</v>
      </c>
      <c r="G24" s="83" t="s">
        <v>792</v>
      </c>
      <c r="H24" s="83" t="s">
        <v>792</v>
      </c>
      <c r="I24" s="83" t="s">
        <v>792</v>
      </c>
      <c r="J24" s="83" t="s">
        <v>792</v>
      </c>
      <c r="K24" s="86" t="s">
        <v>819</v>
      </c>
      <c r="L24" s="86" t="s">
        <v>819</v>
      </c>
      <c r="M24" s="28" t="s">
        <v>801</v>
      </c>
      <c r="N24" s="83" t="s">
        <v>792</v>
      </c>
      <c r="O24" s="24" t="s">
        <v>792</v>
      </c>
      <c r="P24" s="83" t="s">
        <v>792</v>
      </c>
      <c r="Q24" s="83" t="s">
        <v>792</v>
      </c>
      <c r="R24" s="29" t="s">
        <v>838</v>
      </c>
      <c r="S24" s="101" t="s">
        <v>792</v>
      </c>
      <c r="T24" s="89"/>
      <c r="U24" s="21" t="str">
        <f t="shared" si="2"/>
        <v/>
      </c>
    </row>
    <row r="25" spans="1:21">
      <c r="A25" s="16"/>
      <c r="B25" s="657" t="s">
        <v>839</v>
      </c>
      <c r="C25" s="660"/>
      <c r="D25" s="660"/>
      <c r="E25" s="660"/>
      <c r="F25" s="660"/>
      <c r="G25" s="660"/>
      <c r="H25" s="660"/>
      <c r="I25" s="660"/>
      <c r="J25" s="660"/>
      <c r="K25" s="660"/>
      <c r="L25" s="660"/>
      <c r="M25" s="660"/>
      <c r="N25" s="660"/>
      <c r="O25" s="660"/>
      <c r="P25" s="660"/>
      <c r="Q25" s="660"/>
      <c r="R25" s="660"/>
      <c r="S25" s="660"/>
      <c r="T25" s="661" t="s">
        <v>840</v>
      </c>
      <c r="U25" s="21" t="str">
        <f t="shared" si="2"/>
        <v/>
      </c>
    </row>
    <row r="26" spans="1:21" ht="85.5">
      <c r="A26" s="16"/>
      <c r="B26" s="113" t="s">
        <v>841</v>
      </c>
      <c r="C26" s="39" t="s">
        <v>842</v>
      </c>
      <c r="D26" s="30" t="s">
        <v>843</v>
      </c>
      <c r="E26" s="130">
        <v>5.52</v>
      </c>
      <c r="F26" s="96" t="s">
        <v>844</v>
      </c>
      <c r="G26" s="98" t="s">
        <v>799</v>
      </c>
      <c r="H26" s="83" t="s">
        <v>792</v>
      </c>
      <c r="I26" s="97" t="s">
        <v>792</v>
      </c>
      <c r="J26" s="97" t="s">
        <v>792</v>
      </c>
      <c r="K26" s="86" t="s">
        <v>819</v>
      </c>
      <c r="L26" s="86" t="s">
        <v>819</v>
      </c>
      <c r="M26" s="96" t="s">
        <v>845</v>
      </c>
      <c r="N26" s="98" t="s">
        <v>846</v>
      </c>
      <c r="O26" s="83" t="s">
        <v>792</v>
      </c>
      <c r="P26" s="83" t="s">
        <v>792</v>
      </c>
      <c r="Q26" s="97" t="s">
        <v>792</v>
      </c>
      <c r="R26" s="112">
        <v>45627</v>
      </c>
      <c r="S26" s="29" t="s">
        <v>792</v>
      </c>
      <c r="T26" s="92" t="s">
        <v>847</v>
      </c>
      <c r="U26" s="21" t="str">
        <f t="shared" si="2"/>
        <v/>
      </c>
    </row>
    <row r="27" spans="1:21" ht="42.75">
      <c r="A27" s="16"/>
      <c r="B27" s="113" t="s">
        <v>848</v>
      </c>
      <c r="C27" s="39" t="s">
        <v>849</v>
      </c>
      <c r="D27" s="30" t="s">
        <v>850</v>
      </c>
      <c r="E27" s="130">
        <v>0.41</v>
      </c>
      <c r="F27" s="96" t="s">
        <v>851</v>
      </c>
      <c r="G27" s="83" t="s">
        <v>799</v>
      </c>
      <c r="H27" s="83" t="s">
        <v>792</v>
      </c>
      <c r="I27" s="83" t="s">
        <v>792</v>
      </c>
      <c r="J27" s="83" t="s">
        <v>792</v>
      </c>
      <c r="K27" s="86" t="s">
        <v>819</v>
      </c>
      <c r="L27" s="86" t="s">
        <v>819</v>
      </c>
      <c r="M27" s="96" t="s">
        <v>851</v>
      </c>
      <c r="N27" s="114" t="s">
        <v>846</v>
      </c>
      <c r="O27" s="102" t="s">
        <v>801</v>
      </c>
      <c r="P27" s="86" t="s">
        <v>792</v>
      </c>
      <c r="Q27" s="83" t="s">
        <v>792</v>
      </c>
      <c r="R27" s="112">
        <v>45627</v>
      </c>
      <c r="S27" s="29" t="s">
        <v>792</v>
      </c>
      <c r="T27" s="92"/>
      <c r="U27" s="21" t="str">
        <f t="shared" si="2"/>
        <v/>
      </c>
    </row>
    <row r="28" spans="1:21" ht="99.75">
      <c r="A28" s="16"/>
      <c r="B28" s="113" t="s">
        <v>852</v>
      </c>
      <c r="C28" s="39" t="s">
        <v>853</v>
      </c>
      <c r="D28" s="30" t="s">
        <v>854</v>
      </c>
      <c r="E28" s="130">
        <v>0</v>
      </c>
      <c r="F28" s="28" t="s">
        <v>855</v>
      </c>
      <c r="G28" s="83" t="s">
        <v>799</v>
      </c>
      <c r="H28" s="83" t="s">
        <v>792</v>
      </c>
      <c r="I28" s="83" t="s">
        <v>792</v>
      </c>
      <c r="J28" s="83" t="s">
        <v>792</v>
      </c>
      <c r="K28" s="86" t="s">
        <v>819</v>
      </c>
      <c r="L28" s="86" t="s">
        <v>819</v>
      </c>
      <c r="M28" s="28" t="s">
        <v>58</v>
      </c>
      <c r="N28" s="83" t="s">
        <v>799</v>
      </c>
      <c r="O28" s="102" t="s">
        <v>58</v>
      </c>
      <c r="P28" s="102" t="s">
        <v>58</v>
      </c>
      <c r="Q28" s="102" t="s">
        <v>801</v>
      </c>
      <c r="R28" s="112">
        <v>45597</v>
      </c>
      <c r="S28" s="29" t="s">
        <v>792</v>
      </c>
      <c r="T28" s="92"/>
      <c r="U28" s="21" t="str">
        <f t="shared" si="2"/>
        <v/>
      </c>
    </row>
    <row r="29" spans="1:21" ht="42.75">
      <c r="A29" s="16"/>
      <c r="B29" s="113" t="s">
        <v>856</v>
      </c>
      <c r="C29" s="39" t="s">
        <v>329</v>
      </c>
      <c r="D29" s="30" t="s">
        <v>857</v>
      </c>
      <c r="E29" s="130">
        <v>1.1000000000000001</v>
      </c>
      <c r="F29" s="96" t="s">
        <v>858</v>
      </c>
      <c r="G29" s="83" t="s">
        <v>801</v>
      </c>
      <c r="H29" s="83" t="s">
        <v>792</v>
      </c>
      <c r="I29" s="83" t="s">
        <v>792</v>
      </c>
      <c r="J29" s="83" t="s">
        <v>792</v>
      </c>
      <c r="K29" s="86" t="s">
        <v>819</v>
      </c>
      <c r="L29" s="86" t="s">
        <v>819</v>
      </c>
      <c r="M29" s="96" t="s">
        <v>858</v>
      </c>
      <c r="N29" s="98" t="s">
        <v>801</v>
      </c>
      <c r="O29" s="83" t="s">
        <v>792</v>
      </c>
      <c r="P29" s="83" t="s">
        <v>792</v>
      </c>
      <c r="Q29" s="83" t="s">
        <v>792</v>
      </c>
      <c r="R29" s="112">
        <v>45717</v>
      </c>
      <c r="S29" s="29" t="s">
        <v>792</v>
      </c>
      <c r="T29" s="92"/>
      <c r="U29" s="21" t="str">
        <f t="shared" si="2"/>
        <v/>
      </c>
    </row>
    <row r="30" spans="1:21" ht="213.75">
      <c r="A30" s="16"/>
      <c r="B30" s="113" t="s">
        <v>859</v>
      </c>
      <c r="C30" s="39" t="s">
        <v>860</v>
      </c>
      <c r="D30" s="30" t="s">
        <v>861</v>
      </c>
      <c r="E30" s="130">
        <v>0.85</v>
      </c>
      <c r="F30" s="28" t="s">
        <v>862</v>
      </c>
      <c r="G30" s="83" t="s">
        <v>799</v>
      </c>
      <c r="H30" s="83" t="s">
        <v>792</v>
      </c>
      <c r="I30" s="83" t="s">
        <v>792</v>
      </c>
      <c r="J30" s="83" t="s">
        <v>792</v>
      </c>
      <c r="K30" s="86" t="s">
        <v>819</v>
      </c>
      <c r="L30" s="86" t="s">
        <v>819</v>
      </c>
      <c r="M30" s="28" t="s">
        <v>862</v>
      </c>
      <c r="N30" s="114" t="s">
        <v>846</v>
      </c>
      <c r="O30" s="102" t="s">
        <v>58</v>
      </c>
      <c r="P30" s="86" t="s">
        <v>792</v>
      </c>
      <c r="Q30" s="83" t="s">
        <v>792</v>
      </c>
      <c r="R30" s="112">
        <v>45627</v>
      </c>
      <c r="S30" s="29" t="s">
        <v>792</v>
      </c>
      <c r="T30" s="92"/>
      <c r="U30" s="21" t="str">
        <f t="shared" si="2"/>
        <v/>
      </c>
    </row>
    <row r="31" spans="1:21" ht="71.25">
      <c r="A31" s="16"/>
      <c r="B31" s="113" t="s">
        <v>863</v>
      </c>
      <c r="C31" s="39" t="s">
        <v>864</v>
      </c>
      <c r="D31" s="30" t="s">
        <v>865</v>
      </c>
      <c r="E31" s="130">
        <v>0.31</v>
      </c>
      <c r="F31" s="28" t="s">
        <v>866</v>
      </c>
      <c r="G31" s="83" t="s">
        <v>799</v>
      </c>
      <c r="H31" s="83" t="s">
        <v>792</v>
      </c>
      <c r="I31" s="83" t="s">
        <v>792</v>
      </c>
      <c r="J31" s="83" t="s">
        <v>792</v>
      </c>
      <c r="K31" s="86" t="s">
        <v>819</v>
      </c>
      <c r="L31" s="86" t="s">
        <v>819</v>
      </c>
      <c r="M31" s="28" t="s">
        <v>862</v>
      </c>
      <c r="N31" s="114" t="s">
        <v>846</v>
      </c>
      <c r="O31" s="50" t="s">
        <v>792</v>
      </c>
      <c r="P31" s="86" t="s">
        <v>792</v>
      </c>
      <c r="Q31" s="83" t="s">
        <v>792</v>
      </c>
      <c r="R31" s="112">
        <v>45627</v>
      </c>
      <c r="S31" s="29" t="s">
        <v>792</v>
      </c>
      <c r="T31" s="92" t="s">
        <v>867</v>
      </c>
      <c r="U31" s="21" t="str">
        <f t="shared" si="2"/>
        <v/>
      </c>
    </row>
    <row r="32" spans="1:21" ht="180" customHeight="1">
      <c r="A32" s="16"/>
      <c r="B32" s="118" t="s">
        <v>868</v>
      </c>
      <c r="C32" s="40" t="s">
        <v>307</v>
      </c>
      <c r="D32" s="25" t="s">
        <v>869</v>
      </c>
      <c r="E32" s="132">
        <v>1.47</v>
      </c>
      <c r="F32" s="28" t="s">
        <v>870</v>
      </c>
      <c r="G32" s="83" t="s">
        <v>792</v>
      </c>
      <c r="H32" s="83" t="s">
        <v>792</v>
      </c>
      <c r="I32" s="83" t="s">
        <v>792</v>
      </c>
      <c r="J32" s="83" t="s">
        <v>792</v>
      </c>
      <c r="K32" s="86" t="s">
        <v>819</v>
      </c>
      <c r="L32" s="86" t="s">
        <v>819</v>
      </c>
      <c r="M32" s="28" t="s">
        <v>801</v>
      </c>
      <c r="N32" s="114" t="s">
        <v>871</v>
      </c>
      <c r="O32" s="50" t="s">
        <v>792</v>
      </c>
      <c r="P32" s="86" t="s">
        <v>792</v>
      </c>
      <c r="Q32" s="83" t="s">
        <v>792</v>
      </c>
      <c r="R32" s="112">
        <v>45809</v>
      </c>
      <c r="S32" s="29" t="s">
        <v>792</v>
      </c>
      <c r="T32" s="92"/>
      <c r="U32" s="21" t="str">
        <f t="shared" si="2"/>
        <v/>
      </c>
    </row>
    <row r="33" spans="1:21">
      <c r="A33" s="16"/>
      <c r="B33" s="657" t="s">
        <v>811</v>
      </c>
      <c r="C33" s="658"/>
      <c r="D33" s="658"/>
      <c r="E33" s="658"/>
      <c r="F33" s="658"/>
      <c r="G33" s="658"/>
      <c r="H33" s="658"/>
      <c r="I33" s="658"/>
      <c r="J33" s="658"/>
      <c r="K33" s="658"/>
      <c r="L33" s="658"/>
      <c r="M33" s="658"/>
      <c r="N33" s="658"/>
      <c r="O33" s="658"/>
      <c r="P33" s="658"/>
      <c r="Q33" s="658"/>
      <c r="R33" s="658"/>
      <c r="S33" s="658"/>
      <c r="T33" s="659"/>
      <c r="U33" s="21" t="str">
        <f t="shared" si="2"/>
        <v/>
      </c>
    </row>
    <row r="34" spans="1:21">
      <c r="A34" s="16"/>
      <c r="B34" s="41">
        <v>18</v>
      </c>
      <c r="C34" s="42" t="s">
        <v>872</v>
      </c>
      <c r="D34" s="45"/>
      <c r="E34" s="133">
        <v>1.47</v>
      </c>
      <c r="F34" s="28" t="s">
        <v>801</v>
      </c>
      <c r="G34" s="83" t="s">
        <v>792</v>
      </c>
      <c r="H34" s="50" t="s">
        <v>792</v>
      </c>
      <c r="I34" s="86" t="s">
        <v>792</v>
      </c>
      <c r="J34" s="86" t="s">
        <v>792</v>
      </c>
      <c r="K34" s="86" t="s">
        <v>819</v>
      </c>
      <c r="L34" s="86" t="s">
        <v>819</v>
      </c>
      <c r="M34" s="28" t="s">
        <v>801</v>
      </c>
      <c r="N34" s="122" t="s">
        <v>873</v>
      </c>
      <c r="O34" s="50" t="s">
        <v>792</v>
      </c>
      <c r="P34" s="86" t="s">
        <v>792</v>
      </c>
      <c r="Q34" s="86" t="s">
        <v>792</v>
      </c>
      <c r="R34" s="112">
        <v>45717</v>
      </c>
      <c r="S34" s="29" t="s">
        <v>792</v>
      </c>
      <c r="T34" s="92" t="s">
        <v>874</v>
      </c>
      <c r="U34" s="21" t="str">
        <f>REPT("a"&amp;CHAR(10)&amp;"b",INT(LENB(SUBSTITUTE(T34,CHAR(10),""))/70))</f>
        <v/>
      </c>
    </row>
    <row r="35" spans="1:21">
      <c r="A35" s="16"/>
      <c r="B35" s="657" t="s">
        <v>826</v>
      </c>
      <c r="C35" s="660"/>
      <c r="D35" s="660"/>
      <c r="E35" s="660"/>
      <c r="F35" s="660"/>
      <c r="G35" s="660"/>
      <c r="H35" s="660"/>
      <c r="I35" s="660"/>
      <c r="J35" s="660"/>
      <c r="K35" s="660"/>
      <c r="L35" s="660"/>
      <c r="M35" s="660"/>
      <c r="N35" s="660"/>
      <c r="O35" s="660"/>
      <c r="P35" s="660"/>
      <c r="Q35" s="660"/>
      <c r="R35" s="660"/>
      <c r="S35" s="660"/>
      <c r="T35" s="661"/>
      <c r="U35" s="21" t="str">
        <f t="shared" ref="U35:U36" si="3">REPT("a"&amp;CHAR(10)&amp;"b",INT(LENB(SUBSTITUTE(T35,CHAR(10),""))/70))</f>
        <v/>
      </c>
    </row>
    <row r="36" spans="1:21" ht="99.75">
      <c r="A36" s="16"/>
      <c r="B36" s="34">
        <v>20</v>
      </c>
      <c r="C36" s="46" t="s">
        <v>371</v>
      </c>
      <c r="D36" s="47" t="s">
        <v>875</v>
      </c>
      <c r="E36" s="134">
        <v>2.04</v>
      </c>
      <c r="F36" s="28" t="s">
        <v>876</v>
      </c>
      <c r="G36" s="50" t="s">
        <v>792</v>
      </c>
      <c r="H36" s="50" t="s">
        <v>792</v>
      </c>
      <c r="I36" s="86" t="s">
        <v>792</v>
      </c>
      <c r="J36" s="86" t="s">
        <v>792</v>
      </c>
      <c r="K36" s="86" t="s">
        <v>819</v>
      </c>
      <c r="L36" s="86" t="s">
        <v>819</v>
      </c>
      <c r="M36" s="28" t="s">
        <v>876</v>
      </c>
      <c r="N36" s="115" t="s">
        <v>877</v>
      </c>
      <c r="O36" s="50" t="s">
        <v>792</v>
      </c>
      <c r="P36" s="86" t="s">
        <v>792</v>
      </c>
      <c r="Q36" s="86" t="s">
        <v>792</v>
      </c>
      <c r="R36" s="112">
        <v>45778</v>
      </c>
      <c r="S36" s="29" t="s">
        <v>792</v>
      </c>
      <c r="T36" s="92" t="s">
        <v>874</v>
      </c>
      <c r="U36" s="21" t="str">
        <f t="shared" si="3"/>
        <v/>
      </c>
    </row>
    <row r="37" spans="1:21" ht="42.75">
      <c r="A37" s="16"/>
      <c r="B37" s="34">
        <v>81</v>
      </c>
      <c r="C37" s="35" t="s">
        <v>878</v>
      </c>
      <c r="D37" s="30" t="s">
        <v>879</v>
      </c>
      <c r="E37" s="130">
        <v>0.8</v>
      </c>
      <c r="F37" s="96" t="s">
        <v>880</v>
      </c>
      <c r="G37" s="50" t="s">
        <v>792</v>
      </c>
      <c r="H37" s="50" t="s">
        <v>792</v>
      </c>
      <c r="I37" s="86" t="s">
        <v>792</v>
      </c>
      <c r="J37" s="86" t="s">
        <v>792</v>
      </c>
      <c r="K37" s="86" t="s">
        <v>819</v>
      </c>
      <c r="L37" s="86" t="s">
        <v>819</v>
      </c>
      <c r="M37" s="96" t="s">
        <v>880</v>
      </c>
      <c r="N37" s="115" t="s">
        <v>881</v>
      </c>
      <c r="O37" s="50" t="s">
        <v>792</v>
      </c>
      <c r="P37" s="86" t="s">
        <v>792</v>
      </c>
      <c r="Q37" s="86" t="s">
        <v>792</v>
      </c>
      <c r="R37" s="121" t="s">
        <v>882</v>
      </c>
      <c r="S37" s="29" t="s">
        <v>792</v>
      </c>
      <c r="T37" s="92"/>
      <c r="U37" s="21"/>
    </row>
    <row r="38" spans="1:21" ht="89.25" customHeight="1">
      <c r="A38" s="16"/>
      <c r="B38" s="36">
        <v>73</v>
      </c>
      <c r="C38" s="48" t="s">
        <v>883</v>
      </c>
      <c r="D38" s="25" t="s">
        <v>884</v>
      </c>
      <c r="E38" s="132">
        <v>2.04</v>
      </c>
      <c r="F38" s="28" t="s">
        <v>801</v>
      </c>
      <c r="G38" s="50" t="s">
        <v>792</v>
      </c>
      <c r="H38" s="50" t="s">
        <v>792</v>
      </c>
      <c r="I38" s="86" t="s">
        <v>792</v>
      </c>
      <c r="J38" s="86" t="s">
        <v>792</v>
      </c>
      <c r="K38" s="86" t="s">
        <v>819</v>
      </c>
      <c r="L38" s="86" t="s">
        <v>819</v>
      </c>
      <c r="M38" s="28" t="s">
        <v>801</v>
      </c>
      <c r="N38" s="122" t="s">
        <v>873</v>
      </c>
      <c r="O38" s="50" t="s">
        <v>792</v>
      </c>
      <c r="P38" s="86" t="s">
        <v>792</v>
      </c>
      <c r="Q38" s="86" t="s">
        <v>792</v>
      </c>
      <c r="R38" s="121" t="s">
        <v>882</v>
      </c>
      <c r="S38" s="29" t="s">
        <v>792</v>
      </c>
      <c r="T38" s="92" t="s">
        <v>885</v>
      </c>
      <c r="U38" s="21" t="str">
        <f t="shared" ref="U38" si="4">REPT("a"&amp;CHAR(10)&amp;"b",INT(LENB(SUBSTITUTE(T38,CHAR(10),""))/70))</f>
        <v/>
      </c>
    </row>
    <row r="39" spans="1:21">
      <c r="A39" s="16"/>
      <c r="B39" s="657"/>
      <c r="C39" s="660"/>
      <c r="D39" s="660"/>
      <c r="E39" s="660"/>
      <c r="F39" s="660"/>
      <c r="G39" s="660"/>
      <c r="H39" s="660"/>
      <c r="I39" s="660"/>
      <c r="J39" s="660"/>
      <c r="K39" s="660"/>
      <c r="L39" s="660"/>
      <c r="M39" s="660"/>
      <c r="N39" s="660"/>
      <c r="O39" s="660"/>
      <c r="P39" s="660"/>
      <c r="Q39" s="660"/>
      <c r="R39" s="660"/>
      <c r="S39" s="660"/>
      <c r="T39" s="661" t="s">
        <v>840</v>
      </c>
      <c r="U39" s="21" t="str">
        <f t="shared" si="2"/>
        <v/>
      </c>
    </row>
    <row r="40" spans="1:21" ht="85.5">
      <c r="A40" s="16"/>
      <c r="B40" s="113" t="s">
        <v>886</v>
      </c>
      <c r="C40" s="39" t="s">
        <v>887</v>
      </c>
      <c r="D40" s="47" t="s">
        <v>888</v>
      </c>
      <c r="E40" s="134">
        <v>2.04</v>
      </c>
      <c r="F40" s="96" t="s">
        <v>889</v>
      </c>
      <c r="G40" s="50" t="s">
        <v>792</v>
      </c>
      <c r="H40" s="50" t="s">
        <v>792</v>
      </c>
      <c r="I40" s="86" t="s">
        <v>792</v>
      </c>
      <c r="J40" s="86" t="s">
        <v>792</v>
      </c>
      <c r="K40" s="86" t="s">
        <v>819</v>
      </c>
      <c r="L40" s="86" t="s">
        <v>819</v>
      </c>
      <c r="M40" s="28" t="s">
        <v>801</v>
      </c>
      <c r="N40" s="115" t="s">
        <v>846</v>
      </c>
      <c r="O40" s="50" t="s">
        <v>792</v>
      </c>
      <c r="P40" s="86" t="s">
        <v>792</v>
      </c>
      <c r="Q40" s="86" t="s">
        <v>792</v>
      </c>
      <c r="R40" s="112">
        <v>45627</v>
      </c>
      <c r="S40" s="29" t="s">
        <v>792</v>
      </c>
      <c r="T40" s="92"/>
      <c r="U40" s="21" t="str">
        <f t="shared" si="2"/>
        <v/>
      </c>
    </row>
    <row r="41" spans="1:21" ht="99.75">
      <c r="A41" s="16"/>
      <c r="B41" s="34">
        <v>10</v>
      </c>
      <c r="C41" s="39" t="s">
        <v>312</v>
      </c>
      <c r="D41" s="30" t="s">
        <v>890</v>
      </c>
      <c r="E41" s="130">
        <v>0</v>
      </c>
      <c r="F41" s="96" t="s">
        <v>891</v>
      </c>
      <c r="G41" s="98" t="s">
        <v>799</v>
      </c>
      <c r="H41" s="50" t="s">
        <v>792</v>
      </c>
      <c r="I41" s="86" t="s">
        <v>792</v>
      </c>
      <c r="J41" s="86" t="s">
        <v>792</v>
      </c>
      <c r="K41" s="86" t="s">
        <v>819</v>
      </c>
      <c r="L41" s="86" t="s">
        <v>819</v>
      </c>
      <c r="M41" s="96" t="s">
        <v>891</v>
      </c>
      <c r="N41" s="98" t="s">
        <v>846</v>
      </c>
      <c r="O41" s="50" t="s">
        <v>792</v>
      </c>
      <c r="P41" s="86" t="s">
        <v>792</v>
      </c>
      <c r="Q41" s="86" t="s">
        <v>792</v>
      </c>
      <c r="R41" s="112">
        <v>45627</v>
      </c>
      <c r="S41" s="29" t="s">
        <v>792</v>
      </c>
      <c r="T41" s="92"/>
      <c r="U41" s="21" t="str">
        <f t="shared" si="2"/>
        <v/>
      </c>
    </row>
    <row r="42" spans="1:21" ht="71.25">
      <c r="A42" s="16"/>
      <c r="B42" s="34">
        <v>22</v>
      </c>
      <c r="C42" s="39" t="s">
        <v>337</v>
      </c>
      <c r="D42" s="30" t="s">
        <v>892</v>
      </c>
      <c r="E42" s="130">
        <v>0.8</v>
      </c>
      <c r="F42" s="96" t="s">
        <v>893</v>
      </c>
      <c r="G42" s="50" t="s">
        <v>792</v>
      </c>
      <c r="H42" s="50" t="s">
        <v>792</v>
      </c>
      <c r="I42" s="86" t="s">
        <v>792</v>
      </c>
      <c r="J42" s="86" t="s">
        <v>792</v>
      </c>
      <c r="K42" s="86" t="s">
        <v>819</v>
      </c>
      <c r="L42" s="86" t="s">
        <v>819</v>
      </c>
      <c r="M42" s="96" t="s">
        <v>893</v>
      </c>
      <c r="N42" s="115" t="s">
        <v>873</v>
      </c>
      <c r="O42" s="50" t="s">
        <v>792</v>
      </c>
      <c r="P42" s="86" t="s">
        <v>792</v>
      </c>
      <c r="Q42" s="86" t="s">
        <v>792</v>
      </c>
      <c r="R42" s="112">
        <v>45689</v>
      </c>
      <c r="S42" s="29" t="s">
        <v>792</v>
      </c>
      <c r="T42" s="92"/>
      <c r="U42" s="21" t="str">
        <f t="shared" si="2"/>
        <v/>
      </c>
    </row>
    <row r="43" spans="1:21" ht="71.25">
      <c r="A43" s="16"/>
      <c r="B43" s="34">
        <v>28</v>
      </c>
      <c r="C43" s="39" t="s">
        <v>894</v>
      </c>
      <c r="D43" s="30" t="s">
        <v>895</v>
      </c>
      <c r="E43" s="130">
        <v>1.47</v>
      </c>
      <c r="F43" s="28" t="s">
        <v>896</v>
      </c>
      <c r="G43" s="50" t="s">
        <v>792</v>
      </c>
      <c r="H43" s="50" t="s">
        <v>792</v>
      </c>
      <c r="I43" s="86" t="s">
        <v>792</v>
      </c>
      <c r="J43" s="86" t="s">
        <v>792</v>
      </c>
      <c r="K43" s="86" t="s">
        <v>819</v>
      </c>
      <c r="L43" s="86" t="s">
        <v>819</v>
      </c>
      <c r="M43" s="28" t="s">
        <v>896</v>
      </c>
      <c r="N43" s="115" t="s">
        <v>873</v>
      </c>
      <c r="O43" s="50" t="s">
        <v>792</v>
      </c>
      <c r="P43" s="86" t="s">
        <v>792</v>
      </c>
      <c r="Q43" s="86" t="s">
        <v>792</v>
      </c>
      <c r="R43" s="112">
        <v>45717</v>
      </c>
      <c r="S43" s="29" t="s">
        <v>792</v>
      </c>
      <c r="T43" s="92" t="s">
        <v>897</v>
      </c>
      <c r="U43" s="21" t="str">
        <f t="shared" si="2"/>
        <v/>
      </c>
    </row>
    <row r="44" spans="1:21" ht="96.75" customHeight="1">
      <c r="A44" s="16"/>
      <c r="B44" s="34">
        <v>37</v>
      </c>
      <c r="C44" s="39" t="s">
        <v>347</v>
      </c>
      <c r="D44" s="30" t="s">
        <v>898</v>
      </c>
      <c r="E44" s="130">
        <v>1.47</v>
      </c>
      <c r="F44" s="96" t="s">
        <v>899</v>
      </c>
      <c r="G44" s="50" t="s">
        <v>792</v>
      </c>
      <c r="H44" s="50" t="s">
        <v>792</v>
      </c>
      <c r="I44" s="86" t="s">
        <v>792</v>
      </c>
      <c r="J44" s="86" t="s">
        <v>792</v>
      </c>
      <c r="K44" s="86" t="s">
        <v>819</v>
      </c>
      <c r="L44" s="86" t="s">
        <v>819</v>
      </c>
      <c r="M44" s="96" t="s">
        <v>899</v>
      </c>
      <c r="N44" s="115" t="s">
        <v>881</v>
      </c>
      <c r="O44" s="50" t="s">
        <v>792</v>
      </c>
      <c r="P44" s="86" t="s">
        <v>792</v>
      </c>
      <c r="Q44" s="86" t="s">
        <v>792</v>
      </c>
      <c r="R44" s="112">
        <v>45658</v>
      </c>
      <c r="S44" s="29" t="s">
        <v>792</v>
      </c>
      <c r="T44" s="92"/>
      <c r="U44" s="21" t="str">
        <f t="shared" si="2"/>
        <v/>
      </c>
    </row>
    <row r="45" spans="1:21" ht="57">
      <c r="A45" s="16"/>
      <c r="B45" s="34">
        <v>38</v>
      </c>
      <c r="C45" s="39" t="s">
        <v>352</v>
      </c>
      <c r="D45" s="30" t="s">
        <v>900</v>
      </c>
      <c r="E45" s="130">
        <v>1.47</v>
      </c>
      <c r="F45" s="96" t="s">
        <v>899</v>
      </c>
      <c r="G45" s="50" t="s">
        <v>792</v>
      </c>
      <c r="H45" s="50" t="s">
        <v>792</v>
      </c>
      <c r="I45" s="86" t="s">
        <v>792</v>
      </c>
      <c r="J45" s="86" t="s">
        <v>792</v>
      </c>
      <c r="K45" s="86" t="s">
        <v>819</v>
      </c>
      <c r="L45" s="86" t="s">
        <v>819</v>
      </c>
      <c r="M45" s="96" t="s">
        <v>899</v>
      </c>
      <c r="N45" s="115" t="s">
        <v>881</v>
      </c>
      <c r="O45" s="50" t="s">
        <v>792</v>
      </c>
      <c r="P45" s="86" t="s">
        <v>792</v>
      </c>
      <c r="Q45" s="86" t="s">
        <v>792</v>
      </c>
      <c r="R45" s="112">
        <v>45689</v>
      </c>
      <c r="S45" s="29" t="s">
        <v>792</v>
      </c>
      <c r="T45" s="92"/>
      <c r="U45" s="21" t="str">
        <f t="shared" si="2"/>
        <v/>
      </c>
    </row>
    <row r="46" spans="1:21" ht="99.75" customHeight="1">
      <c r="A46" s="16"/>
      <c r="B46" s="36">
        <v>96</v>
      </c>
      <c r="C46" s="40" t="s">
        <v>341</v>
      </c>
      <c r="D46" s="25" t="s">
        <v>901</v>
      </c>
      <c r="E46" s="132">
        <v>1.47</v>
      </c>
      <c r="F46" s="96" t="s">
        <v>902</v>
      </c>
      <c r="G46" s="50" t="s">
        <v>792</v>
      </c>
      <c r="H46" s="50" t="s">
        <v>792</v>
      </c>
      <c r="I46" s="86" t="s">
        <v>792</v>
      </c>
      <c r="J46" s="86" t="s">
        <v>792</v>
      </c>
      <c r="K46" s="86" t="s">
        <v>819</v>
      </c>
      <c r="L46" s="86" t="s">
        <v>819</v>
      </c>
      <c r="M46" s="96" t="s">
        <v>902</v>
      </c>
      <c r="N46" s="115" t="s">
        <v>873</v>
      </c>
      <c r="O46" s="50" t="s">
        <v>792</v>
      </c>
      <c r="P46" s="86" t="s">
        <v>792</v>
      </c>
      <c r="Q46" s="86" t="s">
        <v>792</v>
      </c>
      <c r="R46" s="112">
        <v>45717</v>
      </c>
      <c r="S46" s="29" t="s">
        <v>792</v>
      </c>
      <c r="T46" s="92" t="s">
        <v>874</v>
      </c>
      <c r="U46" s="21" t="str">
        <f t="shared" si="2"/>
        <v/>
      </c>
    </row>
    <row r="47" spans="1:21">
      <c r="A47" s="16"/>
      <c r="B47" s="657" t="s">
        <v>356</v>
      </c>
      <c r="C47" s="660"/>
      <c r="D47" s="660"/>
      <c r="E47" s="660"/>
      <c r="F47" s="660"/>
      <c r="G47" s="660"/>
      <c r="H47" s="660"/>
      <c r="I47" s="660"/>
      <c r="J47" s="660"/>
      <c r="K47" s="660"/>
      <c r="L47" s="660"/>
      <c r="M47" s="660"/>
      <c r="N47" s="660"/>
      <c r="O47" s="660"/>
      <c r="P47" s="660"/>
      <c r="Q47" s="660"/>
      <c r="R47" s="660"/>
      <c r="S47" s="660"/>
      <c r="T47" s="661" t="s">
        <v>840</v>
      </c>
      <c r="U47" s="21" t="str">
        <f t="shared" si="2"/>
        <v/>
      </c>
    </row>
    <row r="48" spans="1:21" ht="42.75">
      <c r="A48" s="16"/>
      <c r="B48" s="34">
        <v>23</v>
      </c>
      <c r="C48" s="49" t="s">
        <v>359</v>
      </c>
      <c r="D48" s="51" t="s">
        <v>903</v>
      </c>
      <c r="E48" s="135">
        <v>1.47</v>
      </c>
      <c r="F48" s="28" t="s">
        <v>801</v>
      </c>
      <c r="G48" s="50" t="s">
        <v>792</v>
      </c>
      <c r="H48" s="50" t="s">
        <v>792</v>
      </c>
      <c r="I48" s="86" t="s">
        <v>792</v>
      </c>
      <c r="J48" s="86" t="s">
        <v>792</v>
      </c>
      <c r="K48" s="86" t="s">
        <v>819</v>
      </c>
      <c r="L48" s="86" t="s">
        <v>819</v>
      </c>
      <c r="M48" s="28" t="s">
        <v>801</v>
      </c>
      <c r="N48" s="115" t="s">
        <v>871</v>
      </c>
      <c r="O48" s="50" t="s">
        <v>792</v>
      </c>
      <c r="P48" s="86" t="s">
        <v>792</v>
      </c>
      <c r="Q48" s="86" t="s">
        <v>792</v>
      </c>
      <c r="R48" s="112">
        <v>45809</v>
      </c>
      <c r="S48" s="29" t="s">
        <v>792</v>
      </c>
      <c r="T48" s="92" t="s">
        <v>904</v>
      </c>
      <c r="U48" s="21" t="str">
        <f t="shared" si="2"/>
        <v/>
      </c>
    </row>
    <row r="49" spans="1:21" ht="28.5">
      <c r="A49" s="16"/>
      <c r="B49" s="36">
        <v>39</v>
      </c>
      <c r="C49" s="52" t="s">
        <v>362</v>
      </c>
      <c r="D49" s="45" t="s">
        <v>905</v>
      </c>
      <c r="E49" s="133">
        <v>0.8</v>
      </c>
      <c r="F49" s="96" t="s">
        <v>906</v>
      </c>
      <c r="G49" s="50" t="s">
        <v>792</v>
      </c>
      <c r="H49" s="85" t="s">
        <v>792</v>
      </c>
      <c r="I49" s="85" t="s">
        <v>792</v>
      </c>
      <c r="J49" s="85" t="s">
        <v>792</v>
      </c>
      <c r="K49" s="86" t="s">
        <v>819</v>
      </c>
      <c r="L49" s="86" t="s">
        <v>819</v>
      </c>
      <c r="M49" s="96" t="s">
        <v>906</v>
      </c>
      <c r="N49" s="115" t="s">
        <v>871</v>
      </c>
      <c r="O49" s="50" t="s">
        <v>792</v>
      </c>
      <c r="P49" s="86" t="s">
        <v>792</v>
      </c>
      <c r="Q49" s="86" t="s">
        <v>792</v>
      </c>
      <c r="R49" s="112">
        <v>45839</v>
      </c>
      <c r="S49" s="29" t="s">
        <v>792</v>
      </c>
      <c r="T49" s="92"/>
      <c r="U49" s="21" t="str">
        <f t="shared" si="2"/>
        <v/>
      </c>
    </row>
    <row r="50" spans="1:21">
      <c r="A50" s="16"/>
      <c r="B50" s="657" t="s">
        <v>907</v>
      </c>
      <c r="C50" s="660"/>
      <c r="D50" s="660"/>
      <c r="E50" s="660"/>
      <c r="F50" s="660"/>
      <c r="G50" s="660"/>
      <c r="H50" s="660"/>
      <c r="I50" s="660"/>
      <c r="J50" s="660"/>
      <c r="K50" s="660"/>
      <c r="L50" s="660"/>
      <c r="M50" s="660"/>
      <c r="N50" s="660"/>
      <c r="O50" s="660"/>
      <c r="P50" s="660"/>
      <c r="Q50" s="660"/>
      <c r="R50" s="660"/>
      <c r="S50" s="660"/>
      <c r="T50" s="661" t="s">
        <v>840</v>
      </c>
      <c r="U50" s="21" t="str">
        <f t="shared" si="2"/>
        <v/>
      </c>
    </row>
    <row r="51" spans="1:21" ht="128.25">
      <c r="A51" s="16"/>
      <c r="B51" s="34">
        <v>11</v>
      </c>
      <c r="C51" s="49" t="s">
        <v>429</v>
      </c>
      <c r="D51" s="51" t="s">
        <v>908</v>
      </c>
      <c r="E51" s="135">
        <v>2.04</v>
      </c>
      <c r="F51" s="28" t="s">
        <v>909</v>
      </c>
      <c r="G51" s="83" t="s">
        <v>792</v>
      </c>
      <c r="H51" s="50" t="s">
        <v>792</v>
      </c>
      <c r="I51" s="86" t="s">
        <v>792</v>
      </c>
      <c r="J51" s="86" t="s">
        <v>792</v>
      </c>
      <c r="K51" s="86" t="s">
        <v>819</v>
      </c>
      <c r="L51" s="86" t="s">
        <v>819</v>
      </c>
      <c r="M51" s="28" t="s">
        <v>909</v>
      </c>
      <c r="N51" s="115" t="s">
        <v>910</v>
      </c>
      <c r="O51" s="50" t="s">
        <v>792</v>
      </c>
      <c r="P51" s="86" t="s">
        <v>792</v>
      </c>
      <c r="Q51" s="86" t="s">
        <v>792</v>
      </c>
      <c r="R51" s="112">
        <v>45717</v>
      </c>
      <c r="S51" s="29" t="s">
        <v>792</v>
      </c>
      <c r="T51" s="92"/>
      <c r="U51" s="21" t="str">
        <f t="shared" si="2"/>
        <v/>
      </c>
    </row>
    <row r="52" spans="1:21" ht="57">
      <c r="A52" s="16"/>
      <c r="B52" s="34">
        <v>12</v>
      </c>
      <c r="C52" s="49" t="s">
        <v>432</v>
      </c>
      <c r="D52" s="53" t="s">
        <v>911</v>
      </c>
      <c r="E52" s="136">
        <v>2.04</v>
      </c>
      <c r="F52" s="28" t="s">
        <v>909</v>
      </c>
      <c r="G52" s="50" t="s">
        <v>792</v>
      </c>
      <c r="H52" s="50" t="s">
        <v>792</v>
      </c>
      <c r="I52" s="86" t="s">
        <v>792</v>
      </c>
      <c r="J52" s="86" t="s">
        <v>792</v>
      </c>
      <c r="K52" s="86" t="s">
        <v>819</v>
      </c>
      <c r="L52" s="86" t="s">
        <v>819</v>
      </c>
      <c r="M52" s="28" t="s">
        <v>909</v>
      </c>
      <c r="N52" s="115" t="s">
        <v>910</v>
      </c>
      <c r="O52" s="50" t="s">
        <v>792</v>
      </c>
      <c r="P52" s="86" t="s">
        <v>792</v>
      </c>
      <c r="Q52" s="86" t="s">
        <v>792</v>
      </c>
      <c r="R52" s="112">
        <v>45748</v>
      </c>
      <c r="S52" s="29" t="s">
        <v>792</v>
      </c>
      <c r="T52" s="92"/>
      <c r="U52" s="21" t="str">
        <f t="shared" si="2"/>
        <v/>
      </c>
    </row>
    <row r="53" spans="1:21" s="55" customFormat="1" ht="85.5">
      <c r="A53" s="16"/>
      <c r="B53" s="34">
        <v>14</v>
      </c>
      <c r="C53" s="49" t="s">
        <v>435</v>
      </c>
      <c r="D53" s="53" t="s">
        <v>912</v>
      </c>
      <c r="E53" s="136">
        <v>1.47</v>
      </c>
      <c r="F53" s="28" t="s">
        <v>913</v>
      </c>
      <c r="G53" s="50" t="s">
        <v>792</v>
      </c>
      <c r="H53" s="50" t="s">
        <v>792</v>
      </c>
      <c r="I53" s="86" t="s">
        <v>792</v>
      </c>
      <c r="J53" s="86" t="s">
        <v>792</v>
      </c>
      <c r="K53" s="86" t="s">
        <v>819</v>
      </c>
      <c r="L53" s="86" t="s">
        <v>819</v>
      </c>
      <c r="M53" s="28" t="s">
        <v>913</v>
      </c>
      <c r="N53" s="115" t="s">
        <v>910</v>
      </c>
      <c r="O53" s="50" t="s">
        <v>792</v>
      </c>
      <c r="P53" s="86" t="s">
        <v>792</v>
      </c>
      <c r="Q53" s="86" t="s">
        <v>792</v>
      </c>
      <c r="R53" s="112">
        <v>45748</v>
      </c>
      <c r="S53" s="29" t="s">
        <v>792</v>
      </c>
      <c r="T53" s="92"/>
      <c r="U53" s="54" t="str">
        <f t="shared" si="2"/>
        <v/>
      </c>
    </row>
    <row r="54" spans="1:21" ht="142.5">
      <c r="A54" s="16"/>
      <c r="B54" s="120" t="s">
        <v>914</v>
      </c>
      <c r="C54" s="49" t="s">
        <v>438</v>
      </c>
      <c r="D54" s="53" t="s">
        <v>915</v>
      </c>
      <c r="E54" s="136">
        <v>0.8</v>
      </c>
      <c r="F54" s="28" t="s">
        <v>916</v>
      </c>
      <c r="G54" s="50" t="s">
        <v>792</v>
      </c>
      <c r="H54" s="50" t="s">
        <v>792</v>
      </c>
      <c r="I54" s="86" t="s">
        <v>792</v>
      </c>
      <c r="J54" s="86" t="s">
        <v>792</v>
      </c>
      <c r="K54" s="86" t="s">
        <v>819</v>
      </c>
      <c r="L54" s="86" t="s">
        <v>819</v>
      </c>
      <c r="M54" s="28" t="s">
        <v>916</v>
      </c>
      <c r="N54" s="115" t="s">
        <v>873</v>
      </c>
      <c r="O54" s="50" t="s">
        <v>792</v>
      </c>
      <c r="P54" s="86" t="s">
        <v>792</v>
      </c>
      <c r="Q54" s="86" t="s">
        <v>792</v>
      </c>
      <c r="R54" s="112">
        <v>45717</v>
      </c>
      <c r="S54" s="29" t="s">
        <v>792</v>
      </c>
      <c r="T54" s="92"/>
      <c r="U54" s="21" t="str">
        <f t="shared" si="2"/>
        <v/>
      </c>
    </row>
    <row r="55" spans="1:21" ht="57">
      <c r="A55" s="16"/>
      <c r="B55" s="120" t="s">
        <v>917</v>
      </c>
      <c r="C55" s="49" t="s">
        <v>441</v>
      </c>
      <c r="D55" s="53" t="s">
        <v>918</v>
      </c>
      <c r="E55" s="136">
        <v>1.47</v>
      </c>
      <c r="F55" s="28" t="s">
        <v>889</v>
      </c>
      <c r="G55" s="50" t="s">
        <v>792</v>
      </c>
      <c r="H55" s="50" t="s">
        <v>792</v>
      </c>
      <c r="I55" s="86" t="s">
        <v>792</v>
      </c>
      <c r="J55" s="86" t="s">
        <v>792</v>
      </c>
      <c r="K55" s="86" t="s">
        <v>819</v>
      </c>
      <c r="L55" s="86" t="s">
        <v>819</v>
      </c>
      <c r="M55" s="28" t="s">
        <v>889</v>
      </c>
      <c r="N55" s="115" t="s">
        <v>910</v>
      </c>
      <c r="O55" s="50" t="s">
        <v>792</v>
      </c>
      <c r="P55" s="86" t="s">
        <v>792</v>
      </c>
      <c r="Q55" s="86" t="s">
        <v>792</v>
      </c>
      <c r="R55" s="112">
        <v>45748</v>
      </c>
      <c r="S55" s="29" t="s">
        <v>792</v>
      </c>
      <c r="T55" s="92"/>
      <c r="U55" s="21" t="str">
        <f t="shared" si="2"/>
        <v/>
      </c>
    </row>
    <row r="56" spans="1:21" ht="85.5">
      <c r="A56" s="16"/>
      <c r="B56" s="120" t="s">
        <v>919</v>
      </c>
      <c r="C56" s="49" t="s">
        <v>444</v>
      </c>
      <c r="D56" s="53" t="s">
        <v>920</v>
      </c>
      <c r="E56" s="136">
        <v>2.04</v>
      </c>
      <c r="F56" s="28" t="s">
        <v>921</v>
      </c>
      <c r="G56" s="50" t="s">
        <v>792</v>
      </c>
      <c r="H56" s="50" t="s">
        <v>792</v>
      </c>
      <c r="I56" s="86" t="s">
        <v>792</v>
      </c>
      <c r="J56" s="86" t="s">
        <v>792</v>
      </c>
      <c r="K56" s="86" t="s">
        <v>819</v>
      </c>
      <c r="L56" s="86" t="s">
        <v>819</v>
      </c>
      <c r="M56" s="28" t="s">
        <v>921</v>
      </c>
      <c r="N56" s="115" t="s">
        <v>877</v>
      </c>
      <c r="O56" s="50" t="s">
        <v>792</v>
      </c>
      <c r="P56" s="86" t="s">
        <v>792</v>
      </c>
      <c r="Q56" s="86" t="s">
        <v>792</v>
      </c>
      <c r="R56" s="112">
        <v>45748</v>
      </c>
      <c r="S56" s="29" t="s">
        <v>792</v>
      </c>
      <c r="T56" s="92"/>
      <c r="U56" s="21" t="str">
        <f t="shared" si="2"/>
        <v/>
      </c>
    </row>
    <row r="57" spans="1:21" ht="42.75">
      <c r="A57" s="16"/>
      <c r="B57" s="119" t="s">
        <v>922</v>
      </c>
      <c r="C57" s="52" t="s">
        <v>447</v>
      </c>
      <c r="D57" s="45" t="s">
        <v>923</v>
      </c>
      <c r="E57" s="133">
        <v>1.47</v>
      </c>
      <c r="F57" s="105" t="s">
        <v>924</v>
      </c>
      <c r="G57" s="50" t="s">
        <v>792</v>
      </c>
      <c r="H57" s="50" t="s">
        <v>792</v>
      </c>
      <c r="I57" s="86" t="s">
        <v>792</v>
      </c>
      <c r="J57" s="86" t="s">
        <v>792</v>
      </c>
      <c r="K57" s="86" t="s">
        <v>819</v>
      </c>
      <c r="L57" s="86" t="s">
        <v>819</v>
      </c>
      <c r="M57" s="105" t="s">
        <v>924</v>
      </c>
      <c r="N57" s="115" t="s">
        <v>877</v>
      </c>
      <c r="O57" s="50" t="s">
        <v>792</v>
      </c>
      <c r="P57" s="86" t="s">
        <v>792</v>
      </c>
      <c r="Q57" s="86" t="s">
        <v>792</v>
      </c>
      <c r="R57" s="112">
        <v>45778</v>
      </c>
      <c r="S57" s="44" t="s">
        <v>792</v>
      </c>
      <c r="T57" s="92"/>
      <c r="U57" s="21" t="str">
        <f t="shared" si="2"/>
        <v/>
      </c>
    </row>
    <row r="58" spans="1:21">
      <c r="A58" s="16"/>
      <c r="B58" s="657" t="s">
        <v>386</v>
      </c>
      <c r="C58" s="660"/>
      <c r="D58" s="660"/>
      <c r="E58" s="660"/>
      <c r="F58" s="660"/>
      <c r="G58" s="660"/>
      <c r="H58" s="660"/>
      <c r="I58" s="660"/>
      <c r="J58" s="660"/>
      <c r="K58" s="660"/>
      <c r="L58" s="660"/>
      <c r="M58" s="660"/>
      <c r="N58" s="660"/>
      <c r="O58" s="660"/>
      <c r="P58" s="660"/>
      <c r="Q58" s="660"/>
      <c r="R58" s="660"/>
      <c r="S58" s="660"/>
      <c r="T58" s="661"/>
      <c r="U58" s="21" t="str">
        <f t="shared" si="2"/>
        <v/>
      </c>
    </row>
    <row r="59" spans="1:21" ht="85.5">
      <c r="A59" s="16"/>
      <c r="B59" s="120" t="s">
        <v>925</v>
      </c>
      <c r="C59" s="39" t="s">
        <v>387</v>
      </c>
      <c r="D59" s="51" t="s">
        <v>926</v>
      </c>
      <c r="E59" s="135">
        <v>2.04</v>
      </c>
      <c r="F59" s="28" t="s">
        <v>927</v>
      </c>
      <c r="G59" s="50" t="s">
        <v>792</v>
      </c>
      <c r="H59" s="50" t="s">
        <v>792</v>
      </c>
      <c r="I59" s="86" t="s">
        <v>792</v>
      </c>
      <c r="J59" s="86" t="s">
        <v>792</v>
      </c>
      <c r="K59" s="86" t="s">
        <v>819</v>
      </c>
      <c r="L59" s="86" t="s">
        <v>819</v>
      </c>
      <c r="M59" s="28" t="s">
        <v>927</v>
      </c>
      <c r="N59" s="115" t="s">
        <v>928</v>
      </c>
      <c r="O59" s="50" t="s">
        <v>792</v>
      </c>
      <c r="P59" s="86" t="s">
        <v>792</v>
      </c>
      <c r="Q59" s="86" t="s">
        <v>792</v>
      </c>
      <c r="R59" s="112">
        <v>45839</v>
      </c>
      <c r="S59" s="29" t="s">
        <v>792</v>
      </c>
      <c r="T59" s="92"/>
      <c r="U59" s="21" t="str">
        <f t="shared" si="2"/>
        <v/>
      </c>
    </row>
    <row r="60" spans="1:21" ht="85.5">
      <c r="A60" s="16"/>
      <c r="B60" s="120" t="s">
        <v>929</v>
      </c>
      <c r="C60" s="49" t="s">
        <v>390</v>
      </c>
      <c r="D60" s="53" t="s">
        <v>930</v>
      </c>
      <c r="E60" s="136">
        <v>1.73</v>
      </c>
      <c r="F60" s="28" t="s">
        <v>927</v>
      </c>
      <c r="G60" s="50" t="s">
        <v>792</v>
      </c>
      <c r="H60" s="50" t="s">
        <v>792</v>
      </c>
      <c r="I60" s="86" t="s">
        <v>792</v>
      </c>
      <c r="J60" s="86" t="s">
        <v>792</v>
      </c>
      <c r="K60" s="86" t="s">
        <v>819</v>
      </c>
      <c r="L60" s="86" t="s">
        <v>819</v>
      </c>
      <c r="M60" s="28" t="s">
        <v>927</v>
      </c>
      <c r="N60" s="115" t="s">
        <v>928</v>
      </c>
      <c r="O60" s="50" t="s">
        <v>792</v>
      </c>
      <c r="P60" s="86" t="s">
        <v>792</v>
      </c>
      <c r="Q60" s="86" t="s">
        <v>792</v>
      </c>
      <c r="R60" s="112">
        <v>45870</v>
      </c>
      <c r="S60" s="29" t="s">
        <v>792</v>
      </c>
      <c r="T60" s="92"/>
      <c r="U60" s="21" t="str">
        <f t="shared" si="2"/>
        <v/>
      </c>
    </row>
    <row r="61" spans="1:21" s="55" customFormat="1" ht="99.75">
      <c r="A61" s="16"/>
      <c r="B61" s="119" t="s">
        <v>931</v>
      </c>
      <c r="C61" s="52" t="s">
        <v>398</v>
      </c>
      <c r="D61" s="45" t="s">
        <v>932</v>
      </c>
      <c r="E61" s="133">
        <v>1.47</v>
      </c>
      <c r="F61" s="28" t="s">
        <v>801</v>
      </c>
      <c r="G61" s="50" t="s">
        <v>792</v>
      </c>
      <c r="H61" s="50" t="s">
        <v>792</v>
      </c>
      <c r="I61" s="86" t="s">
        <v>792</v>
      </c>
      <c r="J61" s="86" t="s">
        <v>792</v>
      </c>
      <c r="K61" s="86" t="s">
        <v>819</v>
      </c>
      <c r="L61" s="86" t="s">
        <v>819</v>
      </c>
      <c r="M61" s="28" t="s">
        <v>801</v>
      </c>
      <c r="N61" s="115" t="s">
        <v>881</v>
      </c>
      <c r="O61" s="50" t="s">
        <v>792</v>
      </c>
      <c r="P61" s="86" t="s">
        <v>792</v>
      </c>
      <c r="Q61" s="86" t="s">
        <v>792</v>
      </c>
      <c r="R61" s="121" t="s">
        <v>882</v>
      </c>
      <c r="S61" s="29" t="s">
        <v>792</v>
      </c>
      <c r="T61" s="92" t="s">
        <v>933</v>
      </c>
      <c r="U61" s="54" t="str">
        <f t="shared" si="2"/>
        <v/>
      </c>
    </row>
    <row r="62" spans="1:21">
      <c r="A62" s="16"/>
      <c r="B62" s="657" t="s">
        <v>934</v>
      </c>
      <c r="C62" s="658"/>
      <c r="D62" s="658"/>
      <c r="E62" s="658"/>
      <c r="F62" s="660"/>
      <c r="G62" s="660"/>
      <c r="H62" s="660"/>
      <c r="I62" s="660"/>
      <c r="J62" s="660"/>
      <c r="K62" s="660"/>
      <c r="L62" s="660"/>
      <c r="M62" s="660"/>
      <c r="N62" s="660"/>
      <c r="O62" s="660"/>
      <c r="P62" s="660"/>
      <c r="Q62" s="660"/>
      <c r="R62" s="660"/>
      <c r="S62" s="660"/>
      <c r="T62" s="661"/>
      <c r="U62" s="21" t="str">
        <f t="shared" si="2"/>
        <v/>
      </c>
    </row>
    <row r="63" spans="1:21" ht="42.75">
      <c r="A63" s="16"/>
      <c r="B63" s="34">
        <v>40</v>
      </c>
      <c r="C63" s="49" t="s">
        <v>935</v>
      </c>
      <c r="D63" s="53" t="s">
        <v>936</v>
      </c>
      <c r="E63" s="136">
        <v>0</v>
      </c>
      <c r="F63" s="28" t="s">
        <v>937</v>
      </c>
      <c r="G63" s="50" t="s">
        <v>792</v>
      </c>
      <c r="H63" s="50" t="s">
        <v>792</v>
      </c>
      <c r="I63" s="86" t="s">
        <v>792</v>
      </c>
      <c r="J63" s="86" t="s">
        <v>792</v>
      </c>
      <c r="K63" s="86" t="s">
        <v>819</v>
      </c>
      <c r="L63" s="86" t="s">
        <v>819</v>
      </c>
      <c r="M63" s="28" t="s">
        <v>937</v>
      </c>
      <c r="N63" s="115" t="s">
        <v>846</v>
      </c>
      <c r="O63" s="50" t="s">
        <v>792</v>
      </c>
      <c r="P63" s="86" t="s">
        <v>792</v>
      </c>
      <c r="Q63" s="86" t="s">
        <v>792</v>
      </c>
      <c r="R63" s="112">
        <v>45658</v>
      </c>
      <c r="S63" s="29" t="s">
        <v>792</v>
      </c>
      <c r="T63" s="92"/>
      <c r="U63" s="21" t="str">
        <f t="shared" si="2"/>
        <v/>
      </c>
    </row>
    <row r="64" spans="1:21" ht="42.75">
      <c r="A64" s="16"/>
      <c r="B64" s="34">
        <v>74</v>
      </c>
      <c r="C64" s="49" t="s">
        <v>938</v>
      </c>
      <c r="D64" s="53" t="s">
        <v>939</v>
      </c>
      <c r="E64" s="136">
        <v>1.47</v>
      </c>
      <c r="F64" s="28" t="s">
        <v>801</v>
      </c>
      <c r="G64" s="50" t="s">
        <v>792</v>
      </c>
      <c r="H64" s="50" t="s">
        <v>792</v>
      </c>
      <c r="I64" s="86" t="s">
        <v>792</v>
      </c>
      <c r="J64" s="86" t="s">
        <v>792</v>
      </c>
      <c r="K64" s="86" t="s">
        <v>819</v>
      </c>
      <c r="L64" s="86" t="s">
        <v>819</v>
      </c>
      <c r="M64" s="28" t="s">
        <v>801</v>
      </c>
      <c r="N64" s="117" t="s">
        <v>940</v>
      </c>
      <c r="O64" s="44" t="s">
        <v>792</v>
      </c>
      <c r="P64" s="85" t="s">
        <v>792</v>
      </c>
      <c r="Q64" s="85" t="s">
        <v>792</v>
      </c>
      <c r="R64" s="116">
        <v>45809</v>
      </c>
      <c r="S64" s="29" t="s">
        <v>792</v>
      </c>
      <c r="T64" s="92" t="s">
        <v>885</v>
      </c>
      <c r="U64" s="21" t="str">
        <f t="shared" si="2"/>
        <v/>
      </c>
    </row>
    <row r="65" spans="1:21" ht="71.25">
      <c r="A65" s="16"/>
      <c r="B65" s="36">
        <v>82</v>
      </c>
      <c r="C65" s="52" t="s">
        <v>941</v>
      </c>
      <c r="D65" s="45" t="s">
        <v>942</v>
      </c>
      <c r="E65" s="137">
        <v>0</v>
      </c>
      <c r="F65" s="43" t="s">
        <v>58</v>
      </c>
      <c r="G65" s="117" t="s">
        <v>846</v>
      </c>
      <c r="H65" s="85" t="s">
        <v>792</v>
      </c>
      <c r="I65" s="85" t="s">
        <v>792</v>
      </c>
      <c r="J65" s="85" t="s">
        <v>792</v>
      </c>
      <c r="K65" s="85" t="s">
        <v>819</v>
      </c>
      <c r="L65" s="85" t="s">
        <v>819</v>
      </c>
      <c r="M65" s="43" t="s">
        <v>58</v>
      </c>
      <c r="N65" s="117" t="s">
        <v>846</v>
      </c>
      <c r="O65" s="44" t="s">
        <v>792</v>
      </c>
      <c r="P65" s="85" t="s">
        <v>792</v>
      </c>
      <c r="Q65" s="85" t="s">
        <v>792</v>
      </c>
      <c r="R65" s="116">
        <v>45597</v>
      </c>
      <c r="S65" s="44" t="s">
        <v>792</v>
      </c>
      <c r="T65" s="93"/>
      <c r="U65" s="21" t="str">
        <f t="shared" si="2"/>
        <v/>
      </c>
    </row>
    <row r="66" spans="1:21">
      <c r="A66" s="16"/>
      <c r="B66" s="683" t="s">
        <v>618</v>
      </c>
      <c r="C66" s="684"/>
      <c r="D66" s="684"/>
      <c r="E66" s="684"/>
      <c r="F66" s="684"/>
      <c r="G66" s="684"/>
      <c r="H66" s="684"/>
      <c r="I66" s="684"/>
      <c r="J66" s="684"/>
      <c r="K66" s="684"/>
      <c r="L66" s="684"/>
      <c r="M66" s="684"/>
      <c r="N66" s="684"/>
      <c r="O66" s="684"/>
      <c r="P66" s="684"/>
      <c r="Q66" s="684"/>
      <c r="R66" s="684"/>
      <c r="S66" s="684"/>
      <c r="T66" s="685"/>
      <c r="U66" s="21" t="str">
        <f t="shared" si="2"/>
        <v/>
      </c>
    </row>
    <row r="67" spans="1:21" ht="85.5">
      <c r="A67" s="16"/>
      <c r="B67" s="120" t="s">
        <v>943</v>
      </c>
      <c r="C67" s="49" t="s">
        <v>219</v>
      </c>
      <c r="D67" s="57" t="s">
        <v>944</v>
      </c>
      <c r="E67" s="136">
        <v>2.04</v>
      </c>
      <c r="F67" s="96" t="s">
        <v>880</v>
      </c>
      <c r="G67" s="50" t="s">
        <v>792</v>
      </c>
      <c r="H67" s="50" t="s">
        <v>792</v>
      </c>
      <c r="I67" s="86" t="s">
        <v>792</v>
      </c>
      <c r="J67" s="86" t="s">
        <v>792</v>
      </c>
      <c r="K67" s="86" t="s">
        <v>819</v>
      </c>
      <c r="L67" s="86" t="s">
        <v>819</v>
      </c>
      <c r="M67" s="96" t="s">
        <v>880</v>
      </c>
      <c r="N67" s="115" t="s">
        <v>881</v>
      </c>
      <c r="O67" s="50" t="s">
        <v>792</v>
      </c>
      <c r="P67" s="86" t="s">
        <v>792</v>
      </c>
      <c r="Q67" s="86" t="s">
        <v>792</v>
      </c>
      <c r="R67" s="112">
        <v>45658</v>
      </c>
      <c r="S67" s="29" t="s">
        <v>792</v>
      </c>
      <c r="T67" s="92"/>
      <c r="U67" s="21" t="str">
        <f t="shared" si="2"/>
        <v/>
      </c>
    </row>
    <row r="68" spans="1:21" ht="28.5">
      <c r="A68" s="16"/>
      <c r="B68" s="120" t="s">
        <v>945</v>
      </c>
      <c r="C68" s="49" t="s">
        <v>946</v>
      </c>
      <c r="D68" s="58" t="s">
        <v>947</v>
      </c>
      <c r="E68" s="133">
        <v>1.47</v>
      </c>
      <c r="F68" s="96" t="s">
        <v>798</v>
      </c>
      <c r="G68" s="50" t="s">
        <v>792</v>
      </c>
      <c r="H68" s="50" t="s">
        <v>792</v>
      </c>
      <c r="I68" s="86" t="s">
        <v>792</v>
      </c>
      <c r="J68" s="86" t="s">
        <v>792</v>
      </c>
      <c r="K68" s="86" t="s">
        <v>819</v>
      </c>
      <c r="L68" s="86" t="s">
        <v>819</v>
      </c>
      <c r="M68" s="96" t="s">
        <v>798</v>
      </c>
      <c r="N68" s="115" t="s">
        <v>846</v>
      </c>
      <c r="O68" s="50" t="s">
        <v>792</v>
      </c>
      <c r="P68" s="86" t="s">
        <v>792</v>
      </c>
      <c r="Q68" s="86" t="s">
        <v>792</v>
      </c>
      <c r="R68" s="112">
        <v>45658</v>
      </c>
      <c r="S68" s="29" t="s">
        <v>792</v>
      </c>
      <c r="T68" s="92"/>
      <c r="U68" s="21" t="str">
        <f t="shared" si="2"/>
        <v/>
      </c>
    </row>
    <row r="69" spans="1:21" s="55" customFormat="1" ht="71.25">
      <c r="A69" s="16"/>
      <c r="B69" s="123" t="s">
        <v>948</v>
      </c>
      <c r="C69" s="49" t="s">
        <v>415</v>
      </c>
      <c r="D69" s="58" t="s">
        <v>949</v>
      </c>
      <c r="E69" s="133">
        <v>0.41</v>
      </c>
      <c r="F69" s="96" t="s">
        <v>950</v>
      </c>
      <c r="G69" s="50" t="s">
        <v>792</v>
      </c>
      <c r="H69" s="50" t="s">
        <v>792</v>
      </c>
      <c r="I69" s="86" t="s">
        <v>792</v>
      </c>
      <c r="J69" s="86" t="s">
        <v>792</v>
      </c>
      <c r="K69" s="86" t="s">
        <v>819</v>
      </c>
      <c r="L69" s="86" t="s">
        <v>819</v>
      </c>
      <c r="M69" s="96" t="s">
        <v>950</v>
      </c>
      <c r="N69" s="115" t="s">
        <v>873</v>
      </c>
      <c r="O69" s="50" t="s">
        <v>792</v>
      </c>
      <c r="P69" s="86" t="s">
        <v>792</v>
      </c>
      <c r="Q69" s="86" t="s">
        <v>792</v>
      </c>
      <c r="R69" s="112">
        <v>45717</v>
      </c>
      <c r="S69" s="29" t="s">
        <v>792</v>
      </c>
      <c r="T69" s="92"/>
      <c r="U69" s="54" t="str">
        <f t="shared" si="2"/>
        <v/>
      </c>
    </row>
    <row r="70" spans="1:21" ht="156.75">
      <c r="A70" s="16"/>
      <c r="B70" s="123"/>
      <c r="C70" s="106" t="s">
        <v>401</v>
      </c>
      <c r="D70" s="107" t="s">
        <v>951</v>
      </c>
      <c r="E70" s="138">
        <v>1.47</v>
      </c>
      <c r="F70" s="108" t="s">
        <v>801</v>
      </c>
      <c r="G70" s="110" t="s">
        <v>792</v>
      </c>
      <c r="H70" s="110" t="s">
        <v>792</v>
      </c>
      <c r="I70" s="109" t="s">
        <v>792</v>
      </c>
      <c r="J70" s="109" t="s">
        <v>792</v>
      </c>
      <c r="K70" s="109" t="s">
        <v>819</v>
      </c>
      <c r="L70" s="109" t="s">
        <v>819</v>
      </c>
      <c r="M70" s="108" t="s">
        <v>801</v>
      </c>
      <c r="N70" s="110" t="s">
        <v>792</v>
      </c>
      <c r="O70" s="110" t="s">
        <v>792</v>
      </c>
      <c r="P70" s="109" t="s">
        <v>792</v>
      </c>
      <c r="Q70" s="109" t="s">
        <v>792</v>
      </c>
      <c r="R70" s="109" t="s">
        <v>819</v>
      </c>
      <c r="S70" s="109" t="s">
        <v>819</v>
      </c>
      <c r="T70" s="111" t="s">
        <v>952</v>
      </c>
      <c r="U70" s="21" t="str">
        <f t="shared" si="2"/>
        <v/>
      </c>
    </row>
    <row r="71" spans="1:21" ht="31.5" customHeight="1">
      <c r="A71" s="16"/>
      <c r="B71" s="123"/>
      <c r="C71" s="124" t="s">
        <v>633</v>
      </c>
      <c r="D71" s="67"/>
      <c r="E71" s="130">
        <v>2.0299999999999998</v>
      </c>
      <c r="F71" s="28" t="s">
        <v>792</v>
      </c>
      <c r="G71" s="50" t="s">
        <v>792</v>
      </c>
      <c r="H71" s="50" t="s">
        <v>792</v>
      </c>
      <c r="I71" s="86" t="s">
        <v>792</v>
      </c>
      <c r="J71" s="86" t="s">
        <v>792</v>
      </c>
      <c r="K71" s="86" t="s">
        <v>819</v>
      </c>
      <c r="L71" s="86" t="s">
        <v>819</v>
      </c>
      <c r="M71" s="28" t="s">
        <v>792</v>
      </c>
      <c r="N71" s="115" t="s">
        <v>928</v>
      </c>
      <c r="O71" s="50" t="s">
        <v>792</v>
      </c>
      <c r="P71" s="86" t="s">
        <v>792</v>
      </c>
      <c r="Q71" s="86" t="s">
        <v>792</v>
      </c>
      <c r="R71" s="112">
        <v>45870</v>
      </c>
      <c r="S71" s="29" t="s">
        <v>792</v>
      </c>
      <c r="T71" s="92"/>
      <c r="U71" s="21"/>
    </row>
    <row r="72" spans="1:21" ht="31.5" customHeight="1">
      <c r="A72" s="16"/>
      <c r="B72" s="123"/>
      <c r="C72" s="124" t="s">
        <v>634</v>
      </c>
      <c r="D72" s="67"/>
      <c r="E72" s="130">
        <v>2.0299999999999998</v>
      </c>
      <c r="F72" s="28" t="s">
        <v>792</v>
      </c>
      <c r="G72" s="50" t="s">
        <v>792</v>
      </c>
      <c r="H72" s="50" t="s">
        <v>792</v>
      </c>
      <c r="I72" s="86" t="s">
        <v>792</v>
      </c>
      <c r="J72" s="86" t="s">
        <v>792</v>
      </c>
      <c r="K72" s="86" t="s">
        <v>819</v>
      </c>
      <c r="L72" s="86" t="s">
        <v>819</v>
      </c>
      <c r="M72" s="28" t="s">
        <v>792</v>
      </c>
      <c r="N72" s="115" t="s">
        <v>953</v>
      </c>
      <c r="O72" s="50" t="s">
        <v>792</v>
      </c>
      <c r="P72" s="86" t="s">
        <v>792</v>
      </c>
      <c r="Q72" s="86" t="s">
        <v>792</v>
      </c>
      <c r="R72" s="112">
        <v>45870</v>
      </c>
      <c r="S72" s="29" t="s">
        <v>792</v>
      </c>
      <c r="T72" s="92"/>
      <c r="U72" s="21"/>
    </row>
    <row r="73" spans="1:21" ht="31.5" customHeight="1">
      <c r="A73" s="16"/>
      <c r="B73" s="123"/>
      <c r="C73" s="124" t="s">
        <v>636</v>
      </c>
      <c r="D73" s="67"/>
      <c r="E73" s="130">
        <v>2.0299999999999998</v>
      </c>
      <c r="F73" s="28" t="s">
        <v>792</v>
      </c>
      <c r="G73" s="50" t="s">
        <v>792</v>
      </c>
      <c r="H73" s="50" t="s">
        <v>792</v>
      </c>
      <c r="I73" s="86" t="s">
        <v>792</v>
      </c>
      <c r="J73" s="86" t="s">
        <v>792</v>
      </c>
      <c r="K73" s="86" t="s">
        <v>819</v>
      </c>
      <c r="L73" s="86" t="s">
        <v>819</v>
      </c>
      <c r="M73" s="28" t="s">
        <v>792</v>
      </c>
      <c r="N73" s="115" t="s">
        <v>953</v>
      </c>
      <c r="O73" s="50" t="s">
        <v>792</v>
      </c>
      <c r="P73" s="86" t="s">
        <v>792</v>
      </c>
      <c r="Q73" s="86" t="s">
        <v>792</v>
      </c>
      <c r="R73" s="112">
        <v>45878</v>
      </c>
      <c r="S73" s="29" t="s">
        <v>792</v>
      </c>
      <c r="T73" s="92"/>
      <c r="U73" s="21"/>
    </row>
    <row r="74" spans="1:21" ht="31.5" customHeight="1">
      <c r="A74" s="16"/>
      <c r="B74" s="123"/>
      <c r="C74" s="124" t="s">
        <v>637</v>
      </c>
      <c r="D74" s="67"/>
      <c r="E74" s="130">
        <v>2.0299999999999998</v>
      </c>
      <c r="F74" s="28" t="s">
        <v>792</v>
      </c>
      <c r="G74" s="50" t="s">
        <v>792</v>
      </c>
      <c r="H74" s="50" t="s">
        <v>792</v>
      </c>
      <c r="I74" s="86" t="s">
        <v>792</v>
      </c>
      <c r="J74" s="86" t="s">
        <v>792</v>
      </c>
      <c r="K74" s="86" t="s">
        <v>819</v>
      </c>
      <c r="L74" s="86" t="s">
        <v>819</v>
      </c>
      <c r="M74" s="28" t="s">
        <v>792</v>
      </c>
      <c r="N74" s="115" t="s">
        <v>953</v>
      </c>
      <c r="O74" s="50" t="s">
        <v>792</v>
      </c>
      <c r="P74" s="86" t="s">
        <v>792</v>
      </c>
      <c r="Q74" s="86" t="s">
        <v>792</v>
      </c>
      <c r="R74" s="112">
        <v>45901</v>
      </c>
      <c r="S74" s="29" t="s">
        <v>792</v>
      </c>
      <c r="T74" s="92"/>
      <c r="U74" s="21"/>
    </row>
    <row r="75" spans="1:21" ht="31.5" customHeight="1">
      <c r="A75" s="16"/>
      <c r="B75" s="123"/>
      <c r="C75" s="124" t="s">
        <v>638</v>
      </c>
      <c r="D75" s="67"/>
      <c r="E75" s="130">
        <v>2.0299999999999998</v>
      </c>
      <c r="F75" s="28" t="s">
        <v>792</v>
      </c>
      <c r="G75" s="50" t="s">
        <v>792</v>
      </c>
      <c r="H75" s="50" t="s">
        <v>792</v>
      </c>
      <c r="I75" s="86" t="s">
        <v>792</v>
      </c>
      <c r="J75" s="86" t="s">
        <v>792</v>
      </c>
      <c r="K75" s="86" t="s">
        <v>819</v>
      </c>
      <c r="L75" s="86" t="s">
        <v>819</v>
      </c>
      <c r="M75" s="28" t="s">
        <v>792</v>
      </c>
      <c r="N75" s="115" t="s">
        <v>954</v>
      </c>
      <c r="O75" s="50" t="s">
        <v>792</v>
      </c>
      <c r="P75" s="86" t="s">
        <v>792</v>
      </c>
      <c r="Q75" s="86" t="s">
        <v>792</v>
      </c>
      <c r="R75" s="112">
        <v>45901</v>
      </c>
      <c r="S75" s="29" t="s">
        <v>792</v>
      </c>
      <c r="T75" s="92"/>
      <c r="U75" s="21"/>
    </row>
    <row r="76" spans="1:21" ht="31.5" customHeight="1">
      <c r="A76" s="16"/>
      <c r="B76" s="123" t="s">
        <v>630</v>
      </c>
      <c r="C76" s="124" t="s">
        <v>631</v>
      </c>
      <c r="D76" s="67"/>
      <c r="E76" s="130">
        <v>1.47</v>
      </c>
      <c r="F76" s="28" t="s">
        <v>792</v>
      </c>
      <c r="G76" s="50" t="s">
        <v>792</v>
      </c>
      <c r="H76" s="50" t="s">
        <v>792</v>
      </c>
      <c r="I76" s="86" t="s">
        <v>792</v>
      </c>
      <c r="J76" s="86" t="s">
        <v>792</v>
      </c>
      <c r="K76" s="86" t="s">
        <v>819</v>
      </c>
      <c r="L76" s="86" t="s">
        <v>819</v>
      </c>
      <c r="M76" s="28" t="s">
        <v>792</v>
      </c>
      <c r="N76" s="115" t="s">
        <v>954</v>
      </c>
      <c r="O76" s="50" t="s">
        <v>792</v>
      </c>
      <c r="P76" s="86" t="s">
        <v>792</v>
      </c>
      <c r="Q76" s="86" t="s">
        <v>792</v>
      </c>
      <c r="R76" s="112">
        <v>45931</v>
      </c>
      <c r="S76" s="29" t="s">
        <v>792</v>
      </c>
      <c r="T76" s="92"/>
      <c r="U76" s="21"/>
    </row>
    <row r="77" spans="1:21">
      <c r="A77" s="16"/>
      <c r="B77" s="59" t="s">
        <v>955</v>
      </c>
      <c r="C77" s="60"/>
      <c r="D77" s="62"/>
      <c r="E77" s="133"/>
      <c r="F77" s="61"/>
      <c r="G77" s="61"/>
      <c r="H77" s="61"/>
      <c r="I77" s="61"/>
      <c r="J77" s="61"/>
      <c r="K77" s="61"/>
      <c r="L77" s="61"/>
      <c r="M77" s="61"/>
      <c r="N77" s="61"/>
      <c r="O77" s="61"/>
      <c r="P77" s="61"/>
      <c r="Q77" s="61"/>
      <c r="R77" s="61"/>
      <c r="S77" s="61"/>
      <c r="T77" s="62"/>
      <c r="U77" s="21"/>
    </row>
    <row r="78" spans="1:21">
      <c r="A78" s="16"/>
      <c r="B78" s="657" t="s">
        <v>956</v>
      </c>
      <c r="C78" s="660"/>
      <c r="D78" s="660"/>
      <c r="E78" s="660"/>
      <c r="F78" s="660"/>
      <c r="G78" s="660"/>
      <c r="H78" s="660"/>
      <c r="I78" s="660"/>
      <c r="J78" s="660"/>
      <c r="K78" s="660"/>
      <c r="L78" s="660"/>
      <c r="M78" s="660"/>
      <c r="N78" s="660"/>
      <c r="O78" s="660"/>
      <c r="P78" s="660"/>
      <c r="Q78" s="660"/>
      <c r="R78" s="660"/>
      <c r="S78" s="660"/>
      <c r="T78" s="661"/>
      <c r="U78" s="21" t="str">
        <f t="shared" ref="U78:U84" si="5">REPT("a"&amp;CHAR(10)&amp;"b",INT(LENB(SUBSTITUTE(T78,CHAR(10),""))/70))</f>
        <v/>
      </c>
    </row>
    <row r="79" spans="1:21">
      <c r="A79" s="16"/>
      <c r="B79" s="56"/>
      <c r="C79" s="63" t="s">
        <v>957</v>
      </c>
      <c r="D79" s="65"/>
      <c r="E79" s="134"/>
      <c r="F79" s="64" t="s">
        <v>792</v>
      </c>
      <c r="G79" s="87" t="s">
        <v>792</v>
      </c>
      <c r="H79" s="87" t="s">
        <v>792</v>
      </c>
      <c r="I79" s="87" t="s">
        <v>792</v>
      </c>
      <c r="J79" s="87" t="s">
        <v>792</v>
      </c>
      <c r="K79" s="87" t="s">
        <v>792</v>
      </c>
      <c r="L79" s="87" t="s">
        <v>792</v>
      </c>
      <c r="M79" s="64" t="s">
        <v>792</v>
      </c>
      <c r="N79" s="87" t="s">
        <v>792</v>
      </c>
      <c r="O79" s="87" t="s">
        <v>792</v>
      </c>
      <c r="P79" s="87" t="s">
        <v>792</v>
      </c>
      <c r="Q79" s="87" t="s">
        <v>792</v>
      </c>
      <c r="R79" s="87" t="s">
        <v>792</v>
      </c>
      <c r="S79" s="87" t="s">
        <v>792</v>
      </c>
      <c r="T79" s="65"/>
      <c r="U79" s="21" t="str">
        <f t="shared" si="5"/>
        <v/>
      </c>
    </row>
    <row r="80" spans="1:21">
      <c r="A80" s="16"/>
      <c r="B80" s="56"/>
      <c r="C80" s="66" t="s">
        <v>496</v>
      </c>
      <c r="D80" s="67"/>
      <c r="E80" s="134"/>
      <c r="F80" s="64" t="s">
        <v>792</v>
      </c>
      <c r="G80" s="87" t="s">
        <v>792</v>
      </c>
      <c r="H80" s="87" t="s">
        <v>792</v>
      </c>
      <c r="I80" s="87" t="s">
        <v>792</v>
      </c>
      <c r="J80" s="87" t="s">
        <v>792</v>
      </c>
      <c r="K80" s="87" t="s">
        <v>792</v>
      </c>
      <c r="L80" s="87" t="s">
        <v>792</v>
      </c>
      <c r="M80" s="64" t="s">
        <v>792</v>
      </c>
      <c r="N80" s="87" t="s">
        <v>792</v>
      </c>
      <c r="O80" s="87" t="s">
        <v>792</v>
      </c>
      <c r="P80" s="87" t="s">
        <v>792</v>
      </c>
      <c r="Q80" s="87" t="s">
        <v>792</v>
      </c>
      <c r="R80" s="87" t="s">
        <v>792</v>
      </c>
      <c r="S80" s="87" t="s">
        <v>792</v>
      </c>
      <c r="T80" s="67"/>
      <c r="U80" s="21" t="str">
        <f t="shared" si="5"/>
        <v/>
      </c>
    </row>
    <row r="81" spans="1:21">
      <c r="A81" s="16"/>
      <c r="B81" s="56"/>
      <c r="C81" s="66" t="s">
        <v>129</v>
      </c>
      <c r="D81" s="67"/>
      <c r="E81" s="134"/>
      <c r="F81" s="64" t="s">
        <v>792</v>
      </c>
      <c r="G81" s="87" t="s">
        <v>792</v>
      </c>
      <c r="H81" s="87" t="s">
        <v>792</v>
      </c>
      <c r="I81" s="87" t="s">
        <v>792</v>
      </c>
      <c r="J81" s="87" t="s">
        <v>792</v>
      </c>
      <c r="K81" s="87" t="s">
        <v>792</v>
      </c>
      <c r="L81" s="87" t="s">
        <v>792</v>
      </c>
      <c r="M81" s="64" t="s">
        <v>792</v>
      </c>
      <c r="N81" s="87" t="s">
        <v>792</v>
      </c>
      <c r="O81" s="87" t="s">
        <v>792</v>
      </c>
      <c r="P81" s="87" t="s">
        <v>792</v>
      </c>
      <c r="Q81" s="87" t="s">
        <v>792</v>
      </c>
      <c r="R81" s="87" t="s">
        <v>792</v>
      </c>
      <c r="S81" s="87" t="s">
        <v>792</v>
      </c>
      <c r="T81" s="67"/>
      <c r="U81" s="21" t="str">
        <f t="shared" si="5"/>
        <v/>
      </c>
    </row>
    <row r="82" spans="1:21">
      <c r="A82" s="16"/>
      <c r="B82" s="56"/>
      <c r="C82" s="66" t="s">
        <v>958</v>
      </c>
      <c r="D82" s="67"/>
      <c r="E82" s="134"/>
      <c r="F82" s="64" t="s">
        <v>792</v>
      </c>
      <c r="G82" s="87" t="s">
        <v>792</v>
      </c>
      <c r="H82" s="87" t="s">
        <v>792</v>
      </c>
      <c r="I82" s="87" t="s">
        <v>792</v>
      </c>
      <c r="J82" s="87" t="s">
        <v>792</v>
      </c>
      <c r="K82" s="87" t="s">
        <v>792</v>
      </c>
      <c r="L82" s="87" t="s">
        <v>792</v>
      </c>
      <c r="M82" s="64" t="s">
        <v>792</v>
      </c>
      <c r="N82" s="87" t="s">
        <v>792</v>
      </c>
      <c r="O82" s="87" t="s">
        <v>792</v>
      </c>
      <c r="P82" s="87" t="s">
        <v>792</v>
      </c>
      <c r="Q82" s="87" t="s">
        <v>792</v>
      </c>
      <c r="R82" s="87" t="s">
        <v>792</v>
      </c>
      <c r="S82" s="87" t="s">
        <v>792</v>
      </c>
      <c r="T82" s="67"/>
      <c r="U82" s="21" t="str">
        <f t="shared" si="5"/>
        <v/>
      </c>
    </row>
    <row r="83" spans="1:21">
      <c r="A83" s="16"/>
      <c r="B83" s="56"/>
      <c r="C83" s="66" t="s">
        <v>498</v>
      </c>
      <c r="D83" s="67"/>
      <c r="E83" s="134"/>
      <c r="F83" s="64" t="s">
        <v>792</v>
      </c>
      <c r="G83" s="87" t="s">
        <v>792</v>
      </c>
      <c r="H83" s="87" t="s">
        <v>792</v>
      </c>
      <c r="I83" s="87" t="s">
        <v>792</v>
      </c>
      <c r="J83" s="87" t="s">
        <v>792</v>
      </c>
      <c r="K83" s="87" t="s">
        <v>792</v>
      </c>
      <c r="L83" s="87" t="s">
        <v>792</v>
      </c>
      <c r="M83" s="64" t="s">
        <v>792</v>
      </c>
      <c r="N83" s="87" t="s">
        <v>792</v>
      </c>
      <c r="O83" s="87" t="s">
        <v>792</v>
      </c>
      <c r="P83" s="87" t="s">
        <v>792</v>
      </c>
      <c r="Q83" s="87" t="s">
        <v>792</v>
      </c>
      <c r="R83" s="87" t="s">
        <v>792</v>
      </c>
      <c r="S83" s="87" t="s">
        <v>792</v>
      </c>
      <c r="T83" s="67"/>
      <c r="U83" s="21" t="str">
        <f t="shared" si="5"/>
        <v/>
      </c>
    </row>
    <row r="84" spans="1:21">
      <c r="A84" s="16"/>
      <c r="B84" s="56"/>
      <c r="C84" s="66" t="s">
        <v>959</v>
      </c>
      <c r="D84" s="67"/>
      <c r="E84" s="134"/>
      <c r="F84" s="64" t="s">
        <v>792</v>
      </c>
      <c r="G84" s="87" t="s">
        <v>792</v>
      </c>
      <c r="H84" s="87" t="s">
        <v>792</v>
      </c>
      <c r="I84" s="87" t="s">
        <v>792</v>
      </c>
      <c r="J84" s="87" t="s">
        <v>792</v>
      </c>
      <c r="K84" s="87" t="s">
        <v>792</v>
      </c>
      <c r="L84" s="87" t="s">
        <v>792</v>
      </c>
      <c r="M84" s="64" t="s">
        <v>792</v>
      </c>
      <c r="N84" s="87" t="s">
        <v>792</v>
      </c>
      <c r="O84" s="87" t="s">
        <v>792</v>
      </c>
      <c r="P84" s="87" t="s">
        <v>792</v>
      </c>
      <c r="Q84" s="87" t="s">
        <v>792</v>
      </c>
      <c r="R84" s="87" t="s">
        <v>792</v>
      </c>
      <c r="S84" s="87" t="s">
        <v>792</v>
      </c>
      <c r="T84" s="67"/>
      <c r="U84" s="21" t="str">
        <f t="shared" si="5"/>
        <v/>
      </c>
    </row>
    <row r="85" spans="1:21">
      <c r="B85" s="68"/>
      <c r="C85" s="66" t="s">
        <v>960</v>
      </c>
      <c r="D85" s="67"/>
      <c r="E85" s="134"/>
      <c r="F85" s="64" t="s">
        <v>792</v>
      </c>
      <c r="G85" s="87" t="s">
        <v>792</v>
      </c>
      <c r="H85" s="87" t="s">
        <v>792</v>
      </c>
      <c r="I85" s="87" t="s">
        <v>792</v>
      </c>
      <c r="J85" s="87" t="s">
        <v>792</v>
      </c>
      <c r="K85" s="87" t="s">
        <v>792</v>
      </c>
      <c r="L85" s="87" t="s">
        <v>792</v>
      </c>
      <c r="M85" s="64" t="s">
        <v>792</v>
      </c>
      <c r="N85" s="87" t="s">
        <v>792</v>
      </c>
      <c r="O85" s="87" t="s">
        <v>792</v>
      </c>
      <c r="P85" s="87" t="s">
        <v>792</v>
      </c>
      <c r="Q85" s="87" t="s">
        <v>792</v>
      </c>
      <c r="R85" s="87" t="s">
        <v>792</v>
      </c>
      <c r="S85" s="87" t="s">
        <v>792</v>
      </c>
      <c r="T85" s="67"/>
      <c r="U85" s="21"/>
    </row>
    <row r="86" spans="1:21">
      <c r="B86" s="68"/>
      <c r="C86" s="66" t="s">
        <v>961</v>
      </c>
      <c r="D86" s="67"/>
      <c r="E86" s="134"/>
      <c r="F86" s="64" t="s">
        <v>792</v>
      </c>
      <c r="G86" s="87" t="s">
        <v>792</v>
      </c>
      <c r="H86" s="87" t="s">
        <v>792</v>
      </c>
      <c r="I86" s="87" t="s">
        <v>792</v>
      </c>
      <c r="J86" s="87" t="s">
        <v>792</v>
      </c>
      <c r="K86" s="87" t="s">
        <v>792</v>
      </c>
      <c r="L86" s="87" t="s">
        <v>792</v>
      </c>
      <c r="M86" s="64" t="s">
        <v>792</v>
      </c>
      <c r="N86" s="87" t="s">
        <v>792</v>
      </c>
      <c r="O86" s="87" t="s">
        <v>792</v>
      </c>
      <c r="P86" s="87" t="s">
        <v>792</v>
      </c>
      <c r="Q86" s="87" t="s">
        <v>792</v>
      </c>
      <c r="R86" s="87" t="s">
        <v>792</v>
      </c>
      <c r="S86" s="87" t="s">
        <v>792</v>
      </c>
      <c r="T86" s="67"/>
      <c r="U86" s="21"/>
    </row>
    <row r="87" spans="1:21">
      <c r="B87" s="68"/>
      <c r="C87" s="66" t="s">
        <v>962</v>
      </c>
      <c r="D87" s="67"/>
      <c r="E87" s="134"/>
      <c r="F87" s="64" t="s">
        <v>792</v>
      </c>
      <c r="G87" s="87" t="s">
        <v>792</v>
      </c>
      <c r="H87" s="87" t="s">
        <v>792</v>
      </c>
      <c r="I87" s="87" t="s">
        <v>792</v>
      </c>
      <c r="J87" s="87" t="s">
        <v>792</v>
      </c>
      <c r="K87" s="87" t="s">
        <v>792</v>
      </c>
      <c r="L87" s="87" t="s">
        <v>792</v>
      </c>
      <c r="M87" s="64" t="s">
        <v>792</v>
      </c>
      <c r="N87" s="87" t="s">
        <v>792</v>
      </c>
      <c r="O87" s="87" t="s">
        <v>792</v>
      </c>
      <c r="P87" s="87" t="s">
        <v>792</v>
      </c>
      <c r="Q87" s="87" t="s">
        <v>792</v>
      </c>
      <c r="R87" s="87" t="s">
        <v>792</v>
      </c>
      <c r="S87" s="87" t="s">
        <v>792</v>
      </c>
      <c r="T87" s="67"/>
      <c r="U87" s="21"/>
    </row>
    <row r="88" spans="1:21">
      <c r="B88" s="68"/>
      <c r="C88" s="66" t="s">
        <v>963</v>
      </c>
      <c r="D88" s="67"/>
      <c r="E88" s="134"/>
      <c r="F88" s="64" t="s">
        <v>792</v>
      </c>
      <c r="G88" s="87" t="s">
        <v>792</v>
      </c>
      <c r="H88" s="87" t="s">
        <v>792</v>
      </c>
      <c r="I88" s="87" t="s">
        <v>792</v>
      </c>
      <c r="J88" s="87" t="s">
        <v>792</v>
      </c>
      <c r="K88" s="87" t="s">
        <v>792</v>
      </c>
      <c r="L88" s="87" t="s">
        <v>792</v>
      </c>
      <c r="M88" s="64" t="s">
        <v>792</v>
      </c>
      <c r="N88" s="87" t="s">
        <v>792</v>
      </c>
      <c r="O88" s="87" t="s">
        <v>792</v>
      </c>
      <c r="P88" s="87" t="s">
        <v>792</v>
      </c>
      <c r="Q88" s="87" t="s">
        <v>792</v>
      </c>
      <c r="R88" s="87" t="s">
        <v>792</v>
      </c>
      <c r="S88" s="87" t="s">
        <v>792</v>
      </c>
      <c r="T88" s="67"/>
      <c r="U88" s="21"/>
    </row>
    <row r="89" spans="1:21">
      <c r="B89" s="68"/>
      <c r="C89" s="66" t="s">
        <v>964</v>
      </c>
      <c r="D89" s="67"/>
      <c r="E89" s="134"/>
      <c r="F89" s="64" t="s">
        <v>792</v>
      </c>
      <c r="G89" s="87" t="s">
        <v>792</v>
      </c>
      <c r="H89" s="87" t="s">
        <v>792</v>
      </c>
      <c r="I89" s="87" t="s">
        <v>792</v>
      </c>
      <c r="J89" s="87" t="s">
        <v>792</v>
      </c>
      <c r="K89" s="87" t="s">
        <v>792</v>
      </c>
      <c r="L89" s="87" t="s">
        <v>792</v>
      </c>
      <c r="M89" s="64" t="s">
        <v>792</v>
      </c>
      <c r="N89" s="87" t="s">
        <v>792</v>
      </c>
      <c r="O89" s="87" t="s">
        <v>792</v>
      </c>
      <c r="P89" s="87" t="s">
        <v>792</v>
      </c>
      <c r="Q89" s="87" t="s">
        <v>792</v>
      </c>
      <c r="R89" s="87" t="s">
        <v>792</v>
      </c>
      <c r="S89" s="87" t="s">
        <v>792</v>
      </c>
      <c r="T89" s="67"/>
      <c r="U89" s="21"/>
    </row>
    <row r="90" spans="1:21">
      <c r="B90" s="68"/>
      <c r="C90" s="66" t="s">
        <v>965</v>
      </c>
      <c r="D90" s="67"/>
      <c r="E90" s="134"/>
      <c r="F90" s="64" t="s">
        <v>792</v>
      </c>
      <c r="G90" s="87" t="s">
        <v>792</v>
      </c>
      <c r="H90" s="87" t="s">
        <v>792</v>
      </c>
      <c r="I90" s="87" t="s">
        <v>792</v>
      </c>
      <c r="J90" s="87" t="s">
        <v>792</v>
      </c>
      <c r="K90" s="87" t="s">
        <v>792</v>
      </c>
      <c r="L90" s="87" t="s">
        <v>792</v>
      </c>
      <c r="M90" s="64" t="s">
        <v>792</v>
      </c>
      <c r="N90" s="87" t="s">
        <v>792</v>
      </c>
      <c r="O90" s="87" t="s">
        <v>792</v>
      </c>
      <c r="P90" s="87" t="s">
        <v>792</v>
      </c>
      <c r="Q90" s="87" t="s">
        <v>792</v>
      </c>
      <c r="R90" s="87" t="s">
        <v>792</v>
      </c>
      <c r="S90" s="87" t="s">
        <v>792</v>
      </c>
      <c r="T90" s="67"/>
      <c r="U90" s="21"/>
    </row>
    <row r="91" spans="1:21">
      <c r="B91" s="68"/>
      <c r="C91" s="66" t="s">
        <v>966</v>
      </c>
      <c r="D91" s="69"/>
      <c r="E91" s="139"/>
      <c r="F91" s="64" t="s">
        <v>792</v>
      </c>
      <c r="G91" s="87" t="s">
        <v>792</v>
      </c>
      <c r="H91" s="87" t="s">
        <v>792</v>
      </c>
      <c r="I91" s="87" t="s">
        <v>792</v>
      </c>
      <c r="J91" s="87" t="s">
        <v>792</v>
      </c>
      <c r="K91" s="87" t="s">
        <v>792</v>
      </c>
      <c r="L91" s="87" t="s">
        <v>792</v>
      </c>
      <c r="M91" s="64" t="s">
        <v>792</v>
      </c>
      <c r="N91" s="87" t="s">
        <v>792</v>
      </c>
      <c r="O91" s="87" t="s">
        <v>792</v>
      </c>
      <c r="P91" s="87" t="s">
        <v>792</v>
      </c>
      <c r="Q91" s="87" t="s">
        <v>792</v>
      </c>
      <c r="R91" s="87" t="s">
        <v>792</v>
      </c>
      <c r="S91" s="87" t="s">
        <v>792</v>
      </c>
      <c r="T91" s="67"/>
      <c r="U91" s="21"/>
    </row>
    <row r="92" spans="1:21">
      <c r="B92" s="68"/>
      <c r="C92" s="66" t="s">
        <v>967</v>
      </c>
      <c r="D92" s="30" t="s">
        <v>968</v>
      </c>
      <c r="E92" s="134"/>
      <c r="F92" s="64" t="s">
        <v>792</v>
      </c>
      <c r="G92" s="87" t="s">
        <v>792</v>
      </c>
      <c r="H92" s="87" t="s">
        <v>792</v>
      </c>
      <c r="I92" s="87" t="s">
        <v>792</v>
      </c>
      <c r="J92" s="87" t="s">
        <v>792</v>
      </c>
      <c r="K92" s="87" t="s">
        <v>792</v>
      </c>
      <c r="L92" s="87" t="s">
        <v>792</v>
      </c>
      <c r="M92" s="64" t="s">
        <v>792</v>
      </c>
      <c r="N92" s="87" t="s">
        <v>792</v>
      </c>
      <c r="O92" s="87" t="s">
        <v>792</v>
      </c>
      <c r="P92" s="87" t="s">
        <v>792</v>
      </c>
      <c r="Q92" s="87" t="s">
        <v>792</v>
      </c>
      <c r="R92" s="87" t="s">
        <v>792</v>
      </c>
      <c r="S92" s="87" t="s">
        <v>792</v>
      </c>
      <c r="T92" s="30"/>
      <c r="U92" s="21"/>
    </row>
    <row r="93" spans="1:21">
      <c r="B93" s="68"/>
      <c r="C93" s="66" t="s">
        <v>969</v>
      </c>
      <c r="D93" s="30" t="s">
        <v>968</v>
      </c>
      <c r="E93" s="134"/>
      <c r="F93" s="64" t="s">
        <v>792</v>
      </c>
      <c r="G93" s="87" t="s">
        <v>792</v>
      </c>
      <c r="H93" s="87" t="s">
        <v>792</v>
      </c>
      <c r="I93" s="87" t="s">
        <v>792</v>
      </c>
      <c r="J93" s="87" t="s">
        <v>792</v>
      </c>
      <c r="K93" s="87" t="s">
        <v>792</v>
      </c>
      <c r="L93" s="87" t="s">
        <v>792</v>
      </c>
      <c r="M93" s="64" t="s">
        <v>792</v>
      </c>
      <c r="N93" s="87" t="s">
        <v>792</v>
      </c>
      <c r="O93" s="87" t="s">
        <v>792</v>
      </c>
      <c r="P93" s="87" t="s">
        <v>792</v>
      </c>
      <c r="Q93" s="87" t="s">
        <v>792</v>
      </c>
      <c r="R93" s="87" t="s">
        <v>792</v>
      </c>
      <c r="S93" s="87" t="s">
        <v>792</v>
      </c>
      <c r="T93" s="30"/>
      <c r="U93" s="21"/>
    </row>
    <row r="94" spans="1:21">
      <c r="B94" s="68"/>
      <c r="C94" s="66" t="s">
        <v>970</v>
      </c>
      <c r="D94" s="30" t="s">
        <v>968</v>
      </c>
      <c r="E94" s="134"/>
      <c r="F94" s="64" t="s">
        <v>792</v>
      </c>
      <c r="G94" s="87" t="s">
        <v>792</v>
      </c>
      <c r="H94" s="87" t="s">
        <v>792</v>
      </c>
      <c r="I94" s="87" t="s">
        <v>792</v>
      </c>
      <c r="J94" s="87" t="s">
        <v>792</v>
      </c>
      <c r="K94" s="87" t="s">
        <v>792</v>
      </c>
      <c r="L94" s="87" t="s">
        <v>792</v>
      </c>
      <c r="M94" s="64" t="s">
        <v>792</v>
      </c>
      <c r="N94" s="87" t="s">
        <v>792</v>
      </c>
      <c r="O94" s="87" t="s">
        <v>792</v>
      </c>
      <c r="P94" s="87" t="s">
        <v>792</v>
      </c>
      <c r="Q94" s="87" t="s">
        <v>792</v>
      </c>
      <c r="R94" s="87" t="s">
        <v>792</v>
      </c>
      <c r="S94" s="87" t="s">
        <v>792</v>
      </c>
      <c r="T94" s="30"/>
      <c r="U94" s="21"/>
    </row>
    <row r="95" spans="1:21">
      <c r="B95" s="68"/>
      <c r="C95" s="66" t="s">
        <v>971</v>
      </c>
      <c r="D95" s="30" t="s">
        <v>968</v>
      </c>
      <c r="E95" s="134"/>
      <c r="F95" s="64" t="s">
        <v>792</v>
      </c>
      <c r="G95" s="87" t="s">
        <v>792</v>
      </c>
      <c r="H95" s="87" t="s">
        <v>792</v>
      </c>
      <c r="I95" s="87" t="s">
        <v>792</v>
      </c>
      <c r="J95" s="87" t="s">
        <v>792</v>
      </c>
      <c r="K95" s="87" t="s">
        <v>792</v>
      </c>
      <c r="L95" s="87" t="s">
        <v>792</v>
      </c>
      <c r="M95" s="64" t="s">
        <v>792</v>
      </c>
      <c r="N95" s="87" t="s">
        <v>792</v>
      </c>
      <c r="O95" s="87" t="s">
        <v>792</v>
      </c>
      <c r="P95" s="87" t="s">
        <v>792</v>
      </c>
      <c r="Q95" s="87" t="s">
        <v>792</v>
      </c>
      <c r="R95" s="87" t="s">
        <v>792</v>
      </c>
      <c r="S95" s="87" t="s">
        <v>792</v>
      </c>
      <c r="T95" s="30"/>
      <c r="U95" s="21"/>
    </row>
    <row r="96" spans="1:21">
      <c r="B96" s="68"/>
      <c r="C96" s="66" t="s">
        <v>972</v>
      </c>
      <c r="D96" s="30" t="s">
        <v>968</v>
      </c>
      <c r="E96" s="134"/>
      <c r="F96" s="64" t="s">
        <v>792</v>
      </c>
      <c r="G96" s="87" t="s">
        <v>792</v>
      </c>
      <c r="H96" s="87" t="s">
        <v>792</v>
      </c>
      <c r="I96" s="87" t="s">
        <v>792</v>
      </c>
      <c r="J96" s="87" t="s">
        <v>792</v>
      </c>
      <c r="K96" s="87" t="s">
        <v>792</v>
      </c>
      <c r="L96" s="87" t="s">
        <v>792</v>
      </c>
      <c r="M96" s="64" t="s">
        <v>792</v>
      </c>
      <c r="N96" s="87" t="s">
        <v>792</v>
      </c>
      <c r="O96" s="87" t="s">
        <v>792</v>
      </c>
      <c r="P96" s="87" t="s">
        <v>792</v>
      </c>
      <c r="Q96" s="87" t="s">
        <v>792</v>
      </c>
      <c r="R96" s="87" t="s">
        <v>792</v>
      </c>
      <c r="S96" s="87" t="s">
        <v>792</v>
      </c>
      <c r="T96" s="30"/>
      <c r="U96" s="21"/>
    </row>
    <row r="97" spans="2:21">
      <c r="B97" s="68"/>
      <c r="C97" s="66" t="s">
        <v>973</v>
      </c>
      <c r="D97" s="30" t="s">
        <v>968</v>
      </c>
      <c r="E97" s="134"/>
      <c r="F97" s="64" t="s">
        <v>792</v>
      </c>
      <c r="G97" s="87" t="s">
        <v>792</v>
      </c>
      <c r="H97" s="87" t="s">
        <v>792</v>
      </c>
      <c r="I97" s="87" t="s">
        <v>792</v>
      </c>
      <c r="J97" s="87" t="s">
        <v>792</v>
      </c>
      <c r="K97" s="87" t="s">
        <v>792</v>
      </c>
      <c r="L97" s="87" t="s">
        <v>792</v>
      </c>
      <c r="M97" s="64" t="s">
        <v>792</v>
      </c>
      <c r="N97" s="126" t="s">
        <v>940</v>
      </c>
      <c r="O97" s="87" t="s">
        <v>792</v>
      </c>
      <c r="P97" s="87" t="s">
        <v>792</v>
      </c>
      <c r="Q97" s="87" t="s">
        <v>792</v>
      </c>
      <c r="R97" s="125">
        <v>45870</v>
      </c>
      <c r="S97" s="87" t="s">
        <v>792</v>
      </c>
      <c r="T97" s="30"/>
      <c r="U97" s="21"/>
    </row>
    <row r="98" spans="2:21">
      <c r="B98" s="68"/>
      <c r="C98" s="66" t="s">
        <v>974</v>
      </c>
      <c r="D98" s="30" t="s">
        <v>975</v>
      </c>
      <c r="E98" s="134"/>
      <c r="F98" s="64" t="s">
        <v>792</v>
      </c>
      <c r="G98" s="87" t="s">
        <v>792</v>
      </c>
      <c r="H98" s="87" t="s">
        <v>792</v>
      </c>
      <c r="I98" s="87" t="s">
        <v>792</v>
      </c>
      <c r="J98" s="87" t="s">
        <v>792</v>
      </c>
      <c r="K98" s="87" t="s">
        <v>792</v>
      </c>
      <c r="L98" s="87" t="s">
        <v>792</v>
      </c>
      <c r="M98" s="64" t="s">
        <v>792</v>
      </c>
      <c r="N98" s="87" t="s">
        <v>792</v>
      </c>
      <c r="O98" s="87" t="s">
        <v>792</v>
      </c>
      <c r="P98" s="87" t="s">
        <v>792</v>
      </c>
      <c r="Q98" s="87" t="s">
        <v>792</v>
      </c>
      <c r="R98" s="125">
        <v>45748</v>
      </c>
      <c r="S98" s="87" t="s">
        <v>792</v>
      </c>
      <c r="T98" s="30"/>
      <c r="U98" s="21"/>
    </row>
    <row r="99" spans="2:21">
      <c r="B99" s="68"/>
      <c r="C99" s="66" t="s">
        <v>976</v>
      </c>
      <c r="D99" s="30" t="s">
        <v>975</v>
      </c>
      <c r="E99" s="134"/>
      <c r="F99" s="64" t="s">
        <v>792</v>
      </c>
      <c r="G99" s="87" t="s">
        <v>792</v>
      </c>
      <c r="H99" s="87" t="s">
        <v>792</v>
      </c>
      <c r="I99" s="87" t="s">
        <v>792</v>
      </c>
      <c r="J99" s="87" t="s">
        <v>792</v>
      </c>
      <c r="K99" s="87" t="s">
        <v>792</v>
      </c>
      <c r="L99" s="87" t="s">
        <v>792</v>
      </c>
      <c r="M99" s="64" t="s">
        <v>792</v>
      </c>
      <c r="N99" s="126" t="s">
        <v>910</v>
      </c>
      <c r="O99" s="87" t="s">
        <v>792</v>
      </c>
      <c r="P99" s="87" t="s">
        <v>792</v>
      </c>
      <c r="Q99" s="87" t="s">
        <v>792</v>
      </c>
      <c r="R99" s="125">
        <v>45748</v>
      </c>
      <c r="S99" s="87" t="s">
        <v>792</v>
      </c>
      <c r="T99" s="30"/>
      <c r="U99" s="21"/>
    </row>
    <row r="100" spans="2:21">
      <c r="B100" s="68"/>
      <c r="C100" s="66" t="s">
        <v>977</v>
      </c>
      <c r="D100" s="30" t="s">
        <v>975</v>
      </c>
      <c r="E100" s="134"/>
      <c r="F100" s="64" t="s">
        <v>792</v>
      </c>
      <c r="G100" s="87" t="s">
        <v>792</v>
      </c>
      <c r="H100" s="87" t="s">
        <v>792</v>
      </c>
      <c r="I100" s="87" t="s">
        <v>792</v>
      </c>
      <c r="J100" s="87" t="s">
        <v>792</v>
      </c>
      <c r="K100" s="87" t="s">
        <v>792</v>
      </c>
      <c r="L100" s="87" t="s">
        <v>792</v>
      </c>
      <c r="M100" s="64" t="s">
        <v>792</v>
      </c>
      <c r="N100" s="126" t="s">
        <v>910</v>
      </c>
      <c r="O100" s="87" t="s">
        <v>792</v>
      </c>
      <c r="P100" s="87" t="s">
        <v>792</v>
      </c>
      <c r="Q100" s="87" t="s">
        <v>792</v>
      </c>
      <c r="R100" s="125">
        <v>45778</v>
      </c>
      <c r="S100" s="87" t="s">
        <v>792</v>
      </c>
      <c r="T100" s="30"/>
      <c r="U100" s="21"/>
    </row>
    <row r="101" spans="2:21">
      <c r="B101" s="68"/>
      <c r="C101" s="66" t="s">
        <v>978</v>
      </c>
      <c r="D101" s="30" t="s">
        <v>975</v>
      </c>
      <c r="E101" s="134"/>
      <c r="F101" s="64" t="s">
        <v>792</v>
      </c>
      <c r="G101" s="87" t="s">
        <v>792</v>
      </c>
      <c r="H101" s="87" t="s">
        <v>792</v>
      </c>
      <c r="I101" s="87" t="s">
        <v>792</v>
      </c>
      <c r="J101" s="87" t="s">
        <v>792</v>
      </c>
      <c r="K101" s="87" t="s">
        <v>792</v>
      </c>
      <c r="L101" s="87" t="s">
        <v>792</v>
      </c>
      <c r="M101" s="64" t="s">
        <v>792</v>
      </c>
      <c r="N101" s="126" t="s">
        <v>910</v>
      </c>
      <c r="O101" s="87" t="s">
        <v>792</v>
      </c>
      <c r="P101" s="87" t="s">
        <v>792</v>
      </c>
      <c r="Q101" s="87" t="s">
        <v>792</v>
      </c>
      <c r="R101" s="125">
        <v>45809</v>
      </c>
      <c r="S101" s="87" t="s">
        <v>792</v>
      </c>
      <c r="T101" s="30"/>
      <c r="U101" s="21"/>
    </row>
    <row r="102" spans="2:21">
      <c r="B102" s="68"/>
      <c r="C102" s="66" t="s">
        <v>979</v>
      </c>
      <c r="D102" s="30" t="s">
        <v>975</v>
      </c>
      <c r="E102" s="134"/>
      <c r="F102" s="64" t="s">
        <v>792</v>
      </c>
      <c r="G102" s="87" t="s">
        <v>792</v>
      </c>
      <c r="H102" s="87" t="s">
        <v>792</v>
      </c>
      <c r="I102" s="87" t="s">
        <v>792</v>
      </c>
      <c r="J102" s="87" t="s">
        <v>792</v>
      </c>
      <c r="K102" s="87" t="s">
        <v>792</v>
      </c>
      <c r="L102" s="87" t="s">
        <v>792</v>
      </c>
      <c r="M102" s="64" t="s">
        <v>792</v>
      </c>
      <c r="N102" s="126" t="s">
        <v>910</v>
      </c>
      <c r="O102" s="87" t="s">
        <v>792</v>
      </c>
      <c r="P102" s="87" t="s">
        <v>792</v>
      </c>
      <c r="Q102" s="87" t="s">
        <v>792</v>
      </c>
      <c r="R102" s="125">
        <v>45809</v>
      </c>
      <c r="S102" s="87" t="s">
        <v>792</v>
      </c>
      <c r="T102" s="30"/>
      <c r="U102" s="21"/>
    </row>
    <row r="103" spans="2:21">
      <c r="B103" s="68"/>
      <c r="C103" s="70" t="s">
        <v>980</v>
      </c>
      <c r="D103" s="33" t="s">
        <v>968</v>
      </c>
      <c r="E103" s="82"/>
      <c r="F103" s="64" t="s">
        <v>792</v>
      </c>
      <c r="G103" s="87" t="s">
        <v>792</v>
      </c>
      <c r="H103" s="87" t="s">
        <v>792</v>
      </c>
      <c r="I103" s="87" t="s">
        <v>792</v>
      </c>
      <c r="J103" s="87" t="s">
        <v>792</v>
      </c>
      <c r="K103" s="87" t="s">
        <v>792</v>
      </c>
      <c r="L103" s="87" t="s">
        <v>792</v>
      </c>
      <c r="M103" s="64" t="s">
        <v>792</v>
      </c>
      <c r="N103" s="87" t="s">
        <v>792</v>
      </c>
      <c r="O103" s="87" t="s">
        <v>792</v>
      </c>
      <c r="P103" s="87" t="s">
        <v>792</v>
      </c>
      <c r="Q103" s="87" t="s">
        <v>792</v>
      </c>
      <c r="R103" s="87" t="s">
        <v>792</v>
      </c>
      <c r="S103" s="87" t="s">
        <v>792</v>
      </c>
      <c r="T103" s="33"/>
      <c r="U103" s="21"/>
    </row>
    <row r="104" spans="2:21">
      <c r="B104" s="68"/>
      <c r="C104" s="66" t="s">
        <v>981</v>
      </c>
      <c r="D104" s="30" t="s">
        <v>968</v>
      </c>
      <c r="E104" s="134"/>
      <c r="F104" s="64" t="s">
        <v>792</v>
      </c>
      <c r="G104" s="87" t="s">
        <v>792</v>
      </c>
      <c r="H104" s="87" t="s">
        <v>792</v>
      </c>
      <c r="I104" s="87" t="s">
        <v>792</v>
      </c>
      <c r="J104" s="87" t="s">
        <v>792</v>
      </c>
      <c r="K104" s="87" t="s">
        <v>792</v>
      </c>
      <c r="L104" s="87" t="s">
        <v>792</v>
      </c>
      <c r="M104" s="64" t="s">
        <v>792</v>
      </c>
      <c r="N104" s="87" t="s">
        <v>792</v>
      </c>
      <c r="O104" s="87" t="s">
        <v>792</v>
      </c>
      <c r="P104" s="87" t="s">
        <v>792</v>
      </c>
      <c r="Q104" s="87" t="s">
        <v>792</v>
      </c>
      <c r="R104" s="87" t="s">
        <v>792</v>
      </c>
      <c r="S104" s="87" t="s">
        <v>792</v>
      </c>
      <c r="T104" s="30"/>
      <c r="U104" s="21"/>
    </row>
    <row r="105" spans="2:21">
      <c r="B105" s="68"/>
      <c r="C105" s="66" t="s">
        <v>982</v>
      </c>
      <c r="D105" s="30" t="s">
        <v>975</v>
      </c>
      <c r="E105" s="134"/>
      <c r="F105" s="64" t="s">
        <v>792</v>
      </c>
      <c r="G105" s="87" t="s">
        <v>792</v>
      </c>
      <c r="H105" s="87" t="s">
        <v>792</v>
      </c>
      <c r="I105" s="87" t="s">
        <v>792</v>
      </c>
      <c r="J105" s="87" t="s">
        <v>792</v>
      </c>
      <c r="K105" s="87" t="s">
        <v>792</v>
      </c>
      <c r="L105" s="87" t="s">
        <v>792</v>
      </c>
      <c r="M105" s="64" t="s">
        <v>792</v>
      </c>
      <c r="N105" s="126" t="s">
        <v>910</v>
      </c>
      <c r="O105" s="87" t="s">
        <v>792</v>
      </c>
      <c r="P105" s="87" t="s">
        <v>792</v>
      </c>
      <c r="Q105" s="87" t="s">
        <v>792</v>
      </c>
      <c r="R105" s="125">
        <v>45778</v>
      </c>
      <c r="S105" s="87" t="s">
        <v>792</v>
      </c>
      <c r="T105" s="30"/>
      <c r="U105" s="21"/>
    </row>
    <row r="106" spans="2:21">
      <c r="B106" s="68"/>
      <c r="C106" s="66" t="s">
        <v>983</v>
      </c>
      <c r="D106" s="30" t="s">
        <v>975</v>
      </c>
      <c r="E106" s="134"/>
      <c r="F106" s="64" t="s">
        <v>792</v>
      </c>
      <c r="G106" s="87" t="s">
        <v>792</v>
      </c>
      <c r="H106" s="87" t="s">
        <v>792</v>
      </c>
      <c r="I106" s="87" t="s">
        <v>792</v>
      </c>
      <c r="J106" s="87" t="s">
        <v>792</v>
      </c>
      <c r="K106" s="87" t="s">
        <v>792</v>
      </c>
      <c r="L106" s="87" t="s">
        <v>792</v>
      </c>
      <c r="M106" s="64" t="s">
        <v>792</v>
      </c>
      <c r="N106" s="126" t="s">
        <v>877</v>
      </c>
      <c r="O106" s="87" t="s">
        <v>792</v>
      </c>
      <c r="P106" s="87" t="s">
        <v>792</v>
      </c>
      <c r="Q106" s="87" t="s">
        <v>792</v>
      </c>
      <c r="R106" s="125">
        <v>45839</v>
      </c>
      <c r="S106" s="87" t="s">
        <v>792</v>
      </c>
      <c r="T106" s="30"/>
      <c r="U106" s="21"/>
    </row>
    <row r="107" spans="2:21">
      <c r="B107" s="68"/>
      <c r="C107" s="66" t="s">
        <v>984</v>
      </c>
      <c r="D107" s="30" t="s">
        <v>975</v>
      </c>
      <c r="E107" s="134"/>
      <c r="F107" s="64" t="s">
        <v>792</v>
      </c>
      <c r="G107" s="87" t="s">
        <v>792</v>
      </c>
      <c r="H107" s="87" t="s">
        <v>792</v>
      </c>
      <c r="I107" s="87" t="s">
        <v>792</v>
      </c>
      <c r="J107" s="87" t="s">
        <v>792</v>
      </c>
      <c r="K107" s="87" t="s">
        <v>792</v>
      </c>
      <c r="L107" s="87" t="s">
        <v>792</v>
      </c>
      <c r="M107" s="64" t="s">
        <v>792</v>
      </c>
      <c r="N107" s="126" t="s">
        <v>877</v>
      </c>
      <c r="O107" s="87" t="s">
        <v>792</v>
      </c>
      <c r="P107" s="87" t="s">
        <v>792</v>
      </c>
      <c r="Q107" s="87" t="s">
        <v>792</v>
      </c>
      <c r="R107" s="125">
        <v>45809</v>
      </c>
      <c r="S107" s="87" t="s">
        <v>792</v>
      </c>
      <c r="T107" s="30"/>
      <c r="U107" s="21"/>
    </row>
    <row r="108" spans="2:21">
      <c r="B108" s="68"/>
      <c r="C108" s="66" t="s">
        <v>985</v>
      </c>
      <c r="D108" s="30" t="s">
        <v>975</v>
      </c>
      <c r="E108" s="134"/>
      <c r="F108" s="64" t="s">
        <v>792</v>
      </c>
      <c r="G108" s="87" t="s">
        <v>792</v>
      </c>
      <c r="H108" s="87" t="s">
        <v>792</v>
      </c>
      <c r="I108" s="87" t="s">
        <v>792</v>
      </c>
      <c r="J108" s="87" t="s">
        <v>792</v>
      </c>
      <c r="K108" s="87" t="s">
        <v>792</v>
      </c>
      <c r="L108" s="87" t="s">
        <v>792</v>
      </c>
      <c r="M108" s="64" t="s">
        <v>792</v>
      </c>
      <c r="N108" s="126" t="s">
        <v>877</v>
      </c>
      <c r="O108" s="87" t="s">
        <v>792</v>
      </c>
      <c r="P108" s="87" t="s">
        <v>792</v>
      </c>
      <c r="Q108" s="87" t="s">
        <v>792</v>
      </c>
      <c r="R108" s="125">
        <v>45839</v>
      </c>
      <c r="S108" s="87" t="s">
        <v>792</v>
      </c>
      <c r="T108" s="30"/>
      <c r="U108" s="21"/>
    </row>
    <row r="109" spans="2:21">
      <c r="B109" s="68"/>
      <c r="C109" s="66" t="s">
        <v>986</v>
      </c>
      <c r="D109" s="30" t="s">
        <v>987</v>
      </c>
      <c r="E109" s="134"/>
      <c r="F109" s="64" t="s">
        <v>792</v>
      </c>
      <c r="G109" s="87" t="s">
        <v>792</v>
      </c>
      <c r="H109" s="87" t="s">
        <v>792</v>
      </c>
      <c r="I109" s="87" t="s">
        <v>792</v>
      </c>
      <c r="J109" s="87" t="s">
        <v>792</v>
      </c>
      <c r="K109" s="87" t="s">
        <v>792</v>
      </c>
      <c r="L109" s="87" t="s">
        <v>792</v>
      </c>
      <c r="M109" s="64" t="s">
        <v>792</v>
      </c>
      <c r="N109" s="87" t="s">
        <v>792</v>
      </c>
      <c r="O109" s="87" t="s">
        <v>792</v>
      </c>
      <c r="P109" s="87" t="s">
        <v>792</v>
      </c>
      <c r="Q109" s="87" t="s">
        <v>792</v>
      </c>
      <c r="R109" s="87" t="s">
        <v>792</v>
      </c>
      <c r="S109" s="87" t="s">
        <v>792</v>
      </c>
      <c r="T109" s="30"/>
      <c r="U109" s="21"/>
    </row>
    <row r="110" spans="2:21">
      <c r="B110" s="68"/>
      <c r="C110" s="66" t="s">
        <v>988</v>
      </c>
      <c r="D110" s="30" t="s">
        <v>987</v>
      </c>
      <c r="E110" s="134"/>
      <c r="F110" s="64" t="s">
        <v>792</v>
      </c>
      <c r="G110" s="87" t="s">
        <v>792</v>
      </c>
      <c r="H110" s="87" t="s">
        <v>792</v>
      </c>
      <c r="I110" s="87" t="s">
        <v>792</v>
      </c>
      <c r="J110" s="87" t="s">
        <v>792</v>
      </c>
      <c r="K110" s="87" t="s">
        <v>792</v>
      </c>
      <c r="L110" s="87" t="s">
        <v>792</v>
      </c>
      <c r="M110" s="64" t="s">
        <v>792</v>
      </c>
      <c r="N110" s="87" t="s">
        <v>792</v>
      </c>
      <c r="O110" s="87" t="s">
        <v>792</v>
      </c>
      <c r="P110" s="87" t="s">
        <v>792</v>
      </c>
      <c r="Q110" s="87" t="s">
        <v>792</v>
      </c>
      <c r="R110" s="87" t="s">
        <v>792</v>
      </c>
      <c r="S110" s="87" t="s">
        <v>792</v>
      </c>
      <c r="T110" s="30"/>
      <c r="U110" s="21"/>
    </row>
    <row r="111" spans="2:21">
      <c r="B111" s="68"/>
      <c r="C111" s="66" t="s">
        <v>989</v>
      </c>
      <c r="D111" s="30" t="s">
        <v>987</v>
      </c>
      <c r="E111" s="134"/>
      <c r="F111" s="64" t="s">
        <v>792</v>
      </c>
      <c r="G111" s="87" t="s">
        <v>792</v>
      </c>
      <c r="H111" s="87" t="s">
        <v>792</v>
      </c>
      <c r="I111" s="87" t="s">
        <v>792</v>
      </c>
      <c r="J111" s="87" t="s">
        <v>792</v>
      </c>
      <c r="K111" s="87" t="s">
        <v>792</v>
      </c>
      <c r="L111" s="87" t="s">
        <v>792</v>
      </c>
      <c r="M111" s="64" t="s">
        <v>792</v>
      </c>
      <c r="N111" s="87" t="s">
        <v>792</v>
      </c>
      <c r="O111" s="87" t="s">
        <v>792</v>
      </c>
      <c r="P111" s="87" t="s">
        <v>792</v>
      </c>
      <c r="Q111" s="87" t="s">
        <v>792</v>
      </c>
      <c r="R111" s="87" t="s">
        <v>792</v>
      </c>
      <c r="S111" s="87" t="s">
        <v>792</v>
      </c>
      <c r="T111" s="30"/>
      <c r="U111" s="21"/>
    </row>
    <row r="112" spans="2:21">
      <c r="B112" s="68"/>
      <c r="C112" s="66" t="s">
        <v>990</v>
      </c>
      <c r="D112" s="30" t="s">
        <v>987</v>
      </c>
      <c r="E112" s="134"/>
      <c r="F112" s="64" t="s">
        <v>792</v>
      </c>
      <c r="G112" s="87" t="s">
        <v>792</v>
      </c>
      <c r="H112" s="87" t="s">
        <v>792</v>
      </c>
      <c r="I112" s="87" t="s">
        <v>792</v>
      </c>
      <c r="J112" s="87" t="s">
        <v>792</v>
      </c>
      <c r="K112" s="87" t="s">
        <v>792</v>
      </c>
      <c r="L112" s="87" t="s">
        <v>792</v>
      </c>
      <c r="M112" s="64" t="s">
        <v>792</v>
      </c>
      <c r="N112" s="87" t="s">
        <v>792</v>
      </c>
      <c r="O112" s="87" t="s">
        <v>792</v>
      </c>
      <c r="P112" s="87" t="s">
        <v>792</v>
      </c>
      <c r="Q112" s="87" t="s">
        <v>792</v>
      </c>
      <c r="R112" s="87" t="s">
        <v>792</v>
      </c>
      <c r="S112" s="87" t="s">
        <v>792</v>
      </c>
      <c r="T112" s="30"/>
      <c r="U112" s="21"/>
    </row>
    <row r="113" spans="1:21">
      <c r="B113" s="68"/>
      <c r="C113" s="66" t="s">
        <v>991</v>
      </c>
      <c r="D113" s="30" t="s">
        <v>987</v>
      </c>
      <c r="E113" s="134"/>
      <c r="F113" s="64" t="s">
        <v>792</v>
      </c>
      <c r="G113" s="87" t="s">
        <v>792</v>
      </c>
      <c r="H113" s="87" t="s">
        <v>792</v>
      </c>
      <c r="I113" s="87" t="s">
        <v>792</v>
      </c>
      <c r="J113" s="87" t="s">
        <v>792</v>
      </c>
      <c r="K113" s="87" t="s">
        <v>792</v>
      </c>
      <c r="L113" s="87" t="s">
        <v>792</v>
      </c>
      <c r="M113" s="64" t="s">
        <v>792</v>
      </c>
      <c r="N113" s="87" t="s">
        <v>792</v>
      </c>
      <c r="O113" s="87" t="s">
        <v>792</v>
      </c>
      <c r="P113" s="87" t="s">
        <v>792</v>
      </c>
      <c r="Q113" s="87" t="s">
        <v>792</v>
      </c>
      <c r="R113" s="87" t="s">
        <v>792</v>
      </c>
      <c r="S113" s="87" t="s">
        <v>792</v>
      </c>
      <c r="T113" s="30"/>
      <c r="U113" s="21"/>
    </row>
    <row r="114" spans="1:21">
      <c r="B114" s="68"/>
      <c r="C114" s="66" t="s">
        <v>992</v>
      </c>
      <c r="D114" s="30" t="s">
        <v>968</v>
      </c>
      <c r="E114" s="134"/>
      <c r="F114" s="64" t="s">
        <v>792</v>
      </c>
      <c r="G114" s="87" t="s">
        <v>792</v>
      </c>
      <c r="H114" s="87" t="s">
        <v>792</v>
      </c>
      <c r="I114" s="87" t="s">
        <v>792</v>
      </c>
      <c r="J114" s="87" t="s">
        <v>792</v>
      </c>
      <c r="K114" s="87" t="s">
        <v>792</v>
      </c>
      <c r="L114" s="87" t="s">
        <v>792</v>
      </c>
      <c r="M114" s="64" t="s">
        <v>792</v>
      </c>
      <c r="N114" s="126" t="s">
        <v>940</v>
      </c>
      <c r="O114" s="87" t="s">
        <v>792</v>
      </c>
      <c r="P114" s="87" t="s">
        <v>792</v>
      </c>
      <c r="Q114" s="87" t="s">
        <v>792</v>
      </c>
      <c r="R114" s="125">
        <v>45870</v>
      </c>
      <c r="S114" s="87" t="s">
        <v>792</v>
      </c>
      <c r="T114" s="30"/>
      <c r="U114" s="21"/>
    </row>
    <row r="115" spans="1:21">
      <c r="B115" s="68"/>
      <c r="C115" s="66" t="s">
        <v>993</v>
      </c>
      <c r="D115" s="30" t="s">
        <v>968</v>
      </c>
      <c r="E115" s="134"/>
      <c r="F115" s="64" t="s">
        <v>792</v>
      </c>
      <c r="G115" s="87" t="s">
        <v>792</v>
      </c>
      <c r="H115" s="87" t="s">
        <v>792</v>
      </c>
      <c r="I115" s="87" t="s">
        <v>792</v>
      </c>
      <c r="J115" s="87" t="s">
        <v>792</v>
      </c>
      <c r="K115" s="87" t="s">
        <v>792</v>
      </c>
      <c r="L115" s="87" t="s">
        <v>792</v>
      </c>
      <c r="M115" s="64" t="s">
        <v>792</v>
      </c>
      <c r="N115" s="126" t="s">
        <v>940</v>
      </c>
      <c r="O115" s="87" t="s">
        <v>792</v>
      </c>
      <c r="P115" s="87" t="s">
        <v>792</v>
      </c>
      <c r="Q115" s="87" t="s">
        <v>792</v>
      </c>
      <c r="R115" s="125">
        <v>45870</v>
      </c>
      <c r="S115" s="87" t="s">
        <v>792</v>
      </c>
      <c r="T115" s="30"/>
      <c r="U115" s="21"/>
    </row>
    <row r="116" spans="1:21">
      <c r="B116" s="68"/>
      <c r="C116" s="66" t="s">
        <v>994</v>
      </c>
      <c r="D116" s="30" t="s">
        <v>975</v>
      </c>
      <c r="E116" s="134"/>
      <c r="F116" s="64" t="s">
        <v>792</v>
      </c>
      <c r="G116" s="87" t="s">
        <v>792</v>
      </c>
      <c r="H116" s="87" t="s">
        <v>792</v>
      </c>
      <c r="I116" s="87" t="s">
        <v>792</v>
      </c>
      <c r="J116" s="87" t="s">
        <v>792</v>
      </c>
      <c r="K116" s="87" t="s">
        <v>792</v>
      </c>
      <c r="L116" s="87" t="s">
        <v>792</v>
      </c>
      <c r="M116" s="64" t="s">
        <v>792</v>
      </c>
      <c r="N116" s="87" t="s">
        <v>792</v>
      </c>
      <c r="O116" s="87" t="s">
        <v>792</v>
      </c>
      <c r="P116" s="87" t="s">
        <v>792</v>
      </c>
      <c r="Q116" s="87" t="s">
        <v>792</v>
      </c>
      <c r="R116" s="87" t="s">
        <v>792</v>
      </c>
      <c r="S116" s="87" t="s">
        <v>792</v>
      </c>
      <c r="T116" s="30"/>
      <c r="U116" s="21"/>
    </row>
    <row r="117" spans="1:21">
      <c r="B117" s="68"/>
      <c r="C117" s="66" t="s">
        <v>995</v>
      </c>
      <c r="D117" s="30" t="s">
        <v>975</v>
      </c>
      <c r="E117" s="134"/>
      <c r="F117" s="64" t="s">
        <v>792</v>
      </c>
      <c r="G117" s="87" t="s">
        <v>792</v>
      </c>
      <c r="H117" s="87" t="s">
        <v>792</v>
      </c>
      <c r="I117" s="87" t="s">
        <v>792</v>
      </c>
      <c r="J117" s="87" t="s">
        <v>792</v>
      </c>
      <c r="K117" s="87" t="s">
        <v>792</v>
      </c>
      <c r="L117" s="87" t="s">
        <v>792</v>
      </c>
      <c r="M117" s="64" t="s">
        <v>792</v>
      </c>
      <c r="N117" s="87" t="s">
        <v>792</v>
      </c>
      <c r="O117" s="87" t="s">
        <v>792</v>
      </c>
      <c r="P117" s="87" t="s">
        <v>792</v>
      </c>
      <c r="Q117" s="87" t="s">
        <v>792</v>
      </c>
      <c r="R117" s="87" t="s">
        <v>792</v>
      </c>
      <c r="S117" s="87" t="s">
        <v>792</v>
      </c>
      <c r="T117" s="30"/>
      <c r="U117" s="21"/>
    </row>
    <row r="118" spans="1:21">
      <c r="B118" s="68"/>
      <c r="C118" s="66" t="s">
        <v>996</v>
      </c>
      <c r="D118" s="30" t="s">
        <v>968</v>
      </c>
      <c r="E118" s="134"/>
      <c r="F118" s="64" t="s">
        <v>792</v>
      </c>
      <c r="G118" s="87" t="s">
        <v>792</v>
      </c>
      <c r="H118" s="87" t="s">
        <v>792</v>
      </c>
      <c r="I118" s="87" t="s">
        <v>792</v>
      </c>
      <c r="J118" s="87" t="s">
        <v>792</v>
      </c>
      <c r="K118" s="87" t="s">
        <v>792</v>
      </c>
      <c r="L118" s="87" t="s">
        <v>792</v>
      </c>
      <c r="M118" s="64" t="s">
        <v>792</v>
      </c>
      <c r="N118" s="87" t="s">
        <v>792</v>
      </c>
      <c r="O118" s="87" t="s">
        <v>792</v>
      </c>
      <c r="P118" s="87" t="s">
        <v>792</v>
      </c>
      <c r="Q118" s="87" t="s">
        <v>792</v>
      </c>
      <c r="R118" s="87" t="s">
        <v>792</v>
      </c>
      <c r="S118" s="87" t="s">
        <v>792</v>
      </c>
      <c r="T118" s="30"/>
      <c r="U118" s="21"/>
    </row>
    <row r="119" spans="1:21">
      <c r="B119" s="68"/>
      <c r="C119" s="66" t="s">
        <v>997</v>
      </c>
      <c r="D119" s="30" t="s">
        <v>968</v>
      </c>
      <c r="E119" s="134"/>
      <c r="F119" s="64" t="s">
        <v>792</v>
      </c>
      <c r="G119" s="87" t="s">
        <v>792</v>
      </c>
      <c r="H119" s="87" t="s">
        <v>792</v>
      </c>
      <c r="I119" s="87" t="s">
        <v>792</v>
      </c>
      <c r="J119" s="87" t="s">
        <v>792</v>
      </c>
      <c r="K119" s="87" t="s">
        <v>792</v>
      </c>
      <c r="L119" s="87" t="s">
        <v>792</v>
      </c>
      <c r="M119" s="64" t="s">
        <v>792</v>
      </c>
      <c r="N119" s="87" t="s">
        <v>792</v>
      </c>
      <c r="O119" s="87" t="s">
        <v>792</v>
      </c>
      <c r="P119" s="87" t="s">
        <v>792</v>
      </c>
      <c r="Q119" s="87" t="s">
        <v>792</v>
      </c>
      <c r="R119" s="87" t="s">
        <v>792</v>
      </c>
      <c r="S119" s="87" t="s">
        <v>792</v>
      </c>
      <c r="T119" s="30"/>
      <c r="U119" s="21"/>
    </row>
    <row r="120" spans="1:21">
      <c r="B120" s="68"/>
      <c r="C120" s="66" t="s">
        <v>998</v>
      </c>
      <c r="D120" s="30" t="s">
        <v>975</v>
      </c>
      <c r="E120" s="134"/>
      <c r="F120" s="64" t="s">
        <v>792</v>
      </c>
      <c r="G120" s="87" t="s">
        <v>792</v>
      </c>
      <c r="H120" s="87" t="s">
        <v>792</v>
      </c>
      <c r="I120" s="87" t="s">
        <v>792</v>
      </c>
      <c r="J120" s="87" t="s">
        <v>792</v>
      </c>
      <c r="K120" s="87" t="s">
        <v>792</v>
      </c>
      <c r="L120" s="87" t="s">
        <v>792</v>
      </c>
      <c r="M120" s="64" t="s">
        <v>792</v>
      </c>
      <c r="N120" s="126" t="s">
        <v>910</v>
      </c>
      <c r="O120" s="87" t="s">
        <v>792</v>
      </c>
      <c r="P120" s="87" t="s">
        <v>792</v>
      </c>
      <c r="Q120" s="87" t="s">
        <v>792</v>
      </c>
      <c r="R120" s="125">
        <v>45778</v>
      </c>
      <c r="S120" s="87" t="s">
        <v>792</v>
      </c>
      <c r="T120" s="30"/>
      <c r="U120" s="21"/>
    </row>
    <row r="121" spans="1:21">
      <c r="B121" s="68"/>
      <c r="C121" s="66" t="s">
        <v>999</v>
      </c>
      <c r="D121" s="30" t="s">
        <v>975</v>
      </c>
      <c r="E121" s="134"/>
      <c r="F121" s="64" t="s">
        <v>792</v>
      </c>
      <c r="G121" s="87" t="s">
        <v>792</v>
      </c>
      <c r="H121" s="87" t="s">
        <v>792</v>
      </c>
      <c r="I121" s="87" t="s">
        <v>792</v>
      </c>
      <c r="J121" s="87" t="s">
        <v>792</v>
      </c>
      <c r="K121" s="87" t="s">
        <v>792</v>
      </c>
      <c r="L121" s="87" t="s">
        <v>792</v>
      </c>
      <c r="M121" s="64" t="s">
        <v>792</v>
      </c>
      <c r="N121" s="126" t="s">
        <v>910</v>
      </c>
      <c r="O121" s="87" t="s">
        <v>792</v>
      </c>
      <c r="P121" s="87" t="s">
        <v>792</v>
      </c>
      <c r="Q121" s="87" t="s">
        <v>792</v>
      </c>
      <c r="R121" s="125">
        <v>45809</v>
      </c>
      <c r="S121" s="87" t="s">
        <v>792</v>
      </c>
      <c r="T121" s="30"/>
      <c r="U121" s="21"/>
    </row>
    <row r="122" spans="1:21">
      <c r="B122" s="68"/>
      <c r="C122" s="66" t="s">
        <v>1000</v>
      </c>
      <c r="D122" s="30" t="s">
        <v>975</v>
      </c>
      <c r="E122" s="134"/>
      <c r="F122" s="64" t="s">
        <v>792</v>
      </c>
      <c r="G122" s="87" t="s">
        <v>792</v>
      </c>
      <c r="H122" s="87" t="s">
        <v>792</v>
      </c>
      <c r="I122" s="87" t="s">
        <v>792</v>
      </c>
      <c r="J122" s="87" t="s">
        <v>792</v>
      </c>
      <c r="K122" s="87" t="s">
        <v>792</v>
      </c>
      <c r="L122" s="87" t="s">
        <v>792</v>
      </c>
      <c r="M122" s="64" t="s">
        <v>792</v>
      </c>
      <c r="N122" s="87" t="s">
        <v>792</v>
      </c>
      <c r="O122" s="87" t="s">
        <v>792</v>
      </c>
      <c r="P122" s="87" t="s">
        <v>792</v>
      </c>
      <c r="Q122" s="87" t="s">
        <v>792</v>
      </c>
      <c r="R122" s="87" t="s">
        <v>792</v>
      </c>
      <c r="S122" s="87" t="s">
        <v>792</v>
      </c>
      <c r="T122" s="30"/>
      <c r="U122" s="21"/>
    </row>
    <row r="123" spans="1:21">
      <c r="B123" s="68"/>
      <c r="C123" s="66" t="s">
        <v>1001</v>
      </c>
      <c r="D123" s="30" t="s">
        <v>975</v>
      </c>
      <c r="E123" s="134"/>
      <c r="F123" s="64" t="s">
        <v>792</v>
      </c>
      <c r="G123" s="87" t="s">
        <v>792</v>
      </c>
      <c r="H123" s="87" t="s">
        <v>792</v>
      </c>
      <c r="I123" s="87" t="s">
        <v>792</v>
      </c>
      <c r="J123" s="87" t="s">
        <v>792</v>
      </c>
      <c r="K123" s="87" t="s">
        <v>792</v>
      </c>
      <c r="L123" s="87" t="s">
        <v>792</v>
      </c>
      <c r="M123" s="64" t="s">
        <v>792</v>
      </c>
      <c r="N123" s="126" t="s">
        <v>940</v>
      </c>
      <c r="O123" s="87" t="s">
        <v>792</v>
      </c>
      <c r="P123" s="87" t="s">
        <v>792</v>
      </c>
      <c r="Q123" s="87" t="s">
        <v>792</v>
      </c>
      <c r="R123" s="125">
        <v>45870</v>
      </c>
      <c r="S123" s="87" t="s">
        <v>792</v>
      </c>
      <c r="T123" s="30"/>
      <c r="U123" s="21"/>
    </row>
    <row r="124" spans="1:21">
      <c r="B124" s="68"/>
      <c r="C124" s="66" t="s">
        <v>1002</v>
      </c>
      <c r="D124" s="30" t="s">
        <v>975</v>
      </c>
      <c r="E124" s="134"/>
      <c r="F124" s="64" t="s">
        <v>792</v>
      </c>
      <c r="G124" s="87" t="s">
        <v>792</v>
      </c>
      <c r="H124" s="87" t="s">
        <v>792</v>
      </c>
      <c r="I124" s="87" t="s">
        <v>792</v>
      </c>
      <c r="J124" s="87" t="s">
        <v>792</v>
      </c>
      <c r="K124" s="87" t="s">
        <v>792</v>
      </c>
      <c r="L124" s="87" t="s">
        <v>792</v>
      </c>
      <c r="M124" s="64" t="s">
        <v>792</v>
      </c>
      <c r="N124" s="87" t="s">
        <v>792</v>
      </c>
      <c r="O124" s="87" t="s">
        <v>792</v>
      </c>
      <c r="P124" s="87" t="s">
        <v>792</v>
      </c>
      <c r="Q124" s="87" t="s">
        <v>792</v>
      </c>
      <c r="R124" s="87" t="s">
        <v>792</v>
      </c>
      <c r="S124" s="87" t="s">
        <v>792</v>
      </c>
      <c r="T124" s="30"/>
      <c r="U124" s="21"/>
    </row>
    <row r="125" spans="1:21">
      <c r="A125" s="16"/>
      <c r="B125" s="657" t="s">
        <v>1003</v>
      </c>
      <c r="C125" s="660"/>
      <c r="D125" s="660"/>
      <c r="E125" s="660"/>
      <c r="F125" s="660"/>
      <c r="G125" s="660"/>
      <c r="H125" s="660"/>
      <c r="I125" s="660"/>
      <c r="J125" s="660"/>
      <c r="K125" s="660"/>
      <c r="L125" s="660"/>
      <c r="M125" s="660"/>
      <c r="N125" s="660"/>
      <c r="O125" s="660"/>
      <c r="P125" s="660"/>
      <c r="Q125" s="660"/>
      <c r="R125" s="660"/>
      <c r="S125" s="660"/>
      <c r="T125" s="661"/>
      <c r="U125" s="21" t="str">
        <f t="shared" ref="U125:U126" si="6">REPT("a"&amp;CHAR(10)&amp;"b",INT(LENB(SUBSTITUTE(T125,CHAR(10),""))/70))</f>
        <v/>
      </c>
    </row>
    <row r="126" spans="1:21" outlineLevel="1">
      <c r="A126" s="16"/>
      <c r="B126" s="56"/>
      <c r="C126" s="66" t="s">
        <v>496</v>
      </c>
      <c r="D126" s="67"/>
      <c r="E126" s="134"/>
      <c r="F126" s="64" t="s">
        <v>792</v>
      </c>
      <c r="G126" s="87" t="s">
        <v>792</v>
      </c>
      <c r="H126" s="87" t="s">
        <v>792</v>
      </c>
      <c r="I126" s="87" t="s">
        <v>792</v>
      </c>
      <c r="J126" s="87" t="s">
        <v>792</v>
      </c>
      <c r="K126" s="87" t="s">
        <v>792</v>
      </c>
      <c r="L126" s="87" t="s">
        <v>792</v>
      </c>
      <c r="M126" s="64" t="s">
        <v>792</v>
      </c>
      <c r="N126" s="87" t="s">
        <v>792</v>
      </c>
      <c r="O126" s="87" t="s">
        <v>792</v>
      </c>
      <c r="P126" s="87" t="s">
        <v>792</v>
      </c>
      <c r="Q126" s="87" t="s">
        <v>792</v>
      </c>
      <c r="R126" s="87" t="s">
        <v>792</v>
      </c>
      <c r="S126" s="87" t="s">
        <v>792</v>
      </c>
      <c r="T126" s="67"/>
      <c r="U126" s="21" t="str">
        <f t="shared" si="6"/>
        <v/>
      </c>
    </row>
    <row r="127" spans="1:21" outlineLevel="1">
      <c r="B127" s="71"/>
      <c r="C127" s="66" t="s">
        <v>1004</v>
      </c>
      <c r="D127" s="67"/>
      <c r="E127" s="134"/>
      <c r="F127" s="64" t="s">
        <v>792</v>
      </c>
      <c r="G127" s="87" t="s">
        <v>792</v>
      </c>
      <c r="H127" s="87" t="s">
        <v>792</v>
      </c>
      <c r="I127" s="87" t="s">
        <v>792</v>
      </c>
      <c r="J127" s="87" t="s">
        <v>792</v>
      </c>
      <c r="K127" s="87" t="s">
        <v>792</v>
      </c>
      <c r="L127" s="87" t="s">
        <v>792</v>
      </c>
      <c r="M127" s="64" t="s">
        <v>792</v>
      </c>
      <c r="N127" s="87" t="s">
        <v>792</v>
      </c>
      <c r="O127" s="87" t="s">
        <v>792</v>
      </c>
      <c r="P127" s="87" t="s">
        <v>792</v>
      </c>
      <c r="Q127" s="87" t="s">
        <v>792</v>
      </c>
      <c r="R127" s="87" t="s">
        <v>792</v>
      </c>
      <c r="S127" s="87" t="s">
        <v>792</v>
      </c>
      <c r="T127" s="67"/>
      <c r="U127" s="21"/>
    </row>
    <row r="128" spans="1:21" outlineLevel="1">
      <c r="B128" s="71"/>
      <c r="C128" s="66" t="s">
        <v>605</v>
      </c>
      <c r="D128" s="67"/>
      <c r="E128" s="134"/>
      <c r="F128" s="64" t="s">
        <v>792</v>
      </c>
      <c r="G128" s="87" t="s">
        <v>792</v>
      </c>
      <c r="H128" s="87" t="s">
        <v>792</v>
      </c>
      <c r="I128" s="87" t="s">
        <v>792</v>
      </c>
      <c r="J128" s="87" t="s">
        <v>792</v>
      </c>
      <c r="K128" s="87" t="s">
        <v>792</v>
      </c>
      <c r="L128" s="87" t="s">
        <v>792</v>
      </c>
      <c r="M128" s="64" t="s">
        <v>792</v>
      </c>
      <c r="N128" s="87" t="s">
        <v>792</v>
      </c>
      <c r="O128" s="87" t="s">
        <v>792</v>
      </c>
      <c r="P128" s="87" t="s">
        <v>792</v>
      </c>
      <c r="Q128" s="87" t="s">
        <v>792</v>
      </c>
      <c r="R128" s="87" t="s">
        <v>792</v>
      </c>
      <c r="S128" s="87" t="s">
        <v>792</v>
      </c>
      <c r="T128" s="67"/>
      <c r="U128" s="21"/>
    </row>
    <row r="129" spans="2:21" outlineLevel="1">
      <c r="B129" s="71"/>
      <c r="C129" s="66" t="s">
        <v>1005</v>
      </c>
      <c r="D129" s="67"/>
      <c r="E129" s="134"/>
      <c r="F129" s="64" t="s">
        <v>792</v>
      </c>
      <c r="G129" s="87" t="s">
        <v>792</v>
      </c>
      <c r="H129" s="87" t="s">
        <v>792</v>
      </c>
      <c r="I129" s="87" t="s">
        <v>792</v>
      </c>
      <c r="J129" s="87" t="s">
        <v>792</v>
      </c>
      <c r="K129" s="87" t="s">
        <v>792</v>
      </c>
      <c r="L129" s="87" t="s">
        <v>792</v>
      </c>
      <c r="M129" s="64" t="s">
        <v>792</v>
      </c>
      <c r="N129" s="87" t="s">
        <v>792</v>
      </c>
      <c r="O129" s="87" t="s">
        <v>792</v>
      </c>
      <c r="P129" s="87" t="s">
        <v>792</v>
      </c>
      <c r="Q129" s="87" t="s">
        <v>792</v>
      </c>
      <c r="R129" s="87" t="s">
        <v>792</v>
      </c>
      <c r="S129" s="87" t="s">
        <v>792</v>
      </c>
      <c r="T129" s="67"/>
      <c r="U129" s="21"/>
    </row>
    <row r="130" spans="2:21" outlineLevel="1">
      <c r="B130" s="71"/>
      <c r="C130" s="66" t="s">
        <v>498</v>
      </c>
      <c r="D130" s="67"/>
      <c r="E130" s="134"/>
      <c r="F130" s="64" t="s">
        <v>792</v>
      </c>
      <c r="G130" s="87" t="s">
        <v>792</v>
      </c>
      <c r="H130" s="87" t="s">
        <v>792</v>
      </c>
      <c r="I130" s="87" t="s">
        <v>792</v>
      </c>
      <c r="J130" s="87" t="s">
        <v>792</v>
      </c>
      <c r="K130" s="87" t="s">
        <v>792</v>
      </c>
      <c r="L130" s="87" t="s">
        <v>792</v>
      </c>
      <c r="M130" s="64" t="s">
        <v>792</v>
      </c>
      <c r="N130" s="87" t="s">
        <v>792</v>
      </c>
      <c r="O130" s="87" t="s">
        <v>792</v>
      </c>
      <c r="P130" s="87" t="s">
        <v>792</v>
      </c>
      <c r="Q130" s="87" t="s">
        <v>792</v>
      </c>
      <c r="R130" s="87" t="s">
        <v>792</v>
      </c>
      <c r="S130" s="87" t="s">
        <v>792</v>
      </c>
      <c r="T130" s="67"/>
      <c r="U130" s="21"/>
    </row>
    <row r="131" spans="2:21" outlineLevel="1">
      <c r="B131" s="71"/>
      <c r="C131" s="66" t="s">
        <v>1006</v>
      </c>
      <c r="D131" s="67"/>
      <c r="E131" s="134"/>
      <c r="F131" s="64" t="s">
        <v>792</v>
      </c>
      <c r="G131" s="87" t="s">
        <v>792</v>
      </c>
      <c r="H131" s="87" t="s">
        <v>792</v>
      </c>
      <c r="I131" s="87" t="s">
        <v>792</v>
      </c>
      <c r="J131" s="87" t="s">
        <v>792</v>
      </c>
      <c r="K131" s="87" t="s">
        <v>792</v>
      </c>
      <c r="L131" s="87" t="s">
        <v>792</v>
      </c>
      <c r="M131" s="64" t="s">
        <v>792</v>
      </c>
      <c r="N131" s="87" t="s">
        <v>792</v>
      </c>
      <c r="O131" s="87" t="s">
        <v>792</v>
      </c>
      <c r="P131" s="87" t="s">
        <v>792</v>
      </c>
      <c r="Q131" s="87" t="s">
        <v>792</v>
      </c>
      <c r="R131" s="87" t="s">
        <v>792</v>
      </c>
      <c r="S131" s="87" t="s">
        <v>792</v>
      </c>
      <c r="T131" s="67"/>
      <c r="U131" s="21"/>
    </row>
    <row r="132" spans="2:21" outlineLevel="1">
      <c r="B132" s="71"/>
      <c r="C132" s="66" t="s">
        <v>1007</v>
      </c>
      <c r="D132" s="67"/>
      <c r="E132" s="134"/>
      <c r="F132" s="64" t="s">
        <v>792</v>
      </c>
      <c r="G132" s="87" t="s">
        <v>792</v>
      </c>
      <c r="H132" s="87" t="s">
        <v>792</v>
      </c>
      <c r="I132" s="87" t="s">
        <v>792</v>
      </c>
      <c r="J132" s="87" t="s">
        <v>792</v>
      </c>
      <c r="K132" s="87" t="s">
        <v>792</v>
      </c>
      <c r="L132" s="87" t="s">
        <v>792</v>
      </c>
      <c r="M132" s="64" t="s">
        <v>792</v>
      </c>
      <c r="N132" s="87" t="s">
        <v>792</v>
      </c>
      <c r="O132" s="87" t="s">
        <v>792</v>
      </c>
      <c r="P132" s="87" t="s">
        <v>792</v>
      </c>
      <c r="Q132" s="87" t="s">
        <v>792</v>
      </c>
      <c r="R132" s="87" t="s">
        <v>792</v>
      </c>
      <c r="S132" s="87" t="s">
        <v>792</v>
      </c>
      <c r="T132" s="67"/>
      <c r="U132" s="21"/>
    </row>
    <row r="133" spans="2:21" outlineLevel="1">
      <c r="B133" s="71"/>
      <c r="C133" s="66" t="s">
        <v>1008</v>
      </c>
      <c r="D133" s="67"/>
      <c r="E133" s="134"/>
      <c r="F133" s="64" t="s">
        <v>792</v>
      </c>
      <c r="G133" s="87" t="s">
        <v>792</v>
      </c>
      <c r="H133" s="87" t="s">
        <v>792</v>
      </c>
      <c r="I133" s="87" t="s">
        <v>792</v>
      </c>
      <c r="J133" s="87" t="s">
        <v>792</v>
      </c>
      <c r="K133" s="87" t="s">
        <v>792</v>
      </c>
      <c r="L133" s="87" t="s">
        <v>792</v>
      </c>
      <c r="M133" s="64" t="s">
        <v>792</v>
      </c>
      <c r="N133" s="87" t="s">
        <v>792</v>
      </c>
      <c r="O133" s="87" t="s">
        <v>792</v>
      </c>
      <c r="P133" s="87" t="s">
        <v>792</v>
      </c>
      <c r="Q133" s="87" t="s">
        <v>792</v>
      </c>
      <c r="R133" s="87" t="s">
        <v>792</v>
      </c>
      <c r="S133" s="87" t="s">
        <v>792</v>
      </c>
      <c r="T133" s="67"/>
      <c r="U133" s="21"/>
    </row>
    <row r="134" spans="2:21" outlineLevel="1">
      <c r="B134" s="71"/>
      <c r="C134" s="66" t="s">
        <v>965</v>
      </c>
      <c r="D134" s="67"/>
      <c r="E134" s="134"/>
      <c r="F134" s="64" t="s">
        <v>792</v>
      </c>
      <c r="G134" s="87" t="s">
        <v>792</v>
      </c>
      <c r="H134" s="87" t="s">
        <v>792</v>
      </c>
      <c r="I134" s="87" t="s">
        <v>792</v>
      </c>
      <c r="J134" s="87" t="s">
        <v>792</v>
      </c>
      <c r="K134" s="87" t="s">
        <v>792</v>
      </c>
      <c r="L134" s="87" t="s">
        <v>792</v>
      </c>
      <c r="M134" s="64" t="s">
        <v>792</v>
      </c>
      <c r="N134" s="87" t="s">
        <v>792</v>
      </c>
      <c r="O134" s="87" t="s">
        <v>792</v>
      </c>
      <c r="P134" s="87" t="s">
        <v>792</v>
      </c>
      <c r="Q134" s="87" t="s">
        <v>792</v>
      </c>
      <c r="R134" s="87" t="s">
        <v>792</v>
      </c>
      <c r="S134" s="87" t="s">
        <v>792</v>
      </c>
      <c r="T134" s="67"/>
      <c r="U134" s="21"/>
    </row>
    <row r="135" spans="2:21" outlineLevel="1">
      <c r="B135" s="71"/>
      <c r="C135" s="66" t="s">
        <v>1009</v>
      </c>
      <c r="D135" s="67"/>
      <c r="E135" s="134"/>
      <c r="F135" s="64" t="s">
        <v>792</v>
      </c>
      <c r="G135" s="87" t="s">
        <v>792</v>
      </c>
      <c r="H135" s="87" t="s">
        <v>792</v>
      </c>
      <c r="I135" s="87" t="s">
        <v>792</v>
      </c>
      <c r="J135" s="87" t="s">
        <v>792</v>
      </c>
      <c r="K135" s="87" t="s">
        <v>792</v>
      </c>
      <c r="L135" s="87" t="s">
        <v>792</v>
      </c>
      <c r="M135" s="64" t="s">
        <v>792</v>
      </c>
      <c r="N135" s="87" t="s">
        <v>792</v>
      </c>
      <c r="O135" s="87" t="s">
        <v>792</v>
      </c>
      <c r="P135" s="87" t="s">
        <v>792</v>
      </c>
      <c r="Q135" s="87" t="s">
        <v>792</v>
      </c>
      <c r="R135" s="87" t="s">
        <v>792</v>
      </c>
      <c r="S135" s="87" t="s">
        <v>792</v>
      </c>
      <c r="T135" s="67"/>
      <c r="U135" s="21"/>
    </row>
    <row r="136" spans="2:21" outlineLevel="1">
      <c r="B136" s="71"/>
      <c r="C136" s="72" t="s">
        <v>1010</v>
      </c>
      <c r="D136" s="67"/>
      <c r="E136" s="134"/>
      <c r="F136" s="64" t="s">
        <v>792</v>
      </c>
      <c r="G136" s="87" t="s">
        <v>792</v>
      </c>
      <c r="H136" s="87" t="s">
        <v>792</v>
      </c>
      <c r="I136" s="87" t="s">
        <v>792</v>
      </c>
      <c r="J136" s="87" t="s">
        <v>792</v>
      </c>
      <c r="K136" s="87" t="s">
        <v>792</v>
      </c>
      <c r="L136" s="87" t="s">
        <v>792</v>
      </c>
      <c r="M136" s="64" t="s">
        <v>792</v>
      </c>
      <c r="N136" s="87" t="s">
        <v>792</v>
      </c>
      <c r="O136" s="87" t="s">
        <v>792</v>
      </c>
      <c r="P136" s="87" t="s">
        <v>792</v>
      </c>
      <c r="Q136" s="87" t="s">
        <v>792</v>
      </c>
      <c r="R136" s="87" t="s">
        <v>792</v>
      </c>
      <c r="S136" s="87" t="s">
        <v>792</v>
      </c>
      <c r="T136" s="67"/>
      <c r="U136" s="21"/>
    </row>
    <row r="137" spans="2:21" outlineLevel="1">
      <c r="B137" s="71"/>
      <c r="C137" s="72" t="s">
        <v>1011</v>
      </c>
      <c r="D137" s="67"/>
      <c r="E137" s="134"/>
      <c r="F137" s="64" t="s">
        <v>792</v>
      </c>
      <c r="G137" s="87" t="s">
        <v>792</v>
      </c>
      <c r="H137" s="87" t="s">
        <v>792</v>
      </c>
      <c r="I137" s="87" t="s">
        <v>792</v>
      </c>
      <c r="J137" s="87" t="s">
        <v>792</v>
      </c>
      <c r="K137" s="87" t="s">
        <v>792</v>
      </c>
      <c r="L137" s="87" t="s">
        <v>792</v>
      </c>
      <c r="M137" s="64" t="s">
        <v>792</v>
      </c>
      <c r="N137" s="87" t="s">
        <v>792</v>
      </c>
      <c r="O137" s="87" t="s">
        <v>792</v>
      </c>
      <c r="P137" s="87" t="s">
        <v>792</v>
      </c>
      <c r="Q137" s="87" t="s">
        <v>792</v>
      </c>
      <c r="R137" s="87" t="s">
        <v>792</v>
      </c>
      <c r="S137" s="87" t="s">
        <v>792</v>
      </c>
      <c r="T137" s="67"/>
      <c r="U137" s="21"/>
    </row>
    <row r="138" spans="2:21" outlineLevel="1">
      <c r="B138" s="71"/>
      <c r="C138" s="72" t="s">
        <v>501</v>
      </c>
      <c r="D138" s="67"/>
      <c r="E138" s="134"/>
      <c r="F138" s="64" t="s">
        <v>792</v>
      </c>
      <c r="G138" s="87" t="s">
        <v>792</v>
      </c>
      <c r="H138" s="87" t="s">
        <v>792</v>
      </c>
      <c r="I138" s="87" t="s">
        <v>792</v>
      </c>
      <c r="J138" s="87" t="s">
        <v>792</v>
      </c>
      <c r="K138" s="87" t="s">
        <v>792</v>
      </c>
      <c r="L138" s="87" t="s">
        <v>792</v>
      </c>
      <c r="M138" s="64" t="s">
        <v>792</v>
      </c>
      <c r="N138" s="87" t="s">
        <v>792</v>
      </c>
      <c r="O138" s="87" t="s">
        <v>792</v>
      </c>
      <c r="P138" s="87" t="s">
        <v>792</v>
      </c>
      <c r="Q138" s="87" t="s">
        <v>792</v>
      </c>
      <c r="R138" s="87" t="s">
        <v>792</v>
      </c>
      <c r="S138" s="87" t="s">
        <v>792</v>
      </c>
      <c r="T138" s="67"/>
      <c r="U138" s="21"/>
    </row>
    <row r="139" spans="2:21" outlineLevel="1">
      <c r="B139" s="71"/>
      <c r="C139" s="72" t="s">
        <v>502</v>
      </c>
      <c r="D139" s="67"/>
      <c r="E139" s="134"/>
      <c r="F139" s="64" t="s">
        <v>792</v>
      </c>
      <c r="G139" s="87" t="s">
        <v>792</v>
      </c>
      <c r="H139" s="87" t="s">
        <v>792</v>
      </c>
      <c r="I139" s="87" t="s">
        <v>792</v>
      </c>
      <c r="J139" s="87" t="s">
        <v>792</v>
      </c>
      <c r="K139" s="87" t="s">
        <v>792</v>
      </c>
      <c r="L139" s="87" t="s">
        <v>792</v>
      </c>
      <c r="M139" s="64" t="s">
        <v>792</v>
      </c>
      <c r="N139" s="87" t="s">
        <v>792</v>
      </c>
      <c r="O139" s="87" t="s">
        <v>792</v>
      </c>
      <c r="P139" s="87" t="s">
        <v>792</v>
      </c>
      <c r="Q139" s="87" t="s">
        <v>792</v>
      </c>
      <c r="R139" s="87" t="s">
        <v>792</v>
      </c>
      <c r="S139" s="87" t="s">
        <v>792</v>
      </c>
      <c r="T139" s="67"/>
      <c r="U139" s="21"/>
    </row>
    <row r="140" spans="2:21" outlineLevel="1">
      <c r="B140" s="71"/>
      <c r="C140" s="72" t="s">
        <v>503</v>
      </c>
      <c r="D140" s="67"/>
      <c r="E140" s="134"/>
      <c r="F140" s="64" t="s">
        <v>792</v>
      </c>
      <c r="G140" s="87" t="s">
        <v>792</v>
      </c>
      <c r="H140" s="87" t="s">
        <v>792</v>
      </c>
      <c r="I140" s="87" t="s">
        <v>792</v>
      </c>
      <c r="J140" s="87" t="s">
        <v>792</v>
      </c>
      <c r="K140" s="87" t="s">
        <v>792</v>
      </c>
      <c r="L140" s="87" t="s">
        <v>792</v>
      </c>
      <c r="M140" s="64" t="s">
        <v>792</v>
      </c>
      <c r="N140" s="87" t="s">
        <v>792</v>
      </c>
      <c r="O140" s="87" t="s">
        <v>792</v>
      </c>
      <c r="P140" s="87" t="s">
        <v>792</v>
      </c>
      <c r="Q140" s="87" t="s">
        <v>792</v>
      </c>
      <c r="R140" s="87" t="s">
        <v>792</v>
      </c>
      <c r="S140" s="87" t="s">
        <v>792</v>
      </c>
      <c r="T140" s="67"/>
      <c r="U140" s="21"/>
    </row>
    <row r="141" spans="2:21" outlineLevel="1">
      <c r="B141" s="71"/>
      <c r="C141" s="72" t="s">
        <v>504</v>
      </c>
      <c r="D141" s="67"/>
      <c r="E141" s="134"/>
      <c r="F141" s="64" t="s">
        <v>792</v>
      </c>
      <c r="G141" s="87" t="s">
        <v>792</v>
      </c>
      <c r="H141" s="87" t="s">
        <v>792</v>
      </c>
      <c r="I141" s="87" t="s">
        <v>792</v>
      </c>
      <c r="J141" s="87" t="s">
        <v>792</v>
      </c>
      <c r="K141" s="87" t="s">
        <v>792</v>
      </c>
      <c r="L141" s="87" t="s">
        <v>792</v>
      </c>
      <c r="M141" s="64" t="s">
        <v>792</v>
      </c>
      <c r="N141" s="87" t="s">
        <v>792</v>
      </c>
      <c r="O141" s="87" t="s">
        <v>792</v>
      </c>
      <c r="P141" s="87" t="s">
        <v>792</v>
      </c>
      <c r="Q141" s="87" t="s">
        <v>792</v>
      </c>
      <c r="R141" s="87" t="s">
        <v>792</v>
      </c>
      <c r="S141" s="87" t="s">
        <v>792</v>
      </c>
      <c r="T141" s="67"/>
      <c r="U141" s="21"/>
    </row>
    <row r="142" spans="2:21" outlineLevel="1">
      <c r="B142" s="71"/>
      <c r="C142" s="72" t="s">
        <v>505</v>
      </c>
      <c r="D142" s="67"/>
      <c r="E142" s="134"/>
      <c r="F142" s="64" t="s">
        <v>792</v>
      </c>
      <c r="G142" s="87" t="s">
        <v>792</v>
      </c>
      <c r="H142" s="87" t="s">
        <v>792</v>
      </c>
      <c r="I142" s="87" t="s">
        <v>792</v>
      </c>
      <c r="J142" s="87" t="s">
        <v>792</v>
      </c>
      <c r="K142" s="87" t="s">
        <v>792</v>
      </c>
      <c r="L142" s="87" t="s">
        <v>792</v>
      </c>
      <c r="M142" s="64" t="s">
        <v>792</v>
      </c>
      <c r="N142" s="87" t="s">
        <v>792</v>
      </c>
      <c r="O142" s="87" t="s">
        <v>792</v>
      </c>
      <c r="P142" s="87" t="s">
        <v>792</v>
      </c>
      <c r="Q142" s="87" t="s">
        <v>792</v>
      </c>
      <c r="R142" s="87" t="s">
        <v>792</v>
      </c>
      <c r="S142" s="87" t="s">
        <v>792</v>
      </c>
      <c r="T142" s="67"/>
      <c r="U142" s="21"/>
    </row>
    <row r="143" spans="2:21" outlineLevel="1">
      <c r="B143" s="71"/>
      <c r="C143" s="72" t="s">
        <v>961</v>
      </c>
      <c r="D143" s="67"/>
      <c r="E143" s="134"/>
      <c r="F143" s="64" t="s">
        <v>792</v>
      </c>
      <c r="G143" s="87" t="s">
        <v>792</v>
      </c>
      <c r="H143" s="87" t="s">
        <v>792</v>
      </c>
      <c r="I143" s="87" t="s">
        <v>792</v>
      </c>
      <c r="J143" s="87" t="s">
        <v>792</v>
      </c>
      <c r="K143" s="87" t="s">
        <v>792</v>
      </c>
      <c r="L143" s="87" t="s">
        <v>792</v>
      </c>
      <c r="M143" s="64" t="s">
        <v>792</v>
      </c>
      <c r="N143" s="87" t="s">
        <v>792</v>
      </c>
      <c r="O143" s="87" t="s">
        <v>792</v>
      </c>
      <c r="P143" s="87" t="s">
        <v>792</v>
      </c>
      <c r="Q143" s="87" t="s">
        <v>792</v>
      </c>
      <c r="R143" s="87" t="s">
        <v>792</v>
      </c>
      <c r="S143" s="87" t="s">
        <v>792</v>
      </c>
      <c r="T143" s="67"/>
      <c r="U143" s="21"/>
    </row>
    <row r="144" spans="2:21" outlineLevel="1">
      <c r="B144" s="71"/>
      <c r="C144" s="72" t="s">
        <v>1012</v>
      </c>
      <c r="D144" s="67"/>
      <c r="E144" s="134"/>
      <c r="F144" s="64" t="s">
        <v>792</v>
      </c>
      <c r="G144" s="87" t="s">
        <v>792</v>
      </c>
      <c r="H144" s="87" t="s">
        <v>792</v>
      </c>
      <c r="I144" s="87" t="s">
        <v>792</v>
      </c>
      <c r="J144" s="87" t="s">
        <v>792</v>
      </c>
      <c r="K144" s="87" t="s">
        <v>792</v>
      </c>
      <c r="L144" s="87" t="s">
        <v>792</v>
      </c>
      <c r="M144" s="64" t="s">
        <v>792</v>
      </c>
      <c r="N144" s="87" t="s">
        <v>792</v>
      </c>
      <c r="O144" s="87" t="s">
        <v>792</v>
      </c>
      <c r="P144" s="87" t="s">
        <v>792</v>
      </c>
      <c r="Q144" s="87" t="s">
        <v>792</v>
      </c>
      <c r="R144" s="87" t="s">
        <v>792</v>
      </c>
      <c r="S144" s="87" t="s">
        <v>792</v>
      </c>
      <c r="T144" s="67"/>
      <c r="U144" s="21"/>
    </row>
    <row r="145" spans="1:21" outlineLevel="1">
      <c r="B145" s="71"/>
      <c r="C145" s="72" t="s">
        <v>1013</v>
      </c>
      <c r="D145" s="67"/>
      <c r="E145" s="134"/>
      <c r="F145" s="64" t="s">
        <v>792</v>
      </c>
      <c r="G145" s="87" t="s">
        <v>792</v>
      </c>
      <c r="H145" s="87" t="s">
        <v>792</v>
      </c>
      <c r="I145" s="87" t="s">
        <v>792</v>
      </c>
      <c r="J145" s="87" t="s">
        <v>792</v>
      </c>
      <c r="K145" s="87" t="s">
        <v>792</v>
      </c>
      <c r="L145" s="87" t="s">
        <v>792</v>
      </c>
      <c r="M145" s="64" t="s">
        <v>792</v>
      </c>
      <c r="N145" s="87" t="s">
        <v>792</v>
      </c>
      <c r="O145" s="87" t="s">
        <v>792</v>
      </c>
      <c r="P145" s="87" t="s">
        <v>792</v>
      </c>
      <c r="Q145" s="87" t="s">
        <v>792</v>
      </c>
      <c r="R145" s="87" t="s">
        <v>792</v>
      </c>
      <c r="S145" s="87" t="s">
        <v>792</v>
      </c>
      <c r="T145" s="67"/>
      <c r="U145" s="21"/>
    </row>
    <row r="146" spans="1:21" outlineLevel="1">
      <c r="B146" s="71"/>
      <c r="C146" s="72" t="s">
        <v>1014</v>
      </c>
      <c r="D146" s="67"/>
      <c r="E146" s="134"/>
      <c r="F146" s="64" t="s">
        <v>792</v>
      </c>
      <c r="G146" s="87" t="s">
        <v>792</v>
      </c>
      <c r="H146" s="87" t="s">
        <v>792</v>
      </c>
      <c r="I146" s="87" t="s">
        <v>792</v>
      </c>
      <c r="J146" s="87" t="s">
        <v>792</v>
      </c>
      <c r="K146" s="87" t="s">
        <v>792</v>
      </c>
      <c r="L146" s="87" t="s">
        <v>792</v>
      </c>
      <c r="M146" s="64" t="s">
        <v>792</v>
      </c>
      <c r="N146" s="87" t="s">
        <v>792</v>
      </c>
      <c r="O146" s="87" t="s">
        <v>792</v>
      </c>
      <c r="P146" s="87" t="s">
        <v>792</v>
      </c>
      <c r="Q146" s="87" t="s">
        <v>792</v>
      </c>
      <c r="R146" s="87" t="s">
        <v>792</v>
      </c>
      <c r="S146" s="87" t="s">
        <v>792</v>
      </c>
      <c r="T146" s="67"/>
      <c r="U146" s="21"/>
    </row>
    <row r="147" spans="1:21" outlineLevel="1">
      <c r="B147" s="71"/>
      <c r="C147" s="72" t="s">
        <v>1015</v>
      </c>
      <c r="D147" s="67"/>
      <c r="E147" s="134"/>
      <c r="F147" s="64" t="s">
        <v>792</v>
      </c>
      <c r="G147" s="87" t="s">
        <v>792</v>
      </c>
      <c r="H147" s="87" t="s">
        <v>792</v>
      </c>
      <c r="I147" s="87" t="s">
        <v>792</v>
      </c>
      <c r="J147" s="87" t="s">
        <v>792</v>
      </c>
      <c r="K147" s="87" t="s">
        <v>792</v>
      </c>
      <c r="L147" s="87" t="s">
        <v>792</v>
      </c>
      <c r="M147" s="64" t="s">
        <v>792</v>
      </c>
      <c r="N147" s="87" t="s">
        <v>792</v>
      </c>
      <c r="O147" s="87" t="s">
        <v>792</v>
      </c>
      <c r="P147" s="87" t="s">
        <v>792</v>
      </c>
      <c r="Q147" s="87" t="s">
        <v>792</v>
      </c>
      <c r="R147" s="87" t="s">
        <v>792</v>
      </c>
      <c r="S147" s="87" t="s">
        <v>792</v>
      </c>
      <c r="T147" s="67"/>
      <c r="U147" s="21"/>
    </row>
    <row r="148" spans="1:21" outlineLevel="1">
      <c r="B148" s="71"/>
      <c r="C148" s="72" t="s">
        <v>1016</v>
      </c>
      <c r="D148" s="67"/>
      <c r="E148" s="134"/>
      <c r="F148" s="64" t="s">
        <v>792</v>
      </c>
      <c r="G148" s="87" t="s">
        <v>792</v>
      </c>
      <c r="H148" s="87" t="s">
        <v>792</v>
      </c>
      <c r="I148" s="87" t="s">
        <v>792</v>
      </c>
      <c r="J148" s="87" t="s">
        <v>792</v>
      </c>
      <c r="K148" s="87" t="s">
        <v>792</v>
      </c>
      <c r="L148" s="87" t="s">
        <v>792</v>
      </c>
      <c r="M148" s="64" t="s">
        <v>792</v>
      </c>
      <c r="N148" s="87" t="s">
        <v>792</v>
      </c>
      <c r="O148" s="87" t="s">
        <v>792</v>
      </c>
      <c r="P148" s="87" t="s">
        <v>792</v>
      </c>
      <c r="Q148" s="87" t="s">
        <v>792</v>
      </c>
      <c r="R148" s="87" t="s">
        <v>792</v>
      </c>
      <c r="S148" s="87" t="s">
        <v>792</v>
      </c>
      <c r="T148" s="67"/>
      <c r="U148" s="21"/>
    </row>
    <row r="149" spans="1:21" outlineLevel="1">
      <c r="B149" s="71"/>
      <c r="C149" s="72" t="s">
        <v>1017</v>
      </c>
      <c r="D149" s="67"/>
      <c r="E149" s="134"/>
      <c r="F149" s="64" t="s">
        <v>792</v>
      </c>
      <c r="G149" s="87" t="s">
        <v>792</v>
      </c>
      <c r="H149" s="87" t="s">
        <v>792</v>
      </c>
      <c r="I149" s="87" t="s">
        <v>792</v>
      </c>
      <c r="J149" s="87" t="s">
        <v>792</v>
      </c>
      <c r="K149" s="87" t="s">
        <v>792</v>
      </c>
      <c r="L149" s="87" t="s">
        <v>792</v>
      </c>
      <c r="M149" s="64" t="s">
        <v>792</v>
      </c>
      <c r="N149" s="87" t="s">
        <v>792</v>
      </c>
      <c r="O149" s="87" t="s">
        <v>792</v>
      </c>
      <c r="P149" s="87" t="s">
        <v>792</v>
      </c>
      <c r="Q149" s="87" t="s">
        <v>792</v>
      </c>
      <c r="R149" s="87" t="s">
        <v>792</v>
      </c>
      <c r="S149" s="87" t="s">
        <v>792</v>
      </c>
      <c r="T149" s="67"/>
      <c r="U149" s="21"/>
    </row>
    <row r="150" spans="1:21" outlineLevel="1">
      <c r="B150" s="71"/>
      <c r="C150" s="72" t="s">
        <v>1018</v>
      </c>
      <c r="D150" s="67"/>
      <c r="E150" s="134"/>
      <c r="F150" s="64" t="s">
        <v>792</v>
      </c>
      <c r="G150" s="87" t="s">
        <v>792</v>
      </c>
      <c r="H150" s="87" t="s">
        <v>792</v>
      </c>
      <c r="I150" s="87" t="s">
        <v>792</v>
      </c>
      <c r="J150" s="87" t="s">
        <v>792</v>
      </c>
      <c r="K150" s="87" t="s">
        <v>792</v>
      </c>
      <c r="L150" s="87" t="s">
        <v>792</v>
      </c>
      <c r="M150" s="64" t="s">
        <v>792</v>
      </c>
      <c r="N150" s="87" t="s">
        <v>792</v>
      </c>
      <c r="O150" s="87" t="s">
        <v>792</v>
      </c>
      <c r="P150" s="87" t="s">
        <v>792</v>
      </c>
      <c r="Q150" s="87" t="s">
        <v>792</v>
      </c>
      <c r="R150" s="87" t="s">
        <v>792</v>
      </c>
      <c r="S150" s="87" t="s">
        <v>792</v>
      </c>
      <c r="T150" s="67"/>
      <c r="U150" s="21"/>
    </row>
    <row r="151" spans="1:21" outlineLevel="1">
      <c r="B151" s="71"/>
      <c r="C151" s="72" t="s">
        <v>1019</v>
      </c>
      <c r="D151" s="67"/>
      <c r="E151" s="134"/>
      <c r="F151" s="64" t="s">
        <v>792</v>
      </c>
      <c r="G151" s="87" t="s">
        <v>792</v>
      </c>
      <c r="H151" s="87" t="s">
        <v>792</v>
      </c>
      <c r="I151" s="87" t="s">
        <v>792</v>
      </c>
      <c r="J151" s="87" t="s">
        <v>792</v>
      </c>
      <c r="K151" s="87" t="s">
        <v>792</v>
      </c>
      <c r="L151" s="87" t="s">
        <v>792</v>
      </c>
      <c r="M151" s="64" t="s">
        <v>792</v>
      </c>
      <c r="N151" s="87" t="s">
        <v>792</v>
      </c>
      <c r="O151" s="87" t="s">
        <v>792</v>
      </c>
      <c r="P151" s="87" t="s">
        <v>792</v>
      </c>
      <c r="Q151" s="87" t="s">
        <v>792</v>
      </c>
      <c r="R151" s="87" t="s">
        <v>792</v>
      </c>
      <c r="S151" s="87" t="s">
        <v>792</v>
      </c>
      <c r="T151" s="67"/>
      <c r="U151" s="21"/>
    </row>
    <row r="152" spans="1:21" outlineLevel="1">
      <c r="B152" s="71"/>
      <c r="C152" s="72" t="s">
        <v>1020</v>
      </c>
      <c r="D152" s="67"/>
      <c r="E152" s="134"/>
      <c r="F152" s="64" t="s">
        <v>792</v>
      </c>
      <c r="G152" s="87" t="s">
        <v>792</v>
      </c>
      <c r="H152" s="87" t="s">
        <v>792</v>
      </c>
      <c r="I152" s="87" t="s">
        <v>792</v>
      </c>
      <c r="J152" s="87" t="s">
        <v>792</v>
      </c>
      <c r="K152" s="87" t="s">
        <v>792</v>
      </c>
      <c r="L152" s="87" t="s">
        <v>792</v>
      </c>
      <c r="M152" s="64" t="s">
        <v>792</v>
      </c>
      <c r="N152" s="87" t="s">
        <v>792</v>
      </c>
      <c r="O152" s="87" t="s">
        <v>792</v>
      </c>
      <c r="P152" s="87" t="s">
        <v>792</v>
      </c>
      <c r="Q152" s="87" t="s">
        <v>792</v>
      </c>
      <c r="R152" s="87" t="s">
        <v>792</v>
      </c>
      <c r="S152" s="87" t="s">
        <v>792</v>
      </c>
      <c r="T152" s="67"/>
      <c r="U152" s="21"/>
    </row>
    <row r="153" spans="1:21" outlineLevel="1">
      <c r="B153" s="71"/>
      <c r="C153" s="72" t="s">
        <v>1021</v>
      </c>
      <c r="D153" s="67"/>
      <c r="E153" s="134"/>
      <c r="F153" s="64" t="s">
        <v>792</v>
      </c>
      <c r="G153" s="87" t="s">
        <v>792</v>
      </c>
      <c r="H153" s="87" t="s">
        <v>792</v>
      </c>
      <c r="I153" s="87" t="s">
        <v>792</v>
      </c>
      <c r="J153" s="87" t="s">
        <v>792</v>
      </c>
      <c r="K153" s="87" t="s">
        <v>792</v>
      </c>
      <c r="L153" s="87" t="s">
        <v>792</v>
      </c>
      <c r="M153" s="64" t="s">
        <v>792</v>
      </c>
      <c r="N153" s="87" t="s">
        <v>792</v>
      </c>
      <c r="O153" s="87" t="s">
        <v>792</v>
      </c>
      <c r="P153" s="87" t="s">
        <v>792</v>
      </c>
      <c r="Q153" s="87" t="s">
        <v>792</v>
      </c>
      <c r="R153" s="87" t="s">
        <v>792</v>
      </c>
      <c r="S153" s="87" t="s">
        <v>792</v>
      </c>
      <c r="T153" s="67"/>
      <c r="U153" s="21"/>
    </row>
    <row r="154" spans="1:21" outlineLevel="1">
      <c r="B154" s="71"/>
      <c r="C154" s="72" t="s">
        <v>1022</v>
      </c>
      <c r="D154" s="67"/>
      <c r="E154" s="134"/>
      <c r="F154" s="64" t="s">
        <v>792</v>
      </c>
      <c r="G154" s="87" t="s">
        <v>792</v>
      </c>
      <c r="H154" s="87" t="s">
        <v>792</v>
      </c>
      <c r="I154" s="87" t="s">
        <v>792</v>
      </c>
      <c r="J154" s="87" t="s">
        <v>792</v>
      </c>
      <c r="K154" s="87" t="s">
        <v>792</v>
      </c>
      <c r="L154" s="87" t="s">
        <v>792</v>
      </c>
      <c r="M154" s="64" t="s">
        <v>792</v>
      </c>
      <c r="N154" s="87" t="s">
        <v>792</v>
      </c>
      <c r="O154" s="87" t="s">
        <v>792</v>
      </c>
      <c r="P154" s="87" t="s">
        <v>792</v>
      </c>
      <c r="Q154" s="87" t="s">
        <v>792</v>
      </c>
      <c r="R154" s="87" t="s">
        <v>792</v>
      </c>
      <c r="S154" s="87" t="s">
        <v>792</v>
      </c>
      <c r="T154" s="67"/>
      <c r="U154" s="21"/>
    </row>
    <row r="155" spans="1:21" outlineLevel="1">
      <c r="B155" s="73"/>
      <c r="C155" s="72" t="s">
        <v>1023</v>
      </c>
      <c r="D155" s="67"/>
      <c r="E155" s="134"/>
      <c r="F155" s="64" t="s">
        <v>792</v>
      </c>
      <c r="G155" s="87" t="s">
        <v>792</v>
      </c>
      <c r="H155" s="87" t="s">
        <v>792</v>
      </c>
      <c r="I155" s="87" t="s">
        <v>792</v>
      </c>
      <c r="J155" s="87" t="s">
        <v>792</v>
      </c>
      <c r="K155" s="87" t="s">
        <v>792</v>
      </c>
      <c r="L155" s="87" t="s">
        <v>792</v>
      </c>
      <c r="M155" s="64" t="s">
        <v>792</v>
      </c>
      <c r="N155" s="87" t="s">
        <v>792</v>
      </c>
      <c r="O155" s="87" t="s">
        <v>792</v>
      </c>
      <c r="P155" s="87" t="s">
        <v>792</v>
      </c>
      <c r="Q155" s="87" t="s">
        <v>792</v>
      </c>
      <c r="R155" s="87" t="s">
        <v>792</v>
      </c>
      <c r="S155" s="87" t="s">
        <v>792</v>
      </c>
      <c r="T155" s="67"/>
      <c r="U155" s="21"/>
    </row>
    <row r="156" spans="1:21">
      <c r="A156" s="16"/>
      <c r="B156" s="657" t="s">
        <v>1024</v>
      </c>
      <c r="C156" s="660"/>
      <c r="D156" s="660"/>
      <c r="E156" s="660"/>
      <c r="F156" s="660"/>
      <c r="G156" s="660"/>
      <c r="H156" s="660"/>
      <c r="I156" s="660"/>
      <c r="J156" s="660"/>
      <c r="K156" s="660"/>
      <c r="L156" s="660"/>
      <c r="M156" s="660"/>
      <c r="N156" s="660"/>
      <c r="O156" s="660"/>
      <c r="P156" s="660"/>
      <c r="Q156" s="660"/>
      <c r="R156" s="660"/>
      <c r="S156" s="660"/>
      <c r="T156" s="661"/>
      <c r="U156" s="21" t="str">
        <f t="shared" ref="U156:U162" si="7">REPT("a"&amp;CHAR(10)&amp;"b",INT(LENB(SUBSTITUTE(T156,CHAR(10),""))/70))</f>
        <v/>
      </c>
    </row>
    <row r="157" spans="1:21">
      <c r="A157" s="16"/>
      <c r="B157" s="56"/>
      <c r="C157" s="66" t="s">
        <v>1025</v>
      </c>
      <c r="D157" s="67"/>
      <c r="E157" s="134"/>
      <c r="F157" s="64" t="s">
        <v>792</v>
      </c>
      <c r="G157" s="87" t="s">
        <v>792</v>
      </c>
      <c r="H157" s="87" t="s">
        <v>792</v>
      </c>
      <c r="I157" s="87" t="s">
        <v>792</v>
      </c>
      <c r="J157" s="87" t="s">
        <v>792</v>
      </c>
      <c r="K157" s="87" t="s">
        <v>792</v>
      </c>
      <c r="L157" s="87" t="s">
        <v>792</v>
      </c>
      <c r="M157" s="64" t="s">
        <v>792</v>
      </c>
      <c r="N157" s="127" t="s">
        <v>954</v>
      </c>
      <c r="O157" s="87" t="s">
        <v>792</v>
      </c>
      <c r="P157" s="87" t="s">
        <v>792</v>
      </c>
      <c r="Q157" s="87" t="s">
        <v>792</v>
      </c>
      <c r="R157" s="129">
        <v>45992</v>
      </c>
      <c r="S157" s="87" t="s">
        <v>792</v>
      </c>
      <c r="T157" s="67"/>
      <c r="U157" s="21" t="str">
        <f t="shared" si="7"/>
        <v/>
      </c>
    </row>
    <row r="158" spans="1:21">
      <c r="A158" s="16"/>
      <c r="B158" s="56"/>
      <c r="C158" s="66" t="s">
        <v>1026</v>
      </c>
      <c r="D158" s="67"/>
      <c r="E158" s="134"/>
      <c r="F158" s="64" t="s">
        <v>792</v>
      </c>
      <c r="G158" s="87" t="s">
        <v>792</v>
      </c>
      <c r="H158" s="87" t="s">
        <v>792</v>
      </c>
      <c r="I158" s="87" t="s">
        <v>792</v>
      </c>
      <c r="J158" s="87" t="s">
        <v>792</v>
      </c>
      <c r="K158" s="87" t="s">
        <v>792</v>
      </c>
      <c r="L158" s="87" t="s">
        <v>792</v>
      </c>
      <c r="M158" s="64" t="s">
        <v>792</v>
      </c>
      <c r="N158" s="127" t="s">
        <v>954</v>
      </c>
      <c r="O158" s="87" t="s">
        <v>792</v>
      </c>
      <c r="P158" s="87" t="s">
        <v>792</v>
      </c>
      <c r="Q158" s="87" t="s">
        <v>792</v>
      </c>
      <c r="R158" s="129">
        <v>45992</v>
      </c>
      <c r="S158" s="87" t="s">
        <v>792</v>
      </c>
      <c r="T158" s="67"/>
      <c r="U158" s="21" t="str">
        <f t="shared" si="7"/>
        <v/>
      </c>
    </row>
    <row r="159" spans="1:21">
      <c r="A159" s="16"/>
      <c r="B159" s="56"/>
      <c r="C159" s="66" t="s">
        <v>1027</v>
      </c>
      <c r="D159" s="67"/>
      <c r="E159" s="134"/>
      <c r="F159" s="64" t="s">
        <v>792</v>
      </c>
      <c r="G159" s="87" t="s">
        <v>792</v>
      </c>
      <c r="H159" s="87" t="s">
        <v>792</v>
      </c>
      <c r="I159" s="87" t="s">
        <v>792</v>
      </c>
      <c r="J159" s="87" t="s">
        <v>792</v>
      </c>
      <c r="K159" s="87" t="s">
        <v>792</v>
      </c>
      <c r="L159" s="87" t="s">
        <v>792</v>
      </c>
      <c r="M159" s="64" t="s">
        <v>792</v>
      </c>
      <c r="N159" s="127" t="s">
        <v>954</v>
      </c>
      <c r="O159" s="87" t="s">
        <v>792</v>
      </c>
      <c r="P159" s="87" t="s">
        <v>792</v>
      </c>
      <c r="Q159" s="87" t="s">
        <v>792</v>
      </c>
      <c r="R159" s="129">
        <v>45992</v>
      </c>
      <c r="S159" s="87" t="s">
        <v>792</v>
      </c>
      <c r="T159" s="67"/>
      <c r="U159" s="21" t="str">
        <f t="shared" si="7"/>
        <v/>
      </c>
    </row>
    <row r="160" spans="1:21">
      <c r="A160" s="16"/>
      <c r="B160" s="56"/>
      <c r="C160" s="66" t="s">
        <v>1028</v>
      </c>
      <c r="D160" s="67"/>
      <c r="E160" s="134"/>
      <c r="F160" s="64" t="s">
        <v>792</v>
      </c>
      <c r="G160" s="87" t="s">
        <v>792</v>
      </c>
      <c r="H160" s="87" t="s">
        <v>792</v>
      </c>
      <c r="I160" s="87" t="s">
        <v>792</v>
      </c>
      <c r="J160" s="87" t="s">
        <v>792</v>
      </c>
      <c r="K160" s="87" t="s">
        <v>792</v>
      </c>
      <c r="L160" s="87" t="s">
        <v>792</v>
      </c>
      <c r="M160" s="64" t="s">
        <v>792</v>
      </c>
      <c r="N160" s="127" t="s">
        <v>1029</v>
      </c>
      <c r="O160" s="87" t="s">
        <v>792</v>
      </c>
      <c r="P160" s="87" t="s">
        <v>792</v>
      </c>
      <c r="Q160" s="87" t="s">
        <v>792</v>
      </c>
      <c r="R160" s="129">
        <v>45992</v>
      </c>
      <c r="S160" s="87" t="s">
        <v>792</v>
      </c>
      <c r="T160" s="67"/>
      <c r="U160" s="21" t="str">
        <f t="shared" si="7"/>
        <v/>
      </c>
    </row>
    <row r="161" spans="1:21">
      <c r="A161" s="16"/>
      <c r="B161" s="74"/>
      <c r="C161" s="66" t="s">
        <v>1030</v>
      </c>
      <c r="D161" s="67"/>
      <c r="E161" s="134"/>
      <c r="F161" s="64" t="s">
        <v>792</v>
      </c>
      <c r="G161" s="87" t="s">
        <v>792</v>
      </c>
      <c r="H161" s="87" t="s">
        <v>792</v>
      </c>
      <c r="I161" s="87" t="s">
        <v>792</v>
      </c>
      <c r="J161" s="87" t="s">
        <v>792</v>
      </c>
      <c r="K161" s="87" t="s">
        <v>792</v>
      </c>
      <c r="L161" s="87" t="s">
        <v>792</v>
      </c>
      <c r="M161" s="64" t="s">
        <v>792</v>
      </c>
      <c r="N161" s="127" t="s">
        <v>1029</v>
      </c>
      <c r="O161" s="87" t="s">
        <v>792</v>
      </c>
      <c r="P161" s="87" t="s">
        <v>792</v>
      </c>
      <c r="Q161" s="87" t="s">
        <v>792</v>
      </c>
      <c r="R161" s="129">
        <v>45992</v>
      </c>
      <c r="S161" s="87" t="s">
        <v>792</v>
      </c>
      <c r="T161" s="67"/>
      <c r="U161" s="21" t="str">
        <f t="shared" si="7"/>
        <v/>
      </c>
    </row>
    <row r="162" spans="1:21">
      <c r="A162" s="16"/>
      <c r="B162" s="657" t="s">
        <v>1031</v>
      </c>
      <c r="C162" s="660"/>
      <c r="D162" s="660"/>
      <c r="E162" s="660"/>
      <c r="F162" s="660"/>
      <c r="G162" s="660"/>
      <c r="H162" s="660"/>
      <c r="I162" s="660"/>
      <c r="J162" s="660"/>
      <c r="K162" s="660"/>
      <c r="L162" s="660"/>
      <c r="M162" s="660"/>
      <c r="N162" s="660"/>
      <c r="O162" s="660"/>
      <c r="P162" s="660"/>
      <c r="Q162" s="660"/>
      <c r="R162" s="660"/>
      <c r="S162" s="660"/>
      <c r="T162" s="661"/>
      <c r="U162" s="21" t="str">
        <f t="shared" si="7"/>
        <v/>
      </c>
    </row>
    <row r="163" spans="1:21">
      <c r="A163" s="16"/>
      <c r="B163" s="34"/>
      <c r="C163" s="75" t="s">
        <v>957</v>
      </c>
      <c r="D163" s="76"/>
      <c r="E163" s="140"/>
      <c r="F163" s="64" t="s">
        <v>792</v>
      </c>
      <c r="G163" s="87" t="s">
        <v>792</v>
      </c>
      <c r="H163" s="87" t="s">
        <v>792</v>
      </c>
      <c r="I163" s="87" t="s">
        <v>792</v>
      </c>
      <c r="J163" s="87" t="s">
        <v>792</v>
      </c>
      <c r="K163" s="87" t="s">
        <v>792</v>
      </c>
      <c r="L163" s="87" t="s">
        <v>792</v>
      </c>
      <c r="M163" s="64" t="s">
        <v>792</v>
      </c>
      <c r="N163" s="87" t="s">
        <v>792</v>
      </c>
      <c r="O163" s="87" t="s">
        <v>792</v>
      </c>
      <c r="P163" s="87" t="s">
        <v>792</v>
      </c>
      <c r="Q163" s="87" t="s">
        <v>792</v>
      </c>
      <c r="R163" s="87" t="s">
        <v>792</v>
      </c>
      <c r="S163" s="87" t="s">
        <v>792</v>
      </c>
      <c r="T163" s="76"/>
      <c r="U163" s="21"/>
    </row>
    <row r="164" spans="1:21">
      <c r="A164" s="16"/>
      <c r="B164" s="34"/>
      <c r="C164" s="75" t="s">
        <v>496</v>
      </c>
      <c r="D164" s="77"/>
      <c r="E164" s="140"/>
      <c r="F164" s="64" t="s">
        <v>792</v>
      </c>
      <c r="G164" s="87" t="s">
        <v>792</v>
      </c>
      <c r="H164" s="87" t="s">
        <v>792</v>
      </c>
      <c r="I164" s="87" t="s">
        <v>792</v>
      </c>
      <c r="J164" s="87" t="s">
        <v>792</v>
      </c>
      <c r="K164" s="87" t="s">
        <v>792</v>
      </c>
      <c r="L164" s="87" t="s">
        <v>792</v>
      </c>
      <c r="M164" s="64" t="s">
        <v>792</v>
      </c>
      <c r="N164" s="127" t="s">
        <v>940</v>
      </c>
      <c r="O164" s="128" t="s">
        <v>792</v>
      </c>
      <c r="P164" s="128" t="s">
        <v>792</v>
      </c>
      <c r="Q164" s="128" t="s">
        <v>792</v>
      </c>
      <c r="R164" s="129">
        <v>45901</v>
      </c>
      <c r="S164" s="87" t="s">
        <v>792</v>
      </c>
      <c r="T164" s="77"/>
      <c r="U164" s="21"/>
    </row>
    <row r="165" spans="1:21">
      <c r="A165" s="16"/>
      <c r="B165" s="34"/>
      <c r="C165" s="75" t="s">
        <v>129</v>
      </c>
      <c r="D165" s="77"/>
      <c r="E165" s="140"/>
      <c r="F165" s="64" t="s">
        <v>792</v>
      </c>
      <c r="G165" s="87" t="s">
        <v>792</v>
      </c>
      <c r="H165" s="87" t="s">
        <v>792</v>
      </c>
      <c r="I165" s="87" t="s">
        <v>792</v>
      </c>
      <c r="J165" s="87" t="s">
        <v>792</v>
      </c>
      <c r="K165" s="87" t="s">
        <v>792</v>
      </c>
      <c r="L165" s="87" t="s">
        <v>792</v>
      </c>
      <c r="M165" s="64" t="s">
        <v>792</v>
      </c>
      <c r="N165" s="127" t="s">
        <v>940</v>
      </c>
      <c r="O165" s="128" t="s">
        <v>792</v>
      </c>
      <c r="P165" s="128" t="s">
        <v>792</v>
      </c>
      <c r="Q165" s="128" t="s">
        <v>792</v>
      </c>
      <c r="R165" s="129">
        <v>45901</v>
      </c>
      <c r="S165" s="87" t="s">
        <v>792</v>
      </c>
      <c r="T165" s="77"/>
      <c r="U165" s="21"/>
    </row>
    <row r="166" spans="1:21">
      <c r="A166" s="16"/>
      <c r="B166" s="34"/>
      <c r="C166" s="75" t="s">
        <v>958</v>
      </c>
      <c r="D166" s="77"/>
      <c r="E166" s="140"/>
      <c r="F166" s="64" t="s">
        <v>792</v>
      </c>
      <c r="G166" s="87" t="s">
        <v>792</v>
      </c>
      <c r="H166" s="87" t="s">
        <v>792</v>
      </c>
      <c r="I166" s="87" t="s">
        <v>792</v>
      </c>
      <c r="J166" s="87" t="s">
        <v>792</v>
      </c>
      <c r="K166" s="87" t="s">
        <v>792</v>
      </c>
      <c r="L166" s="87" t="s">
        <v>792</v>
      </c>
      <c r="M166" s="64" t="s">
        <v>792</v>
      </c>
      <c r="N166" s="127" t="s">
        <v>871</v>
      </c>
      <c r="O166" s="128" t="s">
        <v>792</v>
      </c>
      <c r="P166" s="128" t="s">
        <v>792</v>
      </c>
      <c r="Q166" s="128" t="s">
        <v>792</v>
      </c>
      <c r="R166" s="129">
        <v>45901</v>
      </c>
      <c r="S166" s="87" t="s">
        <v>792</v>
      </c>
      <c r="T166" s="77"/>
      <c r="U166" s="21"/>
    </row>
    <row r="167" spans="1:21">
      <c r="A167" s="16"/>
      <c r="B167" s="34"/>
      <c r="C167" s="75" t="s">
        <v>498</v>
      </c>
      <c r="D167" s="77"/>
      <c r="E167" s="140"/>
      <c r="F167" s="64" t="s">
        <v>792</v>
      </c>
      <c r="G167" s="87" t="s">
        <v>792</v>
      </c>
      <c r="H167" s="87" t="s">
        <v>792</v>
      </c>
      <c r="I167" s="87" t="s">
        <v>792</v>
      </c>
      <c r="J167" s="87" t="s">
        <v>792</v>
      </c>
      <c r="K167" s="87" t="s">
        <v>792</v>
      </c>
      <c r="L167" s="87" t="s">
        <v>792</v>
      </c>
      <c r="M167" s="64" t="s">
        <v>792</v>
      </c>
      <c r="N167" s="127" t="s">
        <v>871</v>
      </c>
      <c r="O167" s="128" t="s">
        <v>792</v>
      </c>
      <c r="P167" s="128" t="s">
        <v>792</v>
      </c>
      <c r="Q167" s="128" t="s">
        <v>792</v>
      </c>
      <c r="R167" s="129">
        <v>45931</v>
      </c>
      <c r="S167" s="87" t="s">
        <v>792</v>
      </c>
      <c r="T167" s="77"/>
      <c r="U167" s="21"/>
    </row>
    <row r="168" spans="1:21">
      <c r="A168" s="16"/>
      <c r="B168" s="34"/>
      <c r="C168" s="75" t="s">
        <v>959</v>
      </c>
      <c r="D168" s="77"/>
      <c r="E168" s="140"/>
      <c r="F168" s="64" t="s">
        <v>792</v>
      </c>
      <c r="G168" s="87" t="s">
        <v>792</v>
      </c>
      <c r="H168" s="87" t="s">
        <v>792</v>
      </c>
      <c r="I168" s="87" t="s">
        <v>792</v>
      </c>
      <c r="J168" s="87" t="s">
        <v>792</v>
      </c>
      <c r="K168" s="87" t="s">
        <v>792</v>
      </c>
      <c r="L168" s="87" t="s">
        <v>792</v>
      </c>
      <c r="M168" s="64" t="s">
        <v>792</v>
      </c>
      <c r="N168" s="127" t="s">
        <v>928</v>
      </c>
      <c r="O168" s="128" t="s">
        <v>792</v>
      </c>
      <c r="P168" s="128" t="s">
        <v>792</v>
      </c>
      <c r="Q168" s="128" t="s">
        <v>792</v>
      </c>
      <c r="R168" s="129">
        <v>45931</v>
      </c>
      <c r="S168" s="87" t="s">
        <v>792</v>
      </c>
      <c r="T168" s="77"/>
      <c r="U168" s="21"/>
    </row>
    <row r="169" spans="1:21">
      <c r="A169" s="16"/>
      <c r="B169" s="34"/>
      <c r="C169" s="75" t="s">
        <v>1032</v>
      </c>
      <c r="D169" s="77"/>
      <c r="E169" s="140"/>
      <c r="F169" s="64" t="s">
        <v>792</v>
      </c>
      <c r="G169" s="87" t="s">
        <v>792</v>
      </c>
      <c r="H169" s="87" t="s">
        <v>792</v>
      </c>
      <c r="I169" s="87" t="s">
        <v>792</v>
      </c>
      <c r="J169" s="87" t="s">
        <v>792</v>
      </c>
      <c r="K169" s="87" t="s">
        <v>792</v>
      </c>
      <c r="L169" s="87" t="s">
        <v>792</v>
      </c>
      <c r="M169" s="64" t="s">
        <v>792</v>
      </c>
      <c r="N169" s="127" t="s">
        <v>928</v>
      </c>
      <c r="O169" s="128" t="s">
        <v>792</v>
      </c>
      <c r="P169" s="128" t="s">
        <v>792</v>
      </c>
      <c r="Q169" s="128" t="s">
        <v>792</v>
      </c>
      <c r="R169" s="129">
        <v>45931</v>
      </c>
      <c r="S169" s="87" t="s">
        <v>792</v>
      </c>
      <c r="T169" s="77"/>
      <c r="U169" s="21"/>
    </row>
    <row r="170" spans="1:21">
      <c r="A170" s="16"/>
      <c r="B170" s="34"/>
      <c r="C170" s="75" t="s">
        <v>960</v>
      </c>
      <c r="D170" s="77"/>
      <c r="E170" s="140"/>
      <c r="F170" s="64" t="s">
        <v>792</v>
      </c>
      <c r="G170" s="87" t="s">
        <v>792</v>
      </c>
      <c r="H170" s="87" t="s">
        <v>792</v>
      </c>
      <c r="I170" s="87" t="s">
        <v>792</v>
      </c>
      <c r="J170" s="87" t="s">
        <v>792</v>
      </c>
      <c r="K170" s="87" t="s">
        <v>792</v>
      </c>
      <c r="L170" s="87" t="s">
        <v>792</v>
      </c>
      <c r="M170" s="64" t="s">
        <v>792</v>
      </c>
      <c r="N170" s="127" t="s">
        <v>953</v>
      </c>
      <c r="O170" s="128" t="s">
        <v>792</v>
      </c>
      <c r="P170" s="128" t="s">
        <v>792</v>
      </c>
      <c r="Q170" s="128" t="s">
        <v>792</v>
      </c>
      <c r="R170" s="129">
        <v>45962</v>
      </c>
      <c r="S170" s="87" t="s">
        <v>792</v>
      </c>
      <c r="T170" s="77"/>
      <c r="U170" s="21"/>
    </row>
    <row r="171" spans="1:21">
      <c r="A171" s="16"/>
      <c r="B171" s="34"/>
      <c r="C171" s="75" t="s">
        <v>961</v>
      </c>
      <c r="D171" s="77"/>
      <c r="E171" s="140"/>
      <c r="F171" s="64" t="s">
        <v>792</v>
      </c>
      <c r="G171" s="87" t="s">
        <v>792</v>
      </c>
      <c r="H171" s="87" t="s">
        <v>792</v>
      </c>
      <c r="I171" s="87" t="s">
        <v>792</v>
      </c>
      <c r="J171" s="87" t="s">
        <v>792</v>
      </c>
      <c r="K171" s="87" t="s">
        <v>792</v>
      </c>
      <c r="L171" s="87" t="s">
        <v>792</v>
      </c>
      <c r="M171" s="64" t="s">
        <v>792</v>
      </c>
      <c r="N171" s="87" t="s">
        <v>792</v>
      </c>
      <c r="O171" s="87" t="s">
        <v>792</v>
      </c>
      <c r="P171" s="87" t="s">
        <v>792</v>
      </c>
      <c r="Q171" s="87" t="s">
        <v>792</v>
      </c>
      <c r="R171" s="87" t="s">
        <v>792</v>
      </c>
      <c r="S171" s="87" t="s">
        <v>792</v>
      </c>
      <c r="T171" s="77"/>
      <c r="U171" s="21"/>
    </row>
    <row r="172" spans="1:21">
      <c r="A172" s="16"/>
      <c r="B172" s="34"/>
      <c r="C172" s="75" t="s">
        <v>962</v>
      </c>
      <c r="D172" s="77"/>
      <c r="E172" s="140"/>
      <c r="F172" s="64" t="s">
        <v>792</v>
      </c>
      <c r="G172" s="87" t="s">
        <v>792</v>
      </c>
      <c r="H172" s="87" t="s">
        <v>792</v>
      </c>
      <c r="I172" s="87" t="s">
        <v>792</v>
      </c>
      <c r="J172" s="87" t="s">
        <v>792</v>
      </c>
      <c r="K172" s="87" t="s">
        <v>792</v>
      </c>
      <c r="L172" s="87" t="s">
        <v>792</v>
      </c>
      <c r="M172" s="64" t="s">
        <v>792</v>
      </c>
      <c r="N172" s="127" t="s">
        <v>953</v>
      </c>
      <c r="O172" s="128" t="s">
        <v>792</v>
      </c>
      <c r="P172" s="128" t="s">
        <v>792</v>
      </c>
      <c r="Q172" s="128" t="s">
        <v>792</v>
      </c>
      <c r="R172" s="129">
        <v>45962</v>
      </c>
      <c r="S172" s="87" t="s">
        <v>792</v>
      </c>
      <c r="T172" s="77"/>
      <c r="U172" s="21"/>
    </row>
    <row r="173" spans="1:21">
      <c r="A173" s="16"/>
      <c r="B173" s="34"/>
      <c r="C173" s="75" t="s">
        <v>1033</v>
      </c>
      <c r="D173" s="77"/>
      <c r="E173" s="140"/>
      <c r="F173" s="64" t="s">
        <v>792</v>
      </c>
      <c r="G173" s="87" t="s">
        <v>792</v>
      </c>
      <c r="H173" s="87" t="s">
        <v>792</v>
      </c>
      <c r="I173" s="87" t="s">
        <v>792</v>
      </c>
      <c r="J173" s="87" t="s">
        <v>792</v>
      </c>
      <c r="K173" s="87" t="s">
        <v>792</v>
      </c>
      <c r="L173" s="87" t="s">
        <v>792</v>
      </c>
      <c r="M173" s="64" t="s">
        <v>792</v>
      </c>
      <c r="N173" s="127" t="s">
        <v>953</v>
      </c>
      <c r="O173" s="128" t="s">
        <v>792</v>
      </c>
      <c r="P173" s="128" t="s">
        <v>792</v>
      </c>
      <c r="Q173" s="128" t="s">
        <v>792</v>
      </c>
      <c r="R173" s="129">
        <v>45962</v>
      </c>
      <c r="S173" s="87" t="s">
        <v>792</v>
      </c>
      <c r="T173" s="77"/>
      <c r="U173" s="21"/>
    </row>
    <row r="174" spans="1:21">
      <c r="A174" s="16"/>
      <c r="B174" s="34"/>
      <c r="C174" s="75" t="s">
        <v>1034</v>
      </c>
      <c r="D174" s="77"/>
      <c r="E174" s="140"/>
      <c r="F174" s="64" t="s">
        <v>792</v>
      </c>
      <c r="G174" s="87" t="s">
        <v>792</v>
      </c>
      <c r="H174" s="87" t="s">
        <v>792</v>
      </c>
      <c r="I174" s="87" t="s">
        <v>792</v>
      </c>
      <c r="J174" s="87" t="s">
        <v>792</v>
      </c>
      <c r="K174" s="87" t="s">
        <v>792</v>
      </c>
      <c r="L174" s="87" t="s">
        <v>792</v>
      </c>
      <c r="M174" s="64" t="s">
        <v>792</v>
      </c>
      <c r="N174" s="127" t="s">
        <v>953</v>
      </c>
      <c r="O174" s="128" t="s">
        <v>792</v>
      </c>
      <c r="P174" s="128" t="s">
        <v>792</v>
      </c>
      <c r="Q174" s="128" t="s">
        <v>792</v>
      </c>
      <c r="R174" s="129">
        <v>45962</v>
      </c>
      <c r="S174" s="87" t="s">
        <v>792</v>
      </c>
      <c r="T174" s="77"/>
      <c r="U174" s="21"/>
    </row>
    <row r="175" spans="1:21">
      <c r="A175" s="16"/>
      <c r="B175" s="34"/>
      <c r="C175" s="75" t="s">
        <v>501</v>
      </c>
      <c r="D175" s="77"/>
      <c r="E175" s="140"/>
      <c r="F175" s="64" t="s">
        <v>792</v>
      </c>
      <c r="G175" s="87" t="s">
        <v>792</v>
      </c>
      <c r="H175" s="87" t="s">
        <v>792</v>
      </c>
      <c r="I175" s="87" t="s">
        <v>792</v>
      </c>
      <c r="J175" s="87" t="s">
        <v>792</v>
      </c>
      <c r="K175" s="87" t="s">
        <v>792</v>
      </c>
      <c r="L175" s="87" t="s">
        <v>792</v>
      </c>
      <c r="M175" s="64" t="s">
        <v>792</v>
      </c>
      <c r="N175" s="127" t="s">
        <v>953</v>
      </c>
      <c r="O175" s="128" t="s">
        <v>792</v>
      </c>
      <c r="P175" s="128" t="s">
        <v>792</v>
      </c>
      <c r="Q175" s="128" t="s">
        <v>792</v>
      </c>
      <c r="R175" s="129">
        <v>45962</v>
      </c>
      <c r="S175" s="87" t="s">
        <v>792</v>
      </c>
      <c r="T175" s="77"/>
      <c r="U175" s="21"/>
    </row>
    <row r="176" spans="1:21">
      <c r="A176" s="16"/>
      <c r="B176" s="34"/>
      <c r="C176" s="75" t="s">
        <v>502</v>
      </c>
      <c r="D176" s="77"/>
      <c r="E176" s="140"/>
      <c r="F176" s="64" t="s">
        <v>792</v>
      </c>
      <c r="G176" s="87" t="s">
        <v>792</v>
      </c>
      <c r="H176" s="87" t="s">
        <v>792</v>
      </c>
      <c r="I176" s="87" t="s">
        <v>792</v>
      </c>
      <c r="J176" s="87" t="s">
        <v>792</v>
      </c>
      <c r="K176" s="87" t="s">
        <v>792</v>
      </c>
      <c r="L176" s="87" t="s">
        <v>792</v>
      </c>
      <c r="M176" s="64" t="s">
        <v>792</v>
      </c>
      <c r="N176" s="127" t="s">
        <v>953</v>
      </c>
      <c r="O176" s="128" t="s">
        <v>792</v>
      </c>
      <c r="P176" s="128" t="s">
        <v>792</v>
      </c>
      <c r="Q176" s="128" t="s">
        <v>792</v>
      </c>
      <c r="R176" s="129">
        <v>45962</v>
      </c>
      <c r="S176" s="87" t="s">
        <v>792</v>
      </c>
      <c r="T176" s="77"/>
      <c r="U176" s="21"/>
    </row>
    <row r="177" spans="1:21">
      <c r="A177" s="16"/>
      <c r="B177" s="34"/>
      <c r="C177" s="75" t="s">
        <v>504</v>
      </c>
      <c r="D177" s="77"/>
      <c r="E177" s="140"/>
      <c r="F177" s="64" t="s">
        <v>792</v>
      </c>
      <c r="G177" s="87" t="s">
        <v>792</v>
      </c>
      <c r="H177" s="87" t="s">
        <v>792</v>
      </c>
      <c r="I177" s="87" t="s">
        <v>792</v>
      </c>
      <c r="J177" s="87" t="s">
        <v>792</v>
      </c>
      <c r="K177" s="87" t="s">
        <v>792</v>
      </c>
      <c r="L177" s="87" t="s">
        <v>792</v>
      </c>
      <c r="M177" s="64" t="s">
        <v>792</v>
      </c>
      <c r="N177" s="127" t="s">
        <v>953</v>
      </c>
      <c r="O177" s="128" t="s">
        <v>792</v>
      </c>
      <c r="P177" s="128" t="s">
        <v>792</v>
      </c>
      <c r="Q177" s="128" t="s">
        <v>792</v>
      </c>
      <c r="R177" s="129">
        <v>45962</v>
      </c>
      <c r="S177" s="87"/>
      <c r="T177" s="77"/>
      <c r="U177" s="21"/>
    </row>
    <row r="178" spans="1:21">
      <c r="A178" s="16"/>
      <c r="B178" s="34"/>
      <c r="C178" s="75" t="s">
        <v>963</v>
      </c>
      <c r="D178" s="77"/>
      <c r="E178" s="140"/>
      <c r="F178" s="64" t="s">
        <v>792</v>
      </c>
      <c r="G178" s="87" t="s">
        <v>792</v>
      </c>
      <c r="H178" s="87" t="s">
        <v>792</v>
      </c>
      <c r="I178" s="87" t="s">
        <v>792</v>
      </c>
      <c r="J178" s="87" t="s">
        <v>792</v>
      </c>
      <c r="K178" s="87" t="s">
        <v>792</v>
      </c>
      <c r="L178" s="87" t="s">
        <v>792</v>
      </c>
      <c r="M178" s="64" t="s">
        <v>792</v>
      </c>
      <c r="N178" s="87" t="s">
        <v>792</v>
      </c>
      <c r="O178" s="87" t="s">
        <v>792</v>
      </c>
      <c r="P178" s="87" t="s">
        <v>792</v>
      </c>
      <c r="Q178" s="87" t="s">
        <v>792</v>
      </c>
      <c r="R178" s="87" t="s">
        <v>792</v>
      </c>
      <c r="S178" s="87" t="s">
        <v>792</v>
      </c>
      <c r="T178" s="77"/>
      <c r="U178" s="21"/>
    </row>
    <row r="179" spans="1:21">
      <c r="A179" s="78"/>
      <c r="B179" s="36"/>
      <c r="C179" s="79" t="s">
        <v>964</v>
      </c>
      <c r="D179" s="80"/>
      <c r="E179" s="141"/>
      <c r="F179" s="94" t="s">
        <v>792</v>
      </c>
      <c r="G179" s="95" t="s">
        <v>792</v>
      </c>
      <c r="H179" s="95" t="s">
        <v>792</v>
      </c>
      <c r="I179" s="95" t="s">
        <v>792</v>
      </c>
      <c r="J179" s="95" t="s">
        <v>792</v>
      </c>
      <c r="K179" s="95" t="s">
        <v>792</v>
      </c>
      <c r="L179" s="95" t="s">
        <v>792</v>
      </c>
      <c r="M179" s="94" t="s">
        <v>792</v>
      </c>
      <c r="N179" s="95" t="s">
        <v>792</v>
      </c>
      <c r="O179" s="95" t="s">
        <v>792</v>
      </c>
      <c r="P179" s="95" t="s">
        <v>792</v>
      </c>
      <c r="Q179" s="95" t="s">
        <v>792</v>
      </c>
      <c r="R179" s="95" t="s">
        <v>792</v>
      </c>
      <c r="S179" s="95" t="s">
        <v>792</v>
      </c>
      <c r="T179" s="80"/>
      <c r="U179" s="21"/>
    </row>
    <row r="180" spans="1:21">
      <c r="B180" s="81" t="s">
        <v>1035</v>
      </c>
      <c r="C180" s="81"/>
      <c r="D180" s="82"/>
      <c r="E180" s="82"/>
      <c r="F180" s="81"/>
      <c r="G180" s="81"/>
      <c r="H180" s="81"/>
      <c r="I180" s="81"/>
      <c r="J180" s="81"/>
      <c r="K180" s="81"/>
      <c r="L180" s="81"/>
      <c r="M180" s="81"/>
      <c r="N180" s="81"/>
      <c r="O180" s="81"/>
      <c r="P180" s="81"/>
      <c r="Q180" s="81"/>
      <c r="R180" s="81"/>
      <c r="S180" s="81"/>
      <c r="T180" s="82"/>
      <c r="U180" s="21"/>
    </row>
    <row r="181" spans="1:21">
      <c r="B181" s="81"/>
      <c r="C181" s="81" t="s">
        <v>1036</v>
      </c>
      <c r="D181" s="82"/>
      <c r="E181" s="82"/>
      <c r="F181" s="81"/>
      <c r="G181" s="81"/>
      <c r="H181" s="81"/>
      <c r="I181" s="81"/>
      <c r="J181" s="81"/>
      <c r="K181" s="81"/>
      <c r="L181" s="81"/>
      <c r="M181" s="81"/>
      <c r="N181" s="81"/>
      <c r="O181" s="81"/>
      <c r="P181" s="81"/>
      <c r="Q181" s="81"/>
      <c r="R181" s="81"/>
      <c r="S181" s="81"/>
      <c r="T181" s="82"/>
      <c r="U181" s="21"/>
    </row>
  </sheetData>
  <autoFilter ref="A7:U7" xr:uid="{6E4909A3-1F2D-4454-889E-EEECC7333970}">
    <filterColumn colId="1" showButton="0"/>
    <filterColumn colId="2" showButton="0"/>
  </autoFilter>
  <mergeCells count="43">
    <mergeCell ref="E3:E7"/>
    <mergeCell ref="M4:S5"/>
    <mergeCell ref="F3:S3"/>
    <mergeCell ref="H6:H7"/>
    <mergeCell ref="I6:I7"/>
    <mergeCell ref="L6:L7"/>
    <mergeCell ref="R6:R7"/>
    <mergeCell ref="F6:G6"/>
    <mergeCell ref="M9:N9"/>
    <mergeCell ref="M10:N10"/>
    <mergeCell ref="J6:J7"/>
    <mergeCell ref="Q6:Q7"/>
    <mergeCell ref="M6:N6"/>
    <mergeCell ref="B35:T35"/>
    <mergeCell ref="B18:T18"/>
    <mergeCell ref="B15:T15"/>
    <mergeCell ref="B33:T33"/>
    <mergeCell ref="B162:T162"/>
    <mergeCell ref="B66:T66"/>
    <mergeCell ref="B78:T78"/>
    <mergeCell ref="B125:T125"/>
    <mergeCell ref="B156:T156"/>
    <mergeCell ref="B62:T62"/>
    <mergeCell ref="B39:T39"/>
    <mergeCell ref="B47:T47"/>
    <mergeCell ref="B50:T50"/>
    <mergeCell ref="B58:T58"/>
    <mergeCell ref="B3:D7"/>
    <mergeCell ref="T3:T5"/>
    <mergeCell ref="B8:T8"/>
    <mergeCell ref="B25:T25"/>
    <mergeCell ref="B20:T20"/>
    <mergeCell ref="B23:T23"/>
    <mergeCell ref="B11:T11"/>
    <mergeCell ref="B13:T13"/>
    <mergeCell ref="C9:C10"/>
    <mergeCell ref="F4:L5"/>
    <mergeCell ref="K6:K7"/>
    <mergeCell ref="O6:O7"/>
    <mergeCell ref="P6:P7"/>
    <mergeCell ref="S6:S7"/>
    <mergeCell ref="F9:G9"/>
    <mergeCell ref="F10:G10"/>
  </mergeCells>
  <phoneticPr fontId="7"/>
  <hyperlinks>
    <hyperlink ref="F12" r:id="rId1"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X0_%E3%83%AD%E3%82%B0%E3%82%A4%E3%83%B3%E6%A9%9F%E8%83%BD_20240611.xlsx?d=w3f6bfde09e384b309dc709eab8155753&amp;csf=1&amp;web=1&amp;e=LL6cGj" xr:uid="{E817C311-FC2E-4B59-ABAF-B46EC6C3B437}"/>
    <hyperlink ref="F26" r:id="rId2" display="https://usmh.sharepoint.com/:x:/r/sites/AndroidPOS208/Shared Documents/General/%E9%80%A3%E6%90%BA%E8%B3%87%E6%96%99/01.%E7%94%BB%E9%9D%A2%E8%A6%81%E4%BB%B6/03.%E3%82%AB%E3%82%B9%E3%83%9F%E7%A2%BA%E8%AA%8D%E5%AE%8C%E4%BA%86%EF%BC%88%E3%82%AB%E3%82%B9%E3%83%9F%E7%A2%BA%E8%AA%8D%E5%AE%8C%E4%BA%86%E5%88%86%E6%8A%95%E7%A8%BF%EF%BC%89/01_%E5%95%86%E5%93%81%E7%AE%A1%E7%90%86/10_ %E6%A6%82%E8%A6%81%E6%A9%9F%E8%83%BD_%E7%94%BB%E9%9D%A2%E9%81%B7%E7%A7%BB_01_%E5%95%86%E5%93%81%E7%AE%A1%E7%90%86_20240724.xlsx?d=wf7ba40754c0e4e9095008c2f203620b5&amp;csf=1&amp;web=1&amp;e=sXppTT" xr:uid="{C15414BF-7DF5-4E91-B753-D685DA868E2C}"/>
    <hyperlink ref="F27" r:id="rId3"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02_%E7%B7%8A%E6%80%A5%E5%A3%B2%E4%BE%A1%E5%A4%89%E6%9B%B4_20240729.xlsx?d=w24d90d259f7a41ceaeb506d8795c1044&amp;csf=1&amp;web=1&amp;e=bRMbvY" xr:uid="{10DBCBAA-5E5F-4FC8-B1EB-F25C26F0D6AC}"/>
    <hyperlink ref="F29" r:id="rId4" display="https://usmh.sharepoint.com/:x:/r/sites/AndroidPOS208/Shared Documents/General/%E9%80%A3%E6%90%BA%E8%B3%87%E6%96%99/01.%E7%94%BB%E9%9D%A2%E8%A6%81%E4%BB%B6/03.%E3%82%AB%E3%82%B9%E3%83%9F%E7%A2%BA%E8%AA%8D%E5%AE%8C%E4%BA%86%EF%BC%88%E3%82%AB%E3%82%B9%E3%83%9F%E7%A2%BA%E8%AA%8D%E5%AE%8C%E4%BA%86%E5%88%86%E6%8A%95%E7%A8%BF%EF%BC%89/04_%E5%95%86%E5%93%81%E6%8E%A1%E7%94%A8%E5%BA%97%E8%88%97%E7%A2%BA%E8%AA%8D/10_%E6%A6%82%E8%A6%81%E6%A9%9F%E8%83%BD_%E7%94%BB%E9%9D%A2%E9%81%B7%E7%A7%BB_04_%E5%95%86%E5%93%81%E6%8E%A1%E7%94%A8%E5%BA%97%E8%88%97%E7%A2%BA%E8%AA%8D_20240530.xlsx?d=we05ae2b58e314116bbf9564226f8be6b&amp;csf=1&amp;web=1&amp;e=a1MMho" xr:uid="{B7231454-27D9-488C-9ABE-28401FC7A044}"/>
    <hyperlink ref="F37" r:id="rId5"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81_%E9%87%A3%E9%8A%AD%E6%A9%9F%E8%AD%A6%E5%91%8A%E8%A8%AD%E5%AE%9A_20240723.xlsx?d=w409e5b6cc7ae422493ec559f685dbef5&amp;csf=1&amp;web=1&amp;e=afZ00G" xr:uid="{CD7B30FE-4D8B-4584-AE13-702A50DEE82A}"/>
    <hyperlink ref="F41" r:id="rId6"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10_%E3%83%97%E3%83%AD%E3%83%A2%E3%83%BC%E3%82%B7%E3%83%A7%E3%83%B3%E3%83%A1%E3%83%B3%E3%83%86_20240731.xlsx?d=w2831cbcfeae049b797eaf22986bac6a0&amp;csf=1&amp;web=1&amp;e=WL9uLh" xr:uid="{54EA2C1B-9E6E-4FC4-906A-A531C7EDA464}"/>
    <hyperlink ref="F42" r:id="rId7" display="https://usmh.sharepoint.com/:x:/r/sites/AndroidPOS208/Shared Documents/General/%E9%80%A3%E6%90%BA%E8%B3%87%E6%96%99/01.%E7%94%BB%E9%9D%A2%E8%A6%81%E4%BB%B6/03.%E3%82%AB%E3%82%B9%E3%83%9F%E7%A2%BA%E8%AA%8D%E5%AE%8C%E4%BA%86%EF%BC%88%E3%82%AB%E3%82%B9%E3%83%9F%E7%A2%BA%E8%AA%8D%E5%AE%8C%E4%BA%86%E5%88%86%E6%8A%95%E7%A8%BF%EF%BC%89/22_%E3%82%AF%E3%83%AC%E3%82%B8%E3%83%83%E3%83%88%E5%B0%8F%E8%A8%88%E5%89%B2%E5%BC%95%E8%A8%AD%E5%AE%9A/10_%E6%A6%82%E8%A6%81%E6%A9%9F%E8%83%BD_%E7%94%BB%E9%9D%A2%E9%81%B7%E7%A7%BB_22_%E3%82%AF%E3%83%AC%E3%82%B8%E3%83%83%E3%83%88%E5%B0%8F%E8%A8%88%E5%89%B2%E5%BC%95%E8%A8%AD%E5%AE%9A_20240613.xlsx?d=w7d6e3e3b305c494c862a6b1f7852d5b6&amp;csf=1&amp;web=1&amp;e=AaL29x" xr:uid="{2BD5F8F9-A8E0-4597-9EA6-16536D7AFB68}"/>
    <hyperlink ref="F44" r:id="rId8"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37_%E3%83%A1%E3%82%AC%E5%89%B2%E8%A8%AD%E5%AE%9A_20240813.xlsx?d=w950e92284a2e474cb85f12fd3b031fc5&amp;csf=1&amp;web=1&amp;e=HbgnY7" xr:uid="{198D024F-5D31-4D4B-B3D1-7C3A870E8F39}"/>
    <hyperlink ref="F49" r:id="rId9" display="https://usmh.sharepoint.com/:x:/r/sites/AndroidPOS208/Shared Documents/General/%E9%80%A3%E6%90%BA%E8%B3%87%E6%96%99/01.%E7%94%BB%E9%9D%A2%E8%A6%81%E4%BB%B6/03.%E3%82%AB%E3%82%B9%E3%83%9F%E7%A2%BA%E8%AA%8D%E5%AE%8C%E4%BA%86%EF%BC%88%E3%82%AB%E3%82%B9%E3%83%9F%E7%A2%BA%E8%AA%8D%E5%AE%8C%E4%BA%86%E5%88%86%E6%8A%95%E7%A8%BF%EF%BC%89/39_WAON%E3%83%9D%E3%82%A4%E3%83%B3%E3%83%88N%E5%80%8D%E8%A8%AD%E5%AE%9A/10_%E6%A6%82%E8%A6%81%E6%A9%9F%E8%83%BD_%E7%94%BB%E9%9D%A2%E9%81%B7%E7%A7%BB_39_WAON%E3%83%9D%E3%82%A4%E3%83%B3%E3%83%88N%E5%80%8D%E8%A8%AD%E5%AE%9A_20240606.xlsx?d=w29dd2eeefc7143c9858df07768364bb1&amp;csf=1&amp;web=1&amp;e=KNedc2" xr:uid="{BE38BF2E-DCF5-4D9C-8A06-56B47A25AFA9}"/>
    <hyperlink ref="F45" r:id="rId10"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38_%E6%9C%9D%E5%89%B2%E8%A8%AD%E5%AE%9A_20240813.xlsx?d=w711acf9e05084967aa023fd6b522c51e&amp;csf=1&amp;web=1&amp;e=mXk5pr" xr:uid="{8206B69B-5418-4523-83D5-65549734ADCF}"/>
    <hyperlink ref="M45" r:id="rId11"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38_%E6%9C%9D%E5%89%B2%E8%A8%AD%E5%AE%9A_20240813.xlsx?d=w711acf9e05084967aa023fd6b522c51e&amp;csf=1&amp;web=1&amp;e=mXk5pr" xr:uid="{CB887E45-BFCD-4868-90C8-2CF71CE33D66}"/>
    <hyperlink ref="M44" r:id="rId12"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37_%E3%83%A1%E3%82%AC%E5%89%B2%E8%A8%AD%E5%AE%9A_20240813.xlsx?d=w950e92284a2e474cb85f12fd3b031fc5&amp;csf=1&amp;web=1&amp;e=HbgnY7" xr:uid="{3A26A7F6-E544-4057-A0A7-F4BCC091E36E}"/>
    <hyperlink ref="M26" r:id="rId13" display="https://usmh.sharepoint.com/:x:/r/sites/AndroidPOS208/Shared Documents/General/%E9%80%A3%E6%90%BA%E8%B3%87%E6%96%99/01.%E7%94%BB%E9%9D%A2%E8%A6%81%E4%BB%B6/03.%E3%82%AB%E3%82%B9%E3%83%9F%E7%A2%BA%E8%AA%8D%E5%AE%8C%E4%BA%86%EF%BC%88%E3%82%AB%E3%82%B9%E3%83%9F%E7%A2%BA%E8%AA%8D%E5%AE%8C%E4%BA%86%E5%88%86%E6%8A%95%E7%A8%BF%EF%BC%89/01_%E5%95%86%E5%93%81%E7%AE%A1%E7%90%86/10_ %E6%A6%82%E8%A6%81%E6%A9%9F%E8%83%BD_%E7%94%BB%E9%9D%A2%E9%81%B7%E7%A7%BB_01_%E5%95%86%E5%93%81%E7%AE%A1%E7%90%86_20240724.xlsx?d=wf7ba40754c0e4e9095008c2f203620b5&amp;csf=1&amp;web=1&amp;e=sXppTT" xr:uid="{3688DB80-2709-4484-AAD0-B62165A0F542}"/>
    <hyperlink ref="M27" r:id="rId14"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02_%E7%B7%8A%E6%80%A5%E5%A3%B2%E4%BE%A1%E5%A4%89%E6%9B%B4_20240729.xlsx?d=w24d90d259f7a41ceaeb506d8795c1044&amp;csf=1&amp;web=1&amp;e=bRMbvY" xr:uid="{FC15AFA9-A4BC-4ABF-9D7E-F9544B3297FE}"/>
    <hyperlink ref="M29" r:id="rId15" display="https://usmh.sharepoint.com/:x:/r/sites/AndroidPOS208/Shared Documents/General/%E9%80%A3%E6%90%BA%E8%B3%87%E6%96%99/01.%E7%94%BB%E9%9D%A2%E8%A6%81%E4%BB%B6/03.%E3%82%AB%E3%82%B9%E3%83%9F%E7%A2%BA%E8%AA%8D%E5%AE%8C%E4%BA%86%EF%BC%88%E3%82%AB%E3%82%B9%E3%83%9F%E7%A2%BA%E8%AA%8D%E5%AE%8C%E4%BA%86%E5%88%86%E6%8A%95%E7%A8%BF%EF%BC%89/04_%E5%95%86%E5%93%81%E6%8E%A1%E7%94%A8%E5%BA%97%E8%88%97%E7%A2%BA%E8%AA%8D/10_%E6%A6%82%E8%A6%81%E6%A9%9F%E8%83%BD_%E7%94%BB%E9%9D%A2%E9%81%B7%E7%A7%BB_04_%E5%95%86%E5%93%81%E6%8E%A1%E7%94%A8%E5%BA%97%E8%88%97%E7%A2%BA%E8%AA%8D_20240530.xlsx?d=we05ae2b58e314116bbf9564226f8be6b&amp;csf=1&amp;web=1&amp;e=a1MMho" xr:uid="{D67DD97A-7FE1-4206-8057-B2FFF3796095}"/>
    <hyperlink ref="M12" r:id="rId16"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X0_%E3%83%AD%E3%82%B0%E3%82%A4%E3%83%B3%E6%A9%9F%E8%83%BD_20240611.xlsx?d=w3f6bfde09e384b309dc709eab8155753&amp;csf=1&amp;web=1&amp;e=LL6cGj" xr:uid="{E5455C8F-DAA0-490E-8EA9-C936FEAB6D4A}"/>
    <hyperlink ref="F67" r:id="rId17"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68_%E3%82%B5%E3%82%A4%E3%83%88%E3%83%AD%E3%82%B0%E3%82%A4%E3%83%B3%E3%83%A6%E3%83%BC%E3%82%B6%E3%83%9E%E3%82%B9%E3%82%BF%E8%A8%AD%E5%AE%9A_20240723.xlsx?d=w00c62f66210f496b9a8eb1a8c9e3e75f&amp;csf=1&amp;web=1&amp;e=VaqGYP" xr:uid="{86C388C2-268D-41A8-9A25-FE49851C0879}"/>
    <hyperlink ref="M67" r:id="rId18"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68_%E3%82%B5%E3%82%A4%E3%83%88%E3%83%AD%E3%82%B0%E3%82%A4%E3%83%B3%E3%83%A6%E3%83%BC%E3%82%B6%E3%83%9E%E3%82%B9%E3%82%BF%E8%A8%AD%E5%AE%9A_20240723.xlsx?d=w00c62f66210f496b9a8eb1a8c9e3e75f&amp;csf=1&amp;web=1&amp;e=VaqGYP" xr:uid="{C57F3020-FCF7-4C44-B521-51CE698869E0}"/>
    <hyperlink ref="F68" r:id="rId19" display="https://usmh.sharepoint.com/:x:/r/sites/AndroidPOS208/Shared Documents/General/%E9%80%A3%E6%90%BA%E8%B3%87%E6%96%99/01.%E7%94%BB%E9%9D%A2%E8%A6%81%E4%BB%B6/03.%E3%82%AB%E3%82%B9%E3%83%9F%E7%A2%BA%E8%AA%8D%E5%AE%8C%E4%BA%86%EF%BC%88%E3%82%AB%E3%82%B9%E3%83%9F%E7%A2%BA%E8%AA%8D%E5%AE%8C%E4%BA%86%E5%88%86%E6%8A%95%E7%A8%BF%EF%BC%89/72_%E3%83%91%E3%82%B9%E3%83%AF%E3%83%BC%E3%83%89%E5%A4%89%E6%9B%B4/10_%E6%A6%82%E8%A6%81%E6%A9%9F%E8%83%BD_%E7%94%BB%E9%9D%A2%E9%81%B7%E7%A7%BB_72_%E3%83%91%E3%82%B9%E3%83%AF%E3%83%BC%E3%83%89%E5%A4%89%E6%9B%B4_20240611.xlsx?d=w8a1124260e1a4e68b963337d5a007118&amp;csf=1&amp;web=1&amp;e=mRQgXb" xr:uid="{E9E67970-8252-48F0-AEF8-87B425A73835}"/>
    <hyperlink ref="M37" r:id="rId20"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81_%E9%87%A3%E9%8A%AD%E6%A9%9F%E8%AD%A6%E5%91%8A%E8%A8%AD%E5%AE%9A_20240723.xlsx?d=w409e5b6cc7ae422493ec559f685dbef5&amp;csf=1&amp;web=1&amp;e=afZ00G" xr:uid="{324A7CE3-A07B-46A3-8AC3-B8E87B990312}"/>
    <hyperlink ref="M68" r:id="rId21" display="https://usmh.sharepoint.com/:x:/r/sites/AndroidPOS208/Shared Documents/General/%E9%80%A3%E6%90%BA%E8%B3%87%E6%96%99/01.%E7%94%BB%E9%9D%A2%E8%A6%81%E4%BB%B6/03.%E3%82%AB%E3%82%B9%E3%83%9F%E7%A2%BA%E8%AA%8D%E5%AE%8C%E4%BA%86%EF%BC%88%E3%82%AB%E3%82%B9%E3%83%9F%E7%A2%BA%E8%AA%8D%E5%AE%8C%E4%BA%86%E5%88%86%E6%8A%95%E7%A8%BF%EF%BC%89/72_%E3%83%91%E3%82%B9%E3%83%AF%E3%83%BC%E3%83%89%E5%A4%89%E6%9B%B4/10_%E6%A6%82%E8%A6%81%E6%A9%9F%E8%83%BD_%E7%94%BB%E9%9D%A2%E9%81%B7%E7%A7%BB_72_%E3%83%91%E3%82%B9%E3%83%AF%E3%83%BC%E3%83%89%E5%A4%89%E6%9B%B4_20240611.xlsx?d=w8a1124260e1a4e68b963337d5a007118&amp;csf=1&amp;web=1&amp;e=mRQgXb" xr:uid="{E6EF2CC7-8437-4D0B-8331-6CB95228887B}"/>
    <hyperlink ref="F40" r:id="rId22"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10_%E3%83%97%E3%83%AD%E3%83%A2%E3%83%BC%E3%82%B7%E3%83%A7%E3%83%B3%E3%83%A1%E3%83%B3%E3%83%86_20240731.xlsx?d=w2831cbcfeae049b797eaf22986bac6a0&amp;csf=1&amp;web=1&amp;e=WL9uLh" xr:uid="{BF94AD61-723B-4626-8EC4-709D1B7AF120}"/>
    <hyperlink ref="F46" r:id="rId23"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38_%E6%9C%9D%E5%89%B2%E8%A8%AD%E5%AE%9A_20240813.xlsx?d=w711acf9e05084967aa023fd6b522c51e&amp;csf=1&amp;web=1&amp;e=mXk5pr" xr:uid="{9E27488A-C95F-4C9E-9A23-45F223654F46}"/>
    <hyperlink ref="M41" r:id="rId24"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10_%E3%83%97%E3%83%AD%E3%83%A2%E3%83%BC%E3%82%B7%E3%83%A7%E3%83%B3%E3%83%A1%E3%83%B3%E3%83%86_20240731.xlsx?d=w2831cbcfeae049b797eaf22986bac6a0&amp;csf=1&amp;web=1&amp;e=WL9uLh" xr:uid="{C784E20C-E3FC-4E72-BC0A-34F7BBFE2171}"/>
    <hyperlink ref="M42" r:id="rId25" display="https://usmh.sharepoint.com/:x:/r/sites/AndroidPOS208/Shared Documents/General/%E9%80%A3%E6%90%BA%E8%B3%87%E6%96%99/01.%E7%94%BB%E9%9D%A2%E8%A6%81%E4%BB%B6/03.%E3%82%AB%E3%82%B9%E3%83%9F%E7%A2%BA%E8%AA%8D%E5%AE%8C%E4%BA%86%EF%BC%88%E3%82%AB%E3%82%B9%E3%83%9F%E7%A2%BA%E8%AA%8D%E5%AE%8C%E4%BA%86%E5%88%86%E6%8A%95%E7%A8%BF%EF%BC%89/22_%E3%82%AF%E3%83%AC%E3%82%B8%E3%83%83%E3%83%88%E5%B0%8F%E8%A8%88%E5%89%B2%E5%BC%95%E8%A8%AD%E5%AE%9A/10_%E6%A6%82%E8%A6%81%E6%A9%9F%E8%83%BD_%E7%94%BB%E9%9D%A2%E9%81%B7%E7%A7%BB_22_%E3%82%AF%E3%83%AC%E3%82%B8%E3%83%83%E3%83%88%E5%B0%8F%E8%A8%88%E5%89%B2%E5%BC%95%E8%A8%AD%E5%AE%9A_20240613.xlsx?d=w7d6e3e3b305c494c862a6b1f7852d5b6&amp;csf=1&amp;web=1&amp;e=AaL29x" xr:uid="{7EF0B593-4E61-4E56-910B-84AFDA891057}"/>
    <hyperlink ref="M46" r:id="rId26"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38_%E6%9C%9D%E5%89%B2%E8%A8%AD%E5%AE%9A_20240813.xlsx?d=w711acf9e05084967aa023fd6b522c51e&amp;csf=1&amp;web=1&amp;e=mXk5pr" xr:uid="{E86B38DE-33FB-4518-A137-0F77DC32ED77}"/>
    <hyperlink ref="M49" r:id="rId27" display="https://usmh.sharepoint.com/:x:/r/sites/AndroidPOS208/Shared Documents/General/%E9%80%A3%E6%90%BA%E8%B3%87%E6%96%99/01.%E7%94%BB%E9%9D%A2%E8%A6%81%E4%BB%B6/03.%E3%82%AB%E3%82%B9%E3%83%9F%E7%A2%BA%E8%AA%8D%E5%AE%8C%E4%BA%86%EF%BC%88%E3%82%AB%E3%82%B9%E3%83%9F%E7%A2%BA%E8%AA%8D%E5%AE%8C%E4%BA%86%E5%88%86%E6%8A%95%E7%A8%BF%EF%BC%89/39_WAON%E3%83%9D%E3%82%A4%E3%83%B3%E3%83%88N%E5%80%8D%E8%A8%AD%E5%AE%9A/10_%E6%A6%82%E8%A6%81%E6%A9%9F%E8%83%BD_%E7%94%BB%E9%9D%A2%E9%81%B7%E7%A7%BB_39_WAON%E3%83%9D%E3%82%A4%E3%83%B3%E3%83%88N%E5%80%8D%E8%A8%AD%E5%AE%9A_20240606.xlsx?d=w29dd2eeefc7143c9858df07768364bb1&amp;csf=1&amp;web=1&amp;e=KNedc2" xr:uid="{A37EADA2-6D25-4CDC-9990-18AD1781823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A2EDF-1999-4DB5-BFF5-45B509ED46BD}">
  <sheetPr>
    <pageSetUpPr fitToPage="1"/>
  </sheetPr>
  <dimension ref="A1:BK55"/>
  <sheetViews>
    <sheetView view="pageBreakPreview" zoomScale="75" zoomScaleNormal="75" zoomScaleSheetLayoutView="75" workbookViewId="0">
      <selection activeCell="AL103" sqref="AL103"/>
    </sheetView>
    <sheetView workbookViewId="1">
      <selection sqref="A1:J1"/>
    </sheetView>
  </sheetViews>
  <sheetFormatPr defaultColWidth="2.77734375" defaultRowHeight="15" customHeight="1"/>
  <sheetData>
    <row r="1" spans="1:63" ht="24.95" customHeight="1">
      <c r="A1" s="539" t="s">
        <v>0</v>
      </c>
      <c r="B1" s="540"/>
      <c r="C1" s="540"/>
      <c r="D1" s="540"/>
      <c r="E1" s="540"/>
      <c r="F1" s="540"/>
      <c r="G1" s="540"/>
      <c r="H1" s="540"/>
      <c r="I1" s="540"/>
      <c r="J1" s="541"/>
      <c r="K1" s="539" t="s">
        <v>1</v>
      </c>
      <c r="L1" s="540"/>
      <c r="M1" s="540"/>
      <c r="N1" s="540"/>
      <c r="O1" s="540"/>
      <c r="P1" s="540"/>
      <c r="Q1" s="540"/>
      <c r="R1" s="540"/>
      <c r="S1" s="540"/>
      <c r="T1" s="540"/>
      <c r="U1" s="540"/>
      <c r="V1" s="541"/>
      <c r="W1" s="548" t="str">
        <f>IF(表紙!W1="","",表紙!W1)</f>
        <v>概要設計</v>
      </c>
      <c r="X1" s="549"/>
      <c r="Y1" s="549"/>
      <c r="Z1" s="549"/>
      <c r="AA1" s="549"/>
      <c r="AB1" s="549"/>
      <c r="AC1" s="549"/>
      <c r="AD1" s="549"/>
      <c r="AE1" s="549"/>
      <c r="AF1" s="549"/>
      <c r="AG1" s="549"/>
      <c r="AH1" s="549"/>
      <c r="AI1" s="549"/>
      <c r="AJ1" s="549"/>
      <c r="AK1" s="549"/>
      <c r="AL1" s="549"/>
      <c r="AM1" s="549"/>
      <c r="AN1" s="549"/>
      <c r="AO1" s="550"/>
      <c r="AP1" s="539" t="s">
        <v>3</v>
      </c>
      <c r="AQ1" s="540"/>
      <c r="AR1" s="540"/>
      <c r="AS1" s="541"/>
      <c r="AT1" s="539" t="s">
        <v>4</v>
      </c>
      <c r="AU1" s="540"/>
      <c r="AV1" s="540"/>
      <c r="AW1" s="540"/>
      <c r="AX1" s="541"/>
      <c r="AY1" s="539" t="s">
        <v>5</v>
      </c>
      <c r="AZ1" s="540"/>
      <c r="BA1" s="540"/>
      <c r="BB1" s="541"/>
      <c r="BC1" s="539" t="s">
        <v>6</v>
      </c>
      <c r="BD1" s="540"/>
      <c r="BE1" s="540"/>
      <c r="BF1" s="540"/>
      <c r="BG1" s="541"/>
      <c r="BH1" s="539" t="s">
        <v>7</v>
      </c>
      <c r="BI1" s="540"/>
      <c r="BJ1" s="540"/>
      <c r="BK1" s="541"/>
    </row>
    <row r="2" spans="1:63" ht="15" customHeight="1">
      <c r="A2" s="542" t="str">
        <f>IF(表紙!A2="","",表紙!A2)</f>
        <v>POSサーバ</v>
      </c>
      <c r="B2" s="543"/>
      <c r="C2" s="543"/>
      <c r="D2" s="543"/>
      <c r="E2" s="543"/>
      <c r="F2" s="543"/>
      <c r="G2" s="543"/>
      <c r="H2" s="543"/>
      <c r="I2" s="543"/>
      <c r="J2" s="544"/>
      <c r="K2" s="542" t="str">
        <f>IF(表紙!K2="","",表紙!K2)</f>
        <v>全般</v>
      </c>
      <c r="L2" s="543"/>
      <c r="M2" s="543"/>
      <c r="N2" s="543"/>
      <c r="O2" s="543"/>
      <c r="P2" s="543"/>
      <c r="Q2" s="543"/>
      <c r="R2" s="543"/>
      <c r="S2" s="543"/>
      <c r="T2" s="543"/>
      <c r="U2" s="543"/>
      <c r="V2" s="544"/>
      <c r="W2" s="551"/>
      <c r="X2" s="552"/>
      <c r="Y2" s="552"/>
      <c r="Z2" s="552"/>
      <c r="AA2" s="552"/>
      <c r="AB2" s="552"/>
      <c r="AC2" s="552"/>
      <c r="AD2" s="552"/>
      <c r="AE2" s="552"/>
      <c r="AF2" s="552"/>
      <c r="AG2" s="552"/>
      <c r="AH2" s="552"/>
      <c r="AI2" s="552"/>
      <c r="AJ2" s="552"/>
      <c r="AK2" s="552"/>
      <c r="AL2" s="552"/>
      <c r="AM2" s="552"/>
      <c r="AN2" s="552"/>
      <c r="AO2" s="553"/>
      <c r="AP2" s="542" t="str">
        <f>IF(表紙!AP2="","",表紙!AP2)</f>
        <v>Huy Nguyen</v>
      </c>
      <c r="AQ2" s="543"/>
      <c r="AR2" s="543"/>
      <c r="AS2" s="544"/>
      <c r="AT2" s="563">
        <f>IF(表紙!AT2="","",表紙!AT2)</f>
        <v>45532</v>
      </c>
      <c r="AU2" s="564"/>
      <c r="AV2" s="564"/>
      <c r="AW2" s="564"/>
      <c r="AX2" s="565"/>
      <c r="AY2" s="542" t="str">
        <f>IF(表紙!AY2="","",表紙!AY2)</f>
        <v/>
      </c>
      <c r="AZ2" s="543"/>
      <c r="BA2" s="543"/>
      <c r="BB2" s="544"/>
      <c r="BC2" s="563" t="str">
        <f>IF(表紙!BC2="","",表紙!BC2)</f>
        <v/>
      </c>
      <c r="BD2" s="564"/>
      <c r="BE2" s="564"/>
      <c r="BF2" s="564"/>
      <c r="BG2" s="565"/>
      <c r="BH2" s="542">
        <f>IF(表紙!BH2="","",表紙!BH2)</f>
        <v>0.31</v>
      </c>
      <c r="BI2" s="543"/>
      <c r="BJ2" s="543"/>
      <c r="BK2" s="544"/>
    </row>
    <row r="3" spans="1:63" ht="15" customHeight="1">
      <c r="A3" s="545"/>
      <c r="B3" s="546"/>
      <c r="C3" s="546"/>
      <c r="D3" s="546"/>
      <c r="E3" s="546"/>
      <c r="F3" s="546"/>
      <c r="G3" s="546"/>
      <c r="H3" s="546"/>
      <c r="I3" s="546"/>
      <c r="J3" s="547"/>
      <c r="K3" s="545"/>
      <c r="L3" s="546"/>
      <c r="M3" s="546"/>
      <c r="N3" s="546"/>
      <c r="O3" s="546"/>
      <c r="P3" s="546"/>
      <c r="Q3" s="546"/>
      <c r="R3" s="546"/>
      <c r="S3" s="546"/>
      <c r="T3" s="546"/>
      <c r="U3" s="546"/>
      <c r="V3" s="547"/>
      <c r="W3" s="554"/>
      <c r="X3" s="555"/>
      <c r="Y3" s="555"/>
      <c r="Z3" s="555"/>
      <c r="AA3" s="555"/>
      <c r="AB3" s="555"/>
      <c r="AC3" s="555"/>
      <c r="AD3" s="555"/>
      <c r="AE3" s="555"/>
      <c r="AF3" s="555"/>
      <c r="AG3" s="555"/>
      <c r="AH3" s="555"/>
      <c r="AI3" s="555"/>
      <c r="AJ3" s="555"/>
      <c r="AK3" s="555"/>
      <c r="AL3" s="555"/>
      <c r="AM3" s="555"/>
      <c r="AN3" s="555"/>
      <c r="AO3" s="556"/>
      <c r="AP3" s="545"/>
      <c r="AQ3" s="546"/>
      <c r="AR3" s="546"/>
      <c r="AS3" s="547"/>
      <c r="AT3" s="566"/>
      <c r="AU3" s="567"/>
      <c r="AV3" s="567"/>
      <c r="AW3" s="567"/>
      <c r="AX3" s="568"/>
      <c r="AY3" s="545"/>
      <c r="AZ3" s="546"/>
      <c r="BA3" s="546"/>
      <c r="BB3" s="547"/>
      <c r="BC3" s="566"/>
      <c r="BD3" s="567"/>
      <c r="BE3" s="567"/>
      <c r="BF3" s="567"/>
      <c r="BG3" s="568"/>
      <c r="BH3" s="545"/>
      <c r="BI3" s="546"/>
      <c r="BJ3" s="546"/>
      <c r="BK3" s="547"/>
    </row>
    <row r="4" spans="1:63" ht="24.95" customHeight="1">
      <c r="A4" s="539" t="s">
        <v>11</v>
      </c>
      <c r="B4" s="540"/>
      <c r="C4" s="540"/>
      <c r="D4" s="540"/>
      <c r="E4" s="540"/>
      <c r="F4" s="540"/>
      <c r="G4" s="541"/>
      <c r="H4" s="536" t="str">
        <f>IF(表紙!H4="","",表紙!H4)</f>
        <v>機能一覧</v>
      </c>
      <c r="I4" s="537"/>
      <c r="J4" s="537"/>
      <c r="K4" s="537"/>
      <c r="L4" s="537"/>
      <c r="M4" s="537"/>
      <c r="N4" s="537"/>
      <c r="O4" s="537"/>
      <c r="P4" s="537"/>
      <c r="Q4" s="537"/>
      <c r="R4" s="537"/>
      <c r="S4" s="537"/>
      <c r="T4" s="538"/>
      <c r="U4" s="539" t="s">
        <v>13</v>
      </c>
      <c r="V4" s="540"/>
      <c r="W4" s="540"/>
      <c r="X4" s="540"/>
      <c r="Y4" s="541"/>
      <c r="Z4" s="536" t="str">
        <f>IF(表紙!Z4="","",表紙!Z4)</f>
        <v>いなげや様向け</v>
      </c>
      <c r="AA4" s="537"/>
      <c r="AB4" s="537"/>
      <c r="AC4" s="537"/>
      <c r="AD4" s="537"/>
      <c r="AE4" s="537"/>
      <c r="AF4" s="537"/>
      <c r="AG4" s="537"/>
      <c r="AH4" s="537"/>
      <c r="AI4" s="537"/>
      <c r="AJ4" s="537"/>
      <c r="AK4" s="537"/>
      <c r="AL4" s="537"/>
      <c r="AM4" s="537"/>
      <c r="AN4" s="537"/>
      <c r="AO4" s="538"/>
      <c r="AP4" s="536" t="e" cm="1">
        <f t="array" aca="1" ref="AP4" ca="1">RIGHT(CELL("filename",$A$1),LEN(CELL("filename",$A$1))-FIND("]",CELL("filename",$A$1)))</f>
        <v>#VALUE!</v>
      </c>
      <c r="AQ4" s="537"/>
      <c r="AR4" s="537"/>
      <c r="AS4" s="537"/>
      <c r="AT4" s="537"/>
      <c r="AU4" s="537"/>
      <c r="AV4" s="537"/>
      <c r="AW4" s="537"/>
      <c r="AX4" s="537"/>
      <c r="AY4" s="537"/>
      <c r="AZ4" s="537"/>
      <c r="BA4" s="537"/>
      <c r="BB4" s="537"/>
      <c r="BC4" s="537"/>
      <c r="BD4" s="537"/>
      <c r="BE4" s="537"/>
      <c r="BF4" s="537"/>
      <c r="BG4" s="537"/>
      <c r="BH4" s="537"/>
      <c r="BI4" s="537"/>
      <c r="BJ4" s="537"/>
      <c r="BK4" s="53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K8" s="4"/>
    </row>
    <row r="9" spans="1:63" ht="15" customHeight="1">
      <c r="A9" s="1"/>
      <c r="BK9" s="4"/>
    </row>
    <row r="10" spans="1:63" ht="15" customHeight="1">
      <c r="A10" s="1"/>
      <c r="BK10" s="4"/>
    </row>
    <row r="11" spans="1:63" ht="15" customHeight="1">
      <c r="A11" s="1"/>
      <c r="BK11" s="4"/>
    </row>
    <row r="12" spans="1:63" ht="15" customHeight="1">
      <c r="A12" s="1"/>
      <c r="BK12" s="4"/>
    </row>
    <row r="13" spans="1:63" ht="15" customHeight="1">
      <c r="A13" s="1"/>
      <c r="BK13" s="4"/>
    </row>
    <row r="14" spans="1:63" ht="15" customHeight="1">
      <c r="A14" s="1"/>
      <c r="BK14" s="4"/>
    </row>
    <row r="15" spans="1:63" ht="15" customHeight="1">
      <c r="A15" s="1"/>
      <c r="BK15" s="4"/>
    </row>
    <row r="16" spans="1:63" ht="15" customHeight="1">
      <c r="A16" s="1"/>
      <c r="BK16" s="4"/>
    </row>
    <row r="17" spans="1:63" ht="15" customHeight="1">
      <c r="A17" s="1"/>
      <c r="BK17" s="4"/>
    </row>
    <row r="18" spans="1:63" ht="15" customHeight="1">
      <c r="A18" s="1"/>
      <c r="BK18" s="4"/>
    </row>
    <row r="19" spans="1:63" ht="15" customHeight="1">
      <c r="A19" s="1"/>
      <c r="BK19" s="4"/>
    </row>
    <row r="20" spans="1:63" ht="15" customHeight="1">
      <c r="A20" s="1"/>
      <c r="BK20" s="4"/>
    </row>
    <row r="21" spans="1:63" ht="15" customHeight="1">
      <c r="A21" s="1"/>
      <c r="BK21" s="4"/>
    </row>
    <row r="22" spans="1:63" ht="15" customHeight="1">
      <c r="A22" s="1"/>
      <c r="BK22" s="4"/>
    </row>
    <row r="23" spans="1:63" ht="15" customHeight="1">
      <c r="A23" s="1"/>
      <c r="BK23" s="4"/>
    </row>
    <row r="24" spans="1:63" ht="15" customHeight="1">
      <c r="A24" s="1"/>
      <c r="BK24" s="4"/>
    </row>
    <row r="25" spans="1:63" ht="15" customHeight="1">
      <c r="A25" s="1"/>
      <c r="BK25" s="4"/>
    </row>
    <row r="26" spans="1:63" ht="15" customHeight="1">
      <c r="A26" s="1"/>
      <c r="BK26" s="4"/>
    </row>
    <row r="27" spans="1:63" ht="15" customHeight="1">
      <c r="A27" s="1"/>
      <c r="BK27" s="4"/>
    </row>
    <row r="28" spans="1:63" ht="15" customHeight="1">
      <c r="A28" s="1"/>
      <c r="BK28" s="4"/>
    </row>
    <row r="29" spans="1:63" ht="15" customHeight="1">
      <c r="A29" s="1"/>
      <c r="BK29" s="4"/>
    </row>
    <row r="30" spans="1:63" ht="15" customHeight="1">
      <c r="A30" s="1"/>
      <c r="BK30" s="4"/>
    </row>
    <row r="31" spans="1:63" ht="15" customHeight="1">
      <c r="A31" s="1"/>
      <c r="BK31" s="4"/>
    </row>
    <row r="32" spans="1:63" ht="15" customHeight="1">
      <c r="A32" s="1"/>
      <c r="BK32" s="4"/>
    </row>
    <row r="33" spans="1:63" ht="15" customHeight="1">
      <c r="A33" s="1"/>
      <c r="BK33" s="4"/>
    </row>
    <row r="34" spans="1:63" ht="15" customHeight="1">
      <c r="A34" s="1"/>
      <c r="BK34" s="4"/>
    </row>
    <row r="35" spans="1:63" ht="15" customHeight="1">
      <c r="A35" s="1"/>
      <c r="BK35" s="4"/>
    </row>
    <row r="36" spans="1:63" ht="15" customHeight="1">
      <c r="A36" s="1"/>
      <c r="BK36" s="4"/>
    </row>
    <row r="37" spans="1:63" ht="15" customHeight="1">
      <c r="A37" s="1"/>
      <c r="BK37" s="4"/>
    </row>
    <row r="38" spans="1:63" ht="15" customHeight="1">
      <c r="A38" s="1"/>
      <c r="BK38" s="4"/>
    </row>
    <row r="39" spans="1:63" ht="15" customHeight="1">
      <c r="A39" s="1"/>
      <c r="BK39" s="4"/>
    </row>
    <row r="40" spans="1:63" ht="15" customHeight="1">
      <c r="A40" s="1"/>
      <c r="BK40" s="4"/>
    </row>
    <row r="41" spans="1:63" ht="15" customHeight="1">
      <c r="A41" s="1"/>
      <c r="BK41" s="4"/>
    </row>
    <row r="42" spans="1:63" ht="15" customHeight="1">
      <c r="A42" s="1"/>
      <c r="BK42" s="4"/>
    </row>
    <row r="43" spans="1:63" ht="15" customHeight="1">
      <c r="A43" s="1"/>
      <c r="BK43" s="4"/>
    </row>
    <row r="44" spans="1:63" ht="15" customHeight="1">
      <c r="A44" s="1"/>
      <c r="BK44" s="4"/>
    </row>
    <row r="45" spans="1:63" ht="15" customHeight="1">
      <c r="A45" s="1"/>
      <c r="BK45" s="4"/>
    </row>
    <row r="46" spans="1:63" ht="15" customHeight="1">
      <c r="A46" s="1"/>
      <c r="BK46" s="4"/>
    </row>
    <row r="47" spans="1:63" ht="15" customHeight="1">
      <c r="A47" s="1"/>
      <c r="BK47" s="4"/>
    </row>
    <row r="48" spans="1:63" ht="15" customHeight="1">
      <c r="A48" s="1"/>
      <c r="BK48" s="4"/>
    </row>
    <row r="49" spans="1:63" ht="15" customHeight="1">
      <c r="A49" s="1"/>
      <c r="BK49" s="4"/>
    </row>
    <row r="50" spans="1:63" ht="15" customHeight="1">
      <c r="A50" s="1"/>
      <c r="BK50" s="4"/>
    </row>
    <row r="51" spans="1:63" ht="15" customHeight="1">
      <c r="A51" s="1"/>
      <c r="BK51" s="4"/>
    </row>
    <row r="52" spans="1:63" ht="15" customHeight="1">
      <c r="A52" s="1"/>
      <c r="BK52" s="4"/>
    </row>
    <row r="53" spans="1:63" ht="15" customHeight="1">
      <c r="A53" s="1"/>
      <c r="BK53" s="4"/>
    </row>
    <row r="54" spans="1:63" ht="15" customHeight="1">
      <c r="A54" s="1"/>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honeticPr fontId="7"/>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4B9D66B-6684-40C4-87D3-A66CB321B026}"/>
</file>

<file path=customXml/itemProps2.xml><?xml version="1.0" encoding="utf-8"?>
<ds:datastoreItem xmlns:ds="http://schemas.openxmlformats.org/officeDocument/2006/customXml" ds:itemID="{BDBB207D-13B3-4D8E-A471-0BD675BD625D}"/>
</file>

<file path=customXml/itemProps3.xml><?xml version="1.0" encoding="utf-8"?>
<ds:datastoreItem xmlns:ds="http://schemas.openxmlformats.org/officeDocument/2006/customXml" ds:itemID="{86EFCB1B-2DD3-422A-9192-6218A1C11E0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Crux03_Luvina</dc:creator>
  <cp:keywords/>
  <dc:description/>
  <cp:lastModifiedBy>Tran Van Dat</cp:lastModifiedBy>
  <cp:revision/>
  <dcterms:created xsi:type="dcterms:W3CDTF">2023-09-13T07:58:12Z</dcterms:created>
  <dcterms:modified xsi:type="dcterms:W3CDTF">2025-07-22T11:57:53Z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