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C:\Users\tranvandat\Documents\"/>
    </mc:Choice>
  </mc:AlternateContent>
  <xr:revisionPtr revIDLastSave="346" documentId="13_ncr:1_{B481D346-7029-4C99-9469-70BA9A739BED}" xr6:coauthVersionLast="47" xr6:coauthVersionMax="47" xr10:uidLastSave="{73980F96-5423-4F6A-87F1-54E2D159C8AD}"/>
  <bookViews>
    <workbookView xWindow="28680" yWindow="-120" windowWidth="29040" windowHeight="15720" firstSheet="1" activeTab="1" xr2:uid="{41597F7A-9990-46E2-96B3-211643ADD53E}"/>
  </bookViews>
  <sheets>
    <sheet name="Overview" sheetId="3" r:id="rId1"/>
    <sheet name="Reports_VN" sheetId="1" r:id="rId2"/>
    <sheet name="Reports_JP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9" i="2"/>
  <c r="A4" i="1"/>
  <c r="A5" i="1" s="1"/>
  <c r="A6" i="1" s="1"/>
  <c r="A7" i="1" s="1"/>
  <c r="A8" i="1" s="1"/>
  <c r="A9" i="1" s="1"/>
  <c r="A10" i="1" s="1"/>
  <c r="A11" i="1" l="1"/>
  <c r="A12" i="1" l="1"/>
  <c r="A13" i="1" s="1"/>
  <c r="A14" i="1" s="1"/>
  <c r="A15" i="1" s="1"/>
  <c r="A16" i="1" s="1"/>
  <c r="A17" i="1" s="1"/>
  <c r="A18" i="1" s="1"/>
  <c r="A19" i="1" s="1"/>
</calcChain>
</file>

<file path=xl/sharedStrings.xml><?xml version="1.0" encoding="utf-8"?>
<sst xmlns="http://schemas.openxmlformats.org/spreadsheetml/2006/main" count="111" uniqueCount="56">
  <si>
    <t>Status</t>
  </si>
  <si>
    <t>Bổ sung công số</t>
  </si>
  <si>
    <t>No</t>
  </si>
  <si>
    <t>Weekly</t>
  </si>
  <si>
    <t>Env</t>
  </si>
  <si>
    <t>Category</t>
  </si>
  <si>
    <t>Task</t>
  </si>
  <si>
    <t>%Done</t>
  </si>
  <si>
    <t>Start Date</t>
  </si>
  <si>
    <t>End Date</t>
  </si>
  <si>
    <t>Note</t>
  </si>
  <si>
    <t>2025/09/15 ~ 09/19</t>
  </si>
  <si>
    <t>Ishida</t>
  </si>
  <si>
    <t>Phát triển mới</t>
  </si>
  <si>
    <t>[Design]Phát triển chức năng thay đổi giá</t>
  </si>
  <si>
    <t>Done</t>
  </si>
  <si>
    <t>Chỉnh sửa và rà soát lại thiết kế</t>
  </si>
  <si>
    <t>Staging</t>
  </si>
  <si>
    <t>Đã triển khai lên môi trường spike : Done
Đang thực hiện test trên môi trường staging</t>
  </si>
  <si>
    <t>Monitoring</t>
  </si>
  <si>
    <t>Doing</t>
  </si>
  <si>
    <t>Trong tuần không phát hiện các vấn đề về hệ thống
Kiểm tra các bản ghi import/ export, tốc độ xử lý các bản ghi, tốc độ chạy của hệ thống -&gt; mục đích để phát hiện sớm các vấn đề của hệ thống khi đang chạy</t>
  </si>
  <si>
    <t>Điều tra</t>
  </si>
  <si>
    <t>Review</t>
  </si>
  <si>
    <t>Lên các điều tra để thực hiện kiểm tra</t>
  </si>
  <si>
    <t>Support</t>
  </si>
  <si>
    <t>Công tác ở Nhật Bản</t>
  </si>
  <si>
    <t>Feedbacks</t>
  </si>
  <si>
    <t>POS-Android</t>
  </si>
  <si>
    <t>Mục đích để triển khai server cũ lên AWS</t>
  </si>
  <si>
    <t>2025/09/22 ~ 09/26</t>
  </si>
  <si>
    <t>Đã triển khai lên môi trường spike và staging
Đang thực hiện test trên môi trường staging</t>
  </si>
  <si>
    <t>Lên các điều tra để thực hiện kiểm tra: Done
Kiểm tra các bản ghi import/ export, tốc độ xử lý các bản ghi, tốc độ chạy của hệ thống -&gt; mục đích để phát hiện sớm các vấn đề của hệ thống khi đang chạy</t>
  </si>
  <si>
    <t>Lên các điều tra để thực hiện kiểm tra hệ thống</t>
  </si>
  <si>
    <t>Trong tuần kiểm tra và trả lời các QA từ khách hàng No83, No85</t>
  </si>
  <si>
    <t>Backlog</t>
  </si>
  <si>
    <t>【設計】価格変更機能の開発</t>
  </si>
  <si>
    <t>設計の修正およびレビュー</t>
  </si>
  <si>
    <t>【Web】価格変更機能の開発</t>
  </si>
  <si>
    <t>【サーバー】価格変更機能の開発</t>
  </si>
  <si>
    <t>【デプロイ】価格変更機能の開発</t>
  </si>
  <si>
    <t>Spike環境とStaging環境へ展開済み
現在Staging環境でテスト実施中</t>
  </si>
  <si>
    <t>【モニタリング】システムの定期的な確認（毎日）</t>
  </si>
  <si>
    <t>検証のための調査実施：完了
インポート/エクスポートのレコード、レコード処理速度、システムの動作速度を確認 → システム稼働中の問題を早期に発見することを目的とする</t>
  </si>
  <si>
    <t>No45に関連する必要な確認項目を洗い出すためのシステム調査</t>
  </si>
  <si>
    <t>検証のための調査実施</t>
  </si>
  <si>
    <t>AWSへの移行を目的とした、稼働中のpos-androidアプリサーバーの調査</t>
  </si>
  <si>
    <t>旧サーバーをAWSへ移行する目的で調査を実施</t>
  </si>
  <si>
    <t>Ishidaシステムにおける価格種別（Mix-Match、カテゴリ）の調査</t>
  </si>
  <si>
    <t>An2NB、MaiTTTと共に店舗での顧客サポート対応</t>
  </si>
  <si>
    <t>日本での出張</t>
  </si>
  <si>
    <t>顧客からのイシューやQAなどの発生事項への対応</t>
  </si>
  <si>
    <t>今週は顧客からのQA（No83、No85）を確認し、回答対応</t>
  </si>
  <si>
    <t>必要な確認項目を洗い出すためのシステム調査</t>
  </si>
  <si>
    <t>【Web】統計機能の開発</t>
  </si>
  <si>
    <t>【サーバー】統計機能の開発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</si>
</sst>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9" fontId="3" fillId="0" borderId="1" xfId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6" xfId="0" applyBorder="1"/>
    <xf numFmtId="0" fontId="2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4" borderId="6" xfId="0" applyFill="1" applyBorder="1" applyAlignment="1">
      <alignment horizontal="center" vertical="center"/>
    </xf>
    <xf numFmtId="0" fontId="3" fillId="0" borderId="5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3" borderId="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3" fillId="0" borderId="3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0" fillId="4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6">
    <dxf>
      <fill>
        <patternFill patternType="solid">
          <bgColor theme="5" tint="0.79998168889431442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7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628F2-A3B7-4986-AD76-1E779E904A8B}">
  <dimension ref="C4:C5"/>
  <sheetViews>
    <sheetView workbookViewId="0">
      <selection activeCell="C6" sqref="C6"/>
    </sheetView>
  </sheetViews>
  <sheetFormatPr defaultRowHeight="15"/>
  <sheetData>
    <row r="4" spans="3:3">
      <c r="C4" t="s">
        <v>0</v>
      </c>
    </row>
    <row r="5" spans="3:3">
      <c r="C5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19DB1-6BF7-4779-BB6F-1010418F8DAE}">
  <dimension ref="A1:P19"/>
  <sheetViews>
    <sheetView showGridLines="0" tabSelected="1" workbookViewId="0">
      <pane ySplit="1" topLeftCell="A2" activePane="bottomLeft" state="frozen"/>
      <selection pane="bottomLeft" activeCell="H3" sqref="H3"/>
    </sheetView>
  </sheetViews>
  <sheetFormatPr defaultRowHeight="15"/>
  <cols>
    <col min="2" max="2" width="17.5703125" customWidth="1"/>
    <col min="3" max="3" width="11.85546875" customWidth="1"/>
    <col min="4" max="4" width="14.5703125" customWidth="1"/>
    <col min="5" max="5" width="5.85546875" customWidth="1"/>
    <col min="6" max="6" width="10.42578125" customWidth="1"/>
    <col min="7" max="7" width="7.140625" customWidth="1"/>
    <col min="8" max="8" width="7.42578125" customWidth="1"/>
    <col min="9" max="9" width="15.42578125" customWidth="1"/>
    <col min="10" max="10" width="8.5703125" customWidth="1"/>
    <col min="11" max="11" width="10.28515625" customWidth="1"/>
    <col min="12" max="12" width="8" bestFit="1" customWidth="1"/>
    <col min="13" max="13" width="19.140625" customWidth="1"/>
    <col min="14" max="14" width="16.28515625" customWidth="1"/>
    <col min="15" max="15" width="13.7109375" customWidth="1"/>
    <col min="16" max="16" width="118" customWidth="1"/>
  </cols>
  <sheetData>
    <row r="1" spans="1:16" ht="30.75" customHeight="1">
      <c r="A1" s="7" t="s">
        <v>2</v>
      </c>
      <c r="B1" s="1" t="s">
        <v>3</v>
      </c>
      <c r="C1" s="17" t="s">
        <v>4</v>
      </c>
      <c r="D1" s="17" t="s">
        <v>5</v>
      </c>
      <c r="E1" s="27" t="s">
        <v>6</v>
      </c>
      <c r="F1" s="28"/>
      <c r="G1" s="28"/>
      <c r="H1" s="28"/>
      <c r="I1" s="28"/>
      <c r="J1" s="28"/>
      <c r="K1" s="29"/>
      <c r="L1" s="1" t="s">
        <v>7</v>
      </c>
      <c r="M1" s="1" t="s">
        <v>0</v>
      </c>
      <c r="N1" s="1" t="s">
        <v>8</v>
      </c>
      <c r="O1" s="1" t="s">
        <v>9</v>
      </c>
      <c r="P1" s="1" t="s">
        <v>10</v>
      </c>
    </row>
    <row r="2" spans="1:16" ht="19.5" customHeight="1">
      <c r="A2" s="6">
        <v>1</v>
      </c>
      <c r="B2" s="21" t="s">
        <v>11</v>
      </c>
      <c r="C2" s="25" t="s">
        <v>12</v>
      </c>
      <c r="D2" s="30" t="s">
        <v>13</v>
      </c>
      <c r="E2" s="37" t="s">
        <v>14</v>
      </c>
      <c r="F2" s="38"/>
      <c r="G2" s="38"/>
      <c r="H2" s="38"/>
      <c r="I2" s="38"/>
      <c r="J2" s="38"/>
      <c r="K2" s="39"/>
      <c r="L2" s="2">
        <v>1</v>
      </c>
      <c r="M2" s="3" t="s">
        <v>15</v>
      </c>
      <c r="N2" s="4">
        <v>45905</v>
      </c>
      <c r="O2" s="4">
        <v>45916</v>
      </c>
      <c r="P2" s="3" t="s">
        <v>16</v>
      </c>
    </row>
    <row r="3" spans="1:16">
      <c r="A3" s="6">
        <v>2</v>
      </c>
      <c r="B3" s="22"/>
      <c r="C3" s="25"/>
      <c r="D3" s="22"/>
      <c r="E3" s="40"/>
      <c r="F3" s="41"/>
      <c r="G3" s="41"/>
      <c r="H3" s="41"/>
      <c r="I3" s="41"/>
      <c r="J3" s="41"/>
      <c r="K3" s="42"/>
      <c r="L3" s="2">
        <v>1</v>
      </c>
      <c r="M3" s="3" t="s">
        <v>15</v>
      </c>
      <c r="N3" s="4">
        <v>45908</v>
      </c>
      <c r="O3" s="4">
        <v>45918</v>
      </c>
      <c r="P3" s="3"/>
    </row>
    <row r="4" spans="1:16">
      <c r="A4" s="6">
        <f>A3+1</f>
        <v>3</v>
      </c>
      <c r="B4" s="22"/>
      <c r="C4" s="25"/>
      <c r="D4" s="22"/>
      <c r="E4" s="40"/>
      <c r="F4" s="41"/>
      <c r="G4" s="41"/>
      <c r="H4" s="41"/>
      <c r="I4" s="41"/>
      <c r="J4" s="41"/>
      <c r="K4" s="42"/>
      <c r="L4" s="2">
        <v>1</v>
      </c>
      <c r="M4" s="3" t="s">
        <v>15</v>
      </c>
      <c r="N4" s="4">
        <v>45908</v>
      </c>
      <c r="O4" s="4">
        <v>45918</v>
      </c>
      <c r="P4" s="3"/>
    </row>
    <row r="5" spans="1:16" ht="30.75" customHeight="1">
      <c r="A5" s="6">
        <f t="shared" ref="A5:A19" si="0">A4+1</f>
        <v>4</v>
      </c>
      <c r="B5" s="22"/>
      <c r="C5" s="25"/>
      <c r="D5" s="23"/>
      <c r="E5" s="40"/>
      <c r="F5" s="41"/>
      <c r="G5" s="41"/>
      <c r="H5" s="41"/>
      <c r="I5" s="41"/>
      <c r="J5" s="41"/>
      <c r="K5" s="42"/>
      <c r="L5" s="2">
        <v>0.8</v>
      </c>
      <c r="M5" s="3" t="s">
        <v>17</v>
      </c>
      <c r="N5" s="4">
        <v>45917</v>
      </c>
      <c r="O5" s="4">
        <v>45922</v>
      </c>
      <c r="P5" s="5" t="s">
        <v>18</v>
      </c>
    </row>
    <row r="6" spans="1:16" ht="60.75" customHeight="1">
      <c r="A6" s="6">
        <f t="shared" si="0"/>
        <v>5</v>
      </c>
      <c r="B6" s="22"/>
      <c r="C6" s="26"/>
      <c r="D6" s="20" t="s">
        <v>19</v>
      </c>
      <c r="E6" s="40"/>
      <c r="F6" s="41"/>
      <c r="G6" s="41"/>
      <c r="H6" s="41"/>
      <c r="I6" s="41"/>
      <c r="J6" s="41"/>
      <c r="K6" s="42"/>
      <c r="L6" s="2"/>
      <c r="M6" s="3" t="s">
        <v>20</v>
      </c>
      <c r="N6" s="4">
        <v>45903</v>
      </c>
      <c r="O6" s="4">
        <v>45930</v>
      </c>
      <c r="P6" s="5" t="s">
        <v>21</v>
      </c>
    </row>
    <row r="7" spans="1:16">
      <c r="A7" s="6">
        <f t="shared" si="0"/>
        <v>6</v>
      </c>
      <c r="B7" s="22"/>
      <c r="C7" s="26"/>
      <c r="D7" s="18" t="s">
        <v>22</v>
      </c>
      <c r="E7" s="40"/>
      <c r="F7" s="41"/>
      <c r="G7" s="41"/>
      <c r="H7" s="41"/>
      <c r="I7" s="41"/>
      <c r="J7" s="41"/>
      <c r="K7" s="42"/>
      <c r="L7" s="2">
        <v>0.9</v>
      </c>
      <c r="M7" s="3" t="s">
        <v>23</v>
      </c>
      <c r="N7" s="4">
        <v>45915</v>
      </c>
      <c r="O7" s="4">
        <v>45919</v>
      </c>
      <c r="P7" s="5" t="s">
        <v>24</v>
      </c>
    </row>
    <row r="8" spans="1:16">
      <c r="A8" s="6">
        <f t="shared" si="0"/>
        <v>7</v>
      </c>
      <c r="B8" s="22"/>
      <c r="C8" s="26"/>
      <c r="D8" s="18" t="s">
        <v>22</v>
      </c>
      <c r="E8" s="40"/>
      <c r="F8" s="41"/>
      <c r="G8" s="41"/>
      <c r="H8" s="41"/>
      <c r="I8" s="41"/>
      <c r="J8" s="41"/>
      <c r="K8" s="42"/>
      <c r="L8" s="2">
        <v>0.2</v>
      </c>
      <c r="M8" s="3" t="s">
        <v>20</v>
      </c>
      <c r="N8" s="4">
        <v>45917</v>
      </c>
      <c r="O8" s="4">
        <v>45926</v>
      </c>
      <c r="P8" s="3"/>
    </row>
    <row r="9" spans="1:16">
      <c r="A9" s="6">
        <f t="shared" si="0"/>
        <v>8</v>
      </c>
      <c r="B9" s="22"/>
      <c r="C9" s="26"/>
      <c r="D9" s="18" t="s">
        <v>25</v>
      </c>
      <c r="E9" s="40"/>
      <c r="F9" s="41"/>
      <c r="G9" s="41"/>
      <c r="H9" s="41"/>
      <c r="I9" s="41"/>
      <c r="J9" s="41"/>
      <c r="K9" s="42"/>
      <c r="L9" s="2">
        <v>1</v>
      </c>
      <c r="M9" s="3" t="s">
        <v>15</v>
      </c>
      <c r="N9" s="4">
        <v>45910</v>
      </c>
      <c r="O9" s="4">
        <v>45915</v>
      </c>
      <c r="P9" s="3" t="s">
        <v>26</v>
      </c>
    </row>
    <row r="10" spans="1:16" ht="51" customHeight="1">
      <c r="A10" s="6">
        <f t="shared" si="0"/>
        <v>9</v>
      </c>
      <c r="B10" s="22"/>
      <c r="C10" s="26"/>
      <c r="D10" s="18" t="s">
        <v>27</v>
      </c>
      <c r="E10" s="40"/>
      <c r="F10" s="41"/>
      <c r="G10" s="41"/>
      <c r="H10" s="41"/>
      <c r="I10" s="41"/>
      <c r="J10" s="41"/>
      <c r="K10" s="42"/>
      <c r="L10" s="2"/>
      <c r="M10" s="3" t="s">
        <v>20</v>
      </c>
      <c r="N10" s="4">
        <v>45903</v>
      </c>
      <c r="O10" s="4">
        <v>45930</v>
      </c>
      <c r="P10" s="3"/>
    </row>
    <row r="11" spans="1:16">
      <c r="A11" s="6">
        <f t="shared" ref="A11" si="1">A10+1</f>
        <v>10</v>
      </c>
      <c r="B11" s="23"/>
      <c r="C11" s="15" t="s">
        <v>28</v>
      </c>
      <c r="D11" s="18" t="s">
        <v>28</v>
      </c>
      <c r="E11" s="40"/>
      <c r="F11" s="41"/>
      <c r="G11" s="41"/>
      <c r="H11" s="41"/>
      <c r="I11" s="41"/>
      <c r="J11" s="41"/>
      <c r="K11" s="42"/>
      <c r="L11" s="2">
        <v>0.5</v>
      </c>
      <c r="M11" s="3" t="s">
        <v>20</v>
      </c>
      <c r="N11" s="4">
        <v>45917</v>
      </c>
      <c r="O11" s="4">
        <v>45923</v>
      </c>
      <c r="P11" s="3" t="s">
        <v>29</v>
      </c>
    </row>
    <row r="12" spans="1:16" ht="29.25">
      <c r="A12" s="6">
        <f t="shared" si="0"/>
        <v>11</v>
      </c>
      <c r="B12" s="24" t="s">
        <v>30</v>
      </c>
      <c r="C12" s="19"/>
      <c r="D12" s="10"/>
      <c r="E12" s="40"/>
      <c r="F12" s="41"/>
      <c r="G12" s="41"/>
      <c r="H12" s="41"/>
      <c r="I12" s="41"/>
      <c r="J12" s="41"/>
      <c r="K12" s="42"/>
      <c r="L12" s="2">
        <v>0.8</v>
      </c>
      <c r="M12" s="3" t="s">
        <v>20</v>
      </c>
      <c r="N12" s="4">
        <v>45917</v>
      </c>
      <c r="O12" s="4">
        <v>45922</v>
      </c>
      <c r="P12" s="5" t="s">
        <v>31</v>
      </c>
    </row>
    <row r="13" spans="1:16" ht="44.25">
      <c r="A13" s="6">
        <f t="shared" si="0"/>
        <v>12</v>
      </c>
      <c r="B13" s="24"/>
      <c r="C13" s="16"/>
      <c r="D13" s="10"/>
      <c r="E13" s="40"/>
      <c r="F13" s="41"/>
      <c r="G13" s="41"/>
      <c r="H13" s="41"/>
      <c r="I13" s="41"/>
      <c r="J13" s="41"/>
      <c r="K13" s="42"/>
      <c r="L13" s="2"/>
      <c r="M13" s="3" t="s">
        <v>20</v>
      </c>
      <c r="N13" s="4">
        <v>45903</v>
      </c>
      <c r="O13" s="4">
        <v>45930</v>
      </c>
      <c r="P13" s="5" t="s">
        <v>32</v>
      </c>
    </row>
    <row r="14" spans="1:16">
      <c r="A14" s="6">
        <f t="shared" si="0"/>
        <v>13</v>
      </c>
      <c r="B14" s="24"/>
      <c r="C14" s="16"/>
      <c r="D14" s="10"/>
      <c r="E14" s="40"/>
      <c r="F14" s="41"/>
      <c r="G14" s="41"/>
      <c r="H14" s="41"/>
      <c r="I14" s="41"/>
      <c r="J14" s="41"/>
      <c r="K14" s="42"/>
      <c r="L14" s="2">
        <v>0.9</v>
      </c>
      <c r="M14" s="3" t="s">
        <v>23</v>
      </c>
      <c r="N14" s="4">
        <v>45915</v>
      </c>
      <c r="O14" s="4">
        <v>45919</v>
      </c>
      <c r="P14" s="5" t="s">
        <v>33</v>
      </c>
    </row>
    <row r="15" spans="1:16">
      <c r="A15" s="6">
        <f t="shared" si="0"/>
        <v>14</v>
      </c>
      <c r="B15" s="24"/>
      <c r="C15" s="16"/>
      <c r="D15" s="10"/>
      <c r="E15" s="40"/>
      <c r="F15" s="41"/>
      <c r="G15" s="41"/>
      <c r="H15" s="41"/>
      <c r="I15" s="41"/>
      <c r="J15" s="41"/>
      <c r="K15" s="42"/>
      <c r="L15" s="2">
        <v>0.5</v>
      </c>
      <c r="M15" s="3" t="s">
        <v>20</v>
      </c>
      <c r="N15" s="4">
        <v>45917</v>
      </c>
      <c r="O15" s="4">
        <v>45923</v>
      </c>
      <c r="P15" s="3" t="s">
        <v>29</v>
      </c>
    </row>
    <row r="16" spans="1:16">
      <c r="A16" s="6">
        <f t="shared" si="0"/>
        <v>15</v>
      </c>
      <c r="B16" s="24"/>
      <c r="C16" s="16"/>
      <c r="D16" s="10"/>
      <c r="E16" s="40"/>
      <c r="F16" s="41"/>
      <c r="G16" s="41"/>
      <c r="H16" s="41"/>
      <c r="I16" s="41"/>
      <c r="J16" s="41"/>
      <c r="K16" s="42"/>
      <c r="L16" s="2">
        <v>0.2</v>
      </c>
      <c r="M16" s="3" t="s">
        <v>20</v>
      </c>
      <c r="N16" s="4">
        <v>45917</v>
      </c>
      <c r="O16" s="4">
        <v>45926</v>
      </c>
      <c r="P16" s="3"/>
    </row>
    <row r="17" spans="1:16">
      <c r="A17" s="6">
        <f t="shared" si="0"/>
        <v>16</v>
      </c>
      <c r="B17" s="24"/>
      <c r="C17" s="16"/>
      <c r="D17" s="10"/>
      <c r="E17" s="40"/>
      <c r="F17" s="41"/>
      <c r="G17" s="41"/>
      <c r="H17" s="41"/>
      <c r="I17" s="41"/>
      <c r="J17" s="41"/>
      <c r="K17" s="42"/>
      <c r="L17" s="2"/>
      <c r="M17" s="3" t="s">
        <v>20</v>
      </c>
      <c r="N17" s="4">
        <v>45903</v>
      </c>
      <c r="O17" s="4">
        <v>45930</v>
      </c>
      <c r="P17" s="3" t="s">
        <v>34</v>
      </c>
    </row>
    <row r="18" spans="1:16">
      <c r="A18" s="6">
        <f t="shared" si="0"/>
        <v>17</v>
      </c>
      <c r="B18" s="24"/>
      <c r="C18" s="16"/>
      <c r="D18" s="10"/>
      <c r="E18" s="40"/>
      <c r="F18" s="41"/>
      <c r="G18" s="41"/>
      <c r="H18" s="41"/>
      <c r="I18" s="41"/>
      <c r="J18" s="41"/>
      <c r="K18" s="42"/>
      <c r="L18" s="2"/>
      <c r="M18" s="3" t="s">
        <v>35</v>
      </c>
      <c r="N18" s="4">
        <v>45922</v>
      </c>
      <c r="O18" s="4">
        <v>45926</v>
      </c>
      <c r="P18" s="3"/>
    </row>
    <row r="19" spans="1:16">
      <c r="A19" s="6">
        <f t="shared" si="0"/>
        <v>18</v>
      </c>
      <c r="B19" s="24"/>
      <c r="C19" s="16"/>
      <c r="D19" s="10"/>
      <c r="E19" s="43"/>
      <c r="F19" s="44"/>
      <c r="G19" s="44"/>
      <c r="H19" s="44"/>
      <c r="I19" s="44"/>
      <c r="J19" s="44"/>
      <c r="K19" s="45"/>
      <c r="L19" s="2"/>
      <c r="M19" s="3" t="s">
        <v>35</v>
      </c>
      <c r="N19" s="4">
        <v>45922</v>
      </c>
      <c r="O19" s="4">
        <v>45926</v>
      </c>
      <c r="P19" s="3"/>
    </row>
  </sheetData>
  <mergeCells count="6">
    <mergeCell ref="E1:K1"/>
    <mergeCell ref="D2:D5"/>
    <mergeCell ref="E2:K19"/>
    <mergeCell ref="B2:B11"/>
    <mergeCell ref="B12:B19"/>
    <mergeCell ref="C2:C10"/>
  </mergeCells>
  <conditionalFormatting sqref="M1:M19">
    <cfRule type="cellIs" dxfId="5" priority="3" operator="equal">
      <formula>"done"</formula>
    </cfRule>
  </conditionalFormatting>
  <conditionalFormatting sqref="M2:M19">
    <cfRule type="cellIs" dxfId="4" priority="2" operator="equal">
      <formula>"Review"</formula>
    </cfRule>
  </conditionalFormatting>
  <conditionalFormatting sqref="M1:M1048576">
    <cfRule type="cellIs" dxfId="3" priority="1" operator="equal">
      <formula>"Doing"</formula>
    </cfRule>
  </conditionalFormatting>
  <dataValidations count="2">
    <dataValidation type="list" allowBlank="1" showInputMessage="1" showErrorMessage="1" sqref="M13:M17 M6:M11" xr:uid="{FDADA3A5-0A4E-4692-ACB6-6AD153AD5B7D}">
      <formula1>"Doing,Review,Test,Done,Backlog"</formula1>
    </dataValidation>
    <dataValidation type="list" allowBlank="1" showInputMessage="1" showErrorMessage="1" sqref="M18:M19 M12 M2:M5" xr:uid="{1CEF4F86-3F6B-4B1A-9C8B-B1A1C01FCCD6}">
      <formula1>"Doing,Review,Test,Done,Backlog,Spike,Staging,Product,Closed"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98CE6-61B1-40E8-A4E6-ED9D1AC020F9}">
  <dimension ref="A1:N19"/>
  <sheetViews>
    <sheetView showGridLines="0" workbookViewId="0">
      <pane ySplit="1" topLeftCell="B2" activePane="bottomLeft" state="frozen"/>
      <selection pane="bottomLeft" activeCell="F17" sqref="F17"/>
    </sheetView>
  </sheetViews>
  <sheetFormatPr defaultRowHeight="15"/>
  <cols>
    <col min="2" max="2" width="21.140625" customWidth="1"/>
    <col min="3" max="3" width="5.85546875" customWidth="1"/>
    <col min="4" max="4" width="6.7109375" customWidth="1"/>
    <col min="5" max="5" width="7.140625" customWidth="1"/>
    <col min="6" max="6" width="7.42578125" customWidth="1"/>
    <col min="7" max="7" width="9.42578125" customWidth="1"/>
    <col min="8" max="8" width="8.5703125" customWidth="1"/>
    <col min="9" max="9" width="10.28515625" customWidth="1"/>
    <col min="10" max="10" width="15.85546875" customWidth="1"/>
    <col min="11" max="11" width="19.140625" customWidth="1"/>
    <col min="12" max="12" width="16.28515625" customWidth="1"/>
    <col min="13" max="13" width="13.7109375" customWidth="1"/>
    <col min="14" max="14" width="118" customWidth="1"/>
  </cols>
  <sheetData>
    <row r="1" spans="1:14" ht="30.75" customHeight="1">
      <c r="A1" s="7" t="s">
        <v>2</v>
      </c>
      <c r="B1" s="1" t="s">
        <v>3</v>
      </c>
      <c r="C1" s="27" t="s">
        <v>6</v>
      </c>
      <c r="D1" s="28"/>
      <c r="E1" s="28"/>
      <c r="F1" s="28"/>
      <c r="G1" s="28"/>
      <c r="H1" s="28"/>
      <c r="I1" s="29"/>
      <c r="J1" s="1" t="s">
        <v>7</v>
      </c>
      <c r="K1" s="1" t="s">
        <v>0</v>
      </c>
      <c r="L1" s="1" t="s">
        <v>8</v>
      </c>
      <c r="M1" s="1" t="s">
        <v>9</v>
      </c>
      <c r="N1" s="1" t="s">
        <v>10</v>
      </c>
    </row>
    <row r="2" spans="1:14" ht="19.5" customHeight="1">
      <c r="A2" s="6">
        <v>1</v>
      </c>
      <c r="B2" s="35" t="s">
        <v>11</v>
      </c>
      <c r="C2" s="31" t="s">
        <v>36</v>
      </c>
      <c r="D2" s="32"/>
      <c r="E2" s="32"/>
      <c r="F2" s="32"/>
      <c r="G2" s="32"/>
      <c r="H2" s="32"/>
      <c r="I2" s="33"/>
      <c r="J2" s="2">
        <v>1</v>
      </c>
      <c r="K2" s="3" t="s">
        <v>15</v>
      </c>
      <c r="L2" s="4">
        <v>45905</v>
      </c>
      <c r="M2" s="4">
        <v>45916</v>
      </c>
      <c r="N2" s="13" t="s">
        <v>37</v>
      </c>
    </row>
    <row r="3" spans="1:14">
      <c r="A3" s="6">
        <v>2</v>
      </c>
      <c r="B3" s="36"/>
      <c r="C3" s="31" t="s">
        <v>38</v>
      </c>
      <c r="D3" s="32"/>
      <c r="E3" s="32"/>
      <c r="F3" s="32"/>
      <c r="G3" s="32"/>
      <c r="H3" s="32"/>
      <c r="I3" s="33"/>
      <c r="J3" s="2">
        <v>1</v>
      </c>
      <c r="K3" s="3" t="s">
        <v>15</v>
      </c>
      <c r="L3" s="4">
        <v>45908</v>
      </c>
      <c r="M3" s="4">
        <v>45918</v>
      </c>
      <c r="N3" s="13"/>
    </row>
    <row r="4" spans="1:14">
      <c r="A4" s="6">
        <f>A3+1</f>
        <v>3</v>
      </c>
      <c r="B4" s="36"/>
      <c r="C4" s="31" t="s">
        <v>39</v>
      </c>
      <c r="D4" s="32"/>
      <c r="E4" s="32"/>
      <c r="F4" s="32"/>
      <c r="G4" s="32"/>
      <c r="H4" s="32"/>
      <c r="I4" s="33"/>
      <c r="J4" s="2">
        <v>1</v>
      </c>
      <c r="K4" s="3" t="s">
        <v>15</v>
      </c>
      <c r="L4" s="4">
        <v>45908</v>
      </c>
      <c r="M4" s="4">
        <v>45918</v>
      </c>
      <c r="N4" s="13"/>
    </row>
    <row r="5" spans="1:14" ht="30.75" customHeight="1">
      <c r="A5" s="6">
        <f>A4+1</f>
        <v>4</v>
      </c>
      <c r="B5" s="36"/>
      <c r="C5" s="31" t="s">
        <v>40</v>
      </c>
      <c r="D5" s="32"/>
      <c r="E5" s="32"/>
      <c r="F5" s="32"/>
      <c r="G5" s="32"/>
      <c r="H5" s="32"/>
      <c r="I5" s="33"/>
      <c r="J5" s="2">
        <v>0.8</v>
      </c>
      <c r="K5" s="3" t="s">
        <v>20</v>
      </c>
      <c r="L5" s="4">
        <v>45917</v>
      </c>
      <c r="M5" s="4">
        <v>45922</v>
      </c>
      <c r="N5" s="14" t="s">
        <v>41</v>
      </c>
    </row>
    <row r="6" spans="1:14" ht="57" customHeight="1">
      <c r="A6" s="6">
        <f>A5+1</f>
        <v>5</v>
      </c>
      <c r="B6" s="36"/>
      <c r="C6" s="31" t="s">
        <v>42</v>
      </c>
      <c r="D6" s="32"/>
      <c r="E6" s="32"/>
      <c r="F6" s="32"/>
      <c r="G6" s="32"/>
      <c r="H6" s="32"/>
      <c r="I6" s="33"/>
      <c r="J6" s="2"/>
      <c r="K6" s="3" t="s">
        <v>20</v>
      </c>
      <c r="L6" s="4">
        <v>45903</v>
      </c>
      <c r="M6" s="4">
        <v>45930</v>
      </c>
      <c r="N6" s="14" t="s">
        <v>43</v>
      </c>
    </row>
    <row r="7" spans="1:14" ht="18">
      <c r="A7" s="6">
        <f>A6+1</f>
        <v>6</v>
      </c>
      <c r="B7" s="36"/>
      <c r="C7" s="31" t="s">
        <v>44</v>
      </c>
      <c r="D7" s="32"/>
      <c r="E7" s="32"/>
      <c r="F7" s="32"/>
      <c r="G7" s="32"/>
      <c r="H7" s="32"/>
      <c r="I7" s="33"/>
      <c r="J7" s="2">
        <v>0.9</v>
      </c>
      <c r="K7" s="3" t="s">
        <v>23</v>
      </c>
      <c r="L7" s="4">
        <v>45915</v>
      </c>
      <c r="M7" s="4">
        <v>45919</v>
      </c>
      <c r="N7" s="14" t="s">
        <v>45</v>
      </c>
    </row>
    <row r="8" spans="1:14">
      <c r="A8" s="6">
        <f>A7+1</f>
        <v>7</v>
      </c>
      <c r="B8" s="36"/>
      <c r="C8" s="31" t="s">
        <v>46</v>
      </c>
      <c r="D8" s="32"/>
      <c r="E8" s="32"/>
      <c r="F8" s="32"/>
      <c r="G8" s="32"/>
      <c r="H8" s="32"/>
      <c r="I8" s="33"/>
      <c r="J8" s="2">
        <v>0.5</v>
      </c>
      <c r="K8" s="3" t="s">
        <v>20</v>
      </c>
      <c r="L8" s="4">
        <v>45917</v>
      </c>
      <c r="M8" s="4">
        <v>45923</v>
      </c>
      <c r="N8" s="13" t="s">
        <v>47</v>
      </c>
    </row>
    <row r="9" spans="1:14">
      <c r="A9" s="6">
        <f>A8+1</f>
        <v>8</v>
      </c>
      <c r="B9" s="36"/>
      <c r="C9" s="31" t="s">
        <v>48</v>
      </c>
      <c r="D9" s="32"/>
      <c r="E9" s="32"/>
      <c r="F9" s="32"/>
      <c r="G9" s="32"/>
      <c r="H9" s="32"/>
      <c r="I9" s="33"/>
      <c r="J9" s="2">
        <v>0.2</v>
      </c>
      <c r="K9" s="3" t="s">
        <v>20</v>
      </c>
      <c r="L9" s="4">
        <v>45917</v>
      </c>
      <c r="M9" s="4">
        <v>45926</v>
      </c>
      <c r="N9" s="13"/>
    </row>
    <row r="10" spans="1:14">
      <c r="A10" s="6">
        <f>A9+1</f>
        <v>9</v>
      </c>
      <c r="B10" s="36"/>
      <c r="C10" s="31" t="s">
        <v>49</v>
      </c>
      <c r="D10" s="32"/>
      <c r="E10" s="32"/>
      <c r="F10" s="32"/>
      <c r="G10" s="32"/>
      <c r="H10" s="32"/>
      <c r="I10" s="33"/>
      <c r="J10" s="2">
        <v>1</v>
      </c>
      <c r="K10" s="3" t="s">
        <v>15</v>
      </c>
      <c r="L10" s="4">
        <v>45910</v>
      </c>
      <c r="M10" s="4">
        <v>45915</v>
      </c>
      <c r="N10" s="13" t="s">
        <v>50</v>
      </c>
    </row>
    <row r="11" spans="1:14">
      <c r="A11" s="6">
        <f>A10+1</f>
        <v>10</v>
      </c>
      <c r="B11" s="36"/>
      <c r="C11" s="31" t="s">
        <v>51</v>
      </c>
      <c r="D11" s="32"/>
      <c r="E11" s="32"/>
      <c r="F11" s="32"/>
      <c r="G11" s="32"/>
      <c r="H11" s="32"/>
      <c r="I11" s="33"/>
      <c r="J11" s="2"/>
      <c r="K11" s="3" t="s">
        <v>20</v>
      </c>
      <c r="L11" s="4">
        <v>45903</v>
      </c>
      <c r="M11" s="4">
        <v>45930</v>
      </c>
      <c r="N11" s="13" t="s">
        <v>52</v>
      </c>
    </row>
    <row r="12" spans="1:14" ht="35.25">
      <c r="A12" s="6">
        <f>A11+1</f>
        <v>11</v>
      </c>
      <c r="B12" s="34" t="s">
        <v>30</v>
      </c>
      <c r="C12" s="11" t="s">
        <v>40</v>
      </c>
      <c r="D12" s="11"/>
      <c r="E12" s="11"/>
      <c r="F12" s="11"/>
      <c r="G12" s="11"/>
      <c r="H12" s="11"/>
      <c r="I12" s="12"/>
      <c r="J12" s="2">
        <v>0.8</v>
      </c>
      <c r="K12" s="3" t="s">
        <v>20</v>
      </c>
      <c r="L12" s="4">
        <v>45917</v>
      </c>
      <c r="M12" s="4">
        <v>45922</v>
      </c>
      <c r="N12" s="14" t="s">
        <v>41</v>
      </c>
    </row>
    <row r="13" spans="1:14" ht="49.5" customHeight="1">
      <c r="A13" s="6">
        <f>A12+1</f>
        <v>12</v>
      </c>
      <c r="B13" s="34"/>
      <c r="C13" s="11" t="s">
        <v>42</v>
      </c>
      <c r="D13" s="11"/>
      <c r="E13" s="11"/>
      <c r="F13" s="11"/>
      <c r="G13" s="11"/>
      <c r="H13" s="11"/>
      <c r="I13" s="12"/>
      <c r="J13" s="2"/>
      <c r="K13" s="3" t="s">
        <v>20</v>
      </c>
      <c r="L13" s="4">
        <v>45903</v>
      </c>
      <c r="M13" s="4">
        <v>45930</v>
      </c>
      <c r="N13" s="14" t="s">
        <v>43</v>
      </c>
    </row>
    <row r="14" spans="1:14" ht="18">
      <c r="A14" s="6">
        <f>A13+1</f>
        <v>13</v>
      </c>
      <c r="B14" s="34"/>
      <c r="C14" s="11" t="s">
        <v>53</v>
      </c>
      <c r="D14" s="11"/>
      <c r="E14" s="11"/>
      <c r="F14" s="11"/>
      <c r="G14" s="11"/>
      <c r="H14" s="11"/>
      <c r="I14" s="12"/>
      <c r="J14" s="2">
        <v>0.9</v>
      </c>
      <c r="K14" s="3" t="s">
        <v>23</v>
      </c>
      <c r="L14" s="4">
        <v>45915</v>
      </c>
      <c r="M14" s="4">
        <v>45919</v>
      </c>
      <c r="N14" s="14" t="s">
        <v>45</v>
      </c>
    </row>
    <row r="15" spans="1:14">
      <c r="A15" s="6">
        <f>A14+1</f>
        <v>14</v>
      </c>
      <c r="B15" s="34"/>
      <c r="C15" s="11" t="s">
        <v>46</v>
      </c>
      <c r="D15" s="11"/>
      <c r="E15" s="11"/>
      <c r="F15" s="11"/>
      <c r="G15" s="11"/>
      <c r="H15" s="11"/>
      <c r="I15" s="12"/>
      <c r="J15" s="2">
        <v>0.5</v>
      </c>
      <c r="K15" s="3" t="s">
        <v>20</v>
      </c>
      <c r="L15" s="4">
        <v>45917</v>
      </c>
      <c r="M15" s="4">
        <v>45923</v>
      </c>
      <c r="N15" s="13" t="s">
        <v>47</v>
      </c>
    </row>
    <row r="16" spans="1:14">
      <c r="A16" s="6">
        <f>A15+1</f>
        <v>15</v>
      </c>
      <c r="B16" s="34"/>
      <c r="C16" s="11" t="s">
        <v>48</v>
      </c>
      <c r="D16" s="11"/>
      <c r="E16" s="11"/>
      <c r="F16" s="11"/>
      <c r="G16" s="11"/>
      <c r="H16" s="11"/>
      <c r="I16" s="12"/>
      <c r="J16" s="2">
        <v>0.2</v>
      </c>
      <c r="K16" s="3" t="s">
        <v>20</v>
      </c>
      <c r="L16" s="4">
        <v>45917</v>
      </c>
      <c r="M16" s="4">
        <v>45926</v>
      </c>
      <c r="N16" s="13"/>
    </row>
    <row r="17" spans="1:14">
      <c r="A17" s="6">
        <f>A16+1</f>
        <v>16</v>
      </c>
      <c r="B17" s="34"/>
      <c r="C17" s="11" t="s">
        <v>51</v>
      </c>
      <c r="D17" s="11"/>
      <c r="E17" s="11"/>
      <c r="F17" s="11"/>
      <c r="G17" s="11"/>
      <c r="H17" s="11"/>
      <c r="I17" s="12"/>
      <c r="J17" s="2"/>
      <c r="K17" s="3" t="s">
        <v>20</v>
      </c>
      <c r="L17" s="4">
        <v>45903</v>
      </c>
      <c r="M17" s="4">
        <v>45930</v>
      </c>
      <c r="N17" s="13" t="s">
        <v>52</v>
      </c>
    </row>
    <row r="18" spans="1:14">
      <c r="A18" s="6">
        <f>A17+1</f>
        <v>17</v>
      </c>
      <c r="B18" s="34"/>
      <c r="C18" s="11" t="s">
        <v>54</v>
      </c>
      <c r="D18" s="11"/>
      <c r="E18" s="11"/>
      <c r="F18" s="11"/>
      <c r="G18" s="11"/>
      <c r="H18" s="11"/>
      <c r="I18" s="12"/>
      <c r="J18" s="2"/>
      <c r="K18" s="3" t="s">
        <v>35</v>
      </c>
      <c r="L18" s="4">
        <v>45922</v>
      </c>
      <c r="M18" s="4">
        <v>45926</v>
      </c>
      <c r="N18" s="13"/>
    </row>
    <row r="19" spans="1:14">
      <c r="A19" s="6">
        <f>A18+1</f>
        <v>18</v>
      </c>
      <c r="B19" s="34"/>
      <c r="C19" s="8" t="s">
        <v>55</v>
      </c>
      <c r="D19" s="8"/>
      <c r="E19" s="8"/>
      <c r="F19" s="8"/>
      <c r="G19" s="8"/>
      <c r="H19" s="8"/>
      <c r="I19" s="9"/>
      <c r="J19" s="2"/>
      <c r="K19" s="3" t="s">
        <v>35</v>
      </c>
      <c r="L19" s="4">
        <v>45922</v>
      </c>
      <c r="M19" s="4">
        <v>45926</v>
      </c>
      <c r="N19" s="13"/>
    </row>
  </sheetData>
  <mergeCells count="13">
    <mergeCell ref="C10:I10"/>
    <mergeCell ref="C11:I11"/>
    <mergeCell ref="B12:B19"/>
    <mergeCell ref="C1:I1"/>
    <mergeCell ref="B2:B11"/>
    <mergeCell ref="C2:I2"/>
    <mergeCell ref="C3:I3"/>
    <mergeCell ref="C4:I4"/>
    <mergeCell ref="C5:I5"/>
    <mergeCell ref="C6:I6"/>
    <mergeCell ref="C7:I7"/>
    <mergeCell ref="C8:I8"/>
    <mergeCell ref="C9:I9"/>
  </mergeCells>
  <conditionalFormatting sqref="K1:K19">
    <cfRule type="cellIs" dxfId="2" priority="3" operator="equal">
      <formula>"done"</formula>
    </cfRule>
  </conditionalFormatting>
  <conditionalFormatting sqref="K2:K19">
    <cfRule type="cellIs" dxfId="1" priority="2" operator="equal">
      <formula>"Review"</formula>
    </cfRule>
  </conditionalFormatting>
  <conditionalFormatting sqref="K1:K1048576">
    <cfRule type="cellIs" dxfId="0" priority="1" operator="equal">
      <formula>"Doing"</formula>
    </cfRule>
  </conditionalFormatting>
  <dataValidations count="2">
    <dataValidation type="list" allowBlank="1" showInputMessage="1" showErrorMessage="1" sqref="K2:K5 K12 K18:K19" xr:uid="{80CF4CBC-1876-4C5F-A50F-23C966A85AAA}">
      <formula1>"Doing,Review,Test,Done,Backlog,Spike,Staging,Product,Closed"</formula1>
    </dataValidation>
    <dataValidation type="list" allowBlank="1" showInputMessage="1" showErrorMessage="1" sqref="K6:K11 K13:K17" xr:uid="{1225BB23-78D2-482B-A6E1-EC72A3C02A9E}">
      <formula1>"Doing,Review,Test,Done,Backlog"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DB62AE-4256-46EC-B1C3-AC1D0F6E3858}"/>
</file>

<file path=customXml/itemProps2.xml><?xml version="1.0" encoding="utf-8"?>
<ds:datastoreItem xmlns:ds="http://schemas.openxmlformats.org/officeDocument/2006/customXml" ds:itemID="{2399BC8C-682C-41CE-BDB7-ABB3EFC5F3BE}"/>
</file>

<file path=customXml/itemProps3.xml><?xml version="1.0" encoding="utf-8"?>
<ds:datastoreItem xmlns:ds="http://schemas.openxmlformats.org/officeDocument/2006/customXml" ds:itemID="{CD47A735-9183-4C91-9DE4-A794E218DE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Van Dat</dc:creator>
  <cp:keywords/>
  <dc:description/>
  <cp:lastModifiedBy>Tran Van Dat</cp:lastModifiedBy>
  <cp:revision/>
  <dcterms:created xsi:type="dcterms:W3CDTF">2025-07-16T09:07:45Z</dcterms:created>
  <dcterms:modified xsi:type="dcterms:W3CDTF">2025-09-19T04:07:56Z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