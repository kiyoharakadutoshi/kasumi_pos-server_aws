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Fujitsu\作業フォルダ\01_案件\01_ignicaPOS連携\02_作業\20250107_ST進捗報告\"/>
    </mc:Choice>
  </mc:AlternateContent>
  <xr:revisionPtr revIDLastSave="0" documentId="13_ncr:1_{47CAFB30-6653-4FB2-977E-4AB7A25BFD42}" xr6:coauthVersionLast="47" xr6:coauthVersionMax="47" xr10:uidLastSave="{00000000-0000-0000-0000-000000000000}"/>
  <bookViews>
    <workbookView xWindow="-108" yWindow="-108" windowWidth="23256" windowHeight="12576" tabRatio="789"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8" i="66" l="1"/>
  <c r="U78" i="66"/>
  <c r="T78" i="66"/>
  <c r="V18" i="69"/>
  <c r="U18" i="69"/>
  <c r="T18" i="69"/>
  <c r="V24" i="71"/>
  <c r="U24" i="71"/>
  <c r="T24" i="71"/>
  <c r="V249" i="70"/>
  <c r="U249" i="70"/>
  <c r="T249" i="70"/>
  <c r="V24" i="68"/>
  <c r="U24" i="68"/>
  <c r="T24" i="68"/>
  <c r="V24" i="67"/>
  <c r="U24" i="67"/>
  <c r="T24" i="67"/>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<sst xmlns="http://schemas.openxmlformats.org/spreadsheetml/2006/main" count="3323" uniqueCount="942">
  <si>
    <t>いなげや様</t>
    <rPh sb="4" eb="5">
      <t>サマ</t>
    </rPh>
    <phoneticPr fontId="6"/>
  </si>
  <si>
    <t>ignicaPOS連携対応</t>
    <rPh sb="11" eb="13">
      <t>タイオウ</t>
    </rPh>
    <phoneticPr fontId="6"/>
  </si>
  <si>
    <t>ST仕様書兼完了報告書</t>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</si>
  <si>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</si>
  <si>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</si>
  <si>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</si>
  <si>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</si>
  <si>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</si>
  <si>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</si>
  <si>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</si>
  <si>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</si>
  <si>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</si>
  <si>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</si>
  <si>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</si>
  <si>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</si>
  <si>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</si>
  <si>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</si>
  <si>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</si>
  <si>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</si>
  <si>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</si>
  <si>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</si>
  <si>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</si>
  <si>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</si>
  <si>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</si>
  <si>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</si>
  <si>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</si>
  <si>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</si>
  <si>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</si>
  <si>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</si>
  <si>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</si>
  <si>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</si>
  <si>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</si>
  <si>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</si>
  <si>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</si>
  <si>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富士通POSとignicaPOSの売り上げデータが合算されていること</t>
    <rPh sb="0" eb="3">
      <t>フジツウ</t>
    </rPh>
    <rPh sb="17" eb="18">
      <t>ウ</t>
    </rPh>
    <rPh sb="19" eb="20">
      <t>ア</t>
    </rPh>
    <rPh sb="25" eb="27">
      <t>ガッサン</t>
    </rPh>
    <phoneticPr fontId="12"/>
  </si>
  <si>
    <t>〇</t>
  </si>
  <si>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</si>
  <si>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</si>
  <si>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</si>
  <si>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</si>
  <si>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</si>
  <si>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店別時間帯別販売実績(売上)</t>
    <rPh sb="0" eb="2">
      <t>ミセベツ</t>
    </rPh>
    <rPh sb="2" eb="6">
      <t>ジカンタイベツ</t>
    </rPh>
    <rPh sb="6" eb="8">
      <t>ハンバイ</t>
    </rPh>
    <rPh sb="8" eb="10">
      <t>ジッセキ</t>
    </rPh>
    <rPh sb="11" eb="13">
      <t>ウリアゲ</t>
    </rPh>
    <phoneticPr fontId="12"/>
  </si>
  <si>
    <t>単品別時間帯別値引実績</t>
    <rPh sb="0" eb="3">
      <t>タンピンベツ</t>
    </rPh>
    <rPh sb="3" eb="7">
      <t>ジカンタイベツ</t>
    </rPh>
    <rPh sb="7" eb="9">
      <t>ネビ</t>
    </rPh>
    <rPh sb="9" eb="11">
      <t>ジッセキ</t>
    </rPh>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</si>
  <si>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</si>
  <si>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</si>
  <si>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部門別時間帯別客数</t>
    <rPh sb="0" eb="3">
      <t>ブモンベツ</t>
    </rPh>
    <rPh sb="3" eb="7">
      <t>ジカンタイベツ</t>
    </rPh>
    <rPh sb="7" eb="9">
      <t>キャクスウ</t>
    </rPh>
    <phoneticPr fontId="12"/>
  </si>
  <si>
    <t>単品別時間帯別販売実績(ALL)</t>
    <rPh sb="0" eb="3">
      <t>タンピンベツ</t>
    </rPh>
    <rPh sb="3" eb="7">
      <t>ジカンタイベツ</t>
    </rPh>
    <rPh sb="7" eb="11">
      <t>ハンバイジッセキ</t>
    </rPh>
    <phoneticPr fontId="12"/>
  </si>
  <si>
    <t>CTKY_CCR_PLU_TM_SALE_ALL</t>
  </si>
  <si>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</si>
  <si>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</si>
  <si>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</si>
  <si>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</si>
  <si>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</si>
  <si>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</si>
  <si>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</si>
  <si>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</si>
  <si>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</si>
  <si>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CTKY_CCR_BMN_TM_DISC_ALL</t>
  </si>
  <si>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</si>
  <si>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</si>
  <si>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</si>
  <si>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</si>
  <si>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</si>
  <si>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</si>
  <si>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</si>
  <si>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</si>
  <si>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</si>
  <si>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</si>
  <si>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</si>
  <si>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時間帯別部門別実績データ</t>
    <rPh sb="0" eb="3">
      <t>ジカンタイ</t>
    </rPh>
    <rPh sb="3" eb="4">
      <t>ベツ</t>
    </rPh>
    <rPh sb="4" eb="6">
      <t>ブモン</t>
    </rPh>
    <rPh sb="6" eb="7">
      <t>ベツ</t>
    </rPh>
    <rPh sb="7" eb="9">
      <t>ジッセキ</t>
    </rPh>
    <phoneticPr fontId="1"/>
  </si>
  <si>
    <t>日別単品別実績データ</t>
    <rPh sb="0" eb="1">
      <t>ヒ</t>
    </rPh>
    <rPh sb="1" eb="2">
      <t>ベツ</t>
    </rPh>
    <rPh sb="2" eb="4">
      <t>タンピン</t>
    </rPh>
    <rPh sb="4" eb="5">
      <t>ベツ</t>
    </rPh>
    <rPh sb="5" eb="7">
      <t>ジッセキ</t>
    </rPh>
    <phoneticPr fontId="1"/>
  </si>
  <si>
    <t>SLSITEMDAY</t>
  </si>
  <si>
    <t>時間帯別単品実績データ</t>
    <rPh sb="0" eb="3">
      <t>ジカンタイ</t>
    </rPh>
    <rPh sb="3" eb="4">
      <t>ベツ</t>
    </rPh>
    <rPh sb="4" eb="6">
      <t>タンピン</t>
    </rPh>
    <rPh sb="6" eb="8">
      <t>ジッセキ</t>
    </rPh>
    <phoneticPr fontId="1"/>
  </si>
  <si>
    <t>ＭＩＯ実績データ</t>
    <rPh sb="3" eb="5">
      <t>ジッセキ</t>
    </rPh>
    <phoneticPr fontId="1"/>
  </si>
  <si>
    <t>Vカード宣言・Vカード支払いを実施</t>
    <rPh sb="4" eb="6">
      <t>センゲン</t>
    </rPh>
    <rPh sb="11" eb="13">
      <t>シハラ</t>
    </rPh>
    <rPh sb="15" eb="17">
      <t>ジッシ</t>
    </rPh>
    <phoneticPr fontId="12"/>
  </si>
  <si>
    <t>催事明細ログデータ</t>
    <rPh sb="0" eb="2">
      <t>サイジ</t>
    </rPh>
    <rPh sb="2" eb="4">
      <t>メイサイ</t>
    </rPh>
    <phoneticPr fontId="1"/>
  </si>
  <si>
    <t>売上報告（店売上）データ</t>
    <rPh sb="0" eb="2">
      <t>ウリアゲ</t>
    </rPh>
    <rPh sb="2" eb="4">
      <t>ホウコク</t>
    </rPh>
    <rPh sb="5" eb="6">
      <t>ミセ</t>
    </rPh>
    <rPh sb="6" eb="8">
      <t>ウリアゲ</t>
    </rPh>
    <phoneticPr fontId="1"/>
  </si>
  <si>
    <t>売上報告（部門売上）データ</t>
    <rPh sb="0" eb="2">
      <t>ウリアゲ</t>
    </rPh>
    <rPh sb="2" eb="4">
      <t>ホウコク</t>
    </rPh>
    <rPh sb="5" eb="7">
      <t>ブモン</t>
    </rPh>
    <rPh sb="7" eb="9">
      <t>ウリアゲ</t>
    </rPh>
    <phoneticPr fontId="1"/>
  </si>
  <si>
    <t>レジスター精算データ</t>
    <rPh sb="5" eb="7">
      <t>セイサン</t>
    </rPh>
    <phoneticPr fontId="1"/>
  </si>
  <si>
    <t>レジスター精算（店売上）データ</t>
    <rPh sb="5" eb="7">
      <t>セイサン</t>
    </rPh>
    <rPh sb="8" eb="9">
      <t>ミセ</t>
    </rPh>
    <rPh sb="9" eb="11">
      <t>ウリアゲ</t>
    </rPh>
    <phoneticPr fontId="1"/>
  </si>
  <si>
    <t>レジスター精算（部門売上）データ</t>
    <rPh sb="5" eb="7">
      <t>セイサン</t>
    </rPh>
    <rPh sb="8" eb="10">
      <t>ブモン</t>
    </rPh>
    <rPh sb="10" eb="12">
      <t>ウリアゲ</t>
    </rPh>
    <phoneticPr fontId="1"/>
  </si>
  <si>
    <t>入出金明細データ</t>
    <rPh sb="0" eb="3">
      <t>ニュウシュッキン</t>
    </rPh>
    <rPh sb="3" eb="5">
      <t>メイサイ</t>
    </rPh>
    <phoneticPr fontId="1"/>
  </si>
  <si>
    <t>小計割引実績ファイル</t>
    <rPh sb="0" eb="1">
      <t>ショウ</t>
    </rPh>
    <rPh sb="1" eb="2">
      <t>ケイ</t>
    </rPh>
    <rPh sb="2" eb="4">
      <t>ワリビキ</t>
    </rPh>
    <rPh sb="4" eb="6">
      <t>ジッセキ</t>
    </rPh>
    <phoneticPr fontId="1"/>
  </si>
  <si>
    <t>単品付与実績データ</t>
    <rPh sb="0" eb="2">
      <t>タンピン</t>
    </rPh>
    <rPh sb="2" eb="4">
      <t>フヨ</t>
    </rPh>
    <rPh sb="4" eb="6">
      <t>ジッセキ</t>
    </rPh>
    <phoneticPr fontId="1"/>
  </si>
  <si>
    <t>日別単品別実績データ（部門・ｸﾗｽ）</t>
    <rPh sb="0" eb="1">
      <t>ヒ</t>
    </rPh>
    <rPh sb="1" eb="2">
      <t>ベツ</t>
    </rPh>
    <rPh sb="2" eb="4">
      <t>タンピン</t>
    </rPh>
    <rPh sb="4" eb="5">
      <t>ベツ</t>
    </rPh>
    <rPh sb="5" eb="7">
      <t>ジッセキ</t>
    </rPh>
    <rPh sb="11" eb="13">
      <t>ブモン</t>
    </rPh>
    <phoneticPr fontId="1"/>
  </si>
  <si>
    <t>クレジット明細データ（DMPS）</t>
    <rPh sb="5" eb="7">
      <t>メイサイ</t>
    </rPh>
    <phoneticPr fontId="1"/>
  </si>
  <si>
    <t>夜間バッチ処理にてデータファイル作成</t>
    <rPh sb="0" eb="2">
      <t>ヤカン</t>
    </rPh>
    <rPh sb="5" eb="7">
      <t>ショリ</t>
    </rPh>
    <rPh sb="16" eb="18">
      <t>サクセイ</t>
    </rPh>
    <phoneticPr fontId="12"/>
  </si>
  <si>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</si>
  <si>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</si>
  <si>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</si>
  <si>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</si>
  <si>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</si>
  <si>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</si>
  <si>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</si>
  <si>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</si>
  <si>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</si>
  <si>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</si>
  <si>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180号店</t>
    <rPh sb="3" eb="5">
      <t>ゴウテン</t>
    </rPh>
    <phoneticPr fontId="12"/>
  </si>
  <si>
    <t>精算確定報</t>
    <rPh sb="0" eb="5">
      <t>セイサンカクテイホウ</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</si>
  <si>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</si>
  <si>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t>
  </si>
  <si>
    <t>○</t>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</si>
  <si>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</si>
  <si>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</si>
  <si>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前日日付のレジマイナス集計レポートが出力されること</t>
    <rPh sb="0" eb="2">
      <t>ゼンジツ</t>
    </rPh>
    <rPh sb="2" eb="4">
      <t>ヒヅケ</t>
    </rPh>
    <rPh sb="11" eb="13">
      <t>シュウケイ</t>
    </rPh>
    <rPh sb="18" eb="20">
      <t>シュツリョク</t>
    </rPh>
    <phoneticPr fontId="12"/>
  </si>
  <si>
    <t>ポイント業務チェックリスト</t>
    <rPh sb="4" eb="6">
      <t>ギョウム</t>
    </rPh>
    <phoneticPr fontId="12"/>
  </si>
  <si>
    <t>前日日付のポイント業務チェックリストが出力されること</t>
    <rPh sb="0" eb="2">
      <t>ゼンジツ</t>
    </rPh>
    <rPh sb="2" eb="4">
      <t>ヒヅケ</t>
    </rPh>
    <rPh sb="9" eb="11">
      <t>ギョウム</t>
    </rPh>
    <rPh sb="19" eb="21">
      <t>シュツリョク</t>
    </rPh>
    <phoneticPr fontId="12"/>
  </si>
  <si>
    <t>219号店</t>
    <rPh sb="3" eb="5">
      <t>ゴウテン</t>
    </rPh>
    <phoneticPr fontId="12"/>
  </si>
  <si>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</si>
  <si>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</si>
  <si>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</si>
  <si>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</si>
  <si>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</si>
  <si>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</si>
  <si>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</si>
  <si>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</si>
  <si>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</si>
  <si>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</si>
  <si>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</si>
  <si>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</si>
  <si>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</si>
  <si>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</si>
  <si>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</si>
  <si>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</si>
  <si>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</si>
  <si>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</si>
  <si>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</si>
  <si>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</si>
  <si>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</si>
  <si>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例）10円玉50枚
1:0,5:0,10:50,50:0,100:0,500:0;1000:0,2000:0,5000:0,10000:0</t>
    <rPh sb="0" eb="1">
      <t>レイ</t>
    </rPh>
    <rPh sb="4" eb="6">
      <t>エンダマ</t>
    </rPh>
    <rPh sb="8" eb="9">
      <t>マイ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</si>
  <si>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</si>
  <si>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</si>
  <si>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</si>
  <si>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</si>
  <si>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</si>
  <si>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</si>
  <si>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</si>
  <si>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</si>
  <si>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</si>
  <si>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</si>
  <si>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</si>
  <si>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</si>
  <si>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</si>
  <si>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</si>
  <si>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</si>
  <si>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</si>
  <si>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</si>
  <si>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</si>
  <si>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</si>
  <si>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</si>
  <si>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</si>
  <si>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</si>
  <si>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</si>
  <si>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</si>
  <si>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</si>
  <si>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</si>
  <si>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</si>
  <si>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</si>
  <si>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</si>
  <si>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</si>
  <si>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</si>
  <si>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</si>
  <si>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</si>
  <si>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</si>
  <si>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</si>
  <si>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</si>
  <si>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</si>
  <si>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t>
    <phoneticPr fontId="12"/>
  </si>
  <si>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</si>
  <si>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</si>
  <si>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</si>
  <si>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</si>
  <si>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</si>
  <si>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</si>
  <si>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</si>
  <si>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</si>
  <si>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</si>
  <si>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</si>
  <si>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</si>
  <si>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</si>
  <si>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</si>
  <si>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</si>
  <si>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</si>
  <si>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</si>
  <si>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</si>
  <si>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</si>
  <si>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</si>
  <si>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</si>
  <si>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</si>
  <si>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</si>
  <si>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</si>
  <si>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</si>
  <si>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</si>
  <si>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</si>
  <si>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</si>
  <si>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</si>
  <si>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</si>
  <si>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</si>
  <si>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桁数</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</si>
  <si>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</si>
  <si>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</si>
  <si>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</si>
  <si>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</si>
  <si>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</si>
  <si>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</si>
  <si>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</si>
  <si>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"1"固定となっていること</t>
    <phoneticPr fontId="12"/>
  </si>
  <si>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</si>
  <si>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</si>
  <si>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</si>
  <si>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</si>
  <si>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</si>
  <si>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</si>
  <si>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</si>
  <si>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</si>
  <si>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</si>
  <si>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</si>
  <si>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</si>
  <si>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</si>
  <si>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</si>
  <si>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</si>
  <si>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</si>
  <si>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</si>
  <si>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</si>
  <si>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</si>
  <si>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</si>
  <si>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</si>
  <si>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</si>
  <si>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</si>
  <si>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</si>
  <si>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</si>
  <si>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</si>
  <si>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</si>
  <si>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</si>
  <si>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</si>
  <si>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</si>
  <si>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</si>
  <si>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</si>
  <si>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</si>
  <si>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</si>
  <si>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</si>
  <si>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</si>
  <si>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</si>
  <si>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</si>
  <si>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</si>
  <si>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</si>
  <si>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</si>
  <si>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</si>
  <si>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</si>
  <si>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</si>
  <si>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</si>
  <si>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</si>
  <si>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</si>
  <si>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</si>
  <si>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</si>
  <si>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</si>
  <si>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</si>
  <si>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</si>
  <si>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</si>
  <si>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</si>
  <si>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</si>
  <si>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</si>
  <si>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</si>
  <si>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</si>
  <si>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</si>
  <si>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</si>
  <si>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</si>
  <si>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</si>
  <si>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</si>
  <si>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</si>
  <si>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</si>
  <si>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</si>
  <si>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</si>
  <si>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</si>
  <si>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</si>
  <si>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</si>
  <si>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</si>
  <si>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</si>
  <si>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</si>
  <si>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</si>
  <si>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</si>
  <si>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</si>
  <si>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</si>
  <si>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</si>
  <si>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</si>
  <si>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</si>
  <si>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</si>
  <si>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</si>
  <si>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</si>
  <si>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</si>
  <si>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</si>
  <si>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</si>
  <si>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</si>
  <si>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</si>
  <si>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</si>
  <si>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</si>
  <si>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</si>
  <si>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</si>
  <si>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</si>
  <si>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カード情報</t>
    <rPh sb="3" eb="5">
      <t>ジョウホウ</t>
    </rPh>
    <phoneticPr fontId="4"/>
  </si>
  <si>
    <t>バーコード情報を設定。（表B参照）
残りにスペースを設定する</t>
    <rPh sb="5" eb="7">
      <t>ジョウホウ</t>
    </rPh>
    <rPh sb="8" eb="10">
      <t>セッテイ</t>
    </rPh>
    <phoneticPr fontId="4"/>
  </si>
  <si>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</si>
  <si>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</si>
  <si>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</si>
  <si>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</si>
  <si>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</si>
  <si>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</si>
  <si>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</si>
  <si>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</si>
  <si>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</si>
  <si>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</si>
  <si>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</si>
  <si>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</si>
  <si>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</si>
  <si>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</si>
  <si>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</si>
  <si>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</si>
  <si>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</si>
  <si>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</si>
  <si>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</si>
  <si>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</si>
  <si>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</si>
  <si>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</si>
  <si>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</si>
  <si>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</si>
  <si>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</si>
  <si>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</si>
  <si>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</si>
  <si>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</si>
  <si>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</si>
  <si>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</si>
  <si>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</si>
  <si>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</si>
  <si>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</si>
  <si>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〇</t>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</si>
  <si>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</si>
  <si>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</si>
  <si>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</si>
  <si>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</si>
  <si>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</si>
  <si>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</si>
  <si>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</si>
  <si>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</si>
  <si>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</si>
  <si>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</si>
  <si>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</si>
  <si>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</si>
  <si>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</si>
  <si>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</si>
  <si>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</si>
  <si>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</si>
  <si>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</si>
  <si>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</si>
  <si>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</si>
  <si>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</si>
  <si>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</si>
  <si>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</si>
  <si>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</si>
  <si>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</si>
  <si>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</si>
  <si>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</si>
  <si>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</si>
  <si>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</si>
  <si>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</si>
  <si>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</si>
  <si>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</si>
  <si>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</si>
  <si>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</si>
  <si>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</si>
  <si>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</si>
  <si>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</si>
  <si>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</si>
  <si>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</si>
  <si>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</si>
  <si>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</si>
  <si>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</si>
  <si>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</si>
  <si>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</si>
  <si>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</si>
  <si>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</si>
  <si>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</si>
  <si>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</si>
  <si>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</si>
  <si>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</si>
  <si>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</si>
  <si>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</si>
  <si>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</si>
  <si>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</si>
  <si>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</si>
  <si>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</si>
  <si>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</si>
  <si>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</si>
  <si>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</si>
  <si>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</si>
  <si>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</si>
  <si>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</si>
  <si>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</si>
  <si>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</si>
  <si>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</si>
  <si>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</si>
  <si>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</si>
  <si>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</si>
  <si>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</si>
  <si>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</si>
  <si>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</si>
  <si>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</si>
  <si>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</si>
  <si>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</si>
  <si>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</si>
  <si>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</si>
  <si>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</si>
  <si>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</si>
  <si>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</si>
  <si>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</si>
  <si>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</si>
  <si>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</si>
  <si>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</si>
  <si>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PayPay</t>
  </si>
  <si>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</si>
  <si>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</si>
  <si>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</si>
  <si>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</si>
  <si>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</si>
  <si>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</si>
  <si>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</si>
  <si>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</si>
  <si>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</si>
  <si>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</si>
  <si>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</si>
  <si>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</si>
  <si>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</si>
  <si>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</si>
  <si>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</si>
  <si>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</si>
  <si>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</si>
  <si>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</si>
  <si>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</si>
  <si>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</si>
  <si>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</si>
  <si>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</si>
  <si>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</si>
  <si>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</si>
  <si>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メルペイ</t>
  </si>
  <si>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</si>
  <si>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</si>
  <si>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</si>
  <si>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</si>
  <si>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</si>
  <si>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</si>
  <si>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</si>
  <si>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</si>
  <si>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</si>
  <si>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</si>
  <si>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</si>
  <si>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</si>
  <si>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</si>
  <si>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</si>
  <si>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</si>
  <si>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</si>
  <si>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</si>
  <si>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</si>
  <si>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</si>
  <si>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</si>
  <si>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</si>
  <si>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</si>
  <si>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</si>
  <si>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</si>
  <si>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</si>
  <si>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</si>
  <si>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</si>
  <si>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</si>
  <si>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</si>
  <si>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</si>
  <si>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</si>
  <si>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</si>
  <si>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</si>
  <si>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</si>
  <si>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</si>
  <si>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</si>
  <si>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</si>
  <si>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</si>
  <si>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</si>
  <si>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</si>
  <si>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</si>
  <si>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</si>
  <si>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</si>
  <si>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</si>
  <si>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</si>
  <si>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</si>
  <si>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</si>
  <si>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</si>
  <si>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</si>
  <si>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</si>
  <si>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</si>
  <si>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</si>
  <si>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</si>
  <si>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</si>
  <si>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</si>
  <si>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</si>
  <si>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</si>
  <si>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</si>
  <si>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</si>
  <si>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</si>
  <si>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</si>
  <si>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</si>
  <si>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</si>
  <si>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</si>
  <si>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</si>
  <si>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</si>
  <si>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</si>
  <si>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</si>
  <si>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</si>
  <si>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</si>
  <si>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</si>
  <si>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</si>
  <si>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</si>
  <si>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</si>
  <si>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他社クレジット、Vカードでの売上を実施</t>
    <rPh sb="0" eb="2">
      <t>タシャ</t>
    </rPh>
    <rPh sb="14" eb="16">
      <t>ウリアゲ</t>
    </rPh>
    <rPh sb="17" eb="19">
      <t>ジッシ</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</si>
  <si>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</si>
  <si>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さんにち割を設定して売上をあげる</t>
    <rPh sb="4" eb="5">
      <t>ワリ</t>
    </rPh>
    <rPh sb="6" eb="8">
      <t>セッテイ</t>
    </rPh>
    <rPh sb="10" eb="12">
      <t>ウリアゲ</t>
    </rPh>
    <phoneticPr fontId="12"/>
  </si>
  <si>
    <t>Xモード：入金、Zモード：出金を実施する</t>
    <rPh sb="5" eb="7">
      <t>ニュウキン</t>
    </rPh>
    <rPh sb="13" eb="15">
      <t>シュッキン</t>
    </rPh>
    <rPh sb="16" eb="18">
      <t>ジッシ</t>
    </rPh>
    <phoneticPr fontId="12"/>
  </si>
  <si>
    <t>ポイントプラスを商品に設定して売上をあげる</t>
    <rPh sb="8" eb="10">
      <t>ショウヒン</t>
    </rPh>
    <rPh sb="11" eb="13">
      <t>セッテイ</t>
    </rPh>
    <rPh sb="15" eb="17">
      <t>ウリアゲ</t>
    </rPh>
    <phoneticPr fontId="12"/>
  </si>
  <si>
    <t>POSで精算を実施する</t>
    <rPh sb="4" eb="6">
      <t>セイサン</t>
    </rPh>
    <rPh sb="7" eb="9">
      <t>ジッシ</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</si>
  <si>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</si>
  <si>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</si>
  <si>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</si>
  <si>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</si>
  <si>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</si>
  <si>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テスト用企画を作成して売上をあげる</t>
    <rPh sb="3" eb="4">
      <t>ヨウ</t>
    </rPh>
    <rPh sb="4" eb="6">
      <t>キカク</t>
    </rPh>
    <rPh sb="7" eb="9">
      <t>サクセイ</t>
    </rPh>
    <rPh sb="11" eb="13">
      <t>ウリアゲ</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</si>
  <si>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</si>
  <si>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CTKY_CCR_PLU_TM_SALE</t>
    <phoneticPr fontId="12"/>
  </si>
  <si>
    <t>C:\CTKY\Data\CCR_Send
CTKY_CCR_BMN_TM_SALE</t>
    <phoneticPr fontId="12"/>
  </si>
  <si>
    <t>C:\CTKY\Data\CCR_Send
CTKY_CCR_TRN_TM_COM</t>
    <phoneticPr fontId="12"/>
  </si>
  <si>
    <t>C:\CTKY\Data\CCR_Send
CTKY_CCR_TRN_TM_SALE</t>
    <phoneticPr fontId="12"/>
  </si>
  <si>
    <t>C:\CTKY\Data\CCR_Send
CTKY_CCR_PLU_TM_DISC</t>
    <phoneticPr fontId="12"/>
  </si>
  <si>
    <t>C:\CTKY\Data\CCR_Send
CTKY_CCR_BMN_TM_DISC</t>
    <phoneticPr fontId="12"/>
  </si>
  <si>
    <t>C:\CTKY\Data\CCR_Send
CTKY_CCR_BMN_TM_COM</t>
    <phoneticPr fontId="12"/>
  </si>
  <si>
    <t>CTKY_CCR_BMN_TM_SALE_ALL</t>
    <phoneticPr fontId="12"/>
  </si>
  <si>
    <t>C:\siams\bat\file\cms\sendbak\bakyyyymmdd
ALL_TRANSACTION.DAT</t>
    <phoneticPr fontId="12"/>
  </si>
  <si>
    <t>C:\siams\bat\file\cms\sendbak\bakyyyymmdd
SLSDPTDAY</t>
    <phoneticPr fontId="12"/>
  </si>
  <si>
    <t>C:\siams\bat\file\cms\sendbak\bakyyyymmdd
SLSDPTTIME</t>
    <phoneticPr fontId="12"/>
  </si>
  <si>
    <t>C:\siams\bat\file\cms\sendbak\bakyyyymmdd
SLSITEMDAY</t>
    <phoneticPr fontId="12"/>
  </si>
  <si>
    <t>C:\siams\bat\file\cms\sendbak\bakyyyymmdd
SLSITEMTIME</t>
    <phoneticPr fontId="12"/>
  </si>
  <si>
    <t>C:\siams\bat\file\cms\sendbak\bakyyyymmdd
SLSMIO</t>
    <phoneticPr fontId="12"/>
  </si>
  <si>
    <t>C:\siams\bat\file\cms\sendbak\bakyyyymmdd
EVNTDTLLOG</t>
    <phoneticPr fontId="12"/>
  </si>
  <si>
    <t>C:\siams\bat\file\cms\sendbak\bakyyyymmdd
RPTSLSSTOR</t>
    <phoneticPr fontId="12"/>
  </si>
  <si>
    <t>C:\siams\bat\file\cms\sendbak\bakyyyymmdd
RPTSLSDPT</t>
    <phoneticPr fontId="12"/>
  </si>
  <si>
    <t>C:\siams\bat\file\cms\sendbak\bakyyyymmdd
ACTREGI</t>
    <phoneticPr fontId="12"/>
  </si>
  <si>
    <t>C:\siams\bat\file\cms\sendbak\bakyyyymmdd
ACTSTOR</t>
    <phoneticPr fontId="12"/>
  </si>
  <si>
    <t>C:\siams\bat\file\cms\sendbak\bakyyyymmdd
ACTDPT</t>
    <phoneticPr fontId="12"/>
  </si>
  <si>
    <t>C:\siams\bat\file\cms\sendbak\bakyyyymmdd
RSTYDTL</t>
    <phoneticPr fontId="12"/>
  </si>
  <si>
    <t>C:\siams\bat\file\cms\sendbak\bakyyyymmdd
CTKY_SUBDISC_DATA.dat</t>
    <phoneticPr fontId="12"/>
  </si>
  <si>
    <t>C:\siams\bat\file\cms\sendbak\bakyyyymmdd
CTKY_ITEM_ADD_DATA.txt</t>
    <phoneticPr fontId="12"/>
  </si>
  <si>
    <t>C:\siams\bat\file\cms\sendbak\bakyyyymmdd
SLSITEMDAYADD</t>
    <phoneticPr fontId="12"/>
  </si>
  <si>
    <t>C:\siams\bat\file\cms\sendbak\bakyyyymmdd
CR_TRAN.DAT</t>
    <phoneticPr fontId="12"/>
  </si>
  <si>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</si>
  <si>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</si>
  <si>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</si>
  <si>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</si>
  <si>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</si>
  <si>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</si>
  <si>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</si>
  <si>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</si>
  <si>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</si>
  <si>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</si>
  <si>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</si>
  <si>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</si>
  <si>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</si>
  <si>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</si>
  <si>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</si>
  <si>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</si>
  <si>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</si>
  <si>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</si>
  <si>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</si>
  <si>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</si>
  <si>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</si>
  <si>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</si>
  <si>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</si>
  <si>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</si>
  <si>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</si>
  <si>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</si>
  <si>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</si>
  <si>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</si>
  <si>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</si>
  <si>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</si>
  <si>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</si>
  <si>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</si>
  <si>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</si>
  <si>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</si>
  <si>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</si>
  <si>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</si>
  <si>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</si>
  <si>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</si>
  <si>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</si>
  <si>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</si>
  <si>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</si>
  <si>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</si>
  <si>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</si>
  <si>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</si>
  <si>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</si>
  <si>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</si>
  <si>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</si>
  <si>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</si>
  <si>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</si>
  <si>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</si>
  <si>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</si>
  <si>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</si>
  <si>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</si>
  <si>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</si>
  <si>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</si>
  <si>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</si>
  <si>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</si>
  <si>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</si>
  <si>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</si>
  <si>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</si>
  <si>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</si>
  <si>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</si>
  <si>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</si>
  <si>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</si>
  <si>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</si>
  <si>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</si>
  <si>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</si>
  <si>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</si>
  <si>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</si>
  <si>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</si>
  <si>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</si>
  <si>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</si>
  <si>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</si>
  <si>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</si>
  <si>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</si>
  <si>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</si>
  <si>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</si>
  <si>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</si>
  <si>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</si>
  <si>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</si>
  <si>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</si>
  <si>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</si>
  <si>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</si>
  <si>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</si>
  <si>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</si>
  <si>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</si>
  <si>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</si>
  <si>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</si>
  <si>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</si>
  <si>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</si>
  <si>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</si>
  <si>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</si>
  <si>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</si>
  <si>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</si>
  <si>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</si>
  <si>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</si>
  <si>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</si>
  <si>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</si>
  <si>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</si>
  <si>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</si>
  <si>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</si>
  <si>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</si>
  <si>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</si>
  <si>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</si>
  <si>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</si>
  <si>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</si>
  <si>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</si>
  <si>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</si>
  <si>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</si>
  <si>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</si>
  <si>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</si>
  <si>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</si>
  <si>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</si>
  <si>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</si>
  <si>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</si>
  <si>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</si>
  <si>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</si>
  <si>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</si>
  <si>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</si>
  <si>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</si>
  <si>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</si>
  <si>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</si>
  <si>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</si>
  <si>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</si>
  <si>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</si>
  <si>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</si>
  <si>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</si>
  <si>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</si>
  <si>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</si>
  <si>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</si>
  <si>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</si>
  <si>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</si>
  <si>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</si>
  <si>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</si>
  <si>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</si>
  <si>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</si>
  <si>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</si>
  <si>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</si>
  <si>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</si>
  <si>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</si>
  <si>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</si>
  <si>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</si>
  <si>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</si>
  <si>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</si>
  <si>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</si>
  <si>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</si>
  <si>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</si>
  <si>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</si>
  <si>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</si>
  <si>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</si>
  <si>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</si>
  <si>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</si>
  <si>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</si>
  <si>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</si>
  <si>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</si>
  <si>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</si>
  <si>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</si>
  <si>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</si>
  <si>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</si>
  <si>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</si>
  <si>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</si>
  <si>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</si>
  <si>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</si>
  <si>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</si>
  <si>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</si>
  <si>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</si>
  <si>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</si>
  <si>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</si>
  <si>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</si>
  <si>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</si>
  <si>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</si>
  <si>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</si>
  <si>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</si>
  <si>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</si>
  <si>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</si>
  <si>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</si>
  <si>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</si>
  <si>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</si>
  <si>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</si>
  <si>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</si>
  <si>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</si>
  <si>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</si>
  <si>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</si>
  <si>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</si>
  <si>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</si>
  <si>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</si>
  <si>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</si>
  <si>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</si>
  <si>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</si>
  <si>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</si>
  <si>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</si>
  <si>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</si>
  <si>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</si>
  <si>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</si>
  <si>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</si>
  <si>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</si>
  <si>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</si>
  <si>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</si>
  <si>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</si>
  <si>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</si>
  <si>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</si>
  <si>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</si>
  <si>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</si>
  <si>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</si>
  <si>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</si>
  <si>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</si>
  <si>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</si>
  <si>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</si>
  <si>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</si>
  <si>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</si>
  <si>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</si>
  <si>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</si>
  <si>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</si>
  <si>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</si>
  <si>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</si>
  <si>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</si>
  <si>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※2023/10/4 レコード追加</t>
    <rPh sb="15" eb="17">
      <t>ツイカ</t>
    </rPh>
    <phoneticPr fontId="28"/>
  </si>
  <si>
    <t>d払い</t>
  </si>
  <si>
    <t>LINE Pay</t>
  </si>
  <si>
    <t>au Pay</t>
  </si>
  <si>
    <t>楽天ペイ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</si>
  <si>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</si>
  <si>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</si>
  <si>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</si>
  <si>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</si>
  <si>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</si>
  <si>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</si>
  <si>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</si>
  <si>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</si>
  <si>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</si>
  <si>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</si>
  <si>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</si>
  <si>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</si>
  <si>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</si>
  <si>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</si>
  <si>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</si>
  <si>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</si>
  <si>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</si>
  <si>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</si>
  <si>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</si>
  <si>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</si>
  <si>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</si>
  <si>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</si>
  <si>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</si>
  <si>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</si>
  <si>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</si>
  <si>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</si>
  <si>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</si>
  <si>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</si>
  <si>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</si>
  <si>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</si>
  <si>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</si>
  <si>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</si>
  <si>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</si>
  <si>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</si>
  <si>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</si>
  <si>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</si>
  <si>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</si>
  <si>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</si>
  <si>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</si>
  <si>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</si>
  <si>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</si>
  <si>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</si>
  <si>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</si>
  <si>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</si>
  <si>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</si>
  <si>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</si>
  <si>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</si>
  <si>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</si>
  <si>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</si>
  <si>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</si>
  <si>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</si>
  <si>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</si>
  <si>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</si>
  <si>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</si>
  <si>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</si>
  <si>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</si>
  <si>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</si>
  <si>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</si>
  <si>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</si>
  <si>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</si>
  <si>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</si>
  <si>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</si>
  <si>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</si>
  <si>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</si>
  <si>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</si>
  <si>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</si>
  <si>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</si>
  <si>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</si>
  <si>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</si>
  <si>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</si>
  <si>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</si>
  <si>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</si>
  <si>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</si>
  <si>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</si>
  <si>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</si>
  <si>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</si>
  <si>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</si>
  <si>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</si>
  <si>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</si>
  <si>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</si>
  <si>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</si>
  <si>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</si>
  <si>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</si>
  <si>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</si>
  <si>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</si>
  <si>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</si>
  <si>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</si>
  <si>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</si>
  <si>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</si>
  <si>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</si>
  <si>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</si>
  <si>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</si>
  <si>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</si>
  <si>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</si>
  <si>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</si>
  <si>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</si>
  <si>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</si>
  <si>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</si>
  <si>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</si>
  <si>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</si>
  <si>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</si>
  <si>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</si>
  <si>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</si>
  <si>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</si>
  <si>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</si>
  <si>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</si>
  <si>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</si>
  <si>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</si>
  <si>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</si>
  <si>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</si>
  <si>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</si>
  <si>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</si>
  <si>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</si>
  <si>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</si>
  <si>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</si>
  <si>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</si>
  <si>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</si>
  <si>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</si>
  <si>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</si>
  <si>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</si>
  <si>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</si>
  <si>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</si>
  <si>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</si>
  <si>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</si>
  <si>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</si>
  <si>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</si>
  <si>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</si>
  <si>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</si>
  <si>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</si>
  <si>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</si>
  <si>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</si>
  <si>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</si>
  <si>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</si>
  <si>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</si>
  <si>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</si>
  <si>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</si>
  <si>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</si>
  <si>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</si>
  <si>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</si>
  <si>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</si>
  <si>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</si>
  <si>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</si>
  <si>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</si>
  <si>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第0.1版　2024年10月9日</t>
    <rPh sb="4" eb="5">
      <t>バン</t>
    </rPh>
    <rPh sb="13" eb="14">
      <t>ガツ</t>
    </rPh>
    <phoneticPr fontId="6"/>
  </si>
  <si>
    <t>外部連携テスト</t>
    <rPh sb="0" eb="4">
      <t>ガイブレンケイ</t>
    </rPh>
    <phoneticPr fontId="6"/>
  </si>
  <si>
    <t>【参考】入出金マスタ</t>
  </si>
  <si>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</si>
  <si>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精算確定報を出力後、「印刷」ボタン押下</t>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</si>
  <si>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</si>
  <si>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</si>
  <si>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精算確定報を出力後、「印刷」ボタン押下</t>
    <rPh sb="0" eb="5">
      <t>セイサンカクテイホウ</t>
    </rPh>
    <rPh sb="6" eb="9">
      <t>シュツリョクゴ</t>
    </rPh>
    <rPh sb="11" eb="13">
      <t>インサツ</t>
    </rPh>
    <rPh sb="17" eb="19">
      <t>オウカ</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</si>
  <si>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</si>
  <si>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ignicaPOSでの売り上げに対して富士通POSで
以下の操作を実施
・取引中止
・レジマイナス
・通番取消
・通番修正</t>
    <rPh sb="16" eb="17">
      <t>タイ</t>
    </rPh>
    <phoneticPr fontId="12"/>
  </si>
  <si>
    <t>ignicaPOSでの売り上げに対して富士通POSで
ポイント修正を実施</t>
    <rPh sb="16" eb="17">
      <t>タイ</t>
    </rPh>
    <rPh sb="34" eb="36">
      <t>ジッシ</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</si>
  <si>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</si>
  <si>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ポイント修正がチェックリストに集計されていること</t>
    <rPh sb="4" eb="6">
      <t>シュウセイ</t>
    </rPh>
    <rPh sb="15" eb="17">
      <t>シュウケイ</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</si>
  <si>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</si>
  <si>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</si>
  <si>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</si>
  <si>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</si>
  <si>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</si>
  <si>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</si>
  <si>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Txt_PluTmPr60.txt</t>
    <phoneticPr fontId="12"/>
  </si>
  <si>
    <t>テスト
予定日</t>
    <rPh sb="4" eb="6">
      <t>ヨテイ</t>
    </rPh>
    <rPh sb="6" eb="7">
      <t>ニチ</t>
    </rPh>
    <phoneticPr fontId="12"/>
  </si>
  <si>
    <t>テスト
予定日</t>
    <rPh sb="4" eb="7">
      <t>ヨテイビ</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</si>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</sst>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189">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xf numFmtId="0" fontId="27" fillId="8" borderId="3" xfId="10" applyFont="1" applyFill="1" applyBorder="1" applyAlignment="1">
      <alignment horizontal="center" vertical="center"/>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tabSelected="1"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43" t="s">
        <v>1</v>
      </c>
      <c r="D7" s="144"/>
      <c r="E7" s="144"/>
      <c r="F7" s="144"/>
      <c r="G7" s="144"/>
      <c r="H7" s="144"/>
      <c r="I7" s="144"/>
      <c r="J7" s="144"/>
      <c r="K7" s="145"/>
    </row>
    <row r="8" spans="3:11" ht="15" customHeight="1">
      <c r="C8" s="16"/>
      <c r="D8" s="17"/>
      <c r="E8" s="17"/>
      <c r="F8" s="17"/>
      <c r="G8" s="17"/>
      <c r="H8" s="17"/>
      <c r="I8" s="17"/>
      <c r="J8" s="17"/>
      <c r="K8" s="18"/>
    </row>
    <row r="9" spans="3:11" ht="35.4">
      <c r="C9" s="140" t="s">
        <v>2</v>
      </c>
      <c r="D9" s="141"/>
      <c r="E9" s="141"/>
      <c r="F9" s="141"/>
      <c r="G9" s="141"/>
      <c r="H9" s="141"/>
      <c r="I9" s="141"/>
      <c r="J9" s="141"/>
      <c r="K9" s="142"/>
    </row>
    <row r="10" spans="3:11" ht="35.4">
      <c r="C10" s="140" t="s">
        <v>920</v>
      </c>
      <c r="D10" s="141"/>
      <c r="E10" s="141"/>
      <c r="F10" s="141"/>
      <c r="G10" s="141"/>
      <c r="H10" s="141"/>
      <c r="I10" s="141"/>
      <c r="J10" s="141"/>
      <c r="K10" s="142"/>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46" t="s">
        <v>919</v>
      </c>
      <c r="F18" s="146"/>
      <c r="G18" s="146"/>
      <c r="H18" s="146"/>
      <c r="I18" s="146"/>
    </row>
    <row r="19" spans="3:9" ht="15" customHeight="1"/>
    <row r="20" spans="3:9" ht="15" customHeight="1"/>
    <row r="21" spans="3:9" ht="18.600000000000001">
      <c r="C21" s="10"/>
      <c r="F21" s="147" t="s">
        <v>3</v>
      </c>
      <c r="G21" s="147"/>
      <c r="H21" s="147"/>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topLeftCell="D1" zoomScale="130" zoomScaleNormal="110" zoomScaleSheetLayoutView="130" workbookViewId="0">
      <pane ySplit="2" topLeftCell="A4" activePane="bottomLeft" state="frozen"/>
      <selection pane="bottomLeft" activeCell="E22" sqref="E22"/>
    </sheetView>
  </sheetViews>
  <sheetFormatPr defaultColWidth="9.375" defaultRowHeight="9" customHeight="1" outlineLevelCol="1"/>
  <cols>
    <col min="1" max="1" width="6.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54" t="s">
        <v>4</v>
      </c>
      <c r="B1" s="156" t="s">
        <v>5</v>
      </c>
      <c r="C1" s="158" t="s">
        <v>6</v>
      </c>
      <c r="D1" s="158" t="s">
        <v>7</v>
      </c>
      <c r="E1" s="160" t="s">
        <v>8</v>
      </c>
      <c r="F1" s="162" t="s">
        <v>9</v>
      </c>
      <c r="G1" s="170" t="s">
        <v>10</v>
      </c>
      <c r="H1" s="170"/>
      <c r="I1" s="170"/>
      <c r="J1" s="171"/>
      <c r="K1" s="172" t="s">
        <v>11</v>
      </c>
      <c r="L1" s="173"/>
      <c r="M1" s="173"/>
      <c r="N1" s="174"/>
      <c r="O1" s="174"/>
      <c r="P1" s="174"/>
      <c r="Q1" s="174"/>
      <c r="R1" s="174"/>
      <c r="S1" s="177" t="s">
        <v>939</v>
      </c>
      <c r="T1" s="170" t="s">
        <v>12</v>
      </c>
      <c r="U1" s="170"/>
      <c r="V1" s="170"/>
      <c r="W1" s="148" t="s">
        <v>13</v>
      </c>
      <c r="X1" s="148" t="s">
        <v>14</v>
      </c>
    </row>
    <row r="2" spans="1:24" s="1" customFormat="1" ht="22.8">
      <c r="A2" s="155"/>
      <c r="B2" s="157"/>
      <c r="C2" s="159"/>
      <c r="D2" s="159"/>
      <c r="E2" s="161"/>
      <c r="F2" s="163"/>
      <c r="G2" s="67" t="s">
        <v>15</v>
      </c>
      <c r="H2" s="68" t="s">
        <v>16</v>
      </c>
      <c r="I2" s="69" t="s">
        <v>17</v>
      </c>
      <c r="J2" s="69" t="s">
        <v>18</v>
      </c>
      <c r="K2" s="70" t="s">
        <v>15</v>
      </c>
      <c r="L2" s="69" t="s">
        <v>19</v>
      </c>
      <c r="M2" s="69" t="s">
        <v>20</v>
      </c>
      <c r="N2" s="69" t="s">
        <v>21</v>
      </c>
      <c r="O2" s="69" t="s">
        <v>22</v>
      </c>
      <c r="P2" s="69" t="s">
        <v>23</v>
      </c>
      <c r="Q2" s="69" t="s">
        <v>24</v>
      </c>
      <c r="R2" s="69" t="s">
        <v>25</v>
      </c>
      <c r="S2" s="178"/>
      <c r="T2" s="67" t="s">
        <v>26</v>
      </c>
      <c r="U2" s="68" t="s">
        <v>27</v>
      </c>
      <c r="V2" s="69" t="s">
        <v>28</v>
      </c>
      <c r="W2" s="149"/>
      <c r="X2" s="149"/>
    </row>
    <row r="3" spans="1:24" ht="11.4">
      <c r="A3" s="19">
        <f t="shared" ref="A3:A75" si="0">ROW()-2</f>
        <v>1</v>
      </c>
      <c r="B3" s="20" t="s">
        <v>29</v>
      </c>
      <c r="C3" s="31" t="s">
        <v>30</v>
      </c>
      <c r="D3" s="30"/>
      <c r="E3" s="30"/>
      <c r="F3" s="72"/>
      <c r="G3" s="21"/>
      <c r="H3" s="22"/>
      <c r="I3" s="22"/>
      <c r="J3" s="23"/>
      <c r="K3" s="21"/>
      <c r="L3" s="22"/>
      <c r="M3" s="22"/>
      <c r="N3" s="24"/>
      <c r="O3" s="24"/>
      <c r="P3" s="24"/>
      <c r="Q3" s="24"/>
      <c r="R3" s="23"/>
      <c r="S3" s="131"/>
      <c r="T3" s="25"/>
      <c r="U3" s="26"/>
      <c r="V3" s="27"/>
      <c r="W3" s="28"/>
      <c r="X3" s="29"/>
    </row>
    <row r="4" spans="1:24" ht="159.6">
      <c r="A4" s="19">
        <f>ROW()-2</f>
        <v>2</v>
      </c>
      <c r="B4" s="20" t="s">
        <v>31</v>
      </c>
      <c r="C4" s="20" t="s">
        <v>32</v>
      </c>
      <c r="D4" s="20" t="s">
        <v>33</v>
      </c>
      <c r="E4" s="30" t="s">
        <v>941</v>
      </c>
      <c r="F4" s="71" t="s">
        <v>34</v>
      </c>
      <c r="G4" s="21"/>
      <c r="H4" s="22"/>
      <c r="I4" s="22"/>
      <c r="J4" s="23"/>
      <c r="K4" s="21"/>
      <c r="L4" s="22"/>
      <c r="M4" s="22"/>
      <c r="N4" s="24" t="s">
        <v>35</v>
      </c>
      <c r="O4" s="24"/>
      <c r="P4" s="24"/>
      <c r="Q4" s="24"/>
      <c r="R4" s="23"/>
      <c r="S4" s="131">
        <v>45306</v>
      </c>
      <c r="T4" s="25"/>
      <c r="U4" s="26"/>
      <c r="V4" s="27"/>
      <c r="W4" s="28"/>
      <c r="X4" s="29" t="s">
        <v>530</v>
      </c>
    </row>
    <row r="5" spans="1:24" ht="11.4">
      <c r="A5" s="19">
        <f t="shared" ref="A5:A47" si="1">ROW()-2</f>
        <v>3</v>
      </c>
      <c r="B5" s="20"/>
      <c r="C5" s="20"/>
      <c r="D5" s="20"/>
      <c r="E5" s="30" t="s">
        <v>36</v>
      </c>
      <c r="F5" s="71" t="s">
        <v>37</v>
      </c>
      <c r="G5" s="21"/>
      <c r="H5" s="22"/>
      <c r="I5" s="22"/>
      <c r="J5" s="23"/>
      <c r="K5" s="21"/>
      <c r="L5" s="22"/>
      <c r="M5" s="22"/>
      <c r="N5" s="24"/>
      <c r="O5" s="24"/>
      <c r="P5" s="24"/>
      <c r="Q5" s="24" t="s">
        <v>35</v>
      </c>
      <c r="R5" s="23"/>
      <c r="S5" s="131">
        <v>45306</v>
      </c>
      <c r="T5" s="25">
        <v>45672</v>
      </c>
      <c r="U5" s="26"/>
      <c r="V5" s="27"/>
      <c r="W5" s="28"/>
      <c r="X5" s="29"/>
    </row>
    <row r="6" spans="1:24" ht="68.400000000000006">
      <c r="A6" s="19">
        <f>ROW()-2</f>
        <v>4</v>
      </c>
      <c r="B6" s="20"/>
      <c r="C6" s="20"/>
      <c r="D6" s="20" t="s">
        <v>38</v>
      </c>
      <c r="E6" s="30" t="s">
        <v>529</v>
      </c>
      <c r="F6" s="71" t="s">
        <v>34</v>
      </c>
      <c r="G6" s="21"/>
      <c r="H6" s="22"/>
      <c r="I6" s="22"/>
      <c r="J6" s="23"/>
      <c r="K6" s="21"/>
      <c r="L6" s="22"/>
      <c r="M6" s="22"/>
      <c r="N6" s="24" t="s">
        <v>35</v>
      </c>
      <c r="O6" s="24"/>
      <c r="P6" s="24"/>
      <c r="Q6" s="24"/>
      <c r="R6" s="23"/>
      <c r="S6" s="131">
        <v>45306</v>
      </c>
      <c r="T6" s="25"/>
      <c r="U6" s="26"/>
      <c r="V6" s="27"/>
      <c r="W6" s="28"/>
      <c r="X6" s="29" t="s">
        <v>531</v>
      </c>
    </row>
    <row r="7" spans="1:24" ht="11.4">
      <c r="A7" s="19">
        <f t="shared" si="1"/>
        <v>5</v>
      </c>
      <c r="B7" s="20"/>
      <c r="C7" s="20"/>
      <c r="D7" s="20"/>
      <c r="E7" s="30" t="s">
        <v>36</v>
      </c>
      <c r="F7" s="71" t="s">
        <v>37</v>
      </c>
      <c r="G7" s="21"/>
      <c r="H7" s="22"/>
      <c r="I7" s="22"/>
      <c r="J7" s="23"/>
      <c r="K7" s="21"/>
      <c r="L7" s="22"/>
      <c r="M7" s="22"/>
      <c r="N7" s="24"/>
      <c r="O7" s="24"/>
      <c r="P7" s="24"/>
      <c r="Q7" s="24" t="s">
        <v>35</v>
      </c>
      <c r="R7" s="23"/>
      <c r="S7" s="131">
        <v>45306</v>
      </c>
      <c r="T7" s="25">
        <v>45672</v>
      </c>
      <c r="U7" s="26"/>
      <c r="V7" s="27"/>
      <c r="W7" s="28"/>
      <c r="X7" s="29"/>
    </row>
    <row r="8" spans="1:24" ht="22.8">
      <c r="A8" s="19">
        <f t="shared" si="1"/>
        <v>6</v>
      </c>
      <c r="B8" s="20"/>
      <c r="C8" s="20"/>
      <c r="D8" s="20" t="s">
        <v>39</v>
      </c>
      <c r="E8" s="30" t="s">
        <v>40</v>
      </c>
      <c r="F8" s="71" t="s">
        <v>34</v>
      </c>
      <c r="G8" s="21"/>
      <c r="H8" s="22"/>
      <c r="I8" s="22"/>
      <c r="J8" s="23"/>
      <c r="K8" s="21"/>
      <c r="L8" s="22"/>
      <c r="M8" s="22"/>
      <c r="N8" s="24" t="s">
        <v>35</v>
      </c>
      <c r="O8" s="24"/>
      <c r="P8" s="24"/>
      <c r="Q8" s="24"/>
      <c r="R8" s="23"/>
      <c r="S8" s="131">
        <v>45306</v>
      </c>
      <c r="T8" s="25"/>
      <c r="U8" s="26"/>
      <c r="V8" s="27"/>
      <c r="W8" s="28"/>
      <c r="X8" s="29" t="s">
        <v>532</v>
      </c>
    </row>
    <row r="9" spans="1:24" ht="11.4">
      <c r="A9" s="19">
        <f t="shared" si="1"/>
        <v>7</v>
      </c>
      <c r="B9" s="20"/>
      <c r="C9" s="20"/>
      <c r="D9" s="20"/>
      <c r="E9" s="30" t="s">
        <v>36</v>
      </c>
      <c r="F9" s="71" t="s">
        <v>37</v>
      </c>
      <c r="G9" s="21"/>
      <c r="H9" s="22"/>
      <c r="I9" s="22"/>
      <c r="J9" s="23"/>
      <c r="K9" s="21"/>
      <c r="L9" s="22"/>
      <c r="M9" s="22"/>
      <c r="N9" s="24"/>
      <c r="O9" s="24"/>
      <c r="P9" s="24"/>
      <c r="Q9" s="24" t="s">
        <v>35</v>
      </c>
      <c r="R9" s="23"/>
      <c r="S9" s="131">
        <v>45306</v>
      </c>
      <c r="T9" s="25"/>
      <c r="U9" s="26"/>
      <c r="V9" s="27"/>
      <c r="W9" s="28"/>
      <c r="X9" s="29"/>
    </row>
    <row r="10" spans="1:24" ht="22.8">
      <c r="A10" s="19">
        <f t="shared" si="1"/>
        <v>8</v>
      </c>
      <c r="B10" s="20"/>
      <c r="C10" s="20"/>
      <c r="D10" s="20" t="s">
        <v>41</v>
      </c>
      <c r="E10" s="30" t="s">
        <v>40</v>
      </c>
      <c r="F10" s="71" t="s">
        <v>34</v>
      </c>
      <c r="G10" s="21"/>
      <c r="H10" s="22"/>
      <c r="I10" s="22"/>
      <c r="J10" s="23"/>
      <c r="K10" s="21"/>
      <c r="L10" s="22"/>
      <c r="M10" s="22"/>
      <c r="N10" s="24" t="s">
        <v>35</v>
      </c>
      <c r="O10" s="24"/>
      <c r="P10" s="24"/>
      <c r="Q10" s="24"/>
      <c r="R10" s="23"/>
      <c r="S10" s="131">
        <v>45306</v>
      </c>
      <c r="T10" s="25"/>
      <c r="U10" s="26"/>
      <c r="V10" s="27"/>
      <c r="W10" s="28"/>
      <c r="X10" s="29" t="s">
        <v>533</v>
      </c>
    </row>
    <row r="11" spans="1:24" ht="11.4">
      <c r="A11" s="19">
        <f t="shared" si="1"/>
        <v>9</v>
      </c>
      <c r="B11" s="20"/>
      <c r="C11" s="20"/>
      <c r="D11" s="20"/>
      <c r="E11" s="30" t="s">
        <v>36</v>
      </c>
      <c r="F11" s="71" t="s">
        <v>37</v>
      </c>
      <c r="G11" s="21"/>
      <c r="H11" s="22"/>
      <c r="I11" s="22"/>
      <c r="J11" s="23"/>
      <c r="K11" s="21"/>
      <c r="L11" s="22"/>
      <c r="M11" s="22"/>
      <c r="N11" s="24"/>
      <c r="O11" s="24"/>
      <c r="P11" s="24"/>
      <c r="Q11" s="24" t="s">
        <v>35</v>
      </c>
      <c r="R11" s="23"/>
      <c r="S11" s="131">
        <v>45306</v>
      </c>
      <c r="T11" s="25"/>
      <c r="U11" s="26"/>
      <c r="V11" s="27"/>
      <c r="W11" s="28"/>
      <c r="X11" s="29"/>
    </row>
    <row r="12" spans="1:24" ht="159.6">
      <c r="A12" s="19">
        <f t="shared" si="1"/>
        <v>10</v>
      </c>
      <c r="B12" s="20"/>
      <c r="C12" s="20"/>
      <c r="D12" s="20" t="s">
        <v>42</v>
      </c>
      <c r="E12" s="30" t="s">
        <v>523</v>
      </c>
      <c r="F12" s="71" t="s">
        <v>34</v>
      </c>
      <c r="G12" s="21"/>
      <c r="H12" s="22"/>
      <c r="I12" s="22"/>
      <c r="J12" s="23"/>
      <c r="K12" s="21"/>
      <c r="L12" s="22"/>
      <c r="M12" s="22"/>
      <c r="N12" s="24" t="s">
        <v>35</v>
      </c>
      <c r="O12" s="24"/>
      <c r="P12" s="24"/>
      <c r="Q12" s="24"/>
      <c r="R12" s="23"/>
      <c r="S12" s="131">
        <v>45306</v>
      </c>
      <c r="T12" s="25"/>
      <c r="U12" s="26"/>
      <c r="V12" s="27"/>
      <c r="W12" s="28"/>
      <c r="X12" s="29" t="s">
        <v>534</v>
      </c>
    </row>
    <row r="13" spans="1:24" ht="11.4">
      <c r="A13" s="19">
        <f t="shared" si="1"/>
        <v>11</v>
      </c>
      <c r="B13" s="20"/>
      <c r="C13" s="20"/>
      <c r="D13" s="20"/>
      <c r="E13" s="30" t="s">
        <v>36</v>
      </c>
      <c r="F13" s="71" t="s">
        <v>37</v>
      </c>
      <c r="G13" s="21"/>
      <c r="H13" s="22"/>
      <c r="I13" s="22"/>
      <c r="J13" s="23"/>
      <c r="K13" s="21"/>
      <c r="L13" s="22"/>
      <c r="M13" s="22"/>
      <c r="N13" s="24"/>
      <c r="O13" s="24"/>
      <c r="P13" s="24"/>
      <c r="Q13" s="24" t="s">
        <v>35</v>
      </c>
      <c r="R13" s="23"/>
      <c r="S13" s="131">
        <v>45306</v>
      </c>
      <c r="T13" s="25"/>
      <c r="U13" s="26"/>
      <c r="V13" s="27"/>
      <c r="W13" s="28"/>
      <c r="X13" s="29"/>
    </row>
    <row r="14" spans="1:24" ht="68.400000000000006">
      <c r="A14" s="19">
        <f t="shared" si="1"/>
        <v>12</v>
      </c>
      <c r="B14" s="20"/>
      <c r="C14" s="20"/>
      <c r="D14" s="20" t="s">
        <v>43</v>
      </c>
      <c r="E14" s="30" t="s">
        <v>44</v>
      </c>
      <c r="F14" s="71" t="s">
        <v>34</v>
      </c>
      <c r="G14" s="21"/>
      <c r="H14" s="22"/>
      <c r="I14" s="22"/>
      <c r="J14" s="23"/>
      <c r="K14" s="21"/>
      <c r="L14" s="22"/>
      <c r="M14" s="22"/>
      <c r="N14" s="24" t="s">
        <v>35</v>
      </c>
      <c r="O14" s="24"/>
      <c r="P14" s="24"/>
      <c r="Q14" s="24"/>
      <c r="R14" s="23"/>
      <c r="S14" s="131">
        <v>45306</v>
      </c>
      <c r="T14" s="25"/>
      <c r="U14" s="26"/>
      <c r="V14" s="27"/>
      <c r="W14" s="28"/>
      <c r="X14" s="29" t="s">
        <v>535</v>
      </c>
    </row>
    <row r="15" spans="1:24" ht="11.4">
      <c r="A15" s="19">
        <f t="shared" si="1"/>
        <v>13</v>
      </c>
      <c r="B15" s="20"/>
      <c r="C15" s="20"/>
      <c r="D15" s="20"/>
      <c r="E15" s="30" t="s">
        <v>36</v>
      </c>
      <c r="F15" s="71" t="s">
        <v>37</v>
      </c>
      <c r="G15" s="21"/>
      <c r="H15" s="22"/>
      <c r="I15" s="22"/>
      <c r="J15" s="23"/>
      <c r="K15" s="21"/>
      <c r="L15" s="22"/>
      <c r="M15" s="22"/>
      <c r="N15" s="24"/>
      <c r="O15" s="24"/>
      <c r="P15" s="24"/>
      <c r="Q15" s="24" t="s">
        <v>35</v>
      </c>
      <c r="R15" s="23"/>
      <c r="S15" s="131">
        <v>45306</v>
      </c>
      <c r="T15" s="25"/>
      <c r="U15" s="26"/>
      <c r="V15" s="27"/>
      <c r="W15" s="28"/>
      <c r="X15" s="29"/>
    </row>
    <row r="16" spans="1:24" ht="68.400000000000006">
      <c r="A16" s="19">
        <f t="shared" si="1"/>
        <v>14</v>
      </c>
      <c r="B16" s="20"/>
      <c r="C16" s="20"/>
      <c r="D16" s="20" t="s">
        <v>45</v>
      </c>
      <c r="E16" s="30" t="s">
        <v>518</v>
      </c>
      <c r="F16" s="71" t="s">
        <v>34</v>
      </c>
      <c r="G16" s="21"/>
      <c r="H16" s="22"/>
      <c r="I16" s="22"/>
      <c r="J16" s="23"/>
      <c r="K16" s="21"/>
      <c r="L16" s="22"/>
      <c r="M16" s="22"/>
      <c r="N16" s="24" t="s">
        <v>35</v>
      </c>
      <c r="O16" s="24"/>
      <c r="P16" s="24"/>
      <c r="Q16" s="24"/>
      <c r="R16" s="23"/>
      <c r="S16" s="131">
        <v>45306</v>
      </c>
      <c r="T16" s="25"/>
      <c r="U16" s="26"/>
      <c r="V16" s="27"/>
      <c r="W16" s="28"/>
      <c r="X16" s="29" t="s">
        <v>536</v>
      </c>
    </row>
    <row r="17" spans="1:24" ht="11.4">
      <c r="A17" s="19">
        <f t="shared" si="1"/>
        <v>15</v>
      </c>
      <c r="B17" s="20"/>
      <c r="C17" s="20"/>
      <c r="D17" s="20"/>
      <c r="E17" s="30" t="s">
        <v>36</v>
      </c>
      <c r="F17" s="71" t="s">
        <v>37</v>
      </c>
      <c r="G17" s="21"/>
      <c r="H17" s="22"/>
      <c r="I17" s="22"/>
      <c r="J17" s="23"/>
      <c r="K17" s="21"/>
      <c r="L17" s="22"/>
      <c r="M17" s="22"/>
      <c r="N17" s="24"/>
      <c r="O17" s="24"/>
      <c r="P17" s="24"/>
      <c r="Q17" s="24" t="s">
        <v>35</v>
      </c>
      <c r="R17" s="23"/>
      <c r="S17" s="131">
        <v>45306</v>
      </c>
      <c r="T17" s="25"/>
      <c r="U17" s="26"/>
      <c r="V17" s="27"/>
      <c r="W17" s="28"/>
      <c r="X17" s="29"/>
    </row>
    <row r="18" spans="1:24" ht="159.6">
      <c r="A18" s="19">
        <f t="shared" si="1"/>
        <v>16</v>
      </c>
      <c r="B18" s="20"/>
      <c r="C18" s="20"/>
      <c r="D18" s="20" t="s">
        <v>46</v>
      </c>
      <c r="E18" s="30" t="s">
        <v>516</v>
      </c>
      <c r="F18" s="71" t="s">
        <v>34</v>
      </c>
      <c r="G18" s="21"/>
      <c r="H18" s="22"/>
      <c r="I18" s="22"/>
      <c r="J18" s="23"/>
      <c r="K18" s="21"/>
      <c r="L18" s="22"/>
      <c r="M18" s="22"/>
      <c r="N18" s="24" t="s">
        <v>35</v>
      </c>
      <c r="O18" s="24"/>
      <c r="P18" s="24"/>
      <c r="Q18" s="24"/>
      <c r="R18" s="23"/>
      <c r="S18" s="131">
        <v>45306</v>
      </c>
      <c r="T18" s="25"/>
      <c r="U18" s="26"/>
      <c r="V18" s="27"/>
      <c r="W18" s="28"/>
      <c r="X18" s="29" t="s">
        <v>47</v>
      </c>
    </row>
    <row r="19" spans="1:24" ht="11.4">
      <c r="A19" s="19">
        <f t="shared" si="1"/>
        <v>17</v>
      </c>
      <c r="B19" s="20"/>
      <c r="C19" s="20"/>
      <c r="D19" s="20"/>
      <c r="E19" s="30" t="s">
        <v>48</v>
      </c>
      <c r="F19" s="71" t="s">
        <v>37</v>
      </c>
      <c r="G19" s="21"/>
      <c r="H19" s="22"/>
      <c r="I19" s="22"/>
      <c r="J19" s="23"/>
      <c r="K19" s="21"/>
      <c r="L19" s="22"/>
      <c r="M19" s="22"/>
      <c r="N19" s="24"/>
      <c r="O19" s="24"/>
      <c r="P19" s="24"/>
      <c r="Q19" s="24" t="s">
        <v>35</v>
      </c>
      <c r="R19" s="23"/>
      <c r="S19" s="131">
        <v>45306</v>
      </c>
      <c r="T19" s="25"/>
      <c r="U19" s="26"/>
      <c r="V19" s="27"/>
      <c r="W19" s="28"/>
      <c r="X19" s="29"/>
    </row>
    <row r="20" spans="1:24" ht="68.400000000000006">
      <c r="A20" s="19">
        <f t="shared" ref="A20:A38" si="2">ROW()-2</f>
        <v>18</v>
      </c>
      <c r="B20" s="20"/>
      <c r="C20" s="20"/>
      <c r="D20" s="20" t="s">
        <v>49</v>
      </c>
      <c r="E20" s="30" t="s">
        <v>518</v>
      </c>
      <c r="F20" s="71" t="s">
        <v>34</v>
      </c>
      <c r="G20" s="21"/>
      <c r="H20" s="22"/>
      <c r="I20" s="22"/>
      <c r="J20" s="23"/>
      <c r="K20" s="21"/>
      <c r="L20" s="22"/>
      <c r="M20" s="22"/>
      <c r="N20" s="24" t="s">
        <v>35</v>
      </c>
      <c r="O20" s="24"/>
      <c r="P20" s="24"/>
      <c r="Q20" s="24"/>
      <c r="R20" s="23"/>
      <c r="S20" s="131">
        <v>45306</v>
      </c>
      <c r="T20" s="25"/>
      <c r="U20" s="26"/>
      <c r="V20" s="27"/>
      <c r="W20" s="28"/>
      <c r="X20" s="29" t="s">
        <v>537</v>
      </c>
    </row>
    <row r="21" spans="1:24" ht="11.4">
      <c r="A21" s="19">
        <f t="shared" si="1"/>
        <v>19</v>
      </c>
      <c r="B21" s="20"/>
      <c r="C21" s="20"/>
      <c r="D21" s="20"/>
      <c r="E21" s="30" t="s">
        <v>48</v>
      </c>
      <c r="F21" s="71" t="s">
        <v>37</v>
      </c>
      <c r="G21" s="21"/>
      <c r="H21" s="22"/>
      <c r="I21" s="22"/>
      <c r="J21" s="23"/>
      <c r="K21" s="21"/>
      <c r="L21" s="22"/>
      <c r="M21" s="22"/>
      <c r="N21" s="24"/>
      <c r="O21" s="24"/>
      <c r="P21" s="24"/>
      <c r="Q21" s="24" t="s">
        <v>35</v>
      </c>
      <c r="R21" s="23"/>
      <c r="S21" s="131">
        <v>45306</v>
      </c>
      <c r="T21" s="25"/>
      <c r="U21" s="26"/>
      <c r="V21" s="27"/>
      <c r="W21" s="28"/>
      <c r="X21" s="29"/>
    </row>
    <row r="22" spans="1:24" ht="11.4">
      <c r="A22" s="19">
        <f t="shared" si="2"/>
        <v>20</v>
      </c>
      <c r="B22" s="20"/>
      <c r="C22" s="20"/>
      <c r="D22" s="20" t="s">
        <v>50</v>
      </c>
      <c r="E22" s="30" t="s">
        <v>40</v>
      </c>
      <c r="F22" s="71" t="s">
        <v>34</v>
      </c>
      <c r="G22" s="21"/>
      <c r="H22" s="22"/>
      <c r="I22" s="22"/>
      <c r="J22" s="23"/>
      <c r="K22" s="21"/>
      <c r="L22" s="22"/>
      <c r="M22" s="22"/>
      <c r="N22" s="24" t="s">
        <v>35</v>
      </c>
      <c r="O22" s="24"/>
      <c r="P22" s="24"/>
      <c r="Q22" s="24"/>
      <c r="R22" s="23"/>
      <c r="S22" s="131">
        <v>45306</v>
      </c>
      <c r="T22" s="25"/>
      <c r="U22" s="26"/>
      <c r="V22" s="27"/>
      <c r="W22" s="28"/>
      <c r="X22" s="29" t="s">
        <v>51</v>
      </c>
    </row>
    <row r="23" spans="1:24" ht="11.4">
      <c r="A23" s="19">
        <f t="shared" si="1"/>
        <v>21</v>
      </c>
      <c r="B23" s="20"/>
      <c r="C23" s="20"/>
      <c r="D23" s="20"/>
      <c r="E23" s="30" t="s">
        <v>48</v>
      </c>
      <c r="F23" s="71" t="s">
        <v>37</v>
      </c>
      <c r="G23" s="21"/>
      <c r="H23" s="22"/>
      <c r="I23" s="22"/>
      <c r="J23" s="23"/>
      <c r="K23" s="21"/>
      <c r="L23" s="22"/>
      <c r="M23" s="22"/>
      <c r="N23" s="24"/>
      <c r="O23" s="24"/>
      <c r="P23" s="24"/>
      <c r="Q23" s="24" t="s">
        <v>35</v>
      </c>
      <c r="R23" s="23"/>
      <c r="S23" s="131">
        <v>45306</v>
      </c>
      <c r="T23" s="25"/>
      <c r="U23" s="26"/>
      <c r="V23" s="27"/>
      <c r="W23" s="28"/>
      <c r="X23" s="29"/>
    </row>
    <row r="24" spans="1:24" ht="11.4">
      <c r="A24" s="19">
        <f t="shared" si="2"/>
        <v>22</v>
      </c>
      <c r="B24" s="20"/>
      <c r="C24" s="20"/>
      <c r="D24" s="20" t="s">
        <v>52</v>
      </c>
      <c r="E24" s="30" t="s">
        <v>40</v>
      </c>
      <c r="F24" s="71" t="s">
        <v>34</v>
      </c>
      <c r="G24" s="21"/>
      <c r="H24" s="22"/>
      <c r="I24" s="22"/>
      <c r="J24" s="23"/>
      <c r="K24" s="21"/>
      <c r="L24" s="22"/>
      <c r="M24" s="22"/>
      <c r="N24" s="24" t="s">
        <v>35</v>
      </c>
      <c r="O24" s="24"/>
      <c r="P24" s="24"/>
      <c r="Q24" s="24"/>
      <c r="R24" s="23"/>
      <c r="S24" s="131">
        <v>45306</v>
      </c>
      <c r="T24" s="25"/>
      <c r="U24" s="26"/>
      <c r="V24" s="27"/>
      <c r="W24" s="28"/>
      <c r="X24" s="29" t="s">
        <v>53</v>
      </c>
    </row>
    <row r="25" spans="1:24" ht="11.4">
      <c r="A25" s="19">
        <f t="shared" si="1"/>
        <v>23</v>
      </c>
      <c r="B25" s="20"/>
      <c r="C25" s="20"/>
      <c r="D25" s="20"/>
      <c r="E25" s="30" t="s">
        <v>48</v>
      </c>
      <c r="F25" s="71" t="s">
        <v>37</v>
      </c>
      <c r="G25" s="21"/>
      <c r="H25" s="22"/>
      <c r="I25" s="22"/>
      <c r="J25" s="23"/>
      <c r="K25" s="21"/>
      <c r="L25" s="22"/>
      <c r="M25" s="22"/>
      <c r="N25" s="24"/>
      <c r="O25" s="24"/>
      <c r="P25" s="24"/>
      <c r="Q25" s="24" t="s">
        <v>35</v>
      </c>
      <c r="R25" s="23"/>
      <c r="S25" s="131">
        <v>45306</v>
      </c>
      <c r="T25" s="25"/>
      <c r="U25" s="26"/>
      <c r="V25" s="27"/>
      <c r="W25" s="28"/>
      <c r="X25" s="29"/>
    </row>
    <row r="26" spans="1:24" ht="159.6">
      <c r="A26" s="19">
        <f t="shared" si="2"/>
        <v>24</v>
      </c>
      <c r="B26" s="20"/>
      <c r="C26" s="20"/>
      <c r="D26" s="30" t="s">
        <v>54</v>
      </c>
      <c r="E26" s="30" t="s">
        <v>523</v>
      </c>
      <c r="F26" s="71" t="s">
        <v>34</v>
      </c>
      <c r="G26" s="21"/>
      <c r="H26" s="22"/>
      <c r="I26" s="22"/>
      <c r="J26" s="23"/>
      <c r="K26" s="21"/>
      <c r="L26" s="22"/>
      <c r="M26" s="22"/>
      <c r="N26" s="24" t="s">
        <v>35</v>
      </c>
      <c r="O26" s="24"/>
      <c r="P26" s="24"/>
      <c r="Q26" s="24"/>
      <c r="R26" s="23"/>
      <c r="S26" s="131">
        <v>45306</v>
      </c>
      <c r="T26" s="25"/>
      <c r="U26" s="26"/>
      <c r="V26" s="27"/>
      <c r="W26" s="28"/>
      <c r="X26" s="29" t="s">
        <v>55</v>
      </c>
    </row>
    <row r="27" spans="1:24" ht="11.4">
      <c r="A27" s="19">
        <f t="shared" si="1"/>
        <v>25</v>
      </c>
      <c r="B27" s="20"/>
      <c r="C27" s="20"/>
      <c r="D27" s="20"/>
      <c r="E27" s="30" t="s">
        <v>48</v>
      </c>
      <c r="F27" s="71" t="s">
        <v>37</v>
      </c>
      <c r="G27" s="21"/>
      <c r="H27" s="22"/>
      <c r="I27" s="22"/>
      <c r="J27" s="23"/>
      <c r="K27" s="21"/>
      <c r="L27" s="22"/>
      <c r="M27" s="22"/>
      <c r="N27" s="24"/>
      <c r="O27" s="24"/>
      <c r="P27" s="24"/>
      <c r="Q27" s="24" t="s">
        <v>35</v>
      </c>
      <c r="R27" s="23"/>
      <c r="S27" s="131">
        <v>45306</v>
      </c>
      <c r="T27" s="25"/>
      <c r="U27" s="26"/>
      <c r="V27" s="27"/>
      <c r="W27" s="28"/>
      <c r="X27" s="29"/>
    </row>
    <row r="28" spans="1:24" ht="68.400000000000006">
      <c r="A28" s="19">
        <f t="shared" si="2"/>
        <v>26</v>
      </c>
      <c r="B28" s="20"/>
      <c r="C28" s="20"/>
      <c r="D28" s="30" t="s">
        <v>56</v>
      </c>
      <c r="E28" s="30" t="s">
        <v>44</v>
      </c>
      <c r="F28" s="71" t="s">
        <v>34</v>
      </c>
      <c r="G28" s="21"/>
      <c r="H28" s="22"/>
      <c r="I28" s="22"/>
      <c r="J28" s="23"/>
      <c r="K28" s="21"/>
      <c r="L28" s="22"/>
      <c r="M28" s="22"/>
      <c r="N28" s="24" t="s">
        <v>35</v>
      </c>
      <c r="O28" s="24"/>
      <c r="P28" s="24"/>
      <c r="Q28" s="24"/>
      <c r="R28" s="23"/>
      <c r="S28" s="131">
        <v>45306</v>
      </c>
      <c r="T28" s="25"/>
      <c r="U28" s="26"/>
      <c r="V28" s="27"/>
      <c r="W28" s="28"/>
      <c r="X28" s="29" t="s">
        <v>57</v>
      </c>
    </row>
    <row r="29" spans="1:24" ht="11.4">
      <c r="A29" s="19">
        <f t="shared" si="1"/>
        <v>27</v>
      </c>
      <c r="B29" s="20"/>
      <c r="C29" s="20"/>
      <c r="D29" s="20"/>
      <c r="E29" s="30" t="s">
        <v>48</v>
      </c>
      <c r="F29" s="71" t="s">
        <v>37</v>
      </c>
      <c r="G29" s="21"/>
      <c r="H29" s="22"/>
      <c r="I29" s="22"/>
      <c r="J29" s="23"/>
      <c r="K29" s="21"/>
      <c r="L29" s="22"/>
      <c r="M29" s="22"/>
      <c r="N29" s="24"/>
      <c r="O29" s="24"/>
      <c r="P29" s="24"/>
      <c r="Q29" s="24" t="s">
        <v>35</v>
      </c>
      <c r="R29" s="23"/>
      <c r="S29" s="131">
        <v>45306</v>
      </c>
      <c r="T29" s="25"/>
      <c r="U29" s="26"/>
      <c r="V29" s="27"/>
      <c r="W29" s="28"/>
      <c r="X29" s="29"/>
    </row>
    <row r="30" spans="1:24" ht="68.400000000000006">
      <c r="A30" s="19">
        <f t="shared" si="2"/>
        <v>28</v>
      </c>
      <c r="B30" s="20"/>
      <c r="C30" s="20"/>
      <c r="D30" s="30" t="s">
        <v>58</v>
      </c>
      <c r="E30" s="30" t="s">
        <v>518</v>
      </c>
      <c r="F30" s="71" t="s">
        <v>34</v>
      </c>
      <c r="G30" s="21"/>
      <c r="H30" s="22"/>
      <c r="I30" s="22"/>
      <c r="J30" s="23"/>
      <c r="K30" s="21"/>
      <c r="L30" s="22"/>
      <c r="M30" s="22"/>
      <c r="N30" s="24" t="s">
        <v>35</v>
      </c>
      <c r="O30" s="24"/>
      <c r="P30" s="24"/>
      <c r="Q30" s="24"/>
      <c r="R30" s="23"/>
      <c r="S30" s="131">
        <v>45306</v>
      </c>
      <c r="T30" s="25"/>
      <c r="U30" s="26"/>
      <c r="V30" s="27"/>
      <c r="W30" s="28"/>
      <c r="X30" s="29" t="s">
        <v>59</v>
      </c>
    </row>
    <row r="31" spans="1:24" ht="11.4">
      <c r="A31" s="19">
        <f t="shared" si="1"/>
        <v>29</v>
      </c>
      <c r="B31" s="20"/>
      <c r="C31" s="20"/>
      <c r="D31" s="20"/>
      <c r="E31" s="30" t="s">
        <v>48</v>
      </c>
      <c r="F31" s="71" t="s">
        <v>37</v>
      </c>
      <c r="G31" s="21"/>
      <c r="H31" s="22"/>
      <c r="I31" s="22"/>
      <c r="J31" s="23"/>
      <c r="K31" s="21"/>
      <c r="L31" s="22"/>
      <c r="M31" s="22"/>
      <c r="N31" s="24"/>
      <c r="O31" s="24"/>
      <c r="P31" s="24"/>
      <c r="Q31" s="24" t="s">
        <v>35</v>
      </c>
      <c r="R31" s="23"/>
      <c r="S31" s="131">
        <v>45306</v>
      </c>
      <c r="T31" s="25"/>
      <c r="U31" s="26"/>
      <c r="V31" s="27"/>
      <c r="W31" s="28"/>
      <c r="X31" s="29"/>
    </row>
    <row r="32" spans="1:24" ht="22.8">
      <c r="A32" s="19">
        <f t="shared" si="2"/>
        <v>30</v>
      </c>
      <c r="B32" s="20"/>
      <c r="C32" s="20"/>
      <c r="D32" s="20" t="s">
        <v>60</v>
      </c>
      <c r="E32" s="30" t="s">
        <v>61</v>
      </c>
      <c r="F32" s="71" t="s">
        <v>34</v>
      </c>
      <c r="G32" s="21"/>
      <c r="H32" s="22"/>
      <c r="I32" s="22"/>
      <c r="J32" s="23"/>
      <c r="K32" s="21"/>
      <c r="L32" s="22"/>
      <c r="M32" s="22"/>
      <c r="N32" s="24" t="s">
        <v>35</v>
      </c>
      <c r="O32" s="24"/>
      <c r="P32" s="24"/>
      <c r="Q32" s="24"/>
      <c r="R32" s="23"/>
      <c r="S32" s="131">
        <v>45307</v>
      </c>
      <c r="T32" s="25"/>
      <c r="U32" s="26"/>
      <c r="V32" s="27"/>
      <c r="W32" s="28"/>
      <c r="X32" s="29" t="s">
        <v>538</v>
      </c>
    </row>
    <row r="33" spans="1:24" ht="11.4">
      <c r="A33" s="19">
        <f t="shared" si="1"/>
        <v>31</v>
      </c>
      <c r="B33" s="20"/>
      <c r="C33" s="20"/>
      <c r="D33" s="20"/>
      <c r="E33" s="30" t="s">
        <v>48</v>
      </c>
      <c r="F33" s="71" t="s">
        <v>37</v>
      </c>
      <c r="G33" s="21"/>
      <c r="H33" s="22"/>
      <c r="I33" s="22"/>
      <c r="J33" s="23"/>
      <c r="K33" s="21"/>
      <c r="L33" s="22"/>
      <c r="M33" s="22"/>
      <c r="N33" s="24"/>
      <c r="O33" s="24"/>
      <c r="P33" s="24"/>
      <c r="Q33" s="24" t="s">
        <v>35</v>
      </c>
      <c r="R33" s="23"/>
      <c r="S33" s="131">
        <v>45307</v>
      </c>
      <c r="T33" s="25"/>
      <c r="U33" s="26"/>
      <c r="V33" s="27"/>
      <c r="W33" s="28"/>
      <c r="X33" s="29"/>
    </row>
    <row r="34" spans="1:24" ht="159.6">
      <c r="A34" s="19">
        <f t="shared" si="2"/>
        <v>32</v>
      </c>
      <c r="B34" s="20"/>
      <c r="C34" s="20"/>
      <c r="D34" s="30" t="s">
        <v>62</v>
      </c>
      <c r="E34" s="30" t="s">
        <v>516</v>
      </c>
      <c r="F34" s="71" t="s">
        <v>34</v>
      </c>
      <c r="G34" s="21"/>
      <c r="H34" s="22"/>
      <c r="I34" s="22"/>
      <c r="J34" s="23"/>
      <c r="K34" s="21"/>
      <c r="L34" s="22"/>
      <c r="M34" s="22"/>
      <c r="N34" s="24" t="s">
        <v>35</v>
      </c>
      <c r="O34" s="24"/>
      <c r="P34" s="24"/>
      <c r="Q34" s="24"/>
      <c r="R34" s="23"/>
      <c r="S34" s="131">
        <v>45307</v>
      </c>
      <c r="T34" s="25"/>
      <c r="U34" s="26"/>
      <c r="V34" s="27"/>
      <c r="W34" s="28"/>
      <c r="X34" s="29" t="s">
        <v>63</v>
      </c>
    </row>
    <row r="35" spans="1:24" ht="11.4">
      <c r="A35" s="19">
        <f t="shared" si="1"/>
        <v>33</v>
      </c>
      <c r="B35" s="20"/>
      <c r="C35" s="20"/>
      <c r="D35" s="20"/>
      <c r="E35" s="30" t="s">
        <v>48</v>
      </c>
      <c r="F35" s="71" t="s">
        <v>37</v>
      </c>
      <c r="G35" s="21"/>
      <c r="H35" s="22"/>
      <c r="I35" s="22"/>
      <c r="J35" s="23"/>
      <c r="K35" s="21"/>
      <c r="L35" s="22"/>
      <c r="M35" s="22"/>
      <c r="N35" s="24"/>
      <c r="O35" s="24"/>
      <c r="P35" s="24"/>
      <c r="Q35" s="24" t="s">
        <v>35</v>
      </c>
      <c r="R35" s="23"/>
      <c r="S35" s="131">
        <v>45307</v>
      </c>
      <c r="T35" s="25"/>
      <c r="U35" s="26"/>
      <c r="V35" s="27"/>
      <c r="W35" s="28"/>
      <c r="X35" s="29"/>
    </row>
    <row r="36" spans="1:24" ht="22.8">
      <c r="A36" s="19">
        <f t="shared" si="2"/>
        <v>34</v>
      </c>
      <c r="B36" s="20"/>
      <c r="C36" s="20"/>
      <c r="D36" s="30" t="s">
        <v>64</v>
      </c>
      <c r="E36" s="30" t="s">
        <v>40</v>
      </c>
      <c r="F36" s="71" t="s">
        <v>34</v>
      </c>
      <c r="G36" s="21"/>
      <c r="H36" s="22"/>
      <c r="I36" s="22"/>
      <c r="J36" s="23"/>
      <c r="K36" s="21"/>
      <c r="L36" s="22"/>
      <c r="M36" s="22"/>
      <c r="N36" s="24" t="s">
        <v>35</v>
      </c>
      <c r="O36" s="24"/>
      <c r="P36" s="24"/>
      <c r="Q36" s="24"/>
      <c r="R36" s="23"/>
      <c r="S36" s="131">
        <v>45307</v>
      </c>
      <c r="T36" s="25"/>
      <c r="U36" s="26"/>
      <c r="V36" s="27"/>
      <c r="W36" s="28"/>
      <c r="X36" s="29" t="s">
        <v>65</v>
      </c>
    </row>
    <row r="37" spans="1:24" ht="11.4">
      <c r="A37" s="19">
        <f t="shared" si="1"/>
        <v>35</v>
      </c>
      <c r="B37" s="20"/>
      <c r="C37" s="20"/>
      <c r="D37" s="20"/>
      <c r="E37" s="30" t="s">
        <v>48</v>
      </c>
      <c r="F37" s="71" t="s">
        <v>37</v>
      </c>
      <c r="G37" s="21"/>
      <c r="H37" s="22"/>
      <c r="I37" s="22"/>
      <c r="J37" s="23"/>
      <c r="K37" s="21"/>
      <c r="L37" s="22"/>
      <c r="M37" s="22"/>
      <c r="N37" s="24"/>
      <c r="O37" s="24"/>
      <c r="P37" s="24"/>
      <c r="Q37" s="24" t="s">
        <v>35</v>
      </c>
      <c r="R37" s="23"/>
      <c r="S37" s="131">
        <v>45307</v>
      </c>
      <c r="T37" s="25"/>
      <c r="U37" s="26"/>
      <c r="V37" s="27"/>
      <c r="W37" s="28"/>
      <c r="X37" s="29"/>
    </row>
    <row r="38" spans="1:24" ht="159.6">
      <c r="A38" s="19">
        <f t="shared" si="2"/>
        <v>36</v>
      </c>
      <c r="B38" s="20"/>
      <c r="C38" s="20"/>
      <c r="D38" s="30" t="s">
        <v>66</v>
      </c>
      <c r="E38" s="30" t="s">
        <v>516</v>
      </c>
      <c r="F38" s="71" t="s">
        <v>34</v>
      </c>
      <c r="G38" s="21"/>
      <c r="H38" s="22"/>
      <c r="I38" s="22"/>
      <c r="J38" s="23"/>
      <c r="K38" s="21"/>
      <c r="L38" s="22"/>
      <c r="M38" s="22"/>
      <c r="N38" s="24" t="s">
        <v>35</v>
      </c>
      <c r="O38" s="24"/>
      <c r="P38" s="24"/>
      <c r="Q38" s="24"/>
      <c r="R38" s="23"/>
      <c r="S38" s="131">
        <v>45307</v>
      </c>
      <c r="T38" s="25"/>
      <c r="U38" s="26"/>
      <c r="V38" s="27"/>
      <c r="W38" s="28"/>
      <c r="X38" s="29" t="s">
        <v>67</v>
      </c>
    </row>
    <row r="39" spans="1:24" ht="11.4">
      <c r="A39" s="19">
        <f t="shared" si="1"/>
        <v>37</v>
      </c>
      <c r="B39" s="20"/>
      <c r="C39" s="20"/>
      <c r="D39" s="20"/>
      <c r="E39" s="30" t="s">
        <v>48</v>
      </c>
      <c r="F39" s="71" t="s">
        <v>37</v>
      </c>
      <c r="G39" s="21"/>
      <c r="H39" s="22"/>
      <c r="I39" s="22"/>
      <c r="J39" s="23"/>
      <c r="K39" s="21"/>
      <c r="L39" s="22"/>
      <c r="M39" s="22"/>
      <c r="N39" s="24"/>
      <c r="O39" s="24"/>
      <c r="P39" s="24"/>
      <c r="Q39" s="24" t="s">
        <v>35</v>
      </c>
      <c r="R39" s="23"/>
      <c r="S39" s="131">
        <v>45307</v>
      </c>
      <c r="T39" s="25"/>
      <c r="U39" s="26"/>
      <c r="V39" s="27"/>
      <c r="W39" s="28"/>
      <c r="X39" s="29"/>
    </row>
    <row r="40" spans="1:24" ht="68.400000000000006">
      <c r="A40" s="19">
        <f t="shared" si="0"/>
        <v>38</v>
      </c>
      <c r="B40" s="20"/>
      <c r="C40" s="20"/>
      <c r="D40" s="30" t="s">
        <v>68</v>
      </c>
      <c r="E40" s="30" t="s">
        <v>518</v>
      </c>
      <c r="F40" s="71" t="s">
        <v>34</v>
      </c>
      <c r="G40" s="21"/>
      <c r="H40" s="22"/>
      <c r="I40" s="22"/>
      <c r="J40" s="23"/>
      <c r="K40" s="21"/>
      <c r="L40" s="22"/>
      <c r="M40" s="22"/>
      <c r="N40" s="24" t="s">
        <v>35</v>
      </c>
      <c r="O40" s="24"/>
      <c r="P40" s="24"/>
      <c r="Q40" s="24"/>
      <c r="R40" s="23"/>
      <c r="S40" s="131">
        <v>45307</v>
      </c>
      <c r="T40" s="25"/>
      <c r="U40" s="26"/>
      <c r="V40" s="27"/>
      <c r="W40" s="28"/>
      <c r="X40" s="29" t="s">
        <v>539</v>
      </c>
    </row>
    <row r="41" spans="1:24" ht="11.4">
      <c r="A41" s="19">
        <f t="shared" si="1"/>
        <v>39</v>
      </c>
      <c r="B41" s="20"/>
      <c r="C41" s="20"/>
      <c r="D41" s="20"/>
      <c r="E41" s="30" t="s">
        <v>48</v>
      </c>
      <c r="F41" s="71" t="s">
        <v>37</v>
      </c>
      <c r="G41" s="21"/>
      <c r="H41" s="22"/>
      <c r="I41" s="22"/>
      <c r="J41" s="23"/>
      <c r="K41" s="21"/>
      <c r="L41" s="22"/>
      <c r="M41" s="22"/>
      <c r="N41" s="24"/>
      <c r="O41" s="24"/>
      <c r="P41" s="24"/>
      <c r="Q41" s="24" t="s">
        <v>35</v>
      </c>
      <c r="R41" s="23"/>
      <c r="S41" s="131">
        <v>45307</v>
      </c>
      <c r="T41" s="25"/>
      <c r="U41" s="26"/>
      <c r="V41" s="27"/>
      <c r="W41" s="28"/>
      <c r="X41" s="29"/>
    </row>
    <row r="42" spans="1:24" ht="68.400000000000006">
      <c r="A42" s="19">
        <f t="shared" si="0"/>
        <v>40</v>
      </c>
      <c r="B42" s="20"/>
      <c r="C42" s="20"/>
      <c r="D42" s="30" t="s">
        <v>69</v>
      </c>
      <c r="E42" s="30" t="s">
        <v>518</v>
      </c>
      <c r="F42" s="71" t="s">
        <v>34</v>
      </c>
      <c r="G42" s="21"/>
      <c r="H42" s="22"/>
      <c r="I42" s="22"/>
      <c r="J42" s="23"/>
      <c r="K42" s="21"/>
      <c r="L42" s="22"/>
      <c r="M42" s="22"/>
      <c r="N42" s="24" t="s">
        <v>35</v>
      </c>
      <c r="O42" s="24"/>
      <c r="P42" s="24"/>
      <c r="Q42" s="24"/>
      <c r="R42" s="23"/>
      <c r="S42" s="131">
        <v>45307</v>
      </c>
      <c r="T42" s="25"/>
      <c r="U42" s="26"/>
      <c r="V42" s="27"/>
      <c r="W42" s="28"/>
      <c r="X42" s="29" t="s">
        <v>540</v>
      </c>
    </row>
    <row r="43" spans="1:24" ht="11.4">
      <c r="A43" s="19">
        <f t="shared" si="1"/>
        <v>41</v>
      </c>
      <c r="B43" s="20"/>
      <c r="C43" s="20"/>
      <c r="D43" s="20"/>
      <c r="E43" s="30" t="s">
        <v>48</v>
      </c>
      <c r="F43" s="71" t="s">
        <v>37</v>
      </c>
      <c r="G43" s="21"/>
      <c r="H43" s="22"/>
      <c r="I43" s="22"/>
      <c r="J43" s="23"/>
      <c r="K43" s="21"/>
      <c r="L43" s="22"/>
      <c r="M43" s="22"/>
      <c r="N43" s="24"/>
      <c r="O43" s="24"/>
      <c r="P43" s="24"/>
      <c r="Q43" s="24" t="s">
        <v>35</v>
      </c>
      <c r="R43" s="23"/>
      <c r="S43" s="131">
        <v>45307</v>
      </c>
      <c r="T43" s="25"/>
      <c r="U43" s="26"/>
      <c r="V43" s="27"/>
      <c r="W43" s="28"/>
      <c r="X43" s="29"/>
    </row>
    <row r="44" spans="1:24" ht="159.6">
      <c r="A44" s="19">
        <f t="shared" si="0"/>
        <v>42</v>
      </c>
      <c r="B44" s="20"/>
      <c r="C44" s="20"/>
      <c r="D44" s="20" t="s">
        <v>70</v>
      </c>
      <c r="E44" s="30" t="s">
        <v>516</v>
      </c>
      <c r="F44" s="71" t="s">
        <v>34</v>
      </c>
      <c r="G44" s="21"/>
      <c r="H44" s="22"/>
      <c r="I44" s="22"/>
      <c r="J44" s="23"/>
      <c r="K44" s="21"/>
      <c r="L44" s="22"/>
      <c r="M44" s="22"/>
      <c r="N44" s="24" t="s">
        <v>35</v>
      </c>
      <c r="O44" s="24"/>
      <c r="P44" s="24"/>
      <c r="Q44" s="24"/>
      <c r="R44" s="23"/>
      <c r="S44" s="131">
        <v>45307</v>
      </c>
      <c r="T44" s="25"/>
      <c r="U44" s="26"/>
      <c r="V44" s="27"/>
      <c r="W44" s="28"/>
      <c r="X44" s="29" t="s">
        <v>541</v>
      </c>
    </row>
    <row r="45" spans="1:24" ht="11.4">
      <c r="A45" s="19">
        <f t="shared" si="1"/>
        <v>43</v>
      </c>
      <c r="B45" s="20"/>
      <c r="C45" s="20"/>
      <c r="D45" s="20"/>
      <c r="E45" s="30" t="s">
        <v>48</v>
      </c>
      <c r="F45" s="71" t="s">
        <v>37</v>
      </c>
      <c r="G45" s="21"/>
      <c r="H45" s="22"/>
      <c r="I45" s="22"/>
      <c r="J45" s="23"/>
      <c r="K45" s="21"/>
      <c r="L45" s="22"/>
      <c r="M45" s="22"/>
      <c r="N45" s="24"/>
      <c r="O45" s="24"/>
      <c r="P45" s="24"/>
      <c r="Q45" s="24" t="s">
        <v>35</v>
      </c>
      <c r="R45" s="23"/>
      <c r="S45" s="131">
        <v>45307</v>
      </c>
      <c r="T45" s="25"/>
      <c r="U45" s="26"/>
      <c r="V45" s="27"/>
      <c r="W45" s="28"/>
      <c r="X45" s="29"/>
    </row>
    <row r="46" spans="1:24" ht="159.6">
      <c r="A46" s="19">
        <f t="shared" si="0"/>
        <v>44</v>
      </c>
      <c r="B46" s="20"/>
      <c r="C46" s="20"/>
      <c r="D46" s="20" t="s">
        <v>72</v>
      </c>
      <c r="E46" s="30" t="s">
        <v>516</v>
      </c>
      <c r="F46" s="71" t="s">
        <v>34</v>
      </c>
      <c r="G46" s="21"/>
      <c r="H46" s="22"/>
      <c r="I46" s="22"/>
      <c r="J46" s="23"/>
      <c r="K46" s="21"/>
      <c r="L46" s="22"/>
      <c r="M46" s="22"/>
      <c r="N46" s="24" t="s">
        <v>35</v>
      </c>
      <c r="O46" s="24"/>
      <c r="P46" s="24"/>
      <c r="Q46" s="24"/>
      <c r="R46" s="23"/>
      <c r="S46" s="131">
        <v>45307</v>
      </c>
      <c r="T46" s="25"/>
      <c r="U46" s="26"/>
      <c r="V46" s="27"/>
      <c r="W46" s="28"/>
      <c r="X46" s="29" t="s">
        <v>542</v>
      </c>
    </row>
    <row r="47" spans="1:24" ht="11.4">
      <c r="A47" s="19">
        <f t="shared" si="1"/>
        <v>45</v>
      </c>
      <c r="B47" s="20"/>
      <c r="C47" s="20"/>
      <c r="D47" s="20"/>
      <c r="E47" s="30" t="s">
        <v>48</v>
      </c>
      <c r="F47" s="71" t="s">
        <v>37</v>
      </c>
      <c r="G47" s="21"/>
      <c r="H47" s="22"/>
      <c r="I47" s="22"/>
      <c r="J47" s="23"/>
      <c r="K47" s="21"/>
      <c r="L47" s="22"/>
      <c r="M47" s="22"/>
      <c r="N47" s="24"/>
      <c r="O47" s="24"/>
      <c r="P47" s="24"/>
      <c r="Q47" s="24" t="s">
        <v>35</v>
      </c>
      <c r="R47" s="23"/>
      <c r="S47" s="131">
        <v>45307</v>
      </c>
      <c r="T47" s="25"/>
      <c r="U47" s="26"/>
      <c r="V47" s="27"/>
      <c r="W47" s="28"/>
      <c r="X47" s="29"/>
    </row>
    <row r="48" spans="1:24" ht="22.8">
      <c r="A48" s="19">
        <f t="shared" si="0"/>
        <v>46</v>
      </c>
      <c r="B48" s="20"/>
      <c r="C48" s="20"/>
      <c r="D48" s="96" t="s">
        <v>73</v>
      </c>
      <c r="E48" s="30" t="s">
        <v>74</v>
      </c>
      <c r="F48" s="71" t="s">
        <v>34</v>
      </c>
      <c r="G48" s="21"/>
      <c r="H48" s="22"/>
      <c r="I48" s="22"/>
      <c r="J48" s="23"/>
      <c r="K48" s="21"/>
      <c r="L48" s="22"/>
      <c r="M48" s="22"/>
      <c r="N48" s="24" t="s">
        <v>35</v>
      </c>
      <c r="O48" s="24"/>
      <c r="P48" s="24"/>
      <c r="Q48" s="24"/>
      <c r="R48" s="23"/>
      <c r="S48" s="131">
        <v>45307</v>
      </c>
      <c r="T48" s="25"/>
      <c r="U48" s="26"/>
      <c r="V48" s="27"/>
      <c r="W48" s="28"/>
      <c r="X48" s="29" t="s">
        <v>543</v>
      </c>
    </row>
    <row r="49" spans="1:24" ht="11.4">
      <c r="A49" s="19">
        <f t="shared" si="0"/>
        <v>47</v>
      </c>
      <c r="B49" s="20"/>
      <c r="D49" s="20"/>
      <c r="E49" s="30" t="s">
        <v>48</v>
      </c>
      <c r="F49" s="71" t="s">
        <v>37</v>
      </c>
      <c r="G49" s="21"/>
      <c r="H49" s="22"/>
      <c r="I49" s="22"/>
      <c r="J49" s="23"/>
      <c r="K49" s="21"/>
      <c r="L49" s="22"/>
      <c r="M49" s="22"/>
      <c r="N49" s="24"/>
      <c r="O49" s="24"/>
      <c r="P49" s="24"/>
      <c r="Q49" s="24" t="s">
        <v>35</v>
      </c>
      <c r="R49" s="23"/>
      <c r="S49" s="131">
        <v>45307</v>
      </c>
      <c r="T49" s="25"/>
      <c r="U49" s="26"/>
      <c r="V49" s="27"/>
      <c r="W49" s="28"/>
      <c r="X49" s="29"/>
    </row>
    <row r="50" spans="1:24" ht="22.8">
      <c r="A50" s="19">
        <f t="shared" si="0"/>
        <v>48</v>
      </c>
      <c r="B50" s="20"/>
      <c r="C50" s="20"/>
      <c r="D50" s="30" t="s">
        <v>75</v>
      </c>
      <c r="E50" s="30" t="s">
        <v>528</v>
      </c>
      <c r="F50" s="71" t="s">
        <v>34</v>
      </c>
      <c r="G50" s="21"/>
      <c r="H50" s="22"/>
      <c r="I50" s="22"/>
      <c r="J50" s="23"/>
      <c r="K50" s="21"/>
      <c r="L50" s="22"/>
      <c r="M50" s="22"/>
      <c r="N50" s="24" t="s">
        <v>35</v>
      </c>
      <c r="O50" s="24"/>
      <c r="P50" s="24"/>
      <c r="Q50" s="24"/>
      <c r="R50" s="23"/>
      <c r="S50" s="131">
        <v>45307</v>
      </c>
      <c r="T50" s="25"/>
      <c r="U50" s="26"/>
      <c r="V50" s="27"/>
      <c r="W50" s="28"/>
      <c r="X50" s="29" t="s">
        <v>544</v>
      </c>
    </row>
    <row r="51" spans="1:24" ht="11.4">
      <c r="A51" s="19">
        <f t="shared" si="0"/>
        <v>49</v>
      </c>
      <c r="B51" s="20"/>
      <c r="C51" s="20"/>
      <c r="D51" s="20"/>
      <c r="E51" s="30" t="s">
        <v>48</v>
      </c>
      <c r="F51" s="71" t="s">
        <v>37</v>
      </c>
      <c r="G51" s="21"/>
      <c r="H51" s="22"/>
      <c r="I51" s="22"/>
      <c r="J51" s="23"/>
      <c r="K51" s="21"/>
      <c r="L51" s="22"/>
      <c r="M51" s="22"/>
      <c r="N51" s="24"/>
      <c r="O51" s="24"/>
      <c r="P51" s="24"/>
      <c r="Q51" s="24" t="s">
        <v>35</v>
      </c>
      <c r="R51" s="23"/>
      <c r="S51" s="131">
        <v>45307</v>
      </c>
      <c r="T51" s="25"/>
      <c r="U51" s="26"/>
      <c r="V51" s="27"/>
      <c r="W51" s="28"/>
      <c r="X51" s="29"/>
    </row>
    <row r="52" spans="1:24" ht="22.8">
      <c r="A52" s="19">
        <f t="shared" si="0"/>
        <v>50</v>
      </c>
      <c r="B52" s="31"/>
      <c r="C52" s="31"/>
      <c r="D52" s="96" t="s">
        <v>76</v>
      </c>
      <c r="E52" s="30" t="s">
        <v>522</v>
      </c>
      <c r="F52" s="71" t="s">
        <v>34</v>
      </c>
      <c r="G52" s="21"/>
      <c r="H52" s="22"/>
      <c r="I52" s="22"/>
      <c r="J52" s="23"/>
      <c r="K52" s="21"/>
      <c r="L52" s="22"/>
      <c r="M52" s="22"/>
      <c r="N52" s="24" t="s">
        <v>35</v>
      </c>
      <c r="O52" s="24"/>
      <c r="P52" s="24"/>
      <c r="Q52" s="24"/>
      <c r="R52" s="23"/>
      <c r="S52" s="131">
        <v>45307</v>
      </c>
      <c r="T52" s="25"/>
      <c r="U52" s="26"/>
      <c r="V52" s="27"/>
      <c r="W52" s="28"/>
      <c r="X52" s="29" t="s">
        <v>545</v>
      </c>
    </row>
    <row r="53" spans="1:24" ht="11.4">
      <c r="A53" s="19">
        <f t="shared" si="0"/>
        <v>51</v>
      </c>
      <c r="B53" s="20"/>
      <c r="C53" s="20"/>
      <c r="D53" s="97"/>
      <c r="E53" s="30" t="s">
        <v>48</v>
      </c>
      <c r="F53" s="71" t="s">
        <v>37</v>
      </c>
      <c r="G53" s="21"/>
      <c r="H53" s="22"/>
      <c r="I53" s="22"/>
      <c r="J53" s="23"/>
      <c r="K53" s="21"/>
      <c r="L53" s="22"/>
      <c r="M53" s="22"/>
      <c r="N53" s="24"/>
      <c r="O53" s="24"/>
      <c r="P53" s="24"/>
      <c r="Q53" s="24" t="s">
        <v>35</v>
      </c>
      <c r="R53" s="23"/>
      <c r="S53" s="131">
        <v>45307</v>
      </c>
      <c r="T53" s="25"/>
      <c r="U53" s="26"/>
      <c r="V53" s="27"/>
      <c r="W53" s="28"/>
      <c r="X53" s="29"/>
    </row>
    <row r="54" spans="1:24" ht="22.8">
      <c r="A54" s="19">
        <f t="shared" si="0"/>
        <v>52</v>
      </c>
      <c r="B54" s="31"/>
      <c r="C54" s="31"/>
      <c r="D54" s="96" t="s">
        <v>77</v>
      </c>
      <c r="E54" s="30" t="s">
        <v>522</v>
      </c>
      <c r="F54" s="71" t="s">
        <v>34</v>
      </c>
      <c r="G54" s="21"/>
      <c r="H54" s="22"/>
      <c r="I54" s="22"/>
      <c r="J54" s="23"/>
      <c r="K54" s="21"/>
      <c r="L54" s="22"/>
      <c r="M54" s="22"/>
      <c r="N54" s="24" t="s">
        <v>35</v>
      </c>
      <c r="O54" s="24"/>
      <c r="P54" s="24"/>
      <c r="Q54" s="24"/>
      <c r="R54" s="23"/>
      <c r="S54" s="131">
        <v>45307</v>
      </c>
      <c r="T54" s="25"/>
      <c r="U54" s="26"/>
      <c r="V54" s="27"/>
      <c r="W54" s="28"/>
      <c r="X54" s="29" t="s">
        <v>546</v>
      </c>
    </row>
    <row r="55" spans="1:24" ht="11.4">
      <c r="A55" s="19">
        <f t="shared" si="0"/>
        <v>53</v>
      </c>
      <c r="B55" s="20"/>
      <c r="C55" s="20"/>
      <c r="D55" s="97"/>
      <c r="E55" s="30" t="s">
        <v>48</v>
      </c>
      <c r="F55" s="71" t="s">
        <v>37</v>
      </c>
      <c r="G55" s="21"/>
      <c r="H55" s="22"/>
      <c r="I55" s="22"/>
      <c r="J55" s="23"/>
      <c r="K55" s="21"/>
      <c r="L55" s="22"/>
      <c r="M55" s="22"/>
      <c r="N55" s="24"/>
      <c r="O55" s="24"/>
      <c r="P55" s="24"/>
      <c r="Q55" s="24" t="s">
        <v>35</v>
      </c>
      <c r="R55" s="23"/>
      <c r="S55" s="131">
        <v>45307</v>
      </c>
      <c r="T55" s="25"/>
      <c r="U55" s="26"/>
      <c r="V55" s="27"/>
      <c r="W55" s="28"/>
      <c r="X55" s="29"/>
    </row>
    <row r="56" spans="1:24" ht="22.8">
      <c r="A56" s="19">
        <f t="shared" si="0"/>
        <v>54</v>
      </c>
      <c r="B56" s="31"/>
      <c r="C56" s="31"/>
      <c r="D56" s="96" t="s">
        <v>78</v>
      </c>
      <c r="E56" s="30" t="s">
        <v>522</v>
      </c>
      <c r="F56" s="71" t="s">
        <v>34</v>
      </c>
      <c r="G56" s="21"/>
      <c r="H56" s="22"/>
      <c r="I56" s="22"/>
      <c r="J56" s="23"/>
      <c r="K56" s="21"/>
      <c r="L56" s="22"/>
      <c r="M56" s="22"/>
      <c r="N56" s="24" t="s">
        <v>35</v>
      </c>
      <c r="O56" s="24"/>
      <c r="P56" s="24"/>
      <c r="Q56" s="24"/>
      <c r="R56" s="23"/>
      <c r="S56" s="131">
        <v>45308</v>
      </c>
      <c r="T56" s="25"/>
      <c r="U56" s="26"/>
      <c r="V56" s="27"/>
      <c r="W56" s="28"/>
      <c r="X56" s="29" t="s">
        <v>547</v>
      </c>
    </row>
    <row r="57" spans="1:24" ht="11.4">
      <c r="A57" s="19">
        <f t="shared" si="0"/>
        <v>55</v>
      </c>
      <c r="B57" s="20"/>
      <c r="C57" s="20"/>
      <c r="D57" s="97"/>
      <c r="E57" s="30" t="s">
        <v>48</v>
      </c>
      <c r="F57" s="71" t="s">
        <v>37</v>
      </c>
      <c r="G57" s="21"/>
      <c r="H57" s="22"/>
      <c r="I57" s="22"/>
      <c r="J57" s="23"/>
      <c r="K57" s="21"/>
      <c r="L57" s="22"/>
      <c r="M57" s="22"/>
      <c r="N57" s="24"/>
      <c r="O57" s="24"/>
      <c r="P57" s="24"/>
      <c r="Q57" s="24" t="s">
        <v>35</v>
      </c>
      <c r="R57" s="23"/>
      <c r="S57" s="131">
        <v>45308</v>
      </c>
      <c r="T57" s="25"/>
      <c r="U57" s="26"/>
      <c r="V57" s="27"/>
      <c r="W57" s="28"/>
      <c r="X57" s="29"/>
    </row>
    <row r="58" spans="1:24" ht="22.8">
      <c r="A58" s="19">
        <f t="shared" si="0"/>
        <v>56</v>
      </c>
      <c r="B58" s="31"/>
      <c r="C58" s="31"/>
      <c r="D58" s="96" t="s">
        <v>79</v>
      </c>
      <c r="E58" s="30" t="s">
        <v>522</v>
      </c>
      <c r="F58" s="71" t="s">
        <v>34</v>
      </c>
      <c r="G58" s="21"/>
      <c r="H58" s="22"/>
      <c r="I58" s="22"/>
      <c r="J58" s="23"/>
      <c r="K58" s="21"/>
      <c r="L58" s="22"/>
      <c r="M58" s="22"/>
      <c r="N58" s="24" t="s">
        <v>35</v>
      </c>
      <c r="O58" s="24"/>
      <c r="P58" s="24"/>
      <c r="Q58" s="24"/>
      <c r="R58" s="23"/>
      <c r="S58" s="131">
        <v>45308</v>
      </c>
      <c r="T58" s="25"/>
      <c r="U58" s="26"/>
      <c r="V58" s="27"/>
      <c r="W58" s="28"/>
      <c r="X58" s="29" t="s">
        <v>548</v>
      </c>
    </row>
    <row r="59" spans="1:24" ht="11.4">
      <c r="A59" s="19">
        <f t="shared" si="0"/>
        <v>57</v>
      </c>
      <c r="B59" s="20"/>
      <c r="C59" s="20"/>
      <c r="D59" s="97"/>
      <c r="E59" s="30" t="s">
        <v>48</v>
      </c>
      <c r="F59" s="71" t="s">
        <v>37</v>
      </c>
      <c r="G59" s="21"/>
      <c r="H59" s="22"/>
      <c r="I59" s="22"/>
      <c r="J59" s="23"/>
      <c r="K59" s="21"/>
      <c r="L59" s="22"/>
      <c r="M59" s="22"/>
      <c r="N59" s="24"/>
      <c r="O59" s="24"/>
      <c r="P59" s="24"/>
      <c r="Q59" s="24" t="s">
        <v>35</v>
      </c>
      <c r="R59" s="23"/>
      <c r="S59" s="131">
        <v>45308</v>
      </c>
      <c r="T59" s="25"/>
      <c r="U59" s="26"/>
      <c r="V59" s="27"/>
      <c r="W59" s="28"/>
      <c r="X59" s="29"/>
    </row>
    <row r="60" spans="1:24" ht="22.8">
      <c r="A60" s="19">
        <f t="shared" si="0"/>
        <v>58</v>
      </c>
      <c r="B60" s="31"/>
      <c r="C60" s="20"/>
      <c r="D60" s="97" t="s">
        <v>80</v>
      </c>
      <c r="E60" s="30" t="s">
        <v>522</v>
      </c>
      <c r="F60" s="71" t="s">
        <v>34</v>
      </c>
      <c r="G60" s="21"/>
      <c r="H60" s="22"/>
      <c r="I60" s="22"/>
      <c r="J60" s="23"/>
      <c r="K60" s="21"/>
      <c r="L60" s="22"/>
      <c r="M60" s="22"/>
      <c r="N60" s="24" t="s">
        <v>35</v>
      </c>
      <c r="O60" s="24"/>
      <c r="P60" s="24"/>
      <c r="Q60" s="24"/>
      <c r="R60" s="23"/>
      <c r="S60" s="131">
        <v>45308</v>
      </c>
      <c r="T60" s="25"/>
      <c r="U60" s="26"/>
      <c r="V60" s="27"/>
      <c r="W60" s="28"/>
      <c r="X60" s="29" t="s">
        <v>549</v>
      </c>
    </row>
    <row r="61" spans="1:24" ht="11.4">
      <c r="A61" s="19">
        <f t="shared" si="0"/>
        <v>59</v>
      </c>
      <c r="B61" s="20"/>
      <c r="C61" s="20"/>
      <c r="D61" s="97"/>
      <c r="E61" s="30" t="s">
        <v>48</v>
      </c>
      <c r="F61" s="71" t="s">
        <v>37</v>
      </c>
      <c r="G61" s="21"/>
      <c r="H61" s="22"/>
      <c r="I61" s="22"/>
      <c r="J61" s="23"/>
      <c r="K61" s="21"/>
      <c r="L61" s="22"/>
      <c r="M61" s="22"/>
      <c r="N61" s="24"/>
      <c r="O61" s="24"/>
      <c r="P61" s="24"/>
      <c r="Q61" s="24" t="s">
        <v>35</v>
      </c>
      <c r="R61" s="23"/>
      <c r="S61" s="131">
        <v>45308</v>
      </c>
      <c r="T61" s="25"/>
      <c r="U61" s="26"/>
      <c r="V61" s="27"/>
      <c r="W61" s="28"/>
      <c r="X61" s="29"/>
    </row>
    <row r="62" spans="1:24" ht="22.8">
      <c r="A62" s="19">
        <f t="shared" si="0"/>
        <v>60</v>
      </c>
      <c r="B62" s="31"/>
      <c r="C62" s="20"/>
      <c r="D62" s="20" t="s">
        <v>81</v>
      </c>
      <c r="E62" s="30" t="s">
        <v>520</v>
      </c>
      <c r="F62" s="71" t="s">
        <v>34</v>
      </c>
      <c r="G62" s="21"/>
      <c r="H62" s="22"/>
      <c r="I62" s="22"/>
      <c r="J62" s="23"/>
      <c r="K62" s="21"/>
      <c r="L62" s="22"/>
      <c r="M62" s="22"/>
      <c r="N62" s="24" t="s">
        <v>35</v>
      </c>
      <c r="O62" s="24"/>
      <c r="P62" s="24"/>
      <c r="Q62" s="24"/>
      <c r="R62" s="23"/>
      <c r="S62" s="131">
        <v>45308</v>
      </c>
      <c r="T62" s="25"/>
      <c r="U62" s="26"/>
      <c r="V62" s="27"/>
      <c r="W62" s="28"/>
      <c r="X62" s="29" t="s">
        <v>550</v>
      </c>
    </row>
    <row r="63" spans="1:24" ht="11.4">
      <c r="A63" s="19">
        <f t="shared" si="0"/>
        <v>61</v>
      </c>
      <c r="B63" s="20"/>
      <c r="C63" s="20"/>
      <c r="D63" s="20"/>
      <c r="E63" s="30" t="s">
        <v>48</v>
      </c>
      <c r="F63" s="71" t="s">
        <v>37</v>
      </c>
      <c r="G63" s="21"/>
      <c r="H63" s="22"/>
      <c r="I63" s="22"/>
      <c r="J63" s="23"/>
      <c r="K63" s="21"/>
      <c r="L63" s="22"/>
      <c r="M63" s="22"/>
      <c r="N63" s="24"/>
      <c r="O63" s="24"/>
      <c r="P63" s="24"/>
      <c r="Q63" s="24" t="s">
        <v>35</v>
      </c>
      <c r="R63" s="23"/>
      <c r="S63" s="131">
        <v>45308</v>
      </c>
      <c r="T63" s="25"/>
      <c r="U63" s="26"/>
      <c r="V63" s="27"/>
      <c r="W63" s="28"/>
      <c r="X63" s="29"/>
    </row>
    <row r="64" spans="1:24" ht="22.8">
      <c r="A64" s="19">
        <f t="shared" si="0"/>
        <v>62</v>
      </c>
      <c r="B64" s="20"/>
      <c r="C64" s="20"/>
      <c r="D64" s="30" t="s">
        <v>82</v>
      </c>
      <c r="E64" s="30" t="s">
        <v>519</v>
      </c>
      <c r="F64" s="71" t="s">
        <v>34</v>
      </c>
      <c r="G64" s="21"/>
      <c r="H64" s="22"/>
      <c r="I64" s="22"/>
      <c r="J64" s="23"/>
      <c r="K64" s="21"/>
      <c r="L64" s="22"/>
      <c r="M64" s="22"/>
      <c r="N64" s="24" t="s">
        <v>35</v>
      </c>
      <c r="O64" s="24"/>
      <c r="P64" s="24"/>
      <c r="Q64" s="24"/>
      <c r="R64" s="23"/>
      <c r="S64" s="131">
        <v>45308</v>
      </c>
      <c r="T64" s="25"/>
      <c r="U64" s="26"/>
      <c r="V64" s="27"/>
      <c r="W64" s="28"/>
      <c r="X64" s="29" t="s">
        <v>551</v>
      </c>
    </row>
    <row r="65" spans="1:25" ht="11.4">
      <c r="A65" s="19">
        <f t="shared" si="0"/>
        <v>63</v>
      </c>
      <c r="B65" s="20"/>
      <c r="C65" s="20"/>
      <c r="D65" s="20"/>
      <c r="E65" s="30" t="s">
        <v>48</v>
      </c>
      <c r="F65" s="71" t="s">
        <v>37</v>
      </c>
      <c r="G65" s="21"/>
      <c r="H65" s="22"/>
      <c r="I65" s="22"/>
      <c r="J65" s="23"/>
      <c r="K65" s="21"/>
      <c r="L65" s="22"/>
      <c r="M65" s="22"/>
      <c r="N65" s="24"/>
      <c r="O65" s="24"/>
      <c r="P65" s="24"/>
      <c r="Q65" s="24" t="s">
        <v>35</v>
      </c>
      <c r="R65" s="23"/>
      <c r="S65" s="131">
        <v>45308</v>
      </c>
      <c r="T65" s="25"/>
      <c r="U65" s="26"/>
      <c r="V65" s="27"/>
      <c r="W65" s="28"/>
      <c r="X65" s="29"/>
    </row>
    <row r="66" spans="1:25" ht="22.8">
      <c r="A66" s="19">
        <f t="shared" si="0"/>
        <v>64</v>
      </c>
      <c r="B66" s="20"/>
      <c r="C66" s="20"/>
      <c r="D66" s="30" t="s">
        <v>83</v>
      </c>
      <c r="E66" s="30" t="s">
        <v>521</v>
      </c>
      <c r="F66" s="71" t="s">
        <v>34</v>
      </c>
      <c r="G66" s="21"/>
      <c r="H66" s="22"/>
      <c r="I66" s="22"/>
      <c r="J66" s="23"/>
      <c r="K66" s="21"/>
      <c r="L66" s="22"/>
      <c r="M66" s="22"/>
      <c r="N66" s="24" t="s">
        <v>35</v>
      </c>
      <c r="O66" s="24"/>
      <c r="P66" s="24"/>
      <c r="Q66" s="24"/>
      <c r="R66" s="23"/>
      <c r="S66" s="131">
        <v>45308</v>
      </c>
      <c r="T66" s="25"/>
      <c r="U66" s="26"/>
      <c r="V66" s="27"/>
      <c r="W66" s="28"/>
      <c r="X66" s="29" t="s">
        <v>552</v>
      </c>
    </row>
    <row r="67" spans="1:25" ht="11.4">
      <c r="A67" s="19">
        <f t="shared" si="0"/>
        <v>65</v>
      </c>
      <c r="B67" s="20"/>
      <c r="C67" s="20"/>
      <c r="D67" s="20"/>
      <c r="E67" s="30" t="s">
        <v>48</v>
      </c>
      <c r="F67" s="71" t="s">
        <v>37</v>
      </c>
      <c r="G67" s="21"/>
      <c r="H67" s="22"/>
      <c r="I67" s="22"/>
      <c r="J67" s="23"/>
      <c r="K67" s="21"/>
      <c r="L67" s="22"/>
      <c r="M67" s="22"/>
      <c r="N67" s="24"/>
      <c r="O67" s="24"/>
      <c r="P67" s="24"/>
      <c r="Q67" s="24" t="s">
        <v>35</v>
      </c>
      <c r="R67" s="23"/>
      <c r="S67" s="131">
        <v>45308</v>
      </c>
      <c r="T67" s="25"/>
      <c r="U67" s="26"/>
      <c r="V67" s="27"/>
      <c r="W67" s="28"/>
      <c r="X67" s="29"/>
    </row>
    <row r="68" spans="1:25" ht="68.400000000000006">
      <c r="A68" s="19">
        <f t="shared" si="0"/>
        <v>66</v>
      </c>
      <c r="B68" s="20"/>
      <c r="C68" s="20"/>
      <c r="D68" s="30" t="s">
        <v>84</v>
      </c>
      <c r="E68" s="30" t="s">
        <v>518</v>
      </c>
      <c r="F68" s="71" t="s">
        <v>34</v>
      </c>
      <c r="G68" s="21"/>
      <c r="H68" s="22"/>
      <c r="I68" s="22"/>
      <c r="J68" s="23"/>
      <c r="K68" s="21"/>
      <c r="L68" s="22"/>
      <c r="M68" s="22"/>
      <c r="N68" s="24" t="s">
        <v>35</v>
      </c>
      <c r="O68" s="24"/>
      <c r="P68" s="24"/>
      <c r="Q68" s="24"/>
      <c r="R68" s="23"/>
      <c r="S68" s="131">
        <v>45308</v>
      </c>
      <c r="T68" s="25"/>
      <c r="U68" s="26"/>
      <c r="V68" s="27"/>
      <c r="W68" s="28"/>
      <c r="X68" s="29" t="s">
        <v>553</v>
      </c>
    </row>
    <row r="69" spans="1:25" ht="11.4">
      <c r="A69" s="19">
        <f t="shared" si="0"/>
        <v>67</v>
      </c>
      <c r="B69" s="20"/>
      <c r="C69" s="20"/>
      <c r="D69" s="20"/>
      <c r="E69" s="30" t="s">
        <v>48</v>
      </c>
      <c r="F69" s="71" t="s">
        <v>37</v>
      </c>
      <c r="G69" s="21"/>
      <c r="H69" s="22"/>
      <c r="I69" s="22"/>
      <c r="J69" s="23"/>
      <c r="K69" s="21"/>
      <c r="L69" s="22"/>
      <c r="M69" s="22"/>
      <c r="N69" s="24"/>
      <c r="O69" s="24"/>
      <c r="P69" s="24"/>
      <c r="Q69" s="24" t="s">
        <v>35</v>
      </c>
      <c r="R69" s="23"/>
      <c r="S69" s="131">
        <v>45308</v>
      </c>
      <c r="T69" s="25"/>
      <c r="U69" s="26"/>
      <c r="V69" s="27"/>
      <c r="W69" s="28"/>
      <c r="X69" s="29"/>
    </row>
    <row r="70" spans="1:25" ht="22.8">
      <c r="A70" s="19">
        <f t="shared" si="0"/>
        <v>68</v>
      </c>
      <c r="B70" s="20"/>
      <c r="C70" s="31"/>
      <c r="D70" s="30" t="s">
        <v>85</v>
      </c>
      <c r="E70" s="30" t="s">
        <v>517</v>
      </c>
      <c r="F70" s="71" t="s">
        <v>34</v>
      </c>
      <c r="G70" s="21"/>
      <c r="H70" s="22"/>
      <c r="I70" s="22"/>
      <c r="J70" s="23"/>
      <c r="K70" s="21"/>
      <c r="L70" s="22"/>
      <c r="M70" s="22"/>
      <c r="N70" s="24" t="s">
        <v>35</v>
      </c>
      <c r="O70" s="24"/>
      <c r="P70" s="24"/>
      <c r="Q70" s="24"/>
      <c r="R70" s="23"/>
      <c r="S70" s="131">
        <v>45308</v>
      </c>
      <c r="T70" s="25"/>
      <c r="U70" s="26"/>
      <c r="V70" s="27"/>
      <c r="W70" s="28"/>
      <c r="X70" s="29" t="s">
        <v>554</v>
      </c>
    </row>
    <row r="71" spans="1:25" ht="11.4">
      <c r="A71" s="19">
        <f t="shared" si="0"/>
        <v>69</v>
      </c>
      <c r="B71" s="20"/>
      <c r="C71" s="20"/>
      <c r="D71" s="20"/>
      <c r="E71" s="30" t="s">
        <v>86</v>
      </c>
      <c r="F71" s="71" t="s">
        <v>37</v>
      </c>
      <c r="G71" s="21"/>
      <c r="H71" s="22"/>
      <c r="I71" s="22"/>
      <c r="J71" s="23"/>
      <c r="K71" s="21"/>
      <c r="L71" s="22"/>
      <c r="M71" s="22"/>
      <c r="N71" s="24"/>
      <c r="O71" s="24"/>
      <c r="P71" s="24"/>
      <c r="Q71" s="24" t="s">
        <v>35</v>
      </c>
      <c r="R71" s="23"/>
      <c r="S71" s="131">
        <v>45308</v>
      </c>
      <c r="T71" s="25"/>
      <c r="U71" s="26"/>
      <c r="V71" s="27"/>
      <c r="W71" s="28"/>
      <c r="X71" s="29"/>
    </row>
    <row r="72" spans="1:25" ht="159.6">
      <c r="A72" s="19">
        <f t="shared" si="0"/>
        <v>70</v>
      </c>
      <c r="B72" s="20"/>
      <c r="C72" s="31"/>
      <c r="D72" s="30" t="s">
        <v>70</v>
      </c>
      <c r="E72" s="30" t="s">
        <v>516</v>
      </c>
      <c r="F72" s="71" t="s">
        <v>34</v>
      </c>
      <c r="G72" s="21"/>
      <c r="H72" s="22"/>
      <c r="I72" s="22"/>
      <c r="J72" s="23"/>
      <c r="K72" s="21"/>
      <c r="L72" s="22"/>
      <c r="M72" s="22"/>
      <c r="N72" s="24" t="s">
        <v>35</v>
      </c>
      <c r="O72" s="24"/>
      <c r="P72" s="24"/>
      <c r="Q72" s="24"/>
      <c r="R72" s="23"/>
      <c r="S72" s="131">
        <v>45308</v>
      </c>
      <c r="T72" s="25"/>
      <c r="U72" s="26"/>
      <c r="V72" s="27"/>
      <c r="W72" s="28"/>
      <c r="X72" s="98" t="s">
        <v>71</v>
      </c>
    </row>
    <row r="73" spans="1:25" ht="11.4">
      <c r="A73" s="19">
        <f t="shared" si="0"/>
        <v>71</v>
      </c>
      <c r="B73" s="20"/>
      <c r="C73" s="20"/>
      <c r="D73" s="20"/>
      <c r="E73" s="30" t="s">
        <v>48</v>
      </c>
      <c r="F73" s="71" t="s">
        <v>37</v>
      </c>
      <c r="G73" s="21"/>
      <c r="H73" s="22"/>
      <c r="I73" s="22"/>
      <c r="J73" s="23"/>
      <c r="K73" s="21"/>
      <c r="L73" s="22"/>
      <c r="M73" s="22"/>
      <c r="N73" s="24"/>
      <c r="O73" s="24"/>
      <c r="P73" s="24"/>
      <c r="Q73" s="24" t="s">
        <v>35</v>
      </c>
      <c r="R73" s="23"/>
      <c r="S73" s="131">
        <v>45308</v>
      </c>
      <c r="T73" s="25"/>
      <c r="U73" s="26"/>
      <c r="V73" s="27"/>
      <c r="W73" s="28"/>
      <c r="X73" s="29"/>
    </row>
    <row r="74" spans="1:25" ht="159.6">
      <c r="A74" s="116">
        <f t="shared" si="0"/>
        <v>72</v>
      </c>
      <c r="B74" s="117"/>
      <c r="C74" s="118"/>
      <c r="D74" s="119" t="s">
        <v>87</v>
      </c>
      <c r="E74" s="119" t="s">
        <v>516</v>
      </c>
      <c r="F74" s="120" t="s">
        <v>34</v>
      </c>
      <c r="G74" s="121"/>
      <c r="H74" s="122"/>
      <c r="I74" s="122"/>
      <c r="J74" s="123"/>
      <c r="K74" s="121"/>
      <c r="L74" s="122"/>
      <c r="M74" s="122"/>
      <c r="N74" s="124"/>
      <c r="O74" s="124"/>
      <c r="P74" s="124"/>
      <c r="Q74" s="124"/>
      <c r="R74" s="123"/>
      <c r="S74" s="132"/>
      <c r="T74" s="125"/>
      <c r="U74" s="126"/>
      <c r="V74" s="127"/>
      <c r="W74" s="128"/>
      <c r="X74" s="129" t="s">
        <v>938</v>
      </c>
      <c r="Y74" s="130"/>
    </row>
    <row r="75" spans="1:25" ht="11.4">
      <c r="A75" s="19">
        <f t="shared" si="0"/>
        <v>73</v>
      </c>
      <c r="B75" s="20"/>
      <c r="C75" s="20"/>
      <c r="D75" s="20"/>
      <c r="E75" s="30" t="s">
        <v>48</v>
      </c>
      <c r="F75" s="71" t="s">
        <v>37</v>
      </c>
      <c r="G75" s="21"/>
      <c r="H75" s="22"/>
      <c r="I75" s="22"/>
      <c r="J75" s="23"/>
      <c r="K75" s="21"/>
      <c r="L75" s="22"/>
      <c r="M75" s="22"/>
      <c r="N75" s="24"/>
      <c r="O75" s="24"/>
      <c r="P75" s="24"/>
      <c r="Q75" s="24" t="s">
        <v>35</v>
      </c>
      <c r="R75" s="23"/>
      <c r="S75" s="131"/>
      <c r="T75" s="25"/>
      <c r="U75" s="26"/>
      <c r="V75" s="27"/>
      <c r="W75" s="28"/>
      <c r="X75" s="29"/>
    </row>
    <row r="76" spans="1:25" s="3" customFormat="1" ht="12" customHeight="1">
      <c r="A76" s="32"/>
      <c r="B76" s="33"/>
      <c r="C76" s="34"/>
      <c r="D76" s="34"/>
      <c r="E76" s="33"/>
      <c r="F76" s="35" t="s">
        <v>88</v>
      </c>
      <c r="G76" s="36">
        <f t="shared" ref="G76:R76" si="3">COUNTIF(G14:G75,"●")</f>
        <v>0</v>
      </c>
      <c r="H76" s="37">
        <f t="shared" si="3"/>
        <v>0</v>
      </c>
      <c r="I76" s="37">
        <f t="shared" si="3"/>
        <v>0</v>
      </c>
      <c r="J76" s="38">
        <f t="shared" si="3"/>
        <v>0</v>
      </c>
      <c r="K76" s="36">
        <f t="shared" si="3"/>
        <v>0</v>
      </c>
      <c r="L76" s="37">
        <f t="shared" si="3"/>
        <v>0</v>
      </c>
      <c r="M76" s="37">
        <f t="shared" si="3"/>
        <v>0</v>
      </c>
      <c r="N76" s="37">
        <f t="shared" si="3"/>
        <v>0</v>
      </c>
      <c r="O76" s="37">
        <f t="shared" si="3"/>
        <v>0</v>
      </c>
      <c r="P76" s="37">
        <f t="shared" si="3"/>
        <v>0</v>
      </c>
      <c r="Q76" s="37">
        <f t="shared" si="3"/>
        <v>0</v>
      </c>
      <c r="R76" s="37">
        <f t="shared" si="3"/>
        <v>0</v>
      </c>
      <c r="S76" s="133"/>
      <c r="T76" s="150" t="s">
        <v>89</v>
      </c>
      <c r="U76" s="150"/>
      <c r="V76" s="151"/>
      <c r="W76" s="40" t="s">
        <v>90</v>
      </c>
      <c r="X76" s="41">
        <f>SUM(G76:R76)</f>
        <v>0</v>
      </c>
    </row>
    <row r="77" spans="1:25" s="3" customFormat="1" ht="12" customHeight="1">
      <c r="A77" s="42"/>
      <c r="B77" s="43" t="s">
        <v>91</v>
      </c>
      <c r="C77" s="44">
        <f>X78</f>
        <v>0</v>
      </c>
      <c r="D77" s="44"/>
      <c r="E77" s="43"/>
      <c r="F77" s="45" t="s">
        <v>92</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52"/>
      <c r="U77" s="152"/>
      <c r="V77" s="153"/>
      <c r="W77" s="50" t="s">
        <v>90</v>
      </c>
      <c r="X77" s="51">
        <f t="shared" ref="X77:X79" si="5">SUM(G77:R77)</f>
        <v>0</v>
      </c>
    </row>
    <row r="78" spans="1:25" s="3" customFormat="1" ht="12" customHeight="1">
      <c r="A78" s="52" t="s">
        <v>93</v>
      </c>
      <c r="B78" s="53"/>
      <c r="C78" s="54"/>
      <c r="D78" s="54"/>
      <c r="E78" s="53"/>
      <c r="F78" s="55" t="s">
        <v>94</v>
      </c>
      <c r="G78" s="46">
        <f t="shared" ref="G78:R78" si="6">G76+G77</f>
        <v>0</v>
      </c>
      <c r="H78" s="47">
        <f t="shared" si="6"/>
        <v>0</v>
      </c>
      <c r="I78" s="47">
        <f t="shared" si="6"/>
        <v>0</v>
      </c>
      <c r="J78" s="48">
        <f t="shared" si="6"/>
        <v>0</v>
      </c>
      <c r="K78" s="46">
        <f t="shared" si="6"/>
        <v>0</v>
      </c>
      <c r="L78" s="47">
        <f t="shared" si="6"/>
        <v>0</v>
      </c>
      <c r="M78" s="47">
        <f t="shared" si="6"/>
        <v>0</v>
      </c>
      <c r="N78" s="47">
        <f t="shared" si="6"/>
        <v>0</v>
      </c>
      <c r="O78" s="47">
        <f t="shared" si="6"/>
        <v>0</v>
      </c>
      <c r="P78" s="47">
        <f t="shared" si="6"/>
        <v>0</v>
      </c>
      <c r="Q78" s="47">
        <f t="shared" si="6"/>
        <v>0</v>
      </c>
      <c r="R78" s="47">
        <f t="shared" si="6"/>
        <v>0</v>
      </c>
      <c r="S78" s="175"/>
      <c r="T78" s="164">
        <f>COUNTA(T3:T75)</f>
        <v>2</v>
      </c>
      <c r="U78" s="166">
        <f>COUNTA(U3:U75)</f>
        <v>0</v>
      </c>
      <c r="V78" s="168">
        <f>COUNTA(V3:V75)</f>
        <v>0</v>
      </c>
      <c r="W78" s="56" t="s">
        <v>90</v>
      </c>
      <c r="X78" s="51">
        <f t="shared" si="5"/>
        <v>0</v>
      </c>
    </row>
    <row r="79" spans="1:25" s="3" customFormat="1" ht="12" customHeight="1">
      <c r="A79" s="57"/>
      <c r="B79" s="58" t="s">
        <v>95</v>
      </c>
      <c r="C79" s="59">
        <f>X79</f>
        <v>71</v>
      </c>
      <c r="D79" s="59"/>
      <c r="E79" s="58"/>
      <c r="F79" s="60" t="s">
        <v>96</v>
      </c>
      <c r="G79" s="61">
        <f t="shared" ref="G79:R79" si="7">COUNTA(G3:G75)</f>
        <v>0</v>
      </c>
      <c r="H79" s="62">
        <f t="shared" si="7"/>
        <v>0</v>
      </c>
      <c r="I79" s="62">
        <f t="shared" si="7"/>
        <v>0</v>
      </c>
      <c r="J79" s="62">
        <f t="shared" si="7"/>
        <v>0</v>
      </c>
      <c r="K79" s="62">
        <f t="shared" si="7"/>
        <v>0</v>
      </c>
      <c r="L79" s="62">
        <f t="shared" si="7"/>
        <v>0</v>
      </c>
      <c r="M79" s="62">
        <f t="shared" si="7"/>
        <v>0</v>
      </c>
      <c r="N79" s="62">
        <f t="shared" si="7"/>
        <v>35</v>
      </c>
      <c r="O79" s="62">
        <f t="shared" si="7"/>
        <v>0</v>
      </c>
      <c r="P79" s="62">
        <f t="shared" si="7"/>
        <v>0</v>
      </c>
      <c r="Q79" s="62">
        <f t="shared" si="7"/>
        <v>36</v>
      </c>
      <c r="R79" s="62">
        <f t="shared" si="7"/>
        <v>0</v>
      </c>
      <c r="S79" s="176"/>
      <c r="T79" s="165"/>
      <c r="U79" s="167"/>
      <c r="V79" s="169"/>
      <c r="W79" s="65" t="s">
        <v>90</v>
      </c>
      <c r="X79" s="66">
        <f t="shared" si="5"/>
        <v>71</v>
      </c>
    </row>
  </sheetData>
  <mergeCells count="17">
    <mergeCell ref="T78:T79"/>
    <mergeCell ref="U78:U79"/>
    <mergeCell ref="V78:V79"/>
    <mergeCell ref="G1:J1"/>
    <mergeCell ref="K1:R1"/>
    <mergeCell ref="T1:V1"/>
    <mergeCell ref="S78:S79"/>
    <mergeCell ref="S1:S2"/>
    <mergeCell ref="W1:W2"/>
    <mergeCell ref="X1:X2"/>
    <mergeCell ref="T76:V7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zoomScaleNormal="110" zoomScaleSheetLayoutView="100" workbookViewId="0">
      <pane ySplit="2" topLeftCell="A3" activePane="bottomLeft" state="frozen"/>
      <selection activeCell="B8" sqref="B8"/>
      <selection pane="bottomLeft" activeCell="S3" sqref="S3"/>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4" t="s">
        <v>4</v>
      </c>
      <c r="B1" s="156" t="s">
        <v>5</v>
      </c>
      <c r="C1" s="158" t="s">
        <v>6</v>
      </c>
      <c r="D1" s="158" t="s">
        <v>7</v>
      </c>
      <c r="E1" s="160" t="s">
        <v>8</v>
      </c>
      <c r="F1" s="162" t="s">
        <v>9</v>
      </c>
      <c r="G1" s="170" t="s">
        <v>10</v>
      </c>
      <c r="H1" s="170"/>
      <c r="I1" s="170"/>
      <c r="J1" s="171"/>
      <c r="K1" s="172" t="s">
        <v>11</v>
      </c>
      <c r="L1" s="173"/>
      <c r="M1" s="173"/>
      <c r="N1" s="174"/>
      <c r="O1" s="174"/>
      <c r="P1" s="174"/>
      <c r="Q1" s="174"/>
      <c r="R1" s="174"/>
      <c r="S1" s="177" t="s">
        <v>940</v>
      </c>
      <c r="T1" s="170" t="s">
        <v>12</v>
      </c>
      <c r="U1" s="170"/>
      <c r="V1" s="170"/>
      <c r="W1" s="148" t="s">
        <v>13</v>
      </c>
      <c r="X1" s="148" t="s">
        <v>14</v>
      </c>
    </row>
    <row r="2" spans="1:24" s="1" customFormat="1" ht="22.8">
      <c r="A2" s="155"/>
      <c r="B2" s="157"/>
      <c r="C2" s="159"/>
      <c r="D2" s="159"/>
      <c r="E2" s="161"/>
      <c r="F2" s="163"/>
      <c r="G2" s="67" t="s">
        <v>15</v>
      </c>
      <c r="H2" s="68" t="s">
        <v>16</v>
      </c>
      <c r="I2" s="69" t="s">
        <v>17</v>
      </c>
      <c r="J2" s="69" t="s">
        <v>18</v>
      </c>
      <c r="K2" s="70" t="s">
        <v>15</v>
      </c>
      <c r="L2" s="69" t="s">
        <v>19</v>
      </c>
      <c r="M2" s="69" t="s">
        <v>20</v>
      </c>
      <c r="N2" s="69" t="s">
        <v>21</v>
      </c>
      <c r="O2" s="69" t="s">
        <v>22</v>
      </c>
      <c r="P2" s="69" t="s">
        <v>23</v>
      </c>
      <c r="Q2" s="69" t="s">
        <v>24</v>
      </c>
      <c r="R2" s="69" t="s">
        <v>25</v>
      </c>
      <c r="S2" s="178"/>
      <c r="T2" s="67" t="s">
        <v>26</v>
      </c>
      <c r="U2" s="68" t="s">
        <v>27</v>
      </c>
      <c r="V2" s="69" t="s">
        <v>28</v>
      </c>
      <c r="W2" s="149"/>
      <c r="X2" s="149"/>
    </row>
    <row r="3" spans="1:24" ht="22.8">
      <c r="A3" s="19">
        <f t="shared" ref="A3:A14" si="0">ROW()-2</f>
        <v>1</v>
      </c>
      <c r="B3" s="20" t="s">
        <v>29</v>
      </c>
      <c r="C3" s="20" t="s">
        <v>144</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145</v>
      </c>
      <c r="C4" s="20" t="s">
        <v>146</v>
      </c>
      <c r="D4" s="20" t="s">
        <v>147</v>
      </c>
      <c r="E4" s="30" t="s">
        <v>148</v>
      </c>
      <c r="F4" s="71" t="s">
        <v>149</v>
      </c>
      <c r="G4" s="21"/>
      <c r="H4" s="22"/>
      <c r="I4" s="22"/>
      <c r="J4" s="23"/>
      <c r="K4" s="21"/>
      <c r="L4" s="22"/>
      <c r="M4" s="22"/>
      <c r="N4" s="24"/>
      <c r="O4" s="24"/>
      <c r="P4" s="24" t="s">
        <v>101</v>
      </c>
      <c r="Q4" s="24" t="s">
        <v>101</v>
      </c>
      <c r="R4" s="23"/>
      <c r="S4" s="135"/>
      <c r="T4" s="25"/>
      <c r="U4" s="26"/>
      <c r="V4" s="27"/>
      <c r="W4" s="28"/>
      <c r="X4" s="29"/>
    </row>
    <row r="5" spans="1:24" ht="22.8">
      <c r="A5" s="19">
        <f>ROW()-2</f>
        <v>3</v>
      </c>
      <c r="B5" s="20"/>
      <c r="C5" s="20"/>
      <c r="D5" s="20"/>
      <c r="E5" s="30"/>
      <c r="F5" s="71" t="s">
        <v>150</v>
      </c>
      <c r="G5" s="21"/>
      <c r="H5" s="22"/>
      <c r="I5" s="22"/>
      <c r="J5" s="23"/>
      <c r="K5" s="21"/>
      <c r="L5" s="22"/>
      <c r="M5" s="22"/>
      <c r="N5" s="24"/>
      <c r="O5" s="24"/>
      <c r="P5" s="24" t="s">
        <v>101</v>
      </c>
      <c r="Q5" s="24" t="s">
        <v>101</v>
      </c>
      <c r="R5" s="23"/>
      <c r="S5" s="135"/>
      <c r="T5" s="25"/>
      <c r="U5" s="26"/>
      <c r="V5" s="27"/>
      <c r="W5" s="28"/>
      <c r="X5" s="29"/>
    </row>
    <row r="6" spans="1:24" ht="22.8">
      <c r="A6" s="19">
        <f t="shared" si="0"/>
        <v>4</v>
      </c>
      <c r="B6" s="20"/>
      <c r="C6" s="20"/>
      <c r="D6" s="20"/>
      <c r="E6" s="30"/>
      <c r="F6" s="71" t="s">
        <v>151</v>
      </c>
      <c r="G6" s="21"/>
      <c r="H6" s="22"/>
      <c r="I6" s="22"/>
      <c r="J6" s="23"/>
      <c r="K6" s="21"/>
      <c r="L6" s="22"/>
      <c r="M6" s="22"/>
      <c r="N6" s="24"/>
      <c r="O6" s="24"/>
      <c r="P6" s="24" t="s">
        <v>101</v>
      </c>
      <c r="Q6" s="24" t="s">
        <v>101</v>
      </c>
      <c r="R6" s="23"/>
      <c r="S6" s="135"/>
      <c r="T6" s="25"/>
      <c r="U6" s="26"/>
      <c r="V6" s="27"/>
      <c r="W6" s="28"/>
      <c r="X6" s="29"/>
    </row>
    <row r="7" spans="1:24" ht="22.8">
      <c r="A7" s="19">
        <f t="shared" si="0"/>
        <v>5</v>
      </c>
      <c r="B7" s="20"/>
      <c r="C7" s="20"/>
      <c r="D7" s="20"/>
      <c r="E7" s="30"/>
      <c r="F7" s="71" t="s">
        <v>152</v>
      </c>
      <c r="G7" s="21"/>
      <c r="H7" s="22"/>
      <c r="I7" s="22"/>
      <c r="J7" s="23"/>
      <c r="K7" s="21"/>
      <c r="L7" s="22"/>
      <c r="M7" s="22"/>
      <c r="N7" s="24"/>
      <c r="O7" s="24"/>
      <c r="P7" s="24" t="s">
        <v>101</v>
      </c>
      <c r="Q7" s="24" t="s">
        <v>101</v>
      </c>
      <c r="R7" s="23"/>
      <c r="S7" s="135"/>
      <c r="T7" s="25"/>
      <c r="U7" s="26"/>
      <c r="V7" s="27"/>
      <c r="W7" s="28"/>
      <c r="X7" s="29"/>
    </row>
    <row r="8" spans="1:24" ht="22.8">
      <c r="A8" s="19">
        <f t="shared" si="0"/>
        <v>6</v>
      </c>
      <c r="B8" s="20"/>
      <c r="C8" s="20"/>
      <c r="D8" s="20"/>
      <c r="E8" s="30"/>
      <c r="F8" s="71" t="s">
        <v>153</v>
      </c>
      <c r="G8" s="21"/>
      <c r="H8" s="22"/>
      <c r="I8" s="22"/>
      <c r="J8" s="23"/>
      <c r="K8" s="21"/>
      <c r="L8" s="22"/>
      <c r="M8" s="22"/>
      <c r="N8" s="24"/>
      <c r="O8" s="24"/>
      <c r="P8" s="24" t="s">
        <v>101</v>
      </c>
      <c r="Q8" s="24" t="s">
        <v>101</v>
      </c>
      <c r="R8" s="23"/>
      <c r="S8" s="135"/>
      <c r="T8" s="25"/>
      <c r="U8" s="26"/>
      <c r="V8" s="27"/>
      <c r="W8" s="28"/>
      <c r="X8" s="29"/>
    </row>
    <row r="9" spans="1:24" ht="22.8">
      <c r="A9" s="19">
        <f t="shared" si="0"/>
        <v>7</v>
      </c>
      <c r="B9" s="20"/>
      <c r="C9" s="20"/>
      <c r="D9" s="20"/>
      <c r="E9" s="30"/>
      <c r="F9" s="71" t="s">
        <v>154</v>
      </c>
      <c r="G9" s="21"/>
      <c r="H9" s="22"/>
      <c r="I9" s="22"/>
      <c r="J9" s="23"/>
      <c r="K9" s="21"/>
      <c r="L9" s="22"/>
      <c r="M9" s="22"/>
      <c r="N9" s="24"/>
      <c r="O9" s="24"/>
      <c r="P9" s="24" t="s">
        <v>101</v>
      </c>
      <c r="Q9" s="24" t="s">
        <v>101</v>
      </c>
      <c r="R9" s="23"/>
      <c r="S9" s="135"/>
      <c r="T9" s="25"/>
      <c r="U9" s="26"/>
      <c r="V9" s="27"/>
      <c r="W9" s="28"/>
      <c r="X9" s="29"/>
    </row>
    <row r="10" spans="1:24" ht="22.8">
      <c r="A10" s="19">
        <f t="shared" si="0"/>
        <v>8</v>
      </c>
      <c r="B10" s="20"/>
      <c r="C10" s="20"/>
      <c r="D10" s="20" t="s">
        <v>155</v>
      </c>
      <c r="E10" s="30" t="s">
        <v>156</v>
      </c>
      <c r="F10" s="71" t="s">
        <v>157</v>
      </c>
      <c r="G10" s="21"/>
      <c r="H10" s="22"/>
      <c r="I10" s="22"/>
      <c r="J10" s="23"/>
      <c r="K10" s="21"/>
      <c r="L10" s="22"/>
      <c r="M10" s="22"/>
      <c r="N10" s="24"/>
      <c r="O10" s="24"/>
      <c r="P10" s="24" t="s">
        <v>101</v>
      </c>
      <c r="Q10" s="24" t="s">
        <v>101</v>
      </c>
      <c r="R10" s="23"/>
      <c r="S10" s="135"/>
      <c r="T10" s="25"/>
      <c r="U10" s="26"/>
      <c r="V10" s="27"/>
      <c r="W10" s="28"/>
      <c r="X10" s="29"/>
    </row>
    <row r="11" spans="1:24" ht="22.8">
      <c r="A11" s="19">
        <f t="shared" si="0"/>
        <v>9</v>
      </c>
      <c r="B11" s="20"/>
      <c r="C11" s="20"/>
      <c r="D11" s="30"/>
      <c r="E11" s="30"/>
      <c r="F11" s="71" t="s">
        <v>150</v>
      </c>
      <c r="G11" s="21"/>
      <c r="H11" s="22"/>
      <c r="I11" s="22"/>
      <c r="J11" s="23"/>
      <c r="K11" s="21"/>
      <c r="L11" s="22"/>
      <c r="M11" s="22"/>
      <c r="N11" s="24"/>
      <c r="O11" s="24"/>
      <c r="P11" s="24" t="s">
        <v>101</v>
      </c>
      <c r="Q11" s="24" t="s">
        <v>101</v>
      </c>
      <c r="R11" s="23"/>
      <c r="S11" s="135"/>
      <c r="T11" s="25"/>
      <c r="U11" s="26"/>
      <c r="V11" s="27"/>
      <c r="W11" s="28"/>
      <c r="X11" s="29"/>
    </row>
    <row r="12" spans="1:24" ht="22.8">
      <c r="A12" s="19">
        <f t="shared" si="0"/>
        <v>10</v>
      </c>
      <c r="B12" s="20"/>
      <c r="C12" s="20"/>
      <c r="D12" s="30"/>
      <c r="E12" s="30"/>
      <c r="F12" s="71" t="s">
        <v>151</v>
      </c>
      <c r="G12" s="21"/>
      <c r="H12" s="22"/>
      <c r="I12" s="22"/>
      <c r="J12" s="23"/>
      <c r="K12" s="21"/>
      <c r="L12" s="22"/>
      <c r="M12" s="22"/>
      <c r="N12" s="24"/>
      <c r="O12" s="24"/>
      <c r="P12" s="24" t="s">
        <v>101</v>
      </c>
      <c r="Q12" s="24" t="s">
        <v>101</v>
      </c>
      <c r="R12" s="23"/>
      <c r="S12" s="135"/>
      <c r="T12" s="25"/>
      <c r="U12" s="26"/>
      <c r="V12" s="27"/>
      <c r="W12" s="28"/>
      <c r="X12" s="29"/>
    </row>
    <row r="13" spans="1:24" ht="22.8">
      <c r="A13" s="19">
        <f t="shared" si="0"/>
        <v>11</v>
      </c>
      <c r="B13" s="20"/>
      <c r="C13" s="20"/>
      <c r="D13" s="30"/>
      <c r="E13" s="30"/>
      <c r="F13" s="71" t="s">
        <v>152</v>
      </c>
      <c r="G13" s="21"/>
      <c r="H13" s="22"/>
      <c r="I13" s="22"/>
      <c r="J13" s="23"/>
      <c r="K13" s="21"/>
      <c r="L13" s="22"/>
      <c r="M13" s="22"/>
      <c r="N13" s="24"/>
      <c r="O13" s="24"/>
      <c r="P13" s="24" t="s">
        <v>101</v>
      </c>
      <c r="Q13" s="24" t="s">
        <v>101</v>
      </c>
      <c r="R13" s="23"/>
      <c r="S13" s="135"/>
      <c r="T13" s="25"/>
      <c r="U13" s="26"/>
      <c r="V13" s="27"/>
      <c r="W13" s="28"/>
      <c r="X13" s="29"/>
    </row>
    <row r="14" spans="1:24" ht="22.8">
      <c r="A14" s="19">
        <f t="shared" si="0"/>
        <v>12</v>
      </c>
      <c r="B14" s="20"/>
      <c r="C14" s="20"/>
      <c r="D14" s="30"/>
      <c r="E14" s="30"/>
      <c r="F14" s="71" t="s">
        <v>153</v>
      </c>
      <c r="G14" s="21"/>
      <c r="H14" s="22"/>
      <c r="I14" s="22"/>
      <c r="J14" s="23"/>
      <c r="K14" s="21"/>
      <c r="L14" s="22"/>
      <c r="M14" s="22"/>
      <c r="N14" s="24"/>
      <c r="O14" s="24"/>
      <c r="P14" s="24" t="s">
        <v>101</v>
      </c>
      <c r="Q14" s="24" t="s">
        <v>101</v>
      </c>
      <c r="R14" s="23"/>
      <c r="S14" s="135"/>
      <c r="T14" s="25"/>
      <c r="U14" s="26"/>
      <c r="V14" s="27"/>
      <c r="W14" s="28"/>
      <c r="X14" s="29"/>
    </row>
    <row r="15" spans="1:24" ht="22.8">
      <c r="A15" s="19">
        <f t="shared" ref="A15" si="1">ROW()-2</f>
        <v>13</v>
      </c>
      <c r="B15" s="20"/>
      <c r="C15" s="20"/>
      <c r="D15" s="30"/>
      <c r="E15" s="30"/>
      <c r="F15" s="71" t="s">
        <v>154</v>
      </c>
      <c r="G15" s="21"/>
      <c r="H15" s="22"/>
      <c r="I15" s="22"/>
      <c r="J15" s="23"/>
      <c r="K15" s="21"/>
      <c r="L15" s="22"/>
      <c r="M15" s="22"/>
      <c r="N15" s="24"/>
      <c r="O15" s="24"/>
      <c r="P15" s="24" t="s">
        <v>101</v>
      </c>
      <c r="Q15" s="24" t="s">
        <v>101</v>
      </c>
      <c r="R15" s="23"/>
      <c r="S15" s="135"/>
      <c r="T15" s="25"/>
      <c r="U15" s="26"/>
      <c r="V15" s="27"/>
      <c r="W15" s="28"/>
      <c r="X15" s="29"/>
    </row>
    <row r="16" spans="1:24" s="3" customFormat="1" ht="12" customHeight="1">
      <c r="A16" s="32"/>
      <c r="B16" s="33"/>
      <c r="C16" s="34"/>
      <c r="D16" s="34"/>
      <c r="E16" s="33"/>
      <c r="F16" s="35" t="s">
        <v>88</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0</v>
      </c>
      <c r="Q16" s="39">
        <f t="shared" si="2"/>
        <v>0</v>
      </c>
      <c r="R16" s="38">
        <f t="shared" si="2"/>
        <v>0</v>
      </c>
      <c r="S16" s="136"/>
      <c r="T16" s="150" t="s">
        <v>89</v>
      </c>
      <c r="U16" s="150"/>
      <c r="V16" s="151"/>
      <c r="W16" s="40" t="s">
        <v>90</v>
      </c>
      <c r="X16" s="41">
        <f>SUM(G16:R16)</f>
        <v>0</v>
      </c>
    </row>
    <row r="17" spans="1:24" s="3" customFormat="1" ht="12" customHeight="1">
      <c r="A17" s="42"/>
      <c r="B17" s="43" t="s">
        <v>91</v>
      </c>
      <c r="C17" s="44">
        <f>X18</f>
        <v>0</v>
      </c>
      <c r="D17" s="44"/>
      <c r="E17" s="43"/>
      <c r="F17" s="45" t="s">
        <v>92</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52"/>
      <c r="U17" s="152"/>
      <c r="V17" s="153"/>
      <c r="W17" s="50" t="s">
        <v>90</v>
      </c>
      <c r="X17" s="51">
        <f t="shared" ref="X17:X19" si="4">SUM(G17:R17)</f>
        <v>0</v>
      </c>
    </row>
    <row r="18" spans="1:24" s="3" customFormat="1" ht="12" customHeight="1">
      <c r="A18" s="52" t="s">
        <v>93</v>
      </c>
      <c r="B18" s="53"/>
      <c r="C18" s="54"/>
      <c r="D18" s="54"/>
      <c r="E18" s="53"/>
      <c r="F18" s="55" t="s">
        <v>94</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0</v>
      </c>
      <c r="Q18" s="49">
        <f t="shared" si="5"/>
        <v>0</v>
      </c>
      <c r="R18" s="48">
        <f t="shared" si="5"/>
        <v>0</v>
      </c>
      <c r="S18" s="175"/>
      <c r="T18" s="164">
        <f>COUNTA(T3:T15)</f>
        <v>0</v>
      </c>
      <c r="U18" s="166">
        <f>COUNTA(U3:U15)</f>
        <v>0</v>
      </c>
      <c r="V18" s="168">
        <f>COUNTA(V3:V15)</f>
        <v>0</v>
      </c>
      <c r="W18" s="56" t="s">
        <v>90</v>
      </c>
      <c r="X18" s="51">
        <f t="shared" si="4"/>
        <v>0</v>
      </c>
    </row>
    <row r="19" spans="1:24" s="3" customFormat="1" ht="12" customHeight="1">
      <c r="A19" s="57"/>
      <c r="B19" s="58" t="s">
        <v>95</v>
      </c>
      <c r="C19" s="59">
        <f>X19</f>
        <v>24</v>
      </c>
      <c r="D19" s="59"/>
      <c r="E19" s="58"/>
      <c r="F19" s="60" t="s">
        <v>96</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76"/>
      <c r="T19" s="165"/>
      <c r="U19" s="167"/>
      <c r="V19" s="169"/>
      <c r="W19" s="65" t="s">
        <v>90</v>
      </c>
      <c r="X19" s="66">
        <f t="shared" si="4"/>
        <v>24</v>
      </c>
    </row>
  </sheetData>
  <mergeCells count="17">
    <mergeCell ref="T18:T19"/>
    <mergeCell ref="U18:U19"/>
    <mergeCell ref="V18:V19"/>
    <mergeCell ref="G1:J1"/>
    <mergeCell ref="K1:R1"/>
    <mergeCell ref="T1:V1"/>
    <mergeCell ref="S18:S19"/>
    <mergeCell ref="S1:S2"/>
    <mergeCell ref="W1:W2"/>
    <mergeCell ref="X1:X2"/>
    <mergeCell ref="T16:V1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topLeftCell="C1" zoomScaleNormal="110" zoomScaleSheetLayoutView="100" workbookViewId="0">
      <pane ySplit="2" topLeftCell="A3" activePane="bottomLeft" state="frozen"/>
      <selection activeCell="B8" sqref="B8"/>
      <selection pane="bottomLeft" activeCell="Q3" sqref="Q3"/>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4" t="s">
        <v>4</v>
      </c>
      <c r="B1" s="156" t="s">
        <v>5</v>
      </c>
      <c r="C1" s="158" t="s">
        <v>6</v>
      </c>
      <c r="D1" s="158" t="s">
        <v>7</v>
      </c>
      <c r="E1" s="160" t="s">
        <v>8</v>
      </c>
      <c r="F1" s="162" t="s">
        <v>9</v>
      </c>
      <c r="G1" s="170" t="s">
        <v>10</v>
      </c>
      <c r="H1" s="170"/>
      <c r="I1" s="170"/>
      <c r="J1" s="171"/>
      <c r="K1" s="172" t="s">
        <v>11</v>
      </c>
      <c r="L1" s="173"/>
      <c r="M1" s="173"/>
      <c r="N1" s="174"/>
      <c r="O1" s="174"/>
      <c r="P1" s="174"/>
      <c r="Q1" s="174"/>
      <c r="R1" s="174"/>
      <c r="S1" s="177" t="s">
        <v>940</v>
      </c>
      <c r="T1" s="170" t="s">
        <v>12</v>
      </c>
      <c r="U1" s="170"/>
      <c r="V1" s="170"/>
      <c r="W1" s="148" t="s">
        <v>13</v>
      </c>
      <c r="X1" s="148" t="s">
        <v>14</v>
      </c>
    </row>
    <row r="2" spans="1:24" s="1" customFormat="1" ht="22.8">
      <c r="A2" s="155"/>
      <c r="B2" s="157"/>
      <c r="C2" s="159"/>
      <c r="D2" s="159"/>
      <c r="E2" s="161"/>
      <c r="F2" s="163"/>
      <c r="G2" s="67" t="s">
        <v>15</v>
      </c>
      <c r="H2" s="68" t="s">
        <v>16</v>
      </c>
      <c r="I2" s="69" t="s">
        <v>17</v>
      </c>
      <c r="J2" s="69" t="s">
        <v>18</v>
      </c>
      <c r="K2" s="70" t="s">
        <v>15</v>
      </c>
      <c r="L2" s="69" t="s">
        <v>19</v>
      </c>
      <c r="M2" s="69" t="s">
        <v>20</v>
      </c>
      <c r="N2" s="69" t="s">
        <v>21</v>
      </c>
      <c r="O2" s="69" t="s">
        <v>22</v>
      </c>
      <c r="P2" s="69" t="s">
        <v>23</v>
      </c>
      <c r="Q2" s="69" t="s">
        <v>24</v>
      </c>
      <c r="R2" s="69" t="s">
        <v>25</v>
      </c>
      <c r="S2" s="178"/>
      <c r="T2" s="67" t="s">
        <v>26</v>
      </c>
      <c r="U2" s="68" t="s">
        <v>27</v>
      </c>
      <c r="V2" s="69" t="s">
        <v>28</v>
      </c>
      <c r="W2" s="149"/>
      <c r="X2" s="149"/>
    </row>
    <row r="3" spans="1:24" ht="11.4">
      <c r="A3" s="19">
        <f t="shared" ref="A3:A20" si="0">ROW()-2</f>
        <v>1</v>
      </c>
      <c r="B3" s="20" t="s">
        <v>29</v>
      </c>
      <c r="C3" s="20" t="s">
        <v>281</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31</v>
      </c>
      <c r="C4" s="20" t="s">
        <v>282</v>
      </c>
      <c r="D4" s="20" t="s">
        <v>198</v>
      </c>
      <c r="E4" s="30" t="s">
        <v>283</v>
      </c>
      <c r="F4" s="71" t="s">
        <v>284</v>
      </c>
      <c r="G4" s="21"/>
      <c r="H4" s="22"/>
      <c r="I4" s="22"/>
      <c r="J4" s="23"/>
      <c r="K4" s="21"/>
      <c r="L4" s="22"/>
      <c r="M4" s="22"/>
      <c r="N4" s="24"/>
      <c r="O4" s="24"/>
      <c r="P4" s="24" t="s">
        <v>101</v>
      </c>
      <c r="Q4" s="24"/>
      <c r="R4" s="23"/>
      <c r="S4" s="135">
        <v>45306</v>
      </c>
      <c r="T4" s="25"/>
      <c r="U4" s="26"/>
      <c r="V4" s="27"/>
      <c r="W4" s="28"/>
      <c r="X4" s="29" t="s">
        <v>285</v>
      </c>
    </row>
    <row r="5" spans="1:24" ht="11.4">
      <c r="A5" s="19">
        <f>ROW()-2</f>
        <v>3</v>
      </c>
      <c r="B5" s="20"/>
      <c r="C5" s="20"/>
      <c r="D5" s="20" t="s">
        <v>286</v>
      </c>
      <c r="E5" s="30" t="s">
        <v>283</v>
      </c>
      <c r="F5" s="71" t="s">
        <v>287</v>
      </c>
      <c r="G5" s="21"/>
      <c r="H5" s="22"/>
      <c r="I5" s="22"/>
      <c r="J5" s="23"/>
      <c r="K5" s="21"/>
      <c r="L5" s="22"/>
      <c r="M5" s="22"/>
      <c r="N5" s="24"/>
      <c r="O5" s="24"/>
      <c r="P5" s="24" t="s">
        <v>101</v>
      </c>
      <c r="Q5" s="24"/>
      <c r="R5" s="23"/>
      <c r="S5" s="135">
        <v>45306</v>
      </c>
      <c r="T5" s="25"/>
      <c r="U5" s="26"/>
      <c r="V5" s="27"/>
      <c r="W5" s="28"/>
      <c r="X5" s="29" t="s">
        <v>167</v>
      </c>
    </row>
    <row r="6" spans="1:24" ht="11.4">
      <c r="A6" s="19">
        <f t="shared" si="0"/>
        <v>4</v>
      </c>
      <c r="B6" s="20"/>
      <c r="C6" s="20"/>
      <c r="D6" s="20" t="s">
        <v>288</v>
      </c>
      <c r="E6" s="30" t="s">
        <v>283</v>
      </c>
      <c r="F6" s="71" t="s">
        <v>289</v>
      </c>
      <c r="G6" s="21"/>
      <c r="H6" s="22"/>
      <c r="I6" s="22"/>
      <c r="J6" s="23"/>
      <c r="K6" s="21"/>
      <c r="L6" s="22"/>
      <c r="M6" s="22"/>
      <c r="N6" s="24"/>
      <c r="O6" s="24"/>
      <c r="P6" s="24" t="s">
        <v>101</v>
      </c>
      <c r="Q6" s="24"/>
      <c r="R6" s="23"/>
      <c r="S6" s="135">
        <v>45306</v>
      </c>
      <c r="T6" s="25"/>
      <c r="U6" s="26"/>
      <c r="V6" s="27"/>
      <c r="W6" s="28"/>
      <c r="X6" s="29" t="s">
        <v>167</v>
      </c>
    </row>
    <row r="7" spans="1:24" ht="11.4">
      <c r="A7" s="19">
        <f t="shared" si="0"/>
        <v>5</v>
      </c>
      <c r="B7" s="20"/>
      <c r="C7" s="20"/>
      <c r="D7" s="20" t="s">
        <v>290</v>
      </c>
      <c r="E7" s="30" t="s">
        <v>283</v>
      </c>
      <c r="F7" s="71" t="s">
        <v>291</v>
      </c>
      <c r="G7" s="21"/>
      <c r="H7" s="22"/>
      <c r="I7" s="22"/>
      <c r="J7" s="23"/>
      <c r="K7" s="21"/>
      <c r="L7" s="22"/>
      <c r="M7" s="22"/>
      <c r="N7" s="24"/>
      <c r="O7" s="24"/>
      <c r="P7" s="24" t="s">
        <v>101</v>
      </c>
      <c r="Q7" s="24"/>
      <c r="R7" s="23"/>
      <c r="S7" s="135">
        <v>45306</v>
      </c>
      <c r="T7" s="25"/>
      <c r="U7" s="26"/>
      <c r="V7" s="27"/>
      <c r="W7" s="28"/>
      <c r="X7" s="29" t="s">
        <v>167</v>
      </c>
    </row>
    <row r="8" spans="1:24" ht="11.4">
      <c r="A8" s="19">
        <f t="shared" si="0"/>
        <v>6</v>
      </c>
      <c r="B8" s="20"/>
      <c r="C8" s="20"/>
      <c r="D8" s="20" t="s">
        <v>292</v>
      </c>
      <c r="E8" s="30" t="s">
        <v>283</v>
      </c>
      <c r="F8" s="71" t="s">
        <v>293</v>
      </c>
      <c r="G8" s="21"/>
      <c r="H8" s="22"/>
      <c r="I8" s="22"/>
      <c r="J8" s="23"/>
      <c r="K8" s="21"/>
      <c r="L8" s="22"/>
      <c r="M8" s="22"/>
      <c r="N8" s="24"/>
      <c r="O8" s="24"/>
      <c r="P8" s="24" t="s">
        <v>101</v>
      </c>
      <c r="Q8" s="24"/>
      <c r="R8" s="23"/>
      <c r="S8" s="135">
        <v>45306</v>
      </c>
      <c r="T8" s="25"/>
      <c r="U8" s="26"/>
      <c r="V8" s="27"/>
      <c r="W8" s="28"/>
      <c r="X8" s="29" t="s">
        <v>167</v>
      </c>
    </row>
    <row r="9" spans="1:24" ht="57">
      <c r="A9" s="19">
        <f t="shared" si="0"/>
        <v>7</v>
      </c>
      <c r="B9" s="20"/>
      <c r="C9" s="20"/>
      <c r="D9" s="20" t="s">
        <v>294</v>
      </c>
      <c r="E9" s="30" t="s">
        <v>283</v>
      </c>
      <c r="F9" s="71" t="s">
        <v>295</v>
      </c>
      <c r="G9" s="21"/>
      <c r="H9" s="22"/>
      <c r="I9" s="22"/>
      <c r="J9" s="23"/>
      <c r="K9" s="21"/>
      <c r="L9" s="22"/>
      <c r="M9" s="22"/>
      <c r="N9" s="24"/>
      <c r="O9" s="24"/>
      <c r="P9" s="24" t="s">
        <v>101</v>
      </c>
      <c r="Q9" s="24"/>
      <c r="R9" s="23"/>
      <c r="S9" s="135">
        <v>45306</v>
      </c>
      <c r="T9" s="25"/>
      <c r="U9" s="26"/>
      <c r="V9" s="27"/>
      <c r="W9" s="28"/>
      <c r="X9" s="29" t="s">
        <v>167</v>
      </c>
    </row>
    <row r="10" spans="1:24" ht="68.400000000000006">
      <c r="A10" s="19">
        <f t="shared" si="0"/>
        <v>8</v>
      </c>
      <c r="B10" s="20"/>
      <c r="C10" s="20"/>
      <c r="D10" s="30" t="s">
        <v>296</v>
      </c>
      <c r="E10" s="30" t="s">
        <v>283</v>
      </c>
      <c r="F10" s="71" t="s">
        <v>297</v>
      </c>
      <c r="G10" s="21"/>
      <c r="H10" s="22"/>
      <c r="I10" s="22"/>
      <c r="J10" s="23"/>
      <c r="K10" s="21"/>
      <c r="L10" s="22"/>
      <c r="M10" s="22"/>
      <c r="N10" s="24"/>
      <c r="O10" s="24"/>
      <c r="P10" s="24" t="s">
        <v>101</v>
      </c>
      <c r="Q10" s="24"/>
      <c r="R10" s="23"/>
      <c r="S10" s="135">
        <v>45306</v>
      </c>
      <c r="T10" s="25"/>
      <c r="U10" s="26"/>
      <c r="V10" s="27"/>
      <c r="W10" s="28"/>
      <c r="X10" s="29" t="s">
        <v>167</v>
      </c>
    </row>
    <row r="11" spans="1:24" ht="11.4">
      <c r="A11" s="19">
        <f t="shared" si="0"/>
        <v>9</v>
      </c>
      <c r="B11" s="20"/>
      <c r="C11" s="20"/>
      <c r="D11" s="30" t="s">
        <v>298</v>
      </c>
      <c r="E11" s="30" t="s">
        <v>283</v>
      </c>
      <c r="F11" s="71" t="s">
        <v>206</v>
      </c>
      <c r="G11" s="21"/>
      <c r="H11" s="22"/>
      <c r="I11" s="22"/>
      <c r="J11" s="23"/>
      <c r="K11" s="21"/>
      <c r="L11" s="22"/>
      <c r="M11" s="22"/>
      <c r="N11" s="24"/>
      <c r="O11" s="24"/>
      <c r="P11" s="24" t="s">
        <v>101</v>
      </c>
      <c r="Q11" s="24"/>
      <c r="R11" s="23"/>
      <c r="S11" s="135">
        <v>45306</v>
      </c>
      <c r="T11" s="25"/>
      <c r="U11" s="26"/>
      <c r="V11" s="27"/>
      <c r="W11" s="28"/>
      <c r="X11" s="29" t="s">
        <v>167</v>
      </c>
    </row>
    <row r="12" spans="1:24" ht="22.8">
      <c r="A12" s="19">
        <f t="shared" si="0"/>
        <v>10</v>
      </c>
      <c r="B12" s="20"/>
      <c r="C12" s="20"/>
      <c r="D12" s="30" t="s">
        <v>299</v>
      </c>
      <c r="E12" s="30" t="s">
        <v>283</v>
      </c>
      <c r="F12" s="71" t="s">
        <v>300</v>
      </c>
      <c r="G12" s="21"/>
      <c r="H12" s="22"/>
      <c r="I12" s="22"/>
      <c r="J12" s="23"/>
      <c r="K12" s="21"/>
      <c r="L12" s="22"/>
      <c r="M12" s="22"/>
      <c r="N12" s="24"/>
      <c r="O12" s="24"/>
      <c r="P12" s="24" t="s">
        <v>101</v>
      </c>
      <c r="Q12" s="24"/>
      <c r="R12" s="23"/>
      <c r="S12" s="135">
        <v>45306</v>
      </c>
      <c r="T12" s="25"/>
      <c r="U12" s="26"/>
      <c r="V12" s="27"/>
      <c r="W12" s="28"/>
      <c r="X12" s="74" t="s">
        <v>301</v>
      </c>
    </row>
    <row r="13" spans="1:24" ht="34.200000000000003">
      <c r="A13" s="19">
        <f t="shared" si="0"/>
        <v>11</v>
      </c>
      <c r="B13" s="20"/>
      <c r="C13" s="20"/>
      <c r="D13" s="30" t="s">
        <v>302</v>
      </c>
      <c r="E13" s="30" t="s">
        <v>283</v>
      </c>
      <c r="F13" s="72" t="s">
        <v>303</v>
      </c>
      <c r="G13" s="21"/>
      <c r="H13" s="22"/>
      <c r="I13" s="22"/>
      <c r="J13" s="23"/>
      <c r="K13" s="21"/>
      <c r="L13" s="22"/>
      <c r="M13" s="22"/>
      <c r="N13" s="24"/>
      <c r="O13" s="24"/>
      <c r="P13" s="24" t="s">
        <v>101</v>
      </c>
      <c r="Q13" s="24"/>
      <c r="R13" s="23"/>
      <c r="S13" s="135">
        <v>45306</v>
      </c>
      <c r="T13" s="25"/>
      <c r="U13" s="26"/>
      <c r="V13" s="27"/>
      <c r="W13" s="28"/>
      <c r="X13" s="29" t="s">
        <v>167</v>
      </c>
    </row>
    <row r="14" spans="1:24" ht="11.4">
      <c r="A14" s="19">
        <f t="shared" si="0"/>
        <v>12</v>
      </c>
      <c r="B14" s="20"/>
      <c r="C14" s="20"/>
      <c r="D14" s="20" t="s">
        <v>304</v>
      </c>
      <c r="E14" s="30" t="s">
        <v>283</v>
      </c>
      <c r="F14" s="71" t="s">
        <v>293</v>
      </c>
      <c r="G14" s="21"/>
      <c r="H14" s="22"/>
      <c r="I14" s="22"/>
      <c r="J14" s="23"/>
      <c r="K14" s="21"/>
      <c r="L14" s="22"/>
      <c r="M14" s="22"/>
      <c r="N14" s="24"/>
      <c r="O14" s="24"/>
      <c r="P14" s="24" t="s">
        <v>101</v>
      </c>
      <c r="Q14" s="24"/>
      <c r="R14" s="23"/>
      <c r="S14" s="135">
        <v>45306</v>
      </c>
      <c r="T14" s="25"/>
      <c r="U14" s="26"/>
      <c r="V14" s="27"/>
      <c r="W14" s="28"/>
      <c r="X14" s="29" t="s">
        <v>167</v>
      </c>
    </row>
    <row r="15" spans="1:24" ht="45.6">
      <c r="A15" s="19">
        <f t="shared" si="0"/>
        <v>13</v>
      </c>
      <c r="B15" s="20"/>
      <c r="C15" s="20"/>
      <c r="D15" s="20" t="s">
        <v>305</v>
      </c>
      <c r="E15" s="30" t="s">
        <v>283</v>
      </c>
      <c r="F15" s="71" t="s">
        <v>306</v>
      </c>
      <c r="G15" s="21"/>
      <c r="H15" s="22"/>
      <c r="I15" s="22"/>
      <c r="J15" s="23"/>
      <c r="K15" s="21"/>
      <c r="L15" s="22"/>
      <c r="M15" s="22"/>
      <c r="N15" s="24"/>
      <c r="O15" s="24"/>
      <c r="P15" s="24" t="s">
        <v>101</v>
      </c>
      <c r="Q15" s="24"/>
      <c r="R15" s="23"/>
      <c r="S15" s="135">
        <v>45306</v>
      </c>
      <c r="T15" s="25"/>
      <c r="U15" s="26"/>
      <c r="V15" s="27"/>
      <c r="W15" s="28"/>
      <c r="X15" s="29" t="s">
        <v>167</v>
      </c>
    </row>
    <row r="16" spans="1:24" ht="45.6">
      <c r="A16" s="19">
        <f t="shared" si="0"/>
        <v>14</v>
      </c>
      <c r="B16" s="20"/>
      <c r="C16" s="20"/>
      <c r="D16" s="20" t="s">
        <v>307</v>
      </c>
      <c r="E16" s="30" t="s">
        <v>283</v>
      </c>
      <c r="F16" s="71" t="s">
        <v>308</v>
      </c>
      <c r="G16" s="21"/>
      <c r="H16" s="22"/>
      <c r="I16" s="22"/>
      <c r="J16" s="23"/>
      <c r="K16" s="21"/>
      <c r="L16" s="22"/>
      <c r="M16" s="22"/>
      <c r="N16" s="24"/>
      <c r="O16" s="24"/>
      <c r="P16" s="24" t="s">
        <v>101</v>
      </c>
      <c r="Q16" s="24"/>
      <c r="R16" s="23"/>
      <c r="S16" s="135">
        <v>45306</v>
      </c>
      <c r="T16" s="25"/>
      <c r="U16" s="26"/>
      <c r="V16" s="27"/>
      <c r="W16" s="28"/>
      <c r="X16" s="29" t="s">
        <v>167</v>
      </c>
    </row>
    <row r="17" spans="1:24" ht="11.4">
      <c r="A17" s="19">
        <f t="shared" si="0"/>
        <v>15</v>
      </c>
      <c r="B17" s="20"/>
      <c r="C17" s="20"/>
      <c r="D17" s="30" t="s">
        <v>309</v>
      </c>
      <c r="E17" s="30" t="s">
        <v>283</v>
      </c>
      <c r="F17" s="71" t="s">
        <v>310</v>
      </c>
      <c r="G17" s="21"/>
      <c r="H17" s="22"/>
      <c r="I17" s="22"/>
      <c r="J17" s="23"/>
      <c r="K17" s="21"/>
      <c r="L17" s="22"/>
      <c r="M17" s="22"/>
      <c r="N17" s="24"/>
      <c r="O17" s="24"/>
      <c r="P17" s="24" t="s">
        <v>101</v>
      </c>
      <c r="Q17" s="24"/>
      <c r="R17" s="23"/>
      <c r="S17" s="135">
        <v>45306</v>
      </c>
      <c r="T17" s="25"/>
      <c r="U17" s="26"/>
      <c r="V17" s="27"/>
      <c r="W17" s="28"/>
      <c r="X17" s="29" t="s">
        <v>167</v>
      </c>
    </row>
    <row r="18" spans="1:24" ht="11.4">
      <c r="A18" s="19">
        <f t="shared" si="0"/>
        <v>16</v>
      </c>
      <c r="B18" s="20"/>
      <c r="C18" s="20"/>
      <c r="D18" s="30" t="s">
        <v>311</v>
      </c>
      <c r="E18" s="30" t="s">
        <v>283</v>
      </c>
      <c r="F18" s="71" t="s">
        <v>312</v>
      </c>
      <c r="G18" s="21"/>
      <c r="H18" s="22"/>
      <c r="I18" s="22"/>
      <c r="J18" s="23"/>
      <c r="K18" s="21"/>
      <c r="L18" s="22"/>
      <c r="M18" s="22"/>
      <c r="N18" s="24"/>
      <c r="O18" s="24"/>
      <c r="P18" s="24" t="s">
        <v>101</v>
      </c>
      <c r="Q18" s="24"/>
      <c r="R18" s="23"/>
      <c r="S18" s="135">
        <v>45306</v>
      </c>
      <c r="T18" s="25"/>
      <c r="U18" s="26"/>
      <c r="V18" s="27"/>
      <c r="W18" s="28"/>
      <c r="X18" s="29" t="s">
        <v>167</v>
      </c>
    </row>
    <row r="19" spans="1:24" ht="22.8">
      <c r="A19" s="19">
        <f t="shared" si="0"/>
        <v>17</v>
      </c>
      <c r="B19" s="20"/>
      <c r="C19" s="20"/>
      <c r="D19" s="30" t="s">
        <v>313</v>
      </c>
      <c r="E19" s="30" t="s">
        <v>283</v>
      </c>
      <c r="F19" s="71" t="s">
        <v>314</v>
      </c>
      <c r="G19" s="21"/>
      <c r="H19" s="22"/>
      <c r="I19" s="22"/>
      <c r="J19" s="23"/>
      <c r="K19" s="21"/>
      <c r="L19" s="22"/>
      <c r="M19" s="22"/>
      <c r="N19" s="24"/>
      <c r="O19" s="24"/>
      <c r="P19" s="24" t="s">
        <v>101</v>
      </c>
      <c r="Q19" s="24"/>
      <c r="R19" s="23"/>
      <c r="S19" s="135">
        <v>45306</v>
      </c>
      <c r="T19" s="25"/>
      <c r="U19" s="26"/>
      <c r="V19" s="27"/>
      <c r="W19" s="28"/>
      <c r="X19" s="29" t="s">
        <v>167</v>
      </c>
    </row>
    <row r="20" spans="1:24" ht="11.4">
      <c r="A20" s="19">
        <f t="shared" si="0"/>
        <v>18</v>
      </c>
      <c r="B20" s="20"/>
      <c r="C20" s="20" t="s">
        <v>524</v>
      </c>
      <c r="D20" s="30"/>
      <c r="E20" s="30" t="s">
        <v>525</v>
      </c>
      <c r="F20" s="71" t="s">
        <v>526</v>
      </c>
      <c r="G20" s="21"/>
      <c r="H20" s="22"/>
      <c r="I20" s="22"/>
      <c r="J20" s="23"/>
      <c r="K20" s="21"/>
      <c r="L20" s="22"/>
      <c r="M20" s="22"/>
      <c r="N20" s="24" t="s">
        <v>101</v>
      </c>
      <c r="O20" s="24"/>
      <c r="P20" s="24"/>
      <c r="Q20" s="24"/>
      <c r="R20" s="23"/>
      <c r="S20" s="135">
        <v>45306</v>
      </c>
      <c r="T20" s="25"/>
      <c r="U20" s="26"/>
      <c r="V20" s="27"/>
      <c r="W20" s="28"/>
      <c r="X20" s="29"/>
    </row>
    <row r="21" spans="1:24" ht="11.4">
      <c r="A21" s="19">
        <f t="shared" ref="A21" si="1">ROW()-2</f>
        <v>19</v>
      </c>
      <c r="B21" s="20"/>
      <c r="C21" s="20"/>
      <c r="D21" s="30"/>
      <c r="E21" s="30"/>
      <c r="F21" s="72" t="s">
        <v>527</v>
      </c>
      <c r="G21" s="21"/>
      <c r="H21" s="22"/>
      <c r="I21" s="22"/>
      <c r="J21" s="23"/>
      <c r="K21" s="21"/>
      <c r="L21" s="22"/>
      <c r="M21" s="22"/>
      <c r="N21" s="24"/>
      <c r="O21" s="24"/>
      <c r="P21" s="24"/>
      <c r="Q21" s="24"/>
      <c r="R21" s="23" t="s">
        <v>100</v>
      </c>
      <c r="S21" s="135">
        <v>45306</v>
      </c>
      <c r="T21" s="25"/>
      <c r="U21" s="26"/>
      <c r="V21" s="27"/>
      <c r="W21" s="28"/>
      <c r="X21" s="29"/>
    </row>
    <row r="22" spans="1:24" s="3" customFormat="1" ht="12" customHeight="1">
      <c r="A22" s="32"/>
      <c r="B22" s="33"/>
      <c r="C22" s="34"/>
      <c r="D22" s="34"/>
      <c r="E22" s="33"/>
      <c r="F22" s="35" t="s">
        <v>88</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0</v>
      </c>
      <c r="Q22" s="39">
        <f t="shared" si="2"/>
        <v>0</v>
      </c>
      <c r="R22" s="38">
        <f t="shared" si="2"/>
        <v>0</v>
      </c>
      <c r="S22" s="136"/>
      <c r="T22" s="150" t="s">
        <v>89</v>
      </c>
      <c r="U22" s="150"/>
      <c r="V22" s="151"/>
      <c r="W22" s="40" t="s">
        <v>90</v>
      </c>
      <c r="X22" s="41">
        <f>SUM(G22:R22)</f>
        <v>0</v>
      </c>
    </row>
    <row r="23" spans="1:24" s="3" customFormat="1" ht="12" customHeight="1">
      <c r="A23" s="42"/>
      <c r="B23" s="43" t="s">
        <v>91</v>
      </c>
      <c r="C23" s="44">
        <f>X24</f>
        <v>0</v>
      </c>
      <c r="D23" s="44"/>
      <c r="E23" s="43"/>
      <c r="F23" s="45" t="s">
        <v>92</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52"/>
      <c r="U23" s="152"/>
      <c r="V23" s="153"/>
      <c r="W23" s="50" t="s">
        <v>90</v>
      </c>
      <c r="X23" s="51">
        <f t="shared" ref="X23:X25" si="4">SUM(G23:R23)</f>
        <v>0</v>
      </c>
    </row>
    <row r="24" spans="1:24" s="3" customFormat="1" ht="12" customHeight="1">
      <c r="A24" s="52" t="s">
        <v>93</v>
      </c>
      <c r="B24" s="53"/>
      <c r="C24" s="54"/>
      <c r="D24" s="54"/>
      <c r="E24" s="53"/>
      <c r="F24" s="55" t="s">
        <v>94</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0</v>
      </c>
      <c r="Q24" s="49">
        <f t="shared" si="5"/>
        <v>0</v>
      </c>
      <c r="R24" s="48">
        <f t="shared" si="5"/>
        <v>0</v>
      </c>
      <c r="S24" s="175"/>
      <c r="T24" s="164">
        <f>COUNTA(T3:T21)</f>
        <v>0</v>
      </c>
      <c r="U24" s="166">
        <f>COUNTA(U3:U21)</f>
        <v>0</v>
      </c>
      <c r="V24" s="168">
        <f>COUNTA(V3:V21)</f>
        <v>0</v>
      </c>
      <c r="W24" s="56" t="s">
        <v>90</v>
      </c>
      <c r="X24" s="51">
        <f t="shared" si="4"/>
        <v>0</v>
      </c>
    </row>
    <row r="25" spans="1:24" s="3" customFormat="1" ht="12" customHeight="1">
      <c r="A25" s="57"/>
      <c r="B25" s="58" t="s">
        <v>95</v>
      </c>
      <c r="C25" s="59">
        <f>X25</f>
        <v>18</v>
      </c>
      <c r="D25" s="59"/>
      <c r="E25" s="58"/>
      <c r="F25" s="60" t="s">
        <v>96</v>
      </c>
      <c r="G25" s="61">
        <f t="shared" ref="G25:R25" si="6">COUNTA(G3:G21)</f>
        <v>0</v>
      </c>
      <c r="H25" s="62">
        <f t="shared" si="6"/>
        <v>0</v>
      </c>
      <c r="I25" s="62">
        <f t="shared" si="6"/>
        <v>0</v>
      </c>
      <c r="J25" s="63">
        <f t="shared" si="6"/>
        <v>0</v>
      </c>
      <c r="K25" s="61">
        <f t="shared" si="6"/>
        <v>0</v>
      </c>
      <c r="L25" s="62">
        <f t="shared" si="6"/>
        <v>0</v>
      </c>
      <c r="M25" s="62">
        <f t="shared" si="6"/>
        <v>0</v>
      </c>
      <c r="N25" s="62">
        <f t="shared" si="6"/>
        <v>1</v>
      </c>
      <c r="O25" s="62">
        <f t="shared" si="6"/>
        <v>0</v>
      </c>
      <c r="P25" s="64">
        <f t="shared" si="6"/>
        <v>16</v>
      </c>
      <c r="Q25" s="64">
        <f t="shared" si="6"/>
        <v>0</v>
      </c>
      <c r="R25" s="63">
        <f t="shared" si="6"/>
        <v>1</v>
      </c>
      <c r="S25" s="176"/>
      <c r="T25" s="165"/>
      <c r="U25" s="167"/>
      <c r="V25" s="169"/>
      <c r="W25" s="65" t="s">
        <v>90</v>
      </c>
      <c r="X25" s="66">
        <f t="shared" si="4"/>
        <v>18</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zoomScaleNormal="110" zoomScaleSheetLayoutView="100" workbookViewId="0">
      <pane ySplit="2" topLeftCell="A189" activePane="bottomLeft" state="frozen"/>
      <selection activeCell="B8" sqref="B8"/>
      <selection pane="bottomLeft" activeCell="X243" sqref="X243"/>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4" t="s">
        <v>4</v>
      </c>
      <c r="B1" s="156" t="s">
        <v>5</v>
      </c>
      <c r="C1" s="158" t="s">
        <v>6</v>
      </c>
      <c r="D1" s="158" t="s">
        <v>7</v>
      </c>
      <c r="E1" s="160" t="s">
        <v>8</v>
      </c>
      <c r="F1" s="162" t="s">
        <v>9</v>
      </c>
      <c r="G1" s="170" t="s">
        <v>10</v>
      </c>
      <c r="H1" s="170"/>
      <c r="I1" s="170"/>
      <c r="J1" s="171"/>
      <c r="K1" s="172" t="s">
        <v>11</v>
      </c>
      <c r="L1" s="173"/>
      <c r="M1" s="173"/>
      <c r="N1" s="174"/>
      <c r="O1" s="174"/>
      <c r="P1" s="174"/>
      <c r="Q1" s="174"/>
      <c r="R1" s="174"/>
      <c r="S1" s="177" t="s">
        <v>940</v>
      </c>
      <c r="T1" s="170" t="s">
        <v>12</v>
      </c>
      <c r="U1" s="170"/>
      <c r="V1" s="170"/>
      <c r="W1" s="148" t="s">
        <v>13</v>
      </c>
      <c r="X1" s="148" t="s">
        <v>14</v>
      </c>
    </row>
    <row r="2" spans="1:24" s="1" customFormat="1" ht="22.8">
      <c r="A2" s="155"/>
      <c r="B2" s="157"/>
      <c r="C2" s="159"/>
      <c r="D2" s="159"/>
      <c r="E2" s="161"/>
      <c r="F2" s="163"/>
      <c r="G2" s="67" t="s">
        <v>15</v>
      </c>
      <c r="H2" s="68" t="s">
        <v>16</v>
      </c>
      <c r="I2" s="69" t="s">
        <v>17</v>
      </c>
      <c r="J2" s="69" t="s">
        <v>18</v>
      </c>
      <c r="K2" s="70" t="s">
        <v>15</v>
      </c>
      <c r="L2" s="69" t="s">
        <v>19</v>
      </c>
      <c r="M2" s="69" t="s">
        <v>20</v>
      </c>
      <c r="N2" s="69" t="s">
        <v>21</v>
      </c>
      <c r="O2" s="69" t="s">
        <v>22</v>
      </c>
      <c r="P2" s="69" t="s">
        <v>23</v>
      </c>
      <c r="Q2" s="69" t="s">
        <v>24</v>
      </c>
      <c r="R2" s="69" t="s">
        <v>25</v>
      </c>
      <c r="S2" s="178"/>
      <c r="T2" s="67" t="s">
        <v>26</v>
      </c>
      <c r="U2" s="68" t="s">
        <v>27</v>
      </c>
      <c r="V2" s="69" t="s">
        <v>28</v>
      </c>
      <c r="W2" s="149"/>
      <c r="X2" s="149"/>
    </row>
    <row r="3" spans="1:24" ht="22.8">
      <c r="A3" s="19">
        <f t="shared" ref="A3" si="0">ROW()-2</f>
        <v>1</v>
      </c>
      <c r="B3" s="20" t="s">
        <v>29</v>
      </c>
      <c r="C3" s="20" t="s">
        <v>158</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159</v>
      </c>
      <c r="C4" s="20" t="s">
        <v>160</v>
      </c>
      <c r="D4" s="20" t="s">
        <v>161</v>
      </c>
      <c r="E4" s="30" t="s">
        <v>162</v>
      </c>
      <c r="F4" s="71" t="s">
        <v>163</v>
      </c>
      <c r="G4" s="21"/>
      <c r="H4" s="22"/>
      <c r="I4" s="22"/>
      <c r="J4" s="23"/>
      <c r="K4" s="21"/>
      <c r="L4" s="22"/>
      <c r="M4" s="22"/>
      <c r="N4" s="24"/>
      <c r="O4" s="24"/>
      <c r="P4" s="24" t="s">
        <v>101</v>
      </c>
      <c r="Q4" s="24"/>
      <c r="R4" s="23"/>
      <c r="S4" s="135">
        <v>45311</v>
      </c>
      <c r="T4" s="25"/>
      <c r="U4" s="26"/>
      <c r="V4" s="27"/>
      <c r="W4" s="28"/>
      <c r="X4" s="29" t="s">
        <v>164</v>
      </c>
    </row>
    <row r="5" spans="1:24" ht="11.4">
      <c r="A5" s="19">
        <f t="shared" ref="A5:A7" si="1">ROW()-2</f>
        <v>3</v>
      </c>
      <c r="B5" s="20"/>
      <c r="C5" s="20"/>
      <c r="D5" s="20" t="s">
        <v>165</v>
      </c>
      <c r="E5" s="30" t="s">
        <v>162</v>
      </c>
      <c r="F5" s="71" t="s">
        <v>166</v>
      </c>
      <c r="G5" s="21"/>
      <c r="H5" s="22"/>
      <c r="I5" s="22"/>
      <c r="J5" s="23"/>
      <c r="K5" s="21"/>
      <c r="L5" s="22"/>
      <c r="M5" s="22"/>
      <c r="N5" s="24"/>
      <c r="O5" s="24"/>
      <c r="P5" s="24" t="s">
        <v>101</v>
      </c>
      <c r="Q5" s="24"/>
      <c r="R5" s="23"/>
      <c r="S5" s="135">
        <v>45311</v>
      </c>
      <c r="T5" s="25"/>
      <c r="U5" s="26"/>
      <c r="V5" s="27"/>
      <c r="W5" s="28"/>
      <c r="X5" s="29" t="s">
        <v>167</v>
      </c>
    </row>
    <row r="6" spans="1:24" ht="11.4">
      <c r="A6" s="19">
        <f t="shared" si="1"/>
        <v>4</v>
      </c>
      <c r="B6" s="20"/>
      <c r="C6" s="20"/>
      <c r="D6" s="20" t="s">
        <v>168</v>
      </c>
      <c r="E6" s="30" t="s">
        <v>162</v>
      </c>
      <c r="F6" s="71" t="s">
        <v>169</v>
      </c>
      <c r="G6" s="21"/>
      <c r="H6" s="22"/>
      <c r="I6" s="22"/>
      <c r="J6" s="23"/>
      <c r="K6" s="21"/>
      <c r="L6" s="22"/>
      <c r="M6" s="22"/>
      <c r="N6" s="24"/>
      <c r="O6" s="24"/>
      <c r="P6" s="24" t="s">
        <v>101</v>
      </c>
      <c r="Q6" s="24"/>
      <c r="R6" s="23"/>
      <c r="S6" s="135">
        <v>45311</v>
      </c>
      <c r="T6" s="25"/>
      <c r="U6" s="26"/>
      <c r="V6" s="27"/>
      <c r="W6" s="28"/>
      <c r="X6" s="29" t="s">
        <v>167</v>
      </c>
    </row>
    <row r="7" spans="1:24" ht="11.4">
      <c r="A7" s="19">
        <f t="shared" si="1"/>
        <v>5</v>
      </c>
      <c r="B7" s="20"/>
      <c r="C7" s="20"/>
      <c r="D7" s="20" t="s">
        <v>170</v>
      </c>
      <c r="E7" s="30" t="s">
        <v>162</v>
      </c>
      <c r="F7" s="71" t="s">
        <v>171</v>
      </c>
      <c r="G7" s="21"/>
      <c r="H7" s="22"/>
      <c r="I7" s="22"/>
      <c r="J7" s="23"/>
      <c r="K7" s="21"/>
      <c r="L7" s="22"/>
      <c r="M7" s="22"/>
      <c r="N7" s="24"/>
      <c r="O7" s="24"/>
      <c r="P7" s="24" t="s">
        <v>101</v>
      </c>
      <c r="Q7" s="24"/>
      <c r="R7" s="23"/>
      <c r="S7" s="135">
        <v>45311</v>
      </c>
      <c r="T7" s="25"/>
      <c r="U7" s="26"/>
      <c r="V7" s="27"/>
      <c r="W7" s="28"/>
      <c r="X7" s="29" t="s">
        <v>167</v>
      </c>
    </row>
    <row r="8" spans="1:24" ht="11.4">
      <c r="A8" s="19">
        <f>ROW()-2</f>
        <v>6</v>
      </c>
      <c r="B8" s="20"/>
      <c r="C8" s="20"/>
      <c r="D8" s="20" t="s">
        <v>172</v>
      </c>
      <c r="E8" s="30" t="s">
        <v>162</v>
      </c>
      <c r="F8" s="71" t="s">
        <v>173</v>
      </c>
      <c r="G8" s="21"/>
      <c r="H8" s="22"/>
      <c r="I8" s="22"/>
      <c r="J8" s="23"/>
      <c r="K8" s="21"/>
      <c r="L8" s="22"/>
      <c r="M8" s="22"/>
      <c r="N8" s="24"/>
      <c r="O8" s="24"/>
      <c r="P8" s="24" t="s">
        <v>101</v>
      </c>
      <c r="Q8" s="24"/>
      <c r="R8" s="23"/>
      <c r="S8" s="135">
        <v>45311</v>
      </c>
      <c r="T8" s="25"/>
      <c r="U8" s="26"/>
      <c r="V8" s="27"/>
      <c r="W8" s="28"/>
      <c r="X8" s="29" t="s">
        <v>167</v>
      </c>
    </row>
    <row r="9" spans="1:24" ht="11.4">
      <c r="A9" s="19">
        <f t="shared" ref="A9:A246" si="2">ROW()-2</f>
        <v>7</v>
      </c>
      <c r="B9" s="20"/>
      <c r="C9" s="20"/>
      <c r="D9" s="20" t="s">
        <v>174</v>
      </c>
      <c r="E9" s="30" t="s">
        <v>162</v>
      </c>
      <c r="F9" s="71" t="s">
        <v>175</v>
      </c>
      <c r="G9" s="21"/>
      <c r="H9" s="22"/>
      <c r="I9" s="22"/>
      <c r="J9" s="23"/>
      <c r="K9" s="21"/>
      <c r="L9" s="22"/>
      <c r="M9" s="22"/>
      <c r="N9" s="24"/>
      <c r="O9" s="24"/>
      <c r="P9" s="24" t="s">
        <v>101</v>
      </c>
      <c r="Q9" s="24"/>
      <c r="R9" s="23"/>
      <c r="S9" s="135">
        <v>45311</v>
      </c>
      <c r="T9" s="25"/>
      <c r="U9" s="26"/>
      <c r="V9" s="27"/>
      <c r="W9" s="28"/>
      <c r="X9" s="29" t="s">
        <v>167</v>
      </c>
    </row>
    <row r="10" spans="1:24" ht="11.4">
      <c r="A10" s="19">
        <f t="shared" si="2"/>
        <v>8</v>
      </c>
      <c r="B10" s="20"/>
      <c r="C10" s="20"/>
      <c r="D10" s="20" t="s">
        <v>176</v>
      </c>
      <c r="E10" s="30" t="s">
        <v>162</v>
      </c>
      <c r="F10" s="71" t="s">
        <v>177</v>
      </c>
      <c r="G10" s="21"/>
      <c r="H10" s="22"/>
      <c r="I10" s="22"/>
      <c r="J10" s="23"/>
      <c r="K10" s="21"/>
      <c r="L10" s="22"/>
      <c r="M10" s="22"/>
      <c r="N10" s="24"/>
      <c r="O10" s="24"/>
      <c r="P10" s="24" t="s">
        <v>101</v>
      </c>
      <c r="Q10" s="24"/>
      <c r="R10" s="23"/>
      <c r="S10" s="135">
        <v>45311</v>
      </c>
      <c r="T10" s="25"/>
      <c r="U10" s="26"/>
      <c r="V10" s="27"/>
      <c r="W10" s="28"/>
      <c r="X10" s="29" t="s">
        <v>167</v>
      </c>
    </row>
    <row r="11" spans="1:24" ht="11.4">
      <c r="A11" s="19">
        <f t="shared" si="2"/>
        <v>9</v>
      </c>
      <c r="B11" s="20"/>
      <c r="C11" s="20"/>
      <c r="D11" s="20" t="s">
        <v>178</v>
      </c>
      <c r="E11" s="30" t="s">
        <v>162</v>
      </c>
      <c r="F11" s="71" t="s">
        <v>175</v>
      </c>
      <c r="G11" s="21"/>
      <c r="H11" s="22"/>
      <c r="I11" s="22"/>
      <c r="J11" s="23"/>
      <c r="K11" s="21"/>
      <c r="L11" s="22"/>
      <c r="M11" s="22"/>
      <c r="N11" s="24"/>
      <c r="O11" s="24"/>
      <c r="P11" s="24" t="s">
        <v>101</v>
      </c>
      <c r="Q11" s="24"/>
      <c r="R11" s="23"/>
      <c r="S11" s="135">
        <v>45311</v>
      </c>
      <c r="T11" s="25"/>
      <c r="U11" s="26"/>
      <c r="V11" s="27"/>
      <c r="W11" s="28"/>
      <c r="X11" s="29" t="s">
        <v>167</v>
      </c>
    </row>
    <row r="12" spans="1:24" ht="11.4">
      <c r="A12" s="19">
        <f t="shared" si="2"/>
        <v>10</v>
      </c>
      <c r="B12" s="20"/>
      <c r="C12" s="20"/>
      <c r="D12" s="30" t="s">
        <v>179</v>
      </c>
      <c r="E12" s="30" t="s">
        <v>162</v>
      </c>
      <c r="F12" s="71" t="s">
        <v>180</v>
      </c>
      <c r="G12" s="21"/>
      <c r="H12" s="22"/>
      <c r="I12" s="22"/>
      <c r="J12" s="23"/>
      <c r="K12" s="21"/>
      <c r="L12" s="22"/>
      <c r="M12" s="22"/>
      <c r="N12" s="24"/>
      <c r="O12" s="24"/>
      <c r="P12" s="24" t="s">
        <v>101</v>
      </c>
      <c r="Q12" s="24"/>
      <c r="R12" s="23"/>
      <c r="S12" s="135">
        <v>45311</v>
      </c>
      <c r="T12" s="25"/>
      <c r="U12" s="26"/>
      <c r="V12" s="27"/>
      <c r="W12" s="28"/>
      <c r="X12" s="29" t="s">
        <v>167</v>
      </c>
    </row>
    <row r="13" spans="1:24" ht="11.4">
      <c r="A13" s="19">
        <f t="shared" si="2"/>
        <v>11</v>
      </c>
      <c r="B13" s="20"/>
      <c r="C13" s="20"/>
      <c r="D13" s="30" t="s">
        <v>181</v>
      </c>
      <c r="E13" s="30" t="s">
        <v>162</v>
      </c>
      <c r="F13" s="71" t="s">
        <v>169</v>
      </c>
      <c r="G13" s="21"/>
      <c r="H13" s="22"/>
      <c r="I13" s="22"/>
      <c r="J13" s="23"/>
      <c r="K13" s="21"/>
      <c r="L13" s="22"/>
      <c r="M13" s="22"/>
      <c r="N13" s="24"/>
      <c r="O13" s="24"/>
      <c r="P13" s="24" t="s">
        <v>101</v>
      </c>
      <c r="Q13" s="24"/>
      <c r="R13" s="23"/>
      <c r="S13" s="135">
        <v>45311</v>
      </c>
      <c r="T13" s="25"/>
      <c r="U13" s="26"/>
      <c r="V13" s="27"/>
      <c r="W13" s="28"/>
      <c r="X13" s="29" t="s">
        <v>167</v>
      </c>
    </row>
    <row r="14" spans="1:24" ht="11.4">
      <c r="A14" s="19">
        <f t="shared" si="2"/>
        <v>12</v>
      </c>
      <c r="B14" s="20"/>
      <c r="C14" s="20"/>
      <c r="D14" s="30" t="s">
        <v>182</v>
      </c>
      <c r="E14" s="30" t="s">
        <v>162</v>
      </c>
      <c r="F14" s="71" t="s">
        <v>169</v>
      </c>
      <c r="G14" s="21"/>
      <c r="H14" s="22"/>
      <c r="I14" s="22"/>
      <c r="J14" s="23"/>
      <c r="K14" s="21"/>
      <c r="L14" s="22"/>
      <c r="M14" s="22"/>
      <c r="N14" s="24"/>
      <c r="O14" s="24"/>
      <c r="P14" s="24" t="s">
        <v>101</v>
      </c>
      <c r="Q14" s="24"/>
      <c r="R14" s="23"/>
      <c r="S14" s="135">
        <v>45311</v>
      </c>
      <c r="T14" s="25"/>
      <c r="U14" s="26"/>
      <c r="V14" s="27"/>
      <c r="W14" s="28"/>
      <c r="X14" s="29" t="s">
        <v>167</v>
      </c>
    </row>
    <row r="15" spans="1:24" ht="11.4">
      <c r="A15" s="19">
        <f t="shared" si="2"/>
        <v>13</v>
      </c>
      <c r="B15" s="20"/>
      <c r="C15" s="20"/>
      <c r="D15" s="30" t="s">
        <v>183</v>
      </c>
      <c r="E15" s="30" t="s">
        <v>162</v>
      </c>
      <c r="F15" s="71" t="s">
        <v>169</v>
      </c>
      <c r="G15" s="21"/>
      <c r="H15" s="22"/>
      <c r="I15" s="22"/>
      <c r="J15" s="23"/>
      <c r="K15" s="21"/>
      <c r="L15" s="22"/>
      <c r="M15" s="22"/>
      <c r="N15" s="24"/>
      <c r="O15" s="24"/>
      <c r="P15" s="24" t="s">
        <v>101</v>
      </c>
      <c r="Q15" s="24"/>
      <c r="R15" s="23"/>
      <c r="S15" s="135">
        <v>45311</v>
      </c>
      <c r="T15" s="25"/>
      <c r="U15" s="26"/>
      <c r="V15" s="27"/>
      <c r="W15" s="28"/>
      <c r="X15" s="29" t="s">
        <v>167</v>
      </c>
    </row>
    <row r="16" spans="1:24" ht="11.4">
      <c r="A16" s="19">
        <f t="shared" si="2"/>
        <v>14</v>
      </c>
      <c r="B16" s="20"/>
      <c r="C16" s="20"/>
      <c r="D16" s="30" t="s">
        <v>184</v>
      </c>
      <c r="E16" s="30" t="s">
        <v>162</v>
      </c>
      <c r="F16" s="71" t="s">
        <v>169</v>
      </c>
      <c r="G16" s="21"/>
      <c r="H16" s="22"/>
      <c r="I16" s="22"/>
      <c r="J16" s="23"/>
      <c r="K16" s="21"/>
      <c r="L16" s="22"/>
      <c r="M16" s="22"/>
      <c r="N16" s="24"/>
      <c r="O16" s="24"/>
      <c r="P16" s="24" t="s">
        <v>101</v>
      </c>
      <c r="Q16" s="24"/>
      <c r="R16" s="23"/>
      <c r="S16" s="135">
        <v>45311</v>
      </c>
      <c r="T16" s="25"/>
      <c r="U16" s="26"/>
      <c r="V16" s="27"/>
      <c r="W16" s="28"/>
      <c r="X16" s="29" t="s">
        <v>167</v>
      </c>
    </row>
    <row r="17" spans="1:24" ht="11.4">
      <c r="A17" s="19">
        <f t="shared" si="2"/>
        <v>15</v>
      </c>
      <c r="B17" s="20"/>
      <c r="C17" s="20"/>
      <c r="D17" s="30" t="s">
        <v>185</v>
      </c>
      <c r="E17" s="30" t="s">
        <v>162</v>
      </c>
      <c r="F17" s="71" t="s">
        <v>169</v>
      </c>
      <c r="G17" s="21"/>
      <c r="H17" s="22"/>
      <c r="I17" s="22"/>
      <c r="J17" s="23"/>
      <c r="K17" s="21"/>
      <c r="L17" s="22"/>
      <c r="M17" s="22"/>
      <c r="N17" s="24"/>
      <c r="O17" s="24"/>
      <c r="P17" s="24" t="s">
        <v>101</v>
      </c>
      <c r="Q17" s="24"/>
      <c r="R17" s="23"/>
      <c r="S17" s="135">
        <v>45311</v>
      </c>
      <c r="T17" s="25"/>
      <c r="U17" s="26"/>
      <c r="V17" s="27"/>
      <c r="W17" s="28"/>
      <c r="X17" s="29" t="s">
        <v>167</v>
      </c>
    </row>
    <row r="18" spans="1:24" ht="11.4">
      <c r="A18" s="19">
        <f t="shared" si="2"/>
        <v>16</v>
      </c>
      <c r="B18" s="20"/>
      <c r="C18" s="20"/>
      <c r="D18" s="20" t="s">
        <v>186</v>
      </c>
      <c r="E18" s="30" t="s">
        <v>162</v>
      </c>
      <c r="F18" s="71" t="s">
        <v>169</v>
      </c>
      <c r="G18" s="21"/>
      <c r="H18" s="22"/>
      <c r="I18" s="22"/>
      <c r="J18" s="23"/>
      <c r="K18" s="21"/>
      <c r="L18" s="22"/>
      <c r="M18" s="22"/>
      <c r="N18" s="24"/>
      <c r="O18" s="24"/>
      <c r="P18" s="24" t="s">
        <v>101</v>
      </c>
      <c r="Q18" s="24"/>
      <c r="R18" s="23"/>
      <c r="S18" s="135">
        <v>45311</v>
      </c>
      <c r="T18" s="25"/>
      <c r="U18" s="26"/>
      <c r="V18" s="27"/>
      <c r="W18" s="28"/>
      <c r="X18" s="29" t="s">
        <v>167</v>
      </c>
    </row>
    <row r="19" spans="1:24" ht="11.4">
      <c r="A19" s="19">
        <f t="shared" si="2"/>
        <v>17</v>
      </c>
      <c r="B19" s="20"/>
      <c r="C19" s="20"/>
      <c r="D19" s="20" t="s">
        <v>187</v>
      </c>
      <c r="E19" s="30" t="s">
        <v>162</v>
      </c>
      <c r="F19" s="71" t="s">
        <v>169</v>
      </c>
      <c r="G19" s="21"/>
      <c r="H19" s="22"/>
      <c r="I19" s="22"/>
      <c r="J19" s="23"/>
      <c r="K19" s="21"/>
      <c r="L19" s="22"/>
      <c r="M19" s="22"/>
      <c r="N19" s="24"/>
      <c r="O19" s="24"/>
      <c r="P19" s="24" t="s">
        <v>101</v>
      </c>
      <c r="Q19" s="24"/>
      <c r="R19" s="23"/>
      <c r="S19" s="135">
        <v>45311</v>
      </c>
      <c r="T19" s="25"/>
      <c r="U19" s="26"/>
      <c r="V19" s="27"/>
      <c r="W19" s="28"/>
      <c r="X19" s="29" t="s">
        <v>167</v>
      </c>
    </row>
    <row r="20" spans="1:24" ht="11.4">
      <c r="A20" s="19">
        <f t="shared" si="2"/>
        <v>18</v>
      </c>
      <c r="B20" s="20"/>
      <c r="C20" s="20"/>
      <c r="D20" s="30" t="s">
        <v>188</v>
      </c>
      <c r="E20" s="30" t="s">
        <v>162</v>
      </c>
      <c r="F20" s="71" t="s">
        <v>169</v>
      </c>
      <c r="G20" s="21"/>
      <c r="H20" s="22"/>
      <c r="I20" s="22"/>
      <c r="J20" s="23"/>
      <c r="K20" s="21"/>
      <c r="L20" s="22"/>
      <c r="M20" s="22"/>
      <c r="N20" s="24"/>
      <c r="O20" s="24"/>
      <c r="P20" s="24" t="s">
        <v>101</v>
      </c>
      <c r="Q20" s="24"/>
      <c r="R20" s="23"/>
      <c r="S20" s="135">
        <v>45311</v>
      </c>
      <c r="T20" s="25"/>
      <c r="U20" s="26"/>
      <c r="V20" s="27"/>
      <c r="W20" s="28"/>
      <c r="X20" s="29" t="s">
        <v>167</v>
      </c>
    </row>
    <row r="21" spans="1:24" ht="11.4">
      <c r="A21" s="19">
        <f t="shared" si="2"/>
        <v>19</v>
      </c>
      <c r="B21" s="20"/>
      <c r="C21" s="20"/>
      <c r="D21" s="30" t="s">
        <v>189</v>
      </c>
      <c r="E21" s="30" t="s">
        <v>162</v>
      </c>
      <c r="F21" s="71" t="s">
        <v>190</v>
      </c>
      <c r="G21" s="21"/>
      <c r="H21" s="22"/>
      <c r="I21" s="22"/>
      <c r="J21" s="23"/>
      <c r="K21" s="21"/>
      <c r="L21" s="22"/>
      <c r="M21" s="22"/>
      <c r="N21" s="24"/>
      <c r="O21" s="24"/>
      <c r="P21" s="24" t="s">
        <v>101</v>
      </c>
      <c r="Q21" s="24"/>
      <c r="R21" s="23"/>
      <c r="S21" s="135">
        <v>45311</v>
      </c>
      <c r="T21" s="25"/>
      <c r="U21" s="26"/>
      <c r="V21" s="27"/>
      <c r="W21" s="28"/>
      <c r="X21" s="29" t="s">
        <v>167</v>
      </c>
    </row>
    <row r="22" spans="1:24" ht="11.4">
      <c r="A22" s="19">
        <f t="shared" si="2"/>
        <v>20</v>
      </c>
      <c r="B22" s="20"/>
      <c r="C22" s="20"/>
      <c r="D22" s="30" t="s">
        <v>191</v>
      </c>
      <c r="E22" s="30" t="s">
        <v>162</v>
      </c>
      <c r="F22" s="72" t="s">
        <v>192</v>
      </c>
      <c r="G22" s="21"/>
      <c r="H22" s="22"/>
      <c r="I22" s="22"/>
      <c r="J22" s="23"/>
      <c r="K22" s="21"/>
      <c r="L22" s="22"/>
      <c r="M22" s="22"/>
      <c r="N22" s="24"/>
      <c r="O22" s="24"/>
      <c r="P22" s="24" t="s">
        <v>101</v>
      </c>
      <c r="Q22" s="24"/>
      <c r="R22" s="23"/>
      <c r="S22" s="135">
        <v>45311</v>
      </c>
      <c r="T22" s="25"/>
      <c r="U22" s="26"/>
      <c r="V22" s="27"/>
      <c r="W22" s="28"/>
      <c r="X22" s="29" t="s">
        <v>167</v>
      </c>
    </row>
    <row r="23" spans="1:24" ht="11.4">
      <c r="A23" s="19">
        <f t="shared" si="2"/>
        <v>21</v>
      </c>
      <c r="B23" s="20"/>
      <c r="C23" s="20"/>
      <c r="D23" s="30" t="s">
        <v>179</v>
      </c>
      <c r="E23" s="30" t="s">
        <v>162</v>
      </c>
      <c r="F23" s="72" t="s">
        <v>192</v>
      </c>
      <c r="G23" s="21"/>
      <c r="H23" s="22"/>
      <c r="I23" s="22"/>
      <c r="J23" s="23"/>
      <c r="K23" s="21"/>
      <c r="L23" s="22"/>
      <c r="M23" s="22"/>
      <c r="N23" s="24"/>
      <c r="O23" s="24"/>
      <c r="P23" s="24" t="s">
        <v>101</v>
      </c>
      <c r="Q23" s="24"/>
      <c r="R23" s="23"/>
      <c r="S23" s="135">
        <v>45311</v>
      </c>
      <c r="T23" s="25"/>
      <c r="U23" s="26"/>
      <c r="V23" s="27"/>
      <c r="W23" s="28"/>
      <c r="X23" s="29" t="s">
        <v>167</v>
      </c>
    </row>
    <row r="24" spans="1:24" ht="11.4">
      <c r="A24" s="19">
        <f t="shared" si="2"/>
        <v>22</v>
      </c>
      <c r="B24" s="20"/>
      <c r="C24" s="20"/>
      <c r="D24" s="30" t="s">
        <v>193</v>
      </c>
      <c r="E24" s="30" t="s">
        <v>162</v>
      </c>
      <c r="F24" s="72" t="s">
        <v>192</v>
      </c>
      <c r="G24" s="21"/>
      <c r="H24" s="22"/>
      <c r="I24" s="22"/>
      <c r="J24" s="23"/>
      <c r="K24" s="21"/>
      <c r="L24" s="22"/>
      <c r="M24" s="22"/>
      <c r="N24" s="24"/>
      <c r="O24" s="24"/>
      <c r="P24" s="24" t="s">
        <v>101</v>
      </c>
      <c r="Q24" s="24"/>
      <c r="R24" s="23"/>
      <c r="S24" s="135">
        <v>45311</v>
      </c>
      <c r="T24" s="25"/>
      <c r="U24" s="26"/>
      <c r="V24" s="27"/>
      <c r="W24" s="28"/>
      <c r="X24" s="29" t="s">
        <v>167</v>
      </c>
    </row>
    <row r="25" spans="1:24" ht="22.8">
      <c r="A25" s="19">
        <f t="shared" si="2"/>
        <v>23</v>
      </c>
      <c r="B25" s="20"/>
      <c r="C25" s="20"/>
      <c r="D25" s="20" t="s">
        <v>194</v>
      </c>
      <c r="E25" s="30" t="s">
        <v>162</v>
      </c>
      <c r="F25" s="72" t="s">
        <v>195</v>
      </c>
      <c r="G25" s="21"/>
      <c r="H25" s="22"/>
      <c r="I25" s="22"/>
      <c r="J25" s="23"/>
      <c r="K25" s="21"/>
      <c r="L25" s="22"/>
      <c r="M25" s="22"/>
      <c r="N25" s="24"/>
      <c r="O25" s="24"/>
      <c r="P25" s="24" t="s">
        <v>101</v>
      </c>
      <c r="Q25" s="24"/>
      <c r="R25" s="23"/>
      <c r="S25" s="135">
        <v>45311</v>
      </c>
      <c r="T25" s="25"/>
      <c r="U25" s="26"/>
      <c r="V25" s="27"/>
      <c r="W25" s="28"/>
      <c r="X25" s="29" t="s">
        <v>167</v>
      </c>
    </row>
    <row r="26" spans="1:24" ht="11.4">
      <c r="A26" s="19">
        <f t="shared" si="2"/>
        <v>24</v>
      </c>
      <c r="B26" s="31"/>
      <c r="C26" s="31"/>
      <c r="D26" s="30" t="s">
        <v>196</v>
      </c>
      <c r="E26" s="30" t="s">
        <v>162</v>
      </c>
      <c r="F26" s="72" t="s">
        <v>169</v>
      </c>
      <c r="G26" s="21"/>
      <c r="H26" s="22"/>
      <c r="I26" s="22"/>
      <c r="J26" s="23"/>
      <c r="K26" s="21"/>
      <c r="L26" s="22"/>
      <c r="M26" s="22"/>
      <c r="N26" s="24"/>
      <c r="O26" s="24"/>
      <c r="P26" s="24" t="s">
        <v>101</v>
      </c>
      <c r="Q26" s="24"/>
      <c r="R26" s="23"/>
      <c r="S26" s="135">
        <v>45311</v>
      </c>
      <c r="T26" s="25"/>
      <c r="U26" s="26"/>
      <c r="V26" s="27"/>
      <c r="W26" s="28"/>
      <c r="X26" s="29" t="s">
        <v>167</v>
      </c>
    </row>
    <row r="27" spans="1:24" ht="11.4">
      <c r="A27" s="19">
        <f t="shared" si="2"/>
        <v>25</v>
      </c>
      <c r="B27" s="31"/>
      <c r="C27" s="31"/>
      <c r="D27" s="30" t="s">
        <v>197</v>
      </c>
      <c r="E27" s="30" t="s">
        <v>162</v>
      </c>
      <c r="F27" s="72" t="s">
        <v>190</v>
      </c>
      <c r="G27" s="21"/>
      <c r="H27" s="22"/>
      <c r="I27" s="22"/>
      <c r="J27" s="23"/>
      <c r="K27" s="21"/>
      <c r="L27" s="22"/>
      <c r="M27" s="22"/>
      <c r="N27" s="24"/>
      <c r="O27" s="24"/>
      <c r="P27" s="24" t="s">
        <v>101</v>
      </c>
      <c r="Q27" s="24"/>
      <c r="R27" s="23"/>
      <c r="S27" s="135">
        <v>45311</v>
      </c>
      <c r="T27" s="25"/>
      <c r="U27" s="26"/>
      <c r="V27" s="27"/>
      <c r="W27" s="28"/>
      <c r="X27" s="29" t="s">
        <v>167</v>
      </c>
    </row>
    <row r="28" spans="1:24" ht="11.4">
      <c r="A28" s="19">
        <f t="shared" si="2"/>
        <v>26</v>
      </c>
      <c r="B28" s="31"/>
      <c r="C28" s="31"/>
      <c r="D28" s="30" t="s">
        <v>198</v>
      </c>
      <c r="E28" s="30" t="s">
        <v>162</v>
      </c>
      <c r="F28" s="72" t="s">
        <v>199</v>
      </c>
      <c r="G28" s="21"/>
      <c r="H28" s="22"/>
      <c r="I28" s="22"/>
      <c r="J28" s="23"/>
      <c r="K28" s="21"/>
      <c r="L28" s="22"/>
      <c r="M28" s="22"/>
      <c r="N28" s="24"/>
      <c r="O28" s="24"/>
      <c r="P28" s="24" t="s">
        <v>101</v>
      </c>
      <c r="Q28" s="24"/>
      <c r="R28" s="23"/>
      <c r="S28" s="135">
        <v>45311</v>
      </c>
      <c r="T28" s="25"/>
      <c r="U28" s="26"/>
      <c r="V28" s="27"/>
      <c r="W28" s="28"/>
      <c r="X28" s="29" t="s">
        <v>167</v>
      </c>
    </row>
    <row r="29" spans="1:24" ht="11.4">
      <c r="A29" s="19">
        <f t="shared" si="2"/>
        <v>27</v>
      </c>
      <c r="B29" s="31"/>
      <c r="C29" s="20"/>
      <c r="D29" s="20" t="s">
        <v>200</v>
      </c>
      <c r="E29" s="30" t="s">
        <v>162</v>
      </c>
      <c r="F29" s="72" t="s">
        <v>201</v>
      </c>
      <c r="G29" s="21"/>
      <c r="H29" s="22"/>
      <c r="I29" s="22"/>
      <c r="J29" s="23"/>
      <c r="K29" s="21"/>
      <c r="L29" s="22"/>
      <c r="M29" s="22"/>
      <c r="N29" s="24"/>
      <c r="O29" s="24"/>
      <c r="P29" s="24" t="s">
        <v>101</v>
      </c>
      <c r="Q29" s="24"/>
      <c r="R29" s="23"/>
      <c r="S29" s="135">
        <v>45311</v>
      </c>
      <c r="T29" s="25"/>
      <c r="U29" s="26"/>
      <c r="V29" s="27"/>
      <c r="W29" s="28"/>
      <c r="X29" s="29" t="s">
        <v>167</v>
      </c>
    </row>
    <row r="30" spans="1:24" ht="11.4">
      <c r="A30" s="19">
        <f t="shared" si="2"/>
        <v>28</v>
      </c>
      <c r="B30" s="31"/>
      <c r="C30" s="31"/>
      <c r="D30" s="30" t="s">
        <v>191</v>
      </c>
      <c r="E30" s="30" t="s">
        <v>162</v>
      </c>
      <c r="F30" s="72" t="s">
        <v>180</v>
      </c>
      <c r="G30" s="21"/>
      <c r="H30" s="22"/>
      <c r="I30" s="22"/>
      <c r="J30" s="23"/>
      <c r="K30" s="21"/>
      <c r="L30" s="22"/>
      <c r="M30" s="22"/>
      <c r="N30" s="24"/>
      <c r="O30" s="24"/>
      <c r="P30" s="24" t="s">
        <v>101</v>
      </c>
      <c r="Q30" s="24"/>
      <c r="R30" s="23"/>
      <c r="S30" s="135">
        <v>45311</v>
      </c>
      <c r="T30" s="25"/>
      <c r="U30" s="26"/>
      <c r="V30" s="27"/>
      <c r="W30" s="28"/>
      <c r="X30" s="29" t="s">
        <v>167</v>
      </c>
    </row>
    <row r="31" spans="1:24" ht="11.4">
      <c r="A31" s="19">
        <f t="shared" si="2"/>
        <v>29</v>
      </c>
      <c r="B31" s="31"/>
      <c r="C31" s="31"/>
      <c r="D31" s="30" t="s">
        <v>202</v>
      </c>
      <c r="E31" s="30" t="s">
        <v>162</v>
      </c>
      <c r="F31" s="72" t="s">
        <v>203</v>
      </c>
      <c r="G31" s="21"/>
      <c r="H31" s="22"/>
      <c r="I31" s="22"/>
      <c r="J31" s="23"/>
      <c r="K31" s="21"/>
      <c r="L31" s="22"/>
      <c r="M31" s="22"/>
      <c r="N31" s="24"/>
      <c r="O31" s="24"/>
      <c r="P31" s="24" t="s">
        <v>101</v>
      </c>
      <c r="Q31" s="24"/>
      <c r="R31" s="23"/>
      <c r="S31" s="135">
        <v>45311</v>
      </c>
      <c r="T31" s="25"/>
      <c r="U31" s="26"/>
      <c r="V31" s="27"/>
      <c r="W31" s="28"/>
      <c r="X31" s="29" t="s">
        <v>167</v>
      </c>
    </row>
    <row r="32" spans="1:24" ht="11.4">
      <c r="A32" s="19">
        <f t="shared" si="2"/>
        <v>30</v>
      </c>
      <c r="B32" s="31"/>
      <c r="C32" s="31"/>
      <c r="D32" s="30" t="s">
        <v>204</v>
      </c>
      <c r="E32" s="30" t="s">
        <v>162</v>
      </c>
      <c r="F32" s="72" t="s">
        <v>203</v>
      </c>
      <c r="G32" s="21"/>
      <c r="H32" s="22"/>
      <c r="I32" s="22"/>
      <c r="J32" s="23"/>
      <c r="K32" s="21"/>
      <c r="L32" s="22"/>
      <c r="M32" s="22"/>
      <c r="N32" s="24"/>
      <c r="O32" s="24"/>
      <c r="P32" s="24" t="s">
        <v>101</v>
      </c>
      <c r="Q32" s="24"/>
      <c r="R32" s="23"/>
      <c r="S32" s="135">
        <v>45311</v>
      </c>
      <c r="T32" s="25"/>
      <c r="U32" s="26"/>
      <c r="V32" s="27"/>
      <c r="W32" s="28"/>
      <c r="X32" s="29" t="s">
        <v>167</v>
      </c>
    </row>
    <row r="33" spans="1:24" ht="11.4">
      <c r="A33" s="19">
        <f t="shared" si="2"/>
        <v>31</v>
      </c>
      <c r="B33" s="31"/>
      <c r="C33" s="20"/>
      <c r="D33" s="20" t="s">
        <v>205</v>
      </c>
      <c r="E33" s="30" t="s">
        <v>162</v>
      </c>
      <c r="F33" s="72" t="s">
        <v>206</v>
      </c>
      <c r="G33" s="21"/>
      <c r="H33" s="22"/>
      <c r="I33" s="22"/>
      <c r="J33" s="23"/>
      <c r="K33" s="21"/>
      <c r="L33" s="22"/>
      <c r="M33" s="22"/>
      <c r="N33" s="24"/>
      <c r="O33" s="24"/>
      <c r="P33" s="24" t="s">
        <v>101</v>
      </c>
      <c r="Q33" s="24"/>
      <c r="R33" s="23"/>
      <c r="S33" s="135">
        <v>45311</v>
      </c>
      <c r="T33" s="25"/>
      <c r="U33" s="26"/>
      <c r="V33" s="27"/>
      <c r="W33" s="28"/>
      <c r="X33" s="29" t="s">
        <v>167</v>
      </c>
    </row>
    <row r="34" spans="1:24" ht="11.4">
      <c r="A34" s="19">
        <f t="shared" si="2"/>
        <v>32</v>
      </c>
      <c r="B34" s="31"/>
      <c r="C34" s="20"/>
      <c r="D34" s="20" t="s">
        <v>193</v>
      </c>
      <c r="E34" s="30" t="s">
        <v>162</v>
      </c>
      <c r="F34" s="72" t="s">
        <v>180</v>
      </c>
      <c r="G34" s="21"/>
      <c r="H34" s="22"/>
      <c r="I34" s="22"/>
      <c r="J34" s="23"/>
      <c r="K34" s="21"/>
      <c r="L34" s="22"/>
      <c r="M34" s="22"/>
      <c r="N34" s="24"/>
      <c r="O34" s="24"/>
      <c r="P34" s="24" t="s">
        <v>101</v>
      </c>
      <c r="Q34" s="24"/>
      <c r="R34" s="23"/>
      <c r="S34" s="135">
        <v>45311</v>
      </c>
      <c r="T34" s="25"/>
      <c r="U34" s="26"/>
      <c r="V34" s="27"/>
      <c r="W34" s="28"/>
      <c r="X34" s="29" t="s">
        <v>167</v>
      </c>
    </row>
    <row r="35" spans="1:24" ht="11.4">
      <c r="A35" s="19">
        <f t="shared" si="2"/>
        <v>33</v>
      </c>
      <c r="B35" s="20"/>
      <c r="C35" s="20"/>
      <c r="D35" s="30" t="s">
        <v>207</v>
      </c>
      <c r="E35" s="30" t="s">
        <v>162</v>
      </c>
      <c r="F35" s="72" t="s">
        <v>208</v>
      </c>
      <c r="G35" s="21"/>
      <c r="H35" s="22"/>
      <c r="I35" s="22"/>
      <c r="J35" s="23"/>
      <c r="K35" s="21"/>
      <c r="L35" s="22"/>
      <c r="M35" s="22"/>
      <c r="N35" s="24"/>
      <c r="O35" s="24"/>
      <c r="P35" s="24" t="s">
        <v>101</v>
      </c>
      <c r="Q35" s="24"/>
      <c r="R35" s="23"/>
      <c r="S35" s="135">
        <v>45311</v>
      </c>
      <c r="T35" s="25"/>
      <c r="U35" s="26"/>
      <c r="V35" s="27"/>
      <c r="W35" s="28"/>
      <c r="X35" s="29" t="s">
        <v>167</v>
      </c>
    </row>
    <row r="36" spans="1:24" ht="11.4">
      <c r="A36" s="19">
        <f t="shared" si="2"/>
        <v>34</v>
      </c>
      <c r="B36" s="20"/>
      <c r="C36" s="31"/>
      <c r="D36" s="30" t="s">
        <v>209</v>
      </c>
      <c r="E36" s="30" t="s">
        <v>162</v>
      </c>
      <c r="F36" s="72" t="s">
        <v>210</v>
      </c>
      <c r="G36" s="21"/>
      <c r="H36" s="22"/>
      <c r="I36" s="22"/>
      <c r="J36" s="23"/>
      <c r="K36" s="21"/>
      <c r="L36" s="22"/>
      <c r="M36" s="22"/>
      <c r="N36" s="24"/>
      <c r="O36" s="24"/>
      <c r="P36" s="24" t="s">
        <v>101</v>
      </c>
      <c r="Q36" s="24"/>
      <c r="R36" s="23"/>
      <c r="S36" s="135">
        <v>45311</v>
      </c>
      <c r="T36" s="25"/>
      <c r="U36" s="26"/>
      <c r="V36" s="27"/>
      <c r="W36" s="28"/>
      <c r="X36" s="29" t="s">
        <v>167</v>
      </c>
    </row>
    <row r="37" spans="1:24" ht="11.4">
      <c r="A37" s="19">
        <f t="shared" si="2"/>
        <v>35</v>
      </c>
      <c r="B37" s="31"/>
      <c r="C37" s="20"/>
      <c r="D37" s="20" t="s">
        <v>211</v>
      </c>
      <c r="E37" s="30" t="s">
        <v>162</v>
      </c>
      <c r="F37" s="72" t="s">
        <v>212</v>
      </c>
      <c r="G37" s="21"/>
      <c r="H37" s="22"/>
      <c r="I37" s="22"/>
      <c r="J37" s="23"/>
      <c r="K37" s="21"/>
      <c r="L37" s="22"/>
      <c r="M37" s="22"/>
      <c r="N37" s="24"/>
      <c r="O37" s="24"/>
      <c r="P37" s="24" t="s">
        <v>101</v>
      </c>
      <c r="Q37" s="24"/>
      <c r="R37" s="23"/>
      <c r="S37" s="135">
        <v>45311</v>
      </c>
      <c r="T37" s="25"/>
      <c r="U37" s="26"/>
      <c r="V37" s="27"/>
      <c r="W37" s="28"/>
      <c r="X37" s="29" t="s">
        <v>167</v>
      </c>
    </row>
    <row r="38" spans="1:24" ht="11.4">
      <c r="A38" s="19">
        <f t="shared" si="2"/>
        <v>36</v>
      </c>
      <c r="B38" s="20"/>
      <c r="C38" s="20"/>
      <c r="D38" s="30" t="s">
        <v>213</v>
      </c>
      <c r="E38" s="30" t="s">
        <v>162</v>
      </c>
      <c r="F38" s="72" t="s">
        <v>212</v>
      </c>
      <c r="G38" s="21"/>
      <c r="H38" s="22"/>
      <c r="I38" s="22"/>
      <c r="J38" s="23"/>
      <c r="K38" s="21"/>
      <c r="L38" s="22"/>
      <c r="M38" s="22"/>
      <c r="N38" s="24"/>
      <c r="O38" s="24"/>
      <c r="P38" s="24" t="s">
        <v>101</v>
      </c>
      <c r="Q38" s="24"/>
      <c r="R38" s="23"/>
      <c r="S38" s="135">
        <v>45311</v>
      </c>
      <c r="T38" s="25"/>
      <c r="U38" s="26"/>
      <c r="V38" s="27"/>
      <c r="W38" s="28"/>
      <c r="X38" s="29" t="s">
        <v>167</v>
      </c>
    </row>
    <row r="39" spans="1:24" ht="11.4">
      <c r="A39" s="19">
        <f t="shared" si="2"/>
        <v>37</v>
      </c>
      <c r="B39" s="20"/>
      <c r="C39" s="20"/>
      <c r="D39" s="30" t="s">
        <v>214</v>
      </c>
      <c r="E39" s="30" t="s">
        <v>162</v>
      </c>
      <c r="F39" s="72" t="s">
        <v>190</v>
      </c>
      <c r="G39" s="21"/>
      <c r="H39" s="22"/>
      <c r="I39" s="22"/>
      <c r="J39" s="23"/>
      <c r="K39" s="21"/>
      <c r="L39" s="22"/>
      <c r="M39" s="22"/>
      <c r="N39" s="24"/>
      <c r="O39" s="24"/>
      <c r="P39" s="24" t="s">
        <v>101</v>
      </c>
      <c r="Q39" s="24"/>
      <c r="R39" s="23"/>
      <c r="S39" s="135">
        <v>45311</v>
      </c>
      <c r="T39" s="25"/>
      <c r="U39" s="26"/>
      <c r="V39" s="27"/>
      <c r="W39" s="28"/>
      <c r="X39" s="29" t="s">
        <v>167</v>
      </c>
    </row>
    <row r="40" spans="1:24" ht="11.4">
      <c r="A40" s="19">
        <f t="shared" si="2"/>
        <v>38</v>
      </c>
      <c r="B40" s="31"/>
      <c r="C40" s="31"/>
      <c r="D40" s="30" t="s">
        <v>215</v>
      </c>
      <c r="E40" s="30" t="s">
        <v>162</v>
      </c>
      <c r="F40" s="72" t="s">
        <v>190</v>
      </c>
      <c r="G40" s="21"/>
      <c r="H40" s="22"/>
      <c r="I40" s="22"/>
      <c r="J40" s="23"/>
      <c r="K40" s="21"/>
      <c r="L40" s="22"/>
      <c r="M40" s="22"/>
      <c r="N40" s="24"/>
      <c r="O40" s="24"/>
      <c r="P40" s="24" t="s">
        <v>101</v>
      </c>
      <c r="Q40" s="24"/>
      <c r="R40" s="23"/>
      <c r="S40" s="135">
        <v>45311</v>
      </c>
      <c r="T40" s="25"/>
      <c r="U40" s="26"/>
      <c r="V40" s="27"/>
      <c r="W40" s="28"/>
      <c r="X40" s="29" t="s">
        <v>167</v>
      </c>
    </row>
    <row r="41" spans="1:24" ht="11.4">
      <c r="A41" s="19">
        <f t="shared" si="2"/>
        <v>39</v>
      </c>
      <c r="B41" s="31"/>
      <c r="C41" s="20"/>
      <c r="D41" s="20" t="s">
        <v>198</v>
      </c>
      <c r="E41" s="30" t="s">
        <v>162</v>
      </c>
      <c r="F41" s="72" t="s">
        <v>216</v>
      </c>
      <c r="G41" s="21"/>
      <c r="H41" s="22"/>
      <c r="I41" s="22"/>
      <c r="J41" s="23"/>
      <c r="K41" s="21"/>
      <c r="L41" s="22"/>
      <c r="M41" s="22"/>
      <c r="N41" s="24"/>
      <c r="O41" s="24"/>
      <c r="P41" s="24" t="s">
        <v>101</v>
      </c>
      <c r="Q41" s="24"/>
      <c r="R41" s="23"/>
      <c r="S41" s="135">
        <v>45311</v>
      </c>
      <c r="T41" s="25"/>
      <c r="U41" s="26"/>
      <c r="V41" s="27"/>
      <c r="W41" s="28"/>
      <c r="X41" s="29" t="s">
        <v>167</v>
      </c>
    </row>
    <row r="42" spans="1:24" ht="11.4">
      <c r="A42" s="19">
        <f t="shared" si="2"/>
        <v>40</v>
      </c>
      <c r="B42" s="31"/>
      <c r="C42" s="31"/>
      <c r="D42" s="30" t="s">
        <v>200</v>
      </c>
      <c r="E42" s="30" t="s">
        <v>162</v>
      </c>
      <c r="F42" s="72" t="s">
        <v>217</v>
      </c>
      <c r="G42" s="21"/>
      <c r="H42" s="22"/>
      <c r="I42" s="22"/>
      <c r="J42" s="23"/>
      <c r="K42" s="21"/>
      <c r="L42" s="22"/>
      <c r="M42" s="22"/>
      <c r="N42" s="24"/>
      <c r="O42" s="24"/>
      <c r="P42" s="24" t="s">
        <v>101</v>
      </c>
      <c r="Q42" s="24"/>
      <c r="R42" s="23"/>
      <c r="S42" s="135">
        <v>45311</v>
      </c>
      <c r="T42" s="25"/>
      <c r="U42" s="26"/>
      <c r="V42" s="27"/>
      <c r="W42" s="28"/>
      <c r="X42" s="29" t="s">
        <v>167</v>
      </c>
    </row>
    <row r="43" spans="1:24" ht="102.6">
      <c r="A43" s="19">
        <f t="shared" si="2"/>
        <v>41</v>
      </c>
      <c r="B43" s="31"/>
      <c r="C43" s="31"/>
      <c r="D43" s="30" t="s">
        <v>218</v>
      </c>
      <c r="E43" s="30" t="s">
        <v>162</v>
      </c>
      <c r="F43" s="72" t="s">
        <v>219</v>
      </c>
      <c r="G43" s="21"/>
      <c r="H43" s="22"/>
      <c r="I43" s="22"/>
      <c r="J43" s="23"/>
      <c r="K43" s="21"/>
      <c r="L43" s="22"/>
      <c r="M43" s="22"/>
      <c r="N43" s="24"/>
      <c r="O43" s="24"/>
      <c r="P43" s="24" t="s">
        <v>101</v>
      </c>
      <c r="Q43" s="24"/>
      <c r="R43" s="23"/>
      <c r="S43" s="135">
        <v>45311</v>
      </c>
      <c r="T43" s="25"/>
      <c r="U43" s="26"/>
      <c r="V43" s="27"/>
      <c r="W43" s="28"/>
      <c r="X43" s="29" t="s">
        <v>167</v>
      </c>
    </row>
    <row r="44" spans="1:24" ht="45.6">
      <c r="A44" s="19">
        <f t="shared" si="2"/>
        <v>42</v>
      </c>
      <c r="B44" s="31"/>
      <c r="C44" s="31"/>
      <c r="D44" s="30" t="s">
        <v>220</v>
      </c>
      <c r="E44" s="30" t="s">
        <v>162</v>
      </c>
      <c r="F44" s="72" t="s">
        <v>221</v>
      </c>
      <c r="G44" s="21"/>
      <c r="H44" s="22"/>
      <c r="I44" s="22"/>
      <c r="J44" s="23"/>
      <c r="K44" s="21"/>
      <c r="L44" s="22"/>
      <c r="M44" s="22"/>
      <c r="N44" s="24"/>
      <c r="O44" s="24"/>
      <c r="P44" s="24" t="s">
        <v>101</v>
      </c>
      <c r="Q44" s="24"/>
      <c r="R44" s="23"/>
      <c r="S44" s="135">
        <v>45311</v>
      </c>
      <c r="T44" s="25"/>
      <c r="U44" s="26"/>
      <c r="V44" s="27"/>
      <c r="W44" s="28"/>
      <c r="X44" s="29" t="s">
        <v>167</v>
      </c>
    </row>
    <row r="45" spans="1:24" ht="34.200000000000003">
      <c r="A45" s="19">
        <f t="shared" si="2"/>
        <v>43</v>
      </c>
      <c r="B45" s="31"/>
      <c r="C45" s="31"/>
      <c r="D45" s="30" t="s">
        <v>222</v>
      </c>
      <c r="E45" s="30" t="s">
        <v>162</v>
      </c>
      <c r="F45" s="72" t="s">
        <v>223</v>
      </c>
      <c r="G45" s="21"/>
      <c r="H45" s="22"/>
      <c r="I45" s="22"/>
      <c r="J45" s="23"/>
      <c r="K45" s="21"/>
      <c r="L45" s="22"/>
      <c r="M45" s="22"/>
      <c r="N45" s="24"/>
      <c r="O45" s="24"/>
      <c r="P45" s="24" t="s">
        <v>101</v>
      </c>
      <c r="Q45" s="24"/>
      <c r="R45" s="23"/>
      <c r="S45" s="135">
        <v>45311</v>
      </c>
      <c r="T45" s="139"/>
      <c r="U45" s="26"/>
      <c r="V45" s="27"/>
      <c r="W45" s="28"/>
      <c r="X45" s="29" t="s">
        <v>167</v>
      </c>
    </row>
    <row r="46" spans="1:24" ht="11.4">
      <c r="A46" s="19">
        <f t="shared" si="2"/>
        <v>44</v>
      </c>
      <c r="B46" s="31"/>
      <c r="C46" s="20"/>
      <c r="D46" s="20" t="s">
        <v>224</v>
      </c>
      <c r="E46" s="30" t="s">
        <v>162</v>
      </c>
      <c r="F46" s="72" t="s">
        <v>190</v>
      </c>
      <c r="G46" s="21"/>
      <c r="H46" s="22"/>
      <c r="I46" s="22"/>
      <c r="J46" s="23"/>
      <c r="K46" s="21"/>
      <c r="L46" s="22"/>
      <c r="M46" s="22"/>
      <c r="N46" s="24"/>
      <c r="O46" s="24"/>
      <c r="P46" s="24" t="s">
        <v>101</v>
      </c>
      <c r="Q46" s="24"/>
      <c r="R46" s="23"/>
      <c r="S46" s="135">
        <v>45311</v>
      </c>
      <c r="T46" s="25"/>
      <c r="U46" s="26"/>
      <c r="V46" s="27"/>
      <c r="W46" s="28"/>
      <c r="X46" s="29" t="s">
        <v>167</v>
      </c>
    </row>
    <row r="47" spans="1:24" ht="11.4">
      <c r="A47" s="19">
        <f t="shared" si="2"/>
        <v>45</v>
      </c>
      <c r="B47" s="31"/>
      <c r="C47" s="20"/>
      <c r="D47" s="20" t="s">
        <v>225</v>
      </c>
      <c r="E47" s="30" t="s">
        <v>162</v>
      </c>
      <c r="F47" s="72" t="s">
        <v>190</v>
      </c>
      <c r="G47" s="21"/>
      <c r="H47" s="22"/>
      <c r="I47" s="22"/>
      <c r="J47" s="23"/>
      <c r="K47" s="21"/>
      <c r="L47" s="22"/>
      <c r="M47" s="22"/>
      <c r="N47" s="24"/>
      <c r="O47" s="24"/>
      <c r="P47" s="24" t="s">
        <v>101</v>
      </c>
      <c r="Q47" s="24"/>
      <c r="R47" s="23"/>
      <c r="S47" s="135">
        <v>45311</v>
      </c>
      <c r="T47" s="25"/>
      <c r="U47" s="26"/>
      <c r="V47" s="27"/>
      <c r="W47" s="28"/>
      <c r="X47" s="29" t="s">
        <v>167</v>
      </c>
    </row>
    <row r="48" spans="1:24" ht="11.4">
      <c r="A48" s="19">
        <f t="shared" si="2"/>
        <v>46</v>
      </c>
      <c r="B48" s="20"/>
      <c r="C48" s="20"/>
      <c r="D48" s="30" t="s">
        <v>226</v>
      </c>
      <c r="E48" s="30" t="s">
        <v>162</v>
      </c>
      <c r="F48" s="72" t="s">
        <v>169</v>
      </c>
      <c r="G48" s="21"/>
      <c r="H48" s="22"/>
      <c r="I48" s="22"/>
      <c r="J48" s="23"/>
      <c r="K48" s="21"/>
      <c r="L48" s="22"/>
      <c r="M48" s="22"/>
      <c r="N48" s="24"/>
      <c r="O48" s="24"/>
      <c r="P48" s="24" t="s">
        <v>101</v>
      </c>
      <c r="Q48" s="24"/>
      <c r="R48" s="23"/>
      <c r="S48" s="135">
        <v>45311</v>
      </c>
      <c r="T48" s="25"/>
      <c r="U48" s="26"/>
      <c r="V48" s="27"/>
      <c r="W48" s="28"/>
      <c r="X48" s="29" t="s">
        <v>167</v>
      </c>
    </row>
    <row r="49" spans="1:24" ht="11.4">
      <c r="A49" s="19">
        <f t="shared" si="2"/>
        <v>47</v>
      </c>
      <c r="B49" s="20"/>
      <c r="C49" s="20"/>
      <c r="D49" s="30" t="s">
        <v>227</v>
      </c>
      <c r="E49" s="30" t="s">
        <v>162</v>
      </c>
      <c r="F49" s="72" t="s">
        <v>190</v>
      </c>
      <c r="G49" s="21"/>
      <c r="H49" s="22"/>
      <c r="I49" s="22"/>
      <c r="J49" s="23"/>
      <c r="K49" s="21"/>
      <c r="L49" s="22"/>
      <c r="M49" s="22"/>
      <c r="N49" s="24"/>
      <c r="O49" s="24"/>
      <c r="P49" s="24" t="s">
        <v>101</v>
      </c>
      <c r="Q49" s="24"/>
      <c r="R49" s="23"/>
      <c r="S49" s="135">
        <v>45311</v>
      </c>
      <c r="T49" s="25"/>
      <c r="U49" s="26"/>
      <c r="V49" s="27"/>
      <c r="W49" s="28"/>
      <c r="X49" s="29" t="s">
        <v>167</v>
      </c>
    </row>
    <row r="50" spans="1:24" ht="11.4">
      <c r="A50" s="19">
        <f t="shared" si="2"/>
        <v>48</v>
      </c>
      <c r="B50" s="20"/>
      <c r="C50" s="31"/>
      <c r="D50" s="30" t="s">
        <v>228</v>
      </c>
      <c r="E50" s="30" t="s">
        <v>162</v>
      </c>
      <c r="F50" s="72" t="s">
        <v>190</v>
      </c>
      <c r="G50" s="21"/>
      <c r="H50" s="22"/>
      <c r="I50" s="22"/>
      <c r="J50" s="23"/>
      <c r="K50" s="21"/>
      <c r="L50" s="22"/>
      <c r="M50" s="22"/>
      <c r="N50" s="24"/>
      <c r="O50" s="24"/>
      <c r="P50" s="24" t="s">
        <v>101</v>
      </c>
      <c r="Q50" s="24"/>
      <c r="R50" s="23"/>
      <c r="S50" s="135">
        <v>45311</v>
      </c>
      <c r="T50" s="25"/>
      <c r="U50" s="26"/>
      <c r="V50" s="27"/>
      <c r="W50" s="28"/>
      <c r="X50" s="29" t="s">
        <v>167</v>
      </c>
    </row>
    <row r="51" spans="1:24" ht="11.4">
      <c r="A51" s="19">
        <f t="shared" si="2"/>
        <v>49</v>
      </c>
      <c r="B51" s="31"/>
      <c r="C51" s="20"/>
      <c r="D51" s="20" t="s">
        <v>229</v>
      </c>
      <c r="E51" s="30" t="s">
        <v>162</v>
      </c>
      <c r="F51" s="72" t="s">
        <v>230</v>
      </c>
      <c r="G51" s="21"/>
      <c r="H51" s="22"/>
      <c r="I51" s="22"/>
      <c r="J51" s="23"/>
      <c r="K51" s="21"/>
      <c r="L51" s="22"/>
      <c r="M51" s="22"/>
      <c r="N51" s="24"/>
      <c r="O51" s="24"/>
      <c r="P51" s="24" t="s">
        <v>101</v>
      </c>
      <c r="Q51" s="24"/>
      <c r="R51" s="23"/>
      <c r="S51" s="135">
        <v>45311</v>
      </c>
      <c r="T51" s="25"/>
      <c r="U51" s="26"/>
      <c r="V51" s="27"/>
      <c r="W51" s="28"/>
      <c r="X51" s="29" t="s">
        <v>167</v>
      </c>
    </row>
    <row r="52" spans="1:24" ht="11.4">
      <c r="A52" s="19">
        <f t="shared" si="2"/>
        <v>50</v>
      </c>
      <c r="B52" s="20"/>
      <c r="C52" s="20"/>
      <c r="D52" s="30" t="s">
        <v>231</v>
      </c>
      <c r="E52" s="30" t="s">
        <v>162</v>
      </c>
      <c r="F52" s="72" t="s">
        <v>232</v>
      </c>
      <c r="G52" s="21"/>
      <c r="H52" s="22"/>
      <c r="I52" s="22"/>
      <c r="J52" s="23"/>
      <c r="K52" s="21"/>
      <c r="L52" s="22"/>
      <c r="M52" s="22"/>
      <c r="N52" s="24"/>
      <c r="O52" s="24"/>
      <c r="P52" s="24" t="s">
        <v>101</v>
      </c>
      <c r="Q52" s="24"/>
      <c r="R52" s="23"/>
      <c r="S52" s="135">
        <v>45311</v>
      </c>
      <c r="T52" s="25"/>
      <c r="U52" s="26"/>
      <c r="V52" s="27"/>
      <c r="W52" s="28"/>
      <c r="X52" s="29" t="s">
        <v>167</v>
      </c>
    </row>
    <row r="53" spans="1:24" ht="11.4">
      <c r="A53" s="19">
        <f t="shared" si="2"/>
        <v>51</v>
      </c>
      <c r="B53" s="20"/>
      <c r="C53" s="31"/>
      <c r="D53" s="30" t="s">
        <v>233</v>
      </c>
      <c r="E53" s="30" t="s">
        <v>162</v>
      </c>
      <c r="F53" s="72" t="s">
        <v>234</v>
      </c>
      <c r="G53" s="21"/>
      <c r="H53" s="22"/>
      <c r="I53" s="22"/>
      <c r="J53" s="23"/>
      <c r="K53" s="21"/>
      <c r="L53" s="22"/>
      <c r="M53" s="22"/>
      <c r="N53" s="24"/>
      <c r="O53" s="24"/>
      <c r="P53" s="24" t="s">
        <v>101</v>
      </c>
      <c r="Q53" s="24"/>
      <c r="R53" s="23"/>
      <c r="S53" s="135">
        <v>45311</v>
      </c>
      <c r="T53" s="139"/>
      <c r="U53" s="26"/>
      <c r="V53" s="27"/>
      <c r="W53" s="28"/>
      <c r="X53" s="29" t="s">
        <v>167</v>
      </c>
    </row>
    <row r="54" spans="1:24" ht="11.4">
      <c r="A54" s="19">
        <f t="shared" si="2"/>
        <v>52</v>
      </c>
      <c r="B54" s="31"/>
      <c r="C54" s="31"/>
      <c r="D54" s="30" t="s">
        <v>235</v>
      </c>
      <c r="E54" s="30" t="s">
        <v>162</v>
      </c>
      <c r="F54" s="72" t="s">
        <v>236</v>
      </c>
      <c r="G54" s="21"/>
      <c r="H54" s="22"/>
      <c r="I54" s="22"/>
      <c r="J54" s="23"/>
      <c r="K54" s="21"/>
      <c r="L54" s="22"/>
      <c r="M54" s="22"/>
      <c r="N54" s="24"/>
      <c r="O54" s="24"/>
      <c r="P54" s="24" t="s">
        <v>101</v>
      </c>
      <c r="Q54" s="24"/>
      <c r="R54" s="23"/>
      <c r="S54" s="135">
        <v>45311</v>
      </c>
      <c r="T54" s="25"/>
      <c r="U54" s="26"/>
      <c r="V54" s="27"/>
      <c r="W54" s="28"/>
      <c r="X54" s="29" t="s">
        <v>167</v>
      </c>
    </row>
    <row r="55" spans="1:24" ht="11.4">
      <c r="A55" s="19">
        <f t="shared" si="2"/>
        <v>53</v>
      </c>
      <c r="B55" s="31"/>
      <c r="C55" s="31"/>
      <c r="D55" s="30" t="s">
        <v>237</v>
      </c>
      <c r="E55" s="30" t="s">
        <v>162</v>
      </c>
      <c r="F55" s="72" t="s">
        <v>238</v>
      </c>
      <c r="G55" s="21"/>
      <c r="H55" s="22"/>
      <c r="I55" s="22"/>
      <c r="J55" s="23"/>
      <c r="K55" s="21"/>
      <c r="L55" s="22"/>
      <c r="M55" s="22"/>
      <c r="N55" s="24"/>
      <c r="O55" s="24"/>
      <c r="P55" s="24" t="s">
        <v>101</v>
      </c>
      <c r="Q55" s="24"/>
      <c r="R55" s="23"/>
      <c r="S55" s="135">
        <v>45311</v>
      </c>
      <c r="T55" s="25"/>
      <c r="U55" s="26"/>
      <c r="V55" s="27"/>
      <c r="W55" s="28"/>
      <c r="X55" s="29" t="s">
        <v>167</v>
      </c>
    </row>
    <row r="56" spans="1:24" ht="11.4">
      <c r="A56" s="19">
        <f t="shared" si="2"/>
        <v>54</v>
      </c>
      <c r="B56" s="31"/>
      <c r="C56" s="20"/>
      <c r="D56" s="20" t="s">
        <v>239</v>
      </c>
      <c r="E56" s="30" t="s">
        <v>162</v>
      </c>
      <c r="F56" s="72" t="s">
        <v>240</v>
      </c>
      <c r="G56" s="21"/>
      <c r="H56" s="22"/>
      <c r="I56" s="22"/>
      <c r="J56" s="23"/>
      <c r="K56" s="21"/>
      <c r="L56" s="22"/>
      <c r="M56" s="22"/>
      <c r="N56" s="24"/>
      <c r="O56" s="24"/>
      <c r="P56" s="24" t="s">
        <v>101</v>
      </c>
      <c r="Q56" s="24"/>
      <c r="R56" s="23"/>
      <c r="S56" s="135">
        <v>45311</v>
      </c>
      <c r="T56" s="25"/>
      <c r="U56" s="26"/>
      <c r="V56" s="27"/>
      <c r="W56" s="28"/>
      <c r="X56" s="29" t="s">
        <v>167</v>
      </c>
    </row>
    <row r="57" spans="1:24" ht="11.4">
      <c r="A57" s="19">
        <f t="shared" si="2"/>
        <v>55</v>
      </c>
      <c r="B57" s="31"/>
      <c r="C57" s="20"/>
      <c r="D57" s="20" t="s">
        <v>241</v>
      </c>
      <c r="E57" s="30" t="s">
        <v>162</v>
      </c>
      <c r="F57" s="72" t="s">
        <v>242</v>
      </c>
      <c r="G57" s="21"/>
      <c r="H57" s="22"/>
      <c r="I57" s="22"/>
      <c r="J57" s="23"/>
      <c r="K57" s="21"/>
      <c r="L57" s="22"/>
      <c r="M57" s="22"/>
      <c r="N57" s="24"/>
      <c r="O57" s="24"/>
      <c r="P57" s="24" t="s">
        <v>101</v>
      </c>
      <c r="Q57" s="24"/>
      <c r="R57" s="23"/>
      <c r="S57" s="135">
        <v>45311</v>
      </c>
      <c r="T57" s="25"/>
      <c r="U57" s="26"/>
      <c r="V57" s="27"/>
      <c r="W57" s="28"/>
      <c r="X57" s="29" t="s">
        <v>167</v>
      </c>
    </row>
    <row r="58" spans="1:24" ht="11.4">
      <c r="A58" s="19">
        <f t="shared" si="2"/>
        <v>56</v>
      </c>
      <c r="B58" s="20"/>
      <c r="C58" s="20"/>
      <c r="D58" s="30" t="s">
        <v>243</v>
      </c>
      <c r="E58" s="30" t="s">
        <v>162</v>
      </c>
      <c r="F58" s="72" t="s">
        <v>242</v>
      </c>
      <c r="G58" s="21"/>
      <c r="H58" s="22"/>
      <c r="I58" s="22"/>
      <c r="J58" s="23"/>
      <c r="K58" s="21"/>
      <c r="L58" s="22"/>
      <c r="M58" s="22"/>
      <c r="N58" s="24"/>
      <c r="O58" s="24"/>
      <c r="P58" s="24" t="s">
        <v>101</v>
      </c>
      <c r="Q58" s="24"/>
      <c r="R58" s="23"/>
      <c r="S58" s="135">
        <v>45311</v>
      </c>
      <c r="T58" s="25"/>
      <c r="U58" s="26"/>
      <c r="V58" s="27"/>
      <c r="W58" s="28"/>
      <c r="X58" s="29" t="s">
        <v>167</v>
      </c>
    </row>
    <row r="59" spans="1:24" ht="11.4">
      <c r="A59" s="19">
        <f t="shared" si="2"/>
        <v>57</v>
      </c>
      <c r="B59" s="20"/>
      <c r="C59" s="20"/>
      <c r="D59" s="30" t="s">
        <v>244</v>
      </c>
      <c r="E59" s="30" t="s">
        <v>162</v>
      </c>
      <c r="F59" s="72" t="s">
        <v>245</v>
      </c>
      <c r="G59" s="21"/>
      <c r="H59" s="22"/>
      <c r="I59" s="22"/>
      <c r="J59" s="23"/>
      <c r="K59" s="21"/>
      <c r="L59" s="22"/>
      <c r="M59" s="22"/>
      <c r="N59" s="24"/>
      <c r="O59" s="24"/>
      <c r="P59" s="24" t="s">
        <v>101</v>
      </c>
      <c r="Q59" s="24"/>
      <c r="R59" s="23"/>
      <c r="S59" s="135">
        <v>45311</v>
      </c>
      <c r="T59" s="25"/>
      <c r="U59" s="26"/>
      <c r="V59" s="27"/>
      <c r="W59" s="28"/>
      <c r="X59" s="29" t="s">
        <v>167</v>
      </c>
    </row>
    <row r="60" spans="1:24" ht="11.4">
      <c r="A60" s="19">
        <f t="shared" si="2"/>
        <v>58</v>
      </c>
      <c r="B60" s="20"/>
      <c r="C60" s="31"/>
      <c r="D60" s="30" t="s">
        <v>246</v>
      </c>
      <c r="E60" s="30" t="s">
        <v>162</v>
      </c>
      <c r="F60" s="72" t="s">
        <v>203</v>
      </c>
      <c r="G60" s="21"/>
      <c r="H60" s="22"/>
      <c r="I60" s="22"/>
      <c r="J60" s="23"/>
      <c r="K60" s="21"/>
      <c r="L60" s="22"/>
      <c r="M60" s="22"/>
      <c r="N60" s="24"/>
      <c r="O60" s="24"/>
      <c r="P60" s="24" t="s">
        <v>101</v>
      </c>
      <c r="Q60" s="24"/>
      <c r="R60" s="23"/>
      <c r="S60" s="135">
        <v>45311</v>
      </c>
      <c r="T60" s="25"/>
      <c r="U60" s="26"/>
      <c r="V60" s="27"/>
      <c r="W60" s="28"/>
      <c r="X60" s="29" t="s">
        <v>167</v>
      </c>
    </row>
    <row r="61" spans="1:24" ht="11.4">
      <c r="A61" s="19">
        <f t="shared" si="2"/>
        <v>59</v>
      </c>
      <c r="B61" s="20"/>
      <c r="C61" s="20"/>
      <c r="D61" s="30" t="s">
        <v>247</v>
      </c>
      <c r="E61" s="30" t="s">
        <v>162</v>
      </c>
      <c r="F61" s="72" t="s">
        <v>242</v>
      </c>
      <c r="G61" s="21"/>
      <c r="H61" s="22"/>
      <c r="I61" s="22"/>
      <c r="J61" s="23"/>
      <c r="K61" s="21"/>
      <c r="L61" s="22"/>
      <c r="M61" s="22"/>
      <c r="N61" s="24"/>
      <c r="O61" s="24"/>
      <c r="P61" s="24" t="s">
        <v>101</v>
      </c>
      <c r="Q61" s="24"/>
      <c r="R61" s="23"/>
      <c r="S61" s="135">
        <v>45311</v>
      </c>
      <c r="T61" s="25"/>
      <c r="U61" s="26"/>
      <c r="V61" s="27"/>
      <c r="W61" s="28"/>
      <c r="X61" s="29" t="s">
        <v>167</v>
      </c>
    </row>
    <row r="62" spans="1:24" ht="11.4">
      <c r="A62" s="19">
        <f t="shared" si="2"/>
        <v>60</v>
      </c>
      <c r="B62" s="20"/>
      <c r="C62" s="20"/>
      <c r="D62" s="30" t="s">
        <v>248</v>
      </c>
      <c r="E62" s="30" t="s">
        <v>162</v>
      </c>
      <c r="F62" s="72" t="s">
        <v>249</v>
      </c>
      <c r="G62" s="21"/>
      <c r="H62" s="22"/>
      <c r="I62" s="22"/>
      <c r="J62" s="23"/>
      <c r="K62" s="21"/>
      <c r="L62" s="22"/>
      <c r="M62" s="22"/>
      <c r="N62" s="24"/>
      <c r="O62" s="24"/>
      <c r="P62" s="24" t="s">
        <v>101</v>
      </c>
      <c r="Q62" s="24"/>
      <c r="R62" s="23"/>
      <c r="S62" s="135">
        <v>45311</v>
      </c>
      <c r="T62" s="25"/>
      <c r="U62" s="26"/>
      <c r="V62" s="27"/>
      <c r="W62" s="28"/>
      <c r="X62" s="29" t="s">
        <v>167</v>
      </c>
    </row>
    <row r="63" spans="1:24" ht="22.8">
      <c r="A63" s="19">
        <f t="shared" si="2"/>
        <v>61</v>
      </c>
      <c r="B63" s="20"/>
      <c r="C63" s="31"/>
      <c r="D63" s="30" t="s">
        <v>250</v>
      </c>
      <c r="E63" s="30" t="s">
        <v>162</v>
      </c>
      <c r="F63" s="72" t="s">
        <v>242</v>
      </c>
      <c r="G63" s="21"/>
      <c r="H63" s="22"/>
      <c r="I63" s="22"/>
      <c r="J63" s="23"/>
      <c r="K63" s="21"/>
      <c r="L63" s="22"/>
      <c r="M63" s="22"/>
      <c r="N63" s="24"/>
      <c r="O63" s="24"/>
      <c r="P63" s="24" t="s">
        <v>101</v>
      </c>
      <c r="Q63" s="24"/>
      <c r="R63" s="23"/>
      <c r="S63" s="135">
        <v>45311</v>
      </c>
      <c r="T63" s="25"/>
      <c r="U63" s="26"/>
      <c r="V63" s="27"/>
      <c r="W63" s="28"/>
      <c r="X63" s="29" t="s">
        <v>167</v>
      </c>
    </row>
    <row r="64" spans="1:24" ht="22.8">
      <c r="A64" s="19">
        <f t="shared" si="2"/>
        <v>62</v>
      </c>
      <c r="B64" s="31"/>
      <c r="C64" s="31"/>
      <c r="D64" s="30" t="s">
        <v>251</v>
      </c>
      <c r="E64" s="30" t="s">
        <v>162</v>
      </c>
      <c r="F64" s="72" t="s">
        <v>242</v>
      </c>
      <c r="G64" s="21"/>
      <c r="H64" s="22"/>
      <c r="I64" s="22"/>
      <c r="J64" s="23"/>
      <c r="K64" s="21"/>
      <c r="L64" s="22"/>
      <c r="M64" s="22"/>
      <c r="N64" s="24"/>
      <c r="O64" s="24"/>
      <c r="P64" s="24" t="s">
        <v>101</v>
      </c>
      <c r="Q64" s="24"/>
      <c r="R64" s="23"/>
      <c r="S64" s="135">
        <v>45311</v>
      </c>
      <c r="T64" s="25"/>
      <c r="U64" s="26"/>
      <c r="V64" s="27"/>
      <c r="W64" s="28"/>
      <c r="X64" s="29" t="s">
        <v>167</v>
      </c>
    </row>
    <row r="65" spans="1:24" ht="22.8">
      <c r="A65" s="19">
        <f t="shared" si="2"/>
        <v>63</v>
      </c>
      <c r="B65" s="31"/>
      <c r="C65" s="31"/>
      <c r="D65" s="30" t="s">
        <v>252</v>
      </c>
      <c r="E65" s="30" t="s">
        <v>162</v>
      </c>
      <c r="F65" s="72" t="s">
        <v>242</v>
      </c>
      <c r="G65" s="21"/>
      <c r="H65" s="22"/>
      <c r="I65" s="22"/>
      <c r="J65" s="23"/>
      <c r="K65" s="21"/>
      <c r="L65" s="22"/>
      <c r="M65" s="22"/>
      <c r="N65" s="24"/>
      <c r="O65" s="24"/>
      <c r="P65" s="24" t="s">
        <v>101</v>
      </c>
      <c r="Q65" s="24"/>
      <c r="R65" s="23"/>
      <c r="S65" s="135">
        <v>45311</v>
      </c>
      <c r="T65" s="25"/>
      <c r="U65" s="26"/>
      <c r="V65" s="27"/>
      <c r="W65" s="28"/>
      <c r="X65" s="29" t="s">
        <v>167</v>
      </c>
    </row>
    <row r="66" spans="1:24" ht="22.8">
      <c r="A66" s="19">
        <f t="shared" si="2"/>
        <v>64</v>
      </c>
      <c r="B66" s="31"/>
      <c r="C66" s="31"/>
      <c r="D66" s="30" t="s">
        <v>253</v>
      </c>
      <c r="E66" s="30" t="s">
        <v>162</v>
      </c>
      <c r="F66" s="72" t="s">
        <v>242</v>
      </c>
      <c r="G66" s="21"/>
      <c r="H66" s="22"/>
      <c r="I66" s="22"/>
      <c r="J66" s="23"/>
      <c r="K66" s="21"/>
      <c r="L66" s="22"/>
      <c r="M66" s="22"/>
      <c r="N66" s="24"/>
      <c r="O66" s="24"/>
      <c r="P66" s="24" t="s">
        <v>101</v>
      </c>
      <c r="Q66" s="24"/>
      <c r="R66" s="23"/>
      <c r="S66" s="135">
        <v>45311</v>
      </c>
      <c r="T66" s="25"/>
      <c r="U66" s="26"/>
      <c r="V66" s="27"/>
      <c r="W66" s="28"/>
      <c r="X66" s="29" t="s">
        <v>167</v>
      </c>
    </row>
    <row r="67" spans="1:24" ht="22.8">
      <c r="A67" s="19">
        <f t="shared" si="2"/>
        <v>65</v>
      </c>
      <c r="B67" s="31"/>
      <c r="C67" s="31"/>
      <c r="D67" s="30" t="s">
        <v>254</v>
      </c>
      <c r="E67" s="30" t="s">
        <v>162</v>
      </c>
      <c r="F67" s="72" t="s">
        <v>242</v>
      </c>
      <c r="G67" s="21"/>
      <c r="H67" s="22"/>
      <c r="I67" s="22"/>
      <c r="J67" s="23"/>
      <c r="K67" s="21"/>
      <c r="L67" s="22"/>
      <c r="M67" s="22"/>
      <c r="N67" s="24"/>
      <c r="O67" s="24"/>
      <c r="P67" s="24" t="s">
        <v>101</v>
      </c>
      <c r="Q67" s="24"/>
      <c r="R67" s="23"/>
      <c r="S67" s="135">
        <v>45311</v>
      </c>
      <c r="T67" s="25"/>
      <c r="U67" s="26"/>
      <c r="V67" s="27"/>
      <c r="W67" s="28"/>
      <c r="X67" s="29" t="s">
        <v>167</v>
      </c>
    </row>
    <row r="68" spans="1:24" ht="22.8">
      <c r="A68" s="19">
        <f t="shared" si="2"/>
        <v>66</v>
      </c>
      <c r="B68" s="31"/>
      <c r="C68" s="20"/>
      <c r="D68" s="20" t="s">
        <v>255</v>
      </c>
      <c r="E68" s="30" t="s">
        <v>162</v>
      </c>
      <c r="F68" s="72" t="s">
        <v>242</v>
      </c>
      <c r="G68" s="21"/>
      <c r="H68" s="22"/>
      <c r="I68" s="22"/>
      <c r="J68" s="23"/>
      <c r="K68" s="21"/>
      <c r="L68" s="22"/>
      <c r="M68" s="22"/>
      <c r="N68" s="24"/>
      <c r="O68" s="24"/>
      <c r="P68" s="24" t="s">
        <v>101</v>
      </c>
      <c r="Q68" s="24"/>
      <c r="R68" s="23"/>
      <c r="S68" s="135">
        <v>45311</v>
      </c>
      <c r="T68" s="25"/>
      <c r="U68" s="26"/>
      <c r="V68" s="27"/>
      <c r="W68" s="28"/>
      <c r="X68" s="29" t="s">
        <v>167</v>
      </c>
    </row>
    <row r="69" spans="1:24" ht="11.4">
      <c r="A69" s="19">
        <f t="shared" si="2"/>
        <v>67</v>
      </c>
      <c r="B69" s="31"/>
      <c r="C69" s="20"/>
      <c r="D69" s="20" t="s">
        <v>256</v>
      </c>
      <c r="E69" s="30" t="s">
        <v>162</v>
      </c>
      <c r="F69" s="72" t="s">
        <v>203</v>
      </c>
      <c r="G69" s="21"/>
      <c r="H69" s="22"/>
      <c r="I69" s="22"/>
      <c r="J69" s="23"/>
      <c r="K69" s="21"/>
      <c r="L69" s="22"/>
      <c r="M69" s="22"/>
      <c r="N69" s="24"/>
      <c r="O69" s="24"/>
      <c r="P69" s="24" t="s">
        <v>101</v>
      </c>
      <c r="Q69" s="24"/>
      <c r="R69" s="23"/>
      <c r="S69" s="135">
        <v>45311</v>
      </c>
      <c r="T69" s="25"/>
      <c r="U69" s="26"/>
      <c r="V69" s="27"/>
      <c r="W69" s="28"/>
      <c r="X69" s="29" t="s">
        <v>167</v>
      </c>
    </row>
    <row r="70" spans="1:24" ht="11.4">
      <c r="A70" s="19">
        <f t="shared" si="2"/>
        <v>68</v>
      </c>
      <c r="B70" s="20"/>
      <c r="C70" s="20"/>
      <c r="D70" s="30" t="s">
        <v>257</v>
      </c>
      <c r="E70" s="30" t="s">
        <v>162</v>
      </c>
      <c r="F70" s="72" t="s">
        <v>203</v>
      </c>
      <c r="G70" s="21"/>
      <c r="H70" s="22"/>
      <c r="I70" s="22"/>
      <c r="J70" s="23"/>
      <c r="K70" s="21"/>
      <c r="L70" s="22"/>
      <c r="M70" s="22"/>
      <c r="N70" s="24"/>
      <c r="O70" s="24"/>
      <c r="P70" s="24" t="s">
        <v>101</v>
      </c>
      <c r="Q70" s="24"/>
      <c r="R70" s="23"/>
      <c r="S70" s="135">
        <v>45311</v>
      </c>
      <c r="T70" s="25"/>
      <c r="U70" s="26"/>
      <c r="V70" s="27"/>
      <c r="W70" s="28"/>
      <c r="X70" s="29" t="s">
        <v>167</v>
      </c>
    </row>
    <row r="71" spans="1:24" ht="11.4">
      <c r="A71" s="19">
        <f t="shared" si="2"/>
        <v>69</v>
      </c>
      <c r="B71" s="20"/>
      <c r="C71" s="20"/>
      <c r="D71" s="30" t="s">
        <v>258</v>
      </c>
      <c r="E71" s="30" t="s">
        <v>162</v>
      </c>
      <c r="F71" s="72" t="s">
        <v>203</v>
      </c>
      <c r="G71" s="21"/>
      <c r="H71" s="22"/>
      <c r="I71" s="22"/>
      <c r="J71" s="23"/>
      <c r="K71" s="21"/>
      <c r="L71" s="22"/>
      <c r="M71" s="22"/>
      <c r="N71" s="24"/>
      <c r="O71" s="24"/>
      <c r="P71" s="24" t="s">
        <v>101</v>
      </c>
      <c r="Q71" s="24"/>
      <c r="R71" s="23"/>
      <c r="S71" s="135">
        <v>45311</v>
      </c>
      <c r="T71" s="25"/>
      <c r="U71" s="26"/>
      <c r="V71" s="27"/>
      <c r="W71" s="28"/>
      <c r="X71" s="29" t="s">
        <v>167</v>
      </c>
    </row>
    <row r="72" spans="1:24" ht="11.4">
      <c r="A72" s="19">
        <f t="shared" si="2"/>
        <v>70</v>
      </c>
      <c r="B72" s="20"/>
      <c r="C72" s="31"/>
      <c r="D72" s="30" t="s">
        <v>259</v>
      </c>
      <c r="E72" s="30" t="s">
        <v>162</v>
      </c>
      <c r="F72" s="72" t="s">
        <v>203</v>
      </c>
      <c r="G72" s="21"/>
      <c r="H72" s="22"/>
      <c r="I72" s="22"/>
      <c r="J72" s="23"/>
      <c r="K72" s="21"/>
      <c r="L72" s="22"/>
      <c r="M72" s="22"/>
      <c r="N72" s="24"/>
      <c r="O72" s="24"/>
      <c r="P72" s="24" t="s">
        <v>101</v>
      </c>
      <c r="Q72" s="24"/>
      <c r="R72" s="23"/>
      <c r="S72" s="135">
        <v>45311</v>
      </c>
      <c r="T72" s="25"/>
      <c r="U72" s="26"/>
      <c r="V72" s="27"/>
      <c r="W72" s="28"/>
      <c r="X72" s="29" t="s">
        <v>167</v>
      </c>
    </row>
    <row r="73" spans="1:24" ht="11.4">
      <c r="A73" s="19">
        <f t="shared" si="2"/>
        <v>71</v>
      </c>
      <c r="B73" s="20"/>
      <c r="C73" s="20"/>
      <c r="D73" s="30" t="s">
        <v>260</v>
      </c>
      <c r="E73" s="30" t="s">
        <v>162</v>
      </c>
      <c r="F73" s="72" t="s">
        <v>203</v>
      </c>
      <c r="G73" s="21"/>
      <c r="H73" s="22"/>
      <c r="I73" s="22"/>
      <c r="J73" s="23"/>
      <c r="K73" s="21"/>
      <c r="L73" s="22"/>
      <c r="M73" s="22"/>
      <c r="N73" s="24"/>
      <c r="O73" s="24"/>
      <c r="P73" s="24" t="s">
        <v>101</v>
      </c>
      <c r="Q73" s="24"/>
      <c r="R73" s="23"/>
      <c r="S73" s="135">
        <v>45311</v>
      </c>
      <c r="T73" s="25"/>
      <c r="U73" s="26"/>
      <c r="V73" s="27"/>
      <c r="W73" s="28"/>
      <c r="X73" s="29" t="s">
        <v>167</v>
      </c>
    </row>
    <row r="74" spans="1:24" ht="11.4">
      <c r="A74" s="19">
        <f t="shared" si="2"/>
        <v>72</v>
      </c>
      <c r="B74" s="20"/>
      <c r="C74" s="20"/>
      <c r="D74" s="30" t="s">
        <v>261</v>
      </c>
      <c r="E74" s="30" t="s">
        <v>162</v>
      </c>
      <c r="F74" s="72" t="s">
        <v>203</v>
      </c>
      <c r="G74" s="21"/>
      <c r="H74" s="22"/>
      <c r="I74" s="22"/>
      <c r="J74" s="23"/>
      <c r="K74" s="21"/>
      <c r="L74" s="22"/>
      <c r="M74" s="22"/>
      <c r="N74" s="24"/>
      <c r="O74" s="24"/>
      <c r="P74" s="24" t="s">
        <v>101</v>
      </c>
      <c r="Q74" s="24"/>
      <c r="R74" s="23"/>
      <c r="S74" s="135">
        <v>45311</v>
      </c>
      <c r="T74" s="25"/>
      <c r="U74" s="26"/>
      <c r="V74" s="27"/>
      <c r="W74" s="28"/>
      <c r="X74" s="29" t="s">
        <v>167</v>
      </c>
    </row>
    <row r="75" spans="1:24" ht="11.4">
      <c r="A75" s="19">
        <f t="shared" si="2"/>
        <v>73</v>
      </c>
      <c r="B75" s="20"/>
      <c r="C75" s="31"/>
      <c r="D75" s="30" t="s">
        <v>262</v>
      </c>
      <c r="E75" s="30" t="s">
        <v>162</v>
      </c>
      <c r="F75" s="72" t="s">
        <v>203</v>
      </c>
      <c r="G75" s="21"/>
      <c r="H75" s="22"/>
      <c r="I75" s="22"/>
      <c r="J75" s="23"/>
      <c r="K75" s="21"/>
      <c r="L75" s="22"/>
      <c r="M75" s="22"/>
      <c r="N75" s="24"/>
      <c r="O75" s="24"/>
      <c r="P75" s="24" t="s">
        <v>101</v>
      </c>
      <c r="Q75" s="24"/>
      <c r="R75" s="23"/>
      <c r="S75" s="135">
        <v>45311</v>
      </c>
      <c r="T75" s="25"/>
      <c r="U75" s="26"/>
      <c r="V75" s="27"/>
      <c r="W75" s="28"/>
      <c r="X75" s="29" t="s">
        <v>167</v>
      </c>
    </row>
    <row r="76" spans="1:24" ht="11.4">
      <c r="A76" s="19">
        <f t="shared" si="2"/>
        <v>74</v>
      </c>
      <c r="B76" s="31"/>
      <c r="C76" s="31"/>
      <c r="D76" s="30" t="s">
        <v>263</v>
      </c>
      <c r="E76" s="30" t="s">
        <v>162</v>
      </c>
      <c r="F76" s="72" t="s">
        <v>238</v>
      </c>
      <c r="G76" s="21"/>
      <c r="H76" s="22"/>
      <c r="I76" s="22"/>
      <c r="J76" s="23"/>
      <c r="K76" s="21"/>
      <c r="L76" s="22"/>
      <c r="M76" s="22"/>
      <c r="N76" s="24"/>
      <c r="O76" s="24"/>
      <c r="P76" s="24" t="s">
        <v>101</v>
      </c>
      <c r="Q76" s="24"/>
      <c r="R76" s="23"/>
      <c r="S76" s="135">
        <v>45311</v>
      </c>
      <c r="T76" s="25"/>
      <c r="U76" s="26"/>
      <c r="V76" s="27"/>
      <c r="W76" s="28"/>
      <c r="X76" s="29" t="s">
        <v>167</v>
      </c>
    </row>
    <row r="77" spans="1:24" ht="11.4">
      <c r="A77" s="19">
        <f t="shared" si="2"/>
        <v>75</v>
      </c>
      <c r="B77" s="31"/>
      <c r="C77" s="31"/>
      <c r="D77" s="30" t="s">
        <v>264</v>
      </c>
      <c r="E77" s="30" t="s">
        <v>162</v>
      </c>
      <c r="F77" s="72" t="s">
        <v>265</v>
      </c>
      <c r="G77" s="21"/>
      <c r="H77" s="22"/>
      <c r="I77" s="22"/>
      <c r="J77" s="23"/>
      <c r="K77" s="21"/>
      <c r="L77" s="22"/>
      <c r="M77" s="22"/>
      <c r="N77" s="24"/>
      <c r="O77" s="24"/>
      <c r="P77" s="24" t="s">
        <v>101</v>
      </c>
      <c r="Q77" s="24"/>
      <c r="R77" s="23"/>
      <c r="S77" s="135">
        <v>45311</v>
      </c>
      <c r="T77" s="25"/>
      <c r="U77" s="26"/>
      <c r="V77" s="27"/>
      <c r="W77" s="28"/>
      <c r="X77" s="29" t="s">
        <v>167</v>
      </c>
    </row>
    <row r="78" spans="1:24" ht="11.4">
      <c r="A78" s="19">
        <f t="shared" si="2"/>
        <v>76</v>
      </c>
      <c r="B78" s="31"/>
      <c r="C78" s="31"/>
      <c r="D78" s="30" t="s">
        <v>266</v>
      </c>
      <c r="E78" s="30" t="s">
        <v>162</v>
      </c>
      <c r="F78" s="72" t="s">
        <v>267</v>
      </c>
      <c r="G78" s="21"/>
      <c r="H78" s="22"/>
      <c r="I78" s="22"/>
      <c r="J78" s="23"/>
      <c r="K78" s="21"/>
      <c r="L78" s="22"/>
      <c r="M78" s="22"/>
      <c r="N78" s="24"/>
      <c r="O78" s="24"/>
      <c r="P78" s="24" t="s">
        <v>101</v>
      </c>
      <c r="Q78" s="24"/>
      <c r="R78" s="23"/>
      <c r="S78" s="135">
        <v>45311</v>
      </c>
      <c r="T78" s="25"/>
      <c r="U78" s="26"/>
      <c r="V78" s="27"/>
      <c r="W78" s="28"/>
      <c r="X78" s="29" t="s">
        <v>167</v>
      </c>
    </row>
    <row r="79" spans="1:24" ht="11.4">
      <c r="A79" s="19">
        <f t="shared" si="2"/>
        <v>77</v>
      </c>
      <c r="B79" s="31"/>
      <c r="C79" s="31"/>
      <c r="D79" s="30" t="s">
        <v>268</v>
      </c>
      <c r="E79" s="30" t="s">
        <v>162</v>
      </c>
      <c r="F79" s="72" t="s">
        <v>269</v>
      </c>
      <c r="G79" s="21"/>
      <c r="H79" s="22"/>
      <c r="I79" s="22"/>
      <c r="J79" s="23"/>
      <c r="K79" s="21"/>
      <c r="L79" s="22"/>
      <c r="M79" s="22"/>
      <c r="N79" s="24"/>
      <c r="O79" s="24"/>
      <c r="P79" s="24" t="s">
        <v>101</v>
      </c>
      <c r="Q79" s="24"/>
      <c r="R79" s="23"/>
      <c r="S79" s="135">
        <v>45311</v>
      </c>
      <c r="T79" s="25"/>
      <c r="U79" s="26"/>
      <c r="V79" s="27"/>
      <c r="W79" s="28"/>
      <c r="X79" s="29" t="s">
        <v>167</v>
      </c>
    </row>
    <row r="80" spans="1:24" ht="22.8">
      <c r="A80" s="19">
        <f t="shared" si="2"/>
        <v>78</v>
      </c>
      <c r="B80" s="31"/>
      <c r="C80" s="20"/>
      <c r="D80" s="20" t="s">
        <v>270</v>
      </c>
      <c r="E80" s="30" t="s">
        <v>162</v>
      </c>
      <c r="F80" s="72" t="s">
        <v>271</v>
      </c>
      <c r="G80" s="21"/>
      <c r="H80" s="22"/>
      <c r="I80" s="22"/>
      <c r="J80" s="23"/>
      <c r="K80" s="21"/>
      <c r="L80" s="22"/>
      <c r="M80" s="22"/>
      <c r="N80" s="24"/>
      <c r="O80" s="24"/>
      <c r="P80" s="24" t="s">
        <v>101</v>
      </c>
      <c r="Q80" s="24"/>
      <c r="R80" s="23"/>
      <c r="S80" s="135">
        <v>45311</v>
      </c>
      <c r="T80" s="25"/>
      <c r="U80" s="26"/>
      <c r="V80" s="27"/>
      <c r="W80" s="28"/>
      <c r="X80" s="29" t="s">
        <v>167</v>
      </c>
    </row>
    <row r="81" spans="1:24" ht="11.4">
      <c r="A81" s="19">
        <f t="shared" si="2"/>
        <v>79</v>
      </c>
      <c r="B81" s="20"/>
      <c r="C81" s="20"/>
      <c r="D81" s="30" t="s">
        <v>272</v>
      </c>
      <c r="E81" s="30" t="s">
        <v>162</v>
      </c>
      <c r="F81" s="72" t="s">
        <v>273</v>
      </c>
      <c r="G81" s="21"/>
      <c r="H81" s="22"/>
      <c r="I81" s="22"/>
      <c r="J81" s="23"/>
      <c r="K81" s="21"/>
      <c r="L81" s="22"/>
      <c r="M81" s="22"/>
      <c r="N81" s="24"/>
      <c r="O81" s="24"/>
      <c r="P81" s="24" t="s">
        <v>101</v>
      </c>
      <c r="Q81" s="24"/>
      <c r="R81" s="23"/>
      <c r="S81" s="135">
        <v>45311</v>
      </c>
      <c r="T81" s="25"/>
      <c r="U81" s="26"/>
      <c r="V81" s="27"/>
      <c r="W81" s="28"/>
      <c r="X81" s="29" t="s">
        <v>167</v>
      </c>
    </row>
    <row r="82" spans="1:24" ht="11.4">
      <c r="A82" s="19">
        <f t="shared" si="2"/>
        <v>80</v>
      </c>
      <c r="B82" s="20"/>
      <c r="C82" s="20"/>
      <c r="D82" s="30" t="s">
        <v>274</v>
      </c>
      <c r="E82" s="30" t="s">
        <v>162</v>
      </c>
      <c r="F82" s="72" t="s">
        <v>275</v>
      </c>
      <c r="G82" s="21"/>
      <c r="H82" s="22"/>
      <c r="I82" s="22"/>
      <c r="J82" s="23"/>
      <c r="K82" s="21"/>
      <c r="L82" s="22"/>
      <c r="M82" s="22"/>
      <c r="N82" s="24"/>
      <c r="O82" s="24"/>
      <c r="P82" s="24" t="s">
        <v>101</v>
      </c>
      <c r="Q82" s="24"/>
      <c r="R82" s="23"/>
      <c r="S82" s="135">
        <v>45311</v>
      </c>
      <c r="T82" s="25"/>
      <c r="U82" s="26"/>
      <c r="V82" s="27"/>
      <c r="W82" s="28"/>
      <c r="X82" s="29" t="s">
        <v>167</v>
      </c>
    </row>
    <row r="83" spans="1:24" ht="11.4">
      <c r="A83" s="19">
        <f t="shared" si="2"/>
        <v>81</v>
      </c>
      <c r="B83" s="20"/>
      <c r="C83" s="31"/>
      <c r="D83" s="30" t="s">
        <v>276</v>
      </c>
      <c r="E83" s="30" t="s">
        <v>162</v>
      </c>
      <c r="F83" s="72" t="s">
        <v>277</v>
      </c>
      <c r="G83" s="21"/>
      <c r="H83" s="22"/>
      <c r="I83" s="22"/>
      <c r="J83" s="23"/>
      <c r="K83" s="21"/>
      <c r="L83" s="22"/>
      <c r="M83" s="22"/>
      <c r="N83" s="24"/>
      <c r="O83" s="24"/>
      <c r="P83" s="24" t="s">
        <v>101</v>
      </c>
      <c r="Q83" s="24"/>
      <c r="R83" s="23"/>
      <c r="S83" s="135">
        <v>45311</v>
      </c>
      <c r="T83" s="25"/>
      <c r="U83" s="26"/>
      <c r="V83" s="27"/>
      <c r="W83" s="28"/>
      <c r="X83" s="29" t="s">
        <v>167</v>
      </c>
    </row>
    <row r="84" spans="1:24" ht="11.4">
      <c r="A84" s="19">
        <f t="shared" si="2"/>
        <v>82</v>
      </c>
      <c r="B84" s="20"/>
      <c r="C84" s="20"/>
      <c r="D84" s="30" t="s">
        <v>224</v>
      </c>
      <c r="E84" s="30" t="s">
        <v>162</v>
      </c>
      <c r="F84" s="72" t="s">
        <v>190</v>
      </c>
      <c r="G84" s="21"/>
      <c r="H84" s="22"/>
      <c r="I84" s="22"/>
      <c r="J84" s="23"/>
      <c r="K84" s="21"/>
      <c r="L84" s="22"/>
      <c r="M84" s="22"/>
      <c r="N84" s="24"/>
      <c r="O84" s="24"/>
      <c r="P84" s="24" t="s">
        <v>101</v>
      </c>
      <c r="Q84" s="24"/>
      <c r="R84" s="23"/>
      <c r="S84" s="135">
        <v>45311</v>
      </c>
      <c r="T84" s="139"/>
      <c r="U84" s="26"/>
      <c r="V84" s="27"/>
      <c r="W84" s="28"/>
      <c r="X84" s="29" t="s">
        <v>167</v>
      </c>
    </row>
    <row r="85" spans="1:24" ht="11.4">
      <c r="A85" s="19">
        <f>ROW()-2</f>
        <v>83</v>
      </c>
      <c r="B85" s="20"/>
      <c r="C85" s="20" t="s">
        <v>278</v>
      </c>
      <c r="D85" s="20" t="s">
        <v>279</v>
      </c>
      <c r="E85" s="30" t="s">
        <v>162</v>
      </c>
      <c r="F85" s="71" t="s">
        <v>163</v>
      </c>
      <c r="G85" s="21"/>
      <c r="H85" s="22"/>
      <c r="I85" s="22"/>
      <c r="J85" s="23"/>
      <c r="K85" s="21"/>
      <c r="L85" s="22"/>
      <c r="M85" s="22"/>
      <c r="N85" s="24"/>
      <c r="O85" s="24"/>
      <c r="P85" s="24" t="s">
        <v>101</v>
      </c>
      <c r="Q85" s="24"/>
      <c r="R85" s="23"/>
      <c r="S85" s="135">
        <v>45312</v>
      </c>
      <c r="T85" s="25"/>
      <c r="U85" s="26"/>
      <c r="V85" s="27"/>
      <c r="W85" s="28"/>
      <c r="X85" s="29" t="s">
        <v>167</v>
      </c>
    </row>
    <row r="86" spans="1:24" ht="11.4">
      <c r="A86" s="19">
        <f t="shared" ref="A86:A88" si="3">ROW()-2</f>
        <v>84</v>
      </c>
      <c r="B86" s="20"/>
      <c r="C86" s="20"/>
      <c r="D86" s="20" t="s">
        <v>165</v>
      </c>
      <c r="E86" s="30" t="s">
        <v>162</v>
      </c>
      <c r="F86" s="71" t="s">
        <v>166</v>
      </c>
      <c r="G86" s="21"/>
      <c r="H86" s="22"/>
      <c r="I86" s="22"/>
      <c r="J86" s="23"/>
      <c r="K86" s="21"/>
      <c r="L86" s="22"/>
      <c r="M86" s="22"/>
      <c r="N86" s="24"/>
      <c r="O86" s="24"/>
      <c r="P86" s="24" t="s">
        <v>101</v>
      </c>
      <c r="Q86" s="24"/>
      <c r="R86" s="23"/>
      <c r="S86" s="135">
        <v>45312</v>
      </c>
      <c r="T86" s="25"/>
      <c r="U86" s="26"/>
      <c r="V86" s="27"/>
      <c r="W86" s="28"/>
      <c r="X86" s="29" t="s">
        <v>167</v>
      </c>
    </row>
    <row r="87" spans="1:24" ht="11.4">
      <c r="A87" s="19">
        <f t="shared" si="3"/>
        <v>85</v>
      </c>
      <c r="B87" s="20"/>
      <c r="C87" s="20"/>
      <c r="D87" s="20" t="s">
        <v>168</v>
      </c>
      <c r="E87" s="30" t="s">
        <v>162</v>
      </c>
      <c r="F87" s="71" t="s">
        <v>169</v>
      </c>
      <c r="G87" s="21"/>
      <c r="H87" s="22"/>
      <c r="I87" s="22"/>
      <c r="J87" s="23"/>
      <c r="K87" s="21"/>
      <c r="L87" s="22"/>
      <c r="M87" s="22"/>
      <c r="N87" s="24"/>
      <c r="O87" s="24"/>
      <c r="P87" s="24" t="s">
        <v>101</v>
      </c>
      <c r="Q87" s="24"/>
      <c r="R87" s="23"/>
      <c r="S87" s="135">
        <v>45312</v>
      </c>
      <c r="T87" s="25"/>
      <c r="U87" s="26"/>
      <c r="V87" s="27"/>
      <c r="W87" s="28"/>
      <c r="X87" s="29" t="s">
        <v>167</v>
      </c>
    </row>
    <row r="88" spans="1:24" ht="11.4">
      <c r="A88" s="19">
        <f t="shared" si="3"/>
        <v>86</v>
      </c>
      <c r="B88" s="20"/>
      <c r="C88" s="20"/>
      <c r="D88" s="20" t="s">
        <v>170</v>
      </c>
      <c r="E88" s="30" t="s">
        <v>162</v>
      </c>
      <c r="F88" s="71" t="s">
        <v>171</v>
      </c>
      <c r="G88" s="21"/>
      <c r="H88" s="22"/>
      <c r="I88" s="22"/>
      <c r="J88" s="23"/>
      <c r="K88" s="21"/>
      <c r="L88" s="22"/>
      <c r="M88" s="22"/>
      <c r="N88" s="24"/>
      <c r="O88" s="24"/>
      <c r="P88" s="24" t="s">
        <v>101</v>
      </c>
      <c r="Q88" s="24"/>
      <c r="R88" s="23"/>
      <c r="S88" s="135">
        <v>45312</v>
      </c>
      <c r="T88" s="25"/>
      <c r="U88" s="26"/>
      <c r="V88" s="27"/>
      <c r="W88" s="28"/>
      <c r="X88" s="29" t="s">
        <v>167</v>
      </c>
    </row>
    <row r="89" spans="1:24" ht="11.4">
      <c r="A89" s="19">
        <f>ROW()-2</f>
        <v>87</v>
      </c>
      <c r="B89" s="20"/>
      <c r="C89" s="20"/>
      <c r="D89" s="20" t="s">
        <v>172</v>
      </c>
      <c r="E89" s="30" t="s">
        <v>162</v>
      </c>
      <c r="F89" s="71" t="s">
        <v>173</v>
      </c>
      <c r="G89" s="21"/>
      <c r="H89" s="22"/>
      <c r="I89" s="22"/>
      <c r="J89" s="23"/>
      <c r="K89" s="21"/>
      <c r="L89" s="22"/>
      <c r="M89" s="22"/>
      <c r="N89" s="24"/>
      <c r="O89" s="24"/>
      <c r="P89" s="24" t="s">
        <v>101</v>
      </c>
      <c r="Q89" s="24"/>
      <c r="R89" s="23"/>
      <c r="S89" s="135">
        <v>45312</v>
      </c>
      <c r="T89" s="25"/>
      <c r="U89" s="26"/>
      <c r="V89" s="27"/>
      <c r="W89" s="28"/>
      <c r="X89" s="29" t="s">
        <v>167</v>
      </c>
    </row>
    <row r="90" spans="1:24" ht="11.4">
      <c r="A90" s="19">
        <f t="shared" si="2"/>
        <v>88</v>
      </c>
      <c r="B90" s="20"/>
      <c r="C90" s="20"/>
      <c r="D90" s="20" t="s">
        <v>174</v>
      </c>
      <c r="E90" s="30" t="s">
        <v>162</v>
      </c>
      <c r="F90" s="71" t="s">
        <v>175</v>
      </c>
      <c r="G90" s="21"/>
      <c r="H90" s="22"/>
      <c r="I90" s="22"/>
      <c r="J90" s="23"/>
      <c r="K90" s="21"/>
      <c r="L90" s="22"/>
      <c r="M90" s="22"/>
      <c r="N90" s="24"/>
      <c r="O90" s="24"/>
      <c r="P90" s="24" t="s">
        <v>101</v>
      </c>
      <c r="Q90" s="24"/>
      <c r="R90" s="23"/>
      <c r="S90" s="135">
        <v>45312</v>
      </c>
      <c r="T90" s="25"/>
      <c r="U90" s="26"/>
      <c r="V90" s="27"/>
      <c r="W90" s="28"/>
      <c r="X90" s="29" t="s">
        <v>167</v>
      </c>
    </row>
    <row r="91" spans="1:24" ht="11.4">
      <c r="A91" s="19">
        <f t="shared" si="2"/>
        <v>89</v>
      </c>
      <c r="B91" s="20"/>
      <c r="C91" s="20"/>
      <c r="D91" s="20" t="s">
        <v>176</v>
      </c>
      <c r="E91" s="30" t="s">
        <v>162</v>
      </c>
      <c r="F91" s="71" t="s">
        <v>177</v>
      </c>
      <c r="G91" s="21"/>
      <c r="H91" s="22"/>
      <c r="I91" s="22"/>
      <c r="J91" s="23"/>
      <c r="K91" s="21"/>
      <c r="L91" s="22"/>
      <c r="M91" s="22"/>
      <c r="N91" s="24"/>
      <c r="O91" s="24"/>
      <c r="P91" s="24" t="s">
        <v>101</v>
      </c>
      <c r="Q91" s="24"/>
      <c r="R91" s="23"/>
      <c r="S91" s="135">
        <v>45312</v>
      </c>
      <c r="T91" s="25"/>
      <c r="U91" s="26"/>
      <c r="V91" s="27"/>
      <c r="W91" s="28"/>
      <c r="X91" s="29" t="s">
        <v>167</v>
      </c>
    </row>
    <row r="92" spans="1:24" ht="11.4">
      <c r="A92" s="19">
        <f t="shared" si="2"/>
        <v>90</v>
      </c>
      <c r="B92" s="20"/>
      <c r="C92" s="20"/>
      <c r="D92" s="20" t="s">
        <v>178</v>
      </c>
      <c r="E92" s="30" t="s">
        <v>162</v>
      </c>
      <c r="F92" s="71" t="s">
        <v>175</v>
      </c>
      <c r="G92" s="21"/>
      <c r="H92" s="22"/>
      <c r="I92" s="22"/>
      <c r="J92" s="23"/>
      <c r="K92" s="21"/>
      <c r="L92" s="22"/>
      <c r="M92" s="22"/>
      <c r="N92" s="24"/>
      <c r="O92" s="24"/>
      <c r="P92" s="24" t="s">
        <v>101</v>
      </c>
      <c r="Q92" s="24"/>
      <c r="R92" s="23"/>
      <c r="S92" s="135">
        <v>45312</v>
      </c>
      <c r="T92" s="25"/>
      <c r="U92" s="26"/>
      <c r="V92" s="27"/>
      <c r="W92" s="28"/>
      <c r="X92" s="29" t="s">
        <v>167</v>
      </c>
    </row>
    <row r="93" spans="1:24" ht="11.4">
      <c r="A93" s="19">
        <f t="shared" si="2"/>
        <v>91</v>
      </c>
      <c r="B93" s="20"/>
      <c r="C93" s="20"/>
      <c r="D93" s="30" t="s">
        <v>179</v>
      </c>
      <c r="E93" s="30" t="s">
        <v>162</v>
      </c>
      <c r="F93" s="71" t="s">
        <v>180</v>
      </c>
      <c r="G93" s="21"/>
      <c r="H93" s="22"/>
      <c r="I93" s="22"/>
      <c r="J93" s="23"/>
      <c r="K93" s="21"/>
      <c r="L93" s="22"/>
      <c r="M93" s="22"/>
      <c r="N93" s="24"/>
      <c r="O93" s="24"/>
      <c r="P93" s="24" t="s">
        <v>101</v>
      </c>
      <c r="Q93" s="24"/>
      <c r="R93" s="23"/>
      <c r="S93" s="135">
        <v>45312</v>
      </c>
      <c r="T93" s="25"/>
      <c r="U93" s="26"/>
      <c r="V93" s="27"/>
      <c r="W93" s="28"/>
      <c r="X93" s="29" t="s">
        <v>167</v>
      </c>
    </row>
    <row r="94" spans="1:24" ht="11.4">
      <c r="A94" s="19">
        <f t="shared" si="2"/>
        <v>92</v>
      </c>
      <c r="B94" s="20"/>
      <c r="C94" s="20"/>
      <c r="D94" s="30" t="s">
        <v>181</v>
      </c>
      <c r="E94" s="30" t="s">
        <v>162</v>
      </c>
      <c r="F94" s="71" t="s">
        <v>169</v>
      </c>
      <c r="G94" s="21"/>
      <c r="H94" s="22"/>
      <c r="I94" s="22"/>
      <c r="J94" s="23"/>
      <c r="K94" s="21"/>
      <c r="L94" s="22"/>
      <c r="M94" s="22"/>
      <c r="N94" s="24"/>
      <c r="O94" s="24"/>
      <c r="P94" s="24" t="s">
        <v>101</v>
      </c>
      <c r="Q94" s="24"/>
      <c r="R94" s="23"/>
      <c r="S94" s="135">
        <v>45312</v>
      </c>
      <c r="T94" s="25"/>
      <c r="U94" s="26"/>
      <c r="V94" s="27"/>
      <c r="W94" s="28"/>
      <c r="X94" s="29" t="s">
        <v>167</v>
      </c>
    </row>
    <row r="95" spans="1:24" ht="11.4">
      <c r="A95" s="19">
        <f t="shared" si="2"/>
        <v>93</v>
      </c>
      <c r="B95" s="20"/>
      <c r="C95" s="20"/>
      <c r="D95" s="30" t="s">
        <v>182</v>
      </c>
      <c r="E95" s="30" t="s">
        <v>162</v>
      </c>
      <c r="F95" s="71" t="s">
        <v>169</v>
      </c>
      <c r="G95" s="21"/>
      <c r="H95" s="22"/>
      <c r="I95" s="22"/>
      <c r="J95" s="23"/>
      <c r="K95" s="21"/>
      <c r="L95" s="22"/>
      <c r="M95" s="22"/>
      <c r="N95" s="24"/>
      <c r="O95" s="24"/>
      <c r="P95" s="24" t="s">
        <v>101</v>
      </c>
      <c r="Q95" s="24"/>
      <c r="R95" s="23"/>
      <c r="S95" s="135">
        <v>45312</v>
      </c>
      <c r="T95" s="25"/>
      <c r="U95" s="26"/>
      <c r="V95" s="27"/>
      <c r="W95" s="28"/>
      <c r="X95" s="29" t="s">
        <v>167</v>
      </c>
    </row>
    <row r="96" spans="1:24" ht="11.4">
      <c r="A96" s="19">
        <f t="shared" si="2"/>
        <v>94</v>
      </c>
      <c r="B96" s="20"/>
      <c r="C96" s="20"/>
      <c r="D96" s="30" t="s">
        <v>183</v>
      </c>
      <c r="E96" s="30" t="s">
        <v>162</v>
      </c>
      <c r="F96" s="71" t="s">
        <v>169</v>
      </c>
      <c r="G96" s="21"/>
      <c r="H96" s="22"/>
      <c r="I96" s="22"/>
      <c r="J96" s="23"/>
      <c r="K96" s="21"/>
      <c r="L96" s="22"/>
      <c r="M96" s="22"/>
      <c r="N96" s="24"/>
      <c r="O96" s="24"/>
      <c r="P96" s="24" t="s">
        <v>101</v>
      </c>
      <c r="Q96" s="24"/>
      <c r="R96" s="23"/>
      <c r="S96" s="135">
        <v>45312</v>
      </c>
      <c r="T96" s="25"/>
      <c r="U96" s="26"/>
      <c r="V96" s="27"/>
      <c r="W96" s="28"/>
      <c r="X96" s="29" t="s">
        <v>167</v>
      </c>
    </row>
    <row r="97" spans="1:24" ht="11.4">
      <c r="A97" s="19">
        <f t="shared" si="2"/>
        <v>95</v>
      </c>
      <c r="B97" s="20"/>
      <c r="C97" s="20"/>
      <c r="D97" s="30" t="s">
        <v>184</v>
      </c>
      <c r="E97" s="30" t="s">
        <v>162</v>
      </c>
      <c r="F97" s="71" t="s">
        <v>169</v>
      </c>
      <c r="G97" s="21"/>
      <c r="H97" s="22"/>
      <c r="I97" s="22"/>
      <c r="J97" s="23"/>
      <c r="K97" s="21"/>
      <c r="L97" s="22"/>
      <c r="M97" s="22"/>
      <c r="N97" s="24"/>
      <c r="O97" s="24"/>
      <c r="P97" s="24" t="s">
        <v>101</v>
      </c>
      <c r="Q97" s="24"/>
      <c r="R97" s="23"/>
      <c r="S97" s="135">
        <v>45312</v>
      </c>
      <c r="T97" s="25"/>
      <c r="U97" s="26"/>
      <c r="V97" s="27"/>
      <c r="W97" s="28"/>
      <c r="X97" s="29" t="s">
        <v>167</v>
      </c>
    </row>
    <row r="98" spans="1:24" ht="11.4">
      <c r="A98" s="19">
        <f t="shared" si="2"/>
        <v>96</v>
      </c>
      <c r="B98" s="20"/>
      <c r="C98" s="20"/>
      <c r="D98" s="30" t="s">
        <v>185</v>
      </c>
      <c r="E98" s="30" t="s">
        <v>162</v>
      </c>
      <c r="F98" s="71" t="s">
        <v>169</v>
      </c>
      <c r="G98" s="21"/>
      <c r="H98" s="22"/>
      <c r="I98" s="22"/>
      <c r="J98" s="23"/>
      <c r="K98" s="21"/>
      <c r="L98" s="22"/>
      <c r="M98" s="22"/>
      <c r="N98" s="24"/>
      <c r="O98" s="24"/>
      <c r="P98" s="24" t="s">
        <v>101</v>
      </c>
      <c r="Q98" s="24"/>
      <c r="R98" s="23"/>
      <c r="S98" s="135">
        <v>45312</v>
      </c>
      <c r="T98" s="25"/>
      <c r="U98" s="26"/>
      <c r="V98" s="27"/>
      <c r="W98" s="28"/>
      <c r="X98" s="29" t="s">
        <v>167</v>
      </c>
    </row>
    <row r="99" spans="1:24" ht="11.4">
      <c r="A99" s="19">
        <f t="shared" si="2"/>
        <v>97</v>
      </c>
      <c r="B99" s="20"/>
      <c r="C99" s="20"/>
      <c r="D99" s="20" t="s">
        <v>186</v>
      </c>
      <c r="E99" s="30" t="s">
        <v>162</v>
      </c>
      <c r="F99" s="71" t="s">
        <v>169</v>
      </c>
      <c r="G99" s="21"/>
      <c r="H99" s="22"/>
      <c r="I99" s="22"/>
      <c r="J99" s="23"/>
      <c r="K99" s="21"/>
      <c r="L99" s="22"/>
      <c r="M99" s="22"/>
      <c r="N99" s="24"/>
      <c r="O99" s="24"/>
      <c r="P99" s="24" t="s">
        <v>101</v>
      </c>
      <c r="Q99" s="24"/>
      <c r="R99" s="23"/>
      <c r="S99" s="135">
        <v>45312</v>
      </c>
      <c r="T99" s="25"/>
      <c r="U99" s="26"/>
      <c r="V99" s="27"/>
      <c r="W99" s="28"/>
      <c r="X99" s="29" t="s">
        <v>167</v>
      </c>
    </row>
    <row r="100" spans="1:24" ht="11.4">
      <c r="A100" s="19">
        <f t="shared" si="2"/>
        <v>98</v>
      </c>
      <c r="B100" s="20"/>
      <c r="C100" s="20"/>
      <c r="D100" s="20" t="s">
        <v>187</v>
      </c>
      <c r="E100" s="30" t="s">
        <v>162</v>
      </c>
      <c r="F100" s="71" t="s">
        <v>169</v>
      </c>
      <c r="G100" s="21"/>
      <c r="H100" s="22"/>
      <c r="I100" s="22"/>
      <c r="J100" s="23"/>
      <c r="K100" s="21"/>
      <c r="L100" s="22"/>
      <c r="M100" s="22"/>
      <c r="N100" s="24"/>
      <c r="O100" s="24"/>
      <c r="P100" s="24" t="s">
        <v>101</v>
      </c>
      <c r="Q100" s="24"/>
      <c r="R100" s="23"/>
      <c r="S100" s="135">
        <v>45312</v>
      </c>
      <c r="T100" s="25"/>
      <c r="U100" s="26"/>
      <c r="V100" s="27"/>
      <c r="W100" s="28"/>
      <c r="X100" s="29" t="s">
        <v>167</v>
      </c>
    </row>
    <row r="101" spans="1:24" ht="11.4">
      <c r="A101" s="19">
        <f t="shared" si="2"/>
        <v>99</v>
      </c>
      <c r="B101" s="20"/>
      <c r="C101" s="20"/>
      <c r="D101" s="30" t="s">
        <v>188</v>
      </c>
      <c r="E101" s="30" t="s">
        <v>162</v>
      </c>
      <c r="F101" s="71" t="s">
        <v>169</v>
      </c>
      <c r="G101" s="21"/>
      <c r="H101" s="22"/>
      <c r="I101" s="22"/>
      <c r="J101" s="23"/>
      <c r="K101" s="21"/>
      <c r="L101" s="22"/>
      <c r="M101" s="22"/>
      <c r="N101" s="24"/>
      <c r="O101" s="24"/>
      <c r="P101" s="24" t="s">
        <v>101</v>
      </c>
      <c r="Q101" s="24"/>
      <c r="R101" s="23"/>
      <c r="S101" s="135">
        <v>45312</v>
      </c>
      <c r="T101" s="25"/>
      <c r="U101" s="26"/>
      <c r="V101" s="27"/>
      <c r="W101" s="28"/>
      <c r="X101" s="29" t="s">
        <v>167</v>
      </c>
    </row>
    <row r="102" spans="1:24" ht="11.4">
      <c r="A102" s="19">
        <f t="shared" si="2"/>
        <v>100</v>
      </c>
      <c r="B102" s="20"/>
      <c r="C102" s="20"/>
      <c r="D102" s="30" t="s">
        <v>189</v>
      </c>
      <c r="E102" s="30" t="s">
        <v>162</v>
      </c>
      <c r="F102" s="71" t="s">
        <v>190</v>
      </c>
      <c r="G102" s="21"/>
      <c r="H102" s="22"/>
      <c r="I102" s="22"/>
      <c r="J102" s="23"/>
      <c r="K102" s="21"/>
      <c r="L102" s="22"/>
      <c r="M102" s="22"/>
      <c r="N102" s="24"/>
      <c r="O102" s="24"/>
      <c r="P102" s="24" t="s">
        <v>101</v>
      </c>
      <c r="Q102" s="24"/>
      <c r="R102" s="23"/>
      <c r="S102" s="135">
        <v>45312</v>
      </c>
      <c r="T102" s="25"/>
      <c r="U102" s="26"/>
      <c r="V102" s="27"/>
      <c r="W102" s="28"/>
      <c r="X102" s="29" t="s">
        <v>167</v>
      </c>
    </row>
    <row r="103" spans="1:24" ht="11.4">
      <c r="A103" s="19">
        <f t="shared" si="2"/>
        <v>101</v>
      </c>
      <c r="B103" s="20"/>
      <c r="C103" s="20"/>
      <c r="D103" s="30" t="s">
        <v>191</v>
      </c>
      <c r="E103" s="30" t="s">
        <v>162</v>
      </c>
      <c r="F103" s="72" t="s">
        <v>192</v>
      </c>
      <c r="G103" s="21"/>
      <c r="H103" s="22"/>
      <c r="I103" s="22"/>
      <c r="J103" s="23"/>
      <c r="K103" s="21"/>
      <c r="L103" s="22"/>
      <c r="M103" s="22"/>
      <c r="N103" s="24"/>
      <c r="O103" s="24"/>
      <c r="P103" s="24" t="s">
        <v>101</v>
      </c>
      <c r="Q103" s="24"/>
      <c r="R103" s="23"/>
      <c r="S103" s="135">
        <v>45312</v>
      </c>
      <c r="T103" s="25"/>
      <c r="U103" s="26"/>
      <c r="V103" s="27"/>
      <c r="W103" s="28"/>
      <c r="X103" s="29" t="s">
        <v>167</v>
      </c>
    </row>
    <row r="104" spans="1:24" ht="11.4">
      <c r="A104" s="19">
        <f t="shared" si="2"/>
        <v>102</v>
      </c>
      <c r="B104" s="20"/>
      <c r="C104" s="20"/>
      <c r="D104" s="30" t="s">
        <v>179</v>
      </c>
      <c r="E104" s="30" t="s">
        <v>162</v>
      </c>
      <c r="F104" s="72" t="s">
        <v>192</v>
      </c>
      <c r="G104" s="21"/>
      <c r="H104" s="22"/>
      <c r="I104" s="22"/>
      <c r="J104" s="23"/>
      <c r="K104" s="21"/>
      <c r="L104" s="22"/>
      <c r="M104" s="22"/>
      <c r="N104" s="24"/>
      <c r="O104" s="24"/>
      <c r="P104" s="24" t="s">
        <v>101</v>
      </c>
      <c r="Q104" s="24"/>
      <c r="R104" s="23"/>
      <c r="S104" s="135">
        <v>45312</v>
      </c>
      <c r="T104" s="25"/>
      <c r="U104" s="26"/>
      <c r="V104" s="27"/>
      <c r="W104" s="28"/>
      <c r="X104" s="29" t="s">
        <v>167</v>
      </c>
    </row>
    <row r="105" spans="1:24" ht="11.4">
      <c r="A105" s="19">
        <f t="shared" si="2"/>
        <v>103</v>
      </c>
      <c r="B105" s="20"/>
      <c r="C105" s="20"/>
      <c r="D105" s="30" t="s">
        <v>193</v>
      </c>
      <c r="E105" s="30" t="s">
        <v>162</v>
      </c>
      <c r="F105" s="72" t="s">
        <v>192</v>
      </c>
      <c r="G105" s="21"/>
      <c r="H105" s="22"/>
      <c r="I105" s="22"/>
      <c r="J105" s="23"/>
      <c r="K105" s="21"/>
      <c r="L105" s="22"/>
      <c r="M105" s="22"/>
      <c r="N105" s="24"/>
      <c r="O105" s="24"/>
      <c r="P105" s="24" t="s">
        <v>101</v>
      </c>
      <c r="Q105" s="24"/>
      <c r="R105" s="23"/>
      <c r="S105" s="135">
        <v>45312</v>
      </c>
      <c r="T105" s="25"/>
      <c r="U105" s="26"/>
      <c r="V105" s="27"/>
      <c r="W105" s="28"/>
      <c r="X105" s="29" t="s">
        <v>167</v>
      </c>
    </row>
    <row r="106" spans="1:24" ht="22.8">
      <c r="A106" s="19">
        <f t="shared" si="2"/>
        <v>104</v>
      </c>
      <c r="B106" s="20"/>
      <c r="C106" s="20"/>
      <c r="D106" s="20" t="s">
        <v>194</v>
      </c>
      <c r="E106" s="30" t="s">
        <v>162</v>
      </c>
      <c r="F106" s="72" t="s">
        <v>195</v>
      </c>
      <c r="G106" s="21"/>
      <c r="H106" s="22"/>
      <c r="I106" s="22"/>
      <c r="J106" s="23"/>
      <c r="K106" s="21"/>
      <c r="L106" s="22"/>
      <c r="M106" s="22"/>
      <c r="N106" s="24"/>
      <c r="O106" s="24"/>
      <c r="P106" s="24" t="s">
        <v>101</v>
      </c>
      <c r="Q106" s="24"/>
      <c r="R106" s="23"/>
      <c r="S106" s="135">
        <v>45312</v>
      </c>
      <c r="T106" s="25"/>
      <c r="U106" s="26"/>
      <c r="V106" s="27"/>
      <c r="W106" s="28"/>
      <c r="X106" s="29" t="s">
        <v>167</v>
      </c>
    </row>
    <row r="107" spans="1:24" ht="11.4">
      <c r="A107" s="19">
        <f t="shared" si="2"/>
        <v>105</v>
      </c>
      <c r="B107" s="31"/>
      <c r="C107" s="31"/>
      <c r="D107" s="30" t="s">
        <v>196</v>
      </c>
      <c r="E107" s="30" t="s">
        <v>162</v>
      </c>
      <c r="F107" s="72" t="s">
        <v>169</v>
      </c>
      <c r="G107" s="21"/>
      <c r="H107" s="22"/>
      <c r="I107" s="22"/>
      <c r="J107" s="23"/>
      <c r="K107" s="21"/>
      <c r="L107" s="22"/>
      <c r="M107" s="22"/>
      <c r="N107" s="24"/>
      <c r="O107" s="24"/>
      <c r="P107" s="24" t="s">
        <v>101</v>
      </c>
      <c r="Q107" s="24"/>
      <c r="R107" s="23"/>
      <c r="S107" s="135">
        <v>45312</v>
      </c>
      <c r="T107" s="25"/>
      <c r="U107" s="26"/>
      <c r="V107" s="27"/>
      <c r="W107" s="28"/>
      <c r="X107" s="29" t="s">
        <v>167</v>
      </c>
    </row>
    <row r="108" spans="1:24" ht="11.4">
      <c r="A108" s="19">
        <f t="shared" si="2"/>
        <v>106</v>
      </c>
      <c r="B108" s="31"/>
      <c r="C108" s="31"/>
      <c r="D108" s="30" t="s">
        <v>197</v>
      </c>
      <c r="E108" s="30" t="s">
        <v>162</v>
      </c>
      <c r="F108" s="72" t="s">
        <v>190</v>
      </c>
      <c r="G108" s="21"/>
      <c r="H108" s="22"/>
      <c r="I108" s="22"/>
      <c r="J108" s="23"/>
      <c r="K108" s="21"/>
      <c r="L108" s="22"/>
      <c r="M108" s="22"/>
      <c r="N108" s="24"/>
      <c r="O108" s="24"/>
      <c r="P108" s="24" t="s">
        <v>101</v>
      </c>
      <c r="Q108" s="24"/>
      <c r="R108" s="23"/>
      <c r="S108" s="135">
        <v>45312</v>
      </c>
      <c r="T108" s="25"/>
      <c r="U108" s="26"/>
      <c r="V108" s="27"/>
      <c r="W108" s="28"/>
      <c r="X108" s="29" t="s">
        <v>167</v>
      </c>
    </row>
    <row r="109" spans="1:24" ht="11.4">
      <c r="A109" s="19">
        <f t="shared" si="2"/>
        <v>107</v>
      </c>
      <c r="B109" s="31"/>
      <c r="C109" s="31"/>
      <c r="D109" s="30" t="s">
        <v>198</v>
      </c>
      <c r="E109" s="30" t="s">
        <v>162</v>
      </c>
      <c r="F109" s="72" t="s">
        <v>199</v>
      </c>
      <c r="G109" s="21"/>
      <c r="H109" s="22"/>
      <c r="I109" s="22"/>
      <c r="J109" s="23"/>
      <c r="K109" s="21"/>
      <c r="L109" s="22"/>
      <c r="M109" s="22"/>
      <c r="N109" s="24"/>
      <c r="O109" s="24"/>
      <c r="P109" s="24" t="s">
        <v>101</v>
      </c>
      <c r="Q109" s="24"/>
      <c r="R109" s="23"/>
      <c r="S109" s="135">
        <v>45312</v>
      </c>
      <c r="T109" s="25"/>
      <c r="U109" s="26"/>
      <c r="V109" s="27"/>
      <c r="W109" s="28"/>
      <c r="X109" s="29" t="s">
        <v>167</v>
      </c>
    </row>
    <row r="110" spans="1:24" ht="11.4">
      <c r="A110" s="19">
        <f t="shared" si="2"/>
        <v>108</v>
      </c>
      <c r="B110" s="31"/>
      <c r="C110" s="20"/>
      <c r="D110" s="20" t="s">
        <v>200</v>
      </c>
      <c r="E110" s="30" t="s">
        <v>162</v>
      </c>
      <c r="F110" s="72" t="s">
        <v>201</v>
      </c>
      <c r="G110" s="21"/>
      <c r="H110" s="22"/>
      <c r="I110" s="22"/>
      <c r="J110" s="23"/>
      <c r="K110" s="21"/>
      <c r="L110" s="22"/>
      <c r="M110" s="22"/>
      <c r="N110" s="24"/>
      <c r="O110" s="24"/>
      <c r="P110" s="24" t="s">
        <v>101</v>
      </c>
      <c r="Q110" s="24"/>
      <c r="R110" s="23"/>
      <c r="S110" s="135">
        <v>45312</v>
      </c>
      <c r="T110" s="25"/>
      <c r="U110" s="26"/>
      <c r="V110" s="27"/>
      <c r="W110" s="28"/>
      <c r="X110" s="29" t="s">
        <v>167</v>
      </c>
    </row>
    <row r="111" spans="1:24" ht="11.4">
      <c r="A111" s="19">
        <f t="shared" si="2"/>
        <v>109</v>
      </c>
      <c r="B111" s="31"/>
      <c r="C111" s="31"/>
      <c r="D111" s="30" t="s">
        <v>191</v>
      </c>
      <c r="E111" s="30" t="s">
        <v>162</v>
      </c>
      <c r="F111" s="72" t="s">
        <v>180</v>
      </c>
      <c r="G111" s="21"/>
      <c r="H111" s="22"/>
      <c r="I111" s="22"/>
      <c r="J111" s="23"/>
      <c r="K111" s="21"/>
      <c r="L111" s="22"/>
      <c r="M111" s="22"/>
      <c r="N111" s="24"/>
      <c r="O111" s="24"/>
      <c r="P111" s="24" t="s">
        <v>101</v>
      </c>
      <c r="Q111" s="24"/>
      <c r="R111" s="23"/>
      <c r="S111" s="135">
        <v>45312</v>
      </c>
      <c r="T111" s="25"/>
      <c r="U111" s="26"/>
      <c r="V111" s="27"/>
      <c r="W111" s="28"/>
      <c r="X111" s="29" t="s">
        <v>167</v>
      </c>
    </row>
    <row r="112" spans="1:24" ht="11.4">
      <c r="A112" s="19">
        <f t="shared" si="2"/>
        <v>110</v>
      </c>
      <c r="B112" s="31"/>
      <c r="C112" s="31"/>
      <c r="D112" s="30" t="s">
        <v>202</v>
      </c>
      <c r="E112" s="30" t="s">
        <v>162</v>
      </c>
      <c r="F112" s="72" t="s">
        <v>203</v>
      </c>
      <c r="G112" s="21"/>
      <c r="H112" s="22"/>
      <c r="I112" s="22"/>
      <c r="J112" s="23"/>
      <c r="K112" s="21"/>
      <c r="L112" s="22"/>
      <c r="M112" s="22"/>
      <c r="N112" s="24"/>
      <c r="O112" s="24"/>
      <c r="P112" s="24" t="s">
        <v>101</v>
      </c>
      <c r="Q112" s="24"/>
      <c r="R112" s="23"/>
      <c r="S112" s="135">
        <v>45312</v>
      </c>
      <c r="T112" s="25"/>
      <c r="U112" s="26"/>
      <c r="V112" s="27"/>
      <c r="W112" s="28"/>
      <c r="X112" s="29" t="s">
        <v>167</v>
      </c>
    </row>
    <row r="113" spans="1:24" ht="11.4">
      <c r="A113" s="19">
        <f t="shared" si="2"/>
        <v>111</v>
      </c>
      <c r="B113" s="31"/>
      <c r="C113" s="31"/>
      <c r="D113" s="30" t="s">
        <v>204</v>
      </c>
      <c r="E113" s="30" t="s">
        <v>162</v>
      </c>
      <c r="F113" s="72" t="s">
        <v>203</v>
      </c>
      <c r="G113" s="21"/>
      <c r="H113" s="22"/>
      <c r="I113" s="22"/>
      <c r="J113" s="23"/>
      <c r="K113" s="21"/>
      <c r="L113" s="22"/>
      <c r="M113" s="22"/>
      <c r="N113" s="24"/>
      <c r="O113" s="24"/>
      <c r="P113" s="24" t="s">
        <v>101</v>
      </c>
      <c r="Q113" s="24"/>
      <c r="R113" s="23"/>
      <c r="S113" s="135">
        <v>45312</v>
      </c>
      <c r="T113" s="25"/>
      <c r="U113" s="26"/>
      <c r="V113" s="27"/>
      <c r="W113" s="28"/>
      <c r="X113" s="29" t="s">
        <v>167</v>
      </c>
    </row>
    <row r="114" spans="1:24" ht="11.4">
      <c r="A114" s="19">
        <f t="shared" si="2"/>
        <v>112</v>
      </c>
      <c r="B114" s="31"/>
      <c r="C114" s="20"/>
      <c r="D114" s="20" t="s">
        <v>205</v>
      </c>
      <c r="E114" s="30" t="s">
        <v>162</v>
      </c>
      <c r="F114" s="72" t="s">
        <v>206</v>
      </c>
      <c r="G114" s="21"/>
      <c r="H114" s="22"/>
      <c r="I114" s="22"/>
      <c r="J114" s="23"/>
      <c r="K114" s="21"/>
      <c r="L114" s="22"/>
      <c r="M114" s="22"/>
      <c r="N114" s="24"/>
      <c r="O114" s="24"/>
      <c r="P114" s="24" t="s">
        <v>101</v>
      </c>
      <c r="Q114" s="24"/>
      <c r="R114" s="23"/>
      <c r="S114" s="135">
        <v>45312</v>
      </c>
      <c r="T114" s="25"/>
      <c r="U114" s="26"/>
      <c r="V114" s="27"/>
      <c r="W114" s="28"/>
      <c r="X114" s="29" t="s">
        <v>167</v>
      </c>
    </row>
    <row r="115" spans="1:24" ht="11.4">
      <c r="A115" s="19">
        <f t="shared" si="2"/>
        <v>113</v>
      </c>
      <c r="B115" s="31"/>
      <c r="C115" s="20"/>
      <c r="D115" s="20" t="s">
        <v>193</v>
      </c>
      <c r="E115" s="30" t="s">
        <v>162</v>
      </c>
      <c r="F115" s="72" t="s">
        <v>180</v>
      </c>
      <c r="G115" s="21"/>
      <c r="H115" s="22"/>
      <c r="I115" s="22"/>
      <c r="J115" s="23"/>
      <c r="K115" s="21"/>
      <c r="L115" s="22"/>
      <c r="M115" s="22"/>
      <c r="N115" s="24"/>
      <c r="O115" s="24"/>
      <c r="P115" s="24" t="s">
        <v>101</v>
      </c>
      <c r="Q115" s="24"/>
      <c r="R115" s="23"/>
      <c r="S115" s="135">
        <v>45312</v>
      </c>
      <c r="T115" s="25"/>
      <c r="U115" s="26"/>
      <c r="V115" s="27"/>
      <c r="W115" s="28"/>
      <c r="X115" s="29" t="s">
        <v>167</v>
      </c>
    </row>
    <row r="116" spans="1:24" ht="11.4">
      <c r="A116" s="19">
        <f t="shared" si="2"/>
        <v>114</v>
      </c>
      <c r="B116" s="20"/>
      <c r="C116" s="20"/>
      <c r="D116" s="30" t="s">
        <v>207</v>
      </c>
      <c r="E116" s="30" t="s">
        <v>162</v>
      </c>
      <c r="F116" s="72" t="s">
        <v>208</v>
      </c>
      <c r="G116" s="21"/>
      <c r="H116" s="22"/>
      <c r="I116" s="22"/>
      <c r="J116" s="23"/>
      <c r="K116" s="21"/>
      <c r="L116" s="22"/>
      <c r="M116" s="22"/>
      <c r="N116" s="24"/>
      <c r="O116" s="24"/>
      <c r="P116" s="24" t="s">
        <v>101</v>
      </c>
      <c r="Q116" s="24"/>
      <c r="R116" s="23"/>
      <c r="S116" s="135">
        <v>45312</v>
      </c>
      <c r="T116" s="25"/>
      <c r="U116" s="26"/>
      <c r="V116" s="27"/>
      <c r="W116" s="28"/>
      <c r="X116" s="29" t="s">
        <v>167</v>
      </c>
    </row>
    <row r="117" spans="1:24" ht="11.4">
      <c r="A117" s="19">
        <f t="shared" si="2"/>
        <v>115</v>
      </c>
      <c r="B117" s="20"/>
      <c r="C117" s="31"/>
      <c r="D117" s="30" t="s">
        <v>209</v>
      </c>
      <c r="E117" s="30" t="s">
        <v>162</v>
      </c>
      <c r="F117" s="72" t="s">
        <v>210</v>
      </c>
      <c r="G117" s="21"/>
      <c r="H117" s="22"/>
      <c r="I117" s="22"/>
      <c r="J117" s="23"/>
      <c r="K117" s="21"/>
      <c r="L117" s="22"/>
      <c r="M117" s="22"/>
      <c r="N117" s="24"/>
      <c r="O117" s="24"/>
      <c r="P117" s="24" t="s">
        <v>101</v>
      </c>
      <c r="Q117" s="24"/>
      <c r="R117" s="23"/>
      <c r="S117" s="135">
        <v>45312</v>
      </c>
      <c r="T117" s="25"/>
      <c r="U117" s="26"/>
      <c r="V117" s="27"/>
      <c r="W117" s="28"/>
      <c r="X117" s="29" t="s">
        <v>167</v>
      </c>
    </row>
    <row r="118" spans="1:24" ht="11.4">
      <c r="A118" s="19">
        <f t="shared" si="2"/>
        <v>116</v>
      </c>
      <c r="B118" s="31"/>
      <c r="C118" s="20"/>
      <c r="D118" s="20" t="s">
        <v>211</v>
      </c>
      <c r="E118" s="30" t="s">
        <v>162</v>
      </c>
      <c r="F118" s="72" t="s">
        <v>212</v>
      </c>
      <c r="G118" s="21"/>
      <c r="H118" s="22"/>
      <c r="I118" s="22"/>
      <c r="J118" s="23"/>
      <c r="K118" s="21"/>
      <c r="L118" s="22"/>
      <c r="M118" s="22"/>
      <c r="N118" s="24"/>
      <c r="O118" s="24"/>
      <c r="P118" s="24" t="s">
        <v>101</v>
      </c>
      <c r="Q118" s="24"/>
      <c r="R118" s="23"/>
      <c r="S118" s="135">
        <v>45312</v>
      </c>
      <c r="T118" s="25"/>
      <c r="U118" s="26"/>
      <c r="V118" s="27"/>
      <c r="W118" s="28"/>
      <c r="X118" s="29" t="s">
        <v>167</v>
      </c>
    </row>
    <row r="119" spans="1:24" ht="11.4">
      <c r="A119" s="19">
        <f t="shared" si="2"/>
        <v>117</v>
      </c>
      <c r="B119" s="20"/>
      <c r="C119" s="20"/>
      <c r="D119" s="30" t="s">
        <v>213</v>
      </c>
      <c r="E119" s="30" t="s">
        <v>162</v>
      </c>
      <c r="F119" s="72" t="s">
        <v>212</v>
      </c>
      <c r="G119" s="21"/>
      <c r="H119" s="22"/>
      <c r="I119" s="22"/>
      <c r="J119" s="23"/>
      <c r="K119" s="21"/>
      <c r="L119" s="22"/>
      <c r="M119" s="22"/>
      <c r="N119" s="24"/>
      <c r="O119" s="24"/>
      <c r="P119" s="24" t="s">
        <v>101</v>
      </c>
      <c r="Q119" s="24"/>
      <c r="R119" s="23"/>
      <c r="S119" s="135">
        <v>45312</v>
      </c>
      <c r="T119" s="25"/>
      <c r="U119" s="26"/>
      <c r="V119" s="27"/>
      <c r="W119" s="28"/>
      <c r="X119" s="29" t="s">
        <v>167</v>
      </c>
    </row>
    <row r="120" spans="1:24" ht="11.4">
      <c r="A120" s="19">
        <f t="shared" si="2"/>
        <v>118</v>
      </c>
      <c r="B120" s="20"/>
      <c r="C120" s="20"/>
      <c r="D120" s="30" t="s">
        <v>214</v>
      </c>
      <c r="E120" s="30" t="s">
        <v>162</v>
      </c>
      <c r="F120" s="72" t="s">
        <v>190</v>
      </c>
      <c r="G120" s="21"/>
      <c r="H120" s="22"/>
      <c r="I120" s="22"/>
      <c r="J120" s="23"/>
      <c r="K120" s="21"/>
      <c r="L120" s="22"/>
      <c r="M120" s="22"/>
      <c r="N120" s="24"/>
      <c r="O120" s="24"/>
      <c r="P120" s="24" t="s">
        <v>101</v>
      </c>
      <c r="Q120" s="24"/>
      <c r="R120" s="23"/>
      <c r="S120" s="135">
        <v>45312</v>
      </c>
      <c r="T120" s="25"/>
      <c r="U120" s="26"/>
      <c r="V120" s="27"/>
      <c r="W120" s="28"/>
      <c r="X120" s="29" t="s">
        <v>167</v>
      </c>
    </row>
    <row r="121" spans="1:24" ht="11.4">
      <c r="A121" s="19">
        <f t="shared" si="2"/>
        <v>119</v>
      </c>
      <c r="B121" s="31"/>
      <c r="C121" s="31"/>
      <c r="D121" s="30" t="s">
        <v>215</v>
      </c>
      <c r="E121" s="30" t="s">
        <v>162</v>
      </c>
      <c r="F121" s="72" t="s">
        <v>190</v>
      </c>
      <c r="G121" s="21"/>
      <c r="H121" s="22"/>
      <c r="I121" s="22"/>
      <c r="J121" s="23"/>
      <c r="K121" s="21"/>
      <c r="L121" s="22"/>
      <c r="M121" s="22"/>
      <c r="N121" s="24"/>
      <c r="O121" s="24"/>
      <c r="P121" s="24" t="s">
        <v>101</v>
      </c>
      <c r="Q121" s="24"/>
      <c r="R121" s="23"/>
      <c r="S121" s="135">
        <v>45312</v>
      </c>
      <c r="T121" s="25"/>
      <c r="U121" s="26"/>
      <c r="V121" s="27"/>
      <c r="W121" s="28"/>
      <c r="X121" s="29" t="s">
        <v>167</v>
      </c>
    </row>
    <row r="122" spans="1:24" ht="11.4">
      <c r="A122" s="19">
        <f t="shared" si="2"/>
        <v>120</v>
      </c>
      <c r="B122" s="31"/>
      <c r="C122" s="20"/>
      <c r="D122" s="20" t="s">
        <v>198</v>
      </c>
      <c r="E122" s="30" t="s">
        <v>162</v>
      </c>
      <c r="F122" s="72" t="s">
        <v>216</v>
      </c>
      <c r="G122" s="21"/>
      <c r="H122" s="22"/>
      <c r="I122" s="22"/>
      <c r="J122" s="23"/>
      <c r="K122" s="21"/>
      <c r="L122" s="22"/>
      <c r="M122" s="22"/>
      <c r="N122" s="24"/>
      <c r="O122" s="24"/>
      <c r="P122" s="24" t="s">
        <v>101</v>
      </c>
      <c r="Q122" s="24"/>
      <c r="R122" s="23"/>
      <c r="S122" s="135">
        <v>45312</v>
      </c>
      <c r="T122" s="25"/>
      <c r="U122" s="26"/>
      <c r="V122" s="27"/>
      <c r="W122" s="28"/>
      <c r="X122" s="29" t="s">
        <v>167</v>
      </c>
    </row>
    <row r="123" spans="1:24" ht="11.4">
      <c r="A123" s="19">
        <f t="shared" si="2"/>
        <v>121</v>
      </c>
      <c r="B123" s="31"/>
      <c r="C123" s="31"/>
      <c r="D123" s="30" t="s">
        <v>200</v>
      </c>
      <c r="E123" s="30" t="s">
        <v>162</v>
      </c>
      <c r="F123" s="72" t="s">
        <v>217</v>
      </c>
      <c r="G123" s="21"/>
      <c r="H123" s="22"/>
      <c r="I123" s="22"/>
      <c r="J123" s="23"/>
      <c r="K123" s="21"/>
      <c r="L123" s="22"/>
      <c r="M123" s="22"/>
      <c r="N123" s="24"/>
      <c r="O123" s="24"/>
      <c r="P123" s="24" t="s">
        <v>101</v>
      </c>
      <c r="Q123" s="24"/>
      <c r="R123" s="23"/>
      <c r="S123" s="135">
        <v>45312</v>
      </c>
      <c r="T123" s="25"/>
      <c r="U123" s="26"/>
      <c r="V123" s="27"/>
      <c r="W123" s="28"/>
      <c r="X123" s="29" t="s">
        <v>167</v>
      </c>
    </row>
    <row r="124" spans="1:24" ht="102.6">
      <c r="A124" s="19">
        <f t="shared" si="2"/>
        <v>122</v>
      </c>
      <c r="B124" s="31"/>
      <c r="C124" s="31"/>
      <c r="D124" s="30" t="s">
        <v>218</v>
      </c>
      <c r="E124" s="30" t="s">
        <v>162</v>
      </c>
      <c r="F124" s="72" t="s">
        <v>219</v>
      </c>
      <c r="G124" s="21"/>
      <c r="H124" s="22"/>
      <c r="I124" s="22"/>
      <c r="J124" s="23"/>
      <c r="K124" s="21"/>
      <c r="L124" s="22"/>
      <c r="M124" s="22"/>
      <c r="N124" s="24"/>
      <c r="O124" s="24"/>
      <c r="P124" s="24" t="s">
        <v>101</v>
      </c>
      <c r="Q124" s="24"/>
      <c r="R124" s="23"/>
      <c r="S124" s="135">
        <v>45312</v>
      </c>
      <c r="T124" s="25"/>
      <c r="U124" s="26"/>
      <c r="V124" s="27"/>
      <c r="W124" s="28"/>
      <c r="X124" s="29" t="s">
        <v>167</v>
      </c>
    </row>
    <row r="125" spans="1:24" ht="45.6">
      <c r="A125" s="19">
        <f t="shared" si="2"/>
        <v>123</v>
      </c>
      <c r="B125" s="31"/>
      <c r="C125" s="31"/>
      <c r="D125" s="30" t="s">
        <v>220</v>
      </c>
      <c r="E125" s="30" t="s">
        <v>162</v>
      </c>
      <c r="F125" s="72" t="s">
        <v>221</v>
      </c>
      <c r="G125" s="21"/>
      <c r="H125" s="22"/>
      <c r="I125" s="22"/>
      <c r="J125" s="23"/>
      <c r="K125" s="21"/>
      <c r="L125" s="22"/>
      <c r="M125" s="22"/>
      <c r="N125" s="24"/>
      <c r="O125" s="24"/>
      <c r="P125" s="24" t="s">
        <v>101</v>
      </c>
      <c r="Q125" s="24"/>
      <c r="R125" s="23"/>
      <c r="S125" s="135">
        <v>45312</v>
      </c>
      <c r="T125" s="25"/>
      <c r="U125" s="26"/>
      <c r="V125" s="27"/>
      <c r="W125" s="28"/>
      <c r="X125" s="29" t="s">
        <v>167</v>
      </c>
    </row>
    <row r="126" spans="1:24" ht="34.200000000000003">
      <c r="A126" s="19">
        <f t="shared" si="2"/>
        <v>124</v>
      </c>
      <c r="B126" s="31"/>
      <c r="C126" s="31"/>
      <c r="D126" s="30" t="s">
        <v>222</v>
      </c>
      <c r="E126" s="30" t="s">
        <v>162</v>
      </c>
      <c r="F126" s="72" t="s">
        <v>223</v>
      </c>
      <c r="G126" s="21"/>
      <c r="H126" s="22"/>
      <c r="I126" s="22"/>
      <c r="J126" s="23"/>
      <c r="K126" s="21"/>
      <c r="L126" s="22"/>
      <c r="M126" s="22"/>
      <c r="N126" s="24"/>
      <c r="O126" s="24"/>
      <c r="P126" s="24" t="s">
        <v>101</v>
      </c>
      <c r="Q126" s="24"/>
      <c r="R126" s="23"/>
      <c r="S126" s="135">
        <v>45312</v>
      </c>
      <c r="T126" s="25"/>
      <c r="U126" s="26"/>
      <c r="V126" s="27"/>
      <c r="W126" s="28"/>
      <c r="X126" s="29" t="s">
        <v>167</v>
      </c>
    </row>
    <row r="127" spans="1:24" ht="11.4">
      <c r="A127" s="19">
        <f t="shared" si="2"/>
        <v>125</v>
      </c>
      <c r="B127" s="31"/>
      <c r="C127" s="20"/>
      <c r="D127" s="20" t="s">
        <v>224</v>
      </c>
      <c r="E127" s="30" t="s">
        <v>162</v>
      </c>
      <c r="F127" s="72" t="s">
        <v>190</v>
      </c>
      <c r="G127" s="21"/>
      <c r="H127" s="22"/>
      <c r="I127" s="22"/>
      <c r="J127" s="23"/>
      <c r="K127" s="21"/>
      <c r="L127" s="22"/>
      <c r="M127" s="22"/>
      <c r="N127" s="24"/>
      <c r="O127" s="24"/>
      <c r="P127" s="24" t="s">
        <v>101</v>
      </c>
      <c r="Q127" s="24"/>
      <c r="R127" s="23"/>
      <c r="S127" s="135">
        <v>45312</v>
      </c>
      <c r="T127" s="25"/>
      <c r="U127" s="26"/>
      <c r="V127" s="27"/>
      <c r="W127" s="28"/>
      <c r="X127" s="29" t="s">
        <v>167</v>
      </c>
    </row>
    <row r="128" spans="1:24" ht="11.4">
      <c r="A128" s="19">
        <f t="shared" si="2"/>
        <v>126</v>
      </c>
      <c r="B128" s="31"/>
      <c r="C128" s="20"/>
      <c r="D128" s="20" t="s">
        <v>225</v>
      </c>
      <c r="E128" s="30" t="s">
        <v>162</v>
      </c>
      <c r="F128" s="72" t="s">
        <v>190</v>
      </c>
      <c r="G128" s="21"/>
      <c r="H128" s="22"/>
      <c r="I128" s="22"/>
      <c r="J128" s="23"/>
      <c r="K128" s="21"/>
      <c r="L128" s="22"/>
      <c r="M128" s="22"/>
      <c r="N128" s="24"/>
      <c r="O128" s="24"/>
      <c r="P128" s="24" t="s">
        <v>101</v>
      </c>
      <c r="Q128" s="24"/>
      <c r="R128" s="23"/>
      <c r="S128" s="135">
        <v>45312</v>
      </c>
      <c r="T128" s="25"/>
      <c r="U128" s="26"/>
      <c r="V128" s="27"/>
      <c r="W128" s="28"/>
      <c r="X128" s="29" t="s">
        <v>167</v>
      </c>
    </row>
    <row r="129" spans="1:24" ht="11.4">
      <c r="A129" s="19">
        <f t="shared" si="2"/>
        <v>127</v>
      </c>
      <c r="B129" s="20"/>
      <c r="C129" s="20"/>
      <c r="D129" s="30" t="s">
        <v>226</v>
      </c>
      <c r="E129" s="30" t="s">
        <v>162</v>
      </c>
      <c r="F129" s="72" t="s">
        <v>169</v>
      </c>
      <c r="G129" s="21"/>
      <c r="H129" s="22"/>
      <c r="I129" s="22"/>
      <c r="J129" s="23"/>
      <c r="K129" s="21"/>
      <c r="L129" s="22"/>
      <c r="M129" s="22"/>
      <c r="N129" s="24"/>
      <c r="O129" s="24"/>
      <c r="P129" s="24" t="s">
        <v>101</v>
      </c>
      <c r="Q129" s="24"/>
      <c r="R129" s="23"/>
      <c r="S129" s="135">
        <v>45312</v>
      </c>
      <c r="T129" s="25"/>
      <c r="U129" s="26"/>
      <c r="V129" s="27"/>
      <c r="W129" s="28"/>
      <c r="X129" s="29" t="s">
        <v>167</v>
      </c>
    </row>
    <row r="130" spans="1:24" ht="11.4">
      <c r="A130" s="19">
        <f t="shared" si="2"/>
        <v>128</v>
      </c>
      <c r="B130" s="20"/>
      <c r="C130" s="20"/>
      <c r="D130" s="30" t="s">
        <v>227</v>
      </c>
      <c r="E130" s="30" t="s">
        <v>162</v>
      </c>
      <c r="F130" s="72" t="s">
        <v>190</v>
      </c>
      <c r="G130" s="21"/>
      <c r="H130" s="22"/>
      <c r="I130" s="22"/>
      <c r="J130" s="23"/>
      <c r="K130" s="21"/>
      <c r="L130" s="22"/>
      <c r="M130" s="22"/>
      <c r="N130" s="24"/>
      <c r="O130" s="24"/>
      <c r="P130" s="24" t="s">
        <v>101</v>
      </c>
      <c r="Q130" s="24"/>
      <c r="R130" s="23"/>
      <c r="S130" s="135">
        <v>45312</v>
      </c>
      <c r="T130" s="25"/>
      <c r="U130" s="26"/>
      <c r="V130" s="27"/>
      <c r="W130" s="28"/>
      <c r="X130" s="29" t="s">
        <v>167</v>
      </c>
    </row>
    <row r="131" spans="1:24" ht="11.4">
      <c r="A131" s="19">
        <f t="shared" si="2"/>
        <v>129</v>
      </c>
      <c r="B131" s="20"/>
      <c r="C131" s="31"/>
      <c r="D131" s="30" t="s">
        <v>228</v>
      </c>
      <c r="E131" s="30" t="s">
        <v>162</v>
      </c>
      <c r="F131" s="72" t="s">
        <v>190</v>
      </c>
      <c r="G131" s="21"/>
      <c r="H131" s="22"/>
      <c r="I131" s="22"/>
      <c r="J131" s="23"/>
      <c r="K131" s="21"/>
      <c r="L131" s="22"/>
      <c r="M131" s="22"/>
      <c r="N131" s="24"/>
      <c r="O131" s="24"/>
      <c r="P131" s="24" t="s">
        <v>101</v>
      </c>
      <c r="Q131" s="24"/>
      <c r="R131" s="23"/>
      <c r="S131" s="135">
        <v>45312</v>
      </c>
      <c r="T131" s="25"/>
      <c r="U131" s="26"/>
      <c r="V131" s="27"/>
      <c r="W131" s="28"/>
      <c r="X131" s="29" t="s">
        <v>167</v>
      </c>
    </row>
    <row r="132" spans="1:24" ht="11.4">
      <c r="A132" s="19">
        <f t="shared" si="2"/>
        <v>130</v>
      </c>
      <c r="B132" s="31"/>
      <c r="C132" s="20"/>
      <c r="D132" s="20" t="s">
        <v>229</v>
      </c>
      <c r="E132" s="30" t="s">
        <v>162</v>
      </c>
      <c r="F132" s="72" t="s">
        <v>230</v>
      </c>
      <c r="G132" s="21"/>
      <c r="H132" s="22"/>
      <c r="I132" s="22"/>
      <c r="J132" s="23"/>
      <c r="K132" s="21"/>
      <c r="L132" s="22"/>
      <c r="M132" s="22"/>
      <c r="N132" s="24"/>
      <c r="O132" s="24"/>
      <c r="P132" s="24" t="s">
        <v>101</v>
      </c>
      <c r="Q132" s="24"/>
      <c r="R132" s="23"/>
      <c r="S132" s="135">
        <v>45312</v>
      </c>
      <c r="T132" s="25"/>
      <c r="U132" s="26"/>
      <c r="V132" s="27"/>
      <c r="W132" s="28"/>
      <c r="X132" s="29" t="s">
        <v>167</v>
      </c>
    </row>
    <row r="133" spans="1:24" ht="11.4">
      <c r="A133" s="19">
        <f t="shared" si="2"/>
        <v>131</v>
      </c>
      <c r="B133" s="20"/>
      <c r="C133" s="20"/>
      <c r="D133" s="30" t="s">
        <v>231</v>
      </c>
      <c r="E133" s="30" t="s">
        <v>162</v>
      </c>
      <c r="F133" s="72" t="s">
        <v>232</v>
      </c>
      <c r="G133" s="21"/>
      <c r="H133" s="22"/>
      <c r="I133" s="22"/>
      <c r="J133" s="23"/>
      <c r="K133" s="21"/>
      <c r="L133" s="22"/>
      <c r="M133" s="22"/>
      <c r="N133" s="24"/>
      <c r="O133" s="24"/>
      <c r="P133" s="24" t="s">
        <v>101</v>
      </c>
      <c r="Q133" s="24"/>
      <c r="R133" s="23"/>
      <c r="S133" s="135">
        <v>45312</v>
      </c>
      <c r="T133" s="25"/>
      <c r="U133" s="26"/>
      <c r="V133" s="27"/>
      <c r="W133" s="28"/>
      <c r="X133" s="29" t="s">
        <v>167</v>
      </c>
    </row>
    <row r="134" spans="1:24" ht="11.4">
      <c r="A134" s="19">
        <f t="shared" si="2"/>
        <v>132</v>
      </c>
      <c r="B134" s="20"/>
      <c r="C134" s="31"/>
      <c r="D134" s="30" t="s">
        <v>233</v>
      </c>
      <c r="E134" s="30" t="s">
        <v>162</v>
      </c>
      <c r="F134" s="72" t="s">
        <v>234</v>
      </c>
      <c r="G134" s="21"/>
      <c r="H134" s="22"/>
      <c r="I134" s="22"/>
      <c r="J134" s="23"/>
      <c r="K134" s="21"/>
      <c r="L134" s="22"/>
      <c r="M134" s="22"/>
      <c r="N134" s="24"/>
      <c r="O134" s="24"/>
      <c r="P134" s="24" t="s">
        <v>101</v>
      </c>
      <c r="Q134" s="24"/>
      <c r="R134" s="23"/>
      <c r="S134" s="135">
        <v>45312</v>
      </c>
      <c r="T134" s="25"/>
      <c r="U134" s="26"/>
      <c r="V134" s="27"/>
      <c r="W134" s="28"/>
      <c r="X134" s="29" t="s">
        <v>167</v>
      </c>
    </row>
    <row r="135" spans="1:24" ht="11.4">
      <c r="A135" s="19">
        <f t="shared" si="2"/>
        <v>133</v>
      </c>
      <c r="B135" s="31"/>
      <c r="C135" s="31"/>
      <c r="D135" s="30" t="s">
        <v>235</v>
      </c>
      <c r="E135" s="30" t="s">
        <v>162</v>
      </c>
      <c r="F135" s="72" t="s">
        <v>236</v>
      </c>
      <c r="G135" s="21"/>
      <c r="H135" s="22"/>
      <c r="I135" s="22"/>
      <c r="J135" s="23"/>
      <c r="K135" s="21"/>
      <c r="L135" s="22"/>
      <c r="M135" s="22"/>
      <c r="N135" s="24"/>
      <c r="O135" s="24"/>
      <c r="P135" s="24" t="s">
        <v>101</v>
      </c>
      <c r="Q135" s="24"/>
      <c r="R135" s="23"/>
      <c r="S135" s="135">
        <v>45312</v>
      </c>
      <c r="T135" s="25"/>
      <c r="U135" s="26"/>
      <c r="V135" s="27"/>
      <c r="W135" s="28"/>
      <c r="X135" s="29" t="s">
        <v>167</v>
      </c>
    </row>
    <row r="136" spans="1:24" ht="11.4">
      <c r="A136" s="19">
        <f t="shared" si="2"/>
        <v>134</v>
      </c>
      <c r="B136" s="31"/>
      <c r="C136" s="31"/>
      <c r="D136" s="30" t="s">
        <v>237</v>
      </c>
      <c r="E136" s="30" t="s">
        <v>162</v>
      </c>
      <c r="F136" s="72" t="s">
        <v>238</v>
      </c>
      <c r="G136" s="21"/>
      <c r="H136" s="22"/>
      <c r="I136" s="22"/>
      <c r="J136" s="23"/>
      <c r="K136" s="21"/>
      <c r="L136" s="22"/>
      <c r="M136" s="22"/>
      <c r="N136" s="24"/>
      <c r="O136" s="24"/>
      <c r="P136" s="24" t="s">
        <v>101</v>
      </c>
      <c r="Q136" s="24"/>
      <c r="R136" s="23"/>
      <c r="S136" s="135">
        <v>45312</v>
      </c>
      <c r="T136" s="25"/>
      <c r="U136" s="26"/>
      <c r="V136" s="27"/>
      <c r="W136" s="28"/>
      <c r="X136" s="29" t="s">
        <v>167</v>
      </c>
    </row>
    <row r="137" spans="1:24" ht="11.4">
      <c r="A137" s="19">
        <f t="shared" si="2"/>
        <v>135</v>
      </c>
      <c r="B137" s="31"/>
      <c r="C137" s="20"/>
      <c r="D137" s="20" t="s">
        <v>239</v>
      </c>
      <c r="E137" s="30" t="s">
        <v>162</v>
      </c>
      <c r="F137" s="72" t="s">
        <v>240</v>
      </c>
      <c r="G137" s="21"/>
      <c r="H137" s="22"/>
      <c r="I137" s="22"/>
      <c r="J137" s="23"/>
      <c r="K137" s="21"/>
      <c r="L137" s="22"/>
      <c r="M137" s="22"/>
      <c r="N137" s="24"/>
      <c r="O137" s="24"/>
      <c r="P137" s="24" t="s">
        <v>101</v>
      </c>
      <c r="Q137" s="24"/>
      <c r="R137" s="23"/>
      <c r="S137" s="135">
        <v>45312</v>
      </c>
      <c r="T137" s="25"/>
      <c r="U137" s="26"/>
      <c r="V137" s="27"/>
      <c r="W137" s="28"/>
      <c r="X137" s="29" t="s">
        <v>167</v>
      </c>
    </row>
    <row r="138" spans="1:24" ht="11.4">
      <c r="A138" s="19">
        <f t="shared" si="2"/>
        <v>136</v>
      </c>
      <c r="B138" s="31"/>
      <c r="C138" s="20"/>
      <c r="D138" s="20" t="s">
        <v>241</v>
      </c>
      <c r="E138" s="30" t="s">
        <v>162</v>
      </c>
      <c r="F138" s="72" t="s">
        <v>242</v>
      </c>
      <c r="G138" s="21"/>
      <c r="H138" s="22"/>
      <c r="I138" s="22"/>
      <c r="J138" s="23"/>
      <c r="K138" s="21"/>
      <c r="L138" s="22"/>
      <c r="M138" s="22"/>
      <c r="N138" s="24"/>
      <c r="O138" s="24"/>
      <c r="P138" s="24" t="s">
        <v>101</v>
      </c>
      <c r="Q138" s="24"/>
      <c r="R138" s="23"/>
      <c r="S138" s="135">
        <v>45312</v>
      </c>
      <c r="T138" s="25"/>
      <c r="U138" s="26"/>
      <c r="V138" s="27"/>
      <c r="W138" s="28"/>
      <c r="X138" s="29" t="s">
        <v>167</v>
      </c>
    </row>
    <row r="139" spans="1:24" ht="11.4">
      <c r="A139" s="19">
        <f t="shared" si="2"/>
        <v>137</v>
      </c>
      <c r="B139" s="20"/>
      <c r="C139" s="20"/>
      <c r="D139" s="30" t="s">
        <v>243</v>
      </c>
      <c r="E139" s="30" t="s">
        <v>162</v>
      </c>
      <c r="F139" s="72" t="s">
        <v>242</v>
      </c>
      <c r="G139" s="21"/>
      <c r="H139" s="22"/>
      <c r="I139" s="22"/>
      <c r="J139" s="23"/>
      <c r="K139" s="21"/>
      <c r="L139" s="22"/>
      <c r="M139" s="22"/>
      <c r="N139" s="24"/>
      <c r="O139" s="24"/>
      <c r="P139" s="24" t="s">
        <v>101</v>
      </c>
      <c r="Q139" s="24"/>
      <c r="R139" s="23"/>
      <c r="S139" s="135">
        <v>45312</v>
      </c>
      <c r="T139" s="25"/>
      <c r="U139" s="26"/>
      <c r="V139" s="27"/>
      <c r="W139" s="28"/>
      <c r="X139" s="29" t="s">
        <v>167</v>
      </c>
    </row>
    <row r="140" spans="1:24" ht="11.4">
      <c r="A140" s="19">
        <f t="shared" si="2"/>
        <v>138</v>
      </c>
      <c r="B140" s="20"/>
      <c r="C140" s="20"/>
      <c r="D140" s="30" t="s">
        <v>244</v>
      </c>
      <c r="E140" s="30" t="s">
        <v>162</v>
      </c>
      <c r="F140" s="72" t="s">
        <v>245</v>
      </c>
      <c r="G140" s="21"/>
      <c r="H140" s="22"/>
      <c r="I140" s="22"/>
      <c r="J140" s="23"/>
      <c r="K140" s="21"/>
      <c r="L140" s="22"/>
      <c r="M140" s="22"/>
      <c r="N140" s="24"/>
      <c r="O140" s="24"/>
      <c r="P140" s="24" t="s">
        <v>101</v>
      </c>
      <c r="Q140" s="24"/>
      <c r="R140" s="23"/>
      <c r="S140" s="135">
        <v>45312</v>
      </c>
      <c r="T140" s="25"/>
      <c r="U140" s="26"/>
      <c r="V140" s="27"/>
      <c r="W140" s="28"/>
      <c r="X140" s="29" t="s">
        <v>167</v>
      </c>
    </row>
    <row r="141" spans="1:24" ht="11.4">
      <c r="A141" s="19">
        <f t="shared" si="2"/>
        <v>139</v>
      </c>
      <c r="B141" s="20"/>
      <c r="C141" s="31"/>
      <c r="D141" s="30" t="s">
        <v>246</v>
      </c>
      <c r="E141" s="30" t="s">
        <v>162</v>
      </c>
      <c r="F141" s="72" t="s">
        <v>203</v>
      </c>
      <c r="G141" s="21"/>
      <c r="H141" s="22"/>
      <c r="I141" s="22"/>
      <c r="J141" s="23"/>
      <c r="K141" s="21"/>
      <c r="L141" s="22"/>
      <c r="M141" s="22"/>
      <c r="N141" s="24"/>
      <c r="O141" s="24"/>
      <c r="P141" s="24" t="s">
        <v>101</v>
      </c>
      <c r="Q141" s="24"/>
      <c r="R141" s="23"/>
      <c r="S141" s="135">
        <v>45312</v>
      </c>
      <c r="T141" s="25"/>
      <c r="U141" s="26"/>
      <c r="V141" s="27"/>
      <c r="W141" s="28"/>
      <c r="X141" s="29" t="s">
        <v>167</v>
      </c>
    </row>
    <row r="142" spans="1:24" ht="11.4">
      <c r="A142" s="19">
        <f t="shared" si="2"/>
        <v>140</v>
      </c>
      <c r="B142" s="20"/>
      <c r="C142" s="20"/>
      <c r="D142" s="30" t="s">
        <v>247</v>
      </c>
      <c r="E142" s="30" t="s">
        <v>162</v>
      </c>
      <c r="F142" s="72" t="s">
        <v>242</v>
      </c>
      <c r="G142" s="21"/>
      <c r="H142" s="22"/>
      <c r="I142" s="22"/>
      <c r="J142" s="23"/>
      <c r="K142" s="21"/>
      <c r="L142" s="22"/>
      <c r="M142" s="22"/>
      <c r="N142" s="24"/>
      <c r="O142" s="24"/>
      <c r="P142" s="24" t="s">
        <v>101</v>
      </c>
      <c r="Q142" s="24"/>
      <c r="R142" s="23"/>
      <c r="S142" s="135">
        <v>45312</v>
      </c>
      <c r="T142" s="25"/>
      <c r="U142" s="26"/>
      <c r="V142" s="27"/>
      <c r="W142" s="28"/>
      <c r="X142" s="29" t="s">
        <v>167</v>
      </c>
    </row>
    <row r="143" spans="1:24" ht="11.4">
      <c r="A143" s="19">
        <f t="shared" si="2"/>
        <v>141</v>
      </c>
      <c r="B143" s="20"/>
      <c r="C143" s="20"/>
      <c r="D143" s="30" t="s">
        <v>248</v>
      </c>
      <c r="E143" s="30" t="s">
        <v>162</v>
      </c>
      <c r="F143" s="72" t="s">
        <v>249</v>
      </c>
      <c r="G143" s="21"/>
      <c r="H143" s="22"/>
      <c r="I143" s="22"/>
      <c r="J143" s="23"/>
      <c r="K143" s="21"/>
      <c r="L143" s="22"/>
      <c r="M143" s="22"/>
      <c r="N143" s="24"/>
      <c r="O143" s="24"/>
      <c r="P143" s="24" t="s">
        <v>101</v>
      </c>
      <c r="Q143" s="24"/>
      <c r="R143" s="23"/>
      <c r="S143" s="135">
        <v>45312</v>
      </c>
      <c r="T143" s="25"/>
      <c r="U143" s="26"/>
      <c r="V143" s="27"/>
      <c r="W143" s="28"/>
      <c r="X143" s="29" t="s">
        <v>167</v>
      </c>
    </row>
    <row r="144" spans="1:24" ht="22.8">
      <c r="A144" s="19">
        <f t="shared" si="2"/>
        <v>142</v>
      </c>
      <c r="B144" s="20"/>
      <c r="C144" s="31"/>
      <c r="D144" s="30" t="s">
        <v>250</v>
      </c>
      <c r="E144" s="30" t="s">
        <v>162</v>
      </c>
      <c r="F144" s="72" t="s">
        <v>242</v>
      </c>
      <c r="G144" s="21"/>
      <c r="H144" s="22"/>
      <c r="I144" s="22"/>
      <c r="J144" s="23"/>
      <c r="K144" s="21"/>
      <c r="L144" s="22"/>
      <c r="M144" s="22"/>
      <c r="N144" s="24"/>
      <c r="O144" s="24"/>
      <c r="P144" s="24" t="s">
        <v>101</v>
      </c>
      <c r="Q144" s="24"/>
      <c r="R144" s="23"/>
      <c r="S144" s="135">
        <v>45312</v>
      </c>
      <c r="T144" s="25"/>
      <c r="U144" s="26"/>
      <c r="V144" s="27"/>
      <c r="W144" s="28"/>
      <c r="X144" s="29" t="s">
        <v>167</v>
      </c>
    </row>
    <row r="145" spans="1:24" ht="22.8">
      <c r="A145" s="19">
        <f t="shared" si="2"/>
        <v>143</v>
      </c>
      <c r="B145" s="31"/>
      <c r="C145" s="31"/>
      <c r="D145" s="30" t="s">
        <v>251</v>
      </c>
      <c r="E145" s="30" t="s">
        <v>162</v>
      </c>
      <c r="F145" s="72" t="s">
        <v>242</v>
      </c>
      <c r="G145" s="21"/>
      <c r="H145" s="22"/>
      <c r="I145" s="22"/>
      <c r="J145" s="23"/>
      <c r="K145" s="21"/>
      <c r="L145" s="22"/>
      <c r="M145" s="22"/>
      <c r="N145" s="24"/>
      <c r="O145" s="24"/>
      <c r="P145" s="24" t="s">
        <v>101</v>
      </c>
      <c r="Q145" s="24"/>
      <c r="R145" s="23"/>
      <c r="S145" s="135">
        <v>45312</v>
      </c>
      <c r="T145" s="25"/>
      <c r="U145" s="26"/>
      <c r="V145" s="27"/>
      <c r="W145" s="28"/>
      <c r="X145" s="29" t="s">
        <v>167</v>
      </c>
    </row>
    <row r="146" spans="1:24" ht="22.8">
      <c r="A146" s="19">
        <f t="shared" si="2"/>
        <v>144</v>
      </c>
      <c r="B146" s="31"/>
      <c r="C146" s="31"/>
      <c r="D146" s="30" t="s">
        <v>252</v>
      </c>
      <c r="E146" s="30" t="s">
        <v>162</v>
      </c>
      <c r="F146" s="72" t="s">
        <v>242</v>
      </c>
      <c r="G146" s="21"/>
      <c r="H146" s="22"/>
      <c r="I146" s="22"/>
      <c r="J146" s="23"/>
      <c r="K146" s="21"/>
      <c r="L146" s="22"/>
      <c r="M146" s="22"/>
      <c r="N146" s="24"/>
      <c r="O146" s="24"/>
      <c r="P146" s="24" t="s">
        <v>101</v>
      </c>
      <c r="Q146" s="24"/>
      <c r="R146" s="23"/>
      <c r="S146" s="135">
        <v>45312</v>
      </c>
      <c r="T146" s="25"/>
      <c r="U146" s="26"/>
      <c r="V146" s="27"/>
      <c r="W146" s="28"/>
      <c r="X146" s="29" t="s">
        <v>167</v>
      </c>
    </row>
    <row r="147" spans="1:24" ht="22.8">
      <c r="A147" s="19">
        <f t="shared" si="2"/>
        <v>145</v>
      </c>
      <c r="B147" s="31"/>
      <c r="C147" s="31"/>
      <c r="D147" s="30" t="s">
        <v>253</v>
      </c>
      <c r="E147" s="30" t="s">
        <v>162</v>
      </c>
      <c r="F147" s="72" t="s">
        <v>242</v>
      </c>
      <c r="G147" s="21"/>
      <c r="H147" s="22"/>
      <c r="I147" s="22"/>
      <c r="J147" s="23"/>
      <c r="K147" s="21"/>
      <c r="L147" s="22"/>
      <c r="M147" s="22"/>
      <c r="N147" s="24"/>
      <c r="O147" s="24"/>
      <c r="P147" s="24" t="s">
        <v>101</v>
      </c>
      <c r="Q147" s="24"/>
      <c r="R147" s="23"/>
      <c r="S147" s="135">
        <v>45312</v>
      </c>
      <c r="T147" s="25"/>
      <c r="U147" s="26"/>
      <c r="V147" s="27"/>
      <c r="W147" s="28"/>
      <c r="X147" s="29" t="s">
        <v>167</v>
      </c>
    </row>
    <row r="148" spans="1:24" ht="22.8">
      <c r="A148" s="19">
        <f t="shared" si="2"/>
        <v>146</v>
      </c>
      <c r="B148" s="31"/>
      <c r="C148" s="31"/>
      <c r="D148" s="30" t="s">
        <v>254</v>
      </c>
      <c r="E148" s="30" t="s">
        <v>162</v>
      </c>
      <c r="F148" s="72" t="s">
        <v>242</v>
      </c>
      <c r="G148" s="21"/>
      <c r="H148" s="22"/>
      <c r="I148" s="22"/>
      <c r="J148" s="23"/>
      <c r="K148" s="21"/>
      <c r="L148" s="22"/>
      <c r="M148" s="22"/>
      <c r="N148" s="24"/>
      <c r="O148" s="24"/>
      <c r="P148" s="24" t="s">
        <v>101</v>
      </c>
      <c r="Q148" s="24"/>
      <c r="R148" s="23"/>
      <c r="S148" s="135">
        <v>45312</v>
      </c>
      <c r="T148" s="25"/>
      <c r="U148" s="26"/>
      <c r="V148" s="27"/>
      <c r="W148" s="28"/>
      <c r="X148" s="29" t="s">
        <v>167</v>
      </c>
    </row>
    <row r="149" spans="1:24" ht="22.8">
      <c r="A149" s="19">
        <f t="shared" si="2"/>
        <v>147</v>
      </c>
      <c r="B149" s="31"/>
      <c r="C149" s="20"/>
      <c r="D149" s="20" t="s">
        <v>255</v>
      </c>
      <c r="E149" s="30" t="s">
        <v>162</v>
      </c>
      <c r="F149" s="72" t="s">
        <v>242</v>
      </c>
      <c r="G149" s="21"/>
      <c r="H149" s="22"/>
      <c r="I149" s="22"/>
      <c r="J149" s="23"/>
      <c r="K149" s="21"/>
      <c r="L149" s="22"/>
      <c r="M149" s="22"/>
      <c r="N149" s="24"/>
      <c r="O149" s="24"/>
      <c r="P149" s="24" t="s">
        <v>101</v>
      </c>
      <c r="Q149" s="24"/>
      <c r="R149" s="23"/>
      <c r="S149" s="135">
        <v>45312</v>
      </c>
      <c r="T149" s="25"/>
      <c r="U149" s="26"/>
      <c r="V149" s="27"/>
      <c r="W149" s="28"/>
      <c r="X149" s="29" t="s">
        <v>167</v>
      </c>
    </row>
    <row r="150" spans="1:24" ht="11.4">
      <c r="A150" s="19">
        <f t="shared" si="2"/>
        <v>148</v>
      </c>
      <c r="B150" s="31"/>
      <c r="C150" s="20"/>
      <c r="D150" s="20" t="s">
        <v>256</v>
      </c>
      <c r="E150" s="30" t="s">
        <v>162</v>
      </c>
      <c r="F150" s="72" t="s">
        <v>203</v>
      </c>
      <c r="G150" s="21"/>
      <c r="H150" s="22"/>
      <c r="I150" s="22"/>
      <c r="J150" s="23"/>
      <c r="K150" s="21"/>
      <c r="L150" s="22"/>
      <c r="M150" s="22"/>
      <c r="N150" s="24"/>
      <c r="O150" s="24"/>
      <c r="P150" s="24" t="s">
        <v>101</v>
      </c>
      <c r="Q150" s="24"/>
      <c r="R150" s="23"/>
      <c r="S150" s="135">
        <v>45312</v>
      </c>
      <c r="T150" s="25"/>
      <c r="U150" s="26"/>
      <c r="V150" s="27"/>
      <c r="W150" s="28"/>
      <c r="X150" s="29" t="s">
        <v>167</v>
      </c>
    </row>
    <row r="151" spans="1:24" ht="11.4">
      <c r="A151" s="19">
        <f t="shared" si="2"/>
        <v>149</v>
      </c>
      <c r="B151" s="20"/>
      <c r="C151" s="20"/>
      <c r="D151" s="30" t="s">
        <v>257</v>
      </c>
      <c r="E151" s="30" t="s">
        <v>162</v>
      </c>
      <c r="F151" s="72" t="s">
        <v>203</v>
      </c>
      <c r="G151" s="21"/>
      <c r="H151" s="22"/>
      <c r="I151" s="22"/>
      <c r="J151" s="23"/>
      <c r="K151" s="21"/>
      <c r="L151" s="22"/>
      <c r="M151" s="22"/>
      <c r="N151" s="24"/>
      <c r="O151" s="24"/>
      <c r="P151" s="24" t="s">
        <v>101</v>
      </c>
      <c r="Q151" s="24"/>
      <c r="R151" s="23"/>
      <c r="S151" s="135">
        <v>45312</v>
      </c>
      <c r="T151" s="25"/>
      <c r="U151" s="26"/>
      <c r="V151" s="27"/>
      <c r="W151" s="28"/>
      <c r="X151" s="29" t="s">
        <v>167</v>
      </c>
    </row>
    <row r="152" spans="1:24" ht="11.4">
      <c r="A152" s="19">
        <f t="shared" si="2"/>
        <v>150</v>
      </c>
      <c r="B152" s="20"/>
      <c r="C152" s="20"/>
      <c r="D152" s="30" t="s">
        <v>258</v>
      </c>
      <c r="E152" s="30" t="s">
        <v>162</v>
      </c>
      <c r="F152" s="72" t="s">
        <v>203</v>
      </c>
      <c r="G152" s="21"/>
      <c r="H152" s="22"/>
      <c r="I152" s="22"/>
      <c r="J152" s="23"/>
      <c r="K152" s="21"/>
      <c r="L152" s="22"/>
      <c r="M152" s="22"/>
      <c r="N152" s="24"/>
      <c r="O152" s="24"/>
      <c r="P152" s="24" t="s">
        <v>101</v>
      </c>
      <c r="Q152" s="24"/>
      <c r="R152" s="23"/>
      <c r="S152" s="135">
        <v>45312</v>
      </c>
      <c r="T152" s="25"/>
      <c r="U152" s="26"/>
      <c r="V152" s="27"/>
      <c r="W152" s="28"/>
      <c r="X152" s="29" t="s">
        <v>167</v>
      </c>
    </row>
    <row r="153" spans="1:24" ht="11.4">
      <c r="A153" s="19">
        <f t="shared" si="2"/>
        <v>151</v>
      </c>
      <c r="B153" s="20"/>
      <c r="C153" s="31"/>
      <c r="D153" s="30" t="s">
        <v>259</v>
      </c>
      <c r="E153" s="30" t="s">
        <v>162</v>
      </c>
      <c r="F153" s="72" t="s">
        <v>203</v>
      </c>
      <c r="G153" s="21"/>
      <c r="H153" s="22"/>
      <c r="I153" s="22"/>
      <c r="J153" s="23"/>
      <c r="K153" s="21"/>
      <c r="L153" s="22"/>
      <c r="M153" s="22"/>
      <c r="N153" s="24"/>
      <c r="O153" s="24"/>
      <c r="P153" s="24" t="s">
        <v>101</v>
      </c>
      <c r="Q153" s="24"/>
      <c r="R153" s="23"/>
      <c r="S153" s="135">
        <v>45312</v>
      </c>
      <c r="T153" s="25"/>
      <c r="U153" s="26"/>
      <c r="V153" s="27"/>
      <c r="W153" s="28"/>
      <c r="X153" s="29" t="s">
        <v>167</v>
      </c>
    </row>
    <row r="154" spans="1:24" ht="11.4">
      <c r="A154" s="19">
        <f t="shared" si="2"/>
        <v>152</v>
      </c>
      <c r="B154" s="20"/>
      <c r="C154" s="20"/>
      <c r="D154" s="30" t="s">
        <v>260</v>
      </c>
      <c r="E154" s="30" t="s">
        <v>162</v>
      </c>
      <c r="F154" s="72" t="s">
        <v>203</v>
      </c>
      <c r="G154" s="21"/>
      <c r="H154" s="22"/>
      <c r="I154" s="22"/>
      <c r="J154" s="23"/>
      <c r="K154" s="21"/>
      <c r="L154" s="22"/>
      <c r="M154" s="22"/>
      <c r="N154" s="24"/>
      <c r="O154" s="24"/>
      <c r="P154" s="24" t="s">
        <v>101</v>
      </c>
      <c r="Q154" s="24"/>
      <c r="R154" s="23"/>
      <c r="S154" s="135">
        <v>45312</v>
      </c>
      <c r="T154" s="25"/>
      <c r="U154" s="26"/>
      <c r="V154" s="27"/>
      <c r="W154" s="28"/>
      <c r="X154" s="29" t="s">
        <v>167</v>
      </c>
    </row>
    <row r="155" spans="1:24" ht="11.4">
      <c r="A155" s="19">
        <f t="shared" si="2"/>
        <v>153</v>
      </c>
      <c r="B155" s="20"/>
      <c r="C155" s="20"/>
      <c r="D155" s="30" t="s">
        <v>261</v>
      </c>
      <c r="E155" s="30" t="s">
        <v>162</v>
      </c>
      <c r="F155" s="72" t="s">
        <v>203</v>
      </c>
      <c r="G155" s="21"/>
      <c r="H155" s="22"/>
      <c r="I155" s="22"/>
      <c r="J155" s="23"/>
      <c r="K155" s="21"/>
      <c r="L155" s="22"/>
      <c r="M155" s="22"/>
      <c r="N155" s="24"/>
      <c r="O155" s="24"/>
      <c r="P155" s="24" t="s">
        <v>101</v>
      </c>
      <c r="Q155" s="24"/>
      <c r="R155" s="23"/>
      <c r="S155" s="135">
        <v>45312</v>
      </c>
      <c r="T155" s="25"/>
      <c r="U155" s="26"/>
      <c r="V155" s="27"/>
      <c r="W155" s="28"/>
      <c r="X155" s="29" t="s">
        <v>167</v>
      </c>
    </row>
    <row r="156" spans="1:24" ht="11.4">
      <c r="A156" s="19">
        <f t="shared" si="2"/>
        <v>154</v>
      </c>
      <c r="B156" s="20"/>
      <c r="C156" s="31"/>
      <c r="D156" s="30" t="s">
        <v>262</v>
      </c>
      <c r="E156" s="30" t="s">
        <v>162</v>
      </c>
      <c r="F156" s="72" t="s">
        <v>203</v>
      </c>
      <c r="G156" s="21"/>
      <c r="H156" s="22"/>
      <c r="I156" s="22"/>
      <c r="J156" s="23"/>
      <c r="K156" s="21"/>
      <c r="L156" s="22"/>
      <c r="M156" s="22"/>
      <c r="N156" s="24"/>
      <c r="O156" s="24"/>
      <c r="P156" s="24" t="s">
        <v>101</v>
      </c>
      <c r="Q156" s="24"/>
      <c r="R156" s="23"/>
      <c r="S156" s="135">
        <v>45312</v>
      </c>
      <c r="T156" s="25"/>
      <c r="U156" s="26"/>
      <c r="V156" s="27"/>
      <c r="W156" s="28"/>
      <c r="X156" s="29" t="s">
        <v>167</v>
      </c>
    </row>
    <row r="157" spans="1:24" ht="11.4">
      <c r="A157" s="19">
        <f t="shared" si="2"/>
        <v>155</v>
      </c>
      <c r="B157" s="31"/>
      <c r="C157" s="31"/>
      <c r="D157" s="30" t="s">
        <v>263</v>
      </c>
      <c r="E157" s="30" t="s">
        <v>162</v>
      </c>
      <c r="F157" s="72" t="s">
        <v>238</v>
      </c>
      <c r="G157" s="21"/>
      <c r="H157" s="22"/>
      <c r="I157" s="22"/>
      <c r="J157" s="23"/>
      <c r="K157" s="21"/>
      <c r="L157" s="22"/>
      <c r="M157" s="22"/>
      <c r="N157" s="24"/>
      <c r="O157" s="24"/>
      <c r="P157" s="24" t="s">
        <v>101</v>
      </c>
      <c r="Q157" s="24"/>
      <c r="R157" s="23"/>
      <c r="S157" s="135">
        <v>45312</v>
      </c>
      <c r="T157" s="25"/>
      <c r="U157" s="26"/>
      <c r="V157" s="27"/>
      <c r="W157" s="28"/>
      <c r="X157" s="29" t="s">
        <v>167</v>
      </c>
    </row>
    <row r="158" spans="1:24" ht="11.4">
      <c r="A158" s="19">
        <f t="shared" si="2"/>
        <v>156</v>
      </c>
      <c r="B158" s="31"/>
      <c r="C158" s="31"/>
      <c r="D158" s="30" t="s">
        <v>264</v>
      </c>
      <c r="E158" s="30" t="s">
        <v>162</v>
      </c>
      <c r="F158" s="72" t="s">
        <v>265</v>
      </c>
      <c r="G158" s="21"/>
      <c r="H158" s="22"/>
      <c r="I158" s="22"/>
      <c r="J158" s="23"/>
      <c r="K158" s="21"/>
      <c r="L158" s="22"/>
      <c r="M158" s="22"/>
      <c r="N158" s="24"/>
      <c r="O158" s="24"/>
      <c r="P158" s="24" t="s">
        <v>101</v>
      </c>
      <c r="Q158" s="24"/>
      <c r="R158" s="23"/>
      <c r="S158" s="135">
        <v>45312</v>
      </c>
      <c r="T158" s="25"/>
      <c r="U158" s="26"/>
      <c r="V158" s="27"/>
      <c r="W158" s="28"/>
      <c r="X158" s="29" t="s">
        <v>167</v>
      </c>
    </row>
    <row r="159" spans="1:24" ht="11.4">
      <c r="A159" s="19">
        <f t="shared" si="2"/>
        <v>157</v>
      </c>
      <c r="B159" s="31"/>
      <c r="C159" s="31"/>
      <c r="D159" s="30" t="s">
        <v>266</v>
      </c>
      <c r="E159" s="30" t="s">
        <v>162</v>
      </c>
      <c r="F159" s="72" t="s">
        <v>267</v>
      </c>
      <c r="G159" s="21"/>
      <c r="H159" s="22"/>
      <c r="I159" s="22"/>
      <c r="J159" s="23"/>
      <c r="K159" s="21"/>
      <c r="L159" s="22"/>
      <c r="M159" s="22"/>
      <c r="N159" s="24"/>
      <c r="O159" s="24"/>
      <c r="P159" s="24" t="s">
        <v>101</v>
      </c>
      <c r="Q159" s="24"/>
      <c r="R159" s="23"/>
      <c r="S159" s="135">
        <v>45312</v>
      </c>
      <c r="T159" s="25"/>
      <c r="U159" s="26"/>
      <c r="V159" s="27"/>
      <c r="W159" s="28"/>
      <c r="X159" s="29" t="s">
        <v>167</v>
      </c>
    </row>
    <row r="160" spans="1:24" ht="11.4">
      <c r="A160" s="19">
        <f t="shared" si="2"/>
        <v>158</v>
      </c>
      <c r="B160" s="31"/>
      <c r="C160" s="31"/>
      <c r="D160" s="30" t="s">
        <v>268</v>
      </c>
      <c r="E160" s="30" t="s">
        <v>162</v>
      </c>
      <c r="F160" s="72" t="s">
        <v>269</v>
      </c>
      <c r="G160" s="21"/>
      <c r="H160" s="22"/>
      <c r="I160" s="22"/>
      <c r="J160" s="23"/>
      <c r="K160" s="21"/>
      <c r="L160" s="22"/>
      <c r="M160" s="22"/>
      <c r="N160" s="24"/>
      <c r="O160" s="24"/>
      <c r="P160" s="24" t="s">
        <v>101</v>
      </c>
      <c r="Q160" s="24"/>
      <c r="R160" s="23"/>
      <c r="S160" s="135">
        <v>45312</v>
      </c>
      <c r="T160" s="25"/>
      <c r="U160" s="26"/>
      <c r="V160" s="27"/>
      <c r="W160" s="28"/>
      <c r="X160" s="29" t="s">
        <v>167</v>
      </c>
    </row>
    <row r="161" spans="1:24" ht="22.8">
      <c r="A161" s="19">
        <f t="shared" si="2"/>
        <v>159</v>
      </c>
      <c r="B161" s="31"/>
      <c r="C161" s="20"/>
      <c r="D161" s="20" t="s">
        <v>270</v>
      </c>
      <c r="E161" s="30" t="s">
        <v>162</v>
      </c>
      <c r="F161" s="72" t="s">
        <v>271</v>
      </c>
      <c r="G161" s="21"/>
      <c r="H161" s="22"/>
      <c r="I161" s="22"/>
      <c r="J161" s="23"/>
      <c r="K161" s="21"/>
      <c r="L161" s="22"/>
      <c r="M161" s="22"/>
      <c r="N161" s="24"/>
      <c r="O161" s="24"/>
      <c r="P161" s="24" t="s">
        <v>101</v>
      </c>
      <c r="Q161" s="24"/>
      <c r="R161" s="23"/>
      <c r="S161" s="135">
        <v>45312</v>
      </c>
      <c r="T161" s="25"/>
      <c r="U161" s="26"/>
      <c r="V161" s="27"/>
      <c r="W161" s="28"/>
      <c r="X161" s="29" t="s">
        <v>167</v>
      </c>
    </row>
    <row r="162" spans="1:24" ht="11.4">
      <c r="A162" s="19">
        <f t="shared" si="2"/>
        <v>160</v>
      </c>
      <c r="B162" s="20"/>
      <c r="C162" s="20"/>
      <c r="D162" s="30" t="s">
        <v>272</v>
      </c>
      <c r="E162" s="30" t="s">
        <v>162</v>
      </c>
      <c r="F162" s="72" t="s">
        <v>273</v>
      </c>
      <c r="G162" s="21"/>
      <c r="H162" s="22"/>
      <c r="I162" s="22"/>
      <c r="J162" s="23"/>
      <c r="K162" s="21"/>
      <c r="L162" s="22"/>
      <c r="M162" s="22"/>
      <c r="N162" s="24"/>
      <c r="O162" s="24"/>
      <c r="P162" s="24" t="s">
        <v>101</v>
      </c>
      <c r="Q162" s="24"/>
      <c r="R162" s="23"/>
      <c r="S162" s="135">
        <v>45312</v>
      </c>
      <c r="T162" s="25"/>
      <c r="U162" s="26"/>
      <c r="V162" s="27"/>
      <c r="W162" s="28"/>
      <c r="X162" s="29" t="s">
        <v>167</v>
      </c>
    </row>
    <row r="163" spans="1:24" ht="11.4">
      <c r="A163" s="19">
        <f t="shared" si="2"/>
        <v>161</v>
      </c>
      <c r="B163" s="20"/>
      <c r="C163" s="20"/>
      <c r="D163" s="30" t="s">
        <v>274</v>
      </c>
      <c r="E163" s="30" t="s">
        <v>162</v>
      </c>
      <c r="F163" s="72" t="s">
        <v>275</v>
      </c>
      <c r="G163" s="21"/>
      <c r="H163" s="22"/>
      <c r="I163" s="22"/>
      <c r="J163" s="23"/>
      <c r="K163" s="21"/>
      <c r="L163" s="22"/>
      <c r="M163" s="22"/>
      <c r="N163" s="24"/>
      <c r="O163" s="24"/>
      <c r="P163" s="24" t="s">
        <v>101</v>
      </c>
      <c r="Q163" s="24"/>
      <c r="R163" s="23"/>
      <c r="S163" s="135">
        <v>45312</v>
      </c>
      <c r="T163" s="25"/>
      <c r="U163" s="26"/>
      <c r="V163" s="27"/>
      <c r="W163" s="28"/>
      <c r="X163" s="29" t="s">
        <v>167</v>
      </c>
    </row>
    <row r="164" spans="1:24" ht="11.4">
      <c r="A164" s="19">
        <f t="shared" si="2"/>
        <v>162</v>
      </c>
      <c r="B164" s="20"/>
      <c r="C164" s="31"/>
      <c r="D164" s="30" t="s">
        <v>276</v>
      </c>
      <c r="E164" s="30" t="s">
        <v>162</v>
      </c>
      <c r="F164" s="72" t="s">
        <v>277</v>
      </c>
      <c r="G164" s="21"/>
      <c r="H164" s="22"/>
      <c r="I164" s="22"/>
      <c r="J164" s="23"/>
      <c r="K164" s="21"/>
      <c r="L164" s="22"/>
      <c r="M164" s="22"/>
      <c r="N164" s="24"/>
      <c r="O164" s="24"/>
      <c r="P164" s="24" t="s">
        <v>101</v>
      </c>
      <c r="Q164" s="24"/>
      <c r="R164" s="23"/>
      <c r="S164" s="135">
        <v>45312</v>
      </c>
      <c r="T164" s="25"/>
      <c r="U164" s="26"/>
      <c r="V164" s="27"/>
      <c r="W164" s="28"/>
      <c r="X164" s="29" t="s">
        <v>167</v>
      </c>
    </row>
    <row r="165" spans="1:24" ht="11.4">
      <c r="A165" s="19">
        <f t="shared" si="2"/>
        <v>163</v>
      </c>
      <c r="B165" s="20"/>
      <c r="C165" s="20"/>
      <c r="D165" s="30" t="s">
        <v>224</v>
      </c>
      <c r="E165" s="30" t="s">
        <v>162</v>
      </c>
      <c r="F165" s="72" t="s">
        <v>190</v>
      </c>
      <c r="G165" s="21"/>
      <c r="H165" s="22"/>
      <c r="I165" s="22"/>
      <c r="J165" s="23"/>
      <c r="K165" s="21"/>
      <c r="L165" s="22"/>
      <c r="M165" s="22"/>
      <c r="N165" s="24"/>
      <c r="O165" s="24"/>
      <c r="P165" s="24" t="s">
        <v>101</v>
      </c>
      <c r="Q165" s="24"/>
      <c r="R165" s="23"/>
      <c r="S165" s="135">
        <v>45312</v>
      </c>
      <c r="T165" s="25"/>
      <c r="U165" s="26"/>
      <c r="V165" s="27"/>
      <c r="W165" s="28"/>
      <c r="X165" s="29" t="s">
        <v>167</v>
      </c>
    </row>
    <row r="166" spans="1:24" ht="11.4">
      <c r="A166" s="19">
        <f>ROW()-2</f>
        <v>164</v>
      </c>
      <c r="B166" s="20"/>
      <c r="C166" s="20" t="s">
        <v>280</v>
      </c>
      <c r="D166" s="20" t="s">
        <v>279</v>
      </c>
      <c r="E166" s="30" t="s">
        <v>162</v>
      </c>
      <c r="F166" s="71" t="s">
        <v>163</v>
      </c>
      <c r="G166" s="21"/>
      <c r="H166" s="22"/>
      <c r="I166" s="22"/>
      <c r="J166" s="23"/>
      <c r="K166" s="21"/>
      <c r="L166" s="22"/>
      <c r="M166" s="22"/>
      <c r="N166" s="24"/>
      <c r="O166" s="24"/>
      <c r="P166" s="24" t="s">
        <v>101</v>
      </c>
      <c r="Q166" s="24"/>
      <c r="R166" s="23"/>
      <c r="S166" s="135">
        <v>45312</v>
      </c>
      <c r="T166" s="25">
        <v>45672</v>
      </c>
      <c r="U166" s="26"/>
      <c r="V166" s="27"/>
      <c r="W166" s="28"/>
      <c r="X166" s="29" t="s">
        <v>167</v>
      </c>
    </row>
    <row r="167" spans="1:24" ht="11.4">
      <c r="A167" s="19">
        <f t="shared" ref="A167:A169" si="4">ROW()-2</f>
        <v>165</v>
      </c>
      <c r="B167" s="20"/>
      <c r="C167" s="20"/>
      <c r="D167" s="20" t="s">
        <v>165</v>
      </c>
      <c r="E167" s="30" t="s">
        <v>162</v>
      </c>
      <c r="F167" s="71" t="s">
        <v>166</v>
      </c>
      <c r="G167" s="21"/>
      <c r="H167" s="22"/>
      <c r="I167" s="22"/>
      <c r="J167" s="23"/>
      <c r="K167" s="21"/>
      <c r="L167" s="22"/>
      <c r="M167" s="22"/>
      <c r="N167" s="24"/>
      <c r="O167" s="24"/>
      <c r="P167" s="24" t="s">
        <v>101</v>
      </c>
      <c r="Q167" s="24"/>
      <c r="R167" s="23"/>
      <c r="S167" s="135">
        <v>45312</v>
      </c>
      <c r="T167" s="25">
        <v>45672</v>
      </c>
      <c r="U167" s="26"/>
      <c r="V167" s="27"/>
      <c r="W167" s="28"/>
      <c r="X167" s="29" t="s">
        <v>167</v>
      </c>
    </row>
    <row r="168" spans="1:24" ht="11.4">
      <c r="A168" s="19">
        <f t="shared" si="4"/>
        <v>166</v>
      </c>
      <c r="B168" s="20"/>
      <c r="C168" s="20"/>
      <c r="D168" s="20" t="s">
        <v>168</v>
      </c>
      <c r="E168" s="30" t="s">
        <v>162</v>
      </c>
      <c r="F168" s="71" t="s">
        <v>169</v>
      </c>
      <c r="G168" s="21"/>
      <c r="H168" s="22"/>
      <c r="I168" s="22"/>
      <c r="J168" s="23"/>
      <c r="K168" s="21"/>
      <c r="L168" s="22"/>
      <c r="M168" s="22"/>
      <c r="N168" s="24"/>
      <c r="O168" s="24"/>
      <c r="P168" s="24" t="s">
        <v>101</v>
      </c>
      <c r="Q168" s="24"/>
      <c r="R168" s="23"/>
      <c r="S168" s="135">
        <v>45312</v>
      </c>
      <c r="T168" s="25">
        <v>45672</v>
      </c>
      <c r="U168" s="26"/>
      <c r="V168" s="27"/>
      <c r="W168" s="28"/>
      <c r="X168" s="29" t="s">
        <v>167</v>
      </c>
    </row>
    <row r="169" spans="1:24" ht="11.4">
      <c r="A169" s="19">
        <f t="shared" si="4"/>
        <v>167</v>
      </c>
      <c r="B169" s="20"/>
      <c r="C169" s="20"/>
      <c r="D169" s="20" t="s">
        <v>170</v>
      </c>
      <c r="E169" s="30" t="s">
        <v>162</v>
      </c>
      <c r="F169" s="71" t="s">
        <v>171</v>
      </c>
      <c r="G169" s="21"/>
      <c r="H169" s="22"/>
      <c r="I169" s="22"/>
      <c r="J169" s="23"/>
      <c r="K169" s="21"/>
      <c r="L169" s="22"/>
      <c r="M169" s="22"/>
      <c r="N169" s="24"/>
      <c r="O169" s="24"/>
      <c r="P169" s="24" t="s">
        <v>101</v>
      </c>
      <c r="Q169" s="24"/>
      <c r="R169" s="23"/>
      <c r="S169" s="135">
        <v>45312</v>
      </c>
      <c r="T169" s="25">
        <v>45672</v>
      </c>
      <c r="U169" s="26"/>
      <c r="V169" s="27"/>
      <c r="W169" s="28"/>
      <c r="X169" s="29" t="s">
        <v>167</v>
      </c>
    </row>
    <row r="170" spans="1:24" ht="11.4">
      <c r="A170" s="19">
        <f>ROW()-2</f>
        <v>168</v>
      </c>
      <c r="B170" s="20"/>
      <c r="C170" s="20"/>
      <c r="D170" s="20" t="s">
        <v>172</v>
      </c>
      <c r="E170" s="30" t="s">
        <v>162</v>
      </c>
      <c r="F170" s="71" t="s">
        <v>173</v>
      </c>
      <c r="G170" s="21"/>
      <c r="H170" s="22"/>
      <c r="I170" s="22"/>
      <c r="J170" s="23"/>
      <c r="K170" s="21"/>
      <c r="L170" s="22"/>
      <c r="M170" s="22"/>
      <c r="N170" s="24"/>
      <c r="O170" s="24"/>
      <c r="P170" s="24" t="s">
        <v>101</v>
      </c>
      <c r="Q170" s="24"/>
      <c r="R170" s="23"/>
      <c r="S170" s="135">
        <v>45312</v>
      </c>
      <c r="T170" s="25">
        <v>45672</v>
      </c>
      <c r="U170" s="26"/>
      <c r="V170" s="27"/>
      <c r="W170" s="28"/>
      <c r="X170" s="29" t="s">
        <v>167</v>
      </c>
    </row>
    <row r="171" spans="1:24" ht="11.4">
      <c r="A171" s="19">
        <f t="shared" si="2"/>
        <v>169</v>
      </c>
      <c r="B171" s="20"/>
      <c r="C171" s="20"/>
      <c r="D171" s="20" t="s">
        <v>174</v>
      </c>
      <c r="E171" s="30" t="s">
        <v>162</v>
      </c>
      <c r="F171" s="71" t="s">
        <v>175</v>
      </c>
      <c r="G171" s="21"/>
      <c r="H171" s="22"/>
      <c r="I171" s="22"/>
      <c r="J171" s="23"/>
      <c r="K171" s="21"/>
      <c r="L171" s="22"/>
      <c r="M171" s="22"/>
      <c r="N171" s="24"/>
      <c r="O171" s="24"/>
      <c r="P171" s="24" t="s">
        <v>101</v>
      </c>
      <c r="Q171" s="24"/>
      <c r="R171" s="23"/>
      <c r="S171" s="135">
        <v>45312</v>
      </c>
      <c r="T171" s="25">
        <v>45672</v>
      </c>
      <c r="U171" s="26"/>
      <c r="V171" s="27"/>
      <c r="W171" s="28"/>
      <c r="X171" s="29" t="s">
        <v>167</v>
      </c>
    </row>
    <row r="172" spans="1:24" ht="11.4">
      <c r="A172" s="19">
        <f t="shared" si="2"/>
        <v>170</v>
      </c>
      <c r="B172" s="20"/>
      <c r="C172" s="20"/>
      <c r="D172" s="20" t="s">
        <v>176</v>
      </c>
      <c r="E172" s="30" t="s">
        <v>162</v>
      </c>
      <c r="F172" s="71" t="s">
        <v>177</v>
      </c>
      <c r="G172" s="21"/>
      <c r="H172" s="22"/>
      <c r="I172" s="22"/>
      <c r="J172" s="23"/>
      <c r="K172" s="21"/>
      <c r="L172" s="22"/>
      <c r="M172" s="22"/>
      <c r="N172" s="24"/>
      <c r="O172" s="24"/>
      <c r="P172" s="24" t="s">
        <v>101</v>
      </c>
      <c r="Q172" s="24"/>
      <c r="R172" s="23"/>
      <c r="S172" s="135">
        <v>45312</v>
      </c>
      <c r="T172" s="25">
        <v>45672</v>
      </c>
      <c r="U172" s="26"/>
      <c r="V172" s="27"/>
      <c r="W172" s="28"/>
      <c r="X172" s="29" t="s">
        <v>167</v>
      </c>
    </row>
    <row r="173" spans="1:24" ht="11.4">
      <c r="A173" s="19">
        <f t="shared" si="2"/>
        <v>171</v>
      </c>
      <c r="B173" s="20"/>
      <c r="C173" s="20"/>
      <c r="D173" s="20" t="s">
        <v>178</v>
      </c>
      <c r="E173" s="30" t="s">
        <v>162</v>
      </c>
      <c r="F173" s="71" t="s">
        <v>175</v>
      </c>
      <c r="G173" s="21"/>
      <c r="H173" s="22"/>
      <c r="I173" s="22"/>
      <c r="J173" s="23"/>
      <c r="K173" s="21"/>
      <c r="L173" s="22"/>
      <c r="M173" s="22"/>
      <c r="N173" s="24"/>
      <c r="O173" s="24"/>
      <c r="P173" s="24" t="s">
        <v>101</v>
      </c>
      <c r="Q173" s="24"/>
      <c r="R173" s="23"/>
      <c r="S173" s="135">
        <v>45312</v>
      </c>
      <c r="T173" s="25">
        <v>45672</v>
      </c>
      <c r="U173" s="26"/>
      <c r="V173" s="27"/>
      <c r="W173" s="28"/>
      <c r="X173" s="29" t="s">
        <v>167</v>
      </c>
    </row>
    <row r="174" spans="1:24" ht="11.4">
      <c r="A174" s="19">
        <f t="shared" si="2"/>
        <v>172</v>
      </c>
      <c r="B174" s="20"/>
      <c r="C174" s="20"/>
      <c r="D174" s="30" t="s">
        <v>179</v>
      </c>
      <c r="E174" s="30" t="s">
        <v>162</v>
      </c>
      <c r="F174" s="71" t="s">
        <v>180</v>
      </c>
      <c r="G174" s="21"/>
      <c r="H174" s="22"/>
      <c r="I174" s="22"/>
      <c r="J174" s="23"/>
      <c r="K174" s="21"/>
      <c r="L174" s="22"/>
      <c r="M174" s="22"/>
      <c r="N174" s="24"/>
      <c r="O174" s="24"/>
      <c r="P174" s="24" t="s">
        <v>101</v>
      </c>
      <c r="Q174" s="24"/>
      <c r="R174" s="23"/>
      <c r="S174" s="135">
        <v>45312</v>
      </c>
      <c r="T174" s="25">
        <v>45672</v>
      </c>
      <c r="U174" s="26"/>
      <c r="V174" s="27"/>
      <c r="W174" s="28"/>
      <c r="X174" s="29" t="s">
        <v>167</v>
      </c>
    </row>
    <row r="175" spans="1:24" ht="11.4">
      <c r="A175" s="19">
        <f t="shared" si="2"/>
        <v>173</v>
      </c>
      <c r="B175" s="20"/>
      <c r="C175" s="20"/>
      <c r="D175" s="30" t="s">
        <v>181</v>
      </c>
      <c r="E175" s="30" t="s">
        <v>162</v>
      </c>
      <c r="F175" s="71" t="s">
        <v>169</v>
      </c>
      <c r="G175" s="21"/>
      <c r="H175" s="22"/>
      <c r="I175" s="22"/>
      <c r="J175" s="23"/>
      <c r="K175" s="21"/>
      <c r="L175" s="22"/>
      <c r="M175" s="22"/>
      <c r="N175" s="24"/>
      <c r="O175" s="24"/>
      <c r="P175" s="24" t="s">
        <v>101</v>
      </c>
      <c r="Q175" s="24"/>
      <c r="R175" s="23"/>
      <c r="S175" s="135">
        <v>45312</v>
      </c>
      <c r="T175" s="25">
        <v>45672</v>
      </c>
      <c r="U175" s="26"/>
      <c r="V175" s="27"/>
      <c r="W175" s="28"/>
      <c r="X175" s="29" t="s">
        <v>167</v>
      </c>
    </row>
    <row r="176" spans="1:24" ht="11.4">
      <c r="A176" s="19">
        <f t="shared" si="2"/>
        <v>174</v>
      </c>
      <c r="B176" s="20"/>
      <c r="C176" s="20"/>
      <c r="D176" s="30" t="s">
        <v>182</v>
      </c>
      <c r="E176" s="30" t="s">
        <v>162</v>
      </c>
      <c r="F176" s="71" t="s">
        <v>169</v>
      </c>
      <c r="G176" s="21"/>
      <c r="H176" s="22"/>
      <c r="I176" s="22"/>
      <c r="J176" s="23"/>
      <c r="K176" s="21"/>
      <c r="L176" s="22"/>
      <c r="M176" s="22"/>
      <c r="N176" s="24"/>
      <c r="O176" s="24"/>
      <c r="P176" s="24" t="s">
        <v>101</v>
      </c>
      <c r="Q176" s="24"/>
      <c r="R176" s="23"/>
      <c r="S176" s="135">
        <v>45312</v>
      </c>
      <c r="T176" s="25">
        <v>45672</v>
      </c>
      <c r="U176" s="26"/>
      <c r="V176" s="27"/>
      <c r="W176" s="28"/>
      <c r="X176" s="29" t="s">
        <v>167</v>
      </c>
    </row>
    <row r="177" spans="1:24" ht="11.4">
      <c r="A177" s="19">
        <f t="shared" si="2"/>
        <v>175</v>
      </c>
      <c r="B177" s="20"/>
      <c r="C177" s="20"/>
      <c r="D177" s="30" t="s">
        <v>183</v>
      </c>
      <c r="E177" s="30" t="s">
        <v>162</v>
      </c>
      <c r="F177" s="71" t="s">
        <v>169</v>
      </c>
      <c r="G177" s="21"/>
      <c r="H177" s="22"/>
      <c r="I177" s="22"/>
      <c r="J177" s="23"/>
      <c r="K177" s="21"/>
      <c r="L177" s="22"/>
      <c r="M177" s="22"/>
      <c r="N177" s="24"/>
      <c r="O177" s="24"/>
      <c r="P177" s="24" t="s">
        <v>101</v>
      </c>
      <c r="Q177" s="24"/>
      <c r="R177" s="23"/>
      <c r="S177" s="135">
        <v>45312</v>
      </c>
      <c r="T177" s="25">
        <v>45672</v>
      </c>
      <c r="U177" s="26"/>
      <c r="V177" s="27"/>
      <c r="W177" s="28"/>
      <c r="X177" s="29" t="s">
        <v>167</v>
      </c>
    </row>
    <row r="178" spans="1:24" ht="11.4">
      <c r="A178" s="19">
        <f t="shared" si="2"/>
        <v>176</v>
      </c>
      <c r="B178" s="20"/>
      <c r="C178" s="20"/>
      <c r="D178" s="30" t="s">
        <v>184</v>
      </c>
      <c r="E178" s="30" t="s">
        <v>162</v>
      </c>
      <c r="F178" s="71" t="s">
        <v>169</v>
      </c>
      <c r="G178" s="21"/>
      <c r="H178" s="22"/>
      <c r="I178" s="22"/>
      <c r="J178" s="23"/>
      <c r="K178" s="21"/>
      <c r="L178" s="22"/>
      <c r="M178" s="22"/>
      <c r="N178" s="24"/>
      <c r="O178" s="24"/>
      <c r="P178" s="24" t="s">
        <v>101</v>
      </c>
      <c r="Q178" s="24"/>
      <c r="R178" s="23"/>
      <c r="S178" s="135">
        <v>45312</v>
      </c>
      <c r="T178" s="25">
        <v>45672</v>
      </c>
      <c r="U178" s="26"/>
      <c r="V178" s="27"/>
      <c r="W178" s="28"/>
      <c r="X178" s="29" t="s">
        <v>167</v>
      </c>
    </row>
    <row r="179" spans="1:24" ht="11.4">
      <c r="A179" s="19">
        <f t="shared" si="2"/>
        <v>177</v>
      </c>
      <c r="B179" s="20"/>
      <c r="C179" s="20"/>
      <c r="D179" s="30" t="s">
        <v>185</v>
      </c>
      <c r="E179" s="30" t="s">
        <v>162</v>
      </c>
      <c r="F179" s="71" t="s">
        <v>169</v>
      </c>
      <c r="G179" s="21"/>
      <c r="H179" s="22"/>
      <c r="I179" s="22"/>
      <c r="J179" s="23"/>
      <c r="K179" s="21"/>
      <c r="L179" s="22"/>
      <c r="M179" s="22"/>
      <c r="N179" s="24"/>
      <c r="O179" s="24"/>
      <c r="P179" s="24" t="s">
        <v>101</v>
      </c>
      <c r="Q179" s="24"/>
      <c r="R179" s="23"/>
      <c r="S179" s="135">
        <v>45312</v>
      </c>
      <c r="T179" s="25">
        <v>45672</v>
      </c>
      <c r="U179" s="26"/>
      <c r="V179" s="27"/>
      <c r="W179" s="28"/>
      <c r="X179" s="29" t="s">
        <v>167</v>
      </c>
    </row>
    <row r="180" spans="1:24" ht="11.4">
      <c r="A180" s="19">
        <f t="shared" si="2"/>
        <v>178</v>
      </c>
      <c r="B180" s="20"/>
      <c r="C180" s="20"/>
      <c r="D180" s="20" t="s">
        <v>186</v>
      </c>
      <c r="E180" s="30" t="s">
        <v>162</v>
      </c>
      <c r="F180" s="71" t="s">
        <v>169</v>
      </c>
      <c r="G180" s="21"/>
      <c r="H180" s="22"/>
      <c r="I180" s="22"/>
      <c r="J180" s="23"/>
      <c r="K180" s="21"/>
      <c r="L180" s="22"/>
      <c r="M180" s="22"/>
      <c r="N180" s="24"/>
      <c r="O180" s="24"/>
      <c r="P180" s="24" t="s">
        <v>101</v>
      </c>
      <c r="Q180" s="24"/>
      <c r="R180" s="23"/>
      <c r="S180" s="135">
        <v>45312</v>
      </c>
      <c r="T180" s="25">
        <v>45672</v>
      </c>
      <c r="U180" s="26"/>
      <c r="V180" s="27"/>
      <c r="W180" s="28"/>
      <c r="X180" s="29" t="s">
        <v>167</v>
      </c>
    </row>
    <row r="181" spans="1:24" ht="11.4">
      <c r="A181" s="19">
        <f t="shared" si="2"/>
        <v>179</v>
      </c>
      <c r="B181" s="20"/>
      <c r="C181" s="20"/>
      <c r="D181" s="20" t="s">
        <v>187</v>
      </c>
      <c r="E181" s="30" t="s">
        <v>162</v>
      </c>
      <c r="F181" s="71" t="s">
        <v>169</v>
      </c>
      <c r="G181" s="21"/>
      <c r="H181" s="22"/>
      <c r="I181" s="22"/>
      <c r="J181" s="23"/>
      <c r="K181" s="21"/>
      <c r="L181" s="22"/>
      <c r="M181" s="22"/>
      <c r="N181" s="24"/>
      <c r="O181" s="24"/>
      <c r="P181" s="24" t="s">
        <v>101</v>
      </c>
      <c r="Q181" s="24"/>
      <c r="R181" s="23"/>
      <c r="S181" s="135">
        <v>45312</v>
      </c>
      <c r="T181" s="25">
        <v>45672</v>
      </c>
      <c r="U181" s="26"/>
      <c r="V181" s="27"/>
      <c r="W181" s="28"/>
      <c r="X181" s="29" t="s">
        <v>167</v>
      </c>
    </row>
    <row r="182" spans="1:24" ht="11.4">
      <c r="A182" s="19">
        <f t="shared" si="2"/>
        <v>180</v>
      </c>
      <c r="B182" s="20"/>
      <c r="C182" s="20"/>
      <c r="D182" s="30" t="s">
        <v>188</v>
      </c>
      <c r="E182" s="30" t="s">
        <v>162</v>
      </c>
      <c r="F182" s="71" t="s">
        <v>169</v>
      </c>
      <c r="G182" s="21"/>
      <c r="H182" s="22"/>
      <c r="I182" s="22"/>
      <c r="J182" s="23"/>
      <c r="K182" s="21"/>
      <c r="L182" s="22"/>
      <c r="M182" s="22"/>
      <c r="N182" s="24"/>
      <c r="O182" s="24"/>
      <c r="P182" s="24" t="s">
        <v>101</v>
      </c>
      <c r="Q182" s="24"/>
      <c r="R182" s="23"/>
      <c r="S182" s="135">
        <v>45312</v>
      </c>
      <c r="T182" s="25">
        <v>45672</v>
      </c>
      <c r="U182" s="26"/>
      <c r="V182" s="27"/>
      <c r="W182" s="28"/>
      <c r="X182" s="29" t="s">
        <v>167</v>
      </c>
    </row>
    <row r="183" spans="1:24" ht="11.4">
      <c r="A183" s="19">
        <f t="shared" si="2"/>
        <v>181</v>
      </c>
      <c r="B183" s="20"/>
      <c r="C183" s="20"/>
      <c r="D183" s="30" t="s">
        <v>189</v>
      </c>
      <c r="E183" s="30" t="s">
        <v>162</v>
      </c>
      <c r="F183" s="71" t="s">
        <v>190</v>
      </c>
      <c r="G183" s="21"/>
      <c r="H183" s="22"/>
      <c r="I183" s="22"/>
      <c r="J183" s="23"/>
      <c r="K183" s="21"/>
      <c r="L183" s="22"/>
      <c r="M183" s="22"/>
      <c r="N183" s="24"/>
      <c r="O183" s="24"/>
      <c r="P183" s="24" t="s">
        <v>101</v>
      </c>
      <c r="Q183" s="24"/>
      <c r="R183" s="23"/>
      <c r="S183" s="135">
        <v>45312</v>
      </c>
      <c r="T183" s="25">
        <v>45672</v>
      </c>
      <c r="U183" s="26"/>
      <c r="V183" s="27"/>
      <c r="W183" s="28"/>
      <c r="X183" s="29" t="s">
        <v>167</v>
      </c>
    </row>
    <row r="184" spans="1:24" ht="11.4">
      <c r="A184" s="19">
        <f t="shared" si="2"/>
        <v>182</v>
      </c>
      <c r="B184" s="20"/>
      <c r="C184" s="20"/>
      <c r="D184" s="30" t="s">
        <v>191</v>
      </c>
      <c r="E184" s="30" t="s">
        <v>162</v>
      </c>
      <c r="F184" s="72" t="s">
        <v>192</v>
      </c>
      <c r="G184" s="21"/>
      <c r="H184" s="22"/>
      <c r="I184" s="22"/>
      <c r="J184" s="23"/>
      <c r="K184" s="21"/>
      <c r="L184" s="22"/>
      <c r="M184" s="22"/>
      <c r="N184" s="24"/>
      <c r="O184" s="24"/>
      <c r="P184" s="24" t="s">
        <v>101</v>
      </c>
      <c r="Q184" s="24"/>
      <c r="R184" s="23"/>
      <c r="S184" s="135">
        <v>45312</v>
      </c>
      <c r="T184" s="25">
        <v>45672</v>
      </c>
      <c r="U184" s="26"/>
      <c r="V184" s="27"/>
      <c r="W184" s="28"/>
      <c r="X184" s="29" t="s">
        <v>167</v>
      </c>
    </row>
    <row r="185" spans="1:24" ht="11.4">
      <c r="A185" s="19">
        <f t="shared" si="2"/>
        <v>183</v>
      </c>
      <c r="B185" s="20"/>
      <c r="C185" s="20"/>
      <c r="D185" s="30" t="s">
        <v>179</v>
      </c>
      <c r="E185" s="30" t="s">
        <v>162</v>
      </c>
      <c r="F185" s="72" t="s">
        <v>192</v>
      </c>
      <c r="G185" s="21"/>
      <c r="H185" s="22"/>
      <c r="I185" s="22"/>
      <c r="J185" s="23"/>
      <c r="K185" s="21"/>
      <c r="L185" s="22"/>
      <c r="M185" s="22"/>
      <c r="N185" s="24"/>
      <c r="O185" s="24"/>
      <c r="P185" s="24" t="s">
        <v>101</v>
      </c>
      <c r="Q185" s="24"/>
      <c r="R185" s="23"/>
      <c r="S185" s="135">
        <v>45312</v>
      </c>
      <c r="T185" s="25">
        <v>45672</v>
      </c>
      <c r="U185" s="26"/>
      <c r="V185" s="27"/>
      <c r="W185" s="28"/>
      <c r="X185" s="29" t="s">
        <v>167</v>
      </c>
    </row>
    <row r="186" spans="1:24" ht="11.4">
      <c r="A186" s="19">
        <f t="shared" si="2"/>
        <v>184</v>
      </c>
      <c r="B186" s="20"/>
      <c r="C186" s="20"/>
      <c r="D186" s="30" t="s">
        <v>193</v>
      </c>
      <c r="E186" s="30" t="s">
        <v>162</v>
      </c>
      <c r="F186" s="72" t="s">
        <v>192</v>
      </c>
      <c r="G186" s="21"/>
      <c r="H186" s="22"/>
      <c r="I186" s="22"/>
      <c r="J186" s="23"/>
      <c r="K186" s="21"/>
      <c r="L186" s="22"/>
      <c r="M186" s="22"/>
      <c r="N186" s="24"/>
      <c r="O186" s="24"/>
      <c r="P186" s="24" t="s">
        <v>101</v>
      </c>
      <c r="Q186" s="24"/>
      <c r="R186" s="23"/>
      <c r="S186" s="135">
        <v>45312</v>
      </c>
      <c r="T186" s="25">
        <v>45672</v>
      </c>
      <c r="U186" s="26"/>
      <c r="V186" s="27"/>
      <c r="W186" s="28"/>
      <c r="X186" s="29" t="s">
        <v>167</v>
      </c>
    </row>
    <row r="187" spans="1:24" ht="22.8">
      <c r="A187" s="19">
        <f t="shared" si="2"/>
        <v>185</v>
      </c>
      <c r="B187" s="20"/>
      <c r="C187" s="20"/>
      <c r="D187" s="20" t="s">
        <v>194</v>
      </c>
      <c r="E187" s="30" t="s">
        <v>162</v>
      </c>
      <c r="F187" s="72" t="s">
        <v>195</v>
      </c>
      <c r="G187" s="21"/>
      <c r="H187" s="22"/>
      <c r="I187" s="22"/>
      <c r="J187" s="23"/>
      <c r="K187" s="21"/>
      <c r="L187" s="22"/>
      <c r="M187" s="22"/>
      <c r="N187" s="24"/>
      <c r="O187" s="24"/>
      <c r="P187" s="24" t="s">
        <v>101</v>
      </c>
      <c r="Q187" s="24"/>
      <c r="R187" s="23"/>
      <c r="S187" s="135">
        <v>45312</v>
      </c>
      <c r="T187" s="25">
        <v>45672</v>
      </c>
      <c r="U187" s="26"/>
      <c r="V187" s="27"/>
      <c r="W187" s="28"/>
      <c r="X187" s="29" t="s">
        <v>167</v>
      </c>
    </row>
    <row r="188" spans="1:24" ht="11.4">
      <c r="A188" s="19">
        <f t="shared" si="2"/>
        <v>186</v>
      </c>
      <c r="B188" s="31"/>
      <c r="C188" s="31"/>
      <c r="D188" s="30" t="s">
        <v>196</v>
      </c>
      <c r="E188" s="30" t="s">
        <v>162</v>
      </c>
      <c r="F188" s="72" t="s">
        <v>169</v>
      </c>
      <c r="G188" s="21"/>
      <c r="H188" s="22"/>
      <c r="I188" s="22"/>
      <c r="J188" s="23"/>
      <c r="K188" s="21"/>
      <c r="L188" s="22"/>
      <c r="M188" s="22"/>
      <c r="N188" s="24"/>
      <c r="O188" s="24"/>
      <c r="P188" s="24" t="s">
        <v>101</v>
      </c>
      <c r="Q188" s="24"/>
      <c r="R188" s="23"/>
      <c r="S188" s="135">
        <v>45312</v>
      </c>
      <c r="T188" s="25">
        <v>45672</v>
      </c>
      <c r="U188" s="26"/>
      <c r="V188" s="27"/>
      <c r="W188" s="28"/>
      <c r="X188" s="29" t="s">
        <v>167</v>
      </c>
    </row>
    <row r="189" spans="1:24" ht="11.4">
      <c r="A189" s="19">
        <f t="shared" si="2"/>
        <v>187</v>
      </c>
      <c r="B189" s="31"/>
      <c r="C189" s="31"/>
      <c r="D189" s="30" t="s">
        <v>197</v>
      </c>
      <c r="E189" s="30" t="s">
        <v>162</v>
      </c>
      <c r="F189" s="72" t="s">
        <v>190</v>
      </c>
      <c r="G189" s="21"/>
      <c r="H189" s="22"/>
      <c r="I189" s="22"/>
      <c r="J189" s="23"/>
      <c r="K189" s="21"/>
      <c r="L189" s="22"/>
      <c r="M189" s="22"/>
      <c r="N189" s="24"/>
      <c r="O189" s="24"/>
      <c r="P189" s="24" t="s">
        <v>101</v>
      </c>
      <c r="Q189" s="24"/>
      <c r="R189" s="23"/>
      <c r="S189" s="135">
        <v>45312</v>
      </c>
      <c r="T189" s="25">
        <v>45672</v>
      </c>
      <c r="U189" s="26"/>
      <c r="V189" s="27"/>
      <c r="W189" s="28"/>
      <c r="X189" s="29" t="s">
        <v>167</v>
      </c>
    </row>
    <row r="190" spans="1:24" ht="11.4">
      <c r="A190" s="19">
        <f t="shared" si="2"/>
        <v>188</v>
      </c>
      <c r="B190" s="31"/>
      <c r="C190" s="31"/>
      <c r="D190" s="30" t="s">
        <v>198</v>
      </c>
      <c r="E190" s="30" t="s">
        <v>162</v>
      </c>
      <c r="F190" s="72" t="s">
        <v>199</v>
      </c>
      <c r="G190" s="21"/>
      <c r="H190" s="22"/>
      <c r="I190" s="22"/>
      <c r="J190" s="23"/>
      <c r="K190" s="21"/>
      <c r="L190" s="22"/>
      <c r="M190" s="22"/>
      <c r="N190" s="24"/>
      <c r="O190" s="24"/>
      <c r="P190" s="24" t="s">
        <v>101</v>
      </c>
      <c r="Q190" s="24"/>
      <c r="R190" s="23"/>
      <c r="S190" s="135">
        <v>45312</v>
      </c>
      <c r="T190" s="25">
        <v>45672</v>
      </c>
      <c r="U190" s="26"/>
      <c r="V190" s="27"/>
      <c r="W190" s="28"/>
      <c r="X190" s="29" t="s">
        <v>167</v>
      </c>
    </row>
    <row r="191" spans="1:24" ht="11.4">
      <c r="A191" s="19">
        <f t="shared" si="2"/>
        <v>189</v>
      </c>
      <c r="B191" s="31"/>
      <c r="C191" s="20"/>
      <c r="D191" s="20" t="s">
        <v>200</v>
      </c>
      <c r="E191" s="30" t="s">
        <v>162</v>
      </c>
      <c r="F191" s="72" t="s">
        <v>201</v>
      </c>
      <c r="G191" s="21"/>
      <c r="H191" s="22"/>
      <c r="I191" s="22"/>
      <c r="J191" s="23"/>
      <c r="K191" s="21"/>
      <c r="L191" s="22"/>
      <c r="M191" s="22"/>
      <c r="N191" s="24"/>
      <c r="O191" s="24"/>
      <c r="P191" s="24" t="s">
        <v>101</v>
      </c>
      <c r="Q191" s="24"/>
      <c r="R191" s="23"/>
      <c r="S191" s="135">
        <v>45312</v>
      </c>
      <c r="T191" s="25">
        <v>45672</v>
      </c>
      <c r="U191" s="26"/>
      <c r="V191" s="27"/>
      <c r="W191" s="28"/>
      <c r="X191" s="29" t="s">
        <v>167</v>
      </c>
    </row>
    <row r="192" spans="1:24" ht="11.4">
      <c r="A192" s="19">
        <f t="shared" si="2"/>
        <v>190</v>
      </c>
      <c r="B192" s="31"/>
      <c r="C192" s="31"/>
      <c r="D192" s="30" t="s">
        <v>191</v>
      </c>
      <c r="E192" s="30" t="s">
        <v>162</v>
      </c>
      <c r="F192" s="72" t="s">
        <v>180</v>
      </c>
      <c r="G192" s="21"/>
      <c r="H192" s="22"/>
      <c r="I192" s="22"/>
      <c r="J192" s="23"/>
      <c r="K192" s="21"/>
      <c r="L192" s="22"/>
      <c r="M192" s="22"/>
      <c r="N192" s="24"/>
      <c r="O192" s="24"/>
      <c r="P192" s="24" t="s">
        <v>101</v>
      </c>
      <c r="Q192" s="24"/>
      <c r="R192" s="23"/>
      <c r="S192" s="135">
        <v>45312</v>
      </c>
      <c r="T192" s="25">
        <v>45672</v>
      </c>
      <c r="U192" s="26"/>
      <c r="V192" s="27"/>
      <c r="W192" s="28"/>
      <c r="X192" s="29" t="s">
        <v>167</v>
      </c>
    </row>
    <row r="193" spans="1:24" ht="11.4">
      <c r="A193" s="19">
        <f t="shared" si="2"/>
        <v>191</v>
      </c>
      <c r="B193" s="31"/>
      <c r="C193" s="31"/>
      <c r="D193" s="30" t="s">
        <v>202</v>
      </c>
      <c r="E193" s="30" t="s">
        <v>162</v>
      </c>
      <c r="F193" s="72" t="s">
        <v>203</v>
      </c>
      <c r="G193" s="21"/>
      <c r="H193" s="22"/>
      <c r="I193" s="22"/>
      <c r="J193" s="23"/>
      <c r="K193" s="21"/>
      <c r="L193" s="22"/>
      <c r="M193" s="22"/>
      <c r="N193" s="24"/>
      <c r="O193" s="24"/>
      <c r="P193" s="24" t="s">
        <v>101</v>
      </c>
      <c r="Q193" s="24"/>
      <c r="R193" s="23"/>
      <c r="S193" s="135">
        <v>45312</v>
      </c>
      <c r="T193" s="25">
        <v>45672</v>
      </c>
      <c r="U193" s="26"/>
      <c r="V193" s="27"/>
      <c r="W193" s="28"/>
      <c r="X193" s="29" t="s">
        <v>167</v>
      </c>
    </row>
    <row r="194" spans="1:24" ht="11.4">
      <c r="A194" s="19">
        <f t="shared" si="2"/>
        <v>192</v>
      </c>
      <c r="B194" s="31"/>
      <c r="C194" s="31"/>
      <c r="D194" s="30" t="s">
        <v>204</v>
      </c>
      <c r="E194" s="30" t="s">
        <v>162</v>
      </c>
      <c r="F194" s="72" t="s">
        <v>203</v>
      </c>
      <c r="G194" s="21"/>
      <c r="H194" s="22"/>
      <c r="I194" s="22"/>
      <c r="J194" s="23"/>
      <c r="K194" s="21"/>
      <c r="L194" s="22"/>
      <c r="M194" s="22"/>
      <c r="N194" s="24"/>
      <c r="O194" s="24"/>
      <c r="P194" s="24" t="s">
        <v>101</v>
      </c>
      <c r="Q194" s="24"/>
      <c r="R194" s="23"/>
      <c r="S194" s="135">
        <v>45312</v>
      </c>
      <c r="T194" s="25">
        <v>45672</v>
      </c>
      <c r="U194" s="26"/>
      <c r="V194" s="27"/>
      <c r="W194" s="28"/>
      <c r="X194" s="29" t="s">
        <v>167</v>
      </c>
    </row>
    <row r="195" spans="1:24" ht="11.4">
      <c r="A195" s="19">
        <f t="shared" si="2"/>
        <v>193</v>
      </c>
      <c r="B195" s="31"/>
      <c r="C195" s="20"/>
      <c r="D195" s="20" t="s">
        <v>205</v>
      </c>
      <c r="E195" s="30" t="s">
        <v>162</v>
      </c>
      <c r="F195" s="72" t="s">
        <v>206</v>
      </c>
      <c r="G195" s="21"/>
      <c r="H195" s="22"/>
      <c r="I195" s="22"/>
      <c r="J195" s="23"/>
      <c r="K195" s="21"/>
      <c r="L195" s="22"/>
      <c r="M195" s="22"/>
      <c r="N195" s="24"/>
      <c r="O195" s="24"/>
      <c r="P195" s="24" t="s">
        <v>101</v>
      </c>
      <c r="Q195" s="24"/>
      <c r="R195" s="23"/>
      <c r="S195" s="135">
        <v>45312</v>
      </c>
      <c r="T195" s="25">
        <v>45672</v>
      </c>
      <c r="U195" s="26"/>
      <c r="V195" s="27"/>
      <c r="W195" s="28"/>
      <c r="X195" s="29" t="s">
        <v>167</v>
      </c>
    </row>
    <row r="196" spans="1:24" ht="11.4">
      <c r="A196" s="19">
        <f t="shared" si="2"/>
        <v>194</v>
      </c>
      <c r="B196" s="31"/>
      <c r="C196" s="20"/>
      <c r="D196" s="20" t="s">
        <v>193</v>
      </c>
      <c r="E196" s="30" t="s">
        <v>162</v>
      </c>
      <c r="F196" s="72" t="s">
        <v>180</v>
      </c>
      <c r="G196" s="21"/>
      <c r="H196" s="22"/>
      <c r="I196" s="22"/>
      <c r="J196" s="23"/>
      <c r="K196" s="21"/>
      <c r="L196" s="22"/>
      <c r="M196" s="22"/>
      <c r="N196" s="24"/>
      <c r="O196" s="24"/>
      <c r="P196" s="24" t="s">
        <v>101</v>
      </c>
      <c r="Q196" s="24"/>
      <c r="R196" s="23"/>
      <c r="S196" s="135">
        <v>45312</v>
      </c>
      <c r="T196" s="25">
        <v>45672</v>
      </c>
      <c r="U196" s="26"/>
      <c r="V196" s="27"/>
      <c r="W196" s="28"/>
      <c r="X196" s="29" t="s">
        <v>167</v>
      </c>
    </row>
    <row r="197" spans="1:24" ht="11.4">
      <c r="A197" s="19">
        <f t="shared" si="2"/>
        <v>195</v>
      </c>
      <c r="B197" s="20"/>
      <c r="C197" s="20"/>
      <c r="D197" s="30" t="s">
        <v>207</v>
      </c>
      <c r="E197" s="30" t="s">
        <v>162</v>
      </c>
      <c r="F197" s="72" t="s">
        <v>208</v>
      </c>
      <c r="G197" s="21"/>
      <c r="H197" s="22"/>
      <c r="I197" s="22"/>
      <c r="J197" s="23"/>
      <c r="K197" s="21"/>
      <c r="L197" s="22"/>
      <c r="M197" s="22"/>
      <c r="N197" s="24"/>
      <c r="O197" s="24"/>
      <c r="P197" s="24" t="s">
        <v>101</v>
      </c>
      <c r="Q197" s="24"/>
      <c r="R197" s="23"/>
      <c r="S197" s="135">
        <v>45312</v>
      </c>
      <c r="T197" s="25">
        <v>45672</v>
      </c>
      <c r="U197" s="26"/>
      <c r="V197" s="27"/>
      <c r="W197" s="28"/>
      <c r="X197" s="29" t="s">
        <v>167</v>
      </c>
    </row>
    <row r="198" spans="1:24" ht="11.4">
      <c r="A198" s="19">
        <f t="shared" si="2"/>
        <v>196</v>
      </c>
      <c r="B198" s="20"/>
      <c r="C198" s="31"/>
      <c r="D198" s="30" t="s">
        <v>209</v>
      </c>
      <c r="E198" s="30" t="s">
        <v>162</v>
      </c>
      <c r="F198" s="72" t="s">
        <v>210</v>
      </c>
      <c r="G198" s="21"/>
      <c r="H198" s="22"/>
      <c r="I198" s="22"/>
      <c r="J198" s="23"/>
      <c r="K198" s="21"/>
      <c r="L198" s="22"/>
      <c r="M198" s="22"/>
      <c r="N198" s="24"/>
      <c r="O198" s="24"/>
      <c r="P198" s="24" t="s">
        <v>101</v>
      </c>
      <c r="Q198" s="24"/>
      <c r="R198" s="23"/>
      <c r="S198" s="135">
        <v>45312</v>
      </c>
      <c r="T198" s="25">
        <v>45672</v>
      </c>
      <c r="U198" s="26"/>
      <c r="V198" s="27"/>
      <c r="W198" s="28"/>
      <c r="X198" s="29" t="s">
        <v>167</v>
      </c>
    </row>
    <row r="199" spans="1:24" ht="11.4">
      <c r="A199" s="19">
        <f t="shared" si="2"/>
        <v>197</v>
      </c>
      <c r="B199" s="31"/>
      <c r="C199" s="20"/>
      <c r="D199" s="20" t="s">
        <v>211</v>
      </c>
      <c r="E199" s="30" t="s">
        <v>162</v>
      </c>
      <c r="F199" s="72" t="s">
        <v>212</v>
      </c>
      <c r="G199" s="21"/>
      <c r="H199" s="22"/>
      <c r="I199" s="22"/>
      <c r="J199" s="23"/>
      <c r="K199" s="21"/>
      <c r="L199" s="22"/>
      <c r="M199" s="22"/>
      <c r="N199" s="24"/>
      <c r="O199" s="24"/>
      <c r="P199" s="24" t="s">
        <v>101</v>
      </c>
      <c r="Q199" s="24"/>
      <c r="R199" s="23"/>
      <c r="S199" s="135">
        <v>45312</v>
      </c>
      <c r="T199" s="25">
        <v>45672</v>
      </c>
      <c r="U199" s="26"/>
      <c r="V199" s="27"/>
      <c r="W199" s="28"/>
      <c r="X199" s="29" t="s">
        <v>167</v>
      </c>
    </row>
    <row r="200" spans="1:24" ht="11.4">
      <c r="A200" s="19">
        <f t="shared" si="2"/>
        <v>198</v>
      </c>
      <c r="B200" s="20"/>
      <c r="C200" s="20"/>
      <c r="D200" s="30" t="s">
        <v>213</v>
      </c>
      <c r="E200" s="30" t="s">
        <v>162</v>
      </c>
      <c r="F200" s="72" t="s">
        <v>212</v>
      </c>
      <c r="G200" s="21"/>
      <c r="H200" s="22"/>
      <c r="I200" s="22"/>
      <c r="J200" s="23"/>
      <c r="K200" s="21"/>
      <c r="L200" s="22"/>
      <c r="M200" s="22"/>
      <c r="N200" s="24"/>
      <c r="O200" s="24"/>
      <c r="P200" s="24" t="s">
        <v>101</v>
      </c>
      <c r="Q200" s="24"/>
      <c r="R200" s="23"/>
      <c r="S200" s="135">
        <v>45312</v>
      </c>
      <c r="T200" s="25">
        <v>45672</v>
      </c>
      <c r="U200" s="26"/>
      <c r="V200" s="27"/>
      <c r="W200" s="28"/>
      <c r="X200" s="29" t="s">
        <v>167</v>
      </c>
    </row>
    <row r="201" spans="1:24" ht="11.4">
      <c r="A201" s="19">
        <f t="shared" si="2"/>
        <v>199</v>
      </c>
      <c r="B201" s="20"/>
      <c r="C201" s="20"/>
      <c r="D201" s="30" t="s">
        <v>214</v>
      </c>
      <c r="E201" s="30" t="s">
        <v>162</v>
      </c>
      <c r="F201" s="72" t="s">
        <v>190</v>
      </c>
      <c r="G201" s="21"/>
      <c r="H201" s="22"/>
      <c r="I201" s="22"/>
      <c r="J201" s="23"/>
      <c r="K201" s="21"/>
      <c r="L201" s="22"/>
      <c r="M201" s="22"/>
      <c r="N201" s="24"/>
      <c r="O201" s="24"/>
      <c r="P201" s="24" t="s">
        <v>101</v>
      </c>
      <c r="Q201" s="24"/>
      <c r="R201" s="23"/>
      <c r="S201" s="135">
        <v>45312</v>
      </c>
      <c r="T201" s="25">
        <v>45672</v>
      </c>
      <c r="U201" s="26"/>
      <c r="V201" s="27"/>
      <c r="W201" s="28"/>
      <c r="X201" s="29" t="s">
        <v>167</v>
      </c>
    </row>
    <row r="202" spans="1:24" ht="11.4">
      <c r="A202" s="19">
        <f t="shared" si="2"/>
        <v>200</v>
      </c>
      <c r="B202" s="31"/>
      <c r="C202" s="31"/>
      <c r="D202" s="30" t="s">
        <v>215</v>
      </c>
      <c r="E202" s="30" t="s">
        <v>162</v>
      </c>
      <c r="F202" s="72" t="s">
        <v>190</v>
      </c>
      <c r="G202" s="21"/>
      <c r="H202" s="22"/>
      <c r="I202" s="22"/>
      <c r="J202" s="23"/>
      <c r="K202" s="21"/>
      <c r="L202" s="22"/>
      <c r="M202" s="22"/>
      <c r="N202" s="24"/>
      <c r="O202" s="24"/>
      <c r="P202" s="24" t="s">
        <v>101</v>
      </c>
      <c r="Q202" s="24"/>
      <c r="R202" s="23"/>
      <c r="S202" s="135">
        <v>45312</v>
      </c>
      <c r="T202" s="25">
        <v>45672</v>
      </c>
      <c r="U202" s="26"/>
      <c r="V202" s="27"/>
      <c r="W202" s="28"/>
      <c r="X202" s="29" t="s">
        <v>167</v>
      </c>
    </row>
    <row r="203" spans="1:24" ht="11.4">
      <c r="A203" s="19">
        <f t="shared" si="2"/>
        <v>201</v>
      </c>
      <c r="B203" s="31"/>
      <c r="C203" s="20"/>
      <c r="D203" s="20" t="s">
        <v>198</v>
      </c>
      <c r="E203" s="30" t="s">
        <v>162</v>
      </c>
      <c r="F203" s="72" t="s">
        <v>216</v>
      </c>
      <c r="G203" s="21"/>
      <c r="H203" s="22"/>
      <c r="I203" s="22"/>
      <c r="J203" s="23"/>
      <c r="K203" s="21"/>
      <c r="L203" s="22"/>
      <c r="M203" s="22"/>
      <c r="N203" s="24"/>
      <c r="O203" s="24"/>
      <c r="P203" s="24" t="s">
        <v>101</v>
      </c>
      <c r="Q203" s="24"/>
      <c r="R203" s="23"/>
      <c r="S203" s="135">
        <v>45312</v>
      </c>
      <c r="T203" s="25">
        <v>45672</v>
      </c>
      <c r="U203" s="26"/>
      <c r="V203" s="27"/>
      <c r="W203" s="28"/>
      <c r="X203" s="29" t="s">
        <v>167</v>
      </c>
    </row>
    <row r="204" spans="1:24" ht="11.4">
      <c r="A204" s="19">
        <f t="shared" si="2"/>
        <v>202</v>
      </c>
      <c r="B204" s="31"/>
      <c r="C204" s="31"/>
      <c r="D204" s="30" t="s">
        <v>200</v>
      </c>
      <c r="E204" s="30" t="s">
        <v>162</v>
      </c>
      <c r="F204" s="72" t="s">
        <v>217</v>
      </c>
      <c r="G204" s="21"/>
      <c r="H204" s="22"/>
      <c r="I204" s="22"/>
      <c r="J204" s="23"/>
      <c r="K204" s="21"/>
      <c r="L204" s="22"/>
      <c r="M204" s="22"/>
      <c r="N204" s="24"/>
      <c r="O204" s="24"/>
      <c r="P204" s="24" t="s">
        <v>101</v>
      </c>
      <c r="Q204" s="24"/>
      <c r="R204" s="23"/>
      <c r="S204" s="135">
        <v>45312</v>
      </c>
      <c r="T204" s="25">
        <v>45672</v>
      </c>
      <c r="U204" s="26"/>
      <c r="V204" s="27"/>
      <c r="W204" s="28"/>
      <c r="X204" s="29" t="s">
        <v>167</v>
      </c>
    </row>
    <row r="205" spans="1:24" ht="102.6">
      <c r="A205" s="19">
        <f t="shared" si="2"/>
        <v>203</v>
      </c>
      <c r="B205" s="31"/>
      <c r="C205" s="31"/>
      <c r="D205" s="30" t="s">
        <v>218</v>
      </c>
      <c r="E205" s="30" t="s">
        <v>162</v>
      </c>
      <c r="F205" s="72" t="s">
        <v>219</v>
      </c>
      <c r="G205" s="21"/>
      <c r="H205" s="22"/>
      <c r="I205" s="22"/>
      <c r="J205" s="23"/>
      <c r="K205" s="21"/>
      <c r="L205" s="22"/>
      <c r="M205" s="22"/>
      <c r="N205" s="24"/>
      <c r="O205" s="24"/>
      <c r="P205" s="24" t="s">
        <v>101</v>
      </c>
      <c r="Q205" s="24"/>
      <c r="R205" s="23"/>
      <c r="S205" s="135">
        <v>45312</v>
      </c>
      <c r="T205" s="25">
        <v>45672</v>
      </c>
      <c r="U205" s="26"/>
      <c r="V205" s="27"/>
      <c r="W205" s="28"/>
      <c r="X205" s="29" t="s">
        <v>167</v>
      </c>
    </row>
    <row r="206" spans="1:24" ht="45.6">
      <c r="A206" s="19">
        <f t="shared" si="2"/>
        <v>204</v>
      </c>
      <c r="B206" s="31"/>
      <c r="C206" s="31"/>
      <c r="D206" s="30" t="s">
        <v>220</v>
      </c>
      <c r="E206" s="30" t="s">
        <v>162</v>
      </c>
      <c r="F206" s="72" t="s">
        <v>221</v>
      </c>
      <c r="G206" s="21"/>
      <c r="H206" s="22"/>
      <c r="I206" s="22"/>
      <c r="J206" s="23"/>
      <c r="K206" s="21"/>
      <c r="L206" s="22"/>
      <c r="M206" s="22"/>
      <c r="N206" s="24"/>
      <c r="O206" s="24"/>
      <c r="P206" s="24" t="s">
        <v>101</v>
      </c>
      <c r="Q206" s="24"/>
      <c r="R206" s="23"/>
      <c r="S206" s="135">
        <v>45312</v>
      </c>
      <c r="T206" s="25">
        <v>45672</v>
      </c>
      <c r="U206" s="26"/>
      <c r="V206" s="27"/>
      <c r="W206" s="28"/>
      <c r="X206" s="29" t="s">
        <v>167</v>
      </c>
    </row>
    <row r="207" spans="1:24" ht="34.200000000000003">
      <c r="A207" s="19">
        <f t="shared" si="2"/>
        <v>205</v>
      </c>
      <c r="B207" s="31"/>
      <c r="C207" s="31"/>
      <c r="D207" s="30" t="s">
        <v>222</v>
      </c>
      <c r="E207" s="30" t="s">
        <v>162</v>
      </c>
      <c r="F207" s="72" t="s">
        <v>223</v>
      </c>
      <c r="G207" s="21"/>
      <c r="H207" s="22"/>
      <c r="I207" s="22"/>
      <c r="J207" s="23"/>
      <c r="K207" s="21"/>
      <c r="L207" s="22"/>
      <c r="M207" s="22"/>
      <c r="N207" s="24"/>
      <c r="O207" s="24"/>
      <c r="P207" s="24" t="s">
        <v>101</v>
      </c>
      <c r="Q207" s="24"/>
      <c r="R207" s="23"/>
      <c r="S207" s="135">
        <v>45312</v>
      </c>
      <c r="T207" s="138"/>
      <c r="U207" s="26"/>
      <c r="V207" s="27"/>
      <c r="W207" s="28"/>
      <c r="X207" s="29" t="s">
        <v>167</v>
      </c>
    </row>
    <row r="208" spans="1:24" ht="11.4">
      <c r="A208" s="19">
        <f t="shared" si="2"/>
        <v>206</v>
      </c>
      <c r="B208" s="31"/>
      <c r="C208" s="20"/>
      <c r="D208" s="20" t="s">
        <v>224</v>
      </c>
      <c r="E208" s="30" t="s">
        <v>162</v>
      </c>
      <c r="F208" s="72" t="s">
        <v>190</v>
      </c>
      <c r="G208" s="21"/>
      <c r="H208" s="22"/>
      <c r="I208" s="22"/>
      <c r="J208" s="23"/>
      <c r="K208" s="21"/>
      <c r="L208" s="22"/>
      <c r="M208" s="22"/>
      <c r="N208" s="24"/>
      <c r="O208" s="24"/>
      <c r="P208" s="24" t="s">
        <v>101</v>
      </c>
      <c r="Q208" s="24"/>
      <c r="R208" s="23"/>
      <c r="S208" s="135">
        <v>45312</v>
      </c>
      <c r="T208" s="25">
        <v>45672</v>
      </c>
      <c r="U208" s="26"/>
      <c r="V208" s="27"/>
      <c r="W208" s="28"/>
      <c r="X208" s="29" t="s">
        <v>167</v>
      </c>
    </row>
    <row r="209" spans="1:24" ht="11.4">
      <c r="A209" s="19">
        <f t="shared" si="2"/>
        <v>207</v>
      </c>
      <c r="B209" s="31"/>
      <c r="C209" s="20"/>
      <c r="D209" s="20" t="s">
        <v>225</v>
      </c>
      <c r="E209" s="30" t="s">
        <v>162</v>
      </c>
      <c r="F209" s="72" t="s">
        <v>190</v>
      </c>
      <c r="G209" s="21"/>
      <c r="H209" s="22"/>
      <c r="I209" s="22"/>
      <c r="J209" s="23"/>
      <c r="K209" s="21"/>
      <c r="L209" s="22"/>
      <c r="M209" s="22"/>
      <c r="N209" s="24"/>
      <c r="O209" s="24"/>
      <c r="P209" s="24" t="s">
        <v>101</v>
      </c>
      <c r="Q209" s="24"/>
      <c r="R209" s="23"/>
      <c r="S209" s="135">
        <v>45312</v>
      </c>
      <c r="T209" s="25">
        <v>45672</v>
      </c>
      <c r="U209" s="26"/>
      <c r="V209" s="27"/>
      <c r="W209" s="28"/>
      <c r="X209" s="29" t="s">
        <v>167</v>
      </c>
    </row>
    <row r="210" spans="1:24" ht="11.4">
      <c r="A210" s="19">
        <f t="shared" si="2"/>
        <v>208</v>
      </c>
      <c r="B210" s="20"/>
      <c r="C210" s="20"/>
      <c r="D210" s="30" t="s">
        <v>226</v>
      </c>
      <c r="E210" s="30" t="s">
        <v>162</v>
      </c>
      <c r="F210" s="72" t="s">
        <v>169</v>
      </c>
      <c r="G210" s="21"/>
      <c r="H210" s="22"/>
      <c r="I210" s="22"/>
      <c r="J210" s="23"/>
      <c r="K210" s="21"/>
      <c r="L210" s="22"/>
      <c r="M210" s="22"/>
      <c r="N210" s="24"/>
      <c r="O210" s="24"/>
      <c r="P210" s="24" t="s">
        <v>101</v>
      </c>
      <c r="Q210" s="24"/>
      <c r="R210" s="23"/>
      <c r="S210" s="135">
        <v>45312</v>
      </c>
      <c r="T210" s="25">
        <v>45672</v>
      </c>
      <c r="U210" s="26"/>
      <c r="V210" s="27"/>
      <c r="W210" s="28"/>
      <c r="X210" s="29" t="s">
        <v>167</v>
      </c>
    </row>
    <row r="211" spans="1:24" ht="11.4">
      <c r="A211" s="19">
        <f t="shared" si="2"/>
        <v>209</v>
      </c>
      <c r="B211" s="20"/>
      <c r="C211" s="20"/>
      <c r="D211" s="30" t="s">
        <v>227</v>
      </c>
      <c r="E211" s="30" t="s">
        <v>162</v>
      </c>
      <c r="F211" s="72" t="s">
        <v>190</v>
      </c>
      <c r="G211" s="21"/>
      <c r="H211" s="22"/>
      <c r="I211" s="22"/>
      <c r="J211" s="23"/>
      <c r="K211" s="21"/>
      <c r="L211" s="22"/>
      <c r="M211" s="22"/>
      <c r="N211" s="24"/>
      <c r="O211" s="24"/>
      <c r="P211" s="24" t="s">
        <v>101</v>
      </c>
      <c r="Q211" s="24"/>
      <c r="R211" s="23"/>
      <c r="S211" s="135">
        <v>45312</v>
      </c>
      <c r="T211" s="25">
        <v>45672</v>
      </c>
      <c r="U211" s="26"/>
      <c r="V211" s="27"/>
      <c r="W211" s="28"/>
      <c r="X211" s="29" t="s">
        <v>167</v>
      </c>
    </row>
    <row r="212" spans="1:24" ht="11.4">
      <c r="A212" s="19">
        <f t="shared" si="2"/>
        <v>210</v>
      </c>
      <c r="B212" s="20"/>
      <c r="C212" s="31"/>
      <c r="D212" s="30" t="s">
        <v>228</v>
      </c>
      <c r="E212" s="30" t="s">
        <v>162</v>
      </c>
      <c r="F212" s="72" t="s">
        <v>190</v>
      </c>
      <c r="G212" s="21"/>
      <c r="H212" s="22"/>
      <c r="I212" s="22"/>
      <c r="J212" s="23"/>
      <c r="K212" s="21"/>
      <c r="L212" s="22"/>
      <c r="M212" s="22"/>
      <c r="N212" s="24"/>
      <c r="O212" s="24"/>
      <c r="P212" s="24" t="s">
        <v>101</v>
      </c>
      <c r="Q212" s="24"/>
      <c r="R212" s="23"/>
      <c r="S212" s="135">
        <v>45312</v>
      </c>
      <c r="T212" s="25">
        <v>45672</v>
      </c>
      <c r="U212" s="26"/>
      <c r="V212" s="27"/>
      <c r="W212" s="28"/>
      <c r="X212" s="29" t="s">
        <v>167</v>
      </c>
    </row>
    <row r="213" spans="1:24" ht="11.4">
      <c r="A213" s="19">
        <f t="shared" si="2"/>
        <v>211</v>
      </c>
      <c r="B213" s="31"/>
      <c r="C213" s="20"/>
      <c r="D213" s="20" t="s">
        <v>229</v>
      </c>
      <c r="E213" s="30" t="s">
        <v>162</v>
      </c>
      <c r="F213" s="72" t="s">
        <v>230</v>
      </c>
      <c r="G213" s="21"/>
      <c r="H213" s="22"/>
      <c r="I213" s="22"/>
      <c r="J213" s="23"/>
      <c r="K213" s="21"/>
      <c r="L213" s="22"/>
      <c r="M213" s="22"/>
      <c r="N213" s="24"/>
      <c r="O213" s="24"/>
      <c r="P213" s="24" t="s">
        <v>101</v>
      </c>
      <c r="Q213" s="24"/>
      <c r="R213" s="23"/>
      <c r="S213" s="135">
        <v>45312</v>
      </c>
      <c r="T213" s="25">
        <v>45672</v>
      </c>
      <c r="U213" s="26"/>
      <c r="V213" s="27"/>
      <c r="W213" s="28"/>
      <c r="X213" s="29" t="s">
        <v>167</v>
      </c>
    </row>
    <row r="214" spans="1:24" ht="11.4">
      <c r="A214" s="19">
        <f t="shared" si="2"/>
        <v>212</v>
      </c>
      <c r="B214" s="20"/>
      <c r="C214" s="20"/>
      <c r="D214" s="30" t="s">
        <v>231</v>
      </c>
      <c r="E214" s="30" t="s">
        <v>162</v>
      </c>
      <c r="F214" s="72" t="s">
        <v>232</v>
      </c>
      <c r="G214" s="21"/>
      <c r="H214" s="22"/>
      <c r="I214" s="22"/>
      <c r="J214" s="23"/>
      <c r="K214" s="21"/>
      <c r="L214" s="22"/>
      <c r="M214" s="22"/>
      <c r="N214" s="24"/>
      <c r="O214" s="24"/>
      <c r="P214" s="24" t="s">
        <v>101</v>
      </c>
      <c r="Q214" s="24"/>
      <c r="R214" s="23"/>
      <c r="S214" s="135">
        <v>45312</v>
      </c>
      <c r="T214" s="25">
        <v>45672</v>
      </c>
      <c r="U214" s="26"/>
      <c r="V214" s="27"/>
      <c r="W214" s="28"/>
      <c r="X214" s="29" t="s">
        <v>167</v>
      </c>
    </row>
    <row r="215" spans="1:24" ht="11.4">
      <c r="A215" s="19">
        <f t="shared" si="2"/>
        <v>213</v>
      </c>
      <c r="B215" s="20"/>
      <c r="C215" s="31"/>
      <c r="D215" s="30" t="s">
        <v>233</v>
      </c>
      <c r="E215" s="30" t="s">
        <v>162</v>
      </c>
      <c r="F215" s="72" t="s">
        <v>234</v>
      </c>
      <c r="G215" s="21"/>
      <c r="H215" s="22"/>
      <c r="I215" s="22"/>
      <c r="J215" s="23"/>
      <c r="K215" s="21"/>
      <c r="L215" s="22"/>
      <c r="M215" s="22"/>
      <c r="N215" s="24"/>
      <c r="O215" s="24"/>
      <c r="P215" s="24" t="s">
        <v>101</v>
      </c>
      <c r="Q215" s="24"/>
      <c r="R215" s="23"/>
      <c r="S215" s="135">
        <v>45312</v>
      </c>
      <c r="T215" s="138"/>
      <c r="U215" s="26"/>
      <c r="V215" s="27"/>
      <c r="W215" s="28"/>
      <c r="X215" s="29" t="s">
        <v>167</v>
      </c>
    </row>
    <row r="216" spans="1:24" ht="11.4">
      <c r="A216" s="19">
        <f t="shared" si="2"/>
        <v>214</v>
      </c>
      <c r="B216" s="31"/>
      <c r="C216" s="31"/>
      <c r="D216" s="30" t="s">
        <v>235</v>
      </c>
      <c r="E216" s="30" t="s">
        <v>162</v>
      </c>
      <c r="F216" s="72" t="s">
        <v>236</v>
      </c>
      <c r="G216" s="21"/>
      <c r="H216" s="22"/>
      <c r="I216" s="22"/>
      <c r="J216" s="23"/>
      <c r="K216" s="21"/>
      <c r="L216" s="22"/>
      <c r="M216" s="22"/>
      <c r="N216" s="24"/>
      <c r="O216" s="24"/>
      <c r="P216" s="24" t="s">
        <v>101</v>
      </c>
      <c r="Q216" s="24"/>
      <c r="R216" s="23"/>
      <c r="S216" s="135">
        <v>45312</v>
      </c>
      <c r="T216" s="25">
        <v>45672</v>
      </c>
      <c r="U216" s="26"/>
      <c r="V216" s="27"/>
      <c r="W216" s="28"/>
      <c r="X216" s="29" t="s">
        <v>167</v>
      </c>
    </row>
    <row r="217" spans="1:24" ht="11.4">
      <c r="A217" s="19">
        <f t="shared" si="2"/>
        <v>215</v>
      </c>
      <c r="B217" s="31"/>
      <c r="C217" s="31"/>
      <c r="D217" s="30" t="s">
        <v>237</v>
      </c>
      <c r="E217" s="30" t="s">
        <v>162</v>
      </c>
      <c r="F217" s="72" t="s">
        <v>238</v>
      </c>
      <c r="G217" s="21"/>
      <c r="H217" s="22"/>
      <c r="I217" s="22"/>
      <c r="J217" s="23"/>
      <c r="K217" s="21"/>
      <c r="L217" s="22"/>
      <c r="M217" s="22"/>
      <c r="N217" s="24"/>
      <c r="O217" s="24"/>
      <c r="P217" s="24" t="s">
        <v>101</v>
      </c>
      <c r="Q217" s="24"/>
      <c r="R217" s="23"/>
      <c r="S217" s="135">
        <v>45312</v>
      </c>
      <c r="T217" s="25">
        <v>45672</v>
      </c>
      <c r="U217" s="26"/>
      <c r="V217" s="27"/>
      <c r="W217" s="28"/>
      <c r="X217" s="29" t="s">
        <v>167</v>
      </c>
    </row>
    <row r="218" spans="1:24" ht="11.4">
      <c r="A218" s="19">
        <f t="shared" si="2"/>
        <v>216</v>
      </c>
      <c r="B218" s="31"/>
      <c r="C218" s="20"/>
      <c r="D218" s="20" t="s">
        <v>239</v>
      </c>
      <c r="E218" s="30" t="s">
        <v>162</v>
      </c>
      <c r="F218" s="72" t="s">
        <v>240</v>
      </c>
      <c r="G218" s="21"/>
      <c r="H218" s="22"/>
      <c r="I218" s="22"/>
      <c r="J218" s="23"/>
      <c r="K218" s="21"/>
      <c r="L218" s="22"/>
      <c r="M218" s="22"/>
      <c r="N218" s="24"/>
      <c r="O218" s="24"/>
      <c r="P218" s="24" t="s">
        <v>101</v>
      </c>
      <c r="Q218" s="24"/>
      <c r="R218" s="23"/>
      <c r="S218" s="135">
        <v>45312</v>
      </c>
      <c r="T218" s="25">
        <v>45672</v>
      </c>
      <c r="U218" s="26"/>
      <c r="V218" s="27"/>
      <c r="W218" s="28"/>
      <c r="X218" s="29" t="s">
        <v>167</v>
      </c>
    </row>
    <row r="219" spans="1:24" ht="11.4">
      <c r="A219" s="19">
        <f t="shared" si="2"/>
        <v>217</v>
      </c>
      <c r="B219" s="31"/>
      <c r="C219" s="20"/>
      <c r="D219" s="20" t="s">
        <v>241</v>
      </c>
      <c r="E219" s="30" t="s">
        <v>162</v>
      </c>
      <c r="F219" s="72" t="s">
        <v>242</v>
      </c>
      <c r="G219" s="21"/>
      <c r="H219" s="22"/>
      <c r="I219" s="22"/>
      <c r="J219" s="23"/>
      <c r="K219" s="21"/>
      <c r="L219" s="22"/>
      <c r="M219" s="22"/>
      <c r="N219" s="24"/>
      <c r="O219" s="24"/>
      <c r="P219" s="24" t="s">
        <v>101</v>
      </c>
      <c r="Q219" s="24"/>
      <c r="R219" s="23"/>
      <c r="S219" s="135">
        <v>45312</v>
      </c>
      <c r="T219" s="25">
        <v>45672</v>
      </c>
      <c r="U219" s="26"/>
      <c r="V219" s="27"/>
      <c r="W219" s="28"/>
      <c r="X219" s="29" t="s">
        <v>167</v>
      </c>
    </row>
    <row r="220" spans="1:24" ht="11.4">
      <c r="A220" s="19">
        <f t="shared" si="2"/>
        <v>218</v>
      </c>
      <c r="B220" s="20"/>
      <c r="C220" s="20"/>
      <c r="D220" s="30" t="s">
        <v>243</v>
      </c>
      <c r="E220" s="30" t="s">
        <v>162</v>
      </c>
      <c r="F220" s="72" t="s">
        <v>242</v>
      </c>
      <c r="G220" s="21"/>
      <c r="H220" s="22"/>
      <c r="I220" s="22"/>
      <c r="J220" s="23"/>
      <c r="K220" s="21"/>
      <c r="L220" s="22"/>
      <c r="M220" s="22"/>
      <c r="N220" s="24"/>
      <c r="O220" s="24"/>
      <c r="P220" s="24" t="s">
        <v>101</v>
      </c>
      <c r="Q220" s="24"/>
      <c r="R220" s="23"/>
      <c r="S220" s="135">
        <v>45312</v>
      </c>
      <c r="T220" s="25">
        <v>45672</v>
      </c>
      <c r="U220" s="26"/>
      <c r="V220" s="27"/>
      <c r="W220" s="28"/>
      <c r="X220" s="29" t="s">
        <v>167</v>
      </c>
    </row>
    <row r="221" spans="1:24" ht="11.4">
      <c r="A221" s="19">
        <f t="shared" si="2"/>
        <v>219</v>
      </c>
      <c r="B221" s="20"/>
      <c r="C221" s="20"/>
      <c r="D221" s="30" t="s">
        <v>244</v>
      </c>
      <c r="E221" s="30" t="s">
        <v>162</v>
      </c>
      <c r="F221" s="72" t="s">
        <v>245</v>
      </c>
      <c r="G221" s="21"/>
      <c r="H221" s="22"/>
      <c r="I221" s="22"/>
      <c r="J221" s="23"/>
      <c r="K221" s="21"/>
      <c r="L221" s="22"/>
      <c r="M221" s="22"/>
      <c r="N221" s="24"/>
      <c r="O221" s="24"/>
      <c r="P221" s="24" t="s">
        <v>101</v>
      </c>
      <c r="Q221" s="24"/>
      <c r="R221" s="23"/>
      <c r="S221" s="135">
        <v>45312</v>
      </c>
      <c r="T221" s="25">
        <v>45672</v>
      </c>
      <c r="U221" s="26"/>
      <c r="V221" s="27"/>
      <c r="W221" s="28"/>
      <c r="X221" s="29" t="s">
        <v>167</v>
      </c>
    </row>
    <row r="222" spans="1:24" ht="11.4">
      <c r="A222" s="19">
        <f t="shared" si="2"/>
        <v>220</v>
      </c>
      <c r="B222" s="20"/>
      <c r="C222" s="31"/>
      <c r="D222" s="30" t="s">
        <v>246</v>
      </c>
      <c r="E222" s="30" t="s">
        <v>162</v>
      </c>
      <c r="F222" s="72" t="s">
        <v>203</v>
      </c>
      <c r="G222" s="21"/>
      <c r="H222" s="22"/>
      <c r="I222" s="22"/>
      <c r="J222" s="23"/>
      <c r="K222" s="21"/>
      <c r="L222" s="22"/>
      <c r="M222" s="22"/>
      <c r="N222" s="24"/>
      <c r="O222" s="24"/>
      <c r="P222" s="24" t="s">
        <v>101</v>
      </c>
      <c r="Q222" s="24"/>
      <c r="R222" s="23"/>
      <c r="S222" s="135">
        <v>45312</v>
      </c>
      <c r="T222" s="25">
        <v>45672</v>
      </c>
      <c r="U222" s="26"/>
      <c r="V222" s="27"/>
      <c r="W222" s="28"/>
      <c r="X222" s="29" t="s">
        <v>167</v>
      </c>
    </row>
    <row r="223" spans="1:24" ht="11.4">
      <c r="A223" s="19">
        <f t="shared" si="2"/>
        <v>221</v>
      </c>
      <c r="B223" s="20"/>
      <c r="C223" s="20"/>
      <c r="D223" s="30" t="s">
        <v>247</v>
      </c>
      <c r="E223" s="30" t="s">
        <v>162</v>
      </c>
      <c r="F223" s="72" t="s">
        <v>242</v>
      </c>
      <c r="G223" s="21"/>
      <c r="H223" s="22"/>
      <c r="I223" s="22"/>
      <c r="J223" s="23"/>
      <c r="K223" s="21"/>
      <c r="L223" s="22"/>
      <c r="M223" s="22"/>
      <c r="N223" s="24"/>
      <c r="O223" s="24"/>
      <c r="P223" s="24" t="s">
        <v>101</v>
      </c>
      <c r="Q223" s="24"/>
      <c r="R223" s="23"/>
      <c r="S223" s="135">
        <v>45312</v>
      </c>
      <c r="T223" s="25">
        <v>45672</v>
      </c>
      <c r="U223" s="26"/>
      <c r="V223" s="27"/>
      <c r="W223" s="28"/>
      <c r="X223" s="29" t="s">
        <v>167</v>
      </c>
    </row>
    <row r="224" spans="1:24" ht="11.4">
      <c r="A224" s="19">
        <f t="shared" si="2"/>
        <v>222</v>
      </c>
      <c r="B224" s="20"/>
      <c r="C224" s="20"/>
      <c r="D224" s="30" t="s">
        <v>248</v>
      </c>
      <c r="E224" s="30" t="s">
        <v>162</v>
      </c>
      <c r="F224" s="72" t="s">
        <v>249</v>
      </c>
      <c r="G224" s="21"/>
      <c r="H224" s="22"/>
      <c r="I224" s="22"/>
      <c r="J224" s="23"/>
      <c r="K224" s="21"/>
      <c r="L224" s="22"/>
      <c r="M224" s="22"/>
      <c r="N224" s="24"/>
      <c r="O224" s="24"/>
      <c r="P224" s="24" t="s">
        <v>101</v>
      </c>
      <c r="Q224" s="24"/>
      <c r="R224" s="23"/>
      <c r="S224" s="135">
        <v>45312</v>
      </c>
      <c r="T224" s="25">
        <v>45672</v>
      </c>
      <c r="U224" s="26"/>
      <c r="V224" s="27"/>
      <c r="W224" s="28"/>
      <c r="X224" s="29" t="s">
        <v>167</v>
      </c>
    </row>
    <row r="225" spans="1:24" ht="22.8">
      <c r="A225" s="19">
        <f t="shared" si="2"/>
        <v>223</v>
      </c>
      <c r="B225" s="20"/>
      <c r="C225" s="31"/>
      <c r="D225" s="30" t="s">
        <v>250</v>
      </c>
      <c r="E225" s="30" t="s">
        <v>162</v>
      </c>
      <c r="F225" s="72" t="s">
        <v>242</v>
      </c>
      <c r="G225" s="21"/>
      <c r="H225" s="22"/>
      <c r="I225" s="22"/>
      <c r="J225" s="23"/>
      <c r="K225" s="21"/>
      <c r="L225" s="22"/>
      <c r="M225" s="22"/>
      <c r="N225" s="24"/>
      <c r="O225" s="24"/>
      <c r="P225" s="24" t="s">
        <v>101</v>
      </c>
      <c r="Q225" s="24"/>
      <c r="R225" s="23"/>
      <c r="S225" s="135">
        <v>45312</v>
      </c>
      <c r="T225" s="25">
        <v>45672</v>
      </c>
      <c r="U225" s="26"/>
      <c r="V225" s="27"/>
      <c r="W225" s="28"/>
      <c r="X225" s="29" t="s">
        <v>167</v>
      </c>
    </row>
    <row r="226" spans="1:24" ht="22.8">
      <c r="A226" s="19">
        <f t="shared" si="2"/>
        <v>224</v>
      </c>
      <c r="B226" s="31"/>
      <c r="C226" s="31"/>
      <c r="D226" s="30" t="s">
        <v>251</v>
      </c>
      <c r="E226" s="30" t="s">
        <v>162</v>
      </c>
      <c r="F226" s="72" t="s">
        <v>242</v>
      </c>
      <c r="G226" s="21"/>
      <c r="H226" s="22"/>
      <c r="I226" s="22"/>
      <c r="J226" s="23"/>
      <c r="K226" s="21"/>
      <c r="L226" s="22"/>
      <c r="M226" s="22"/>
      <c r="N226" s="24"/>
      <c r="O226" s="24"/>
      <c r="P226" s="24" t="s">
        <v>101</v>
      </c>
      <c r="Q226" s="24"/>
      <c r="R226" s="23"/>
      <c r="S226" s="135">
        <v>45312</v>
      </c>
      <c r="T226" s="25">
        <v>45672</v>
      </c>
      <c r="U226" s="26"/>
      <c r="V226" s="27"/>
      <c r="W226" s="28"/>
      <c r="X226" s="29" t="s">
        <v>167</v>
      </c>
    </row>
    <row r="227" spans="1:24" ht="22.8">
      <c r="A227" s="19">
        <f t="shared" si="2"/>
        <v>225</v>
      </c>
      <c r="B227" s="31"/>
      <c r="C227" s="31"/>
      <c r="D227" s="30" t="s">
        <v>252</v>
      </c>
      <c r="E227" s="30" t="s">
        <v>162</v>
      </c>
      <c r="F227" s="72" t="s">
        <v>242</v>
      </c>
      <c r="G227" s="21"/>
      <c r="H227" s="22"/>
      <c r="I227" s="22"/>
      <c r="J227" s="23"/>
      <c r="K227" s="21"/>
      <c r="L227" s="22"/>
      <c r="M227" s="22"/>
      <c r="N227" s="24"/>
      <c r="O227" s="24"/>
      <c r="P227" s="24" t="s">
        <v>101</v>
      </c>
      <c r="Q227" s="24"/>
      <c r="R227" s="23"/>
      <c r="S227" s="135">
        <v>45312</v>
      </c>
      <c r="T227" s="25">
        <v>45672</v>
      </c>
      <c r="U227" s="26"/>
      <c r="V227" s="27"/>
      <c r="W227" s="28"/>
      <c r="X227" s="29" t="s">
        <v>167</v>
      </c>
    </row>
    <row r="228" spans="1:24" ht="22.8">
      <c r="A228" s="19">
        <f t="shared" si="2"/>
        <v>226</v>
      </c>
      <c r="B228" s="31"/>
      <c r="C228" s="31"/>
      <c r="D228" s="30" t="s">
        <v>253</v>
      </c>
      <c r="E228" s="30" t="s">
        <v>162</v>
      </c>
      <c r="F228" s="72" t="s">
        <v>242</v>
      </c>
      <c r="G228" s="21"/>
      <c r="H228" s="22"/>
      <c r="I228" s="22"/>
      <c r="J228" s="23"/>
      <c r="K228" s="21"/>
      <c r="L228" s="22"/>
      <c r="M228" s="22"/>
      <c r="N228" s="24"/>
      <c r="O228" s="24"/>
      <c r="P228" s="24" t="s">
        <v>101</v>
      </c>
      <c r="Q228" s="24"/>
      <c r="R228" s="23"/>
      <c r="S228" s="135">
        <v>45312</v>
      </c>
      <c r="T228" s="25">
        <v>45672</v>
      </c>
      <c r="U228" s="26"/>
      <c r="V228" s="27"/>
      <c r="W228" s="28"/>
      <c r="X228" s="29" t="s">
        <v>167</v>
      </c>
    </row>
    <row r="229" spans="1:24" ht="22.8">
      <c r="A229" s="19">
        <f t="shared" si="2"/>
        <v>227</v>
      </c>
      <c r="B229" s="31"/>
      <c r="C229" s="31"/>
      <c r="D229" s="30" t="s">
        <v>254</v>
      </c>
      <c r="E229" s="30" t="s">
        <v>162</v>
      </c>
      <c r="F229" s="72" t="s">
        <v>242</v>
      </c>
      <c r="G229" s="21"/>
      <c r="H229" s="22"/>
      <c r="I229" s="22"/>
      <c r="J229" s="23"/>
      <c r="K229" s="21"/>
      <c r="L229" s="22"/>
      <c r="M229" s="22"/>
      <c r="N229" s="24"/>
      <c r="O229" s="24"/>
      <c r="P229" s="24" t="s">
        <v>101</v>
      </c>
      <c r="Q229" s="24"/>
      <c r="R229" s="23"/>
      <c r="S229" s="135">
        <v>45312</v>
      </c>
      <c r="T229" s="25">
        <v>45672</v>
      </c>
      <c r="U229" s="26"/>
      <c r="V229" s="27"/>
      <c r="W229" s="28"/>
      <c r="X229" s="29" t="s">
        <v>167</v>
      </c>
    </row>
    <row r="230" spans="1:24" ht="22.8">
      <c r="A230" s="19">
        <f t="shared" si="2"/>
        <v>228</v>
      </c>
      <c r="B230" s="31"/>
      <c r="C230" s="20"/>
      <c r="D230" s="20" t="s">
        <v>255</v>
      </c>
      <c r="E230" s="30" t="s">
        <v>162</v>
      </c>
      <c r="F230" s="72" t="s">
        <v>242</v>
      </c>
      <c r="G230" s="21"/>
      <c r="H230" s="22"/>
      <c r="I230" s="22"/>
      <c r="J230" s="23"/>
      <c r="K230" s="21"/>
      <c r="L230" s="22"/>
      <c r="M230" s="22"/>
      <c r="N230" s="24"/>
      <c r="O230" s="24"/>
      <c r="P230" s="24" t="s">
        <v>101</v>
      </c>
      <c r="Q230" s="24"/>
      <c r="R230" s="23"/>
      <c r="S230" s="135">
        <v>45312</v>
      </c>
      <c r="T230" s="25">
        <v>45672</v>
      </c>
      <c r="U230" s="26"/>
      <c r="V230" s="27"/>
      <c r="W230" s="28"/>
      <c r="X230" s="29" t="s">
        <v>167</v>
      </c>
    </row>
    <row r="231" spans="1:24" ht="11.4">
      <c r="A231" s="19">
        <f t="shared" si="2"/>
        <v>229</v>
      </c>
      <c r="B231" s="31"/>
      <c r="C231" s="20"/>
      <c r="D231" s="20" t="s">
        <v>256</v>
      </c>
      <c r="E231" s="30" t="s">
        <v>162</v>
      </c>
      <c r="F231" s="72" t="s">
        <v>203</v>
      </c>
      <c r="G231" s="21"/>
      <c r="H231" s="22"/>
      <c r="I231" s="22"/>
      <c r="J231" s="23"/>
      <c r="K231" s="21"/>
      <c r="L231" s="22"/>
      <c r="M231" s="22"/>
      <c r="N231" s="24"/>
      <c r="O231" s="24"/>
      <c r="P231" s="24" t="s">
        <v>101</v>
      </c>
      <c r="Q231" s="24"/>
      <c r="R231" s="23"/>
      <c r="S231" s="135">
        <v>45312</v>
      </c>
      <c r="T231" s="25">
        <v>45672</v>
      </c>
      <c r="U231" s="26"/>
      <c r="V231" s="27"/>
      <c r="W231" s="28"/>
      <c r="X231" s="29" t="s">
        <v>167</v>
      </c>
    </row>
    <row r="232" spans="1:24" ht="11.4">
      <c r="A232" s="19">
        <f t="shared" si="2"/>
        <v>230</v>
      </c>
      <c r="B232" s="20"/>
      <c r="C232" s="20"/>
      <c r="D232" s="30" t="s">
        <v>257</v>
      </c>
      <c r="E232" s="30" t="s">
        <v>162</v>
      </c>
      <c r="F232" s="72" t="s">
        <v>203</v>
      </c>
      <c r="G232" s="21"/>
      <c r="H232" s="22"/>
      <c r="I232" s="22"/>
      <c r="J232" s="23"/>
      <c r="K232" s="21"/>
      <c r="L232" s="22"/>
      <c r="M232" s="22"/>
      <c r="N232" s="24"/>
      <c r="O232" s="24"/>
      <c r="P232" s="24" t="s">
        <v>101</v>
      </c>
      <c r="Q232" s="24"/>
      <c r="R232" s="23"/>
      <c r="S232" s="135">
        <v>45312</v>
      </c>
      <c r="T232" s="25">
        <v>45672</v>
      </c>
      <c r="U232" s="26"/>
      <c r="V232" s="27"/>
      <c r="W232" s="28"/>
      <c r="X232" s="29" t="s">
        <v>167</v>
      </c>
    </row>
    <row r="233" spans="1:24" ht="11.4">
      <c r="A233" s="19">
        <f t="shared" si="2"/>
        <v>231</v>
      </c>
      <c r="B233" s="20"/>
      <c r="C233" s="20"/>
      <c r="D233" s="30" t="s">
        <v>258</v>
      </c>
      <c r="E233" s="30" t="s">
        <v>162</v>
      </c>
      <c r="F233" s="72" t="s">
        <v>203</v>
      </c>
      <c r="G233" s="21"/>
      <c r="H233" s="22"/>
      <c r="I233" s="22"/>
      <c r="J233" s="23"/>
      <c r="K233" s="21"/>
      <c r="L233" s="22"/>
      <c r="M233" s="22"/>
      <c r="N233" s="24"/>
      <c r="O233" s="24"/>
      <c r="P233" s="24" t="s">
        <v>101</v>
      </c>
      <c r="Q233" s="24"/>
      <c r="R233" s="23"/>
      <c r="S233" s="135">
        <v>45312</v>
      </c>
      <c r="T233" s="25">
        <v>45672</v>
      </c>
      <c r="U233" s="26"/>
      <c r="V233" s="27"/>
      <c r="W233" s="28"/>
      <c r="X233" s="29" t="s">
        <v>167</v>
      </c>
    </row>
    <row r="234" spans="1:24" ht="11.4">
      <c r="A234" s="19">
        <f t="shared" si="2"/>
        <v>232</v>
      </c>
      <c r="B234" s="20"/>
      <c r="C234" s="31"/>
      <c r="D234" s="30" t="s">
        <v>259</v>
      </c>
      <c r="E234" s="30" t="s">
        <v>162</v>
      </c>
      <c r="F234" s="72" t="s">
        <v>203</v>
      </c>
      <c r="G234" s="21"/>
      <c r="H234" s="22"/>
      <c r="I234" s="22"/>
      <c r="J234" s="23"/>
      <c r="K234" s="21"/>
      <c r="L234" s="22"/>
      <c r="M234" s="22"/>
      <c r="N234" s="24"/>
      <c r="O234" s="24"/>
      <c r="P234" s="24" t="s">
        <v>101</v>
      </c>
      <c r="Q234" s="24"/>
      <c r="R234" s="23"/>
      <c r="S234" s="135">
        <v>45312</v>
      </c>
      <c r="T234" s="25">
        <v>45672</v>
      </c>
      <c r="U234" s="26"/>
      <c r="V234" s="27"/>
      <c r="W234" s="28"/>
      <c r="X234" s="29" t="s">
        <v>167</v>
      </c>
    </row>
    <row r="235" spans="1:24" ht="11.4">
      <c r="A235" s="19">
        <f t="shared" si="2"/>
        <v>233</v>
      </c>
      <c r="B235" s="20"/>
      <c r="C235" s="20"/>
      <c r="D235" s="30" t="s">
        <v>260</v>
      </c>
      <c r="E235" s="30" t="s">
        <v>162</v>
      </c>
      <c r="F235" s="72" t="s">
        <v>203</v>
      </c>
      <c r="G235" s="21"/>
      <c r="H235" s="22"/>
      <c r="I235" s="22"/>
      <c r="J235" s="23"/>
      <c r="K235" s="21"/>
      <c r="L235" s="22"/>
      <c r="M235" s="22"/>
      <c r="N235" s="24"/>
      <c r="O235" s="24"/>
      <c r="P235" s="24" t="s">
        <v>101</v>
      </c>
      <c r="Q235" s="24"/>
      <c r="R235" s="23"/>
      <c r="S235" s="135">
        <v>45312</v>
      </c>
      <c r="T235" s="25">
        <v>45672</v>
      </c>
      <c r="U235" s="26"/>
      <c r="V235" s="27"/>
      <c r="W235" s="28"/>
      <c r="X235" s="29" t="s">
        <v>167</v>
      </c>
    </row>
    <row r="236" spans="1:24" ht="11.4">
      <c r="A236" s="19">
        <f t="shared" si="2"/>
        <v>234</v>
      </c>
      <c r="B236" s="20"/>
      <c r="C236" s="20"/>
      <c r="D236" s="30" t="s">
        <v>261</v>
      </c>
      <c r="E236" s="30" t="s">
        <v>162</v>
      </c>
      <c r="F236" s="72" t="s">
        <v>203</v>
      </c>
      <c r="G236" s="21"/>
      <c r="H236" s="22"/>
      <c r="I236" s="22"/>
      <c r="J236" s="23"/>
      <c r="K236" s="21"/>
      <c r="L236" s="22"/>
      <c r="M236" s="22"/>
      <c r="N236" s="24"/>
      <c r="O236" s="24"/>
      <c r="P236" s="24" t="s">
        <v>101</v>
      </c>
      <c r="Q236" s="24"/>
      <c r="R236" s="23"/>
      <c r="S236" s="135">
        <v>45312</v>
      </c>
      <c r="T236" s="25">
        <v>45672</v>
      </c>
      <c r="U236" s="26"/>
      <c r="V236" s="27"/>
      <c r="W236" s="28"/>
      <c r="X236" s="29" t="s">
        <v>167</v>
      </c>
    </row>
    <row r="237" spans="1:24" ht="11.4">
      <c r="A237" s="19">
        <f t="shared" si="2"/>
        <v>235</v>
      </c>
      <c r="B237" s="20"/>
      <c r="C237" s="31"/>
      <c r="D237" s="30" t="s">
        <v>262</v>
      </c>
      <c r="E237" s="30" t="s">
        <v>162</v>
      </c>
      <c r="F237" s="72" t="s">
        <v>203</v>
      </c>
      <c r="G237" s="21"/>
      <c r="H237" s="22"/>
      <c r="I237" s="22"/>
      <c r="J237" s="23"/>
      <c r="K237" s="21"/>
      <c r="L237" s="22"/>
      <c r="M237" s="22"/>
      <c r="N237" s="24"/>
      <c r="O237" s="24"/>
      <c r="P237" s="24" t="s">
        <v>101</v>
      </c>
      <c r="Q237" s="24"/>
      <c r="R237" s="23"/>
      <c r="S237" s="135">
        <v>45312</v>
      </c>
      <c r="T237" s="25">
        <v>45672</v>
      </c>
      <c r="U237" s="26"/>
      <c r="V237" s="27"/>
      <c r="W237" s="28"/>
      <c r="X237" s="29" t="s">
        <v>167</v>
      </c>
    </row>
    <row r="238" spans="1:24" ht="11.4">
      <c r="A238" s="19">
        <f t="shared" si="2"/>
        <v>236</v>
      </c>
      <c r="B238" s="31"/>
      <c r="C238" s="31"/>
      <c r="D238" s="30" t="s">
        <v>263</v>
      </c>
      <c r="E238" s="30" t="s">
        <v>162</v>
      </c>
      <c r="F238" s="72" t="s">
        <v>238</v>
      </c>
      <c r="G238" s="21"/>
      <c r="H238" s="22"/>
      <c r="I238" s="22"/>
      <c r="J238" s="23"/>
      <c r="K238" s="21"/>
      <c r="L238" s="22"/>
      <c r="M238" s="22"/>
      <c r="N238" s="24"/>
      <c r="O238" s="24"/>
      <c r="P238" s="24" t="s">
        <v>101</v>
      </c>
      <c r="Q238" s="24"/>
      <c r="R238" s="23"/>
      <c r="S238" s="135">
        <v>45312</v>
      </c>
      <c r="T238" s="25">
        <v>45672</v>
      </c>
      <c r="U238" s="26"/>
      <c r="V238" s="27"/>
      <c r="W238" s="28"/>
      <c r="X238" s="29" t="s">
        <v>167</v>
      </c>
    </row>
    <row r="239" spans="1:24" ht="11.4">
      <c r="A239" s="19">
        <f t="shared" si="2"/>
        <v>237</v>
      </c>
      <c r="B239" s="31"/>
      <c r="C239" s="31"/>
      <c r="D239" s="30" t="s">
        <v>264</v>
      </c>
      <c r="E239" s="30" t="s">
        <v>162</v>
      </c>
      <c r="F239" s="72" t="s">
        <v>265</v>
      </c>
      <c r="G239" s="21"/>
      <c r="H239" s="22"/>
      <c r="I239" s="22"/>
      <c r="J239" s="23"/>
      <c r="K239" s="21"/>
      <c r="L239" s="22"/>
      <c r="M239" s="22"/>
      <c r="N239" s="24"/>
      <c r="O239" s="24"/>
      <c r="P239" s="24" t="s">
        <v>101</v>
      </c>
      <c r="Q239" s="24"/>
      <c r="R239" s="23"/>
      <c r="S239" s="135">
        <v>45312</v>
      </c>
      <c r="T239" s="25">
        <v>45672</v>
      </c>
      <c r="U239" s="26"/>
      <c r="V239" s="27"/>
      <c r="W239" s="28"/>
      <c r="X239" s="29" t="s">
        <v>167</v>
      </c>
    </row>
    <row r="240" spans="1:24" ht="11.4">
      <c r="A240" s="19">
        <f t="shared" si="2"/>
        <v>238</v>
      </c>
      <c r="B240" s="31"/>
      <c r="C240" s="31"/>
      <c r="D240" s="30" t="s">
        <v>266</v>
      </c>
      <c r="E240" s="30" t="s">
        <v>162</v>
      </c>
      <c r="F240" s="72" t="s">
        <v>267</v>
      </c>
      <c r="G240" s="21"/>
      <c r="H240" s="22"/>
      <c r="I240" s="22"/>
      <c r="J240" s="23"/>
      <c r="K240" s="21"/>
      <c r="L240" s="22"/>
      <c r="M240" s="22"/>
      <c r="N240" s="24"/>
      <c r="O240" s="24"/>
      <c r="P240" s="24" t="s">
        <v>101</v>
      </c>
      <c r="Q240" s="24"/>
      <c r="R240" s="23"/>
      <c r="S240" s="135">
        <v>45312</v>
      </c>
      <c r="T240" s="25">
        <v>45672</v>
      </c>
      <c r="U240" s="26"/>
      <c r="V240" s="27"/>
      <c r="W240" s="28"/>
      <c r="X240" s="29" t="s">
        <v>167</v>
      </c>
    </row>
    <row r="241" spans="1:24" ht="11.4">
      <c r="A241" s="19">
        <f t="shared" si="2"/>
        <v>239</v>
      </c>
      <c r="B241" s="31"/>
      <c r="C241" s="31"/>
      <c r="D241" s="30" t="s">
        <v>268</v>
      </c>
      <c r="E241" s="30" t="s">
        <v>162</v>
      </c>
      <c r="F241" s="72" t="s">
        <v>269</v>
      </c>
      <c r="G241" s="21"/>
      <c r="H241" s="22"/>
      <c r="I241" s="22"/>
      <c r="J241" s="23"/>
      <c r="K241" s="21"/>
      <c r="L241" s="22"/>
      <c r="M241" s="22"/>
      <c r="N241" s="24"/>
      <c r="O241" s="24"/>
      <c r="P241" s="24" t="s">
        <v>101</v>
      </c>
      <c r="Q241" s="24"/>
      <c r="R241" s="23"/>
      <c r="S241" s="135">
        <v>45312</v>
      </c>
      <c r="T241" s="25">
        <v>45672</v>
      </c>
      <c r="U241" s="26"/>
      <c r="V241" s="27"/>
      <c r="W241" s="28"/>
      <c r="X241" s="29" t="s">
        <v>167</v>
      </c>
    </row>
    <row r="242" spans="1:24" ht="22.8">
      <c r="A242" s="19">
        <f t="shared" si="2"/>
        <v>240</v>
      </c>
      <c r="B242" s="31"/>
      <c r="C242" s="20"/>
      <c r="D242" s="20" t="s">
        <v>270</v>
      </c>
      <c r="E242" s="30" t="s">
        <v>162</v>
      </c>
      <c r="F242" s="72" t="s">
        <v>271</v>
      </c>
      <c r="G242" s="21"/>
      <c r="H242" s="22"/>
      <c r="I242" s="22"/>
      <c r="J242" s="23"/>
      <c r="K242" s="21"/>
      <c r="L242" s="22"/>
      <c r="M242" s="22"/>
      <c r="N242" s="24"/>
      <c r="O242" s="24"/>
      <c r="P242" s="24" t="s">
        <v>101</v>
      </c>
      <c r="Q242" s="24"/>
      <c r="R242" s="23"/>
      <c r="S242" s="135">
        <v>45312</v>
      </c>
      <c r="T242" s="25">
        <v>45672</v>
      </c>
      <c r="U242" s="26"/>
      <c r="V242" s="27"/>
      <c r="W242" s="28"/>
      <c r="X242" s="29" t="s">
        <v>167</v>
      </c>
    </row>
    <row r="243" spans="1:24" ht="11.4">
      <c r="A243" s="19">
        <f t="shared" si="2"/>
        <v>241</v>
      </c>
      <c r="B243" s="20"/>
      <c r="C243" s="20"/>
      <c r="D243" s="30" t="s">
        <v>272</v>
      </c>
      <c r="E243" s="30" t="s">
        <v>162</v>
      </c>
      <c r="F243" s="72" t="s">
        <v>273</v>
      </c>
      <c r="G243" s="21"/>
      <c r="H243" s="22"/>
      <c r="I243" s="22"/>
      <c r="J243" s="23"/>
      <c r="K243" s="21"/>
      <c r="L243" s="22"/>
      <c r="M243" s="22"/>
      <c r="N243" s="24"/>
      <c r="O243" s="24"/>
      <c r="P243" s="24" t="s">
        <v>101</v>
      </c>
      <c r="Q243" s="24"/>
      <c r="R243" s="23"/>
      <c r="S243" s="135">
        <v>45312</v>
      </c>
      <c r="T243" s="25">
        <v>45672</v>
      </c>
      <c r="U243" s="26"/>
      <c r="V243" s="27"/>
      <c r="W243" s="28"/>
      <c r="X243" s="29" t="s">
        <v>167</v>
      </c>
    </row>
    <row r="244" spans="1:24" ht="11.4">
      <c r="A244" s="19">
        <f t="shared" si="2"/>
        <v>242</v>
      </c>
      <c r="B244" s="20"/>
      <c r="C244" s="20"/>
      <c r="D244" s="30" t="s">
        <v>274</v>
      </c>
      <c r="E244" s="30" t="s">
        <v>162</v>
      </c>
      <c r="F244" s="72" t="s">
        <v>275</v>
      </c>
      <c r="G244" s="21"/>
      <c r="H244" s="22"/>
      <c r="I244" s="22"/>
      <c r="J244" s="23"/>
      <c r="K244" s="21"/>
      <c r="L244" s="22"/>
      <c r="M244" s="22"/>
      <c r="N244" s="24"/>
      <c r="O244" s="24"/>
      <c r="P244" s="24" t="s">
        <v>101</v>
      </c>
      <c r="Q244" s="24"/>
      <c r="R244" s="23"/>
      <c r="S244" s="135">
        <v>45312</v>
      </c>
      <c r="T244" s="25">
        <v>45672</v>
      </c>
      <c r="U244" s="26"/>
      <c r="V244" s="27"/>
      <c r="W244" s="28"/>
      <c r="X244" s="29" t="s">
        <v>167</v>
      </c>
    </row>
    <row r="245" spans="1:24" ht="11.4">
      <c r="A245" s="19">
        <f t="shared" si="2"/>
        <v>243</v>
      </c>
      <c r="B245" s="20"/>
      <c r="C245" s="31"/>
      <c r="D245" s="30" t="s">
        <v>276</v>
      </c>
      <c r="E245" s="30" t="s">
        <v>162</v>
      </c>
      <c r="F245" s="72" t="s">
        <v>277</v>
      </c>
      <c r="G245" s="21"/>
      <c r="H245" s="22"/>
      <c r="I245" s="22"/>
      <c r="J245" s="23"/>
      <c r="K245" s="21"/>
      <c r="L245" s="22"/>
      <c r="M245" s="22"/>
      <c r="N245" s="24"/>
      <c r="O245" s="24"/>
      <c r="P245" s="24" t="s">
        <v>101</v>
      </c>
      <c r="Q245" s="24"/>
      <c r="R245" s="23"/>
      <c r="S245" s="135">
        <v>45312</v>
      </c>
      <c r="T245" s="25">
        <v>45672</v>
      </c>
      <c r="U245" s="26"/>
      <c r="V245" s="27"/>
      <c r="W245" s="28"/>
      <c r="X245" s="29" t="s">
        <v>167</v>
      </c>
    </row>
    <row r="246" spans="1:24" ht="11.4">
      <c r="A246" s="19">
        <f t="shared" si="2"/>
        <v>244</v>
      </c>
      <c r="B246" s="20"/>
      <c r="C246" s="20"/>
      <c r="D246" s="30" t="s">
        <v>224</v>
      </c>
      <c r="E246" s="30" t="s">
        <v>162</v>
      </c>
      <c r="F246" s="72" t="s">
        <v>190</v>
      </c>
      <c r="G246" s="21"/>
      <c r="H246" s="22"/>
      <c r="I246" s="22"/>
      <c r="J246" s="23"/>
      <c r="K246" s="21"/>
      <c r="L246" s="22"/>
      <c r="M246" s="22"/>
      <c r="N246" s="24"/>
      <c r="O246" s="24"/>
      <c r="P246" s="24" t="s">
        <v>101</v>
      </c>
      <c r="Q246" s="24"/>
      <c r="R246" s="23"/>
      <c r="S246" s="135">
        <v>45312</v>
      </c>
      <c r="T246" s="25">
        <v>45672</v>
      </c>
      <c r="U246" s="26"/>
      <c r="V246" s="27"/>
      <c r="W246" s="28"/>
      <c r="X246" s="29" t="s">
        <v>167</v>
      </c>
    </row>
    <row r="247" spans="1:24" s="3" customFormat="1" ht="12" customHeight="1">
      <c r="A247" s="32"/>
      <c r="B247" s="33"/>
      <c r="C247" s="34"/>
      <c r="D247" s="34"/>
      <c r="E247" s="33"/>
      <c r="F247" s="35" t="s">
        <v>88</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50" t="s">
        <v>89</v>
      </c>
      <c r="U247" s="150"/>
      <c r="V247" s="151"/>
      <c r="W247" s="40" t="s">
        <v>90</v>
      </c>
      <c r="X247" s="41">
        <f>SUM(G247:R247)</f>
        <v>0</v>
      </c>
    </row>
    <row r="248" spans="1:24" s="3" customFormat="1" ht="12" customHeight="1">
      <c r="A248" s="42"/>
      <c r="B248" s="43" t="s">
        <v>91</v>
      </c>
      <c r="C248" s="44">
        <f>X249</f>
        <v>0</v>
      </c>
      <c r="D248" s="44"/>
      <c r="E248" s="43"/>
      <c r="F248" s="45" t="s">
        <v>92</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52"/>
      <c r="U248" s="152"/>
      <c r="V248" s="153"/>
      <c r="W248" s="50" t="s">
        <v>90</v>
      </c>
      <c r="X248" s="51">
        <f t="shared" ref="X248:X250" si="7">SUM(G248:R248)</f>
        <v>0</v>
      </c>
    </row>
    <row r="249" spans="1:24" s="3" customFormat="1" ht="12" customHeight="1">
      <c r="A249" s="52" t="s">
        <v>93</v>
      </c>
      <c r="B249" s="53"/>
      <c r="C249" s="54"/>
      <c r="D249" s="54"/>
      <c r="E249" s="53"/>
      <c r="F249" s="55" t="s">
        <v>94</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75"/>
      <c r="T249" s="164">
        <f>COUNTA(T3:T246)</f>
        <v>79</v>
      </c>
      <c r="U249" s="166">
        <f>COUNTA(U3:U246)</f>
        <v>0</v>
      </c>
      <c r="V249" s="168">
        <f>COUNTA(V3:V246)</f>
        <v>0</v>
      </c>
      <c r="W249" s="56" t="s">
        <v>90</v>
      </c>
      <c r="X249" s="51">
        <f t="shared" si="7"/>
        <v>0</v>
      </c>
    </row>
    <row r="250" spans="1:24" s="3" customFormat="1" ht="12" customHeight="1">
      <c r="A250" s="57"/>
      <c r="B250" s="58" t="s">
        <v>95</v>
      </c>
      <c r="C250" s="59">
        <f>X250</f>
        <v>243</v>
      </c>
      <c r="D250" s="59"/>
      <c r="E250" s="58"/>
      <c r="F250" s="60" t="s">
        <v>96</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76"/>
      <c r="T250" s="165"/>
      <c r="U250" s="167"/>
      <c r="V250" s="169"/>
      <c r="W250" s="65" t="s">
        <v>90</v>
      </c>
      <c r="X250" s="66">
        <f t="shared" si="7"/>
        <v>243</v>
      </c>
    </row>
  </sheetData>
  <mergeCells count="17">
    <mergeCell ref="T249:T250"/>
    <mergeCell ref="U249:U250"/>
    <mergeCell ref="V249:V250"/>
    <mergeCell ref="G1:J1"/>
    <mergeCell ref="K1:R1"/>
    <mergeCell ref="T1:V1"/>
    <mergeCell ref="S249:S250"/>
    <mergeCell ref="S1:S2"/>
    <mergeCell ref="W1:W2"/>
    <mergeCell ref="X1:X2"/>
    <mergeCell ref="T247:V248"/>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C11" activePane="bottomRight" state="frozen"/>
      <selection pane="topRight" activeCell="B1" sqref="B1"/>
      <selection pane="bottomLeft" activeCell="A3" sqref="A3"/>
      <selection pane="bottomRight" activeCell="R14" sqref="R14"/>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4" t="s">
        <v>4</v>
      </c>
      <c r="B1" s="156" t="s">
        <v>5</v>
      </c>
      <c r="C1" s="158" t="s">
        <v>6</v>
      </c>
      <c r="D1" s="158" t="s">
        <v>7</v>
      </c>
      <c r="E1" s="160" t="s">
        <v>8</v>
      </c>
      <c r="F1" s="162" t="s">
        <v>9</v>
      </c>
      <c r="G1" s="170" t="s">
        <v>10</v>
      </c>
      <c r="H1" s="170"/>
      <c r="I1" s="170"/>
      <c r="J1" s="171"/>
      <c r="K1" s="172" t="s">
        <v>11</v>
      </c>
      <c r="L1" s="173"/>
      <c r="M1" s="173"/>
      <c r="N1" s="174"/>
      <c r="O1" s="174"/>
      <c r="P1" s="174"/>
      <c r="Q1" s="174"/>
      <c r="R1" s="174"/>
      <c r="S1" s="177" t="s">
        <v>940</v>
      </c>
      <c r="T1" s="170" t="s">
        <v>12</v>
      </c>
      <c r="U1" s="170"/>
      <c r="V1" s="170"/>
      <c r="W1" s="148" t="s">
        <v>13</v>
      </c>
      <c r="X1" s="148" t="s">
        <v>14</v>
      </c>
    </row>
    <row r="2" spans="1:24" s="1" customFormat="1" ht="22.8">
      <c r="A2" s="155"/>
      <c r="B2" s="157"/>
      <c r="C2" s="159"/>
      <c r="D2" s="159"/>
      <c r="E2" s="161"/>
      <c r="F2" s="163"/>
      <c r="G2" s="67" t="s">
        <v>15</v>
      </c>
      <c r="H2" s="68" t="s">
        <v>16</v>
      </c>
      <c r="I2" s="69" t="s">
        <v>17</v>
      </c>
      <c r="J2" s="69" t="s">
        <v>18</v>
      </c>
      <c r="K2" s="70" t="s">
        <v>15</v>
      </c>
      <c r="L2" s="69" t="s">
        <v>19</v>
      </c>
      <c r="M2" s="69" t="s">
        <v>20</v>
      </c>
      <c r="N2" s="69" t="s">
        <v>21</v>
      </c>
      <c r="O2" s="69" t="s">
        <v>22</v>
      </c>
      <c r="P2" s="69" t="s">
        <v>23</v>
      </c>
      <c r="Q2" s="69" t="s">
        <v>24</v>
      </c>
      <c r="R2" s="69" t="s">
        <v>25</v>
      </c>
      <c r="S2" s="178"/>
      <c r="T2" s="67" t="s">
        <v>26</v>
      </c>
      <c r="U2" s="68" t="s">
        <v>27</v>
      </c>
      <c r="V2" s="69" t="s">
        <v>28</v>
      </c>
      <c r="W2" s="149"/>
      <c r="X2" s="149"/>
    </row>
    <row r="3" spans="1:24" ht="11.4">
      <c r="A3" s="19">
        <f t="shared" ref="A3" si="0">ROW()-2</f>
        <v>1</v>
      </c>
      <c r="B3" s="20" t="s">
        <v>29</v>
      </c>
      <c r="C3" s="31" t="s">
        <v>30</v>
      </c>
      <c r="D3" s="30"/>
      <c r="E3" s="30"/>
      <c r="F3" s="72"/>
      <c r="G3" s="21"/>
      <c r="H3" s="22"/>
      <c r="I3" s="22"/>
      <c r="J3" s="23"/>
      <c r="K3" s="21"/>
      <c r="L3" s="22"/>
      <c r="M3" s="22"/>
      <c r="N3" s="24"/>
      <c r="O3" s="24"/>
      <c r="P3" s="24"/>
      <c r="Q3" s="24"/>
      <c r="R3" s="23"/>
      <c r="S3" s="135"/>
      <c r="T3" s="25"/>
      <c r="U3" s="26"/>
      <c r="V3" s="27"/>
      <c r="W3" s="28"/>
      <c r="X3" s="29"/>
    </row>
    <row r="4" spans="1:24" ht="22.8">
      <c r="A4" s="19">
        <f t="shared" ref="A4:A17" si="1">ROW()-2</f>
        <v>2</v>
      </c>
      <c r="B4" s="20" t="s">
        <v>31</v>
      </c>
      <c r="C4" s="20" t="s">
        <v>97</v>
      </c>
      <c r="D4" s="20" t="s">
        <v>932</v>
      </c>
      <c r="E4" s="30" t="s">
        <v>933</v>
      </c>
      <c r="F4" s="72" t="s">
        <v>922</v>
      </c>
      <c r="G4" s="21"/>
      <c r="H4" s="22"/>
      <c r="I4" s="22"/>
      <c r="J4" s="23"/>
      <c r="K4" s="21"/>
      <c r="L4" s="22"/>
      <c r="M4" s="22"/>
      <c r="N4" s="24"/>
      <c r="O4" s="24"/>
      <c r="P4" s="24"/>
      <c r="Q4" s="24"/>
      <c r="R4" s="23" t="s">
        <v>101</v>
      </c>
      <c r="S4" s="135">
        <v>45307</v>
      </c>
      <c r="T4" s="25"/>
      <c r="U4" s="26"/>
      <c r="V4" s="27"/>
      <c r="W4" s="28"/>
      <c r="X4" s="115" t="s">
        <v>921</v>
      </c>
    </row>
    <row r="5" spans="1:24" ht="68.400000000000006">
      <c r="A5" s="19"/>
      <c r="B5" s="20"/>
      <c r="C5" s="20"/>
      <c r="D5" s="30"/>
      <c r="E5" s="30" t="s">
        <v>928</v>
      </c>
      <c r="F5" s="72" t="s">
        <v>925</v>
      </c>
      <c r="G5" s="21"/>
      <c r="H5" s="22"/>
      <c r="I5" s="22"/>
      <c r="J5" s="23"/>
      <c r="K5" s="114"/>
      <c r="L5" s="22"/>
      <c r="M5" s="22"/>
      <c r="N5" s="24"/>
      <c r="O5" s="24"/>
      <c r="P5" s="24"/>
      <c r="Q5" s="24"/>
      <c r="R5" s="23" t="s">
        <v>100</v>
      </c>
      <c r="S5" s="135">
        <v>45307</v>
      </c>
      <c r="T5" s="25"/>
      <c r="U5" s="26"/>
      <c r="V5" s="27"/>
      <c r="W5" s="28"/>
      <c r="X5" s="115"/>
    </row>
    <row r="6" spans="1:24" ht="22.8">
      <c r="A6" s="19"/>
      <c r="B6" s="20"/>
      <c r="C6" s="20"/>
      <c r="D6" s="30"/>
      <c r="E6" s="30" t="s">
        <v>929</v>
      </c>
      <c r="F6" s="72" t="s">
        <v>927</v>
      </c>
      <c r="G6" s="21"/>
      <c r="H6" s="22"/>
      <c r="I6" s="22"/>
      <c r="J6" s="23"/>
      <c r="K6" s="114"/>
      <c r="L6" s="22"/>
      <c r="M6" s="22"/>
      <c r="N6" s="24"/>
      <c r="O6" s="24"/>
      <c r="P6" s="24"/>
      <c r="Q6" s="24"/>
      <c r="R6" s="23" t="s">
        <v>100</v>
      </c>
      <c r="S6" s="135">
        <v>45307</v>
      </c>
      <c r="T6" s="25"/>
      <c r="U6" s="26"/>
      <c r="V6" s="27"/>
      <c r="W6" s="28"/>
      <c r="X6" s="115"/>
    </row>
    <row r="7" spans="1:24" ht="22.8">
      <c r="A7" s="19">
        <f>ROW()-2</f>
        <v>5</v>
      </c>
      <c r="B7" s="20"/>
      <c r="C7" s="20"/>
      <c r="D7" s="20" t="s">
        <v>98</v>
      </c>
      <c r="E7" s="30" t="s">
        <v>930</v>
      </c>
      <c r="F7" s="71" t="s">
        <v>99</v>
      </c>
      <c r="G7" s="21"/>
      <c r="H7" s="22"/>
      <c r="I7" s="22"/>
      <c r="J7" s="23"/>
      <c r="K7" s="24" t="s">
        <v>100</v>
      </c>
      <c r="L7" s="22"/>
      <c r="M7" s="22"/>
      <c r="N7" s="24" t="s">
        <v>101</v>
      </c>
      <c r="O7" s="24"/>
      <c r="P7" s="24"/>
      <c r="Q7" s="24"/>
      <c r="R7" s="23"/>
      <c r="S7" s="135">
        <v>45307</v>
      </c>
      <c r="T7" s="25"/>
      <c r="U7" s="26"/>
      <c r="V7" s="27"/>
      <c r="W7" s="28"/>
      <c r="X7" s="29"/>
    </row>
    <row r="8" spans="1:24" ht="91.2">
      <c r="A8" s="19">
        <f t="shared" si="1"/>
        <v>6</v>
      </c>
      <c r="B8" s="20"/>
      <c r="C8" s="20"/>
      <c r="D8" s="30"/>
      <c r="E8" s="30"/>
      <c r="F8" s="72" t="s">
        <v>102</v>
      </c>
      <c r="G8" s="21"/>
      <c r="H8" s="22"/>
      <c r="I8" s="22"/>
      <c r="J8" s="23"/>
      <c r="K8" s="21"/>
      <c r="L8" s="22"/>
      <c r="M8" s="22"/>
      <c r="N8" s="24"/>
      <c r="O8" s="24"/>
      <c r="P8" s="24"/>
      <c r="Q8" s="24"/>
      <c r="R8" s="23" t="s">
        <v>101</v>
      </c>
      <c r="S8" s="135">
        <v>45307</v>
      </c>
      <c r="T8" s="25"/>
      <c r="U8" s="26"/>
      <c r="V8" s="27"/>
      <c r="W8" s="28"/>
      <c r="X8" s="29"/>
    </row>
    <row r="9" spans="1:24" ht="11.4">
      <c r="A9" s="19">
        <f t="shared" ref="A9:A21" si="2">ROW()-2</f>
        <v>7</v>
      </c>
      <c r="B9" s="20"/>
      <c r="C9" s="20"/>
      <c r="D9" s="20" t="s">
        <v>103</v>
      </c>
      <c r="E9" s="30" t="s">
        <v>923</v>
      </c>
      <c r="F9" s="71" t="s">
        <v>104</v>
      </c>
      <c r="G9" s="21"/>
      <c r="H9" s="22"/>
      <c r="I9" s="22"/>
      <c r="J9" s="23"/>
      <c r="K9" s="24" t="s">
        <v>100</v>
      </c>
      <c r="L9" s="22"/>
      <c r="M9" s="22"/>
      <c r="N9" s="24" t="s">
        <v>101</v>
      </c>
      <c r="O9" s="24"/>
      <c r="P9" s="24"/>
      <c r="Q9" s="24"/>
      <c r="R9" s="23"/>
      <c r="S9" s="135">
        <v>45307</v>
      </c>
      <c r="T9" s="25"/>
      <c r="U9" s="26"/>
      <c r="V9" s="27"/>
      <c r="W9" s="28"/>
      <c r="X9" s="29"/>
    </row>
    <row r="10" spans="1:24" ht="57">
      <c r="A10" s="19">
        <f>ROW()-2</f>
        <v>8</v>
      </c>
      <c r="B10" s="20"/>
      <c r="C10" s="20"/>
      <c r="D10" s="20"/>
      <c r="E10" s="30"/>
      <c r="F10" s="71" t="s">
        <v>924</v>
      </c>
      <c r="G10" s="21"/>
      <c r="H10" s="22"/>
      <c r="I10" s="22"/>
      <c r="J10" s="23"/>
      <c r="K10" s="21"/>
      <c r="L10" s="22"/>
      <c r="M10" s="22"/>
      <c r="N10" s="24"/>
      <c r="O10" s="24"/>
      <c r="P10" s="24"/>
      <c r="Q10" s="24"/>
      <c r="R10" s="23" t="s">
        <v>101</v>
      </c>
      <c r="S10" s="135">
        <v>45307</v>
      </c>
      <c r="T10" s="25"/>
      <c r="U10" s="26"/>
      <c r="V10" s="27"/>
      <c r="W10" s="28"/>
      <c r="X10" s="29"/>
    </row>
    <row r="11" spans="1:24" ht="11.4">
      <c r="A11" s="19">
        <f t="shared" si="2"/>
        <v>9</v>
      </c>
      <c r="B11" s="20"/>
      <c r="C11" s="20"/>
      <c r="D11" s="20" t="s">
        <v>105</v>
      </c>
      <c r="E11" s="30" t="s">
        <v>926</v>
      </c>
      <c r="F11" s="71" t="s">
        <v>106</v>
      </c>
      <c r="G11" s="21"/>
      <c r="H11" s="22"/>
      <c r="I11" s="22"/>
      <c r="J11" s="23"/>
      <c r="K11" s="24" t="s">
        <v>100</v>
      </c>
      <c r="L11" s="22"/>
      <c r="M11" s="22"/>
      <c r="N11" s="24" t="s">
        <v>101</v>
      </c>
      <c r="O11" s="24"/>
      <c r="P11" s="24"/>
      <c r="Q11" s="24"/>
      <c r="R11" s="23"/>
      <c r="S11" s="135">
        <v>45307</v>
      </c>
      <c r="T11" s="25"/>
      <c r="U11" s="26"/>
      <c r="V11" s="27"/>
      <c r="W11" s="28"/>
      <c r="X11" s="29"/>
    </row>
    <row r="12" spans="1:24" ht="11.4">
      <c r="A12" s="19">
        <f t="shared" si="2"/>
        <v>10</v>
      </c>
      <c r="B12" s="20"/>
      <c r="C12" s="20"/>
      <c r="D12" s="20"/>
      <c r="E12" s="30"/>
      <c r="F12" s="71" t="s">
        <v>931</v>
      </c>
      <c r="G12" s="21"/>
      <c r="H12" s="22"/>
      <c r="I12" s="22"/>
      <c r="J12" s="23"/>
      <c r="K12" s="21"/>
      <c r="L12" s="22"/>
      <c r="M12" s="22"/>
      <c r="N12" s="24"/>
      <c r="O12" s="24"/>
      <c r="P12" s="24"/>
      <c r="Q12" s="24"/>
      <c r="R12" s="23" t="s">
        <v>101</v>
      </c>
      <c r="S12" s="135">
        <v>45307</v>
      </c>
      <c r="T12" s="25"/>
      <c r="U12" s="26"/>
      <c r="V12" s="27"/>
      <c r="W12" s="28"/>
      <c r="X12" s="29"/>
    </row>
    <row r="13" spans="1:24" ht="22.8">
      <c r="A13" s="19">
        <f t="shared" si="1"/>
        <v>11</v>
      </c>
      <c r="B13" s="20"/>
      <c r="C13" s="20" t="s">
        <v>107</v>
      </c>
      <c r="D13" s="20" t="s">
        <v>932</v>
      </c>
      <c r="E13" s="30" t="s">
        <v>933</v>
      </c>
      <c r="F13" s="72" t="s">
        <v>922</v>
      </c>
      <c r="G13" s="21"/>
      <c r="H13" s="22"/>
      <c r="I13" s="22"/>
      <c r="J13" s="23"/>
      <c r="K13" s="21"/>
      <c r="L13" s="22"/>
      <c r="M13" s="22"/>
      <c r="N13" s="24"/>
      <c r="O13" s="24"/>
      <c r="P13" s="24"/>
      <c r="Q13" s="24"/>
      <c r="R13" s="23" t="s">
        <v>101</v>
      </c>
      <c r="S13" s="135">
        <v>45307</v>
      </c>
      <c r="T13" s="25"/>
      <c r="U13" s="26"/>
      <c r="V13" s="27"/>
      <c r="W13" s="28"/>
      <c r="X13" s="115" t="s">
        <v>921</v>
      </c>
    </row>
    <row r="14" spans="1:24" ht="68.400000000000006">
      <c r="A14" s="19"/>
      <c r="B14" s="20"/>
      <c r="C14" s="20"/>
      <c r="D14" s="30"/>
      <c r="E14" s="30" t="s">
        <v>928</v>
      </c>
      <c r="F14" s="72" t="s">
        <v>925</v>
      </c>
      <c r="G14" s="21"/>
      <c r="H14" s="22"/>
      <c r="I14" s="22"/>
      <c r="J14" s="23"/>
      <c r="K14" s="114"/>
      <c r="L14" s="22"/>
      <c r="M14" s="22"/>
      <c r="N14" s="24"/>
      <c r="O14" s="24"/>
      <c r="P14" s="24"/>
      <c r="Q14" s="24"/>
      <c r="R14" s="23" t="s">
        <v>100</v>
      </c>
      <c r="S14" s="135">
        <v>45307</v>
      </c>
      <c r="T14" s="25"/>
      <c r="U14" s="26"/>
      <c r="V14" s="27"/>
      <c r="W14" s="28"/>
      <c r="X14" s="115"/>
    </row>
    <row r="15" spans="1:24" ht="22.8">
      <c r="A15" s="19"/>
      <c r="B15" s="20"/>
      <c r="C15" s="20"/>
      <c r="D15" s="30"/>
      <c r="E15" s="30" t="s">
        <v>929</v>
      </c>
      <c r="F15" s="72" t="s">
        <v>927</v>
      </c>
      <c r="G15" s="21"/>
      <c r="H15" s="22"/>
      <c r="I15" s="22"/>
      <c r="J15" s="23"/>
      <c r="K15" s="114"/>
      <c r="L15" s="22"/>
      <c r="M15" s="22"/>
      <c r="N15" s="24"/>
      <c r="O15" s="24"/>
      <c r="P15" s="24"/>
      <c r="Q15" s="24"/>
      <c r="R15" s="23" t="s">
        <v>100</v>
      </c>
      <c r="S15" s="135">
        <v>45307</v>
      </c>
      <c r="T15" s="25"/>
      <c r="U15" s="26"/>
      <c r="V15" s="27"/>
      <c r="W15" s="28"/>
      <c r="X15" s="115"/>
    </row>
    <row r="16" spans="1:24" ht="22.8">
      <c r="A16" s="19">
        <f>ROW()-2</f>
        <v>14</v>
      </c>
      <c r="B16" s="20"/>
      <c r="C16" s="20"/>
      <c r="D16" s="20" t="s">
        <v>98</v>
      </c>
      <c r="E16" s="30" t="s">
        <v>930</v>
      </c>
      <c r="F16" s="71" t="s">
        <v>99</v>
      </c>
      <c r="G16" s="21"/>
      <c r="H16" s="22"/>
      <c r="I16" s="22"/>
      <c r="J16" s="23"/>
      <c r="K16" s="24" t="s">
        <v>100</v>
      </c>
      <c r="L16" s="22"/>
      <c r="M16" s="22"/>
      <c r="N16" s="24" t="s">
        <v>101</v>
      </c>
      <c r="O16" s="24"/>
      <c r="P16" s="24"/>
      <c r="Q16" s="24"/>
      <c r="R16" s="23"/>
      <c r="S16" s="135">
        <v>45307</v>
      </c>
      <c r="T16" s="25"/>
      <c r="U16" s="26"/>
      <c r="V16" s="27"/>
      <c r="W16" s="28"/>
      <c r="X16" s="29"/>
    </row>
    <row r="17" spans="1:24" ht="102.6">
      <c r="A17" s="19">
        <f t="shared" si="1"/>
        <v>15</v>
      </c>
      <c r="B17" s="20"/>
      <c r="C17" s="20"/>
      <c r="D17" s="30"/>
      <c r="E17" s="30"/>
      <c r="F17" s="72" t="s">
        <v>108</v>
      </c>
      <c r="G17" s="21"/>
      <c r="H17" s="22"/>
      <c r="I17" s="22"/>
      <c r="J17" s="23"/>
      <c r="K17" s="21"/>
      <c r="L17" s="22"/>
      <c r="M17" s="22"/>
      <c r="N17" s="24"/>
      <c r="O17" s="24"/>
      <c r="P17" s="24"/>
      <c r="Q17" s="24"/>
      <c r="R17" s="23" t="s">
        <v>101</v>
      </c>
      <c r="S17" s="135">
        <v>45307</v>
      </c>
      <c r="T17" s="25"/>
      <c r="U17" s="26"/>
      <c r="V17" s="27"/>
      <c r="W17" s="28"/>
      <c r="X17" s="29"/>
    </row>
    <row r="18" spans="1:24" ht="11.4">
      <c r="A18" s="19">
        <f t="shared" si="2"/>
        <v>16</v>
      </c>
      <c r="B18" s="20"/>
      <c r="C18" s="20"/>
      <c r="D18" s="20" t="s">
        <v>103</v>
      </c>
      <c r="E18" s="30" t="s">
        <v>923</v>
      </c>
      <c r="F18" s="71" t="s">
        <v>104</v>
      </c>
      <c r="G18" s="21"/>
      <c r="H18" s="22"/>
      <c r="I18" s="22"/>
      <c r="J18" s="23"/>
      <c r="K18" s="24" t="s">
        <v>100</v>
      </c>
      <c r="L18" s="22"/>
      <c r="M18" s="22"/>
      <c r="N18" s="24" t="s">
        <v>101</v>
      </c>
      <c r="O18" s="24"/>
      <c r="P18" s="24"/>
      <c r="Q18" s="24"/>
      <c r="R18" s="23"/>
      <c r="S18" s="135">
        <v>45307</v>
      </c>
      <c r="T18" s="25"/>
      <c r="U18" s="26"/>
      <c r="V18" s="27"/>
      <c r="W18" s="28"/>
      <c r="X18" s="29"/>
    </row>
    <row r="19" spans="1:24" ht="57">
      <c r="A19" s="19">
        <f>ROW()-2</f>
        <v>17</v>
      </c>
      <c r="B19" s="20"/>
      <c r="C19" s="20"/>
      <c r="D19" s="20"/>
      <c r="E19" s="30"/>
      <c r="F19" s="71" t="s">
        <v>924</v>
      </c>
      <c r="G19" s="21"/>
      <c r="H19" s="22"/>
      <c r="I19" s="22"/>
      <c r="J19" s="23"/>
      <c r="K19" s="21"/>
      <c r="L19" s="22"/>
      <c r="M19" s="22"/>
      <c r="N19" s="24"/>
      <c r="O19" s="24"/>
      <c r="P19" s="24"/>
      <c r="Q19" s="24"/>
      <c r="R19" s="23" t="s">
        <v>101</v>
      </c>
      <c r="S19" s="135">
        <v>45307</v>
      </c>
      <c r="T19" s="25"/>
      <c r="U19" s="26"/>
      <c r="V19" s="27"/>
      <c r="W19" s="28"/>
      <c r="X19" s="29"/>
    </row>
    <row r="20" spans="1:24" ht="11.4">
      <c r="A20" s="19">
        <f t="shared" si="2"/>
        <v>18</v>
      </c>
      <c r="B20" s="20"/>
      <c r="C20" s="20"/>
      <c r="D20" s="20" t="s">
        <v>105</v>
      </c>
      <c r="E20" s="30" t="s">
        <v>926</v>
      </c>
      <c r="F20" s="71" t="s">
        <v>106</v>
      </c>
      <c r="G20" s="21"/>
      <c r="H20" s="22"/>
      <c r="I20" s="22"/>
      <c r="J20" s="23"/>
      <c r="K20" s="24" t="s">
        <v>100</v>
      </c>
      <c r="L20" s="22"/>
      <c r="M20" s="22"/>
      <c r="N20" s="24" t="s">
        <v>101</v>
      </c>
      <c r="O20" s="24"/>
      <c r="P20" s="24"/>
      <c r="Q20" s="24"/>
      <c r="R20" s="23"/>
      <c r="S20" s="135">
        <v>45307</v>
      </c>
      <c r="T20" s="25"/>
      <c r="U20" s="26"/>
      <c r="V20" s="27"/>
      <c r="W20" s="28"/>
      <c r="X20" s="29"/>
    </row>
    <row r="21" spans="1:24" ht="11.4">
      <c r="A21" s="19">
        <f t="shared" si="2"/>
        <v>19</v>
      </c>
      <c r="B21" s="20"/>
      <c r="C21" s="20"/>
      <c r="D21" s="20"/>
      <c r="E21" s="30"/>
      <c r="F21" s="71" t="s">
        <v>931</v>
      </c>
      <c r="G21" s="21"/>
      <c r="H21" s="22"/>
      <c r="I21" s="22"/>
      <c r="J21" s="23"/>
      <c r="K21" s="21"/>
      <c r="L21" s="22"/>
      <c r="M21" s="22"/>
      <c r="N21" s="24"/>
      <c r="O21" s="24"/>
      <c r="P21" s="24"/>
      <c r="Q21" s="24"/>
      <c r="R21" s="23" t="s">
        <v>101</v>
      </c>
      <c r="S21" s="135">
        <v>45307</v>
      </c>
      <c r="T21" s="25"/>
      <c r="U21" s="26"/>
      <c r="V21" s="27"/>
      <c r="W21" s="28"/>
      <c r="X21" s="29"/>
    </row>
    <row r="22" spans="1:24" s="3" customFormat="1" ht="12" customHeight="1">
      <c r="A22" s="32"/>
      <c r="B22" s="33"/>
      <c r="C22" s="34"/>
      <c r="D22" s="34"/>
      <c r="E22" s="33"/>
      <c r="F22" s="35" t="s">
        <v>88</v>
      </c>
      <c r="G22" s="36">
        <f t="shared" ref="G22:R22" si="3">COUNTIF(G3:G21,"●")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36"/>
      <c r="T22" s="150" t="s">
        <v>89</v>
      </c>
      <c r="U22" s="150"/>
      <c r="V22" s="151"/>
      <c r="W22" s="40" t="s">
        <v>90</v>
      </c>
      <c r="X22" s="41">
        <f>SUM(G22:R22)</f>
        <v>0</v>
      </c>
    </row>
    <row r="23" spans="1:24" s="3" customFormat="1" ht="12" customHeight="1">
      <c r="A23" s="42"/>
      <c r="B23" s="43" t="s">
        <v>91</v>
      </c>
      <c r="C23" s="44">
        <f>X24</f>
        <v>0</v>
      </c>
      <c r="D23" s="44"/>
      <c r="E23" s="43"/>
      <c r="F23" s="45" t="s">
        <v>92</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2"/>
      <c r="U23" s="152"/>
      <c r="V23" s="153"/>
      <c r="W23" s="50" t="s">
        <v>90</v>
      </c>
      <c r="X23" s="51">
        <f t="shared" ref="X23:X25" si="5">SUM(G23:R23)</f>
        <v>0</v>
      </c>
    </row>
    <row r="24" spans="1:24" s="3" customFormat="1" ht="12" customHeight="1">
      <c r="A24" s="52" t="s">
        <v>93</v>
      </c>
      <c r="B24" s="53"/>
      <c r="C24" s="54"/>
      <c r="D24" s="54"/>
      <c r="E24" s="53"/>
      <c r="F24" s="55" t="s">
        <v>94</v>
      </c>
      <c r="G24" s="46">
        <f>G22+G23</f>
        <v>0</v>
      </c>
      <c r="H24" s="47">
        <f t="shared" ref="H24:R24" si="6">H22+H23</f>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75"/>
      <c r="T24" s="164">
        <f>COUNTA(S3:S21)</f>
        <v>18</v>
      </c>
      <c r="U24" s="164">
        <f>COUNTA(T3:T21)</f>
        <v>0</v>
      </c>
      <c r="V24" s="164">
        <f>COUNTA(U3:U21)</f>
        <v>0</v>
      </c>
      <c r="W24" s="56" t="s">
        <v>90</v>
      </c>
      <c r="X24" s="51">
        <f t="shared" si="5"/>
        <v>0</v>
      </c>
    </row>
    <row r="25" spans="1:24" s="3" customFormat="1" ht="12" customHeight="1">
      <c r="A25" s="57"/>
      <c r="B25" s="58" t="s">
        <v>95</v>
      </c>
      <c r="C25" s="59">
        <f>X25</f>
        <v>24</v>
      </c>
      <c r="D25" s="59"/>
      <c r="E25" s="58"/>
      <c r="F25" s="60" t="s">
        <v>96</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76"/>
      <c r="T25" s="165"/>
      <c r="U25" s="165"/>
      <c r="V25" s="165"/>
      <c r="W25" s="65" t="s">
        <v>90</v>
      </c>
      <c r="X25" s="66">
        <f t="shared" si="5"/>
        <v>24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4" location="【参考】入出金マスタ!A1" display="【参考】入出金マスタ" xr:uid="{68C87B5F-92BA-437A-8CC2-3B8F18F988A8}"/>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view="pageBreakPreview" zoomScaleNormal="110" zoomScaleSheetLayoutView="100" workbookViewId="0">
      <pane ySplit="2" topLeftCell="A3" activePane="bottomLeft" state="frozen"/>
      <selection activeCell="B8" sqref="B8"/>
      <selection pane="bottomLeft" activeCell="B4" sqref="B4"/>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4" t="s">
        <v>4</v>
      </c>
      <c r="B1" s="156" t="s">
        <v>5</v>
      </c>
      <c r="C1" s="158" t="s">
        <v>6</v>
      </c>
      <c r="D1" s="158" t="s">
        <v>7</v>
      </c>
      <c r="E1" s="160" t="s">
        <v>8</v>
      </c>
      <c r="F1" s="162" t="s">
        <v>9</v>
      </c>
      <c r="G1" s="170" t="s">
        <v>10</v>
      </c>
      <c r="H1" s="170"/>
      <c r="I1" s="170"/>
      <c r="J1" s="171"/>
      <c r="K1" s="172" t="s">
        <v>11</v>
      </c>
      <c r="L1" s="173"/>
      <c r="M1" s="173"/>
      <c r="N1" s="174"/>
      <c r="O1" s="174"/>
      <c r="P1" s="174"/>
      <c r="Q1" s="174"/>
      <c r="R1" s="174"/>
      <c r="S1" s="177" t="s">
        <v>940</v>
      </c>
      <c r="T1" s="170" t="s">
        <v>12</v>
      </c>
      <c r="U1" s="170"/>
      <c r="V1" s="170"/>
      <c r="W1" s="148" t="s">
        <v>13</v>
      </c>
      <c r="X1" s="148" t="s">
        <v>14</v>
      </c>
    </row>
    <row r="2" spans="1:24" s="1" customFormat="1" ht="22.8">
      <c r="A2" s="155"/>
      <c r="B2" s="157"/>
      <c r="C2" s="159"/>
      <c r="D2" s="159"/>
      <c r="E2" s="161"/>
      <c r="F2" s="163"/>
      <c r="G2" s="67" t="s">
        <v>15</v>
      </c>
      <c r="H2" s="68" t="s">
        <v>16</v>
      </c>
      <c r="I2" s="69" t="s">
        <v>17</v>
      </c>
      <c r="J2" s="69" t="s">
        <v>18</v>
      </c>
      <c r="K2" s="70" t="s">
        <v>15</v>
      </c>
      <c r="L2" s="69" t="s">
        <v>19</v>
      </c>
      <c r="M2" s="69" t="s">
        <v>20</v>
      </c>
      <c r="N2" s="69" t="s">
        <v>21</v>
      </c>
      <c r="O2" s="69" t="s">
        <v>22</v>
      </c>
      <c r="P2" s="69" t="s">
        <v>23</v>
      </c>
      <c r="Q2" s="69" t="s">
        <v>24</v>
      </c>
      <c r="R2" s="69" t="s">
        <v>25</v>
      </c>
      <c r="S2" s="178"/>
      <c r="T2" s="67" t="s">
        <v>26</v>
      </c>
      <c r="U2" s="68" t="s">
        <v>27</v>
      </c>
      <c r="V2" s="69" t="s">
        <v>28</v>
      </c>
      <c r="W2" s="149"/>
      <c r="X2" s="149"/>
    </row>
    <row r="3" spans="1:24" ht="22.8">
      <c r="A3" s="19">
        <f t="shared" ref="A3" si="0">ROW()-2</f>
        <v>1</v>
      </c>
      <c r="B3" s="20" t="s">
        <v>29</v>
      </c>
      <c r="C3" s="20" t="s">
        <v>109</v>
      </c>
      <c r="D3" s="30"/>
      <c r="E3" s="30"/>
      <c r="F3" s="71"/>
      <c r="G3" s="21"/>
      <c r="H3" s="22"/>
      <c r="I3" s="22"/>
      <c r="J3" s="23"/>
      <c r="K3" s="21"/>
      <c r="L3" s="22"/>
      <c r="M3" s="22"/>
      <c r="N3" s="24"/>
      <c r="O3" s="24"/>
      <c r="P3" s="24"/>
      <c r="Q3" s="24"/>
      <c r="R3" s="23"/>
      <c r="S3" s="135"/>
      <c r="T3" s="25"/>
      <c r="U3" s="26"/>
      <c r="V3" s="27"/>
      <c r="W3" s="28"/>
      <c r="X3" s="29"/>
    </row>
    <row r="4" spans="1:24" ht="22.8">
      <c r="A4" s="19">
        <f>ROW()-2</f>
        <v>2</v>
      </c>
      <c r="B4" s="20" t="s">
        <v>110</v>
      </c>
      <c r="C4" s="20" t="s">
        <v>111</v>
      </c>
      <c r="D4" s="20" t="s">
        <v>112</v>
      </c>
      <c r="E4" s="30" t="s">
        <v>113</v>
      </c>
      <c r="F4" s="71" t="s">
        <v>114</v>
      </c>
      <c r="G4" s="21"/>
      <c r="H4" s="22"/>
      <c r="I4" s="22"/>
      <c r="J4" s="23"/>
      <c r="K4" s="21"/>
      <c r="L4" s="22"/>
      <c r="M4" s="22"/>
      <c r="N4" s="24"/>
      <c r="O4" s="24"/>
      <c r="P4" s="24" t="s">
        <v>101</v>
      </c>
      <c r="Q4" s="24" t="s">
        <v>101</v>
      </c>
      <c r="R4" s="23"/>
      <c r="S4" s="135">
        <v>45307</v>
      </c>
      <c r="T4" s="25"/>
      <c r="U4" s="26"/>
      <c r="V4" s="27"/>
      <c r="W4" s="28"/>
      <c r="X4" s="29"/>
    </row>
    <row r="5" spans="1:24" ht="34.200000000000003">
      <c r="A5" s="19">
        <f>ROW()-2</f>
        <v>3</v>
      </c>
      <c r="B5" s="20"/>
      <c r="C5" s="20"/>
      <c r="D5" s="20"/>
      <c r="E5" s="30"/>
      <c r="F5" s="71" t="s">
        <v>115</v>
      </c>
      <c r="G5" s="21"/>
      <c r="H5" s="22"/>
      <c r="I5" s="22"/>
      <c r="J5" s="23"/>
      <c r="K5" s="21"/>
      <c r="L5" s="22"/>
      <c r="M5" s="22"/>
      <c r="N5" s="24"/>
      <c r="O5" s="24"/>
      <c r="P5" s="24" t="s">
        <v>101</v>
      </c>
      <c r="Q5" s="24" t="s">
        <v>101</v>
      </c>
      <c r="R5" s="23"/>
      <c r="S5" s="135">
        <v>45307</v>
      </c>
      <c r="T5" s="25"/>
      <c r="U5" s="26"/>
      <c r="V5" s="27"/>
      <c r="W5" s="28"/>
      <c r="X5" s="29" t="s">
        <v>116</v>
      </c>
    </row>
    <row r="6" spans="1:24" ht="22.8">
      <c r="A6" s="19">
        <f t="shared" ref="A6:A16" si="1">ROW()-2</f>
        <v>4</v>
      </c>
      <c r="B6" s="20"/>
      <c r="C6" s="20"/>
      <c r="D6" s="20" t="s">
        <v>117</v>
      </c>
      <c r="E6" s="30" t="s">
        <v>118</v>
      </c>
      <c r="F6" s="71" t="s">
        <v>114</v>
      </c>
      <c r="G6" s="21"/>
      <c r="H6" s="22"/>
      <c r="I6" s="22"/>
      <c r="J6" s="23"/>
      <c r="K6" s="21"/>
      <c r="L6" s="22"/>
      <c r="M6" s="22"/>
      <c r="N6" s="24"/>
      <c r="O6" s="24"/>
      <c r="P6" s="24" t="s">
        <v>101</v>
      </c>
      <c r="Q6" s="24" t="s">
        <v>101</v>
      </c>
      <c r="R6" s="23"/>
      <c r="S6" s="135">
        <v>45307</v>
      </c>
      <c r="T6" s="25"/>
      <c r="U6" s="26"/>
      <c r="V6" s="27"/>
      <c r="W6" s="28"/>
      <c r="X6" s="29"/>
    </row>
    <row r="7" spans="1:24" ht="34.200000000000003">
      <c r="A7" s="19">
        <f t="shared" si="1"/>
        <v>5</v>
      </c>
      <c r="B7" s="20"/>
      <c r="C7" s="20"/>
      <c r="D7" s="20"/>
      <c r="E7" s="30"/>
      <c r="F7" s="71" t="s">
        <v>115</v>
      </c>
      <c r="G7" s="21"/>
      <c r="H7" s="22"/>
      <c r="I7" s="22"/>
      <c r="J7" s="23"/>
      <c r="K7" s="21"/>
      <c r="L7" s="22"/>
      <c r="M7" s="22"/>
      <c r="N7" s="24"/>
      <c r="O7" s="24"/>
      <c r="P7" s="24" t="s">
        <v>101</v>
      </c>
      <c r="Q7" s="24" t="s">
        <v>101</v>
      </c>
      <c r="R7" s="23"/>
      <c r="S7" s="135">
        <v>45307</v>
      </c>
      <c r="T7" s="25"/>
      <c r="U7" s="26"/>
      <c r="V7" s="27"/>
      <c r="W7" s="28"/>
      <c r="X7" s="29" t="s">
        <v>119</v>
      </c>
    </row>
    <row r="8" spans="1:24" ht="22.8">
      <c r="A8" s="19">
        <f t="shared" si="1"/>
        <v>6</v>
      </c>
      <c r="B8" s="20"/>
      <c r="C8" s="20"/>
      <c r="D8" s="20" t="s">
        <v>120</v>
      </c>
      <c r="E8" s="30" t="s">
        <v>121</v>
      </c>
      <c r="F8" s="71" t="s">
        <v>122</v>
      </c>
      <c r="G8" s="21"/>
      <c r="H8" s="22"/>
      <c r="I8" s="22"/>
      <c r="J8" s="23"/>
      <c r="K8" s="21"/>
      <c r="L8" s="22"/>
      <c r="M8" s="22"/>
      <c r="N8" s="24"/>
      <c r="O8" s="24"/>
      <c r="P8" s="24" t="s">
        <v>101</v>
      </c>
      <c r="Q8" s="24" t="s">
        <v>101</v>
      </c>
      <c r="R8" s="23"/>
      <c r="S8" s="135">
        <v>45307</v>
      </c>
      <c r="T8" s="25"/>
      <c r="U8" s="26"/>
      <c r="V8" s="27"/>
      <c r="W8" s="28"/>
      <c r="X8" s="29"/>
    </row>
    <row r="9" spans="1:24" ht="34.200000000000003">
      <c r="A9" s="19">
        <f t="shared" si="1"/>
        <v>7</v>
      </c>
      <c r="B9" s="20"/>
      <c r="C9" s="20"/>
      <c r="D9" s="20"/>
      <c r="E9" s="30"/>
      <c r="F9" s="71" t="s">
        <v>123</v>
      </c>
      <c r="G9" s="21"/>
      <c r="H9" s="22"/>
      <c r="I9" s="22"/>
      <c r="J9" s="23"/>
      <c r="K9" s="21"/>
      <c r="L9" s="22"/>
      <c r="M9" s="22"/>
      <c r="N9" s="24"/>
      <c r="O9" s="24"/>
      <c r="P9" s="24" t="s">
        <v>101</v>
      </c>
      <c r="Q9" s="24" t="s">
        <v>101</v>
      </c>
      <c r="R9" s="23"/>
      <c r="S9" s="135">
        <v>45307</v>
      </c>
      <c r="T9" s="25"/>
      <c r="U9" s="26"/>
      <c r="V9" s="27"/>
      <c r="W9" s="28"/>
      <c r="X9" s="29" t="s">
        <v>124</v>
      </c>
    </row>
    <row r="10" spans="1:24" ht="22.8">
      <c r="A10" s="19">
        <f t="shared" si="1"/>
        <v>8</v>
      </c>
      <c r="B10" s="20"/>
      <c r="C10" s="20"/>
      <c r="D10" s="20" t="s">
        <v>125</v>
      </c>
      <c r="E10" s="30" t="s">
        <v>126</v>
      </c>
      <c r="F10" s="71" t="s">
        <v>127</v>
      </c>
      <c r="G10" s="21"/>
      <c r="H10" s="22"/>
      <c r="I10" s="22"/>
      <c r="J10" s="23"/>
      <c r="K10" s="21"/>
      <c r="L10" s="22"/>
      <c r="M10" s="22"/>
      <c r="N10" s="24"/>
      <c r="O10" s="24"/>
      <c r="P10" s="24" t="s">
        <v>101</v>
      </c>
      <c r="Q10" s="24" t="s">
        <v>101</v>
      </c>
      <c r="R10" s="23"/>
      <c r="S10" s="135">
        <v>45307</v>
      </c>
      <c r="T10" s="25"/>
      <c r="U10" s="26"/>
      <c r="V10" s="27"/>
      <c r="W10" s="28"/>
      <c r="X10" s="29"/>
    </row>
    <row r="11" spans="1:24" ht="34.200000000000003">
      <c r="A11" s="19">
        <f t="shared" si="1"/>
        <v>9</v>
      </c>
      <c r="B11" s="20"/>
      <c r="C11" s="20"/>
      <c r="D11" s="20"/>
      <c r="E11" s="30"/>
      <c r="F11" s="71" t="s">
        <v>128</v>
      </c>
      <c r="G11" s="21"/>
      <c r="H11" s="22"/>
      <c r="I11" s="22"/>
      <c r="J11" s="23"/>
      <c r="K11" s="21"/>
      <c r="L11" s="22"/>
      <c r="M11" s="22"/>
      <c r="N11" s="24"/>
      <c r="O11" s="24"/>
      <c r="P11" s="24" t="s">
        <v>101</v>
      </c>
      <c r="Q11" s="24" t="s">
        <v>101</v>
      </c>
      <c r="R11" s="23"/>
      <c r="S11" s="135">
        <v>45307</v>
      </c>
      <c r="T11" s="25"/>
      <c r="U11" s="26"/>
      <c r="V11" s="27"/>
      <c r="W11" s="28"/>
      <c r="X11" s="29" t="s">
        <v>129</v>
      </c>
    </row>
    <row r="12" spans="1:24" ht="22.8">
      <c r="A12" s="19">
        <f t="shared" si="1"/>
        <v>10</v>
      </c>
      <c r="B12" s="20"/>
      <c r="C12" s="20"/>
      <c r="D12" s="20" t="s">
        <v>130</v>
      </c>
      <c r="E12" s="30" t="s">
        <v>131</v>
      </c>
      <c r="F12" s="71" t="s">
        <v>127</v>
      </c>
      <c r="G12" s="21"/>
      <c r="H12" s="22"/>
      <c r="I12" s="22"/>
      <c r="J12" s="23"/>
      <c r="K12" s="21"/>
      <c r="L12" s="22"/>
      <c r="M12" s="22"/>
      <c r="N12" s="24"/>
      <c r="O12" s="24"/>
      <c r="P12" s="24" t="s">
        <v>101</v>
      </c>
      <c r="Q12" s="24" t="s">
        <v>101</v>
      </c>
      <c r="R12" s="23"/>
      <c r="S12" s="135">
        <v>45307</v>
      </c>
      <c r="T12" s="25"/>
      <c r="U12" s="26"/>
      <c r="V12" s="27"/>
      <c r="W12" s="28"/>
      <c r="X12" s="29"/>
    </row>
    <row r="13" spans="1:24" ht="34.200000000000003">
      <c r="A13" s="19">
        <f t="shared" si="1"/>
        <v>11</v>
      </c>
      <c r="B13" s="20"/>
      <c r="C13" s="20"/>
      <c r="D13" s="30"/>
      <c r="E13" s="30"/>
      <c r="F13" s="71" t="s">
        <v>132</v>
      </c>
      <c r="G13" s="21"/>
      <c r="H13" s="22"/>
      <c r="I13" s="22"/>
      <c r="J13" s="23"/>
      <c r="K13" s="21"/>
      <c r="L13" s="22"/>
      <c r="M13" s="22"/>
      <c r="N13" s="24"/>
      <c r="O13" s="24"/>
      <c r="P13" s="24" t="s">
        <v>101</v>
      </c>
      <c r="Q13" s="24" t="s">
        <v>101</v>
      </c>
      <c r="R13" s="23"/>
      <c r="S13" s="135">
        <v>45307</v>
      </c>
      <c r="T13" s="25"/>
      <c r="U13" s="26"/>
      <c r="V13" s="27"/>
      <c r="W13" s="28"/>
      <c r="X13" s="29" t="s">
        <v>133</v>
      </c>
    </row>
    <row r="14" spans="1:24" ht="22.8">
      <c r="A14" s="19">
        <f t="shared" si="1"/>
        <v>12</v>
      </c>
      <c r="B14" s="20"/>
      <c r="C14" s="20"/>
      <c r="D14" s="30" t="s">
        <v>134</v>
      </c>
      <c r="E14" s="30" t="s">
        <v>134</v>
      </c>
      <c r="F14" s="71" t="s">
        <v>135</v>
      </c>
      <c r="G14" s="21"/>
      <c r="H14" s="22"/>
      <c r="I14" s="22"/>
      <c r="J14" s="23"/>
      <c r="K14" s="21"/>
      <c r="L14" s="22"/>
      <c r="M14" s="22"/>
      <c r="N14" s="24"/>
      <c r="O14" s="24"/>
      <c r="P14" s="24" t="s">
        <v>101</v>
      </c>
      <c r="Q14" s="24" t="s">
        <v>101</v>
      </c>
      <c r="R14" s="23"/>
      <c r="S14" s="135">
        <v>45307</v>
      </c>
      <c r="T14" s="25"/>
      <c r="U14" s="26"/>
      <c r="V14" s="27"/>
      <c r="W14" s="28"/>
      <c r="X14" s="29"/>
    </row>
    <row r="15" spans="1:24" ht="22.8">
      <c r="A15" s="19">
        <f t="shared" si="1"/>
        <v>13</v>
      </c>
      <c r="B15" s="20"/>
      <c r="C15" s="20"/>
      <c r="D15" s="30"/>
      <c r="E15" s="30"/>
      <c r="F15" s="71" t="s">
        <v>136</v>
      </c>
      <c r="G15" s="21"/>
      <c r="H15" s="22"/>
      <c r="I15" s="22"/>
      <c r="J15" s="23"/>
      <c r="K15" s="21"/>
      <c r="L15" s="22"/>
      <c r="M15" s="22"/>
      <c r="N15" s="24"/>
      <c r="O15" s="24"/>
      <c r="P15" s="24" t="s">
        <v>101</v>
      </c>
      <c r="Q15" s="24" t="s">
        <v>101</v>
      </c>
      <c r="R15" s="23"/>
      <c r="S15" s="135">
        <v>45307</v>
      </c>
      <c r="T15" s="25"/>
      <c r="U15" s="26"/>
      <c r="V15" s="27"/>
      <c r="W15" s="28"/>
      <c r="X15" s="29" t="s">
        <v>137</v>
      </c>
    </row>
    <row r="16" spans="1:24" ht="22.8">
      <c r="A16" s="19">
        <f t="shared" si="1"/>
        <v>14</v>
      </c>
      <c r="B16" s="20"/>
      <c r="C16" s="20"/>
      <c r="D16" s="20" t="s">
        <v>138</v>
      </c>
      <c r="E16" s="30" t="s">
        <v>138</v>
      </c>
      <c r="F16" s="71" t="s">
        <v>139</v>
      </c>
      <c r="G16" s="21"/>
      <c r="H16" s="22"/>
      <c r="I16" s="22"/>
      <c r="J16" s="23"/>
      <c r="K16" s="21"/>
      <c r="L16" s="22"/>
      <c r="M16" s="22"/>
      <c r="N16" s="24"/>
      <c r="O16" s="24"/>
      <c r="P16" s="24" t="s">
        <v>101</v>
      </c>
      <c r="Q16" s="24" t="s">
        <v>101</v>
      </c>
      <c r="R16" s="23"/>
      <c r="S16" s="135">
        <v>45307</v>
      </c>
      <c r="T16" s="25"/>
      <c r="U16" s="26"/>
      <c r="V16" s="27"/>
      <c r="W16" s="28"/>
      <c r="X16" s="29"/>
    </row>
    <row r="17" spans="1:24" ht="22.8">
      <c r="A17" s="19">
        <f t="shared" ref="A17:A21" si="2">ROW()-2</f>
        <v>15</v>
      </c>
      <c r="B17" s="20"/>
      <c r="C17" s="20"/>
      <c r="D17" s="30"/>
      <c r="E17" s="30"/>
      <c r="F17" s="71" t="s">
        <v>136</v>
      </c>
      <c r="G17" s="21"/>
      <c r="H17" s="22"/>
      <c r="I17" s="22"/>
      <c r="J17" s="23"/>
      <c r="K17" s="21"/>
      <c r="L17" s="22"/>
      <c r="M17" s="22"/>
      <c r="N17" s="24"/>
      <c r="O17" s="24"/>
      <c r="P17" s="24" t="s">
        <v>101</v>
      </c>
      <c r="Q17" s="24" t="s">
        <v>101</v>
      </c>
      <c r="R17" s="23"/>
      <c r="S17" s="135">
        <v>45307</v>
      </c>
      <c r="T17" s="25"/>
      <c r="U17" s="26"/>
      <c r="V17" s="27"/>
      <c r="W17" s="28"/>
      <c r="X17" s="29" t="s">
        <v>140</v>
      </c>
    </row>
    <row r="18" spans="1:24" ht="22.8">
      <c r="A18" s="19">
        <f t="shared" si="2"/>
        <v>16</v>
      </c>
      <c r="B18" s="20"/>
      <c r="C18" s="20"/>
      <c r="D18" s="30" t="s">
        <v>141</v>
      </c>
      <c r="E18" s="30" t="s">
        <v>141</v>
      </c>
      <c r="F18" s="71" t="s">
        <v>114</v>
      </c>
      <c r="G18" s="21"/>
      <c r="H18" s="22"/>
      <c r="I18" s="22"/>
      <c r="J18" s="23"/>
      <c r="K18" s="21"/>
      <c r="L18" s="22"/>
      <c r="M18" s="22"/>
      <c r="N18" s="24"/>
      <c r="O18" s="24"/>
      <c r="P18" s="24" t="s">
        <v>101</v>
      </c>
      <c r="Q18" s="24" t="s">
        <v>101</v>
      </c>
      <c r="R18" s="23"/>
      <c r="S18" s="135">
        <v>45307</v>
      </c>
      <c r="T18" s="25"/>
      <c r="U18" s="26"/>
      <c r="V18" s="27"/>
      <c r="W18" s="28"/>
      <c r="X18" s="29"/>
    </row>
    <row r="19" spans="1:24" ht="22.8">
      <c r="A19" s="19">
        <f t="shared" si="2"/>
        <v>17</v>
      </c>
      <c r="B19" s="20"/>
      <c r="C19" s="20"/>
      <c r="D19" s="30"/>
      <c r="E19" s="30"/>
      <c r="F19" s="71" t="s">
        <v>136</v>
      </c>
      <c r="G19" s="21"/>
      <c r="H19" s="22"/>
      <c r="I19" s="22"/>
      <c r="J19" s="23"/>
      <c r="K19" s="21"/>
      <c r="L19" s="22"/>
      <c r="M19" s="22"/>
      <c r="N19" s="24"/>
      <c r="O19" s="24"/>
      <c r="P19" s="24" t="s">
        <v>101</v>
      </c>
      <c r="Q19" s="24" t="s">
        <v>101</v>
      </c>
      <c r="R19" s="23"/>
      <c r="S19" s="135">
        <v>45307</v>
      </c>
      <c r="T19" s="25"/>
      <c r="U19" s="26"/>
      <c r="V19" s="27"/>
      <c r="W19" s="28"/>
      <c r="X19" s="29" t="s">
        <v>142</v>
      </c>
    </row>
    <row r="20" spans="1:24" ht="182.4">
      <c r="A20" s="19">
        <f t="shared" si="2"/>
        <v>18</v>
      </c>
      <c r="B20" s="20"/>
      <c r="C20" s="20"/>
      <c r="D20" s="20" t="s">
        <v>143</v>
      </c>
      <c r="E20" s="30" t="s">
        <v>935</v>
      </c>
      <c r="F20" s="71" t="s">
        <v>936</v>
      </c>
      <c r="G20" s="21"/>
      <c r="H20" s="22"/>
      <c r="I20" s="22"/>
      <c r="J20" s="23"/>
      <c r="K20" s="21" t="s">
        <v>101</v>
      </c>
      <c r="L20" s="22"/>
      <c r="M20" s="22"/>
      <c r="N20" s="24"/>
      <c r="O20" s="24"/>
      <c r="P20" s="24"/>
      <c r="Q20" s="24"/>
      <c r="R20" s="23"/>
      <c r="S20" s="135">
        <v>45307</v>
      </c>
      <c r="T20" s="25"/>
      <c r="U20" s="26"/>
      <c r="V20" s="27"/>
      <c r="W20" s="28"/>
      <c r="X20" s="29"/>
    </row>
    <row r="21" spans="1:24" ht="68.400000000000006">
      <c r="A21" s="19">
        <f t="shared" si="2"/>
        <v>19</v>
      </c>
      <c r="B21" s="20"/>
      <c r="C21" s="20"/>
      <c r="D21" s="20"/>
      <c r="E21" s="30" t="s">
        <v>937</v>
      </c>
      <c r="F21" s="71" t="s">
        <v>934</v>
      </c>
      <c r="G21" s="21"/>
      <c r="H21" s="22" t="s">
        <v>101</v>
      </c>
      <c r="I21" s="22"/>
      <c r="J21" s="23"/>
      <c r="K21" s="21"/>
      <c r="L21" s="22"/>
      <c r="M21" s="22"/>
      <c r="N21" s="24"/>
      <c r="O21" s="24"/>
      <c r="P21" s="24"/>
      <c r="Q21" s="24"/>
      <c r="R21" s="23"/>
      <c r="S21" s="135">
        <v>45307</v>
      </c>
      <c r="T21" s="25"/>
      <c r="U21" s="26"/>
      <c r="V21" s="27"/>
      <c r="W21" s="28"/>
      <c r="X21" s="29"/>
    </row>
    <row r="22" spans="1:24" s="3" customFormat="1" ht="12" customHeight="1">
      <c r="A22" s="32"/>
      <c r="B22" s="33"/>
      <c r="C22" s="34"/>
      <c r="D22" s="34"/>
      <c r="E22" s="33"/>
      <c r="F22" s="35" t="s">
        <v>88</v>
      </c>
      <c r="G22" s="36">
        <f t="shared" ref="G22:R22" si="3">COUNTIF(G4:G21,"●")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36"/>
      <c r="T22" s="150" t="s">
        <v>89</v>
      </c>
      <c r="U22" s="150"/>
      <c r="V22" s="151"/>
      <c r="W22" s="40" t="s">
        <v>90</v>
      </c>
      <c r="X22" s="41">
        <f>SUM(G22:R22)</f>
        <v>0</v>
      </c>
    </row>
    <row r="23" spans="1:24" s="3" customFormat="1" ht="12" customHeight="1">
      <c r="A23" s="42"/>
      <c r="B23" s="43" t="s">
        <v>91</v>
      </c>
      <c r="C23" s="44">
        <f>X24</f>
        <v>0</v>
      </c>
      <c r="D23" s="44"/>
      <c r="E23" s="43"/>
      <c r="F23" s="45" t="s">
        <v>92</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2"/>
      <c r="U23" s="152"/>
      <c r="V23" s="153"/>
      <c r="W23" s="50" t="s">
        <v>90</v>
      </c>
      <c r="X23" s="51">
        <f t="shared" ref="X23:X25" si="5">SUM(G23:R23)</f>
        <v>0</v>
      </c>
    </row>
    <row r="24" spans="1:24" s="3" customFormat="1" ht="11.4">
      <c r="A24" s="52" t="s">
        <v>93</v>
      </c>
      <c r="B24" s="53"/>
      <c r="C24" s="54"/>
      <c r="D24" s="54"/>
      <c r="E24" s="53"/>
      <c r="F24" s="55" t="s">
        <v>94</v>
      </c>
      <c r="G24" s="46">
        <f t="shared" ref="G24:R24" si="6">G22+G23</f>
        <v>0</v>
      </c>
      <c r="H24" s="47">
        <f t="shared" si="6"/>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75"/>
      <c r="T24" s="164">
        <f>COUNTA(T3:T21)</f>
        <v>0</v>
      </c>
      <c r="U24" s="166">
        <f>COUNTA(U3:U21)</f>
        <v>0</v>
      </c>
      <c r="V24" s="168">
        <f>COUNTA(V3:V21)</f>
        <v>0</v>
      </c>
      <c r="W24" s="56" t="s">
        <v>90</v>
      </c>
      <c r="X24" s="51">
        <f t="shared" si="5"/>
        <v>0</v>
      </c>
    </row>
    <row r="25" spans="1:24" s="3" customFormat="1" ht="11.4">
      <c r="A25" s="57"/>
      <c r="B25" s="58" t="s">
        <v>95</v>
      </c>
      <c r="C25" s="59">
        <f>X25</f>
        <v>34</v>
      </c>
      <c r="D25" s="59"/>
      <c r="E25" s="58"/>
      <c r="F25" s="60" t="s">
        <v>96</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76"/>
      <c r="T25" s="165"/>
      <c r="U25" s="167"/>
      <c r="V25" s="169"/>
      <c r="W25" s="65" t="s">
        <v>90</v>
      </c>
      <c r="X25" s="66">
        <f t="shared" si="5"/>
        <v>34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492</v>
      </c>
      <c r="C4" s="73"/>
      <c r="D4" s="76"/>
      <c r="E4" s="76"/>
      <c r="F4" s="76"/>
      <c r="G4" s="77"/>
      <c r="H4" s="77"/>
      <c r="I4" s="77"/>
      <c r="J4" s="77"/>
      <c r="K4" s="77"/>
      <c r="L4" s="77"/>
      <c r="M4" s="77"/>
      <c r="N4" s="77"/>
      <c r="O4" s="77"/>
      <c r="P4" s="78"/>
    </row>
    <row r="5" spans="2:16" ht="13.2">
      <c r="B5" s="75" t="s">
        <v>493</v>
      </c>
      <c r="C5" s="73"/>
      <c r="D5" s="76"/>
      <c r="E5" s="76"/>
      <c r="F5" s="76"/>
      <c r="G5" s="77"/>
      <c r="H5" s="77"/>
      <c r="I5" s="77"/>
      <c r="J5" s="77"/>
      <c r="K5" s="77"/>
      <c r="L5" s="77"/>
      <c r="M5" s="77"/>
      <c r="N5" s="77"/>
      <c r="O5" s="77"/>
      <c r="P5" s="79"/>
    </row>
    <row r="6" spans="2:16" ht="13.2">
      <c r="B6" s="82" t="s">
        <v>494</v>
      </c>
      <c r="C6" s="181" t="s">
        <v>495</v>
      </c>
      <c r="D6" s="182"/>
      <c r="E6" s="80" t="s">
        <v>496</v>
      </c>
      <c r="F6" s="80" t="s">
        <v>497</v>
      </c>
      <c r="G6" s="183" t="s">
        <v>498</v>
      </c>
      <c r="H6" s="184"/>
      <c r="I6" s="184"/>
      <c r="J6" s="184"/>
      <c r="K6" s="184"/>
      <c r="L6" s="184"/>
      <c r="M6" s="184"/>
      <c r="N6" s="184"/>
      <c r="O6" s="184"/>
      <c r="P6" s="181"/>
    </row>
    <row r="7" spans="2:16" ht="22.2" customHeight="1">
      <c r="B7" s="83">
        <v>1</v>
      </c>
      <c r="C7" s="179" t="s">
        <v>499</v>
      </c>
      <c r="D7" s="179"/>
      <c r="E7" s="81">
        <v>1</v>
      </c>
      <c r="F7" s="81" t="s">
        <v>500</v>
      </c>
      <c r="G7" s="180" t="s">
        <v>501</v>
      </c>
      <c r="H7" s="180"/>
      <c r="I7" s="180"/>
      <c r="J7" s="180"/>
      <c r="K7" s="180"/>
      <c r="L7" s="180"/>
      <c r="M7" s="180"/>
      <c r="N7" s="180"/>
      <c r="O7" s="180"/>
      <c r="P7" s="180"/>
    </row>
    <row r="8" spans="2:16">
      <c r="B8" s="185">
        <v>2</v>
      </c>
      <c r="C8" s="179" t="s">
        <v>502</v>
      </c>
      <c r="D8" s="179"/>
      <c r="E8" s="179">
        <v>16</v>
      </c>
      <c r="F8" s="179" t="s">
        <v>503</v>
      </c>
      <c r="G8" s="186" t="s">
        <v>504</v>
      </c>
      <c r="H8" s="186"/>
      <c r="I8" s="186"/>
      <c r="J8" s="186"/>
      <c r="K8" s="186"/>
      <c r="L8" s="186"/>
      <c r="M8" s="186"/>
      <c r="N8" s="186"/>
      <c r="O8" s="186"/>
      <c r="P8" s="186"/>
    </row>
    <row r="9" spans="2:16">
      <c r="B9" s="185"/>
      <c r="C9" s="179"/>
      <c r="D9" s="179"/>
      <c r="E9" s="179"/>
      <c r="F9" s="179"/>
      <c r="G9" s="186"/>
      <c r="H9" s="186"/>
      <c r="I9" s="186"/>
      <c r="J9" s="186"/>
      <c r="K9" s="186"/>
      <c r="L9" s="186"/>
      <c r="M9" s="186"/>
      <c r="N9" s="186"/>
      <c r="O9" s="186"/>
      <c r="P9" s="186"/>
    </row>
    <row r="10" spans="2:16">
      <c r="B10" s="185"/>
      <c r="C10" s="179"/>
      <c r="D10" s="179"/>
      <c r="E10" s="179"/>
      <c r="F10" s="179"/>
      <c r="G10" s="186"/>
      <c r="H10" s="186"/>
      <c r="I10" s="186"/>
      <c r="J10" s="186"/>
      <c r="K10" s="186"/>
      <c r="L10" s="186"/>
      <c r="M10" s="186"/>
      <c r="N10" s="186"/>
      <c r="O10" s="186"/>
      <c r="P10" s="186"/>
    </row>
    <row r="11" spans="2:16" ht="36.6" customHeight="1">
      <c r="B11" s="185"/>
      <c r="C11" s="179"/>
      <c r="D11" s="179"/>
      <c r="E11" s="179"/>
      <c r="F11" s="179"/>
      <c r="G11" s="186"/>
      <c r="H11" s="186"/>
      <c r="I11" s="186"/>
      <c r="J11" s="186"/>
      <c r="K11" s="186"/>
      <c r="L11" s="186"/>
      <c r="M11" s="186"/>
      <c r="N11" s="186"/>
      <c r="O11" s="186"/>
      <c r="P11" s="186"/>
    </row>
    <row r="12" spans="2:16" ht="13.2">
      <c r="B12" s="83">
        <v>3</v>
      </c>
      <c r="C12" s="179" t="s">
        <v>505</v>
      </c>
      <c r="D12" s="179"/>
      <c r="E12" s="81">
        <v>1</v>
      </c>
      <c r="F12" s="81" t="s">
        <v>500</v>
      </c>
      <c r="G12" s="180" t="s">
        <v>506</v>
      </c>
      <c r="H12" s="180"/>
      <c r="I12" s="180"/>
      <c r="J12" s="180"/>
      <c r="K12" s="180"/>
      <c r="L12" s="180"/>
      <c r="M12" s="180"/>
      <c r="N12" s="180"/>
      <c r="O12" s="180"/>
      <c r="P12" s="180"/>
    </row>
    <row r="13" spans="2:16" ht="13.2">
      <c r="B13" s="83">
        <v>4</v>
      </c>
      <c r="C13" s="179" t="s">
        <v>507</v>
      </c>
      <c r="D13" s="179"/>
      <c r="E13" s="81">
        <v>4</v>
      </c>
      <c r="F13" s="81" t="s">
        <v>503</v>
      </c>
      <c r="G13" s="180" t="s">
        <v>508</v>
      </c>
      <c r="H13" s="180"/>
      <c r="I13" s="180"/>
      <c r="J13" s="180"/>
      <c r="K13" s="180"/>
      <c r="L13" s="180"/>
      <c r="M13" s="180"/>
      <c r="N13" s="180"/>
      <c r="O13" s="180"/>
      <c r="P13" s="180"/>
    </row>
    <row r="14" spans="2:16" ht="26.4" customHeight="1">
      <c r="B14" s="185">
        <v>5</v>
      </c>
      <c r="C14" s="179" t="s">
        <v>509</v>
      </c>
      <c r="D14" s="179"/>
      <c r="E14" s="179">
        <v>16</v>
      </c>
      <c r="F14" s="179" t="s">
        <v>503</v>
      </c>
      <c r="G14" s="186" t="s">
        <v>510</v>
      </c>
      <c r="H14" s="186"/>
      <c r="I14" s="186"/>
      <c r="J14" s="186"/>
      <c r="K14" s="186"/>
      <c r="L14" s="186"/>
      <c r="M14" s="186"/>
      <c r="N14" s="186"/>
      <c r="O14" s="186"/>
      <c r="P14" s="186"/>
    </row>
    <row r="15" spans="2:16">
      <c r="B15" s="185"/>
      <c r="C15" s="179"/>
      <c r="D15" s="179"/>
      <c r="E15" s="179"/>
      <c r="F15" s="179"/>
      <c r="G15" s="186"/>
      <c r="H15" s="186"/>
      <c r="I15" s="186"/>
      <c r="J15" s="186"/>
      <c r="K15" s="186"/>
      <c r="L15" s="186"/>
      <c r="M15" s="186"/>
      <c r="N15" s="186"/>
      <c r="O15" s="186"/>
      <c r="P15" s="186"/>
    </row>
    <row r="16" spans="2:16">
      <c r="B16" s="185"/>
      <c r="C16" s="179"/>
      <c r="D16" s="179"/>
      <c r="E16" s="179"/>
      <c r="F16" s="179"/>
      <c r="G16" s="186"/>
      <c r="H16" s="186"/>
      <c r="I16" s="186"/>
      <c r="J16" s="186"/>
      <c r="K16" s="186"/>
      <c r="L16" s="186"/>
      <c r="M16" s="186"/>
      <c r="N16" s="186"/>
      <c r="O16" s="186"/>
      <c r="P16" s="186"/>
    </row>
    <row r="17" spans="2:16">
      <c r="B17" s="185"/>
      <c r="C17" s="179"/>
      <c r="D17" s="179"/>
      <c r="E17" s="179"/>
      <c r="F17" s="179"/>
      <c r="G17" s="186"/>
      <c r="H17" s="186"/>
      <c r="I17" s="186"/>
      <c r="J17" s="186"/>
      <c r="K17" s="186"/>
      <c r="L17" s="186"/>
      <c r="M17" s="186"/>
      <c r="N17" s="186"/>
      <c r="O17" s="186"/>
      <c r="P17" s="186"/>
    </row>
    <row r="18" spans="2:16" ht="13.2">
      <c r="B18" s="83">
        <v>6</v>
      </c>
      <c r="C18" s="179" t="s">
        <v>511</v>
      </c>
      <c r="D18" s="179"/>
      <c r="E18" s="81">
        <v>1</v>
      </c>
      <c r="F18" s="81" t="s">
        <v>500</v>
      </c>
      <c r="G18" s="180" t="s">
        <v>512</v>
      </c>
      <c r="H18" s="180"/>
      <c r="I18" s="180"/>
      <c r="J18" s="180"/>
      <c r="K18" s="180"/>
      <c r="L18" s="180"/>
      <c r="M18" s="180"/>
      <c r="N18" s="180"/>
      <c r="O18" s="180"/>
      <c r="P18" s="180"/>
    </row>
    <row r="19" spans="2:16">
      <c r="B19" s="187">
        <v>7</v>
      </c>
      <c r="C19" s="188" t="s">
        <v>513</v>
      </c>
      <c r="D19" s="188"/>
      <c r="E19" s="188">
        <v>41</v>
      </c>
      <c r="F19" s="188" t="s">
        <v>514</v>
      </c>
      <c r="G19" s="186" t="s">
        <v>515</v>
      </c>
      <c r="H19" s="186"/>
      <c r="I19" s="186"/>
      <c r="J19" s="186"/>
      <c r="K19" s="186"/>
      <c r="L19" s="186"/>
      <c r="M19" s="186"/>
      <c r="N19" s="186"/>
      <c r="O19" s="186"/>
      <c r="P19" s="186"/>
    </row>
    <row r="20" spans="2:16">
      <c r="B20" s="187"/>
      <c r="C20" s="188"/>
      <c r="D20" s="188"/>
      <c r="E20" s="188"/>
      <c r="F20" s="188"/>
      <c r="G20" s="186"/>
      <c r="H20" s="186"/>
      <c r="I20" s="186"/>
      <c r="J20" s="186"/>
      <c r="K20" s="186"/>
      <c r="L20" s="186"/>
      <c r="M20" s="186"/>
      <c r="N20" s="186"/>
      <c r="O20" s="186"/>
      <c r="P20" s="186"/>
    </row>
    <row r="21" spans="2:16" ht="28.2" customHeight="1">
      <c r="B21" s="187"/>
      <c r="C21" s="188"/>
      <c r="D21" s="188"/>
      <c r="E21" s="188"/>
      <c r="F21" s="188"/>
      <c r="G21" s="186"/>
      <c r="H21" s="186"/>
      <c r="I21" s="186"/>
      <c r="J21" s="186"/>
      <c r="K21" s="186"/>
      <c r="L21" s="186"/>
      <c r="M21" s="186"/>
      <c r="N21" s="186"/>
      <c r="O21" s="186"/>
      <c r="P21" s="186"/>
    </row>
  </sheetData>
  <mergeCells count="25">
    <mergeCell ref="C18:D18"/>
    <mergeCell ref="G18:P18"/>
    <mergeCell ref="B19:B21"/>
    <mergeCell ref="C19:D21"/>
    <mergeCell ref="E19:E21"/>
    <mergeCell ref="F19:F21"/>
    <mergeCell ref="G19:P21"/>
    <mergeCell ref="C13:D13"/>
    <mergeCell ref="G13:P13"/>
    <mergeCell ref="B14:B17"/>
    <mergeCell ref="C14:D17"/>
    <mergeCell ref="E14:E17"/>
    <mergeCell ref="F14:F17"/>
    <mergeCell ref="G14:P17"/>
    <mergeCell ref="B8:B11"/>
    <mergeCell ref="C8:D11"/>
    <mergeCell ref="E8:E11"/>
    <mergeCell ref="F8:F11"/>
    <mergeCell ref="G8:P11"/>
    <mergeCell ref="C12:D12"/>
    <mergeCell ref="G12:P12"/>
    <mergeCell ref="C6:D6"/>
    <mergeCell ref="G6:P6"/>
    <mergeCell ref="C7:D7"/>
    <mergeCell ref="G7:P7"/>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 activePane="bottomLeft" state="frozen"/>
      <selection pane="bottomLeft"/>
    </sheetView>
  </sheetViews>
  <sheetFormatPr defaultRowHeight="13.2"/>
  <cols>
    <col min="1" max="1" width="12.375" style="79" customWidth="1"/>
    <col min="2" max="2" width="10.125" style="79" customWidth="1"/>
    <col min="3" max="3" width="9.75" style="79" customWidth="1"/>
    <col min="4" max="4" width="38.75" style="79" customWidth="1"/>
    <col min="5" max="5" width="10.125" style="79" customWidth="1"/>
    <col min="6" max="6" width="36.75" style="79" customWidth="1"/>
    <col min="7" max="11" width="10.125" style="79" customWidth="1"/>
    <col min="12" max="12" width="12.75" style="79" customWidth="1"/>
    <col min="13" max="14" width="0" style="79" hidden="1" customWidth="1"/>
    <col min="15" max="18" width="9" style="79"/>
    <col min="19" max="19" width="5.25" style="79" customWidth="1"/>
    <col min="20" max="256" width="9" style="79"/>
    <col min="257" max="257" width="12.375" style="79" customWidth="1"/>
    <col min="258" max="258" width="10.125" style="79" customWidth="1"/>
    <col min="259" max="259" width="9.75" style="79" customWidth="1"/>
    <col min="260" max="260" width="38.75" style="79" customWidth="1"/>
    <col min="261" max="261" width="10.125" style="79" customWidth="1"/>
    <col min="262" max="262" width="36.75" style="79" customWidth="1"/>
    <col min="263" max="267" width="10.125" style="79" customWidth="1"/>
    <col min="268" max="268" width="12.75" style="79" customWidth="1"/>
    <col min="269" max="270" width="0" style="79" hidden="1" customWidth="1"/>
    <col min="271" max="274" width="9" style="79"/>
    <col min="275" max="275" width="5.25" style="79" customWidth="1"/>
    <col min="276" max="512" width="9" style="79"/>
    <col min="513" max="513" width="12.375" style="79" customWidth="1"/>
    <col min="514" max="514" width="10.125" style="79" customWidth="1"/>
    <col min="515" max="515" width="9.75" style="79" customWidth="1"/>
    <col min="516" max="516" width="38.75" style="79" customWidth="1"/>
    <col min="517" max="517" width="10.125" style="79" customWidth="1"/>
    <col min="518" max="518" width="36.75" style="79" customWidth="1"/>
    <col min="519" max="523" width="10.125" style="79" customWidth="1"/>
    <col min="524" max="524" width="12.75" style="79" customWidth="1"/>
    <col min="525" max="526" width="0" style="79" hidden="1" customWidth="1"/>
    <col min="527" max="530" width="9" style="79"/>
    <col min="531" max="531" width="5.25" style="79" customWidth="1"/>
    <col min="532" max="768" width="9" style="79"/>
    <col min="769" max="769" width="12.375" style="79" customWidth="1"/>
    <col min="770" max="770" width="10.125" style="79" customWidth="1"/>
    <col min="771" max="771" width="9.75" style="79" customWidth="1"/>
    <col min="772" max="772" width="38.75" style="79" customWidth="1"/>
    <col min="773" max="773" width="10.125" style="79" customWidth="1"/>
    <col min="774" max="774" width="36.75" style="79" customWidth="1"/>
    <col min="775" max="779" width="10.125" style="79" customWidth="1"/>
    <col min="780" max="780" width="12.75" style="79" customWidth="1"/>
    <col min="781" max="782" width="0" style="79" hidden="1" customWidth="1"/>
    <col min="783" max="786" width="9" style="79"/>
    <col min="787" max="787" width="5.25" style="79" customWidth="1"/>
    <col min="788" max="1024" width="9" style="79"/>
    <col min="1025" max="1025" width="12.375" style="79" customWidth="1"/>
    <col min="1026" max="1026" width="10.125" style="79" customWidth="1"/>
    <col min="1027" max="1027" width="9.75" style="79" customWidth="1"/>
    <col min="1028" max="1028" width="38.75" style="79" customWidth="1"/>
    <col min="1029" max="1029" width="10.125" style="79" customWidth="1"/>
    <col min="1030" max="1030" width="36.75" style="79" customWidth="1"/>
    <col min="1031" max="1035" width="10.125" style="79" customWidth="1"/>
    <col min="1036" max="1036" width="12.75" style="79" customWidth="1"/>
    <col min="1037" max="1038" width="0" style="79" hidden="1" customWidth="1"/>
    <col min="1039" max="1042" width="9" style="79"/>
    <col min="1043" max="1043" width="5.25" style="79" customWidth="1"/>
    <col min="1044" max="1280" width="9" style="79"/>
    <col min="1281" max="1281" width="12.375" style="79" customWidth="1"/>
    <col min="1282" max="1282" width="10.125" style="79" customWidth="1"/>
    <col min="1283" max="1283" width="9.75" style="79" customWidth="1"/>
    <col min="1284" max="1284" width="38.75" style="79" customWidth="1"/>
    <col min="1285" max="1285" width="10.125" style="79" customWidth="1"/>
    <col min="1286" max="1286" width="36.75" style="79" customWidth="1"/>
    <col min="1287" max="1291" width="10.125" style="79" customWidth="1"/>
    <col min="1292" max="1292" width="12.75" style="79" customWidth="1"/>
    <col min="1293" max="1294" width="0" style="79" hidden="1" customWidth="1"/>
    <col min="1295" max="1298" width="9" style="79"/>
    <col min="1299" max="1299" width="5.25" style="79" customWidth="1"/>
    <col min="1300" max="1536" width="9" style="79"/>
    <col min="1537" max="1537" width="12.375" style="79" customWidth="1"/>
    <col min="1538" max="1538" width="10.125" style="79" customWidth="1"/>
    <col min="1539" max="1539" width="9.75" style="79" customWidth="1"/>
    <col min="1540" max="1540" width="38.75" style="79" customWidth="1"/>
    <col min="1541" max="1541" width="10.125" style="79" customWidth="1"/>
    <col min="1542" max="1542" width="36.75" style="79" customWidth="1"/>
    <col min="1543" max="1547" width="10.125" style="79" customWidth="1"/>
    <col min="1548" max="1548" width="12.75" style="79" customWidth="1"/>
    <col min="1549" max="1550" width="0" style="79" hidden="1" customWidth="1"/>
    <col min="1551" max="1554" width="9" style="79"/>
    <col min="1555" max="1555" width="5.25" style="79" customWidth="1"/>
    <col min="1556" max="1792" width="9" style="79"/>
    <col min="1793" max="1793" width="12.375" style="79" customWidth="1"/>
    <col min="1794" max="1794" width="10.125" style="79" customWidth="1"/>
    <col min="1795" max="1795" width="9.75" style="79" customWidth="1"/>
    <col min="1796" max="1796" width="38.75" style="79" customWidth="1"/>
    <col min="1797" max="1797" width="10.125" style="79" customWidth="1"/>
    <col min="1798" max="1798" width="36.75" style="79" customWidth="1"/>
    <col min="1799" max="1803" width="10.125" style="79" customWidth="1"/>
    <col min="1804" max="1804" width="12.75" style="79" customWidth="1"/>
    <col min="1805" max="1806" width="0" style="79" hidden="1" customWidth="1"/>
    <col min="1807" max="1810" width="9" style="79"/>
    <col min="1811" max="1811" width="5.25" style="79" customWidth="1"/>
    <col min="1812" max="2048" width="9" style="79"/>
    <col min="2049" max="2049" width="12.375" style="79" customWidth="1"/>
    <col min="2050" max="2050" width="10.125" style="79" customWidth="1"/>
    <col min="2051" max="2051" width="9.75" style="79" customWidth="1"/>
    <col min="2052" max="2052" width="38.75" style="79" customWidth="1"/>
    <col min="2053" max="2053" width="10.125" style="79" customWidth="1"/>
    <col min="2054" max="2054" width="36.75" style="79" customWidth="1"/>
    <col min="2055" max="2059" width="10.125" style="79" customWidth="1"/>
    <col min="2060" max="2060" width="12.75" style="79" customWidth="1"/>
    <col min="2061" max="2062" width="0" style="79" hidden="1" customWidth="1"/>
    <col min="2063" max="2066" width="9" style="79"/>
    <col min="2067" max="2067" width="5.25" style="79" customWidth="1"/>
    <col min="2068" max="2304" width="9" style="79"/>
    <col min="2305" max="2305" width="12.375" style="79" customWidth="1"/>
    <col min="2306" max="2306" width="10.125" style="79" customWidth="1"/>
    <col min="2307" max="2307" width="9.75" style="79" customWidth="1"/>
    <col min="2308" max="2308" width="38.75" style="79" customWidth="1"/>
    <col min="2309" max="2309" width="10.125" style="79" customWidth="1"/>
    <col min="2310" max="2310" width="36.75" style="79" customWidth="1"/>
    <col min="2311" max="2315" width="10.125" style="79" customWidth="1"/>
    <col min="2316" max="2316" width="12.75" style="79" customWidth="1"/>
    <col min="2317" max="2318" width="0" style="79" hidden="1" customWidth="1"/>
    <col min="2319" max="2322" width="9" style="79"/>
    <col min="2323" max="2323" width="5.25" style="79" customWidth="1"/>
    <col min="2324" max="2560" width="9" style="79"/>
    <col min="2561" max="2561" width="12.375" style="79" customWidth="1"/>
    <col min="2562" max="2562" width="10.125" style="79" customWidth="1"/>
    <col min="2563" max="2563" width="9.75" style="79" customWidth="1"/>
    <col min="2564" max="2564" width="38.75" style="79" customWidth="1"/>
    <col min="2565" max="2565" width="10.125" style="79" customWidth="1"/>
    <col min="2566" max="2566" width="36.75" style="79" customWidth="1"/>
    <col min="2567" max="2571" width="10.125" style="79" customWidth="1"/>
    <col min="2572" max="2572" width="12.75" style="79" customWidth="1"/>
    <col min="2573" max="2574" width="0" style="79" hidden="1" customWidth="1"/>
    <col min="2575" max="2578" width="9" style="79"/>
    <col min="2579" max="2579" width="5.25" style="79" customWidth="1"/>
    <col min="2580" max="2816" width="9" style="79"/>
    <col min="2817" max="2817" width="12.375" style="79" customWidth="1"/>
    <col min="2818" max="2818" width="10.125" style="79" customWidth="1"/>
    <col min="2819" max="2819" width="9.75" style="79" customWidth="1"/>
    <col min="2820" max="2820" width="38.75" style="79" customWidth="1"/>
    <col min="2821" max="2821" width="10.125" style="79" customWidth="1"/>
    <col min="2822" max="2822" width="36.75" style="79" customWidth="1"/>
    <col min="2823" max="2827" width="10.125" style="79" customWidth="1"/>
    <col min="2828" max="2828" width="12.75" style="79" customWidth="1"/>
    <col min="2829" max="2830" width="0" style="79" hidden="1" customWidth="1"/>
    <col min="2831" max="2834" width="9" style="79"/>
    <col min="2835" max="2835" width="5.25" style="79" customWidth="1"/>
    <col min="2836" max="3072" width="9" style="79"/>
    <col min="3073" max="3073" width="12.375" style="79" customWidth="1"/>
    <col min="3074" max="3074" width="10.125" style="79" customWidth="1"/>
    <col min="3075" max="3075" width="9.75" style="79" customWidth="1"/>
    <col min="3076" max="3076" width="38.75" style="79" customWidth="1"/>
    <col min="3077" max="3077" width="10.125" style="79" customWidth="1"/>
    <col min="3078" max="3078" width="36.75" style="79" customWidth="1"/>
    <col min="3079" max="3083" width="10.125" style="79" customWidth="1"/>
    <col min="3084" max="3084" width="12.75" style="79" customWidth="1"/>
    <col min="3085" max="3086" width="0" style="79" hidden="1" customWidth="1"/>
    <col min="3087" max="3090" width="9" style="79"/>
    <col min="3091" max="3091" width="5.25" style="79" customWidth="1"/>
    <col min="3092" max="3328" width="9" style="79"/>
    <col min="3329" max="3329" width="12.375" style="79" customWidth="1"/>
    <col min="3330" max="3330" width="10.125" style="79" customWidth="1"/>
    <col min="3331" max="3331" width="9.75" style="79" customWidth="1"/>
    <col min="3332" max="3332" width="38.75" style="79" customWidth="1"/>
    <col min="3333" max="3333" width="10.125" style="79" customWidth="1"/>
    <col min="3334" max="3334" width="36.75" style="79" customWidth="1"/>
    <col min="3335" max="3339" width="10.125" style="79" customWidth="1"/>
    <col min="3340" max="3340" width="12.75" style="79" customWidth="1"/>
    <col min="3341" max="3342" width="0" style="79" hidden="1" customWidth="1"/>
    <col min="3343" max="3346" width="9" style="79"/>
    <col min="3347" max="3347" width="5.25" style="79" customWidth="1"/>
    <col min="3348" max="3584" width="9" style="79"/>
    <col min="3585" max="3585" width="12.375" style="79" customWidth="1"/>
    <col min="3586" max="3586" width="10.125" style="79" customWidth="1"/>
    <col min="3587" max="3587" width="9.75" style="79" customWidth="1"/>
    <col min="3588" max="3588" width="38.75" style="79" customWidth="1"/>
    <col min="3589" max="3589" width="10.125" style="79" customWidth="1"/>
    <col min="3590" max="3590" width="36.75" style="79" customWidth="1"/>
    <col min="3591" max="3595" width="10.125" style="79" customWidth="1"/>
    <col min="3596" max="3596" width="12.75" style="79" customWidth="1"/>
    <col min="3597" max="3598" width="0" style="79" hidden="1" customWidth="1"/>
    <col min="3599" max="3602" width="9" style="79"/>
    <col min="3603" max="3603" width="5.25" style="79" customWidth="1"/>
    <col min="3604" max="3840" width="9" style="79"/>
    <col min="3841" max="3841" width="12.375" style="79" customWidth="1"/>
    <col min="3842" max="3842" width="10.125" style="79" customWidth="1"/>
    <col min="3843" max="3843" width="9.75" style="79" customWidth="1"/>
    <col min="3844" max="3844" width="38.75" style="79" customWidth="1"/>
    <col min="3845" max="3845" width="10.125" style="79" customWidth="1"/>
    <col min="3846" max="3846" width="36.75" style="79" customWidth="1"/>
    <col min="3847" max="3851" width="10.125" style="79" customWidth="1"/>
    <col min="3852" max="3852" width="12.75" style="79" customWidth="1"/>
    <col min="3853" max="3854" width="0" style="79" hidden="1" customWidth="1"/>
    <col min="3855" max="3858" width="9" style="79"/>
    <col min="3859" max="3859" width="5.25" style="79" customWidth="1"/>
    <col min="3860" max="4096" width="9" style="79"/>
    <col min="4097" max="4097" width="12.375" style="79" customWidth="1"/>
    <col min="4098" max="4098" width="10.125" style="79" customWidth="1"/>
    <col min="4099" max="4099" width="9.75" style="79" customWidth="1"/>
    <col min="4100" max="4100" width="38.75" style="79" customWidth="1"/>
    <col min="4101" max="4101" width="10.125" style="79" customWidth="1"/>
    <col min="4102" max="4102" width="36.75" style="79" customWidth="1"/>
    <col min="4103" max="4107" width="10.125" style="79" customWidth="1"/>
    <col min="4108" max="4108" width="12.75" style="79" customWidth="1"/>
    <col min="4109" max="4110" width="0" style="79" hidden="1" customWidth="1"/>
    <col min="4111" max="4114" width="9" style="79"/>
    <col min="4115" max="4115" width="5.25" style="79" customWidth="1"/>
    <col min="4116" max="4352" width="9" style="79"/>
    <col min="4353" max="4353" width="12.375" style="79" customWidth="1"/>
    <col min="4354" max="4354" width="10.125" style="79" customWidth="1"/>
    <col min="4355" max="4355" width="9.75" style="79" customWidth="1"/>
    <col min="4356" max="4356" width="38.75" style="79" customWidth="1"/>
    <col min="4357" max="4357" width="10.125" style="79" customWidth="1"/>
    <col min="4358" max="4358" width="36.75" style="79" customWidth="1"/>
    <col min="4359" max="4363" width="10.125" style="79" customWidth="1"/>
    <col min="4364" max="4364" width="12.75" style="79" customWidth="1"/>
    <col min="4365" max="4366" width="0" style="79" hidden="1" customWidth="1"/>
    <col min="4367" max="4370" width="9" style="79"/>
    <col min="4371" max="4371" width="5.25" style="79" customWidth="1"/>
    <col min="4372" max="4608" width="9" style="79"/>
    <col min="4609" max="4609" width="12.375" style="79" customWidth="1"/>
    <col min="4610" max="4610" width="10.125" style="79" customWidth="1"/>
    <col min="4611" max="4611" width="9.75" style="79" customWidth="1"/>
    <col min="4612" max="4612" width="38.75" style="79" customWidth="1"/>
    <col min="4613" max="4613" width="10.125" style="79" customWidth="1"/>
    <col min="4614" max="4614" width="36.75" style="79" customWidth="1"/>
    <col min="4615" max="4619" width="10.125" style="79" customWidth="1"/>
    <col min="4620" max="4620" width="12.75" style="79" customWidth="1"/>
    <col min="4621" max="4622" width="0" style="79" hidden="1" customWidth="1"/>
    <col min="4623" max="4626" width="9" style="79"/>
    <col min="4627" max="4627" width="5.25" style="79" customWidth="1"/>
    <col min="4628" max="4864" width="9" style="79"/>
    <col min="4865" max="4865" width="12.375" style="79" customWidth="1"/>
    <col min="4866" max="4866" width="10.125" style="79" customWidth="1"/>
    <col min="4867" max="4867" width="9.75" style="79" customWidth="1"/>
    <col min="4868" max="4868" width="38.75" style="79" customWidth="1"/>
    <col min="4869" max="4869" width="10.125" style="79" customWidth="1"/>
    <col min="4870" max="4870" width="36.75" style="79" customWidth="1"/>
    <col min="4871" max="4875" width="10.125" style="79" customWidth="1"/>
    <col min="4876" max="4876" width="12.75" style="79" customWidth="1"/>
    <col min="4877" max="4878" width="0" style="79" hidden="1" customWidth="1"/>
    <col min="4879" max="4882" width="9" style="79"/>
    <col min="4883" max="4883" width="5.25" style="79" customWidth="1"/>
    <col min="4884" max="5120" width="9" style="79"/>
    <col min="5121" max="5121" width="12.375" style="79" customWidth="1"/>
    <col min="5122" max="5122" width="10.125" style="79" customWidth="1"/>
    <col min="5123" max="5123" width="9.75" style="79" customWidth="1"/>
    <col min="5124" max="5124" width="38.75" style="79" customWidth="1"/>
    <col min="5125" max="5125" width="10.125" style="79" customWidth="1"/>
    <col min="5126" max="5126" width="36.75" style="79" customWidth="1"/>
    <col min="5127" max="5131" width="10.125" style="79" customWidth="1"/>
    <col min="5132" max="5132" width="12.75" style="79" customWidth="1"/>
    <col min="5133" max="5134" width="0" style="79" hidden="1" customWidth="1"/>
    <col min="5135" max="5138" width="9" style="79"/>
    <col min="5139" max="5139" width="5.25" style="79" customWidth="1"/>
    <col min="5140" max="5376" width="9" style="79"/>
    <col min="5377" max="5377" width="12.375" style="79" customWidth="1"/>
    <col min="5378" max="5378" width="10.125" style="79" customWidth="1"/>
    <col min="5379" max="5379" width="9.75" style="79" customWidth="1"/>
    <col min="5380" max="5380" width="38.75" style="79" customWidth="1"/>
    <col min="5381" max="5381" width="10.125" style="79" customWidth="1"/>
    <col min="5382" max="5382" width="36.75" style="79" customWidth="1"/>
    <col min="5383" max="5387" width="10.125" style="79" customWidth="1"/>
    <col min="5388" max="5388" width="12.75" style="79" customWidth="1"/>
    <col min="5389" max="5390" width="0" style="79" hidden="1" customWidth="1"/>
    <col min="5391" max="5394" width="9" style="79"/>
    <col min="5395" max="5395" width="5.25" style="79" customWidth="1"/>
    <col min="5396" max="5632" width="9" style="79"/>
    <col min="5633" max="5633" width="12.375" style="79" customWidth="1"/>
    <col min="5634" max="5634" width="10.125" style="79" customWidth="1"/>
    <col min="5635" max="5635" width="9.75" style="79" customWidth="1"/>
    <col min="5636" max="5636" width="38.75" style="79" customWidth="1"/>
    <col min="5637" max="5637" width="10.125" style="79" customWidth="1"/>
    <col min="5638" max="5638" width="36.75" style="79" customWidth="1"/>
    <col min="5639" max="5643" width="10.125" style="79" customWidth="1"/>
    <col min="5644" max="5644" width="12.75" style="79" customWidth="1"/>
    <col min="5645" max="5646" width="0" style="79" hidden="1" customWidth="1"/>
    <col min="5647" max="5650" width="9" style="79"/>
    <col min="5651" max="5651" width="5.25" style="79" customWidth="1"/>
    <col min="5652" max="5888" width="9" style="79"/>
    <col min="5889" max="5889" width="12.375" style="79" customWidth="1"/>
    <col min="5890" max="5890" width="10.125" style="79" customWidth="1"/>
    <col min="5891" max="5891" width="9.75" style="79" customWidth="1"/>
    <col min="5892" max="5892" width="38.75" style="79" customWidth="1"/>
    <col min="5893" max="5893" width="10.125" style="79" customWidth="1"/>
    <col min="5894" max="5894" width="36.75" style="79" customWidth="1"/>
    <col min="5895" max="5899" width="10.125" style="79" customWidth="1"/>
    <col min="5900" max="5900" width="12.75" style="79" customWidth="1"/>
    <col min="5901" max="5902" width="0" style="79" hidden="1" customWidth="1"/>
    <col min="5903" max="5906" width="9" style="79"/>
    <col min="5907" max="5907" width="5.25" style="79" customWidth="1"/>
    <col min="5908" max="6144" width="9" style="79"/>
    <col min="6145" max="6145" width="12.375" style="79" customWidth="1"/>
    <col min="6146" max="6146" width="10.125" style="79" customWidth="1"/>
    <col min="6147" max="6147" width="9.75" style="79" customWidth="1"/>
    <col min="6148" max="6148" width="38.75" style="79" customWidth="1"/>
    <col min="6149" max="6149" width="10.125" style="79" customWidth="1"/>
    <col min="6150" max="6150" width="36.75" style="79" customWidth="1"/>
    <col min="6151" max="6155" width="10.125" style="79" customWidth="1"/>
    <col min="6156" max="6156" width="12.75" style="79" customWidth="1"/>
    <col min="6157" max="6158" width="0" style="79" hidden="1" customWidth="1"/>
    <col min="6159" max="6162" width="9" style="79"/>
    <col min="6163" max="6163" width="5.25" style="79" customWidth="1"/>
    <col min="6164" max="6400" width="9" style="79"/>
    <col min="6401" max="6401" width="12.375" style="79" customWidth="1"/>
    <col min="6402" max="6402" width="10.125" style="79" customWidth="1"/>
    <col min="6403" max="6403" width="9.75" style="79" customWidth="1"/>
    <col min="6404" max="6404" width="38.75" style="79" customWidth="1"/>
    <col min="6405" max="6405" width="10.125" style="79" customWidth="1"/>
    <col min="6406" max="6406" width="36.75" style="79" customWidth="1"/>
    <col min="6407" max="6411" width="10.125" style="79" customWidth="1"/>
    <col min="6412" max="6412" width="12.75" style="79" customWidth="1"/>
    <col min="6413" max="6414" width="0" style="79" hidden="1" customWidth="1"/>
    <col min="6415" max="6418" width="9" style="79"/>
    <col min="6419" max="6419" width="5.25" style="79" customWidth="1"/>
    <col min="6420" max="6656" width="9" style="79"/>
    <col min="6657" max="6657" width="12.375" style="79" customWidth="1"/>
    <col min="6658" max="6658" width="10.125" style="79" customWidth="1"/>
    <col min="6659" max="6659" width="9.75" style="79" customWidth="1"/>
    <col min="6660" max="6660" width="38.75" style="79" customWidth="1"/>
    <col min="6661" max="6661" width="10.125" style="79" customWidth="1"/>
    <col min="6662" max="6662" width="36.75" style="79" customWidth="1"/>
    <col min="6663" max="6667" width="10.125" style="79" customWidth="1"/>
    <col min="6668" max="6668" width="12.75" style="79" customWidth="1"/>
    <col min="6669" max="6670" width="0" style="79" hidden="1" customWidth="1"/>
    <col min="6671" max="6674" width="9" style="79"/>
    <col min="6675" max="6675" width="5.25" style="79" customWidth="1"/>
    <col min="6676" max="6912" width="9" style="79"/>
    <col min="6913" max="6913" width="12.375" style="79" customWidth="1"/>
    <col min="6914" max="6914" width="10.125" style="79" customWidth="1"/>
    <col min="6915" max="6915" width="9.75" style="79" customWidth="1"/>
    <col min="6916" max="6916" width="38.75" style="79" customWidth="1"/>
    <col min="6917" max="6917" width="10.125" style="79" customWidth="1"/>
    <col min="6918" max="6918" width="36.75" style="79" customWidth="1"/>
    <col min="6919" max="6923" width="10.125" style="79" customWidth="1"/>
    <col min="6924" max="6924" width="12.75" style="79" customWidth="1"/>
    <col min="6925" max="6926" width="0" style="79" hidden="1" customWidth="1"/>
    <col min="6927" max="6930" width="9" style="79"/>
    <col min="6931" max="6931" width="5.25" style="79" customWidth="1"/>
    <col min="6932" max="7168" width="9" style="79"/>
    <col min="7169" max="7169" width="12.375" style="79" customWidth="1"/>
    <col min="7170" max="7170" width="10.125" style="79" customWidth="1"/>
    <col min="7171" max="7171" width="9.75" style="79" customWidth="1"/>
    <col min="7172" max="7172" width="38.75" style="79" customWidth="1"/>
    <col min="7173" max="7173" width="10.125" style="79" customWidth="1"/>
    <col min="7174" max="7174" width="36.75" style="79" customWidth="1"/>
    <col min="7175" max="7179" width="10.125" style="79" customWidth="1"/>
    <col min="7180" max="7180" width="12.75" style="79" customWidth="1"/>
    <col min="7181" max="7182" width="0" style="79" hidden="1" customWidth="1"/>
    <col min="7183" max="7186" width="9" style="79"/>
    <col min="7187" max="7187" width="5.25" style="79" customWidth="1"/>
    <col min="7188" max="7424" width="9" style="79"/>
    <col min="7425" max="7425" width="12.375" style="79" customWidth="1"/>
    <col min="7426" max="7426" width="10.125" style="79" customWidth="1"/>
    <col min="7427" max="7427" width="9.75" style="79" customWidth="1"/>
    <col min="7428" max="7428" width="38.75" style="79" customWidth="1"/>
    <col min="7429" max="7429" width="10.125" style="79" customWidth="1"/>
    <col min="7430" max="7430" width="36.75" style="79" customWidth="1"/>
    <col min="7431" max="7435" width="10.125" style="79" customWidth="1"/>
    <col min="7436" max="7436" width="12.75" style="79" customWidth="1"/>
    <col min="7437" max="7438" width="0" style="79" hidden="1" customWidth="1"/>
    <col min="7439" max="7442" width="9" style="79"/>
    <col min="7443" max="7443" width="5.25" style="79" customWidth="1"/>
    <col min="7444" max="7680" width="9" style="79"/>
    <col min="7681" max="7681" width="12.375" style="79" customWidth="1"/>
    <col min="7682" max="7682" width="10.125" style="79" customWidth="1"/>
    <col min="7683" max="7683" width="9.75" style="79" customWidth="1"/>
    <col min="7684" max="7684" width="38.75" style="79" customWidth="1"/>
    <col min="7685" max="7685" width="10.125" style="79" customWidth="1"/>
    <col min="7686" max="7686" width="36.75" style="79" customWidth="1"/>
    <col min="7687" max="7691" width="10.125" style="79" customWidth="1"/>
    <col min="7692" max="7692" width="12.75" style="79" customWidth="1"/>
    <col min="7693" max="7694" width="0" style="79" hidden="1" customWidth="1"/>
    <col min="7695" max="7698" width="9" style="79"/>
    <col min="7699" max="7699" width="5.25" style="79" customWidth="1"/>
    <col min="7700" max="7936" width="9" style="79"/>
    <col min="7937" max="7937" width="12.375" style="79" customWidth="1"/>
    <col min="7938" max="7938" width="10.125" style="79" customWidth="1"/>
    <col min="7939" max="7939" width="9.75" style="79" customWidth="1"/>
    <col min="7940" max="7940" width="38.75" style="79" customWidth="1"/>
    <col min="7941" max="7941" width="10.125" style="79" customWidth="1"/>
    <col min="7942" max="7942" width="36.75" style="79" customWidth="1"/>
    <col min="7943" max="7947" width="10.125" style="79" customWidth="1"/>
    <col min="7948" max="7948" width="12.75" style="79" customWidth="1"/>
    <col min="7949" max="7950" width="0" style="79" hidden="1" customWidth="1"/>
    <col min="7951" max="7954" width="9" style="79"/>
    <col min="7955" max="7955" width="5.25" style="79" customWidth="1"/>
    <col min="7956" max="8192" width="9" style="79"/>
    <col min="8193" max="8193" width="12.375" style="79" customWidth="1"/>
    <col min="8194" max="8194" width="10.125" style="79" customWidth="1"/>
    <col min="8195" max="8195" width="9.75" style="79" customWidth="1"/>
    <col min="8196" max="8196" width="38.75" style="79" customWidth="1"/>
    <col min="8197" max="8197" width="10.125" style="79" customWidth="1"/>
    <col min="8198" max="8198" width="36.75" style="79" customWidth="1"/>
    <col min="8199" max="8203" width="10.125" style="79" customWidth="1"/>
    <col min="8204" max="8204" width="12.75" style="79" customWidth="1"/>
    <col min="8205" max="8206" width="0" style="79" hidden="1" customWidth="1"/>
    <col min="8207" max="8210" width="9" style="79"/>
    <col min="8211" max="8211" width="5.25" style="79" customWidth="1"/>
    <col min="8212" max="8448" width="9" style="79"/>
    <col min="8449" max="8449" width="12.375" style="79" customWidth="1"/>
    <col min="8450" max="8450" width="10.125" style="79" customWidth="1"/>
    <col min="8451" max="8451" width="9.75" style="79" customWidth="1"/>
    <col min="8452" max="8452" width="38.75" style="79" customWidth="1"/>
    <col min="8453" max="8453" width="10.125" style="79" customWidth="1"/>
    <col min="8454" max="8454" width="36.75" style="79" customWidth="1"/>
    <col min="8455" max="8459" width="10.125" style="79" customWidth="1"/>
    <col min="8460" max="8460" width="12.75" style="79" customWidth="1"/>
    <col min="8461" max="8462" width="0" style="79" hidden="1" customWidth="1"/>
    <col min="8463" max="8466" width="9" style="79"/>
    <col min="8467" max="8467" width="5.25" style="79" customWidth="1"/>
    <col min="8468" max="8704" width="9" style="79"/>
    <col min="8705" max="8705" width="12.375" style="79" customWidth="1"/>
    <col min="8706" max="8706" width="10.125" style="79" customWidth="1"/>
    <col min="8707" max="8707" width="9.75" style="79" customWidth="1"/>
    <col min="8708" max="8708" width="38.75" style="79" customWidth="1"/>
    <col min="8709" max="8709" width="10.125" style="79" customWidth="1"/>
    <col min="8710" max="8710" width="36.75" style="79" customWidth="1"/>
    <col min="8711" max="8715" width="10.125" style="79" customWidth="1"/>
    <col min="8716" max="8716" width="12.75" style="79" customWidth="1"/>
    <col min="8717" max="8718" width="0" style="79" hidden="1" customWidth="1"/>
    <col min="8719" max="8722" width="9" style="79"/>
    <col min="8723" max="8723" width="5.25" style="79" customWidth="1"/>
    <col min="8724" max="8960" width="9" style="79"/>
    <col min="8961" max="8961" width="12.375" style="79" customWidth="1"/>
    <col min="8962" max="8962" width="10.125" style="79" customWidth="1"/>
    <col min="8963" max="8963" width="9.75" style="79" customWidth="1"/>
    <col min="8964" max="8964" width="38.75" style="79" customWidth="1"/>
    <col min="8965" max="8965" width="10.125" style="79" customWidth="1"/>
    <col min="8966" max="8966" width="36.75" style="79" customWidth="1"/>
    <col min="8967" max="8971" width="10.125" style="79" customWidth="1"/>
    <col min="8972" max="8972" width="12.75" style="79" customWidth="1"/>
    <col min="8973" max="8974" width="0" style="79" hidden="1" customWidth="1"/>
    <col min="8975" max="8978" width="9" style="79"/>
    <col min="8979" max="8979" width="5.25" style="79" customWidth="1"/>
    <col min="8980" max="9216" width="9" style="79"/>
    <col min="9217" max="9217" width="12.375" style="79" customWidth="1"/>
    <col min="9218" max="9218" width="10.125" style="79" customWidth="1"/>
    <col min="9219" max="9219" width="9.75" style="79" customWidth="1"/>
    <col min="9220" max="9220" width="38.75" style="79" customWidth="1"/>
    <col min="9221" max="9221" width="10.125" style="79" customWidth="1"/>
    <col min="9222" max="9222" width="36.75" style="79" customWidth="1"/>
    <col min="9223" max="9227" width="10.125" style="79" customWidth="1"/>
    <col min="9228" max="9228" width="12.75" style="79" customWidth="1"/>
    <col min="9229" max="9230" width="0" style="79" hidden="1" customWidth="1"/>
    <col min="9231" max="9234" width="9" style="79"/>
    <col min="9235" max="9235" width="5.25" style="79" customWidth="1"/>
    <col min="9236" max="9472" width="9" style="79"/>
    <col min="9473" max="9473" width="12.375" style="79" customWidth="1"/>
    <col min="9474" max="9474" width="10.125" style="79" customWidth="1"/>
    <col min="9475" max="9475" width="9.75" style="79" customWidth="1"/>
    <col min="9476" max="9476" width="38.75" style="79" customWidth="1"/>
    <col min="9477" max="9477" width="10.125" style="79" customWidth="1"/>
    <col min="9478" max="9478" width="36.75" style="79" customWidth="1"/>
    <col min="9479" max="9483" width="10.125" style="79" customWidth="1"/>
    <col min="9484" max="9484" width="12.75" style="79" customWidth="1"/>
    <col min="9485" max="9486" width="0" style="79" hidden="1" customWidth="1"/>
    <col min="9487" max="9490" width="9" style="79"/>
    <col min="9491" max="9491" width="5.25" style="79" customWidth="1"/>
    <col min="9492" max="9728" width="9" style="79"/>
    <col min="9729" max="9729" width="12.375" style="79" customWidth="1"/>
    <col min="9730" max="9730" width="10.125" style="79" customWidth="1"/>
    <col min="9731" max="9731" width="9.75" style="79" customWidth="1"/>
    <col min="9732" max="9732" width="38.75" style="79" customWidth="1"/>
    <col min="9733" max="9733" width="10.125" style="79" customWidth="1"/>
    <col min="9734" max="9734" width="36.75" style="79" customWidth="1"/>
    <col min="9735" max="9739" width="10.125" style="79" customWidth="1"/>
    <col min="9740" max="9740" width="12.75" style="79" customWidth="1"/>
    <col min="9741" max="9742" width="0" style="79" hidden="1" customWidth="1"/>
    <col min="9743" max="9746" width="9" style="79"/>
    <col min="9747" max="9747" width="5.25" style="79" customWidth="1"/>
    <col min="9748" max="9984" width="9" style="79"/>
    <col min="9985" max="9985" width="12.375" style="79" customWidth="1"/>
    <col min="9986" max="9986" width="10.125" style="79" customWidth="1"/>
    <col min="9987" max="9987" width="9.75" style="79" customWidth="1"/>
    <col min="9988" max="9988" width="38.75" style="79" customWidth="1"/>
    <col min="9989" max="9989" width="10.125" style="79" customWidth="1"/>
    <col min="9990" max="9990" width="36.75" style="79" customWidth="1"/>
    <col min="9991" max="9995" width="10.125" style="79" customWidth="1"/>
    <col min="9996" max="9996" width="12.75" style="79" customWidth="1"/>
    <col min="9997" max="9998" width="0" style="79" hidden="1" customWidth="1"/>
    <col min="9999" max="10002" width="9" style="79"/>
    <col min="10003" max="10003" width="5.25" style="79" customWidth="1"/>
    <col min="10004" max="10240" width="9" style="79"/>
    <col min="10241" max="10241" width="12.375" style="79" customWidth="1"/>
    <col min="10242" max="10242" width="10.125" style="79" customWidth="1"/>
    <col min="10243" max="10243" width="9.75" style="79" customWidth="1"/>
    <col min="10244" max="10244" width="38.75" style="79" customWidth="1"/>
    <col min="10245" max="10245" width="10.125" style="79" customWidth="1"/>
    <col min="10246" max="10246" width="36.75" style="79" customWidth="1"/>
    <col min="10247" max="10251" width="10.125" style="79" customWidth="1"/>
    <col min="10252" max="10252" width="12.75" style="79" customWidth="1"/>
    <col min="10253" max="10254" width="0" style="79" hidden="1" customWidth="1"/>
    <col min="10255" max="10258" width="9" style="79"/>
    <col min="10259" max="10259" width="5.25" style="79" customWidth="1"/>
    <col min="10260" max="10496" width="9" style="79"/>
    <col min="10497" max="10497" width="12.375" style="79" customWidth="1"/>
    <col min="10498" max="10498" width="10.125" style="79" customWidth="1"/>
    <col min="10499" max="10499" width="9.75" style="79" customWidth="1"/>
    <col min="10500" max="10500" width="38.75" style="79" customWidth="1"/>
    <col min="10501" max="10501" width="10.125" style="79" customWidth="1"/>
    <col min="10502" max="10502" width="36.75" style="79" customWidth="1"/>
    <col min="10503" max="10507" width="10.125" style="79" customWidth="1"/>
    <col min="10508" max="10508" width="12.75" style="79" customWidth="1"/>
    <col min="10509" max="10510" width="0" style="79" hidden="1" customWidth="1"/>
    <col min="10511" max="10514" width="9" style="79"/>
    <col min="10515" max="10515" width="5.25" style="79" customWidth="1"/>
    <col min="10516" max="10752" width="9" style="79"/>
    <col min="10753" max="10753" width="12.375" style="79" customWidth="1"/>
    <col min="10754" max="10754" width="10.125" style="79" customWidth="1"/>
    <col min="10755" max="10755" width="9.75" style="79" customWidth="1"/>
    <col min="10756" max="10756" width="38.75" style="79" customWidth="1"/>
    <col min="10757" max="10757" width="10.125" style="79" customWidth="1"/>
    <col min="10758" max="10758" width="36.75" style="79" customWidth="1"/>
    <col min="10759" max="10763" width="10.125" style="79" customWidth="1"/>
    <col min="10764" max="10764" width="12.75" style="79" customWidth="1"/>
    <col min="10765" max="10766" width="0" style="79" hidden="1" customWidth="1"/>
    <col min="10767" max="10770" width="9" style="79"/>
    <col min="10771" max="10771" width="5.25" style="79" customWidth="1"/>
    <col min="10772" max="11008" width="9" style="79"/>
    <col min="11009" max="11009" width="12.375" style="79" customWidth="1"/>
    <col min="11010" max="11010" width="10.125" style="79" customWidth="1"/>
    <col min="11011" max="11011" width="9.75" style="79" customWidth="1"/>
    <col min="11012" max="11012" width="38.75" style="79" customWidth="1"/>
    <col min="11013" max="11013" width="10.125" style="79" customWidth="1"/>
    <col min="11014" max="11014" width="36.75" style="79" customWidth="1"/>
    <col min="11015" max="11019" width="10.125" style="79" customWidth="1"/>
    <col min="11020" max="11020" width="12.75" style="79" customWidth="1"/>
    <col min="11021" max="11022" width="0" style="79" hidden="1" customWidth="1"/>
    <col min="11023" max="11026" width="9" style="79"/>
    <col min="11027" max="11027" width="5.25" style="79" customWidth="1"/>
    <col min="11028" max="11264" width="9" style="79"/>
    <col min="11265" max="11265" width="12.375" style="79" customWidth="1"/>
    <col min="11266" max="11266" width="10.125" style="79" customWidth="1"/>
    <col min="11267" max="11267" width="9.75" style="79" customWidth="1"/>
    <col min="11268" max="11268" width="38.75" style="79" customWidth="1"/>
    <col min="11269" max="11269" width="10.125" style="79" customWidth="1"/>
    <col min="11270" max="11270" width="36.75" style="79" customWidth="1"/>
    <col min="11271" max="11275" width="10.125" style="79" customWidth="1"/>
    <col min="11276" max="11276" width="12.75" style="79" customWidth="1"/>
    <col min="11277" max="11278" width="0" style="79" hidden="1" customWidth="1"/>
    <col min="11279" max="11282" width="9" style="79"/>
    <col min="11283" max="11283" width="5.25" style="79" customWidth="1"/>
    <col min="11284" max="11520" width="9" style="79"/>
    <col min="11521" max="11521" width="12.375" style="79" customWidth="1"/>
    <col min="11522" max="11522" width="10.125" style="79" customWidth="1"/>
    <col min="11523" max="11523" width="9.75" style="79" customWidth="1"/>
    <col min="11524" max="11524" width="38.75" style="79" customWidth="1"/>
    <col min="11525" max="11525" width="10.125" style="79" customWidth="1"/>
    <col min="11526" max="11526" width="36.75" style="79" customWidth="1"/>
    <col min="11527" max="11531" width="10.125" style="79" customWidth="1"/>
    <col min="11532" max="11532" width="12.75" style="79" customWidth="1"/>
    <col min="11533" max="11534" width="0" style="79" hidden="1" customWidth="1"/>
    <col min="11535" max="11538" width="9" style="79"/>
    <col min="11539" max="11539" width="5.25" style="79" customWidth="1"/>
    <col min="11540" max="11776" width="9" style="79"/>
    <col min="11777" max="11777" width="12.375" style="79" customWidth="1"/>
    <col min="11778" max="11778" width="10.125" style="79" customWidth="1"/>
    <col min="11779" max="11779" width="9.75" style="79" customWidth="1"/>
    <col min="11780" max="11780" width="38.75" style="79" customWidth="1"/>
    <col min="11781" max="11781" width="10.125" style="79" customWidth="1"/>
    <col min="11782" max="11782" width="36.75" style="79" customWidth="1"/>
    <col min="11783" max="11787" width="10.125" style="79" customWidth="1"/>
    <col min="11788" max="11788" width="12.75" style="79" customWidth="1"/>
    <col min="11789" max="11790" width="0" style="79" hidden="1" customWidth="1"/>
    <col min="11791" max="11794" width="9" style="79"/>
    <col min="11795" max="11795" width="5.25" style="79" customWidth="1"/>
    <col min="11796" max="12032" width="9" style="79"/>
    <col min="12033" max="12033" width="12.375" style="79" customWidth="1"/>
    <col min="12034" max="12034" width="10.125" style="79" customWidth="1"/>
    <col min="12035" max="12035" width="9.75" style="79" customWidth="1"/>
    <col min="12036" max="12036" width="38.75" style="79" customWidth="1"/>
    <col min="12037" max="12037" width="10.125" style="79" customWidth="1"/>
    <col min="12038" max="12038" width="36.75" style="79" customWidth="1"/>
    <col min="12039" max="12043" width="10.125" style="79" customWidth="1"/>
    <col min="12044" max="12044" width="12.75" style="79" customWidth="1"/>
    <col min="12045" max="12046" width="0" style="79" hidden="1" customWidth="1"/>
    <col min="12047" max="12050" width="9" style="79"/>
    <col min="12051" max="12051" width="5.25" style="79" customWidth="1"/>
    <col min="12052" max="12288" width="9" style="79"/>
    <col min="12289" max="12289" width="12.375" style="79" customWidth="1"/>
    <col min="12290" max="12290" width="10.125" style="79" customWidth="1"/>
    <col min="12291" max="12291" width="9.75" style="79" customWidth="1"/>
    <col min="12292" max="12292" width="38.75" style="79" customWidth="1"/>
    <col min="12293" max="12293" width="10.125" style="79" customWidth="1"/>
    <col min="12294" max="12294" width="36.75" style="79" customWidth="1"/>
    <col min="12295" max="12299" width="10.125" style="79" customWidth="1"/>
    <col min="12300" max="12300" width="12.75" style="79" customWidth="1"/>
    <col min="12301" max="12302" width="0" style="79" hidden="1" customWidth="1"/>
    <col min="12303" max="12306" width="9" style="79"/>
    <col min="12307" max="12307" width="5.25" style="79" customWidth="1"/>
    <col min="12308" max="12544" width="9" style="79"/>
    <col min="12545" max="12545" width="12.375" style="79" customWidth="1"/>
    <col min="12546" max="12546" width="10.125" style="79" customWidth="1"/>
    <col min="12547" max="12547" width="9.75" style="79" customWidth="1"/>
    <col min="12548" max="12548" width="38.75" style="79" customWidth="1"/>
    <col min="12549" max="12549" width="10.125" style="79" customWidth="1"/>
    <col min="12550" max="12550" width="36.75" style="79" customWidth="1"/>
    <col min="12551" max="12555" width="10.125" style="79" customWidth="1"/>
    <col min="12556" max="12556" width="12.75" style="79" customWidth="1"/>
    <col min="12557" max="12558" width="0" style="79" hidden="1" customWidth="1"/>
    <col min="12559" max="12562" width="9" style="79"/>
    <col min="12563" max="12563" width="5.25" style="79" customWidth="1"/>
    <col min="12564" max="12800" width="9" style="79"/>
    <col min="12801" max="12801" width="12.375" style="79" customWidth="1"/>
    <col min="12802" max="12802" width="10.125" style="79" customWidth="1"/>
    <col min="12803" max="12803" width="9.75" style="79" customWidth="1"/>
    <col min="12804" max="12804" width="38.75" style="79" customWidth="1"/>
    <col min="12805" max="12805" width="10.125" style="79" customWidth="1"/>
    <col min="12806" max="12806" width="36.75" style="79" customWidth="1"/>
    <col min="12807" max="12811" width="10.125" style="79" customWidth="1"/>
    <col min="12812" max="12812" width="12.75" style="79" customWidth="1"/>
    <col min="12813" max="12814" width="0" style="79" hidden="1" customWidth="1"/>
    <col min="12815" max="12818" width="9" style="79"/>
    <col min="12819" max="12819" width="5.25" style="79" customWidth="1"/>
    <col min="12820" max="13056" width="9" style="79"/>
    <col min="13057" max="13057" width="12.375" style="79" customWidth="1"/>
    <col min="13058" max="13058" width="10.125" style="79" customWidth="1"/>
    <col min="13059" max="13059" width="9.75" style="79" customWidth="1"/>
    <col min="13060" max="13060" width="38.75" style="79" customWidth="1"/>
    <col min="13061" max="13061" width="10.125" style="79" customWidth="1"/>
    <col min="13062" max="13062" width="36.75" style="79" customWidth="1"/>
    <col min="13063" max="13067" width="10.125" style="79" customWidth="1"/>
    <col min="13068" max="13068" width="12.75" style="79" customWidth="1"/>
    <col min="13069" max="13070" width="0" style="79" hidden="1" customWidth="1"/>
    <col min="13071" max="13074" width="9" style="79"/>
    <col min="13075" max="13075" width="5.25" style="79" customWidth="1"/>
    <col min="13076" max="13312" width="9" style="79"/>
    <col min="13313" max="13313" width="12.375" style="79" customWidth="1"/>
    <col min="13314" max="13314" width="10.125" style="79" customWidth="1"/>
    <col min="13315" max="13315" width="9.75" style="79" customWidth="1"/>
    <col min="13316" max="13316" width="38.75" style="79" customWidth="1"/>
    <col min="13317" max="13317" width="10.125" style="79" customWidth="1"/>
    <col min="13318" max="13318" width="36.75" style="79" customWidth="1"/>
    <col min="13319" max="13323" width="10.125" style="79" customWidth="1"/>
    <col min="13324" max="13324" width="12.75" style="79" customWidth="1"/>
    <col min="13325" max="13326" width="0" style="79" hidden="1" customWidth="1"/>
    <col min="13327" max="13330" width="9" style="79"/>
    <col min="13331" max="13331" width="5.25" style="79" customWidth="1"/>
    <col min="13332" max="13568" width="9" style="79"/>
    <col min="13569" max="13569" width="12.375" style="79" customWidth="1"/>
    <col min="13570" max="13570" width="10.125" style="79" customWidth="1"/>
    <col min="13571" max="13571" width="9.75" style="79" customWidth="1"/>
    <col min="13572" max="13572" width="38.75" style="79" customWidth="1"/>
    <col min="13573" max="13573" width="10.125" style="79" customWidth="1"/>
    <col min="13574" max="13574" width="36.75" style="79" customWidth="1"/>
    <col min="13575" max="13579" width="10.125" style="79" customWidth="1"/>
    <col min="13580" max="13580" width="12.75" style="79" customWidth="1"/>
    <col min="13581" max="13582" width="0" style="79" hidden="1" customWidth="1"/>
    <col min="13583" max="13586" width="9" style="79"/>
    <col min="13587" max="13587" width="5.25" style="79" customWidth="1"/>
    <col min="13588" max="13824" width="9" style="79"/>
    <col min="13825" max="13825" width="12.375" style="79" customWidth="1"/>
    <col min="13826" max="13826" width="10.125" style="79" customWidth="1"/>
    <col min="13827" max="13827" width="9.75" style="79" customWidth="1"/>
    <col min="13828" max="13828" width="38.75" style="79" customWidth="1"/>
    <col min="13829" max="13829" width="10.125" style="79" customWidth="1"/>
    <col min="13830" max="13830" width="36.75" style="79" customWidth="1"/>
    <col min="13831" max="13835" width="10.125" style="79" customWidth="1"/>
    <col min="13836" max="13836" width="12.75" style="79" customWidth="1"/>
    <col min="13837" max="13838" width="0" style="79" hidden="1" customWidth="1"/>
    <col min="13839" max="13842" width="9" style="79"/>
    <col min="13843" max="13843" width="5.25" style="79" customWidth="1"/>
    <col min="13844" max="14080" width="9" style="79"/>
    <col min="14081" max="14081" width="12.375" style="79" customWidth="1"/>
    <col min="14082" max="14082" width="10.125" style="79" customWidth="1"/>
    <col min="14083" max="14083" width="9.75" style="79" customWidth="1"/>
    <col min="14084" max="14084" width="38.75" style="79" customWidth="1"/>
    <col min="14085" max="14085" width="10.125" style="79" customWidth="1"/>
    <col min="14086" max="14086" width="36.75" style="79" customWidth="1"/>
    <col min="14087" max="14091" width="10.125" style="79" customWidth="1"/>
    <col min="14092" max="14092" width="12.75" style="79" customWidth="1"/>
    <col min="14093" max="14094" width="0" style="79" hidden="1" customWidth="1"/>
    <col min="14095" max="14098" width="9" style="79"/>
    <col min="14099" max="14099" width="5.25" style="79" customWidth="1"/>
    <col min="14100" max="14336" width="9" style="79"/>
    <col min="14337" max="14337" width="12.375" style="79" customWidth="1"/>
    <col min="14338" max="14338" width="10.125" style="79" customWidth="1"/>
    <col min="14339" max="14339" width="9.75" style="79" customWidth="1"/>
    <col min="14340" max="14340" width="38.75" style="79" customWidth="1"/>
    <col min="14341" max="14341" width="10.125" style="79" customWidth="1"/>
    <col min="14342" max="14342" width="36.75" style="79" customWidth="1"/>
    <col min="14343" max="14347" width="10.125" style="79" customWidth="1"/>
    <col min="14348" max="14348" width="12.75" style="79" customWidth="1"/>
    <col min="14349" max="14350" width="0" style="79" hidden="1" customWidth="1"/>
    <col min="14351" max="14354" width="9" style="79"/>
    <col min="14355" max="14355" width="5.25" style="79" customWidth="1"/>
    <col min="14356" max="14592" width="9" style="79"/>
    <col min="14593" max="14593" width="12.375" style="79" customWidth="1"/>
    <col min="14594" max="14594" width="10.125" style="79" customWidth="1"/>
    <col min="14595" max="14595" width="9.75" style="79" customWidth="1"/>
    <col min="14596" max="14596" width="38.75" style="79" customWidth="1"/>
    <col min="14597" max="14597" width="10.125" style="79" customWidth="1"/>
    <col min="14598" max="14598" width="36.75" style="79" customWidth="1"/>
    <col min="14599" max="14603" width="10.125" style="79" customWidth="1"/>
    <col min="14604" max="14604" width="12.75" style="79" customWidth="1"/>
    <col min="14605" max="14606" width="0" style="79" hidden="1" customWidth="1"/>
    <col min="14607" max="14610" width="9" style="79"/>
    <col min="14611" max="14611" width="5.25" style="79" customWidth="1"/>
    <col min="14612" max="14848" width="9" style="79"/>
    <col min="14849" max="14849" width="12.375" style="79" customWidth="1"/>
    <col min="14850" max="14850" width="10.125" style="79" customWidth="1"/>
    <col min="14851" max="14851" width="9.75" style="79" customWidth="1"/>
    <col min="14852" max="14852" width="38.75" style="79" customWidth="1"/>
    <col min="14853" max="14853" width="10.125" style="79" customWidth="1"/>
    <col min="14854" max="14854" width="36.75" style="79" customWidth="1"/>
    <col min="14855" max="14859" width="10.125" style="79" customWidth="1"/>
    <col min="14860" max="14860" width="12.75" style="79" customWidth="1"/>
    <col min="14861" max="14862" width="0" style="79" hidden="1" customWidth="1"/>
    <col min="14863" max="14866" width="9" style="79"/>
    <col min="14867" max="14867" width="5.25" style="79" customWidth="1"/>
    <col min="14868" max="15104" width="9" style="79"/>
    <col min="15105" max="15105" width="12.375" style="79" customWidth="1"/>
    <col min="15106" max="15106" width="10.125" style="79" customWidth="1"/>
    <col min="15107" max="15107" width="9.75" style="79" customWidth="1"/>
    <col min="15108" max="15108" width="38.75" style="79" customWidth="1"/>
    <col min="15109" max="15109" width="10.125" style="79" customWidth="1"/>
    <col min="15110" max="15110" width="36.75" style="79" customWidth="1"/>
    <col min="15111" max="15115" width="10.125" style="79" customWidth="1"/>
    <col min="15116" max="15116" width="12.75" style="79" customWidth="1"/>
    <col min="15117" max="15118" width="0" style="79" hidden="1" customWidth="1"/>
    <col min="15119" max="15122" width="9" style="79"/>
    <col min="15123" max="15123" width="5.25" style="79" customWidth="1"/>
    <col min="15124" max="15360" width="9" style="79"/>
    <col min="15361" max="15361" width="12.375" style="79" customWidth="1"/>
    <col min="15362" max="15362" width="10.125" style="79" customWidth="1"/>
    <col min="15363" max="15363" width="9.75" style="79" customWidth="1"/>
    <col min="15364" max="15364" width="38.75" style="79" customWidth="1"/>
    <col min="15365" max="15365" width="10.125" style="79" customWidth="1"/>
    <col min="15366" max="15366" width="36.75" style="79" customWidth="1"/>
    <col min="15367" max="15371" width="10.125" style="79" customWidth="1"/>
    <col min="15372" max="15372" width="12.75" style="79" customWidth="1"/>
    <col min="15373" max="15374" width="0" style="79" hidden="1" customWidth="1"/>
    <col min="15375" max="15378" width="9" style="79"/>
    <col min="15379" max="15379" width="5.25" style="79" customWidth="1"/>
    <col min="15380" max="15616" width="9" style="79"/>
    <col min="15617" max="15617" width="12.375" style="79" customWidth="1"/>
    <col min="15618" max="15618" width="10.125" style="79" customWidth="1"/>
    <col min="15619" max="15619" width="9.75" style="79" customWidth="1"/>
    <col min="15620" max="15620" width="38.75" style="79" customWidth="1"/>
    <col min="15621" max="15621" width="10.125" style="79" customWidth="1"/>
    <col min="15622" max="15622" width="36.75" style="79" customWidth="1"/>
    <col min="15623" max="15627" width="10.125" style="79" customWidth="1"/>
    <col min="15628" max="15628" width="12.75" style="79" customWidth="1"/>
    <col min="15629" max="15630" width="0" style="79" hidden="1" customWidth="1"/>
    <col min="15631" max="15634" width="9" style="79"/>
    <col min="15635" max="15635" width="5.25" style="79" customWidth="1"/>
    <col min="15636" max="15872" width="9" style="79"/>
    <col min="15873" max="15873" width="12.375" style="79" customWidth="1"/>
    <col min="15874" max="15874" width="10.125" style="79" customWidth="1"/>
    <col min="15875" max="15875" width="9.75" style="79" customWidth="1"/>
    <col min="15876" max="15876" width="38.75" style="79" customWidth="1"/>
    <col min="15877" max="15877" width="10.125" style="79" customWidth="1"/>
    <col min="15878" max="15878" width="36.75" style="79" customWidth="1"/>
    <col min="15879" max="15883" width="10.125" style="79" customWidth="1"/>
    <col min="15884" max="15884" width="12.75" style="79" customWidth="1"/>
    <col min="15885" max="15886" width="0" style="79" hidden="1" customWidth="1"/>
    <col min="15887" max="15890" width="9" style="79"/>
    <col min="15891" max="15891" width="5.25" style="79" customWidth="1"/>
    <col min="15892" max="16128" width="9" style="79"/>
    <col min="16129" max="16129" width="12.375" style="79" customWidth="1"/>
    <col min="16130" max="16130" width="10.125" style="79" customWidth="1"/>
    <col min="16131" max="16131" width="9.75" style="79" customWidth="1"/>
    <col min="16132" max="16132" width="38.75" style="79" customWidth="1"/>
    <col min="16133" max="16133" width="10.125" style="79" customWidth="1"/>
    <col min="16134" max="16134" width="36.75" style="79" customWidth="1"/>
    <col min="16135" max="16139" width="10.125" style="79" customWidth="1"/>
    <col min="16140" max="16140" width="12.75" style="79" customWidth="1"/>
    <col min="16141" max="16142" width="0" style="79" hidden="1" customWidth="1"/>
    <col min="16143" max="16146" width="9" style="79"/>
    <col min="16147" max="16147" width="5.25" style="79" customWidth="1"/>
    <col min="16148" max="16384" width="9" style="79"/>
  </cols>
  <sheetData>
    <row r="2" spans="1:15" ht="16.2">
      <c r="A2" s="99" t="s">
        <v>555</v>
      </c>
    </row>
    <row r="3" spans="1:15" ht="13.8" thickBot="1"/>
    <row r="4" spans="1:15" s="105" customFormat="1" ht="39.75" customHeight="1" thickBot="1">
      <c r="A4" s="100" t="s">
        <v>556</v>
      </c>
      <c r="B4" s="100" t="s">
        <v>557</v>
      </c>
      <c r="C4" s="100" t="s">
        <v>558</v>
      </c>
      <c r="D4" s="100" t="s">
        <v>559</v>
      </c>
      <c r="E4" s="100" t="s">
        <v>560</v>
      </c>
      <c r="F4" s="100" t="s">
        <v>561</v>
      </c>
      <c r="G4" s="100" t="s">
        <v>562</v>
      </c>
      <c r="H4" s="100" t="s">
        <v>563</v>
      </c>
      <c r="I4" s="100" t="s">
        <v>564</v>
      </c>
      <c r="J4" s="101" t="s">
        <v>565</v>
      </c>
      <c r="K4" s="102" t="s">
        <v>566</v>
      </c>
      <c r="L4" s="103" t="s">
        <v>567</v>
      </c>
      <c r="M4" s="104" t="s">
        <v>568</v>
      </c>
      <c r="N4" s="104" t="s">
        <v>569</v>
      </c>
      <c r="O4" s="105" t="s">
        <v>570</v>
      </c>
    </row>
    <row r="5" spans="1:15">
      <c r="A5" s="106">
        <v>95000003</v>
      </c>
      <c r="B5" s="106">
        <v>1</v>
      </c>
      <c r="C5" s="106">
        <v>15500</v>
      </c>
      <c r="D5" s="106" t="s">
        <v>571</v>
      </c>
      <c r="E5" s="106">
        <v>16</v>
      </c>
      <c r="F5" s="106" t="s">
        <v>572</v>
      </c>
      <c r="G5" s="106">
        <v>0</v>
      </c>
      <c r="H5" s="106" t="s">
        <v>573</v>
      </c>
      <c r="I5" s="106">
        <v>4681</v>
      </c>
      <c r="J5" s="106">
        <v>0</v>
      </c>
      <c r="K5" s="107">
        <v>51</v>
      </c>
      <c r="L5" s="107">
        <v>267</v>
      </c>
      <c r="M5" s="106">
        <v>0</v>
      </c>
      <c r="N5" s="106">
        <v>0</v>
      </c>
      <c r="O5" s="108"/>
    </row>
    <row r="6" spans="1:15">
      <c r="A6" s="106">
        <v>95000011</v>
      </c>
      <c r="B6" s="106">
        <v>1</v>
      </c>
      <c r="C6" s="106">
        <v>71207</v>
      </c>
      <c r="D6" s="106" t="s">
        <v>574</v>
      </c>
      <c r="E6" s="106">
        <v>17</v>
      </c>
      <c r="F6" s="106" t="s">
        <v>575</v>
      </c>
      <c r="G6" s="106">
        <v>0</v>
      </c>
      <c r="H6" s="106" t="s">
        <v>576</v>
      </c>
      <c r="I6" s="106">
        <v>0</v>
      </c>
      <c r="J6" s="106">
        <v>1</v>
      </c>
      <c r="K6" s="106">
        <v>167</v>
      </c>
      <c r="L6" s="106">
        <v>643</v>
      </c>
      <c r="M6" s="106">
        <v>0</v>
      </c>
      <c r="N6" s="106">
        <v>0</v>
      </c>
      <c r="O6" s="108"/>
    </row>
    <row r="7" spans="1:15">
      <c r="A7" s="106">
        <v>95000020</v>
      </c>
      <c r="B7" s="106">
        <v>1</v>
      </c>
      <c r="C7" s="106">
        <v>43000</v>
      </c>
      <c r="D7" s="106" t="s">
        <v>577</v>
      </c>
      <c r="E7" s="106">
        <v>18</v>
      </c>
      <c r="F7" s="106" t="s">
        <v>578</v>
      </c>
      <c r="G7" s="106">
        <v>0</v>
      </c>
      <c r="H7" s="106" t="s">
        <v>576</v>
      </c>
      <c r="I7" s="106">
        <v>0</v>
      </c>
      <c r="J7" s="106">
        <v>1</v>
      </c>
      <c r="K7" s="106">
        <v>80</v>
      </c>
      <c r="L7" s="106">
        <v>297</v>
      </c>
      <c r="M7" s="106">
        <v>0</v>
      </c>
      <c r="N7" s="106">
        <v>0</v>
      </c>
      <c r="O7" s="108"/>
    </row>
    <row r="8" spans="1:15">
      <c r="A8" s="106">
        <v>95000038</v>
      </c>
      <c r="B8" s="106">
        <v>1</v>
      </c>
      <c r="C8" s="106">
        <v>15200</v>
      </c>
      <c r="D8" s="106" t="s">
        <v>579</v>
      </c>
      <c r="E8" s="106">
        <v>212</v>
      </c>
      <c r="F8" s="106" t="s">
        <v>580</v>
      </c>
      <c r="G8" s="106">
        <v>0</v>
      </c>
      <c r="H8" s="106" t="s">
        <v>573</v>
      </c>
      <c r="I8" s="106">
        <v>0</v>
      </c>
      <c r="J8" s="106">
        <v>0</v>
      </c>
      <c r="K8" s="106">
        <v>72</v>
      </c>
      <c r="L8" s="106">
        <v>284</v>
      </c>
      <c r="M8" s="106">
        <v>0</v>
      </c>
      <c r="N8" s="106">
        <v>0</v>
      </c>
      <c r="O8" s="108"/>
    </row>
    <row r="9" spans="1:15">
      <c r="A9" s="106">
        <v>95000046</v>
      </c>
      <c r="B9" s="106">
        <v>1</v>
      </c>
      <c r="C9" s="106">
        <v>73302</v>
      </c>
      <c r="D9" s="106" t="s">
        <v>581</v>
      </c>
      <c r="E9" s="106">
        <v>20</v>
      </c>
      <c r="F9" s="106" t="s">
        <v>582</v>
      </c>
      <c r="G9" s="106">
        <v>0</v>
      </c>
      <c r="H9" s="106" t="s">
        <v>573</v>
      </c>
      <c r="I9" s="106">
        <v>4376</v>
      </c>
      <c r="J9" s="106">
        <v>1</v>
      </c>
      <c r="K9" s="106">
        <v>173</v>
      </c>
      <c r="L9" s="106">
        <v>649</v>
      </c>
      <c r="M9" s="106">
        <v>0</v>
      </c>
      <c r="N9" s="106">
        <v>0</v>
      </c>
      <c r="O9" s="108"/>
    </row>
    <row r="10" spans="1:15">
      <c r="A10" s="106">
        <v>95000054</v>
      </c>
      <c r="B10" s="106">
        <v>1</v>
      </c>
      <c r="C10" s="106">
        <v>43000</v>
      </c>
      <c r="D10" s="106" t="s">
        <v>577</v>
      </c>
      <c r="E10" s="106">
        <v>21</v>
      </c>
      <c r="F10" s="106" t="s">
        <v>583</v>
      </c>
      <c r="G10" s="106">
        <v>0</v>
      </c>
      <c r="H10" s="106" t="s">
        <v>573</v>
      </c>
      <c r="I10" s="106">
        <v>4271</v>
      </c>
      <c r="J10" s="106">
        <v>1</v>
      </c>
      <c r="K10" s="106">
        <v>174</v>
      </c>
      <c r="L10" s="106">
        <v>650</v>
      </c>
      <c r="M10" s="106">
        <v>0</v>
      </c>
      <c r="N10" s="106">
        <v>0</v>
      </c>
      <c r="O10" s="108"/>
    </row>
    <row r="11" spans="1:15">
      <c r="A11" s="106">
        <v>95000062</v>
      </c>
      <c r="B11" s="106">
        <v>1</v>
      </c>
      <c r="C11" s="106">
        <v>76601</v>
      </c>
      <c r="D11" s="106" t="s">
        <v>584</v>
      </c>
      <c r="E11" s="106">
        <v>26</v>
      </c>
      <c r="F11" s="106" t="s">
        <v>585</v>
      </c>
      <c r="G11" s="106">
        <v>0</v>
      </c>
      <c r="H11" s="106" t="s">
        <v>576</v>
      </c>
      <c r="I11" s="106">
        <v>0</v>
      </c>
      <c r="J11" s="106">
        <v>1</v>
      </c>
      <c r="K11" s="106">
        <v>188</v>
      </c>
      <c r="L11" s="106">
        <v>655</v>
      </c>
      <c r="M11" s="106">
        <v>0</v>
      </c>
      <c r="N11" s="106">
        <v>0</v>
      </c>
      <c r="O11" s="108"/>
    </row>
    <row r="12" spans="1:15">
      <c r="A12" s="106">
        <v>95000071</v>
      </c>
      <c r="B12" s="106">
        <v>1</v>
      </c>
      <c r="C12" s="106">
        <v>73600</v>
      </c>
      <c r="D12" s="106" t="s">
        <v>586</v>
      </c>
      <c r="E12" s="106">
        <v>31</v>
      </c>
      <c r="F12" s="106" t="s">
        <v>587</v>
      </c>
      <c r="G12" s="106">
        <v>0</v>
      </c>
      <c r="H12" s="106" t="s">
        <v>573</v>
      </c>
      <c r="I12" s="106">
        <v>5702</v>
      </c>
      <c r="J12" s="106">
        <v>1</v>
      </c>
      <c r="K12" s="106">
        <v>163</v>
      </c>
      <c r="L12" s="106">
        <v>642</v>
      </c>
      <c r="M12" s="106">
        <v>0</v>
      </c>
      <c r="N12" s="106">
        <v>0</v>
      </c>
      <c r="O12" s="108"/>
    </row>
    <row r="13" spans="1:15">
      <c r="A13" s="106">
        <v>95000089</v>
      </c>
      <c r="B13" s="106">
        <v>1</v>
      </c>
      <c r="C13" s="106">
        <v>13100</v>
      </c>
      <c r="D13" s="106" t="s">
        <v>588</v>
      </c>
      <c r="E13" s="106">
        <v>32</v>
      </c>
      <c r="F13" s="106" t="s">
        <v>589</v>
      </c>
      <c r="G13" s="106">
        <v>0</v>
      </c>
      <c r="H13" s="106" t="s">
        <v>573</v>
      </c>
      <c r="I13" s="106">
        <v>5703</v>
      </c>
      <c r="J13" s="106">
        <v>1</v>
      </c>
      <c r="K13" s="106">
        <v>198</v>
      </c>
      <c r="L13" s="106">
        <v>656</v>
      </c>
      <c r="M13" s="106">
        <v>0</v>
      </c>
      <c r="N13" s="106">
        <v>0</v>
      </c>
      <c r="O13" s="108" t="s">
        <v>590</v>
      </c>
    </row>
    <row r="14" spans="1:15">
      <c r="A14" s="106">
        <v>95000097</v>
      </c>
      <c r="B14" s="106">
        <v>1</v>
      </c>
      <c r="C14" s="106">
        <v>13100</v>
      </c>
      <c r="D14" s="106" t="s">
        <v>591</v>
      </c>
      <c r="E14" s="106">
        <v>33</v>
      </c>
      <c r="F14" s="106" t="s">
        <v>592</v>
      </c>
      <c r="G14" s="106">
        <v>0</v>
      </c>
      <c r="H14" s="106" t="s">
        <v>573</v>
      </c>
      <c r="I14" s="106">
        <v>1107</v>
      </c>
      <c r="J14" s="106">
        <v>1</v>
      </c>
      <c r="K14" s="106">
        <v>0</v>
      </c>
      <c r="L14" s="106"/>
      <c r="M14" s="106">
        <v>0</v>
      </c>
      <c r="N14" s="106">
        <v>0</v>
      </c>
      <c r="O14" s="108"/>
    </row>
    <row r="15" spans="1:15">
      <c r="A15" s="106">
        <v>95000101</v>
      </c>
      <c r="B15" s="106">
        <v>1</v>
      </c>
      <c r="C15" s="106">
        <v>43101</v>
      </c>
      <c r="D15" s="106" t="s">
        <v>593</v>
      </c>
      <c r="E15" s="106">
        <v>1</v>
      </c>
      <c r="F15" s="106" t="s">
        <v>594</v>
      </c>
      <c r="G15" s="106">
        <v>0</v>
      </c>
      <c r="H15" s="106" t="s">
        <v>573</v>
      </c>
      <c r="I15" s="106">
        <v>3312</v>
      </c>
      <c r="J15" s="106">
        <v>0</v>
      </c>
      <c r="K15" s="106">
        <v>43</v>
      </c>
      <c r="L15" s="106">
        <v>259</v>
      </c>
      <c r="M15" s="106">
        <v>0</v>
      </c>
      <c r="N15" s="106">
        <v>0</v>
      </c>
      <c r="O15" s="108"/>
    </row>
    <row r="16" spans="1:15">
      <c r="A16" s="106">
        <v>95000119</v>
      </c>
      <c r="B16" s="106">
        <v>1</v>
      </c>
      <c r="C16" s="106">
        <v>71206</v>
      </c>
      <c r="D16" s="106" t="s">
        <v>595</v>
      </c>
      <c r="E16" s="106">
        <v>34</v>
      </c>
      <c r="F16" s="106" t="s">
        <v>596</v>
      </c>
      <c r="G16" s="106">
        <v>0</v>
      </c>
      <c r="H16" s="106" t="s">
        <v>573</v>
      </c>
      <c r="I16" s="106">
        <v>0</v>
      </c>
      <c r="J16" s="106">
        <v>1</v>
      </c>
      <c r="K16" s="106">
        <v>0</v>
      </c>
      <c r="L16" s="106"/>
      <c r="M16" s="106">
        <v>0</v>
      </c>
      <c r="N16" s="106">
        <v>0</v>
      </c>
      <c r="O16" s="108"/>
    </row>
    <row r="17" spans="1:15">
      <c r="A17" s="106">
        <v>95000127</v>
      </c>
      <c r="B17" s="106">
        <v>1</v>
      </c>
      <c r="C17" s="106">
        <v>71206</v>
      </c>
      <c r="D17" s="106" t="s">
        <v>595</v>
      </c>
      <c r="E17" s="106">
        <v>35</v>
      </c>
      <c r="F17" s="106" t="s">
        <v>597</v>
      </c>
      <c r="G17" s="106">
        <v>0</v>
      </c>
      <c r="H17" s="106" t="s">
        <v>573</v>
      </c>
      <c r="I17" s="106">
        <v>0</v>
      </c>
      <c r="J17" s="106">
        <v>1</v>
      </c>
      <c r="K17" s="106">
        <v>158</v>
      </c>
      <c r="L17" s="106">
        <v>640</v>
      </c>
      <c r="M17" s="106">
        <v>0</v>
      </c>
      <c r="N17" s="106">
        <v>0</v>
      </c>
      <c r="O17" s="108"/>
    </row>
    <row r="18" spans="1:15">
      <c r="A18" s="106">
        <v>95000135</v>
      </c>
      <c r="B18" s="106">
        <v>1</v>
      </c>
      <c r="C18" s="106">
        <v>71206</v>
      </c>
      <c r="D18" s="106" t="s">
        <v>595</v>
      </c>
      <c r="E18" s="106">
        <v>36</v>
      </c>
      <c r="F18" s="106" t="s">
        <v>598</v>
      </c>
      <c r="G18" s="106">
        <v>0</v>
      </c>
      <c r="H18" s="106" t="s">
        <v>573</v>
      </c>
      <c r="I18" s="106">
        <v>0</v>
      </c>
      <c r="J18" s="106">
        <v>1</v>
      </c>
      <c r="K18" s="106">
        <v>186</v>
      </c>
      <c r="L18" s="106">
        <v>654</v>
      </c>
      <c r="M18" s="106">
        <v>0</v>
      </c>
      <c r="N18" s="106">
        <v>0</v>
      </c>
      <c r="O18" s="108"/>
    </row>
    <row r="19" spans="1:15">
      <c r="A19" s="106">
        <v>95000143</v>
      </c>
      <c r="B19" s="106">
        <v>1</v>
      </c>
      <c r="C19" s="106">
        <v>71206</v>
      </c>
      <c r="D19" s="106" t="s">
        <v>595</v>
      </c>
      <c r="E19" s="106">
        <v>37</v>
      </c>
      <c r="F19" s="106" t="s">
        <v>599</v>
      </c>
      <c r="G19" s="106">
        <v>0</v>
      </c>
      <c r="H19" s="106" t="s">
        <v>573</v>
      </c>
      <c r="I19" s="106">
        <v>0</v>
      </c>
      <c r="J19" s="106">
        <v>1</v>
      </c>
      <c r="K19" s="106">
        <v>0</v>
      </c>
      <c r="L19" s="106"/>
      <c r="M19" s="106">
        <v>0</v>
      </c>
      <c r="N19" s="106">
        <v>0</v>
      </c>
      <c r="O19" s="108"/>
    </row>
    <row r="20" spans="1:15">
      <c r="A20" s="106">
        <v>95000151</v>
      </c>
      <c r="B20" s="106">
        <v>1</v>
      </c>
      <c r="C20" s="106">
        <v>71206</v>
      </c>
      <c r="D20" s="106" t="s">
        <v>595</v>
      </c>
      <c r="E20" s="106">
        <v>38</v>
      </c>
      <c r="F20" s="106" t="s">
        <v>600</v>
      </c>
      <c r="G20" s="106">
        <v>0</v>
      </c>
      <c r="H20" s="106" t="s">
        <v>573</v>
      </c>
      <c r="I20" s="106">
        <v>0</v>
      </c>
      <c r="J20" s="106">
        <v>1</v>
      </c>
      <c r="K20" s="106">
        <v>0</v>
      </c>
      <c r="L20" s="106"/>
      <c r="M20" s="106">
        <v>0</v>
      </c>
      <c r="N20" s="106">
        <v>0</v>
      </c>
      <c r="O20" s="108"/>
    </row>
    <row r="21" spans="1:15">
      <c r="A21" s="106">
        <v>95000160</v>
      </c>
      <c r="B21" s="106">
        <v>1</v>
      </c>
      <c r="C21" s="106">
        <v>71206</v>
      </c>
      <c r="D21" s="106" t="s">
        <v>595</v>
      </c>
      <c r="E21" s="106">
        <v>39</v>
      </c>
      <c r="F21" s="106" t="s">
        <v>601</v>
      </c>
      <c r="G21" s="106">
        <v>0</v>
      </c>
      <c r="H21" s="106" t="s">
        <v>573</v>
      </c>
      <c r="I21" s="106">
        <v>0</v>
      </c>
      <c r="J21" s="106">
        <v>1</v>
      </c>
      <c r="K21" s="106">
        <v>0</v>
      </c>
      <c r="L21" s="106"/>
      <c r="M21" s="106">
        <v>0</v>
      </c>
      <c r="N21" s="106">
        <v>0</v>
      </c>
      <c r="O21" s="108"/>
    </row>
    <row r="22" spans="1:15">
      <c r="A22" s="106">
        <v>95000178</v>
      </c>
      <c r="B22" s="106">
        <v>1</v>
      </c>
      <c r="C22" s="106">
        <v>71206</v>
      </c>
      <c r="D22" s="106" t="s">
        <v>595</v>
      </c>
      <c r="E22" s="106">
        <v>40</v>
      </c>
      <c r="F22" s="106" t="s">
        <v>602</v>
      </c>
      <c r="G22" s="106">
        <v>0</v>
      </c>
      <c r="H22" s="106" t="s">
        <v>573</v>
      </c>
      <c r="I22" s="106">
        <v>0</v>
      </c>
      <c r="J22" s="106">
        <v>1</v>
      </c>
      <c r="K22" s="106">
        <v>168</v>
      </c>
      <c r="L22" s="106">
        <v>644</v>
      </c>
      <c r="M22" s="106">
        <v>0</v>
      </c>
      <c r="N22" s="106">
        <v>0</v>
      </c>
      <c r="O22" s="108"/>
    </row>
    <row r="23" spans="1:15">
      <c r="A23" s="106">
        <v>95000186</v>
      </c>
      <c r="B23" s="106">
        <v>1</v>
      </c>
      <c r="C23" s="106">
        <v>71206</v>
      </c>
      <c r="D23" s="106" t="s">
        <v>595</v>
      </c>
      <c r="E23" s="106">
        <v>41</v>
      </c>
      <c r="F23" s="106" t="s">
        <v>603</v>
      </c>
      <c r="G23" s="106">
        <v>0</v>
      </c>
      <c r="H23" s="106" t="s">
        <v>573</v>
      </c>
      <c r="I23" s="106">
        <v>0</v>
      </c>
      <c r="J23" s="106">
        <v>1</v>
      </c>
      <c r="K23" s="106">
        <v>177</v>
      </c>
      <c r="L23" s="106">
        <v>651</v>
      </c>
      <c r="M23" s="106">
        <v>0</v>
      </c>
      <c r="N23" s="106">
        <v>0</v>
      </c>
      <c r="O23" s="108"/>
    </row>
    <row r="24" spans="1:15">
      <c r="A24" s="106">
        <v>95000194</v>
      </c>
      <c r="B24" s="106">
        <v>1</v>
      </c>
      <c r="C24" s="106">
        <v>71206</v>
      </c>
      <c r="D24" s="106" t="s">
        <v>595</v>
      </c>
      <c r="E24" s="106">
        <v>42</v>
      </c>
      <c r="F24" s="106" t="s">
        <v>604</v>
      </c>
      <c r="G24" s="106">
        <v>0</v>
      </c>
      <c r="H24" s="106" t="s">
        <v>573</v>
      </c>
      <c r="I24" s="106">
        <v>0</v>
      </c>
      <c r="J24" s="106">
        <v>1</v>
      </c>
      <c r="K24" s="106">
        <v>178</v>
      </c>
      <c r="L24" s="106">
        <v>652</v>
      </c>
      <c r="M24" s="106">
        <v>0</v>
      </c>
      <c r="N24" s="106">
        <v>0</v>
      </c>
      <c r="O24" s="108"/>
    </row>
    <row r="25" spans="1:15">
      <c r="A25" s="106">
        <v>95000208</v>
      </c>
      <c r="B25" s="106">
        <v>1</v>
      </c>
      <c r="C25" s="106">
        <v>71206</v>
      </c>
      <c r="D25" s="106" t="s">
        <v>595</v>
      </c>
      <c r="E25" s="106">
        <v>43</v>
      </c>
      <c r="F25" s="106" t="s">
        <v>605</v>
      </c>
      <c r="G25" s="106">
        <v>0</v>
      </c>
      <c r="H25" s="106" t="s">
        <v>573</v>
      </c>
      <c r="I25" s="106">
        <v>0</v>
      </c>
      <c r="J25" s="106">
        <v>1</v>
      </c>
      <c r="K25" s="106">
        <v>0</v>
      </c>
      <c r="L25" s="106"/>
      <c r="M25" s="106">
        <v>0</v>
      </c>
      <c r="N25" s="106">
        <v>0</v>
      </c>
      <c r="O25" s="108"/>
    </row>
    <row r="26" spans="1:15">
      <c r="A26" s="106">
        <v>95000216</v>
      </c>
      <c r="B26" s="106">
        <v>1</v>
      </c>
      <c r="C26" s="106">
        <v>71206</v>
      </c>
      <c r="D26" s="106" t="s">
        <v>595</v>
      </c>
      <c r="E26" s="106">
        <v>44</v>
      </c>
      <c r="F26" s="106" t="s">
        <v>606</v>
      </c>
      <c r="G26" s="106">
        <v>0</v>
      </c>
      <c r="H26" s="106" t="s">
        <v>573</v>
      </c>
      <c r="I26" s="106">
        <v>0</v>
      </c>
      <c r="J26" s="106">
        <v>1</v>
      </c>
      <c r="K26" s="106">
        <v>224</v>
      </c>
      <c r="L26" s="106">
        <v>659</v>
      </c>
      <c r="M26" s="106">
        <v>0</v>
      </c>
      <c r="N26" s="106">
        <v>0</v>
      </c>
      <c r="O26" s="108" t="s">
        <v>607</v>
      </c>
    </row>
    <row r="27" spans="1:15">
      <c r="A27" s="106">
        <v>95000224</v>
      </c>
      <c r="B27" s="106">
        <v>1</v>
      </c>
      <c r="C27" s="106">
        <v>71206</v>
      </c>
      <c r="D27" s="106" t="s">
        <v>595</v>
      </c>
      <c r="E27" s="106">
        <v>45</v>
      </c>
      <c r="F27" s="106" t="s">
        <v>608</v>
      </c>
      <c r="G27" s="106">
        <v>0</v>
      </c>
      <c r="H27" s="106" t="s">
        <v>573</v>
      </c>
      <c r="I27" s="106">
        <v>0</v>
      </c>
      <c r="J27" s="106">
        <v>1</v>
      </c>
      <c r="K27" s="106">
        <v>169</v>
      </c>
      <c r="L27" s="106">
        <v>645</v>
      </c>
      <c r="M27" s="106">
        <v>0</v>
      </c>
      <c r="N27" s="106">
        <v>0</v>
      </c>
      <c r="O27" s="108"/>
    </row>
    <row r="28" spans="1:15">
      <c r="A28" s="106">
        <v>95000232</v>
      </c>
      <c r="B28" s="106">
        <v>1</v>
      </c>
      <c r="C28" s="106">
        <v>71206</v>
      </c>
      <c r="D28" s="106" t="s">
        <v>595</v>
      </c>
      <c r="E28" s="106">
        <v>46</v>
      </c>
      <c r="F28" s="106" t="s">
        <v>609</v>
      </c>
      <c r="G28" s="106">
        <v>0</v>
      </c>
      <c r="H28" s="106" t="s">
        <v>573</v>
      </c>
      <c r="I28" s="106">
        <v>0</v>
      </c>
      <c r="J28" s="106">
        <v>1</v>
      </c>
      <c r="K28" s="106">
        <v>0</v>
      </c>
      <c r="L28" s="106"/>
      <c r="M28" s="106">
        <v>0</v>
      </c>
      <c r="N28" s="106">
        <v>0</v>
      </c>
      <c r="O28" s="108"/>
    </row>
    <row r="29" spans="1:15">
      <c r="A29" s="106">
        <v>95000241</v>
      </c>
      <c r="B29" s="106">
        <v>1</v>
      </c>
      <c r="C29" s="106">
        <v>71206</v>
      </c>
      <c r="D29" s="106" t="s">
        <v>595</v>
      </c>
      <c r="E29" s="106">
        <v>47</v>
      </c>
      <c r="F29" s="106" t="s">
        <v>610</v>
      </c>
      <c r="G29" s="106">
        <v>0</v>
      </c>
      <c r="H29" s="106" t="s">
        <v>573</v>
      </c>
      <c r="I29" s="106">
        <v>0</v>
      </c>
      <c r="J29" s="106">
        <v>1</v>
      </c>
      <c r="K29" s="106">
        <v>0</v>
      </c>
      <c r="L29" s="106"/>
      <c r="M29" s="106">
        <v>0</v>
      </c>
      <c r="N29" s="106">
        <v>0</v>
      </c>
      <c r="O29" s="108"/>
    </row>
    <row r="30" spans="1:15">
      <c r="A30" s="106">
        <v>95000259</v>
      </c>
      <c r="B30" s="106">
        <v>1</v>
      </c>
      <c r="C30" s="106">
        <v>71206</v>
      </c>
      <c r="D30" s="106" t="s">
        <v>595</v>
      </c>
      <c r="E30" s="106">
        <v>48</v>
      </c>
      <c r="F30" s="106" t="s">
        <v>611</v>
      </c>
      <c r="G30" s="106">
        <v>0</v>
      </c>
      <c r="H30" s="106" t="s">
        <v>573</v>
      </c>
      <c r="I30" s="106">
        <v>0</v>
      </c>
      <c r="J30" s="106">
        <v>1</v>
      </c>
      <c r="K30" s="106">
        <v>170</v>
      </c>
      <c r="L30" s="106">
        <v>646</v>
      </c>
      <c r="M30" s="106">
        <v>0</v>
      </c>
      <c r="N30" s="106">
        <v>0</v>
      </c>
      <c r="O30" s="108"/>
    </row>
    <row r="31" spans="1:15">
      <c r="A31" s="106">
        <v>95000267</v>
      </c>
      <c r="B31" s="106">
        <v>1</v>
      </c>
      <c r="C31" s="106">
        <v>71206</v>
      </c>
      <c r="D31" s="106" t="s">
        <v>595</v>
      </c>
      <c r="E31" s="106">
        <v>49</v>
      </c>
      <c r="F31" s="106" t="s">
        <v>612</v>
      </c>
      <c r="G31" s="106">
        <v>0</v>
      </c>
      <c r="H31" s="106" t="s">
        <v>573</v>
      </c>
      <c r="I31" s="106">
        <v>0</v>
      </c>
      <c r="J31" s="106">
        <v>1</v>
      </c>
      <c r="K31" s="106">
        <v>0</v>
      </c>
      <c r="L31" s="106"/>
      <c r="M31" s="106">
        <v>0</v>
      </c>
      <c r="N31" s="106">
        <v>0</v>
      </c>
      <c r="O31" s="108"/>
    </row>
    <row r="32" spans="1:15">
      <c r="A32" s="106">
        <v>95000275</v>
      </c>
      <c r="B32" s="106">
        <v>1</v>
      </c>
      <c r="C32" s="106">
        <v>71206</v>
      </c>
      <c r="D32" s="106" t="s">
        <v>595</v>
      </c>
      <c r="E32" s="106">
        <v>50</v>
      </c>
      <c r="F32" s="106" t="s">
        <v>613</v>
      </c>
      <c r="G32" s="106">
        <v>0</v>
      </c>
      <c r="H32" s="106" t="s">
        <v>573</v>
      </c>
      <c r="I32" s="106">
        <v>0</v>
      </c>
      <c r="J32" s="106">
        <v>1</v>
      </c>
      <c r="K32" s="106">
        <v>0</v>
      </c>
      <c r="L32" s="106"/>
      <c r="M32" s="106">
        <v>0</v>
      </c>
      <c r="N32" s="106">
        <v>0</v>
      </c>
      <c r="O32" s="108"/>
    </row>
    <row r="33" spans="1:15">
      <c r="A33" s="106">
        <v>95000283</v>
      </c>
      <c r="B33" s="106">
        <v>1</v>
      </c>
      <c r="C33" s="106">
        <v>71206</v>
      </c>
      <c r="D33" s="106" t="s">
        <v>595</v>
      </c>
      <c r="E33" s="106">
        <v>51</v>
      </c>
      <c r="F33" s="106" t="s">
        <v>614</v>
      </c>
      <c r="G33" s="106">
        <v>0</v>
      </c>
      <c r="H33" s="106" t="s">
        <v>573</v>
      </c>
      <c r="I33" s="106">
        <v>0</v>
      </c>
      <c r="J33" s="106">
        <v>1</v>
      </c>
      <c r="K33" s="106">
        <v>0</v>
      </c>
      <c r="L33" s="106"/>
      <c r="M33" s="106">
        <v>0</v>
      </c>
      <c r="N33" s="106">
        <v>0</v>
      </c>
      <c r="O33" s="108"/>
    </row>
    <row r="34" spans="1:15">
      <c r="A34" s="106">
        <v>95000291</v>
      </c>
      <c r="B34" s="106">
        <v>1</v>
      </c>
      <c r="C34" s="106">
        <v>71206</v>
      </c>
      <c r="D34" s="106" t="s">
        <v>595</v>
      </c>
      <c r="E34" s="106">
        <v>52</v>
      </c>
      <c r="F34" s="106" t="s">
        <v>615</v>
      </c>
      <c r="G34" s="106">
        <v>0</v>
      </c>
      <c r="H34" s="106" t="s">
        <v>573</v>
      </c>
      <c r="I34" s="106">
        <v>0</v>
      </c>
      <c r="J34" s="106">
        <v>1</v>
      </c>
      <c r="K34" s="106">
        <v>0</v>
      </c>
      <c r="L34" s="106"/>
      <c r="M34" s="106">
        <v>0</v>
      </c>
      <c r="N34" s="106">
        <v>0</v>
      </c>
      <c r="O34" s="108"/>
    </row>
    <row r="35" spans="1:15">
      <c r="A35" s="106">
        <v>95000305</v>
      </c>
      <c r="B35" s="106">
        <v>1</v>
      </c>
      <c r="C35" s="106">
        <v>70104</v>
      </c>
      <c r="D35" s="106" t="s">
        <v>616</v>
      </c>
      <c r="E35" s="106">
        <v>2</v>
      </c>
      <c r="F35" s="106" t="s">
        <v>617</v>
      </c>
      <c r="G35" s="106">
        <v>0</v>
      </c>
      <c r="H35" s="106" t="s">
        <v>573</v>
      </c>
      <c r="I35" s="106">
        <v>4668</v>
      </c>
      <c r="J35" s="106">
        <v>0</v>
      </c>
      <c r="K35" s="106">
        <v>44</v>
      </c>
      <c r="L35" s="106">
        <v>260</v>
      </c>
      <c r="M35" s="106">
        <v>0</v>
      </c>
      <c r="N35" s="106">
        <v>0</v>
      </c>
      <c r="O35" s="108"/>
    </row>
    <row r="36" spans="1:15">
      <c r="A36" s="106">
        <v>95000313</v>
      </c>
      <c r="B36" s="106">
        <v>1</v>
      </c>
      <c r="C36" s="106">
        <v>77600</v>
      </c>
      <c r="D36" s="106" t="s">
        <v>618</v>
      </c>
      <c r="E36" s="106">
        <v>54</v>
      </c>
      <c r="F36" s="106" t="s">
        <v>619</v>
      </c>
      <c r="G36" s="106">
        <v>0</v>
      </c>
      <c r="H36" s="106" t="s">
        <v>576</v>
      </c>
      <c r="I36" s="106">
        <v>0</v>
      </c>
      <c r="J36" s="106">
        <v>1</v>
      </c>
      <c r="K36" s="106">
        <v>0</v>
      </c>
      <c r="L36" s="106"/>
      <c r="M36" s="106">
        <v>0</v>
      </c>
      <c r="N36" s="106">
        <v>0</v>
      </c>
      <c r="O36" s="108"/>
    </row>
    <row r="37" spans="1:15">
      <c r="A37" s="106">
        <v>95000321</v>
      </c>
      <c r="B37" s="106">
        <v>1</v>
      </c>
      <c r="C37" s="106">
        <v>77601</v>
      </c>
      <c r="D37" s="106" t="s">
        <v>620</v>
      </c>
      <c r="E37" s="106">
        <v>55</v>
      </c>
      <c r="F37" s="106" t="s">
        <v>621</v>
      </c>
      <c r="G37" s="106">
        <v>0</v>
      </c>
      <c r="H37" s="106" t="s">
        <v>576</v>
      </c>
      <c r="I37" s="106">
        <v>0</v>
      </c>
      <c r="J37" s="106">
        <v>1</v>
      </c>
      <c r="K37" s="106">
        <v>0</v>
      </c>
      <c r="L37" s="106"/>
      <c r="M37" s="106">
        <v>0</v>
      </c>
      <c r="N37" s="106">
        <v>0</v>
      </c>
      <c r="O37" s="108"/>
    </row>
    <row r="38" spans="1:15">
      <c r="A38" s="106">
        <v>95000330</v>
      </c>
      <c r="B38" s="106">
        <v>1</v>
      </c>
      <c r="C38" s="106">
        <v>75500</v>
      </c>
      <c r="D38" s="106" t="s">
        <v>622</v>
      </c>
      <c r="E38" s="106">
        <v>56</v>
      </c>
      <c r="F38" s="106" t="s">
        <v>623</v>
      </c>
      <c r="G38" s="106">
        <v>0</v>
      </c>
      <c r="H38" s="106" t="s">
        <v>576</v>
      </c>
      <c r="I38" s="106">
        <v>0</v>
      </c>
      <c r="J38" s="106">
        <v>1</v>
      </c>
      <c r="K38" s="106">
        <v>0</v>
      </c>
      <c r="L38" s="106"/>
      <c r="M38" s="106">
        <v>0</v>
      </c>
      <c r="N38" s="106">
        <v>0</v>
      </c>
      <c r="O38" s="108"/>
    </row>
    <row r="39" spans="1:15">
      <c r="A39" s="106">
        <v>95000348</v>
      </c>
      <c r="B39" s="106">
        <v>1</v>
      </c>
      <c r="C39" s="106">
        <v>76601</v>
      </c>
      <c r="D39" s="106" t="s">
        <v>624</v>
      </c>
      <c r="E39" s="106">
        <v>57</v>
      </c>
      <c r="F39" s="106" t="s">
        <v>625</v>
      </c>
      <c r="G39" s="106">
        <v>0</v>
      </c>
      <c r="H39" s="106" t="s">
        <v>576</v>
      </c>
      <c r="I39" s="106">
        <v>0</v>
      </c>
      <c r="J39" s="106">
        <v>1</v>
      </c>
      <c r="K39" s="106">
        <v>0</v>
      </c>
      <c r="L39" s="106"/>
      <c r="M39" s="106">
        <v>0</v>
      </c>
      <c r="N39" s="106">
        <v>0</v>
      </c>
      <c r="O39" s="108"/>
    </row>
    <row r="40" spans="1:15">
      <c r="A40" s="106">
        <v>95000356</v>
      </c>
      <c r="B40" s="106">
        <v>1</v>
      </c>
      <c r="C40" s="106">
        <v>76601</v>
      </c>
      <c r="D40" s="106" t="s">
        <v>624</v>
      </c>
      <c r="E40" s="106">
        <v>58</v>
      </c>
      <c r="F40" s="106" t="s">
        <v>626</v>
      </c>
      <c r="G40" s="106">
        <v>0</v>
      </c>
      <c r="H40" s="106" t="s">
        <v>576</v>
      </c>
      <c r="I40" s="106">
        <v>0</v>
      </c>
      <c r="J40" s="106">
        <v>1</v>
      </c>
      <c r="K40" s="106">
        <v>0</v>
      </c>
      <c r="L40" s="106"/>
      <c r="M40" s="106">
        <v>0</v>
      </c>
      <c r="N40" s="106">
        <v>0</v>
      </c>
      <c r="O40" s="108"/>
    </row>
    <row r="41" spans="1:15">
      <c r="A41" s="106">
        <v>95000364</v>
      </c>
      <c r="B41" s="106">
        <v>1</v>
      </c>
      <c r="C41" s="106">
        <v>76601</v>
      </c>
      <c r="D41" s="106" t="s">
        <v>624</v>
      </c>
      <c r="E41" s="106">
        <v>59</v>
      </c>
      <c r="F41" s="106" t="s">
        <v>627</v>
      </c>
      <c r="G41" s="106">
        <v>0</v>
      </c>
      <c r="H41" s="106" t="s">
        <v>576</v>
      </c>
      <c r="I41" s="106">
        <v>0</v>
      </c>
      <c r="J41" s="106">
        <v>1</v>
      </c>
      <c r="K41" s="106">
        <v>0</v>
      </c>
      <c r="L41" s="106"/>
      <c r="M41" s="106">
        <v>0</v>
      </c>
      <c r="N41" s="106">
        <v>0</v>
      </c>
      <c r="O41" s="108"/>
    </row>
    <row r="42" spans="1:15">
      <c r="A42" s="106">
        <v>95000372</v>
      </c>
      <c r="B42" s="106">
        <v>1</v>
      </c>
      <c r="C42" s="106">
        <v>76601</v>
      </c>
      <c r="D42" s="106" t="s">
        <v>624</v>
      </c>
      <c r="E42" s="106">
        <v>60</v>
      </c>
      <c r="F42" s="106" t="s">
        <v>628</v>
      </c>
      <c r="G42" s="106">
        <v>0</v>
      </c>
      <c r="H42" s="106" t="s">
        <v>576</v>
      </c>
      <c r="I42" s="106">
        <v>0</v>
      </c>
      <c r="J42" s="106">
        <v>1</v>
      </c>
      <c r="K42" s="106">
        <v>0</v>
      </c>
      <c r="L42" s="106"/>
      <c r="M42" s="106">
        <v>0</v>
      </c>
      <c r="N42" s="106">
        <v>0</v>
      </c>
      <c r="O42" s="108"/>
    </row>
    <row r="43" spans="1:15">
      <c r="A43" s="106">
        <v>95000381</v>
      </c>
      <c r="B43" s="106">
        <v>1</v>
      </c>
      <c r="C43" s="106">
        <v>75300</v>
      </c>
      <c r="D43" s="106" t="s">
        <v>629</v>
      </c>
      <c r="E43" s="106">
        <v>61</v>
      </c>
      <c r="F43" s="106" t="s">
        <v>630</v>
      </c>
      <c r="G43" s="106">
        <v>0</v>
      </c>
      <c r="H43" s="106" t="s">
        <v>576</v>
      </c>
      <c r="I43" s="106">
        <v>0</v>
      </c>
      <c r="J43" s="106">
        <v>1</v>
      </c>
      <c r="K43" s="106">
        <v>0</v>
      </c>
      <c r="L43" s="106"/>
      <c r="M43" s="106">
        <v>0</v>
      </c>
      <c r="N43" s="106">
        <v>0</v>
      </c>
      <c r="O43" s="108"/>
    </row>
    <row r="44" spans="1:15">
      <c r="A44" s="106">
        <v>95000399</v>
      </c>
      <c r="B44" s="106">
        <v>1</v>
      </c>
      <c r="C44" s="106">
        <v>76601</v>
      </c>
      <c r="D44" s="106" t="s">
        <v>624</v>
      </c>
      <c r="E44" s="106">
        <v>62</v>
      </c>
      <c r="F44" s="106" t="s">
        <v>631</v>
      </c>
      <c r="G44" s="106">
        <v>0</v>
      </c>
      <c r="H44" s="106" t="s">
        <v>576</v>
      </c>
      <c r="I44" s="106">
        <v>0</v>
      </c>
      <c r="J44" s="106">
        <v>1</v>
      </c>
      <c r="K44" s="106">
        <v>0</v>
      </c>
      <c r="L44" s="106"/>
      <c r="M44" s="106">
        <v>0</v>
      </c>
      <c r="N44" s="106">
        <v>0</v>
      </c>
      <c r="O44" s="108"/>
    </row>
    <row r="45" spans="1:15">
      <c r="A45" s="106">
        <v>95000402</v>
      </c>
      <c r="B45" s="106">
        <v>1</v>
      </c>
      <c r="C45" s="106">
        <v>71206</v>
      </c>
      <c r="D45" s="106" t="s">
        <v>595</v>
      </c>
      <c r="E45" s="106">
        <v>3</v>
      </c>
      <c r="F45" s="106" t="s">
        <v>632</v>
      </c>
      <c r="G45" s="106">
        <v>0</v>
      </c>
      <c r="H45" s="106" t="s">
        <v>576</v>
      </c>
      <c r="I45" s="106">
        <v>0</v>
      </c>
      <c r="J45" s="106">
        <v>1</v>
      </c>
      <c r="K45" s="106">
        <v>0</v>
      </c>
      <c r="L45" s="106"/>
      <c r="M45" s="106">
        <v>0</v>
      </c>
      <c r="N45" s="106">
        <v>0</v>
      </c>
      <c r="O45" s="108"/>
    </row>
    <row r="46" spans="1:15">
      <c r="A46" s="106">
        <v>95000411</v>
      </c>
      <c r="B46" s="106">
        <v>1</v>
      </c>
      <c r="C46" s="106">
        <v>75500</v>
      </c>
      <c r="D46" s="106" t="s">
        <v>622</v>
      </c>
      <c r="E46" s="106">
        <v>64</v>
      </c>
      <c r="F46" s="106" t="s">
        <v>633</v>
      </c>
      <c r="G46" s="106">
        <v>0</v>
      </c>
      <c r="H46" s="106" t="s">
        <v>576</v>
      </c>
      <c r="I46" s="106">
        <v>0</v>
      </c>
      <c r="J46" s="106">
        <v>1</v>
      </c>
      <c r="K46" s="106">
        <v>0</v>
      </c>
      <c r="L46" s="106"/>
      <c r="M46" s="106">
        <v>0</v>
      </c>
      <c r="N46" s="106">
        <v>0</v>
      </c>
      <c r="O46" s="108"/>
    </row>
    <row r="47" spans="1:15">
      <c r="A47" s="106">
        <v>95000429</v>
      </c>
      <c r="B47" s="106">
        <v>1</v>
      </c>
      <c r="C47" s="106">
        <v>15500</v>
      </c>
      <c r="D47" s="106" t="s">
        <v>571</v>
      </c>
      <c r="E47" s="106">
        <v>65</v>
      </c>
      <c r="F47" s="106" t="s">
        <v>634</v>
      </c>
      <c r="G47" s="106">
        <v>0</v>
      </c>
      <c r="H47" s="106" t="s">
        <v>576</v>
      </c>
      <c r="I47" s="106">
        <v>4406</v>
      </c>
      <c r="J47" s="106">
        <v>1</v>
      </c>
      <c r="K47" s="106">
        <v>0</v>
      </c>
      <c r="L47" s="106"/>
      <c r="M47" s="106">
        <v>0</v>
      </c>
      <c r="N47" s="106">
        <v>0</v>
      </c>
      <c r="O47" s="108"/>
    </row>
    <row r="48" spans="1:15">
      <c r="A48" s="106">
        <v>95000437</v>
      </c>
      <c r="B48" s="106">
        <v>1</v>
      </c>
      <c r="C48" s="106">
        <v>76601</v>
      </c>
      <c r="D48" s="106" t="s">
        <v>624</v>
      </c>
      <c r="E48" s="106">
        <v>66</v>
      </c>
      <c r="F48" s="106" t="s">
        <v>635</v>
      </c>
      <c r="G48" s="106">
        <v>0</v>
      </c>
      <c r="H48" s="106" t="s">
        <v>576</v>
      </c>
      <c r="I48" s="106">
        <v>0</v>
      </c>
      <c r="J48" s="106">
        <v>1</v>
      </c>
      <c r="K48" s="106">
        <v>0</v>
      </c>
      <c r="L48" s="106"/>
      <c r="M48" s="106">
        <v>0</v>
      </c>
      <c r="N48" s="106">
        <v>0</v>
      </c>
      <c r="O48" s="108"/>
    </row>
    <row r="49" spans="1:15">
      <c r="A49" s="106">
        <v>95000445</v>
      </c>
      <c r="B49" s="106">
        <v>1</v>
      </c>
      <c r="C49" s="106">
        <v>76601</v>
      </c>
      <c r="D49" s="106" t="s">
        <v>624</v>
      </c>
      <c r="E49" s="106">
        <v>67</v>
      </c>
      <c r="F49" s="106" t="s">
        <v>636</v>
      </c>
      <c r="G49" s="106">
        <v>0</v>
      </c>
      <c r="H49" s="106" t="s">
        <v>576</v>
      </c>
      <c r="I49" s="106">
        <v>0</v>
      </c>
      <c r="J49" s="106">
        <v>1</v>
      </c>
      <c r="K49" s="106">
        <v>0</v>
      </c>
      <c r="L49" s="106"/>
      <c r="M49" s="106">
        <v>0</v>
      </c>
      <c r="N49" s="106">
        <v>0</v>
      </c>
      <c r="O49" s="108"/>
    </row>
    <row r="50" spans="1:15">
      <c r="A50" s="106">
        <v>95000453</v>
      </c>
      <c r="B50" s="106">
        <v>1</v>
      </c>
      <c r="C50" s="106">
        <v>76601</v>
      </c>
      <c r="D50" s="106" t="s">
        <v>624</v>
      </c>
      <c r="E50" s="106">
        <v>68</v>
      </c>
      <c r="F50" s="106" t="s">
        <v>637</v>
      </c>
      <c r="G50" s="106">
        <v>0</v>
      </c>
      <c r="H50" s="106" t="s">
        <v>576</v>
      </c>
      <c r="I50" s="106">
        <v>0</v>
      </c>
      <c r="J50" s="106">
        <v>1</v>
      </c>
      <c r="K50" s="106">
        <v>159</v>
      </c>
      <c r="L50" s="106">
        <v>641</v>
      </c>
      <c r="M50" s="106">
        <v>0</v>
      </c>
      <c r="N50" s="106">
        <v>0</v>
      </c>
      <c r="O50" s="108"/>
    </row>
    <row r="51" spans="1:15">
      <c r="A51" s="106">
        <v>95000461</v>
      </c>
      <c r="B51" s="106">
        <v>1</v>
      </c>
      <c r="C51" s="106">
        <v>76601</v>
      </c>
      <c r="D51" s="106" t="s">
        <v>624</v>
      </c>
      <c r="E51" s="106">
        <v>69</v>
      </c>
      <c r="F51" s="106" t="s">
        <v>638</v>
      </c>
      <c r="G51" s="106">
        <v>0</v>
      </c>
      <c r="H51" s="106" t="s">
        <v>576</v>
      </c>
      <c r="I51" s="106">
        <v>0</v>
      </c>
      <c r="J51" s="106">
        <v>1</v>
      </c>
      <c r="K51" s="106">
        <v>0</v>
      </c>
      <c r="L51" s="106"/>
      <c r="M51" s="106">
        <v>0</v>
      </c>
      <c r="N51" s="106">
        <v>0</v>
      </c>
      <c r="O51" s="108"/>
    </row>
    <row r="52" spans="1:15">
      <c r="A52" s="106">
        <v>95000470</v>
      </c>
      <c r="B52" s="106">
        <v>1</v>
      </c>
      <c r="C52" s="106">
        <v>15600</v>
      </c>
      <c r="D52" s="106" t="s">
        <v>639</v>
      </c>
      <c r="E52" s="106">
        <v>70</v>
      </c>
      <c r="F52" s="106" t="s">
        <v>640</v>
      </c>
      <c r="G52" s="106">
        <v>0</v>
      </c>
      <c r="H52" s="106" t="s">
        <v>573</v>
      </c>
      <c r="I52" s="106">
        <v>4970</v>
      </c>
      <c r="J52" s="106">
        <v>1</v>
      </c>
      <c r="K52" s="106">
        <v>123</v>
      </c>
      <c r="L52" s="106">
        <v>613</v>
      </c>
      <c r="M52" s="106">
        <v>0</v>
      </c>
      <c r="N52" s="106">
        <v>0</v>
      </c>
      <c r="O52" s="108"/>
    </row>
    <row r="53" spans="1:15">
      <c r="A53" s="106">
        <v>95000488</v>
      </c>
      <c r="B53" s="106">
        <v>1</v>
      </c>
      <c r="C53" s="106">
        <v>15600</v>
      </c>
      <c r="D53" s="106" t="s">
        <v>639</v>
      </c>
      <c r="E53" s="106">
        <v>71</v>
      </c>
      <c r="F53" s="106" t="s">
        <v>641</v>
      </c>
      <c r="G53" s="106">
        <v>0</v>
      </c>
      <c r="H53" s="106" t="s">
        <v>573</v>
      </c>
      <c r="I53" s="106">
        <v>4970</v>
      </c>
      <c r="J53" s="106">
        <v>1</v>
      </c>
      <c r="K53" s="106">
        <v>124</v>
      </c>
      <c r="L53" s="106">
        <v>614</v>
      </c>
      <c r="M53" s="106">
        <v>0</v>
      </c>
      <c r="N53" s="106">
        <v>0</v>
      </c>
      <c r="O53" s="108"/>
    </row>
    <row r="54" spans="1:15">
      <c r="A54" s="106">
        <v>95000496</v>
      </c>
      <c r="B54" s="106">
        <v>1</v>
      </c>
      <c r="C54" s="106">
        <v>15600</v>
      </c>
      <c r="D54" s="106" t="s">
        <v>639</v>
      </c>
      <c r="E54" s="106">
        <v>72</v>
      </c>
      <c r="F54" s="106" t="s">
        <v>642</v>
      </c>
      <c r="G54" s="106">
        <v>0</v>
      </c>
      <c r="H54" s="106" t="s">
        <v>573</v>
      </c>
      <c r="I54" s="106">
        <v>4970</v>
      </c>
      <c r="J54" s="106">
        <v>1</v>
      </c>
      <c r="K54" s="106">
        <v>125</v>
      </c>
      <c r="L54" s="106">
        <v>615</v>
      </c>
      <c r="M54" s="106">
        <v>0</v>
      </c>
      <c r="N54" s="106">
        <v>0</v>
      </c>
      <c r="O54" s="108"/>
    </row>
    <row r="55" spans="1:15">
      <c r="A55" s="106">
        <v>95000500</v>
      </c>
      <c r="B55" s="106">
        <v>1</v>
      </c>
      <c r="C55" s="106">
        <v>70104</v>
      </c>
      <c r="D55" s="106" t="s">
        <v>616</v>
      </c>
      <c r="E55" s="106">
        <v>4</v>
      </c>
      <c r="F55" s="106" t="s">
        <v>643</v>
      </c>
      <c r="G55" s="106">
        <v>0</v>
      </c>
      <c r="H55" s="106" t="s">
        <v>573</v>
      </c>
      <c r="I55" s="106">
        <v>4669</v>
      </c>
      <c r="J55" s="106">
        <v>0</v>
      </c>
      <c r="K55" s="106">
        <v>45</v>
      </c>
      <c r="L55" s="106">
        <v>261</v>
      </c>
      <c r="M55" s="106">
        <v>0</v>
      </c>
      <c r="N55" s="106">
        <v>0</v>
      </c>
      <c r="O55" s="108"/>
    </row>
    <row r="56" spans="1:15">
      <c r="A56" s="106">
        <v>95000518</v>
      </c>
      <c r="B56" s="106">
        <v>1</v>
      </c>
      <c r="C56" s="106">
        <v>15200</v>
      </c>
      <c r="D56" s="106" t="s">
        <v>579</v>
      </c>
      <c r="E56" s="106">
        <v>74</v>
      </c>
      <c r="F56" s="106" t="s">
        <v>644</v>
      </c>
      <c r="G56" s="106">
        <v>0</v>
      </c>
      <c r="H56" s="106" t="s">
        <v>573</v>
      </c>
      <c r="I56" s="106">
        <v>6185</v>
      </c>
      <c r="J56" s="106">
        <v>0</v>
      </c>
      <c r="K56" s="106">
        <v>53</v>
      </c>
      <c r="L56" s="106">
        <v>269</v>
      </c>
      <c r="M56" s="106">
        <v>0</v>
      </c>
      <c r="N56" s="106">
        <v>0</v>
      </c>
      <c r="O56" s="108"/>
    </row>
    <row r="57" spans="1:15">
      <c r="A57" s="106">
        <v>95000526</v>
      </c>
      <c r="B57" s="106">
        <v>1</v>
      </c>
      <c r="C57" s="106">
        <v>15200</v>
      </c>
      <c r="D57" s="106" t="s">
        <v>579</v>
      </c>
      <c r="E57" s="106">
        <v>75</v>
      </c>
      <c r="F57" s="106" t="s">
        <v>645</v>
      </c>
      <c r="G57" s="106">
        <v>0</v>
      </c>
      <c r="H57" s="106" t="s">
        <v>573</v>
      </c>
      <c r="I57" s="106">
        <v>4681</v>
      </c>
      <c r="J57" s="106">
        <v>0</v>
      </c>
      <c r="K57" s="106">
        <v>54</v>
      </c>
      <c r="L57" s="106">
        <v>270</v>
      </c>
      <c r="M57" s="106">
        <v>0</v>
      </c>
      <c r="N57" s="106">
        <v>0</v>
      </c>
      <c r="O57" s="108"/>
    </row>
    <row r="58" spans="1:15">
      <c r="A58" s="106">
        <v>95000542</v>
      </c>
      <c r="B58" s="106">
        <v>1</v>
      </c>
      <c r="C58" s="106">
        <v>13103</v>
      </c>
      <c r="D58" s="106" t="s">
        <v>646</v>
      </c>
      <c r="E58" s="106">
        <v>76</v>
      </c>
      <c r="F58" s="106" t="s">
        <v>647</v>
      </c>
      <c r="G58" s="106">
        <v>0</v>
      </c>
      <c r="H58" s="106" t="s">
        <v>573</v>
      </c>
      <c r="I58" s="106">
        <v>4681</v>
      </c>
      <c r="J58" s="106">
        <v>1</v>
      </c>
      <c r="K58" s="106">
        <v>0</v>
      </c>
      <c r="L58" s="106"/>
      <c r="M58" s="106">
        <v>0</v>
      </c>
      <c r="N58" s="106">
        <v>0</v>
      </c>
      <c r="O58" s="108"/>
    </row>
    <row r="59" spans="1:15">
      <c r="A59" s="106">
        <v>95000551</v>
      </c>
      <c r="B59" s="106">
        <v>1</v>
      </c>
      <c r="C59" s="106">
        <v>73600</v>
      </c>
      <c r="D59" s="106" t="s">
        <v>648</v>
      </c>
      <c r="E59" s="106">
        <v>77</v>
      </c>
      <c r="F59" s="106" t="s">
        <v>649</v>
      </c>
      <c r="G59" s="106">
        <v>0</v>
      </c>
      <c r="H59" s="106" t="s">
        <v>573</v>
      </c>
      <c r="I59" s="106">
        <v>0</v>
      </c>
      <c r="J59" s="106">
        <v>1</v>
      </c>
      <c r="K59" s="106">
        <v>0</v>
      </c>
      <c r="L59" s="106"/>
      <c r="M59" s="106">
        <v>0</v>
      </c>
      <c r="N59" s="106">
        <v>0</v>
      </c>
      <c r="O59" s="108"/>
    </row>
    <row r="60" spans="1:15">
      <c r="A60" s="106">
        <v>95000569</v>
      </c>
      <c r="B60" s="106">
        <v>1</v>
      </c>
      <c r="C60" s="106">
        <v>73600</v>
      </c>
      <c r="D60" s="106" t="s">
        <v>648</v>
      </c>
      <c r="E60" s="106">
        <v>78</v>
      </c>
      <c r="F60" s="106" t="s">
        <v>650</v>
      </c>
      <c r="G60" s="106">
        <v>0</v>
      </c>
      <c r="H60" s="106" t="s">
        <v>573</v>
      </c>
      <c r="I60" s="106">
        <v>0</v>
      </c>
      <c r="J60" s="106">
        <v>1</v>
      </c>
      <c r="K60" s="106">
        <v>157</v>
      </c>
      <c r="L60" s="106">
        <v>681</v>
      </c>
      <c r="M60" s="106">
        <v>0</v>
      </c>
      <c r="N60" s="106">
        <v>0</v>
      </c>
      <c r="O60" s="108"/>
    </row>
    <row r="61" spans="1:15">
      <c r="A61" s="106">
        <v>95000577</v>
      </c>
      <c r="B61" s="106">
        <v>1</v>
      </c>
      <c r="C61" s="106">
        <v>73600</v>
      </c>
      <c r="D61" s="106" t="s">
        <v>648</v>
      </c>
      <c r="E61" s="106">
        <v>79</v>
      </c>
      <c r="F61" s="106" t="s">
        <v>651</v>
      </c>
      <c r="G61" s="106">
        <v>0</v>
      </c>
      <c r="H61" s="106" t="s">
        <v>573</v>
      </c>
      <c r="I61" s="106">
        <v>0</v>
      </c>
      <c r="J61" s="106">
        <v>1</v>
      </c>
      <c r="K61" s="106">
        <v>156</v>
      </c>
      <c r="L61" s="106">
        <v>624</v>
      </c>
      <c r="M61" s="106">
        <v>0</v>
      </c>
      <c r="N61" s="106">
        <v>0</v>
      </c>
      <c r="O61" s="108"/>
    </row>
    <row r="62" spans="1:15">
      <c r="A62" s="106">
        <v>95000607</v>
      </c>
      <c r="B62" s="106">
        <v>1</v>
      </c>
      <c r="C62" s="106">
        <v>15201</v>
      </c>
      <c r="D62" s="106" t="s">
        <v>652</v>
      </c>
      <c r="E62" s="106">
        <v>5</v>
      </c>
      <c r="F62" s="106" t="s">
        <v>653</v>
      </c>
      <c r="G62" s="106">
        <v>0</v>
      </c>
      <c r="H62" s="106" t="s">
        <v>573</v>
      </c>
      <c r="I62" s="106">
        <v>0</v>
      </c>
      <c r="J62" s="106">
        <v>0</v>
      </c>
      <c r="K62" s="106">
        <v>48</v>
      </c>
      <c r="L62" s="106">
        <v>264</v>
      </c>
      <c r="M62" s="106">
        <v>0</v>
      </c>
      <c r="N62" s="106">
        <v>0</v>
      </c>
      <c r="O62" s="108"/>
    </row>
    <row r="63" spans="1:15">
      <c r="A63" s="106">
        <v>95000615</v>
      </c>
      <c r="B63" s="106">
        <v>1</v>
      </c>
      <c r="C63" s="106">
        <v>77500</v>
      </c>
      <c r="D63" s="106" t="s">
        <v>654</v>
      </c>
      <c r="E63" s="106">
        <v>53</v>
      </c>
      <c r="F63" s="106" t="s">
        <v>654</v>
      </c>
      <c r="G63" s="106">
        <v>0</v>
      </c>
      <c r="H63" s="106" t="s">
        <v>576</v>
      </c>
      <c r="I63" s="106">
        <v>0</v>
      </c>
      <c r="J63" s="106">
        <v>1</v>
      </c>
      <c r="K63" s="106">
        <v>0</v>
      </c>
      <c r="L63" s="106"/>
      <c r="M63" s="106">
        <v>0</v>
      </c>
      <c r="N63" s="106">
        <v>0</v>
      </c>
      <c r="O63" s="108"/>
    </row>
    <row r="64" spans="1:15">
      <c r="A64" s="106">
        <v>95000623</v>
      </c>
      <c r="B64" s="106">
        <v>1</v>
      </c>
      <c r="C64" s="106">
        <v>76601</v>
      </c>
      <c r="D64" s="106" t="s">
        <v>624</v>
      </c>
      <c r="E64" s="106">
        <v>63</v>
      </c>
      <c r="F64" s="106" t="s">
        <v>655</v>
      </c>
      <c r="G64" s="106">
        <v>0</v>
      </c>
      <c r="H64" s="106" t="s">
        <v>576</v>
      </c>
      <c r="I64" s="106">
        <v>0</v>
      </c>
      <c r="J64" s="106">
        <v>1</v>
      </c>
      <c r="K64" s="106">
        <v>118</v>
      </c>
      <c r="L64" s="106">
        <v>608</v>
      </c>
      <c r="M64" s="106">
        <v>0</v>
      </c>
      <c r="N64" s="106">
        <v>0</v>
      </c>
      <c r="O64" s="108"/>
    </row>
    <row r="65" spans="1:17">
      <c r="A65" s="106">
        <v>95000631</v>
      </c>
      <c r="B65" s="106">
        <v>1</v>
      </c>
      <c r="C65" s="106">
        <v>15200</v>
      </c>
      <c r="D65" s="106" t="s">
        <v>579</v>
      </c>
      <c r="E65" s="106">
        <v>73</v>
      </c>
      <c r="F65" s="106" t="s">
        <v>656</v>
      </c>
      <c r="G65" s="106">
        <v>0</v>
      </c>
      <c r="H65" s="106" t="s">
        <v>573</v>
      </c>
      <c r="I65" s="106">
        <v>589</v>
      </c>
      <c r="J65" s="106">
        <v>1</v>
      </c>
      <c r="K65" s="106">
        <v>0</v>
      </c>
      <c r="L65" s="106"/>
      <c r="M65" s="106">
        <v>0</v>
      </c>
      <c r="N65" s="106">
        <v>0</v>
      </c>
      <c r="O65" s="108"/>
    </row>
    <row r="66" spans="1:17">
      <c r="A66" s="106">
        <v>95000640</v>
      </c>
      <c r="B66" s="106">
        <v>1</v>
      </c>
      <c r="C66" s="106">
        <v>15205</v>
      </c>
      <c r="D66" s="106" t="s">
        <v>657</v>
      </c>
      <c r="E66" s="106">
        <v>80</v>
      </c>
      <c r="F66" s="106" t="s">
        <v>658</v>
      </c>
      <c r="G66" s="106">
        <v>0</v>
      </c>
      <c r="H66" s="106" t="s">
        <v>573</v>
      </c>
      <c r="I66" s="106">
        <v>2437</v>
      </c>
      <c r="J66" s="106">
        <v>0</v>
      </c>
      <c r="K66" s="106">
        <v>55</v>
      </c>
      <c r="L66" s="106">
        <v>271</v>
      </c>
      <c r="M66" s="106">
        <v>0</v>
      </c>
      <c r="N66" s="106">
        <v>0</v>
      </c>
      <c r="O66" s="108"/>
    </row>
    <row r="67" spans="1:17">
      <c r="A67" s="106">
        <v>95000658</v>
      </c>
      <c r="B67" s="106">
        <v>1</v>
      </c>
      <c r="C67" s="106">
        <v>74500</v>
      </c>
      <c r="D67" s="106" t="s">
        <v>659</v>
      </c>
      <c r="E67" s="106">
        <v>81</v>
      </c>
      <c r="F67" s="106" t="s">
        <v>660</v>
      </c>
      <c r="G67" s="106">
        <v>0</v>
      </c>
      <c r="H67" s="106" t="s">
        <v>573</v>
      </c>
      <c r="I67" s="106">
        <v>4190</v>
      </c>
      <c r="J67" s="106">
        <v>1</v>
      </c>
      <c r="K67" s="106">
        <v>119</v>
      </c>
      <c r="L67" s="106">
        <v>609</v>
      </c>
      <c r="M67" s="106">
        <v>0</v>
      </c>
      <c r="N67" s="106">
        <v>0</v>
      </c>
      <c r="O67" s="108"/>
    </row>
    <row r="68" spans="1:17">
      <c r="A68" s="106">
        <v>95000666</v>
      </c>
      <c r="B68" s="106">
        <v>1</v>
      </c>
      <c r="C68" s="106">
        <v>15200</v>
      </c>
      <c r="D68" s="106" t="s">
        <v>579</v>
      </c>
      <c r="E68" s="106">
        <v>83</v>
      </c>
      <c r="F68" s="106" t="s">
        <v>661</v>
      </c>
      <c r="G68" s="106">
        <v>0</v>
      </c>
      <c r="H68" s="106" t="s">
        <v>573</v>
      </c>
      <c r="I68" s="106">
        <v>5414</v>
      </c>
      <c r="J68" s="106">
        <v>1</v>
      </c>
      <c r="K68" s="106">
        <v>0</v>
      </c>
      <c r="L68" s="106"/>
      <c r="M68" s="106">
        <v>0</v>
      </c>
      <c r="N68" s="106">
        <v>0</v>
      </c>
      <c r="O68" s="108"/>
    </row>
    <row r="69" spans="1:17">
      <c r="A69" s="106">
        <v>95000674</v>
      </c>
      <c r="B69" s="106">
        <v>1</v>
      </c>
      <c r="C69" s="106">
        <v>15200</v>
      </c>
      <c r="D69" s="106" t="s">
        <v>579</v>
      </c>
      <c r="E69" s="106">
        <v>84</v>
      </c>
      <c r="F69" s="106" t="s">
        <v>662</v>
      </c>
      <c r="G69" s="106">
        <v>0</v>
      </c>
      <c r="H69" s="106" t="s">
        <v>573</v>
      </c>
      <c r="I69" s="106">
        <v>6463</v>
      </c>
      <c r="J69" s="106">
        <v>1</v>
      </c>
      <c r="K69" s="106">
        <v>0</v>
      </c>
      <c r="L69" s="106"/>
      <c r="M69" s="106">
        <v>0</v>
      </c>
      <c r="N69" s="106">
        <v>0</v>
      </c>
      <c r="O69" s="108"/>
    </row>
    <row r="70" spans="1:17">
      <c r="A70" s="106">
        <v>95000682</v>
      </c>
      <c r="B70" s="106">
        <v>1</v>
      </c>
      <c r="C70" s="106">
        <v>15200</v>
      </c>
      <c r="D70" s="106" t="s">
        <v>579</v>
      </c>
      <c r="E70" s="106">
        <v>85</v>
      </c>
      <c r="F70" s="106" t="s">
        <v>663</v>
      </c>
      <c r="G70" s="106">
        <v>0</v>
      </c>
      <c r="H70" s="106" t="s">
        <v>573</v>
      </c>
      <c r="I70" s="106">
        <v>6111</v>
      </c>
      <c r="J70" s="106">
        <v>1</v>
      </c>
      <c r="K70" s="106">
        <v>0</v>
      </c>
      <c r="L70" s="106"/>
      <c r="M70" s="106">
        <v>0</v>
      </c>
      <c r="N70" s="106">
        <v>0</v>
      </c>
      <c r="O70" s="108"/>
    </row>
    <row r="71" spans="1:17">
      <c r="A71" s="106">
        <v>95000691</v>
      </c>
      <c r="B71" s="106">
        <v>1</v>
      </c>
      <c r="C71" s="106">
        <v>15600</v>
      </c>
      <c r="D71" s="106" t="s">
        <v>639</v>
      </c>
      <c r="E71" s="106">
        <v>86</v>
      </c>
      <c r="F71" s="106" t="s">
        <v>664</v>
      </c>
      <c r="G71" s="106">
        <v>0</v>
      </c>
      <c r="H71" s="106" t="s">
        <v>573</v>
      </c>
      <c r="I71" s="106">
        <v>3936</v>
      </c>
      <c r="J71" s="106">
        <v>1</v>
      </c>
      <c r="K71" s="106">
        <v>0</v>
      </c>
      <c r="L71" s="106"/>
      <c r="M71" s="106">
        <v>0</v>
      </c>
      <c r="N71" s="106">
        <v>0</v>
      </c>
      <c r="O71" s="108"/>
    </row>
    <row r="72" spans="1:17">
      <c r="A72" s="106">
        <v>95000704</v>
      </c>
      <c r="B72" s="106">
        <v>1</v>
      </c>
      <c r="C72" s="106">
        <v>71206</v>
      </c>
      <c r="D72" s="106" t="s">
        <v>595</v>
      </c>
      <c r="E72" s="106">
        <v>6</v>
      </c>
      <c r="F72" s="106" t="s">
        <v>665</v>
      </c>
      <c r="G72" s="106">
        <v>0</v>
      </c>
      <c r="H72" s="106" t="s">
        <v>576</v>
      </c>
      <c r="I72" s="106">
        <v>0</v>
      </c>
      <c r="J72" s="106">
        <v>1</v>
      </c>
      <c r="K72" s="106">
        <v>0</v>
      </c>
      <c r="L72" s="106"/>
      <c r="M72" s="106">
        <v>0</v>
      </c>
      <c r="N72" s="106">
        <v>0</v>
      </c>
      <c r="O72" s="108"/>
    </row>
    <row r="73" spans="1:17">
      <c r="A73" s="106">
        <v>95000712</v>
      </c>
      <c r="B73" s="106">
        <v>1</v>
      </c>
      <c r="C73" s="106">
        <v>76600</v>
      </c>
      <c r="D73" s="106" t="s">
        <v>666</v>
      </c>
      <c r="E73" s="106">
        <v>88</v>
      </c>
      <c r="F73" s="106" t="s">
        <v>667</v>
      </c>
      <c r="G73" s="106">
        <v>0</v>
      </c>
      <c r="H73" s="106" t="s">
        <v>573</v>
      </c>
      <c r="I73" s="106">
        <v>0</v>
      </c>
      <c r="J73" s="106">
        <v>1</v>
      </c>
      <c r="K73" s="106">
        <v>161</v>
      </c>
      <c r="L73" s="106">
        <v>626</v>
      </c>
      <c r="M73" s="106">
        <v>0</v>
      </c>
      <c r="N73" s="106">
        <v>0</v>
      </c>
      <c r="O73" s="108"/>
    </row>
    <row r="74" spans="1:17">
      <c r="A74" s="106">
        <v>95000721</v>
      </c>
      <c r="B74" s="106">
        <v>1</v>
      </c>
      <c r="C74" s="106">
        <v>71206</v>
      </c>
      <c r="D74" s="106" t="s">
        <v>668</v>
      </c>
      <c r="E74" s="106">
        <v>89</v>
      </c>
      <c r="F74" s="106" t="s">
        <v>669</v>
      </c>
      <c r="G74" s="106">
        <v>0</v>
      </c>
      <c r="H74" s="106" t="s">
        <v>573</v>
      </c>
      <c r="I74" s="106">
        <v>0</v>
      </c>
      <c r="J74" s="106">
        <v>1</v>
      </c>
      <c r="K74" s="106">
        <v>171</v>
      </c>
      <c r="L74" s="106">
        <v>647</v>
      </c>
      <c r="M74" s="106">
        <v>0</v>
      </c>
      <c r="N74" s="106">
        <v>0</v>
      </c>
      <c r="O74" s="108"/>
    </row>
    <row r="75" spans="1:17">
      <c r="A75" s="106">
        <v>95000739</v>
      </c>
      <c r="B75" s="106">
        <v>1</v>
      </c>
      <c r="C75" s="106">
        <v>14106</v>
      </c>
      <c r="D75" s="106" t="s">
        <v>670</v>
      </c>
      <c r="E75" s="106">
        <v>87</v>
      </c>
      <c r="F75" s="106" t="s">
        <v>671</v>
      </c>
      <c r="G75" s="106">
        <v>0</v>
      </c>
      <c r="H75" s="106" t="s">
        <v>573</v>
      </c>
      <c r="I75" s="106">
        <v>4165</v>
      </c>
      <c r="J75" s="106">
        <v>1</v>
      </c>
      <c r="K75" s="106">
        <v>0</v>
      </c>
      <c r="L75" s="106"/>
      <c r="M75" s="106">
        <v>0</v>
      </c>
      <c r="N75" s="106">
        <v>0</v>
      </c>
      <c r="O75" s="108"/>
    </row>
    <row r="76" spans="1:17">
      <c r="A76" s="106">
        <v>95000755</v>
      </c>
      <c r="B76" s="106">
        <v>1</v>
      </c>
      <c r="C76" s="106">
        <v>43005</v>
      </c>
      <c r="D76" s="106" t="s">
        <v>672</v>
      </c>
      <c r="E76" s="106">
        <v>94</v>
      </c>
      <c r="F76" s="106" t="s">
        <v>673</v>
      </c>
      <c r="G76" s="106">
        <v>0</v>
      </c>
      <c r="H76" s="106" t="s">
        <v>573</v>
      </c>
      <c r="I76" s="106">
        <v>4034</v>
      </c>
      <c r="J76" s="106">
        <v>1</v>
      </c>
      <c r="K76" s="106">
        <v>120</v>
      </c>
      <c r="L76" s="106">
        <v>610</v>
      </c>
      <c r="M76" s="106">
        <v>0</v>
      </c>
      <c r="N76" s="106">
        <v>0</v>
      </c>
      <c r="O76" s="108"/>
    </row>
    <row r="77" spans="1:17">
      <c r="A77" s="106">
        <v>95000763</v>
      </c>
      <c r="B77" s="106">
        <v>1</v>
      </c>
      <c r="C77" s="106">
        <v>73600</v>
      </c>
      <c r="D77" s="106" t="s">
        <v>648</v>
      </c>
      <c r="E77" s="106">
        <v>91</v>
      </c>
      <c r="F77" s="106" t="s">
        <v>674</v>
      </c>
      <c r="G77" s="106">
        <v>0</v>
      </c>
      <c r="H77" s="106" t="s">
        <v>573</v>
      </c>
      <c r="I77" s="106">
        <v>0</v>
      </c>
      <c r="J77" s="106">
        <v>1</v>
      </c>
      <c r="K77" s="106">
        <v>199</v>
      </c>
      <c r="L77" s="106">
        <v>658</v>
      </c>
      <c r="M77" s="106">
        <v>0</v>
      </c>
      <c r="N77" s="106">
        <v>0</v>
      </c>
      <c r="O77" s="108" t="s">
        <v>590</v>
      </c>
      <c r="P77" s="108"/>
      <c r="Q77" s="108"/>
    </row>
    <row r="78" spans="1:17">
      <c r="A78" s="106">
        <v>95000771</v>
      </c>
      <c r="B78" s="106">
        <v>1</v>
      </c>
      <c r="C78" s="106">
        <v>10103</v>
      </c>
      <c r="D78" s="106" t="s">
        <v>675</v>
      </c>
      <c r="E78" s="106">
        <v>92</v>
      </c>
      <c r="F78" s="106" t="s">
        <v>676</v>
      </c>
      <c r="G78" s="106">
        <v>0</v>
      </c>
      <c r="H78" s="106" t="s">
        <v>573</v>
      </c>
      <c r="I78" s="106">
        <v>0</v>
      </c>
      <c r="J78" s="106">
        <v>1</v>
      </c>
      <c r="K78" s="106">
        <v>0</v>
      </c>
      <c r="L78" s="106"/>
      <c r="M78" s="106">
        <v>0</v>
      </c>
      <c r="N78" s="106">
        <v>0</v>
      </c>
      <c r="O78" s="108"/>
    </row>
    <row r="79" spans="1:17">
      <c r="A79" s="106">
        <v>95000780</v>
      </c>
      <c r="B79" s="106">
        <v>1</v>
      </c>
      <c r="C79" s="106">
        <v>71206</v>
      </c>
      <c r="D79" s="106" t="s">
        <v>677</v>
      </c>
      <c r="E79" s="106">
        <v>93</v>
      </c>
      <c r="F79" s="106" t="s">
        <v>678</v>
      </c>
      <c r="G79" s="106">
        <v>0</v>
      </c>
      <c r="H79" s="106" t="s">
        <v>573</v>
      </c>
      <c r="I79" s="106">
        <v>0</v>
      </c>
      <c r="J79" s="106">
        <v>1</v>
      </c>
      <c r="K79" s="106">
        <v>172</v>
      </c>
      <c r="L79" s="106">
        <v>648</v>
      </c>
      <c r="M79" s="106">
        <v>0</v>
      </c>
      <c r="N79" s="106">
        <v>0</v>
      </c>
      <c r="O79" s="108"/>
    </row>
    <row r="80" spans="1:17">
      <c r="A80" s="106">
        <v>95000798</v>
      </c>
      <c r="B80" s="106">
        <v>1</v>
      </c>
      <c r="C80" s="106">
        <v>73300</v>
      </c>
      <c r="D80" s="106" t="s">
        <v>679</v>
      </c>
      <c r="E80" s="106">
        <v>95</v>
      </c>
      <c r="F80" s="106" t="s">
        <v>680</v>
      </c>
      <c r="G80" s="106">
        <v>0</v>
      </c>
      <c r="H80" s="106" t="s">
        <v>573</v>
      </c>
      <c r="I80" s="106">
        <v>4038</v>
      </c>
      <c r="J80" s="106">
        <v>1</v>
      </c>
      <c r="K80" s="106">
        <v>0</v>
      </c>
      <c r="L80" s="106"/>
      <c r="M80" s="106">
        <v>0</v>
      </c>
      <c r="N80" s="106">
        <v>0</v>
      </c>
      <c r="O80" s="108"/>
    </row>
    <row r="81" spans="1:15">
      <c r="A81" s="106">
        <v>95000801</v>
      </c>
      <c r="B81" s="106">
        <v>1</v>
      </c>
      <c r="C81" s="106">
        <v>76601</v>
      </c>
      <c r="D81" s="106" t="s">
        <v>624</v>
      </c>
      <c r="E81" s="106">
        <v>7</v>
      </c>
      <c r="F81" s="106" t="s">
        <v>681</v>
      </c>
      <c r="G81" s="106">
        <v>0</v>
      </c>
      <c r="H81" s="106" t="s">
        <v>573</v>
      </c>
      <c r="I81" s="106">
        <v>0</v>
      </c>
      <c r="J81" s="106">
        <v>1</v>
      </c>
      <c r="K81" s="106">
        <v>115</v>
      </c>
      <c r="L81" s="106">
        <v>605</v>
      </c>
      <c r="M81" s="106">
        <v>0</v>
      </c>
      <c r="N81" s="106">
        <v>0</v>
      </c>
      <c r="O81" s="108"/>
    </row>
    <row r="82" spans="1:15">
      <c r="A82" s="106">
        <v>95000810</v>
      </c>
      <c r="B82" s="106">
        <v>1</v>
      </c>
      <c r="C82" s="106">
        <v>72200</v>
      </c>
      <c r="D82" s="106" t="s">
        <v>682</v>
      </c>
      <c r="E82" s="106">
        <v>96</v>
      </c>
      <c r="F82" s="106" t="s">
        <v>683</v>
      </c>
      <c r="G82" s="106">
        <v>0</v>
      </c>
      <c r="H82" s="106" t="s">
        <v>573</v>
      </c>
      <c r="I82" s="106">
        <v>5735</v>
      </c>
      <c r="J82" s="106">
        <v>1</v>
      </c>
      <c r="K82" s="106">
        <v>182</v>
      </c>
      <c r="L82" s="106">
        <v>653</v>
      </c>
      <c r="M82" s="106">
        <v>0</v>
      </c>
      <c r="N82" s="106">
        <v>0</v>
      </c>
      <c r="O82" s="108"/>
    </row>
    <row r="83" spans="1:15">
      <c r="A83" s="106">
        <v>95000828</v>
      </c>
      <c r="B83" s="106">
        <v>1</v>
      </c>
      <c r="C83" s="106">
        <v>13100</v>
      </c>
      <c r="D83" s="106" t="s">
        <v>591</v>
      </c>
      <c r="E83" s="106">
        <v>97</v>
      </c>
      <c r="F83" s="106" t="s">
        <v>684</v>
      </c>
      <c r="G83" s="106">
        <v>0</v>
      </c>
      <c r="H83" s="106" t="s">
        <v>573</v>
      </c>
      <c r="I83" s="106">
        <v>7715</v>
      </c>
      <c r="J83" s="106">
        <v>1</v>
      </c>
      <c r="K83" s="106">
        <v>0</v>
      </c>
      <c r="L83" s="106"/>
      <c r="M83" s="106">
        <v>0</v>
      </c>
      <c r="N83" s="106">
        <v>0</v>
      </c>
      <c r="O83" s="108"/>
    </row>
    <row r="84" spans="1:15">
      <c r="A84" s="106">
        <v>95000836</v>
      </c>
      <c r="B84" s="106">
        <v>1</v>
      </c>
      <c r="C84" s="106">
        <v>13100</v>
      </c>
      <c r="D84" s="106" t="s">
        <v>591</v>
      </c>
      <c r="E84" s="106">
        <v>98</v>
      </c>
      <c r="F84" s="106" t="s">
        <v>685</v>
      </c>
      <c r="G84" s="106">
        <v>0</v>
      </c>
      <c r="H84" s="106" t="s">
        <v>573</v>
      </c>
      <c r="I84" s="106">
        <v>7716</v>
      </c>
      <c r="J84" s="106">
        <v>1</v>
      </c>
      <c r="K84" s="106">
        <v>0</v>
      </c>
      <c r="L84" s="106"/>
      <c r="M84" s="106">
        <v>0</v>
      </c>
      <c r="N84" s="106">
        <v>0</v>
      </c>
      <c r="O84" s="108"/>
    </row>
    <row r="85" spans="1:15">
      <c r="A85" s="106">
        <v>95000844</v>
      </c>
      <c r="B85" s="106">
        <v>1</v>
      </c>
      <c r="C85" s="106">
        <v>15600</v>
      </c>
      <c r="D85" s="106" t="s">
        <v>639</v>
      </c>
      <c r="E85" s="106">
        <v>100</v>
      </c>
      <c r="F85" s="106" t="s">
        <v>686</v>
      </c>
      <c r="G85" s="106">
        <v>0</v>
      </c>
      <c r="H85" s="106" t="s">
        <v>573</v>
      </c>
      <c r="I85" s="106">
        <v>4038</v>
      </c>
      <c r="J85" s="106">
        <v>1</v>
      </c>
      <c r="K85" s="106">
        <v>160</v>
      </c>
      <c r="L85" s="106">
        <v>625</v>
      </c>
      <c r="M85" s="106">
        <v>0</v>
      </c>
      <c r="N85" s="106">
        <v>0</v>
      </c>
      <c r="O85" s="108"/>
    </row>
    <row r="86" spans="1:15">
      <c r="A86" s="106">
        <v>95000852</v>
      </c>
      <c r="B86" s="106">
        <v>1</v>
      </c>
      <c r="C86" s="106">
        <v>15600</v>
      </c>
      <c r="D86" s="106" t="s">
        <v>639</v>
      </c>
      <c r="E86" s="106">
        <v>101</v>
      </c>
      <c r="F86" s="106" t="s">
        <v>687</v>
      </c>
      <c r="G86" s="106">
        <v>0</v>
      </c>
      <c r="H86" s="106" t="s">
        <v>573</v>
      </c>
      <c r="I86" s="106">
        <v>4970</v>
      </c>
      <c r="J86" s="106">
        <v>1</v>
      </c>
      <c r="K86" s="106">
        <v>0</v>
      </c>
      <c r="L86" s="106"/>
      <c r="M86" s="106">
        <v>0</v>
      </c>
      <c r="N86" s="106">
        <v>0</v>
      </c>
      <c r="O86" s="108"/>
    </row>
    <row r="87" spans="1:15">
      <c r="A87" s="106">
        <v>95000861</v>
      </c>
      <c r="B87" s="106">
        <v>1</v>
      </c>
      <c r="C87" s="106">
        <v>15600</v>
      </c>
      <c r="D87" s="106" t="s">
        <v>639</v>
      </c>
      <c r="E87" s="106">
        <v>102</v>
      </c>
      <c r="F87" s="106" t="s">
        <v>688</v>
      </c>
      <c r="G87" s="106">
        <v>0</v>
      </c>
      <c r="H87" s="106" t="s">
        <v>573</v>
      </c>
      <c r="I87" s="106">
        <v>4970</v>
      </c>
      <c r="J87" s="106">
        <v>1</v>
      </c>
      <c r="K87" s="106">
        <v>0</v>
      </c>
      <c r="L87" s="106"/>
      <c r="M87" s="106">
        <v>0</v>
      </c>
      <c r="N87" s="106">
        <v>0</v>
      </c>
      <c r="O87" s="108"/>
    </row>
    <row r="88" spans="1:15">
      <c r="A88" s="106">
        <v>95000879</v>
      </c>
      <c r="B88" s="106">
        <v>1</v>
      </c>
      <c r="C88" s="106">
        <v>15600</v>
      </c>
      <c r="D88" s="106" t="s">
        <v>639</v>
      </c>
      <c r="E88" s="106">
        <v>103</v>
      </c>
      <c r="F88" s="106" t="s">
        <v>689</v>
      </c>
      <c r="G88" s="106">
        <v>0</v>
      </c>
      <c r="H88" s="106" t="s">
        <v>573</v>
      </c>
      <c r="I88" s="106">
        <v>4970</v>
      </c>
      <c r="J88" s="106">
        <v>1</v>
      </c>
      <c r="K88" s="106">
        <v>0</v>
      </c>
      <c r="L88" s="109">
        <v>710</v>
      </c>
      <c r="M88" s="109">
        <v>0</v>
      </c>
      <c r="N88" s="109">
        <v>0</v>
      </c>
      <c r="O88" s="79" t="s">
        <v>690</v>
      </c>
    </row>
    <row r="89" spans="1:15">
      <c r="A89" s="106">
        <v>95000887</v>
      </c>
      <c r="B89" s="106">
        <v>1</v>
      </c>
      <c r="C89" s="106">
        <v>15600</v>
      </c>
      <c r="D89" s="106" t="s">
        <v>639</v>
      </c>
      <c r="E89" s="106">
        <v>104</v>
      </c>
      <c r="F89" s="106" t="s">
        <v>691</v>
      </c>
      <c r="G89" s="106">
        <v>0</v>
      </c>
      <c r="H89" s="106" t="s">
        <v>573</v>
      </c>
      <c r="I89" s="106">
        <v>8543</v>
      </c>
      <c r="J89" s="106">
        <v>1</v>
      </c>
      <c r="K89" s="106">
        <v>0</v>
      </c>
      <c r="L89" s="106"/>
      <c r="M89" s="106">
        <v>0</v>
      </c>
      <c r="N89" s="106">
        <v>0</v>
      </c>
      <c r="O89" s="108"/>
    </row>
    <row r="90" spans="1:15">
      <c r="A90" s="106">
        <v>95000895</v>
      </c>
      <c r="B90" s="106">
        <v>1</v>
      </c>
      <c r="C90" s="106">
        <v>73600</v>
      </c>
      <c r="D90" s="106" t="s">
        <v>692</v>
      </c>
      <c r="E90" s="106">
        <v>105</v>
      </c>
      <c r="F90" s="106" t="s">
        <v>693</v>
      </c>
      <c r="G90" s="106">
        <v>0</v>
      </c>
      <c r="H90" s="106" t="s">
        <v>573</v>
      </c>
      <c r="I90" s="106">
        <v>0</v>
      </c>
      <c r="J90" s="106">
        <v>1</v>
      </c>
      <c r="K90" s="106">
        <v>58</v>
      </c>
      <c r="L90" s="106">
        <v>628</v>
      </c>
      <c r="M90" s="106">
        <v>0</v>
      </c>
      <c r="N90" s="106">
        <v>0</v>
      </c>
      <c r="O90" s="108" t="s">
        <v>694</v>
      </c>
    </row>
    <row r="91" spans="1:15">
      <c r="A91" s="106">
        <v>95000909</v>
      </c>
      <c r="B91" s="106">
        <v>1</v>
      </c>
      <c r="C91" s="106">
        <v>15500</v>
      </c>
      <c r="D91" s="106" t="s">
        <v>571</v>
      </c>
      <c r="E91" s="106">
        <v>8</v>
      </c>
      <c r="F91" s="106" t="s">
        <v>695</v>
      </c>
      <c r="G91" s="106">
        <v>0</v>
      </c>
      <c r="H91" s="106" t="s">
        <v>573</v>
      </c>
      <c r="I91" s="106">
        <v>2831</v>
      </c>
      <c r="J91" s="106">
        <v>1</v>
      </c>
      <c r="K91" s="106">
        <v>114</v>
      </c>
      <c r="L91" s="106">
        <v>604</v>
      </c>
      <c r="M91" s="106">
        <v>0</v>
      </c>
      <c r="N91" s="106">
        <v>0</v>
      </c>
      <c r="O91" s="108"/>
    </row>
    <row r="92" spans="1:15">
      <c r="A92" s="106">
        <v>95000917</v>
      </c>
      <c r="B92" s="106">
        <v>1</v>
      </c>
      <c r="C92" s="106">
        <v>15600</v>
      </c>
      <c r="D92" s="106" t="s">
        <v>639</v>
      </c>
      <c r="E92" s="106">
        <v>106</v>
      </c>
      <c r="F92" s="106" t="s">
        <v>696</v>
      </c>
      <c r="G92" s="106">
        <v>0</v>
      </c>
      <c r="H92" s="106" t="s">
        <v>573</v>
      </c>
      <c r="I92" s="106">
        <v>9999</v>
      </c>
      <c r="J92" s="106">
        <v>1</v>
      </c>
      <c r="K92" s="106">
        <v>0</v>
      </c>
      <c r="L92" s="106"/>
      <c r="M92" s="106">
        <v>0</v>
      </c>
      <c r="N92" s="106">
        <v>0</v>
      </c>
      <c r="O92" s="108"/>
    </row>
    <row r="93" spans="1:15">
      <c r="A93" s="106">
        <v>95000925</v>
      </c>
      <c r="B93" s="106">
        <v>1</v>
      </c>
      <c r="C93" s="106">
        <v>15600</v>
      </c>
      <c r="D93" s="106" t="s">
        <v>639</v>
      </c>
      <c r="E93" s="106">
        <v>107</v>
      </c>
      <c r="F93" s="106" t="s">
        <v>697</v>
      </c>
      <c r="G93" s="106">
        <v>0</v>
      </c>
      <c r="H93" s="106" t="s">
        <v>573</v>
      </c>
      <c r="I93" s="106">
        <v>4970</v>
      </c>
      <c r="J93" s="106">
        <v>1</v>
      </c>
      <c r="K93" s="106">
        <v>0</v>
      </c>
      <c r="L93" s="106"/>
      <c r="M93" s="106">
        <v>0</v>
      </c>
      <c r="N93" s="106">
        <v>0</v>
      </c>
      <c r="O93" s="108"/>
    </row>
    <row r="94" spans="1:15">
      <c r="A94" s="106">
        <v>95000933</v>
      </c>
      <c r="B94" s="106">
        <v>1</v>
      </c>
      <c r="C94" s="106">
        <v>73400</v>
      </c>
      <c r="D94" s="106" t="s">
        <v>698</v>
      </c>
      <c r="E94" s="106">
        <v>108</v>
      </c>
      <c r="F94" s="106" t="s">
        <v>699</v>
      </c>
      <c r="G94" s="106">
        <v>0</v>
      </c>
      <c r="H94" s="106" t="s">
        <v>573</v>
      </c>
      <c r="I94" s="106">
        <v>0</v>
      </c>
      <c r="J94" s="106">
        <v>1</v>
      </c>
      <c r="K94" s="106">
        <v>154</v>
      </c>
      <c r="L94" s="106">
        <v>622</v>
      </c>
      <c r="M94" s="106">
        <v>0</v>
      </c>
      <c r="N94" s="106">
        <v>0</v>
      </c>
      <c r="O94" s="108"/>
    </row>
    <row r="95" spans="1:15">
      <c r="A95" s="106">
        <v>95000941</v>
      </c>
      <c r="B95" s="106">
        <v>1</v>
      </c>
      <c r="C95" s="106">
        <v>15600</v>
      </c>
      <c r="D95" s="106" t="s">
        <v>639</v>
      </c>
      <c r="E95" s="106">
        <v>109</v>
      </c>
      <c r="F95" s="106" t="s">
        <v>700</v>
      </c>
      <c r="G95" s="106">
        <v>0</v>
      </c>
      <c r="H95" s="106" t="s">
        <v>573</v>
      </c>
      <c r="I95" s="106">
        <v>4970</v>
      </c>
      <c r="J95" s="106">
        <v>1</v>
      </c>
      <c r="K95" s="106">
        <v>0</v>
      </c>
      <c r="L95" s="106"/>
      <c r="M95" s="106">
        <v>0</v>
      </c>
      <c r="N95" s="106">
        <v>0</v>
      </c>
      <c r="O95" s="108"/>
    </row>
    <row r="96" spans="1:15">
      <c r="A96" s="106">
        <v>95000950</v>
      </c>
      <c r="B96" s="106">
        <v>1</v>
      </c>
      <c r="C96" s="106">
        <v>15600</v>
      </c>
      <c r="D96" s="106" t="s">
        <v>639</v>
      </c>
      <c r="E96" s="106">
        <v>110</v>
      </c>
      <c r="F96" s="106" t="s">
        <v>701</v>
      </c>
      <c r="G96" s="106">
        <v>0</v>
      </c>
      <c r="H96" s="106" t="s">
        <v>573</v>
      </c>
      <c r="I96" s="106">
        <v>4970</v>
      </c>
      <c r="J96" s="106">
        <v>1</v>
      </c>
      <c r="K96" s="106">
        <v>0</v>
      </c>
      <c r="L96" s="106"/>
      <c r="M96" s="106">
        <v>0</v>
      </c>
      <c r="N96" s="106">
        <v>0</v>
      </c>
      <c r="O96" s="108"/>
    </row>
    <row r="97" spans="1:15">
      <c r="A97" s="106">
        <v>95000968</v>
      </c>
      <c r="B97" s="106">
        <v>1</v>
      </c>
      <c r="C97" s="106">
        <v>15600</v>
      </c>
      <c r="D97" s="106" t="s">
        <v>639</v>
      </c>
      <c r="E97" s="106">
        <v>111</v>
      </c>
      <c r="F97" s="106" t="s">
        <v>702</v>
      </c>
      <c r="G97" s="106">
        <v>0</v>
      </c>
      <c r="H97" s="106" t="s">
        <v>573</v>
      </c>
      <c r="I97" s="106">
        <v>4970</v>
      </c>
      <c r="J97" s="106">
        <v>1</v>
      </c>
      <c r="K97" s="106">
        <v>0</v>
      </c>
      <c r="L97" s="106"/>
      <c r="M97" s="106">
        <v>0</v>
      </c>
      <c r="N97" s="106">
        <v>0</v>
      </c>
      <c r="O97" s="108"/>
    </row>
    <row r="98" spans="1:15">
      <c r="A98" s="106">
        <v>95000976</v>
      </c>
      <c r="B98" s="106">
        <v>1</v>
      </c>
      <c r="C98" s="106">
        <v>15600</v>
      </c>
      <c r="D98" s="106" t="s">
        <v>639</v>
      </c>
      <c r="E98" s="106">
        <v>112</v>
      </c>
      <c r="F98" s="106" t="s">
        <v>703</v>
      </c>
      <c r="G98" s="106">
        <v>0</v>
      </c>
      <c r="H98" s="106" t="s">
        <v>573</v>
      </c>
      <c r="I98" s="106">
        <v>4970</v>
      </c>
      <c r="J98" s="106">
        <v>1</v>
      </c>
      <c r="K98" s="106">
        <v>0</v>
      </c>
      <c r="L98" s="106"/>
      <c r="M98" s="106">
        <v>0</v>
      </c>
      <c r="N98" s="106">
        <v>0</v>
      </c>
      <c r="O98" s="108"/>
    </row>
    <row r="99" spans="1:15">
      <c r="A99" s="106">
        <v>95000984</v>
      </c>
      <c r="B99" s="106">
        <v>1</v>
      </c>
      <c r="C99" s="106">
        <v>15600</v>
      </c>
      <c r="D99" s="106" t="s">
        <v>639</v>
      </c>
      <c r="E99" s="106">
        <v>113</v>
      </c>
      <c r="F99" s="106" t="s">
        <v>704</v>
      </c>
      <c r="G99" s="106">
        <v>0</v>
      </c>
      <c r="H99" s="106" t="s">
        <v>573</v>
      </c>
      <c r="I99" s="106">
        <v>4970</v>
      </c>
      <c r="J99" s="106">
        <v>1</v>
      </c>
      <c r="K99" s="106">
        <v>0</v>
      </c>
      <c r="L99" s="106"/>
      <c r="M99" s="106">
        <v>0</v>
      </c>
      <c r="N99" s="106">
        <v>0</v>
      </c>
      <c r="O99" s="108"/>
    </row>
    <row r="100" spans="1:15">
      <c r="A100" s="106">
        <v>95000992</v>
      </c>
      <c r="B100" s="106">
        <v>1</v>
      </c>
      <c r="C100" s="106">
        <v>15600</v>
      </c>
      <c r="D100" s="106" t="s">
        <v>639</v>
      </c>
      <c r="E100" s="106">
        <v>114</v>
      </c>
      <c r="F100" s="106" t="s">
        <v>705</v>
      </c>
      <c r="G100" s="106">
        <v>0</v>
      </c>
      <c r="H100" s="106" t="s">
        <v>573</v>
      </c>
      <c r="I100" s="106">
        <v>4970</v>
      </c>
      <c r="J100" s="106">
        <v>1</v>
      </c>
      <c r="K100" s="106">
        <v>0</v>
      </c>
      <c r="L100" s="106"/>
      <c r="M100" s="106">
        <v>0</v>
      </c>
      <c r="N100" s="106">
        <v>0</v>
      </c>
      <c r="O100" s="108"/>
    </row>
    <row r="101" spans="1:15">
      <c r="A101" s="106">
        <v>95001000</v>
      </c>
      <c r="B101" s="106">
        <v>1</v>
      </c>
      <c r="C101" s="106">
        <v>74501</v>
      </c>
      <c r="D101" s="106" t="s">
        <v>706</v>
      </c>
      <c r="E101" s="106">
        <v>9</v>
      </c>
      <c r="F101" s="106" t="s">
        <v>707</v>
      </c>
      <c r="G101" s="106">
        <v>0</v>
      </c>
      <c r="H101" s="106" t="s">
        <v>573</v>
      </c>
      <c r="I101" s="106">
        <v>4190</v>
      </c>
      <c r="J101" s="106">
        <v>1</v>
      </c>
      <c r="K101" s="106">
        <v>113</v>
      </c>
      <c r="L101" s="106">
        <v>603</v>
      </c>
      <c r="M101" s="106">
        <v>0</v>
      </c>
      <c r="N101" s="106">
        <v>0</v>
      </c>
      <c r="O101" s="108"/>
    </row>
    <row r="102" spans="1:15">
      <c r="A102" s="106">
        <v>95001018</v>
      </c>
      <c r="B102" s="106">
        <v>1</v>
      </c>
      <c r="C102" s="106">
        <v>13100</v>
      </c>
      <c r="D102" s="106" t="s">
        <v>591</v>
      </c>
      <c r="E102" s="106">
        <v>99</v>
      </c>
      <c r="F102" s="106" t="s">
        <v>708</v>
      </c>
      <c r="G102" s="106">
        <v>0</v>
      </c>
      <c r="H102" s="106" t="s">
        <v>573</v>
      </c>
      <c r="I102" s="106">
        <v>7717</v>
      </c>
      <c r="J102" s="106">
        <v>1</v>
      </c>
      <c r="K102" s="106">
        <v>0</v>
      </c>
      <c r="L102" s="106"/>
      <c r="M102" s="106">
        <v>0</v>
      </c>
      <c r="N102" s="106">
        <v>0</v>
      </c>
      <c r="O102" s="108"/>
    </row>
    <row r="103" spans="1:15">
      <c r="A103" s="106">
        <v>95001026</v>
      </c>
      <c r="B103" s="106">
        <v>1</v>
      </c>
      <c r="C103" s="106">
        <v>70104</v>
      </c>
      <c r="D103" s="106" t="s">
        <v>709</v>
      </c>
      <c r="E103" s="106">
        <v>215</v>
      </c>
      <c r="F103" s="106" t="s">
        <v>710</v>
      </c>
      <c r="G103" s="106">
        <v>0</v>
      </c>
      <c r="H103" s="106" t="s">
        <v>573</v>
      </c>
      <c r="I103" s="106">
        <v>0</v>
      </c>
      <c r="J103" s="106">
        <v>1</v>
      </c>
      <c r="K103" s="106">
        <v>0</v>
      </c>
      <c r="L103" s="106"/>
      <c r="M103" s="106">
        <v>0</v>
      </c>
      <c r="N103" s="106">
        <v>0</v>
      </c>
      <c r="O103" s="108"/>
    </row>
    <row r="104" spans="1:15">
      <c r="A104" s="106">
        <v>95001034</v>
      </c>
      <c r="B104" s="106">
        <v>1</v>
      </c>
      <c r="C104" s="106">
        <v>75201</v>
      </c>
      <c r="D104" s="106" t="s">
        <v>711</v>
      </c>
      <c r="E104" s="106">
        <v>115</v>
      </c>
      <c r="F104" s="106" t="s">
        <v>712</v>
      </c>
      <c r="G104" s="106">
        <v>0</v>
      </c>
      <c r="H104" s="106" t="s">
        <v>573</v>
      </c>
      <c r="I104" s="106">
        <v>0</v>
      </c>
      <c r="J104" s="106">
        <v>1</v>
      </c>
      <c r="K104" s="106">
        <v>0</v>
      </c>
      <c r="L104" s="106"/>
      <c r="M104" s="106">
        <v>0</v>
      </c>
      <c r="N104" s="106">
        <v>0</v>
      </c>
      <c r="O104" s="108"/>
    </row>
    <row r="105" spans="1:15">
      <c r="A105" s="106">
        <v>95001042</v>
      </c>
      <c r="B105" s="106">
        <v>1</v>
      </c>
      <c r="C105" s="106">
        <v>70100</v>
      </c>
      <c r="D105" s="106" t="s">
        <v>713</v>
      </c>
      <c r="E105" s="106">
        <v>116</v>
      </c>
      <c r="F105" s="106" t="s">
        <v>714</v>
      </c>
      <c r="G105" s="106">
        <v>0</v>
      </c>
      <c r="H105" s="106" t="s">
        <v>573</v>
      </c>
      <c r="I105" s="106">
        <v>0</v>
      </c>
      <c r="J105" s="106">
        <v>1</v>
      </c>
      <c r="K105" s="106">
        <v>0</v>
      </c>
      <c r="L105" s="106"/>
      <c r="M105" s="106">
        <v>0</v>
      </c>
      <c r="N105" s="106">
        <v>0</v>
      </c>
      <c r="O105" s="108"/>
    </row>
    <row r="106" spans="1:15">
      <c r="A106" s="106">
        <v>95001051</v>
      </c>
      <c r="B106" s="106">
        <v>1</v>
      </c>
      <c r="C106" s="106">
        <v>73101</v>
      </c>
      <c r="D106" s="106" t="s">
        <v>715</v>
      </c>
      <c r="E106" s="106">
        <v>117</v>
      </c>
      <c r="F106" s="106" t="s">
        <v>716</v>
      </c>
      <c r="G106" s="106">
        <v>0</v>
      </c>
      <c r="H106" s="106" t="s">
        <v>573</v>
      </c>
      <c r="I106" s="106">
        <v>0</v>
      </c>
      <c r="J106" s="106">
        <v>1</v>
      </c>
      <c r="K106" s="106">
        <v>0</v>
      </c>
      <c r="L106" s="106"/>
      <c r="M106" s="106">
        <v>0</v>
      </c>
      <c r="N106" s="106">
        <v>0</v>
      </c>
      <c r="O106" s="108"/>
    </row>
    <row r="107" spans="1:15">
      <c r="A107" s="106">
        <v>95001069</v>
      </c>
      <c r="B107" s="106">
        <v>1</v>
      </c>
      <c r="C107" s="106">
        <v>70103</v>
      </c>
      <c r="D107" s="106" t="s">
        <v>717</v>
      </c>
      <c r="E107" s="106">
        <v>118</v>
      </c>
      <c r="F107" s="106" t="s">
        <v>718</v>
      </c>
      <c r="G107" s="106">
        <v>0</v>
      </c>
      <c r="H107" s="106" t="s">
        <v>573</v>
      </c>
      <c r="I107" s="106">
        <v>0</v>
      </c>
      <c r="J107" s="106">
        <v>1</v>
      </c>
      <c r="K107" s="106">
        <v>0</v>
      </c>
      <c r="L107" s="106"/>
      <c r="M107" s="106">
        <v>0</v>
      </c>
      <c r="N107" s="106">
        <v>0</v>
      </c>
      <c r="O107" s="108"/>
    </row>
    <row r="108" spans="1:15">
      <c r="A108" s="106">
        <v>95001077</v>
      </c>
      <c r="B108" s="106">
        <v>1</v>
      </c>
      <c r="C108" s="106">
        <v>70100</v>
      </c>
      <c r="D108" s="106" t="s">
        <v>713</v>
      </c>
      <c r="E108" s="106">
        <v>119</v>
      </c>
      <c r="F108" s="106" t="s">
        <v>719</v>
      </c>
      <c r="G108" s="106">
        <v>0</v>
      </c>
      <c r="H108" s="106" t="s">
        <v>573</v>
      </c>
      <c r="I108" s="106">
        <v>0</v>
      </c>
      <c r="J108" s="106">
        <v>1</v>
      </c>
      <c r="K108" s="106">
        <v>0</v>
      </c>
      <c r="L108" s="106"/>
      <c r="M108" s="106">
        <v>0</v>
      </c>
      <c r="N108" s="106">
        <v>0</v>
      </c>
      <c r="O108" s="108"/>
    </row>
    <row r="109" spans="1:15">
      <c r="A109" s="106">
        <v>95001085</v>
      </c>
      <c r="B109" s="106">
        <v>1</v>
      </c>
      <c r="C109" s="106">
        <v>70100</v>
      </c>
      <c r="D109" s="106" t="s">
        <v>713</v>
      </c>
      <c r="E109" s="106">
        <v>120</v>
      </c>
      <c r="F109" s="106" t="s">
        <v>720</v>
      </c>
      <c r="G109" s="106">
        <v>0</v>
      </c>
      <c r="H109" s="106" t="s">
        <v>573</v>
      </c>
      <c r="I109" s="106">
        <v>0</v>
      </c>
      <c r="J109" s="106">
        <v>1</v>
      </c>
      <c r="K109" s="106">
        <v>0</v>
      </c>
      <c r="L109" s="106"/>
      <c r="M109" s="106">
        <v>0</v>
      </c>
      <c r="N109" s="106">
        <v>0</v>
      </c>
      <c r="O109" s="108"/>
    </row>
    <row r="110" spans="1:15">
      <c r="A110" s="106">
        <v>95001107</v>
      </c>
      <c r="B110" s="106">
        <v>1</v>
      </c>
      <c r="C110" s="106">
        <v>71207</v>
      </c>
      <c r="D110" s="106" t="s">
        <v>574</v>
      </c>
      <c r="E110" s="106">
        <v>10</v>
      </c>
      <c r="F110" s="106" t="s">
        <v>721</v>
      </c>
      <c r="G110" s="106">
        <v>0</v>
      </c>
      <c r="H110" s="106" t="s">
        <v>576</v>
      </c>
      <c r="I110" s="106">
        <v>0</v>
      </c>
      <c r="J110" s="106">
        <v>1</v>
      </c>
      <c r="K110" s="106">
        <v>0</v>
      </c>
      <c r="L110" s="106"/>
      <c r="M110" s="106">
        <v>0</v>
      </c>
      <c r="N110" s="106">
        <v>0</v>
      </c>
      <c r="O110" s="108"/>
    </row>
    <row r="111" spans="1:15">
      <c r="A111" s="106">
        <v>95001174</v>
      </c>
      <c r="B111" s="106">
        <v>1</v>
      </c>
      <c r="C111" s="106">
        <v>15200</v>
      </c>
      <c r="D111" s="106" t="s">
        <v>579</v>
      </c>
      <c r="E111" s="106">
        <v>200</v>
      </c>
      <c r="F111" s="106" t="s">
        <v>722</v>
      </c>
      <c r="G111" s="106">
        <v>0</v>
      </c>
      <c r="H111" s="106" t="s">
        <v>573</v>
      </c>
      <c r="I111" s="106">
        <v>0</v>
      </c>
      <c r="J111" s="106">
        <v>0</v>
      </c>
      <c r="K111" s="106">
        <v>60</v>
      </c>
      <c r="L111" s="106">
        <v>272</v>
      </c>
      <c r="M111" s="106">
        <v>0</v>
      </c>
      <c r="N111" s="106">
        <v>0</v>
      </c>
      <c r="O111" s="108"/>
    </row>
    <row r="112" spans="1:15">
      <c r="A112" s="106">
        <v>95001182</v>
      </c>
      <c r="B112" s="106">
        <v>1</v>
      </c>
      <c r="C112" s="106">
        <v>73300</v>
      </c>
      <c r="D112" s="106" t="s">
        <v>679</v>
      </c>
      <c r="E112" s="106">
        <v>142</v>
      </c>
      <c r="F112" s="106" t="s">
        <v>723</v>
      </c>
      <c r="G112" s="106">
        <v>0</v>
      </c>
      <c r="H112" s="106" t="s">
        <v>573</v>
      </c>
      <c r="I112" s="106">
        <v>0</v>
      </c>
      <c r="J112" s="106">
        <v>0</v>
      </c>
      <c r="K112" s="106">
        <v>61</v>
      </c>
      <c r="L112" s="106">
        <v>273</v>
      </c>
      <c r="M112" s="106">
        <v>0</v>
      </c>
      <c r="N112" s="106">
        <v>0</v>
      </c>
      <c r="O112" s="108"/>
    </row>
    <row r="113" spans="1:15">
      <c r="A113" s="106">
        <v>95001191</v>
      </c>
      <c r="B113" s="106">
        <v>1</v>
      </c>
      <c r="C113" s="106">
        <v>15500</v>
      </c>
      <c r="D113" s="106" t="s">
        <v>571</v>
      </c>
      <c r="E113" s="106">
        <v>202</v>
      </c>
      <c r="F113" s="106" t="s">
        <v>724</v>
      </c>
      <c r="G113" s="106">
        <v>0</v>
      </c>
      <c r="H113" s="106" t="s">
        <v>573</v>
      </c>
      <c r="I113" s="106">
        <v>0</v>
      </c>
      <c r="J113" s="106">
        <v>0</v>
      </c>
      <c r="K113" s="106">
        <v>62</v>
      </c>
      <c r="L113" s="106">
        <v>274</v>
      </c>
      <c r="M113" s="106">
        <v>0</v>
      </c>
      <c r="N113" s="106">
        <v>0</v>
      </c>
      <c r="O113" s="108"/>
    </row>
    <row r="114" spans="1:15">
      <c r="A114" s="106">
        <v>95001204</v>
      </c>
      <c r="B114" s="106">
        <v>1</v>
      </c>
      <c r="C114" s="106">
        <v>73400</v>
      </c>
      <c r="D114" s="106" t="s">
        <v>725</v>
      </c>
      <c r="E114" s="106">
        <v>11</v>
      </c>
      <c r="F114" s="106" t="s">
        <v>726</v>
      </c>
      <c r="G114" s="106">
        <v>0</v>
      </c>
      <c r="H114" s="106" t="s">
        <v>573</v>
      </c>
      <c r="I114" s="106">
        <v>4038</v>
      </c>
      <c r="J114" s="106">
        <v>0</v>
      </c>
      <c r="K114" s="106">
        <v>47</v>
      </c>
      <c r="L114" s="106">
        <v>263</v>
      </c>
      <c r="M114" s="106">
        <v>0</v>
      </c>
      <c r="N114" s="106">
        <v>0</v>
      </c>
      <c r="O114" s="108"/>
    </row>
    <row r="115" spans="1:15">
      <c r="A115" s="106">
        <v>95001212</v>
      </c>
      <c r="B115" s="106">
        <v>1</v>
      </c>
      <c r="C115" s="106">
        <v>70104</v>
      </c>
      <c r="D115" s="106" t="s">
        <v>709</v>
      </c>
      <c r="E115" s="106">
        <v>203</v>
      </c>
      <c r="F115" s="106" t="s">
        <v>727</v>
      </c>
      <c r="G115" s="106">
        <v>0</v>
      </c>
      <c r="H115" s="106" t="s">
        <v>573</v>
      </c>
      <c r="I115" s="106">
        <v>0</v>
      </c>
      <c r="J115" s="106">
        <v>0</v>
      </c>
      <c r="K115" s="106">
        <v>63</v>
      </c>
      <c r="L115" s="106">
        <v>275</v>
      </c>
      <c r="M115" s="106">
        <v>0</v>
      </c>
      <c r="N115" s="106">
        <v>0</v>
      </c>
      <c r="O115" s="108"/>
    </row>
    <row r="116" spans="1:15">
      <c r="A116" s="106">
        <v>95001221</v>
      </c>
      <c r="B116" s="106">
        <v>1</v>
      </c>
      <c r="C116" s="106">
        <v>15500</v>
      </c>
      <c r="D116" s="106" t="s">
        <v>571</v>
      </c>
      <c r="E116" s="106">
        <v>204</v>
      </c>
      <c r="F116" s="106" t="s">
        <v>728</v>
      </c>
      <c r="G116" s="106">
        <v>0</v>
      </c>
      <c r="H116" s="106" t="s">
        <v>573</v>
      </c>
      <c r="I116" s="106">
        <v>0</v>
      </c>
      <c r="J116" s="106">
        <v>0</v>
      </c>
      <c r="K116" s="106">
        <v>64</v>
      </c>
      <c r="L116" s="106">
        <v>276</v>
      </c>
      <c r="M116" s="106">
        <v>0</v>
      </c>
      <c r="N116" s="106">
        <v>0</v>
      </c>
      <c r="O116" s="108"/>
    </row>
    <row r="117" spans="1:15">
      <c r="A117" s="106">
        <v>95001239</v>
      </c>
      <c r="B117" s="106">
        <v>1</v>
      </c>
      <c r="C117" s="106">
        <v>15500</v>
      </c>
      <c r="D117" s="106" t="s">
        <v>571</v>
      </c>
      <c r="E117" s="106">
        <v>205</v>
      </c>
      <c r="F117" s="106" t="s">
        <v>729</v>
      </c>
      <c r="G117" s="106">
        <v>0</v>
      </c>
      <c r="H117" s="106" t="s">
        <v>573</v>
      </c>
      <c r="I117" s="106">
        <v>0</v>
      </c>
      <c r="J117" s="106">
        <v>0</v>
      </c>
      <c r="K117" s="106">
        <v>65</v>
      </c>
      <c r="L117" s="106">
        <v>277</v>
      </c>
      <c r="M117" s="106">
        <v>0</v>
      </c>
      <c r="N117" s="106">
        <v>0</v>
      </c>
      <c r="O117" s="108"/>
    </row>
    <row r="118" spans="1:15">
      <c r="A118" s="106">
        <v>95001247</v>
      </c>
      <c r="B118" s="106">
        <v>1</v>
      </c>
      <c r="C118" s="106">
        <v>43000</v>
      </c>
      <c r="D118" s="106" t="s">
        <v>577</v>
      </c>
      <c r="E118" s="106">
        <v>206</v>
      </c>
      <c r="F118" s="106" t="s">
        <v>577</v>
      </c>
      <c r="G118" s="106">
        <v>0</v>
      </c>
      <c r="H118" s="106" t="s">
        <v>573</v>
      </c>
      <c r="I118" s="106">
        <v>0</v>
      </c>
      <c r="J118" s="106">
        <v>0</v>
      </c>
      <c r="K118" s="106">
        <v>66</v>
      </c>
      <c r="L118" s="106">
        <v>278</v>
      </c>
      <c r="M118" s="106">
        <v>0</v>
      </c>
      <c r="N118" s="106">
        <v>0</v>
      </c>
      <c r="O118" s="108"/>
    </row>
    <row r="119" spans="1:15">
      <c r="A119" s="106">
        <v>95001255</v>
      </c>
      <c r="B119" s="106">
        <v>1</v>
      </c>
      <c r="C119" s="106">
        <v>73300</v>
      </c>
      <c r="D119" s="106" t="s">
        <v>679</v>
      </c>
      <c r="E119" s="106">
        <v>137</v>
      </c>
      <c r="F119" s="106" t="s">
        <v>730</v>
      </c>
      <c r="G119" s="106">
        <v>0</v>
      </c>
      <c r="H119" s="106" t="s">
        <v>573</v>
      </c>
      <c r="I119" s="106">
        <v>6163</v>
      </c>
      <c r="J119" s="106">
        <v>0</v>
      </c>
      <c r="K119" s="106">
        <v>67</v>
      </c>
      <c r="L119" s="106">
        <v>279</v>
      </c>
      <c r="M119" s="106">
        <v>0</v>
      </c>
      <c r="N119" s="106">
        <v>0</v>
      </c>
      <c r="O119" s="108"/>
    </row>
    <row r="120" spans="1:15">
      <c r="A120" s="106">
        <v>95001263</v>
      </c>
      <c r="B120" s="106">
        <v>1</v>
      </c>
      <c r="C120" s="106">
        <v>73300</v>
      </c>
      <c r="D120" s="106" t="s">
        <v>679</v>
      </c>
      <c r="E120" s="106">
        <v>138</v>
      </c>
      <c r="F120" s="106" t="s">
        <v>731</v>
      </c>
      <c r="G120" s="106">
        <v>0</v>
      </c>
      <c r="H120" s="106" t="s">
        <v>573</v>
      </c>
      <c r="I120" s="106">
        <v>0</v>
      </c>
      <c r="J120" s="106">
        <v>0</v>
      </c>
      <c r="K120" s="106">
        <v>68</v>
      </c>
      <c r="L120" s="106">
        <v>280</v>
      </c>
      <c r="M120" s="106">
        <v>0</v>
      </c>
      <c r="N120" s="106">
        <v>0</v>
      </c>
      <c r="O120" s="108"/>
    </row>
    <row r="121" spans="1:15">
      <c r="A121" s="106">
        <v>95001271</v>
      </c>
      <c r="B121" s="106">
        <v>1</v>
      </c>
      <c r="C121" s="106">
        <v>73300</v>
      </c>
      <c r="D121" s="106" t="s">
        <v>679</v>
      </c>
      <c r="E121" s="106">
        <v>139</v>
      </c>
      <c r="F121" s="106" t="s">
        <v>732</v>
      </c>
      <c r="G121" s="106">
        <v>0</v>
      </c>
      <c r="H121" s="106" t="s">
        <v>573</v>
      </c>
      <c r="I121" s="106">
        <v>6163</v>
      </c>
      <c r="J121" s="106">
        <v>0</v>
      </c>
      <c r="K121" s="106">
        <v>69</v>
      </c>
      <c r="L121" s="106">
        <v>281</v>
      </c>
      <c r="M121" s="106">
        <v>0</v>
      </c>
      <c r="N121" s="106">
        <v>0</v>
      </c>
      <c r="O121" s="108"/>
    </row>
    <row r="122" spans="1:15">
      <c r="A122" s="106">
        <v>95001280</v>
      </c>
      <c r="B122" s="106">
        <v>1</v>
      </c>
      <c r="C122" s="106">
        <v>15500</v>
      </c>
      <c r="D122" s="106" t="s">
        <v>733</v>
      </c>
      <c r="E122" s="106">
        <v>140</v>
      </c>
      <c r="F122" s="106" t="s">
        <v>734</v>
      </c>
      <c r="G122" s="106">
        <v>0</v>
      </c>
      <c r="H122" s="106" t="s">
        <v>573</v>
      </c>
      <c r="I122" s="106">
        <v>0</v>
      </c>
      <c r="J122" s="106">
        <v>0</v>
      </c>
      <c r="K122" s="106">
        <v>70</v>
      </c>
      <c r="L122" s="106">
        <v>282</v>
      </c>
      <c r="M122" s="106">
        <v>0</v>
      </c>
      <c r="N122" s="106">
        <v>0</v>
      </c>
      <c r="O122" s="108"/>
    </row>
    <row r="123" spans="1:15">
      <c r="A123" s="106">
        <v>95001298</v>
      </c>
      <c r="B123" s="106">
        <v>1</v>
      </c>
      <c r="C123" s="106">
        <v>70104</v>
      </c>
      <c r="D123" s="106" t="s">
        <v>709</v>
      </c>
      <c r="E123" s="106">
        <v>141</v>
      </c>
      <c r="F123" s="106" t="s">
        <v>735</v>
      </c>
      <c r="G123" s="106">
        <v>0</v>
      </c>
      <c r="H123" s="106" t="s">
        <v>573</v>
      </c>
      <c r="I123" s="106">
        <v>5131</v>
      </c>
      <c r="J123" s="106">
        <v>0</v>
      </c>
      <c r="K123" s="106">
        <v>71</v>
      </c>
      <c r="L123" s="106">
        <v>283</v>
      </c>
      <c r="M123" s="106">
        <v>0</v>
      </c>
      <c r="N123" s="106">
        <v>0</v>
      </c>
      <c r="O123" s="108"/>
    </row>
    <row r="124" spans="1:15">
      <c r="A124" s="106">
        <v>95001301</v>
      </c>
      <c r="B124" s="106">
        <v>1</v>
      </c>
      <c r="C124" s="106">
        <v>73600</v>
      </c>
      <c r="D124" s="106" t="s">
        <v>648</v>
      </c>
      <c r="E124" s="106">
        <v>12</v>
      </c>
      <c r="F124" s="106" t="s">
        <v>648</v>
      </c>
      <c r="G124" s="106">
        <v>0</v>
      </c>
      <c r="H124" s="106" t="s">
        <v>576</v>
      </c>
      <c r="I124" s="106">
        <v>0</v>
      </c>
      <c r="J124" s="106">
        <v>1</v>
      </c>
      <c r="K124" s="106">
        <v>116</v>
      </c>
      <c r="L124" s="106">
        <v>606</v>
      </c>
      <c r="M124" s="106">
        <v>0</v>
      </c>
      <c r="N124" s="106">
        <v>0</v>
      </c>
      <c r="O124" s="108"/>
    </row>
    <row r="125" spans="1:15">
      <c r="A125" s="106">
        <v>95001336</v>
      </c>
      <c r="B125" s="106">
        <v>1</v>
      </c>
      <c r="C125" s="106">
        <v>73400</v>
      </c>
      <c r="D125" s="106" t="s">
        <v>736</v>
      </c>
      <c r="E125" s="106">
        <v>143</v>
      </c>
      <c r="F125" s="106" t="s">
        <v>737</v>
      </c>
      <c r="G125" s="106">
        <v>0</v>
      </c>
      <c r="H125" s="106" t="s">
        <v>573</v>
      </c>
      <c r="I125" s="106">
        <v>0</v>
      </c>
      <c r="J125" s="106">
        <v>1</v>
      </c>
      <c r="K125" s="106">
        <v>112</v>
      </c>
      <c r="L125" s="106">
        <v>602</v>
      </c>
      <c r="M125" s="106">
        <v>0</v>
      </c>
      <c r="N125" s="106">
        <v>0</v>
      </c>
      <c r="O125" s="108"/>
    </row>
    <row r="126" spans="1:15">
      <c r="A126" s="106">
        <v>95001409</v>
      </c>
      <c r="B126" s="106">
        <v>1</v>
      </c>
      <c r="C126" s="106">
        <v>71206</v>
      </c>
      <c r="D126" s="106" t="s">
        <v>595</v>
      </c>
      <c r="E126" s="106">
        <v>13</v>
      </c>
      <c r="F126" s="106" t="s">
        <v>738</v>
      </c>
      <c r="G126" s="106">
        <v>0</v>
      </c>
      <c r="H126" s="106" t="s">
        <v>576</v>
      </c>
      <c r="I126" s="106">
        <v>0</v>
      </c>
      <c r="J126" s="106">
        <v>1</v>
      </c>
      <c r="K126" s="106">
        <v>0</v>
      </c>
      <c r="L126" s="106"/>
      <c r="M126" s="106">
        <v>0</v>
      </c>
      <c r="N126" s="106">
        <v>0</v>
      </c>
      <c r="O126" s="108"/>
    </row>
    <row r="127" spans="1:15">
      <c r="A127" s="106">
        <v>95001468</v>
      </c>
      <c r="B127" s="106">
        <v>1</v>
      </c>
      <c r="C127" s="106">
        <v>15600</v>
      </c>
      <c r="D127" s="106" t="s">
        <v>639</v>
      </c>
      <c r="E127" s="106">
        <v>144</v>
      </c>
      <c r="F127" s="106" t="s">
        <v>739</v>
      </c>
      <c r="G127" s="106">
        <v>0</v>
      </c>
      <c r="H127" s="106" t="s">
        <v>573</v>
      </c>
      <c r="I127" s="106">
        <v>4458</v>
      </c>
      <c r="J127" s="106">
        <v>1</v>
      </c>
      <c r="K127" s="106">
        <v>147</v>
      </c>
      <c r="L127" s="106">
        <v>601</v>
      </c>
      <c r="M127" s="106">
        <v>0</v>
      </c>
      <c r="N127" s="106">
        <v>0</v>
      </c>
      <c r="O127" s="108"/>
    </row>
    <row r="128" spans="1:15">
      <c r="A128" s="106">
        <v>95001476</v>
      </c>
      <c r="B128" s="106">
        <v>1</v>
      </c>
      <c r="C128" s="106">
        <v>70100</v>
      </c>
      <c r="D128" s="106" t="s">
        <v>713</v>
      </c>
      <c r="E128" s="106">
        <v>145</v>
      </c>
      <c r="F128" s="106" t="s">
        <v>740</v>
      </c>
      <c r="G128" s="106">
        <v>0</v>
      </c>
      <c r="H128" s="106" t="s">
        <v>573</v>
      </c>
      <c r="I128" s="106">
        <v>0</v>
      </c>
      <c r="J128" s="106">
        <v>1</v>
      </c>
      <c r="K128" s="106">
        <v>148</v>
      </c>
      <c r="L128" s="106">
        <v>616</v>
      </c>
      <c r="M128" s="106">
        <v>0</v>
      </c>
      <c r="N128" s="106">
        <v>0</v>
      </c>
      <c r="O128" s="108"/>
    </row>
    <row r="129" spans="1:15">
      <c r="A129" s="106">
        <v>95001484</v>
      </c>
      <c r="B129" s="106">
        <v>1</v>
      </c>
      <c r="C129" s="106">
        <v>70100</v>
      </c>
      <c r="D129" s="106" t="s">
        <v>713</v>
      </c>
      <c r="E129" s="106">
        <v>146</v>
      </c>
      <c r="F129" s="106" t="s">
        <v>741</v>
      </c>
      <c r="G129" s="106">
        <v>0</v>
      </c>
      <c r="H129" s="106" t="s">
        <v>573</v>
      </c>
      <c r="I129" s="106">
        <v>0</v>
      </c>
      <c r="J129" s="106">
        <v>1</v>
      </c>
      <c r="K129" s="106">
        <v>149</v>
      </c>
      <c r="L129" s="106">
        <v>617</v>
      </c>
      <c r="M129" s="106">
        <v>0</v>
      </c>
      <c r="N129" s="106">
        <v>0</v>
      </c>
      <c r="O129" s="108"/>
    </row>
    <row r="130" spans="1:15">
      <c r="A130" s="106">
        <v>95001492</v>
      </c>
      <c r="B130" s="106">
        <v>1</v>
      </c>
      <c r="C130" s="106">
        <v>70100</v>
      </c>
      <c r="D130" s="106" t="s">
        <v>713</v>
      </c>
      <c r="E130" s="106">
        <v>147</v>
      </c>
      <c r="F130" s="106" t="s">
        <v>742</v>
      </c>
      <c r="G130" s="106">
        <v>0</v>
      </c>
      <c r="H130" s="106" t="s">
        <v>573</v>
      </c>
      <c r="I130" s="106">
        <v>0</v>
      </c>
      <c r="J130" s="106">
        <v>1</v>
      </c>
      <c r="K130" s="106">
        <v>150</v>
      </c>
      <c r="L130" s="106">
        <v>618</v>
      </c>
      <c r="M130" s="106">
        <v>0</v>
      </c>
      <c r="N130" s="106">
        <v>0</v>
      </c>
      <c r="O130" s="108"/>
    </row>
    <row r="131" spans="1:15">
      <c r="A131" s="106">
        <v>95001506</v>
      </c>
      <c r="B131" s="106">
        <v>1</v>
      </c>
      <c r="C131" s="106">
        <v>70100</v>
      </c>
      <c r="D131" s="106" t="s">
        <v>713</v>
      </c>
      <c r="E131" s="106">
        <v>148</v>
      </c>
      <c r="F131" s="106" t="s">
        <v>743</v>
      </c>
      <c r="G131" s="106">
        <v>0</v>
      </c>
      <c r="H131" s="106" t="s">
        <v>573</v>
      </c>
      <c r="I131" s="106">
        <v>0</v>
      </c>
      <c r="J131" s="106">
        <v>1</v>
      </c>
      <c r="K131" s="106">
        <v>151</v>
      </c>
      <c r="L131" s="106">
        <v>619</v>
      </c>
      <c r="M131" s="106">
        <v>0</v>
      </c>
      <c r="N131" s="106">
        <v>0</v>
      </c>
      <c r="O131" s="108"/>
    </row>
    <row r="132" spans="1:15">
      <c r="A132" s="106">
        <v>95001514</v>
      </c>
      <c r="B132" s="106">
        <v>1</v>
      </c>
      <c r="C132" s="106">
        <v>70100</v>
      </c>
      <c r="D132" s="106" t="s">
        <v>713</v>
      </c>
      <c r="E132" s="106">
        <v>149</v>
      </c>
      <c r="F132" s="106" t="s">
        <v>744</v>
      </c>
      <c r="G132" s="106">
        <v>0</v>
      </c>
      <c r="H132" s="106" t="s">
        <v>573</v>
      </c>
      <c r="I132" s="106">
        <v>0</v>
      </c>
      <c r="J132" s="106">
        <v>1</v>
      </c>
      <c r="K132" s="106">
        <v>152</v>
      </c>
      <c r="L132" s="106">
        <v>620</v>
      </c>
      <c r="M132" s="106">
        <v>0</v>
      </c>
      <c r="N132" s="106">
        <v>0</v>
      </c>
      <c r="O132" s="108"/>
    </row>
    <row r="133" spans="1:15">
      <c r="A133" s="106">
        <v>95001522</v>
      </c>
      <c r="B133" s="106">
        <v>1</v>
      </c>
      <c r="C133" s="106">
        <v>73600</v>
      </c>
      <c r="D133" s="106" t="s">
        <v>648</v>
      </c>
      <c r="E133" s="106">
        <v>150</v>
      </c>
      <c r="F133" s="106" t="s">
        <v>745</v>
      </c>
      <c r="G133" s="106">
        <v>0</v>
      </c>
      <c r="H133" s="106" t="s">
        <v>573</v>
      </c>
      <c r="I133" s="106">
        <v>0</v>
      </c>
      <c r="J133" s="106">
        <v>1</v>
      </c>
      <c r="K133" s="106">
        <v>153</v>
      </c>
      <c r="L133" s="106">
        <v>621</v>
      </c>
      <c r="M133" s="106">
        <v>0</v>
      </c>
      <c r="N133" s="106">
        <v>0</v>
      </c>
      <c r="O133" s="108"/>
    </row>
    <row r="134" spans="1:15">
      <c r="A134" s="106">
        <v>95001531</v>
      </c>
      <c r="B134" s="106">
        <v>1</v>
      </c>
      <c r="C134" s="106">
        <v>13302</v>
      </c>
      <c r="D134" s="106" t="s">
        <v>591</v>
      </c>
      <c r="E134" s="106">
        <v>312</v>
      </c>
      <c r="F134" s="106" t="s">
        <v>746</v>
      </c>
      <c r="G134" s="106">
        <v>0</v>
      </c>
      <c r="H134" s="106" t="s">
        <v>573</v>
      </c>
      <c r="I134" s="106">
        <v>0</v>
      </c>
      <c r="J134" s="106">
        <v>1</v>
      </c>
      <c r="K134" s="106">
        <v>155</v>
      </c>
      <c r="L134" s="106">
        <v>623</v>
      </c>
      <c r="M134" s="106">
        <v>0</v>
      </c>
      <c r="N134" s="106">
        <v>0</v>
      </c>
      <c r="O134" s="108"/>
    </row>
    <row r="135" spans="1:15">
      <c r="A135" s="106">
        <v>95001701</v>
      </c>
      <c r="B135" s="106">
        <v>1</v>
      </c>
      <c r="C135" s="106">
        <v>13100</v>
      </c>
      <c r="D135" s="106" t="s">
        <v>591</v>
      </c>
      <c r="E135" s="106">
        <v>14</v>
      </c>
      <c r="F135" s="106" t="s">
        <v>747</v>
      </c>
      <c r="G135" s="106">
        <v>0</v>
      </c>
      <c r="H135" s="106" t="s">
        <v>573</v>
      </c>
      <c r="I135" s="106">
        <v>2992</v>
      </c>
      <c r="J135" s="106">
        <v>1</v>
      </c>
      <c r="K135" s="106">
        <v>0</v>
      </c>
      <c r="L135" s="106"/>
      <c r="M135" s="106">
        <v>0</v>
      </c>
      <c r="N135" s="106">
        <v>0</v>
      </c>
      <c r="O135" s="108"/>
    </row>
    <row r="136" spans="1:15">
      <c r="A136" s="106">
        <v>95001719</v>
      </c>
      <c r="B136" s="106">
        <v>1</v>
      </c>
      <c r="C136" s="106">
        <v>13100</v>
      </c>
      <c r="D136" s="106" t="s">
        <v>591</v>
      </c>
      <c r="E136" s="106">
        <v>15</v>
      </c>
      <c r="F136" s="106" t="s">
        <v>748</v>
      </c>
      <c r="G136" s="106">
        <v>0</v>
      </c>
      <c r="H136" s="106" t="s">
        <v>573</v>
      </c>
      <c r="I136" s="106">
        <v>1254</v>
      </c>
      <c r="J136" s="106">
        <v>1</v>
      </c>
      <c r="K136" s="106">
        <v>0</v>
      </c>
      <c r="L136" s="106"/>
      <c r="M136" s="106">
        <v>0</v>
      </c>
      <c r="N136" s="106">
        <v>0</v>
      </c>
      <c r="O136" s="108"/>
    </row>
    <row r="137" spans="1:15">
      <c r="A137" s="106">
        <v>95001735</v>
      </c>
      <c r="B137" s="106">
        <v>1</v>
      </c>
      <c r="C137" s="106">
        <v>13320</v>
      </c>
      <c r="D137" s="106" t="s">
        <v>591</v>
      </c>
      <c r="E137" s="106">
        <v>295</v>
      </c>
      <c r="F137" s="106" t="s">
        <v>749</v>
      </c>
      <c r="G137" s="106">
        <v>0</v>
      </c>
      <c r="H137" s="106" t="s">
        <v>573</v>
      </c>
      <c r="I137" s="106">
        <v>802</v>
      </c>
      <c r="J137" s="106">
        <v>0</v>
      </c>
      <c r="K137" s="106">
        <v>56</v>
      </c>
      <c r="L137" s="106">
        <v>304</v>
      </c>
      <c r="M137" s="106">
        <v>0</v>
      </c>
      <c r="N137" s="106">
        <v>0</v>
      </c>
      <c r="O137" s="108" t="s">
        <v>750</v>
      </c>
    </row>
    <row r="138" spans="1:15">
      <c r="A138" s="106">
        <v>95001743</v>
      </c>
      <c r="B138" s="106">
        <v>1</v>
      </c>
      <c r="C138" s="106">
        <v>70104</v>
      </c>
      <c r="D138" s="106" t="s">
        <v>751</v>
      </c>
      <c r="E138" s="106">
        <v>281</v>
      </c>
      <c r="F138" s="106" t="s">
        <v>752</v>
      </c>
      <c r="G138" s="106">
        <v>0</v>
      </c>
      <c r="H138" s="106"/>
      <c r="I138" s="106">
        <v>1027</v>
      </c>
      <c r="J138" s="106">
        <v>0</v>
      </c>
      <c r="K138" s="106">
        <v>197</v>
      </c>
      <c r="L138" s="106">
        <v>701</v>
      </c>
      <c r="M138" s="106"/>
      <c r="N138" s="106"/>
      <c r="O138" s="108" t="s">
        <v>753</v>
      </c>
    </row>
    <row r="139" spans="1:15">
      <c r="A139" s="106">
        <v>95001751</v>
      </c>
      <c r="B139" s="106">
        <v>1</v>
      </c>
      <c r="C139" s="106">
        <v>13100</v>
      </c>
      <c r="D139" s="106" t="s">
        <v>754</v>
      </c>
      <c r="E139" s="106">
        <v>282</v>
      </c>
      <c r="F139" s="106" t="s">
        <v>755</v>
      </c>
      <c r="G139" s="106">
        <v>0</v>
      </c>
      <c r="H139" s="106"/>
      <c r="I139" s="106">
        <v>1027</v>
      </c>
      <c r="J139" s="106">
        <v>0</v>
      </c>
      <c r="K139" s="106">
        <v>196</v>
      </c>
      <c r="L139" s="106">
        <v>700</v>
      </c>
      <c r="M139" s="106"/>
      <c r="N139" s="106"/>
      <c r="O139" s="108" t="s">
        <v>753</v>
      </c>
    </row>
    <row r="140" spans="1:15">
      <c r="A140" s="106">
        <v>95001760</v>
      </c>
      <c r="B140" s="106">
        <v>1</v>
      </c>
      <c r="C140" s="106">
        <v>70104</v>
      </c>
      <c r="D140" s="106" t="s">
        <v>751</v>
      </c>
      <c r="E140" s="106">
        <v>285</v>
      </c>
      <c r="F140" s="106" t="s">
        <v>756</v>
      </c>
      <c r="G140" s="106">
        <v>0</v>
      </c>
      <c r="H140" s="106"/>
      <c r="I140" s="106">
        <v>1028</v>
      </c>
      <c r="J140" s="106">
        <v>0</v>
      </c>
      <c r="K140" s="106">
        <v>195</v>
      </c>
      <c r="L140" s="106">
        <v>703</v>
      </c>
      <c r="M140" s="106"/>
      <c r="N140" s="106"/>
      <c r="O140" s="108" t="s">
        <v>753</v>
      </c>
    </row>
    <row r="141" spans="1:15">
      <c r="A141" s="106">
        <v>95001778</v>
      </c>
      <c r="B141" s="106">
        <v>1</v>
      </c>
      <c r="C141" s="106">
        <v>70104</v>
      </c>
      <c r="D141" s="106" t="s">
        <v>751</v>
      </c>
      <c r="E141" s="106">
        <v>286</v>
      </c>
      <c r="F141" s="106" t="s">
        <v>757</v>
      </c>
      <c r="G141" s="106">
        <v>0</v>
      </c>
      <c r="H141" s="106"/>
      <c r="I141" s="106">
        <v>1028</v>
      </c>
      <c r="J141" s="106">
        <v>0</v>
      </c>
      <c r="K141" s="106">
        <v>194</v>
      </c>
      <c r="L141" s="106">
        <v>702</v>
      </c>
      <c r="M141" s="106"/>
      <c r="N141" s="106"/>
      <c r="O141" s="108" t="s">
        <v>753</v>
      </c>
    </row>
    <row r="142" spans="1:15">
      <c r="A142" s="106">
        <v>95001794</v>
      </c>
      <c r="B142" s="106">
        <v>1</v>
      </c>
      <c r="C142" s="106">
        <v>13120</v>
      </c>
      <c r="D142" s="106" t="s">
        <v>754</v>
      </c>
      <c r="E142" s="106">
        <v>218</v>
      </c>
      <c r="F142" s="106" t="s">
        <v>758</v>
      </c>
      <c r="G142" s="106">
        <v>0</v>
      </c>
      <c r="H142" s="106"/>
      <c r="I142" s="106">
        <v>9012</v>
      </c>
      <c r="J142" s="106">
        <v>0</v>
      </c>
      <c r="K142" s="106">
        <v>198</v>
      </c>
      <c r="L142" s="106">
        <v>705</v>
      </c>
      <c r="M142" s="106"/>
      <c r="N142" s="106"/>
      <c r="O142" s="108" t="s">
        <v>753</v>
      </c>
    </row>
    <row r="143" spans="1:15">
      <c r="A143" s="106">
        <v>95001859</v>
      </c>
      <c r="B143" s="106">
        <v>1</v>
      </c>
      <c r="C143" s="106">
        <v>15600</v>
      </c>
      <c r="D143" s="106" t="s">
        <v>759</v>
      </c>
      <c r="E143" s="106">
        <v>220</v>
      </c>
      <c r="F143" s="106" t="s">
        <v>760</v>
      </c>
      <c r="G143" s="106">
        <v>0</v>
      </c>
      <c r="H143" s="106"/>
      <c r="I143" s="106">
        <v>0</v>
      </c>
      <c r="J143" s="106">
        <v>1</v>
      </c>
      <c r="K143" s="106">
        <v>202</v>
      </c>
      <c r="L143" s="106">
        <v>706</v>
      </c>
      <c r="M143" s="106"/>
      <c r="N143" s="106"/>
      <c r="O143" s="108" t="s">
        <v>761</v>
      </c>
    </row>
    <row r="144" spans="1:15">
      <c r="A144" s="106">
        <v>95001867</v>
      </c>
      <c r="B144" s="106">
        <v>1</v>
      </c>
      <c r="C144" s="106">
        <v>13300</v>
      </c>
      <c r="D144" s="106" t="s">
        <v>762</v>
      </c>
      <c r="E144" s="106">
        <v>219</v>
      </c>
      <c r="F144" s="106" t="s">
        <v>763</v>
      </c>
      <c r="G144" s="106">
        <v>0</v>
      </c>
      <c r="H144" s="106"/>
      <c r="I144" s="106">
        <v>0</v>
      </c>
      <c r="J144" s="106">
        <v>1</v>
      </c>
      <c r="K144" s="106">
        <v>201</v>
      </c>
      <c r="L144" s="106">
        <v>707</v>
      </c>
      <c r="M144" s="106"/>
      <c r="N144" s="106"/>
      <c r="O144" s="108" t="s">
        <v>761</v>
      </c>
    </row>
    <row r="145" spans="1:17">
      <c r="A145" s="106">
        <v>95001875</v>
      </c>
      <c r="B145" s="106">
        <v>1</v>
      </c>
      <c r="C145" s="106">
        <v>13120</v>
      </c>
      <c r="D145" s="106" t="s">
        <v>762</v>
      </c>
      <c r="E145" s="106">
        <v>222</v>
      </c>
      <c r="F145" s="106" t="s">
        <v>764</v>
      </c>
      <c r="G145" s="106">
        <v>0</v>
      </c>
      <c r="H145" s="106"/>
      <c r="I145" s="106">
        <v>0</v>
      </c>
      <c r="J145" s="106">
        <v>1</v>
      </c>
      <c r="K145" s="106">
        <v>203</v>
      </c>
      <c r="L145" s="106">
        <v>708</v>
      </c>
      <c r="M145" s="106"/>
      <c r="N145" s="106"/>
      <c r="O145" s="108" t="s">
        <v>761</v>
      </c>
    </row>
    <row r="146" spans="1:17">
      <c r="A146" s="106">
        <v>95001883</v>
      </c>
      <c r="B146" s="106">
        <v>1</v>
      </c>
      <c r="C146" s="106">
        <v>13120</v>
      </c>
      <c r="D146" s="106" t="s">
        <v>591</v>
      </c>
      <c r="E146" s="106">
        <v>221</v>
      </c>
      <c r="F146" s="106" t="s">
        <v>765</v>
      </c>
      <c r="G146" s="106">
        <v>0</v>
      </c>
      <c r="H146" s="106" t="s">
        <v>573</v>
      </c>
      <c r="I146" s="106">
        <v>1021</v>
      </c>
      <c r="J146" s="106">
        <v>1</v>
      </c>
      <c r="K146" s="106">
        <v>204</v>
      </c>
      <c r="L146" s="106">
        <v>719</v>
      </c>
      <c r="M146" s="106">
        <v>1</v>
      </c>
      <c r="N146" s="106">
        <v>0</v>
      </c>
      <c r="O146" s="108" t="s">
        <v>766</v>
      </c>
    </row>
    <row r="147" spans="1:17">
      <c r="A147" s="106">
        <v>95001891</v>
      </c>
      <c r="B147" s="106">
        <v>1</v>
      </c>
      <c r="C147" s="106">
        <v>73600</v>
      </c>
      <c r="D147" s="106" t="s">
        <v>692</v>
      </c>
      <c r="E147" s="106">
        <v>223</v>
      </c>
      <c r="F147" s="106" t="s">
        <v>767</v>
      </c>
      <c r="G147" s="106">
        <v>0</v>
      </c>
      <c r="H147" s="106"/>
      <c r="I147" s="106">
        <v>0</v>
      </c>
      <c r="J147" s="106">
        <v>1</v>
      </c>
      <c r="K147" s="106">
        <v>205</v>
      </c>
      <c r="L147" s="106">
        <v>627</v>
      </c>
      <c r="M147" s="106"/>
      <c r="N147" s="106"/>
      <c r="O147" s="108" t="s">
        <v>768</v>
      </c>
    </row>
    <row r="148" spans="1:17">
      <c r="A148" s="106">
        <v>95001905</v>
      </c>
      <c r="B148" s="106">
        <v>1</v>
      </c>
      <c r="C148" s="106">
        <v>15200</v>
      </c>
      <c r="D148" s="106" t="s">
        <v>769</v>
      </c>
      <c r="E148" s="106">
        <v>130</v>
      </c>
      <c r="F148" s="106" t="s">
        <v>770</v>
      </c>
      <c r="G148" s="106">
        <v>0</v>
      </c>
      <c r="H148" s="106"/>
      <c r="I148" s="106">
        <v>0</v>
      </c>
      <c r="J148" s="106">
        <v>1</v>
      </c>
      <c r="K148" s="106">
        <v>57</v>
      </c>
      <c r="L148" s="106">
        <v>711</v>
      </c>
      <c r="M148" s="106"/>
      <c r="N148" s="106"/>
      <c r="O148" s="108" t="s">
        <v>761</v>
      </c>
    </row>
    <row r="149" spans="1:17">
      <c r="A149" s="106">
        <v>95001921</v>
      </c>
      <c r="B149" s="106">
        <v>1</v>
      </c>
      <c r="C149" s="106">
        <v>13120</v>
      </c>
      <c r="D149" s="106" t="s">
        <v>591</v>
      </c>
      <c r="E149" s="106">
        <v>224</v>
      </c>
      <c r="F149" s="106" t="s">
        <v>417</v>
      </c>
      <c r="G149" s="106">
        <v>0</v>
      </c>
      <c r="H149" s="106" t="s">
        <v>573</v>
      </c>
      <c r="I149" s="106">
        <v>0</v>
      </c>
      <c r="J149" s="106">
        <v>1</v>
      </c>
      <c r="K149" s="106">
        <v>207</v>
      </c>
      <c r="L149" s="106">
        <v>721</v>
      </c>
      <c r="M149" s="106">
        <v>1</v>
      </c>
      <c r="N149" s="106">
        <v>0</v>
      </c>
      <c r="O149" s="108" t="s">
        <v>771</v>
      </c>
    </row>
    <row r="150" spans="1:17">
      <c r="A150" s="106">
        <v>95001930</v>
      </c>
      <c r="B150" s="106">
        <v>1</v>
      </c>
      <c r="C150" s="106">
        <v>13120</v>
      </c>
      <c r="D150" s="106" t="s">
        <v>591</v>
      </c>
      <c r="E150" s="106">
        <v>225</v>
      </c>
      <c r="F150" s="106" t="s">
        <v>772</v>
      </c>
      <c r="G150" s="106">
        <v>0</v>
      </c>
      <c r="H150" s="106" t="s">
        <v>573</v>
      </c>
      <c r="I150" s="106">
        <v>0</v>
      </c>
      <c r="J150" s="106">
        <v>1</v>
      </c>
      <c r="K150" s="106">
        <v>208</v>
      </c>
      <c r="L150" s="106">
        <v>722</v>
      </c>
      <c r="M150" s="106">
        <v>1</v>
      </c>
      <c r="N150" s="106">
        <v>0</v>
      </c>
      <c r="O150" s="108" t="s">
        <v>771</v>
      </c>
    </row>
    <row r="151" spans="1:17">
      <c r="A151" s="106">
        <v>95001948</v>
      </c>
      <c r="B151" s="106">
        <v>1</v>
      </c>
      <c r="C151" s="106">
        <v>13120</v>
      </c>
      <c r="D151" s="106" t="s">
        <v>591</v>
      </c>
      <c r="E151" s="106">
        <v>229</v>
      </c>
      <c r="F151" s="106" t="s">
        <v>773</v>
      </c>
      <c r="G151" s="106">
        <v>0</v>
      </c>
      <c r="H151" s="106" t="s">
        <v>573</v>
      </c>
      <c r="I151" s="106">
        <v>0</v>
      </c>
      <c r="J151" s="106">
        <v>1</v>
      </c>
      <c r="K151" s="106">
        <v>209</v>
      </c>
      <c r="L151" s="106">
        <v>726</v>
      </c>
      <c r="M151" s="106">
        <v>1</v>
      </c>
      <c r="N151" s="106">
        <v>0</v>
      </c>
      <c r="O151" s="108" t="s">
        <v>771</v>
      </c>
    </row>
    <row r="152" spans="1:17">
      <c r="A152" s="106">
        <v>95001956</v>
      </c>
      <c r="B152" s="106">
        <v>1</v>
      </c>
      <c r="C152" s="106">
        <v>13120</v>
      </c>
      <c r="D152" s="106" t="s">
        <v>591</v>
      </c>
      <c r="E152" s="106">
        <v>226</v>
      </c>
      <c r="F152" s="106" t="s">
        <v>774</v>
      </c>
      <c r="G152" s="106">
        <v>0</v>
      </c>
      <c r="H152" s="106" t="s">
        <v>573</v>
      </c>
      <c r="I152" s="106">
        <v>0</v>
      </c>
      <c r="J152" s="106">
        <v>1</v>
      </c>
      <c r="K152" s="106">
        <v>210</v>
      </c>
      <c r="L152" s="106">
        <v>723</v>
      </c>
      <c r="M152" s="106">
        <v>1</v>
      </c>
      <c r="N152" s="106">
        <v>0</v>
      </c>
      <c r="O152" s="108" t="s">
        <v>771</v>
      </c>
    </row>
    <row r="153" spans="1:17">
      <c r="A153" s="106">
        <v>95001964</v>
      </c>
      <c r="B153" s="106">
        <v>1</v>
      </c>
      <c r="C153" s="106">
        <v>13120</v>
      </c>
      <c r="D153" s="106" t="s">
        <v>591</v>
      </c>
      <c r="E153" s="106">
        <v>227</v>
      </c>
      <c r="F153" s="106" t="s">
        <v>775</v>
      </c>
      <c r="G153" s="106">
        <v>0</v>
      </c>
      <c r="H153" s="106" t="s">
        <v>573</v>
      </c>
      <c r="I153" s="106">
        <v>0</v>
      </c>
      <c r="J153" s="106">
        <v>1</v>
      </c>
      <c r="K153" s="106">
        <v>211</v>
      </c>
      <c r="L153" s="106">
        <v>724</v>
      </c>
      <c r="M153" s="106">
        <v>1</v>
      </c>
      <c r="N153" s="106">
        <v>0</v>
      </c>
      <c r="O153" s="108" t="s">
        <v>771</v>
      </c>
    </row>
    <row r="154" spans="1:17">
      <c r="A154" s="106">
        <v>95001972</v>
      </c>
      <c r="B154" s="106">
        <v>1</v>
      </c>
      <c r="C154" s="106">
        <v>13120</v>
      </c>
      <c r="D154" s="106" t="s">
        <v>591</v>
      </c>
      <c r="E154" s="106">
        <v>228</v>
      </c>
      <c r="F154" s="106" t="s">
        <v>442</v>
      </c>
      <c r="G154" s="106">
        <v>0</v>
      </c>
      <c r="H154" s="106" t="s">
        <v>573</v>
      </c>
      <c r="I154" s="106">
        <v>0</v>
      </c>
      <c r="J154" s="106">
        <v>1</v>
      </c>
      <c r="K154" s="106">
        <v>212</v>
      </c>
      <c r="L154" s="106">
        <v>725</v>
      </c>
      <c r="M154" s="106">
        <v>1</v>
      </c>
      <c r="N154" s="106">
        <v>0</v>
      </c>
      <c r="O154" s="108" t="s">
        <v>771</v>
      </c>
    </row>
    <row r="155" spans="1:17">
      <c r="A155" s="106">
        <v>95001981</v>
      </c>
      <c r="B155" s="106">
        <v>1</v>
      </c>
      <c r="C155" s="106">
        <v>13120</v>
      </c>
      <c r="D155" s="106" t="s">
        <v>591</v>
      </c>
      <c r="E155" s="106">
        <v>230</v>
      </c>
      <c r="F155" s="106" t="s">
        <v>776</v>
      </c>
      <c r="G155" s="106">
        <v>0</v>
      </c>
      <c r="H155" s="106" t="s">
        <v>573</v>
      </c>
      <c r="I155" s="106">
        <v>0</v>
      </c>
      <c r="J155" s="106">
        <v>1</v>
      </c>
      <c r="K155" s="106">
        <v>213</v>
      </c>
      <c r="L155" s="106">
        <v>709</v>
      </c>
      <c r="M155" s="106">
        <v>1</v>
      </c>
      <c r="N155" s="106">
        <v>0</v>
      </c>
      <c r="O155" s="108" t="s">
        <v>771</v>
      </c>
      <c r="P155" s="108"/>
      <c r="Q155" s="108"/>
    </row>
    <row r="156" spans="1:17">
      <c r="A156" s="106">
        <v>95001999</v>
      </c>
      <c r="B156" s="106">
        <v>1</v>
      </c>
      <c r="C156" s="106">
        <v>13120</v>
      </c>
      <c r="D156" s="106" t="s">
        <v>762</v>
      </c>
      <c r="E156" s="106">
        <v>231</v>
      </c>
      <c r="F156" s="106" t="s">
        <v>777</v>
      </c>
      <c r="G156" s="106">
        <v>0</v>
      </c>
      <c r="H156" s="106"/>
      <c r="I156" s="106">
        <v>0</v>
      </c>
      <c r="J156" s="106">
        <v>1</v>
      </c>
      <c r="K156" s="106">
        <v>214</v>
      </c>
      <c r="L156" s="106">
        <v>712</v>
      </c>
      <c r="M156" s="106"/>
      <c r="N156" s="106"/>
      <c r="O156" s="108" t="s">
        <v>778</v>
      </c>
      <c r="P156" s="108"/>
      <c r="Q156" s="108"/>
    </row>
    <row r="157" spans="1:17">
      <c r="A157" s="106">
        <v>95002006</v>
      </c>
      <c r="B157" s="106">
        <v>1</v>
      </c>
      <c r="C157" s="106">
        <v>13120</v>
      </c>
      <c r="D157" s="106" t="s">
        <v>762</v>
      </c>
      <c r="E157" s="106">
        <v>232</v>
      </c>
      <c r="F157" s="106" t="s">
        <v>779</v>
      </c>
      <c r="G157" s="106">
        <v>0</v>
      </c>
      <c r="H157" s="106"/>
      <c r="I157" s="106">
        <v>0</v>
      </c>
      <c r="J157" s="106">
        <v>1</v>
      </c>
      <c r="K157" s="106">
        <v>215</v>
      </c>
      <c r="L157" s="106">
        <v>713</v>
      </c>
      <c r="M157" s="106"/>
      <c r="N157" s="106"/>
      <c r="O157" s="108" t="s">
        <v>778</v>
      </c>
    </row>
    <row r="158" spans="1:17" s="108" customFormat="1">
      <c r="A158" s="106">
        <v>95002014</v>
      </c>
      <c r="B158" s="106">
        <v>1</v>
      </c>
      <c r="C158" s="106">
        <v>13120</v>
      </c>
      <c r="D158" s="106" t="s">
        <v>591</v>
      </c>
      <c r="E158" s="106">
        <v>233</v>
      </c>
      <c r="F158" s="106" t="s">
        <v>780</v>
      </c>
      <c r="G158" s="106">
        <v>0</v>
      </c>
      <c r="H158" s="106" t="s">
        <v>573</v>
      </c>
      <c r="I158" s="106">
        <v>0</v>
      </c>
      <c r="J158" s="106">
        <v>1</v>
      </c>
      <c r="K158" s="106">
        <v>216</v>
      </c>
      <c r="L158" s="106">
        <v>727</v>
      </c>
      <c r="M158" s="106">
        <v>1</v>
      </c>
      <c r="N158" s="106">
        <v>0</v>
      </c>
      <c r="O158" s="108" t="s">
        <v>771</v>
      </c>
    </row>
    <row r="159" spans="1:17" s="108" customFormat="1">
      <c r="A159" s="109">
        <v>95002022</v>
      </c>
      <c r="B159" s="109">
        <v>1</v>
      </c>
      <c r="C159" s="109">
        <v>13120</v>
      </c>
      <c r="D159" s="109" t="s">
        <v>591</v>
      </c>
      <c r="E159" s="109">
        <v>238</v>
      </c>
      <c r="F159" s="109" t="s">
        <v>781</v>
      </c>
      <c r="G159" s="109">
        <v>0</v>
      </c>
      <c r="H159" s="109" t="s">
        <v>573</v>
      </c>
      <c r="I159" s="109">
        <v>0</v>
      </c>
      <c r="J159" s="109">
        <v>1</v>
      </c>
      <c r="K159" s="109">
        <v>221</v>
      </c>
      <c r="L159" s="109">
        <v>717</v>
      </c>
      <c r="M159" s="109">
        <v>1</v>
      </c>
      <c r="N159" s="109">
        <v>0</v>
      </c>
      <c r="O159" s="79" t="s">
        <v>782</v>
      </c>
    </row>
    <row r="160" spans="1:17" s="108" customFormat="1">
      <c r="A160" s="109">
        <v>95002031</v>
      </c>
      <c r="B160" s="109">
        <v>1</v>
      </c>
      <c r="C160" s="109">
        <v>13120</v>
      </c>
      <c r="D160" s="109" t="s">
        <v>591</v>
      </c>
      <c r="E160" s="109">
        <v>239</v>
      </c>
      <c r="F160" s="109" t="s">
        <v>783</v>
      </c>
      <c r="G160" s="109">
        <v>0</v>
      </c>
      <c r="H160" s="109" t="s">
        <v>573</v>
      </c>
      <c r="I160" s="109">
        <v>0</v>
      </c>
      <c r="J160" s="109">
        <v>1</v>
      </c>
      <c r="K160" s="109">
        <v>222</v>
      </c>
      <c r="L160" s="109">
        <v>718</v>
      </c>
      <c r="M160" s="109">
        <v>1</v>
      </c>
      <c r="N160" s="109">
        <v>0</v>
      </c>
      <c r="O160" s="79" t="s">
        <v>782</v>
      </c>
    </row>
    <row r="161" spans="1:16" s="108" customFormat="1">
      <c r="A161" s="106">
        <v>95002049</v>
      </c>
      <c r="B161" s="106">
        <v>1</v>
      </c>
      <c r="C161" s="106">
        <v>13120</v>
      </c>
      <c r="D161" s="106" t="s">
        <v>591</v>
      </c>
      <c r="E161" s="106">
        <v>234</v>
      </c>
      <c r="F161" s="106" t="s">
        <v>784</v>
      </c>
      <c r="G161" s="106">
        <v>0</v>
      </c>
      <c r="H161" s="106" t="s">
        <v>573</v>
      </c>
      <c r="I161" s="106">
        <v>0</v>
      </c>
      <c r="J161" s="106">
        <v>1</v>
      </c>
      <c r="K161" s="106">
        <v>217</v>
      </c>
      <c r="L161" s="106">
        <v>714</v>
      </c>
      <c r="M161" s="106">
        <v>1</v>
      </c>
      <c r="N161" s="106">
        <v>0</v>
      </c>
      <c r="O161" s="108" t="s">
        <v>785</v>
      </c>
    </row>
    <row r="162" spans="1:16" s="108" customFormat="1">
      <c r="A162" s="109">
        <v>95002057</v>
      </c>
      <c r="B162" s="109">
        <v>1</v>
      </c>
      <c r="C162" s="109">
        <v>73600</v>
      </c>
      <c r="D162" s="109" t="s">
        <v>692</v>
      </c>
      <c r="E162" s="109">
        <v>236</v>
      </c>
      <c r="F162" s="109" t="s">
        <v>786</v>
      </c>
      <c r="G162" s="109">
        <v>0</v>
      </c>
      <c r="H162" s="109" t="s">
        <v>573</v>
      </c>
      <c r="I162" s="109">
        <v>0</v>
      </c>
      <c r="J162" s="109">
        <v>1</v>
      </c>
      <c r="K162" s="109">
        <v>219</v>
      </c>
      <c r="L162" s="109">
        <v>716</v>
      </c>
      <c r="M162" s="109">
        <v>1</v>
      </c>
      <c r="N162" s="109">
        <v>0</v>
      </c>
      <c r="O162" s="79" t="s">
        <v>787</v>
      </c>
    </row>
    <row r="163" spans="1:16" s="108" customFormat="1">
      <c r="A163" s="109">
        <v>95002065</v>
      </c>
      <c r="B163" s="109">
        <v>1</v>
      </c>
      <c r="C163" s="109">
        <v>13120</v>
      </c>
      <c r="D163" s="109" t="s">
        <v>591</v>
      </c>
      <c r="E163" s="109">
        <v>235</v>
      </c>
      <c r="F163" s="109" t="s">
        <v>788</v>
      </c>
      <c r="G163" s="109">
        <v>0</v>
      </c>
      <c r="H163" s="109" t="s">
        <v>573</v>
      </c>
      <c r="I163" s="109">
        <v>0</v>
      </c>
      <c r="J163" s="109">
        <v>0</v>
      </c>
      <c r="K163" s="109">
        <v>218</v>
      </c>
      <c r="L163" s="109">
        <v>715</v>
      </c>
      <c r="M163" s="109">
        <v>1</v>
      </c>
      <c r="N163" s="109">
        <v>0</v>
      </c>
      <c r="O163" s="79" t="s">
        <v>787</v>
      </c>
    </row>
    <row r="164" spans="1:16">
      <c r="A164" s="109">
        <v>95002073</v>
      </c>
      <c r="B164" s="109">
        <v>1</v>
      </c>
      <c r="C164" s="109">
        <v>13120</v>
      </c>
      <c r="D164" s="109" t="s">
        <v>591</v>
      </c>
      <c r="E164" s="109">
        <v>237</v>
      </c>
      <c r="F164" s="109" t="s">
        <v>789</v>
      </c>
      <c r="G164" s="109">
        <v>0</v>
      </c>
      <c r="H164" s="109" t="s">
        <v>573</v>
      </c>
      <c r="I164" s="109">
        <v>0</v>
      </c>
      <c r="J164" s="109">
        <v>1</v>
      </c>
      <c r="K164" s="109">
        <v>220</v>
      </c>
      <c r="L164" s="109">
        <v>728</v>
      </c>
      <c r="M164" s="109">
        <v>1</v>
      </c>
      <c r="N164" s="109">
        <v>0</v>
      </c>
      <c r="O164" s="79" t="s">
        <v>782</v>
      </c>
    </row>
    <row r="165" spans="1:16" s="108" customFormat="1">
      <c r="A165" s="106">
        <v>95002081</v>
      </c>
      <c r="B165" s="106">
        <v>1</v>
      </c>
      <c r="C165" s="106">
        <v>73600</v>
      </c>
      <c r="D165" s="106" t="s">
        <v>692</v>
      </c>
      <c r="E165" s="106">
        <v>240</v>
      </c>
      <c r="F165" s="106" t="s">
        <v>790</v>
      </c>
      <c r="G165" s="106">
        <v>0</v>
      </c>
      <c r="H165" s="106"/>
      <c r="I165" s="106">
        <v>0</v>
      </c>
      <c r="J165" s="106">
        <v>1</v>
      </c>
      <c r="K165" s="106">
        <v>223</v>
      </c>
      <c r="L165" s="106">
        <v>720</v>
      </c>
      <c r="M165" s="106">
        <v>1</v>
      </c>
      <c r="N165" s="106">
        <v>0</v>
      </c>
      <c r="O165" s="108" t="s">
        <v>791</v>
      </c>
    </row>
    <row r="166" spans="1:16" s="108" customFormat="1">
      <c r="A166" s="109">
        <v>95002090</v>
      </c>
      <c r="B166" s="109">
        <v>1</v>
      </c>
      <c r="C166" s="109">
        <v>70104</v>
      </c>
      <c r="D166" s="109" t="s">
        <v>792</v>
      </c>
      <c r="E166" s="109">
        <v>241</v>
      </c>
      <c r="F166" s="109" t="s">
        <v>793</v>
      </c>
      <c r="G166" s="109">
        <v>0</v>
      </c>
      <c r="H166" s="109"/>
      <c r="I166" s="109">
        <v>0</v>
      </c>
      <c r="J166" s="109">
        <v>1</v>
      </c>
      <c r="K166" s="110">
        <v>229</v>
      </c>
      <c r="L166" s="109">
        <v>729</v>
      </c>
      <c r="M166" s="109">
        <v>1</v>
      </c>
      <c r="N166" s="109">
        <v>0</v>
      </c>
      <c r="O166" s="111" t="s">
        <v>794</v>
      </c>
    </row>
    <row r="167" spans="1:16" s="108" customFormat="1">
      <c r="A167" s="109">
        <v>95002103</v>
      </c>
      <c r="B167" s="109">
        <v>1</v>
      </c>
      <c r="C167" s="109">
        <v>70104</v>
      </c>
      <c r="D167" s="109" t="s">
        <v>792</v>
      </c>
      <c r="E167" s="109">
        <v>242</v>
      </c>
      <c r="F167" s="109" t="s">
        <v>795</v>
      </c>
      <c r="G167" s="109">
        <v>0</v>
      </c>
      <c r="H167" s="109"/>
      <c r="I167" s="109">
        <v>0</v>
      </c>
      <c r="J167" s="109">
        <v>1</v>
      </c>
      <c r="K167" s="110">
        <v>230</v>
      </c>
      <c r="L167" s="109"/>
      <c r="M167" s="109">
        <v>1</v>
      </c>
      <c r="N167" s="109">
        <v>0</v>
      </c>
      <c r="O167" s="111" t="s">
        <v>794</v>
      </c>
    </row>
    <row r="168" spans="1:16" s="108" customFormat="1">
      <c r="A168" s="109">
        <v>95002111</v>
      </c>
      <c r="B168" s="109">
        <v>1</v>
      </c>
      <c r="C168" s="109">
        <v>43100</v>
      </c>
      <c r="D168" s="109" t="s">
        <v>796</v>
      </c>
      <c r="E168" s="109">
        <v>243</v>
      </c>
      <c r="F168" s="109" t="s">
        <v>797</v>
      </c>
      <c r="G168" s="109">
        <v>0</v>
      </c>
      <c r="H168" s="109"/>
      <c r="I168" s="109">
        <v>0</v>
      </c>
      <c r="J168" s="109">
        <v>1</v>
      </c>
      <c r="K168" s="110">
        <v>226</v>
      </c>
      <c r="L168" s="109">
        <v>730</v>
      </c>
      <c r="M168" s="109">
        <v>1</v>
      </c>
      <c r="N168" s="109">
        <v>0</v>
      </c>
      <c r="O168" s="111" t="s">
        <v>794</v>
      </c>
    </row>
    <row r="169" spans="1:16" s="108" customFormat="1">
      <c r="A169" s="109">
        <v>95002120</v>
      </c>
      <c r="B169" s="109">
        <v>1</v>
      </c>
      <c r="C169" s="109">
        <v>43100</v>
      </c>
      <c r="D169" s="109" t="s">
        <v>796</v>
      </c>
      <c r="E169" s="109">
        <v>244</v>
      </c>
      <c r="F169" s="109" t="s">
        <v>798</v>
      </c>
      <c r="G169" s="109">
        <v>0</v>
      </c>
      <c r="H169" s="109"/>
      <c r="I169" s="109">
        <v>0</v>
      </c>
      <c r="J169" s="109">
        <v>1</v>
      </c>
      <c r="K169" s="110">
        <v>227</v>
      </c>
      <c r="L169" s="109">
        <v>731</v>
      </c>
      <c r="M169" s="109">
        <v>1</v>
      </c>
      <c r="N169" s="109">
        <v>0</v>
      </c>
      <c r="O169" s="111" t="s">
        <v>794</v>
      </c>
    </row>
    <row r="170" spans="1:16" s="108" customFormat="1">
      <c r="A170" s="109">
        <v>95002138</v>
      </c>
      <c r="B170" s="109">
        <v>1</v>
      </c>
      <c r="C170" s="109">
        <v>43100</v>
      </c>
      <c r="D170" s="109" t="s">
        <v>796</v>
      </c>
      <c r="E170" s="109">
        <v>245</v>
      </c>
      <c r="F170" s="109" t="s">
        <v>799</v>
      </c>
      <c r="G170" s="109">
        <v>0</v>
      </c>
      <c r="H170" s="109"/>
      <c r="I170" s="109">
        <v>0</v>
      </c>
      <c r="J170" s="109">
        <v>1</v>
      </c>
      <c r="K170" s="110">
        <v>228</v>
      </c>
      <c r="L170" s="109"/>
      <c r="M170" s="109">
        <v>1</v>
      </c>
      <c r="N170" s="109">
        <v>0</v>
      </c>
      <c r="O170" s="111" t="s">
        <v>794</v>
      </c>
    </row>
    <row r="171" spans="1:16">
      <c r="A171" s="106">
        <v>95002804</v>
      </c>
      <c r="B171" s="106">
        <v>1</v>
      </c>
      <c r="C171" s="106">
        <v>13400</v>
      </c>
      <c r="D171" s="106" t="s">
        <v>800</v>
      </c>
      <c r="E171" s="106">
        <v>22</v>
      </c>
      <c r="F171" s="106" t="s">
        <v>801</v>
      </c>
      <c r="G171" s="106">
        <v>0</v>
      </c>
      <c r="H171" s="106" t="s">
        <v>573</v>
      </c>
      <c r="I171" s="106">
        <v>0</v>
      </c>
      <c r="J171" s="106">
        <v>1</v>
      </c>
      <c r="K171" s="106">
        <v>117</v>
      </c>
      <c r="L171" s="106">
        <v>607</v>
      </c>
      <c r="M171" s="106">
        <v>0</v>
      </c>
      <c r="N171" s="106">
        <v>0</v>
      </c>
      <c r="O171" s="108"/>
    </row>
    <row r="172" spans="1:16">
      <c r="A172" s="106">
        <v>95002901</v>
      </c>
      <c r="B172" s="106">
        <v>1</v>
      </c>
      <c r="C172" s="106">
        <v>15600</v>
      </c>
      <c r="D172" s="106" t="s">
        <v>639</v>
      </c>
      <c r="E172" s="106">
        <v>27</v>
      </c>
      <c r="F172" s="106" t="s">
        <v>802</v>
      </c>
      <c r="G172" s="106">
        <v>0</v>
      </c>
      <c r="H172" s="106" t="s">
        <v>573</v>
      </c>
      <c r="I172" s="106">
        <v>4970</v>
      </c>
      <c r="J172" s="106">
        <v>1</v>
      </c>
      <c r="K172" s="106">
        <v>121</v>
      </c>
      <c r="L172" s="106">
        <v>611</v>
      </c>
      <c r="M172" s="106">
        <v>0</v>
      </c>
      <c r="N172" s="106">
        <v>0</v>
      </c>
      <c r="O172" s="108"/>
      <c r="P172" s="108"/>
    </row>
    <row r="173" spans="1:16">
      <c r="A173" s="106">
        <v>95002910</v>
      </c>
      <c r="B173" s="106">
        <v>1</v>
      </c>
      <c r="C173" s="106">
        <v>15600</v>
      </c>
      <c r="D173" s="106" t="s">
        <v>639</v>
      </c>
      <c r="E173" s="106">
        <v>28</v>
      </c>
      <c r="F173" s="106" t="s">
        <v>803</v>
      </c>
      <c r="G173" s="106">
        <v>0</v>
      </c>
      <c r="H173" s="106" t="s">
        <v>573</v>
      </c>
      <c r="I173" s="106">
        <v>4970</v>
      </c>
      <c r="J173" s="106">
        <v>1</v>
      </c>
      <c r="K173" s="106">
        <v>122</v>
      </c>
      <c r="L173" s="106">
        <v>612</v>
      </c>
      <c r="M173" s="106">
        <v>0</v>
      </c>
      <c r="N173" s="106">
        <v>0</v>
      </c>
      <c r="O173" s="108"/>
    </row>
    <row r="174" spans="1:16">
      <c r="A174" s="106">
        <v>95003002</v>
      </c>
      <c r="B174" s="106">
        <v>1</v>
      </c>
      <c r="C174" s="106">
        <v>70104</v>
      </c>
      <c r="D174" s="106" t="s">
        <v>804</v>
      </c>
      <c r="E174" s="106">
        <v>23</v>
      </c>
      <c r="F174" s="106" t="s">
        <v>805</v>
      </c>
      <c r="G174" s="106">
        <v>0</v>
      </c>
      <c r="H174" s="106" t="s">
        <v>573</v>
      </c>
      <c r="I174" s="106">
        <v>8553</v>
      </c>
      <c r="J174" s="106">
        <v>0</v>
      </c>
      <c r="K174" s="106">
        <v>46</v>
      </c>
      <c r="L174" s="106">
        <v>262</v>
      </c>
      <c r="M174" s="106">
        <v>0</v>
      </c>
      <c r="N174" s="106">
        <v>0</v>
      </c>
      <c r="O174" s="108"/>
    </row>
    <row r="175" spans="1:16">
      <c r="A175" s="106">
        <v>95003207</v>
      </c>
      <c r="B175" s="106">
        <v>1</v>
      </c>
      <c r="C175" s="106">
        <v>13101</v>
      </c>
      <c r="D175" s="106" t="s">
        <v>806</v>
      </c>
      <c r="E175" s="106">
        <v>24</v>
      </c>
      <c r="F175" s="106" t="s">
        <v>807</v>
      </c>
      <c r="G175" s="106">
        <v>0</v>
      </c>
      <c r="H175" s="106" t="s">
        <v>573</v>
      </c>
      <c r="I175" s="106">
        <v>4670</v>
      </c>
      <c r="J175" s="106">
        <v>0</v>
      </c>
      <c r="K175" s="106">
        <v>49</v>
      </c>
      <c r="L175" s="106">
        <v>265</v>
      </c>
      <c r="M175" s="106">
        <v>0</v>
      </c>
      <c r="N175" s="106">
        <v>0</v>
      </c>
      <c r="O175" s="108"/>
    </row>
    <row r="176" spans="1:16">
      <c r="A176" s="106">
        <v>95003509</v>
      </c>
      <c r="B176" s="106">
        <v>1</v>
      </c>
      <c r="C176" s="106">
        <v>15205</v>
      </c>
      <c r="D176" s="106" t="s">
        <v>808</v>
      </c>
      <c r="E176" s="106">
        <v>29</v>
      </c>
      <c r="F176" s="106" t="s">
        <v>809</v>
      </c>
      <c r="G176" s="106">
        <v>0</v>
      </c>
      <c r="H176" s="106" t="s">
        <v>573</v>
      </c>
      <c r="I176" s="106">
        <v>2437</v>
      </c>
      <c r="J176" s="106">
        <v>1</v>
      </c>
      <c r="K176" s="106">
        <v>0</v>
      </c>
      <c r="L176" s="106"/>
      <c r="M176" s="106">
        <v>0</v>
      </c>
      <c r="N176" s="106">
        <v>0</v>
      </c>
      <c r="O176" s="108"/>
    </row>
    <row r="177" spans="1:15">
      <c r="A177" s="106">
        <v>95004301</v>
      </c>
      <c r="B177" s="106">
        <v>1</v>
      </c>
      <c r="C177" s="106">
        <v>15200</v>
      </c>
      <c r="D177" s="106" t="s">
        <v>579</v>
      </c>
      <c r="E177" s="106">
        <v>25</v>
      </c>
      <c r="F177" s="106" t="s">
        <v>810</v>
      </c>
      <c r="G177" s="106">
        <v>0</v>
      </c>
      <c r="H177" s="106" t="s">
        <v>573</v>
      </c>
      <c r="I177" s="106">
        <v>6463</v>
      </c>
      <c r="J177" s="106">
        <v>0</v>
      </c>
      <c r="K177" s="106">
        <v>52</v>
      </c>
      <c r="L177" s="106">
        <v>268</v>
      </c>
      <c r="M177" s="106">
        <v>0</v>
      </c>
      <c r="N177" s="106">
        <v>0</v>
      </c>
      <c r="O177" s="108"/>
    </row>
    <row r="178" spans="1:15">
      <c r="A178" s="106">
        <v>95005501</v>
      </c>
      <c r="B178" s="106">
        <v>1</v>
      </c>
      <c r="C178" s="106">
        <v>15500</v>
      </c>
      <c r="D178" s="106" t="s">
        <v>571</v>
      </c>
      <c r="E178" s="106">
        <v>82</v>
      </c>
      <c r="F178" s="106" t="s">
        <v>811</v>
      </c>
      <c r="G178" s="106">
        <v>0</v>
      </c>
      <c r="H178" s="106" t="s">
        <v>573</v>
      </c>
      <c r="I178" s="106">
        <v>9999</v>
      </c>
      <c r="J178" s="106">
        <v>0</v>
      </c>
      <c r="K178" s="106">
        <v>50</v>
      </c>
      <c r="L178" s="106">
        <v>266</v>
      </c>
      <c r="M178" s="106">
        <v>0</v>
      </c>
      <c r="N178" s="106">
        <v>0</v>
      </c>
      <c r="O178" s="108"/>
    </row>
    <row r="179" spans="1:15">
      <c r="A179" s="106">
        <v>95009604</v>
      </c>
      <c r="B179" s="106">
        <v>1</v>
      </c>
      <c r="C179" s="106">
        <v>13300</v>
      </c>
      <c r="D179" s="106" t="s">
        <v>713</v>
      </c>
      <c r="E179" s="106">
        <v>290</v>
      </c>
      <c r="F179" s="106" t="s">
        <v>812</v>
      </c>
      <c r="G179" s="106">
        <v>0</v>
      </c>
      <c r="H179" s="106" t="s">
        <v>573</v>
      </c>
      <c r="I179" s="106">
        <v>8244</v>
      </c>
      <c r="J179" s="106">
        <v>1</v>
      </c>
      <c r="K179" s="106">
        <v>81</v>
      </c>
      <c r="L179" s="106">
        <v>296</v>
      </c>
      <c r="M179" s="106">
        <v>1</v>
      </c>
      <c r="N179" s="106">
        <v>0</v>
      </c>
      <c r="O179" s="108"/>
    </row>
    <row r="180" spans="1:15">
      <c r="A180" s="106">
        <v>95009612</v>
      </c>
      <c r="B180" s="106">
        <v>1</v>
      </c>
      <c r="C180" s="106">
        <v>51200</v>
      </c>
      <c r="D180" s="106" t="s">
        <v>709</v>
      </c>
      <c r="E180" s="106">
        <v>291</v>
      </c>
      <c r="F180" s="106" t="s">
        <v>813</v>
      </c>
      <c r="G180" s="106">
        <v>0</v>
      </c>
      <c r="H180" s="106" t="s">
        <v>576</v>
      </c>
      <c r="I180" s="106">
        <v>8245</v>
      </c>
      <c r="J180" s="106">
        <v>1</v>
      </c>
      <c r="K180" s="106">
        <v>82</v>
      </c>
      <c r="L180" s="106"/>
      <c r="M180" s="106">
        <v>1</v>
      </c>
      <c r="N180" s="106">
        <v>0</v>
      </c>
      <c r="O180" s="108"/>
    </row>
    <row r="181" spans="1:15">
      <c r="A181" s="106">
        <v>95010009</v>
      </c>
      <c r="B181" s="106">
        <v>0</v>
      </c>
      <c r="C181" s="106">
        <v>13100</v>
      </c>
      <c r="D181" s="106" t="s">
        <v>591</v>
      </c>
      <c r="E181" s="106">
        <v>404</v>
      </c>
      <c r="F181" s="106" t="s">
        <v>814</v>
      </c>
      <c r="G181" s="106">
        <v>0</v>
      </c>
      <c r="H181" s="106" t="s">
        <v>573</v>
      </c>
      <c r="I181" s="106">
        <v>1254</v>
      </c>
      <c r="J181" s="106">
        <v>1</v>
      </c>
      <c r="K181" s="106">
        <v>0</v>
      </c>
      <c r="L181" s="106"/>
      <c r="M181" s="106">
        <v>0</v>
      </c>
      <c r="N181" s="106">
        <v>0</v>
      </c>
      <c r="O181" s="108"/>
    </row>
    <row r="182" spans="1:15">
      <c r="A182" s="106">
        <v>95010017</v>
      </c>
      <c r="B182" s="106">
        <v>0</v>
      </c>
      <c r="C182" s="106">
        <v>10103</v>
      </c>
      <c r="D182" s="106" t="s">
        <v>675</v>
      </c>
      <c r="E182" s="106">
        <v>405</v>
      </c>
      <c r="F182" s="106" t="s">
        <v>815</v>
      </c>
      <c r="G182" s="106">
        <v>0</v>
      </c>
      <c r="H182" s="106" t="s">
        <v>573</v>
      </c>
      <c r="I182" s="106">
        <v>0</v>
      </c>
      <c r="J182" s="106">
        <v>1</v>
      </c>
      <c r="K182" s="106">
        <v>0</v>
      </c>
      <c r="L182" s="106"/>
      <c r="M182" s="106">
        <v>0</v>
      </c>
      <c r="N182" s="106">
        <v>0</v>
      </c>
      <c r="O182" s="108"/>
    </row>
    <row r="183" spans="1:15">
      <c r="A183" s="106">
        <v>95010025</v>
      </c>
      <c r="B183" s="106">
        <v>0</v>
      </c>
      <c r="C183" s="106">
        <v>13101</v>
      </c>
      <c r="D183" s="106" t="s">
        <v>806</v>
      </c>
      <c r="E183" s="106">
        <v>409</v>
      </c>
      <c r="F183" s="106" t="s">
        <v>816</v>
      </c>
      <c r="G183" s="106">
        <v>0</v>
      </c>
      <c r="H183" s="106" t="s">
        <v>573</v>
      </c>
      <c r="I183" s="106">
        <v>2992</v>
      </c>
      <c r="J183" s="106">
        <v>1</v>
      </c>
      <c r="K183" s="106">
        <v>0</v>
      </c>
      <c r="L183" s="106"/>
      <c r="M183" s="106">
        <v>0</v>
      </c>
      <c r="N183" s="106">
        <v>0</v>
      </c>
      <c r="O183" s="108"/>
    </row>
    <row r="184" spans="1:15">
      <c r="A184" s="106">
        <v>95010033</v>
      </c>
      <c r="B184" s="106">
        <v>0</v>
      </c>
      <c r="C184" s="106">
        <v>13101</v>
      </c>
      <c r="D184" s="106" t="s">
        <v>806</v>
      </c>
      <c r="E184" s="106">
        <v>410</v>
      </c>
      <c r="F184" s="106" t="s">
        <v>817</v>
      </c>
      <c r="G184" s="106">
        <v>0</v>
      </c>
      <c r="H184" s="106" t="s">
        <v>573</v>
      </c>
      <c r="I184" s="106">
        <v>318</v>
      </c>
      <c r="J184" s="106">
        <v>1</v>
      </c>
      <c r="K184" s="106">
        <v>0</v>
      </c>
      <c r="L184" s="106"/>
      <c r="M184" s="106">
        <v>0</v>
      </c>
      <c r="N184" s="106">
        <v>0</v>
      </c>
      <c r="O184" s="108"/>
    </row>
    <row r="185" spans="1:15">
      <c r="A185" s="106">
        <v>95010041</v>
      </c>
      <c r="B185" s="106">
        <v>0</v>
      </c>
      <c r="C185" s="106">
        <v>13101</v>
      </c>
      <c r="D185" s="106" t="s">
        <v>806</v>
      </c>
      <c r="E185" s="106">
        <v>411</v>
      </c>
      <c r="F185" s="106" t="s">
        <v>818</v>
      </c>
      <c r="G185" s="106">
        <v>0</v>
      </c>
      <c r="H185" s="106" t="s">
        <v>573</v>
      </c>
      <c r="I185" s="106">
        <v>4245</v>
      </c>
      <c r="J185" s="106">
        <v>1</v>
      </c>
      <c r="K185" s="106">
        <v>175</v>
      </c>
      <c r="L185" s="106">
        <v>561</v>
      </c>
      <c r="M185" s="106">
        <v>0</v>
      </c>
      <c r="N185" s="106">
        <v>0</v>
      </c>
      <c r="O185" s="108"/>
    </row>
    <row r="186" spans="1:15">
      <c r="A186" s="106">
        <v>95010050</v>
      </c>
      <c r="B186" s="106">
        <v>0</v>
      </c>
      <c r="C186" s="106">
        <v>13101</v>
      </c>
      <c r="D186" s="106" t="s">
        <v>806</v>
      </c>
      <c r="E186" s="106">
        <v>412</v>
      </c>
      <c r="F186" s="106" t="s">
        <v>819</v>
      </c>
      <c r="G186" s="106">
        <v>0</v>
      </c>
      <c r="H186" s="106" t="s">
        <v>573</v>
      </c>
      <c r="I186" s="106">
        <v>5322</v>
      </c>
      <c r="J186" s="106">
        <v>1</v>
      </c>
      <c r="K186" s="106">
        <v>176</v>
      </c>
      <c r="L186" s="106">
        <v>560</v>
      </c>
      <c r="M186" s="106">
        <v>0</v>
      </c>
      <c r="N186" s="106">
        <v>0</v>
      </c>
      <c r="O186" s="108"/>
    </row>
    <row r="187" spans="1:15">
      <c r="A187" s="106">
        <v>95010068</v>
      </c>
      <c r="B187" s="106">
        <v>0</v>
      </c>
      <c r="C187" s="106">
        <v>13101</v>
      </c>
      <c r="D187" s="106" t="s">
        <v>806</v>
      </c>
      <c r="E187" s="106">
        <v>413</v>
      </c>
      <c r="F187" s="106" t="s">
        <v>817</v>
      </c>
      <c r="G187" s="106">
        <v>0</v>
      </c>
      <c r="H187" s="106" t="s">
        <v>573</v>
      </c>
      <c r="I187" s="106">
        <v>4049</v>
      </c>
      <c r="J187" s="106">
        <v>1</v>
      </c>
      <c r="K187" s="106">
        <v>0</v>
      </c>
      <c r="L187" s="106"/>
      <c r="M187" s="106">
        <v>0</v>
      </c>
      <c r="N187" s="106">
        <v>0</v>
      </c>
      <c r="O187" s="108"/>
    </row>
    <row r="188" spans="1:15">
      <c r="A188" s="106">
        <v>95010076</v>
      </c>
      <c r="B188" s="106">
        <v>0</v>
      </c>
      <c r="C188" s="106">
        <v>13101</v>
      </c>
      <c r="D188" s="106" t="s">
        <v>806</v>
      </c>
      <c r="E188" s="106">
        <v>414</v>
      </c>
      <c r="F188" s="106" t="s">
        <v>817</v>
      </c>
      <c r="G188" s="106">
        <v>0</v>
      </c>
      <c r="H188" s="106" t="s">
        <v>573</v>
      </c>
      <c r="I188" s="106">
        <v>4370</v>
      </c>
      <c r="J188" s="106">
        <v>1</v>
      </c>
      <c r="K188" s="106">
        <v>0</v>
      </c>
      <c r="L188" s="106"/>
      <c r="M188" s="106">
        <v>0</v>
      </c>
      <c r="N188" s="106">
        <v>0</v>
      </c>
      <c r="O188" s="108"/>
    </row>
    <row r="189" spans="1:15">
      <c r="A189" s="106">
        <v>95010084</v>
      </c>
      <c r="B189" s="106">
        <v>0</v>
      </c>
      <c r="C189" s="106">
        <v>13101</v>
      </c>
      <c r="D189" s="106" t="s">
        <v>806</v>
      </c>
      <c r="E189" s="106">
        <v>415</v>
      </c>
      <c r="F189" s="106" t="s">
        <v>817</v>
      </c>
      <c r="G189" s="106">
        <v>0</v>
      </c>
      <c r="H189" s="106" t="s">
        <v>573</v>
      </c>
      <c r="I189" s="106">
        <v>322</v>
      </c>
      <c r="J189" s="106">
        <v>1</v>
      </c>
      <c r="K189" s="106">
        <v>0</v>
      </c>
      <c r="L189" s="106"/>
      <c r="M189" s="106">
        <v>0</v>
      </c>
      <c r="N189" s="106">
        <v>0</v>
      </c>
      <c r="O189" s="108"/>
    </row>
    <row r="190" spans="1:15">
      <c r="A190" s="106">
        <v>95010092</v>
      </c>
      <c r="B190" s="106">
        <v>0</v>
      </c>
      <c r="C190" s="106">
        <v>13101</v>
      </c>
      <c r="D190" s="106" t="s">
        <v>806</v>
      </c>
      <c r="E190" s="106">
        <v>416</v>
      </c>
      <c r="F190" s="106" t="s">
        <v>817</v>
      </c>
      <c r="G190" s="106">
        <v>0</v>
      </c>
      <c r="H190" s="106" t="s">
        <v>573</v>
      </c>
      <c r="I190" s="106">
        <v>73</v>
      </c>
      <c r="J190" s="106">
        <v>1</v>
      </c>
      <c r="K190" s="106">
        <v>0</v>
      </c>
      <c r="L190" s="106"/>
      <c r="M190" s="106">
        <v>0</v>
      </c>
      <c r="N190" s="106">
        <v>0</v>
      </c>
      <c r="O190" s="108"/>
    </row>
    <row r="191" spans="1:15">
      <c r="A191" s="106">
        <v>95010106</v>
      </c>
      <c r="B191" s="106">
        <v>0</v>
      </c>
      <c r="C191" s="106">
        <v>13101</v>
      </c>
      <c r="D191" s="106" t="s">
        <v>806</v>
      </c>
      <c r="E191" s="106">
        <v>417</v>
      </c>
      <c r="F191" s="106" t="s">
        <v>817</v>
      </c>
      <c r="G191" s="106">
        <v>0</v>
      </c>
      <c r="H191" s="106" t="s">
        <v>573</v>
      </c>
      <c r="I191" s="106">
        <v>2376</v>
      </c>
      <c r="J191" s="106">
        <v>1</v>
      </c>
      <c r="K191" s="106">
        <v>0</v>
      </c>
      <c r="L191" s="106"/>
      <c r="M191" s="106">
        <v>0</v>
      </c>
      <c r="N191" s="106">
        <v>0</v>
      </c>
      <c r="O191" s="108"/>
    </row>
    <row r="192" spans="1:15">
      <c r="A192" s="106">
        <v>95010114</v>
      </c>
      <c r="B192" s="106">
        <v>0</v>
      </c>
      <c r="C192" s="106">
        <v>13101</v>
      </c>
      <c r="D192" s="106" t="s">
        <v>806</v>
      </c>
      <c r="E192" s="106">
        <v>418</v>
      </c>
      <c r="F192" s="106" t="s">
        <v>817</v>
      </c>
      <c r="G192" s="106">
        <v>0</v>
      </c>
      <c r="H192" s="106" t="s">
        <v>573</v>
      </c>
      <c r="I192" s="106">
        <v>1570</v>
      </c>
      <c r="J192" s="106">
        <v>1</v>
      </c>
      <c r="K192" s="106">
        <v>0</v>
      </c>
      <c r="L192" s="106"/>
      <c r="M192" s="106">
        <v>0</v>
      </c>
      <c r="N192" s="106">
        <v>0</v>
      </c>
      <c r="O192" s="108"/>
    </row>
    <row r="193" spans="1:15" s="108" customFormat="1">
      <c r="A193" s="106">
        <v>95010122</v>
      </c>
      <c r="B193" s="106">
        <v>0</v>
      </c>
      <c r="C193" s="106">
        <v>13101</v>
      </c>
      <c r="D193" s="106" t="s">
        <v>806</v>
      </c>
      <c r="E193" s="106">
        <v>419</v>
      </c>
      <c r="F193" s="106" t="s">
        <v>817</v>
      </c>
      <c r="G193" s="106">
        <v>0</v>
      </c>
      <c r="H193" s="106" t="s">
        <v>573</v>
      </c>
      <c r="I193" s="106">
        <v>283</v>
      </c>
      <c r="J193" s="106">
        <v>1</v>
      </c>
      <c r="K193" s="106">
        <v>185</v>
      </c>
      <c r="L193" s="106">
        <v>567</v>
      </c>
      <c r="M193" s="106">
        <v>0</v>
      </c>
      <c r="N193" s="106">
        <v>0</v>
      </c>
    </row>
    <row r="194" spans="1:15">
      <c r="A194" s="106">
        <v>95010131</v>
      </c>
      <c r="B194" s="106">
        <v>0</v>
      </c>
      <c r="C194" s="106">
        <v>13101</v>
      </c>
      <c r="D194" s="106" t="s">
        <v>806</v>
      </c>
      <c r="E194" s="106">
        <v>420</v>
      </c>
      <c r="F194" s="106" t="s">
        <v>820</v>
      </c>
      <c r="G194" s="106">
        <v>0</v>
      </c>
      <c r="H194" s="106" t="s">
        <v>573</v>
      </c>
      <c r="I194" s="106">
        <v>1520</v>
      </c>
      <c r="J194" s="106">
        <v>1</v>
      </c>
      <c r="K194" s="106">
        <v>0</v>
      </c>
      <c r="L194" s="106"/>
      <c r="M194" s="106">
        <v>0</v>
      </c>
      <c r="N194" s="106">
        <v>0</v>
      </c>
      <c r="O194" s="108"/>
    </row>
    <row r="195" spans="1:15" s="108" customFormat="1">
      <c r="A195" s="106">
        <v>95010149</v>
      </c>
      <c r="B195" s="106">
        <v>0</v>
      </c>
      <c r="C195" s="106">
        <v>13101</v>
      </c>
      <c r="D195" s="106" t="s">
        <v>806</v>
      </c>
      <c r="E195" s="106">
        <v>421</v>
      </c>
      <c r="F195" s="106" t="s">
        <v>817</v>
      </c>
      <c r="G195" s="106">
        <v>0</v>
      </c>
      <c r="H195" s="106" t="s">
        <v>573</v>
      </c>
      <c r="I195" s="106">
        <v>5201</v>
      </c>
      <c r="J195" s="106">
        <v>1</v>
      </c>
      <c r="K195" s="106">
        <v>189</v>
      </c>
      <c r="L195" s="106">
        <v>569</v>
      </c>
      <c r="M195" s="106">
        <v>0</v>
      </c>
      <c r="N195" s="106">
        <v>0</v>
      </c>
    </row>
    <row r="196" spans="1:15">
      <c r="A196" s="106">
        <v>95010157</v>
      </c>
      <c r="B196" s="106">
        <v>0</v>
      </c>
      <c r="C196" s="106">
        <v>13101</v>
      </c>
      <c r="D196" s="106" t="s">
        <v>806</v>
      </c>
      <c r="E196" s="106">
        <v>422</v>
      </c>
      <c r="F196" s="106" t="s">
        <v>817</v>
      </c>
      <c r="G196" s="106">
        <v>0</v>
      </c>
      <c r="H196" s="106" t="s">
        <v>573</v>
      </c>
      <c r="I196" s="106">
        <v>336</v>
      </c>
      <c r="J196" s="106">
        <v>1</v>
      </c>
      <c r="K196" s="106">
        <v>0</v>
      </c>
      <c r="L196" s="106"/>
      <c r="M196" s="106">
        <v>0</v>
      </c>
      <c r="N196" s="106">
        <v>0</v>
      </c>
      <c r="O196" s="108"/>
    </row>
    <row r="197" spans="1:15">
      <c r="A197" s="106">
        <v>95010165</v>
      </c>
      <c r="B197" s="106">
        <v>0</v>
      </c>
      <c r="C197" s="106">
        <v>13101</v>
      </c>
      <c r="D197" s="106" t="s">
        <v>806</v>
      </c>
      <c r="E197" s="106">
        <v>423</v>
      </c>
      <c r="F197" s="106" t="s">
        <v>817</v>
      </c>
      <c r="G197" s="106">
        <v>0</v>
      </c>
      <c r="H197" s="106" t="s">
        <v>573</v>
      </c>
      <c r="I197" s="106">
        <v>5144</v>
      </c>
      <c r="J197" s="106">
        <v>1</v>
      </c>
      <c r="K197" s="106">
        <v>0</v>
      </c>
      <c r="L197" s="106"/>
      <c r="M197" s="106">
        <v>0</v>
      </c>
      <c r="N197" s="106">
        <v>0</v>
      </c>
      <c r="O197" s="108"/>
    </row>
    <row r="198" spans="1:15" s="108" customFormat="1">
      <c r="A198" s="106">
        <v>95010173</v>
      </c>
      <c r="B198" s="106">
        <v>0</v>
      </c>
      <c r="C198" s="106">
        <v>13101</v>
      </c>
      <c r="D198" s="106" t="s">
        <v>806</v>
      </c>
      <c r="E198" s="106">
        <v>424</v>
      </c>
      <c r="F198" s="106" t="s">
        <v>817</v>
      </c>
      <c r="G198" s="106">
        <v>0</v>
      </c>
      <c r="H198" s="106" t="s">
        <v>573</v>
      </c>
      <c r="I198" s="106">
        <v>4352</v>
      </c>
      <c r="J198" s="106">
        <v>1</v>
      </c>
      <c r="K198" s="106">
        <v>187</v>
      </c>
      <c r="L198" s="106">
        <v>568</v>
      </c>
      <c r="M198" s="106">
        <v>0</v>
      </c>
      <c r="N198" s="106">
        <v>0</v>
      </c>
    </row>
    <row r="199" spans="1:15">
      <c r="A199" s="106">
        <v>95010181</v>
      </c>
      <c r="B199" s="106">
        <v>0</v>
      </c>
      <c r="C199" s="106">
        <v>13101</v>
      </c>
      <c r="D199" s="106" t="s">
        <v>806</v>
      </c>
      <c r="E199" s="106">
        <v>425</v>
      </c>
      <c r="F199" s="106" t="s">
        <v>817</v>
      </c>
      <c r="G199" s="106">
        <v>0</v>
      </c>
      <c r="H199" s="106" t="s">
        <v>573</v>
      </c>
      <c r="I199" s="106">
        <v>6061</v>
      </c>
      <c r="J199" s="106">
        <v>1</v>
      </c>
      <c r="K199" s="106">
        <v>0</v>
      </c>
      <c r="L199" s="106"/>
      <c r="M199" s="106">
        <v>0</v>
      </c>
      <c r="N199" s="106">
        <v>0</v>
      </c>
      <c r="O199" s="108"/>
    </row>
    <row r="200" spans="1:15">
      <c r="A200" s="106">
        <v>95010190</v>
      </c>
      <c r="B200" s="106">
        <v>0</v>
      </c>
      <c r="C200" s="106">
        <v>13101</v>
      </c>
      <c r="D200" s="106" t="s">
        <v>806</v>
      </c>
      <c r="E200" s="106">
        <v>426</v>
      </c>
      <c r="F200" s="106" t="s">
        <v>817</v>
      </c>
      <c r="G200" s="106">
        <v>0</v>
      </c>
      <c r="H200" s="106" t="s">
        <v>573</v>
      </c>
      <c r="I200" s="106">
        <v>3190</v>
      </c>
      <c r="J200" s="106">
        <v>1</v>
      </c>
      <c r="K200" s="106">
        <v>0</v>
      </c>
      <c r="L200" s="106"/>
      <c r="M200" s="106">
        <v>0</v>
      </c>
      <c r="N200" s="106">
        <v>0</v>
      </c>
      <c r="O200" s="108"/>
    </row>
    <row r="201" spans="1:15">
      <c r="A201" s="106">
        <v>95010203</v>
      </c>
      <c r="B201" s="106">
        <v>0</v>
      </c>
      <c r="C201" s="106">
        <v>13101</v>
      </c>
      <c r="D201" s="106" t="s">
        <v>806</v>
      </c>
      <c r="E201" s="106">
        <v>427</v>
      </c>
      <c r="F201" s="106" t="s">
        <v>817</v>
      </c>
      <c r="G201" s="106">
        <v>0</v>
      </c>
      <c r="H201" s="106" t="s">
        <v>573</v>
      </c>
      <c r="I201" s="106">
        <v>3097</v>
      </c>
      <c r="J201" s="106">
        <v>1</v>
      </c>
      <c r="K201" s="106">
        <v>0</v>
      </c>
      <c r="L201" s="106"/>
      <c r="M201" s="106">
        <v>0</v>
      </c>
      <c r="N201" s="106">
        <v>0</v>
      </c>
      <c r="O201" s="108"/>
    </row>
    <row r="202" spans="1:15">
      <c r="A202" s="106">
        <v>95010211</v>
      </c>
      <c r="B202" s="106">
        <v>0</v>
      </c>
      <c r="C202" s="106">
        <v>13101</v>
      </c>
      <c r="D202" s="106" t="s">
        <v>806</v>
      </c>
      <c r="E202" s="106">
        <v>428</v>
      </c>
      <c r="F202" s="106" t="s">
        <v>817</v>
      </c>
      <c r="G202" s="106">
        <v>0</v>
      </c>
      <c r="H202" s="106" t="s">
        <v>573</v>
      </c>
      <c r="I202" s="106">
        <v>2867</v>
      </c>
      <c r="J202" s="106">
        <v>1</v>
      </c>
      <c r="K202" s="106">
        <v>192</v>
      </c>
      <c r="L202" s="106">
        <v>572</v>
      </c>
      <c r="M202" s="106">
        <v>0</v>
      </c>
      <c r="N202" s="106">
        <v>0</v>
      </c>
      <c r="O202" s="108"/>
    </row>
    <row r="203" spans="1:15">
      <c r="A203" s="106">
        <v>95010220</v>
      </c>
      <c r="B203" s="106">
        <v>0</v>
      </c>
      <c r="C203" s="106">
        <v>13101</v>
      </c>
      <c r="D203" s="106" t="s">
        <v>806</v>
      </c>
      <c r="E203" s="106">
        <v>429</v>
      </c>
      <c r="F203" s="106" t="s">
        <v>820</v>
      </c>
      <c r="G203" s="106">
        <v>0</v>
      </c>
      <c r="H203" s="106" t="s">
        <v>573</v>
      </c>
      <c r="I203" s="106">
        <v>1847</v>
      </c>
      <c r="J203" s="106">
        <v>1</v>
      </c>
      <c r="K203" s="106">
        <v>164</v>
      </c>
      <c r="L203" s="106">
        <v>557</v>
      </c>
      <c r="M203" s="106">
        <v>0</v>
      </c>
      <c r="N203" s="106">
        <v>0</v>
      </c>
      <c r="O203" s="108"/>
    </row>
    <row r="204" spans="1:15">
      <c r="A204" s="106">
        <v>95010238</v>
      </c>
      <c r="B204" s="106">
        <v>0</v>
      </c>
      <c r="C204" s="106">
        <v>13101</v>
      </c>
      <c r="D204" s="106" t="s">
        <v>806</v>
      </c>
      <c r="E204" s="106">
        <v>430</v>
      </c>
      <c r="F204" s="106" t="s">
        <v>817</v>
      </c>
      <c r="G204" s="106">
        <v>0</v>
      </c>
      <c r="H204" s="106" t="s">
        <v>573</v>
      </c>
      <c r="I204" s="106">
        <v>354</v>
      </c>
      <c r="J204" s="106">
        <v>1</v>
      </c>
      <c r="K204" s="106">
        <v>0</v>
      </c>
      <c r="L204" s="106"/>
      <c r="M204" s="106">
        <v>0</v>
      </c>
      <c r="N204" s="106">
        <v>0</v>
      </c>
      <c r="O204" s="108"/>
    </row>
    <row r="205" spans="1:15">
      <c r="A205" s="106">
        <v>95010246</v>
      </c>
      <c r="B205" s="106">
        <v>0</v>
      </c>
      <c r="C205" s="106">
        <v>13101</v>
      </c>
      <c r="D205" s="106" t="s">
        <v>806</v>
      </c>
      <c r="E205" s="106">
        <v>431</v>
      </c>
      <c r="F205" s="106" t="s">
        <v>817</v>
      </c>
      <c r="G205" s="106">
        <v>0</v>
      </c>
      <c r="H205" s="106" t="s">
        <v>573</v>
      </c>
      <c r="I205" s="106">
        <v>2077</v>
      </c>
      <c r="J205" s="106">
        <v>1</v>
      </c>
      <c r="K205" s="106">
        <v>191</v>
      </c>
      <c r="L205" s="106">
        <v>571</v>
      </c>
      <c r="M205" s="106">
        <v>0</v>
      </c>
      <c r="N205" s="106">
        <v>0</v>
      </c>
      <c r="O205" s="108"/>
    </row>
    <row r="206" spans="1:15">
      <c r="A206" s="106">
        <v>95010254</v>
      </c>
      <c r="B206" s="106">
        <v>0</v>
      </c>
      <c r="C206" s="106">
        <v>13101</v>
      </c>
      <c r="D206" s="106" t="s">
        <v>806</v>
      </c>
      <c r="E206" s="106">
        <v>432</v>
      </c>
      <c r="F206" s="106" t="s">
        <v>817</v>
      </c>
      <c r="G206" s="106">
        <v>0</v>
      </c>
      <c r="H206" s="106" t="s">
        <v>573</v>
      </c>
      <c r="I206" s="106">
        <v>340</v>
      </c>
      <c r="J206" s="106">
        <v>1</v>
      </c>
      <c r="K206" s="106">
        <v>0</v>
      </c>
      <c r="L206" s="106"/>
      <c r="M206" s="106">
        <v>0</v>
      </c>
      <c r="N206" s="106">
        <v>0</v>
      </c>
      <c r="O206" s="108"/>
    </row>
    <row r="207" spans="1:15">
      <c r="A207" s="106">
        <v>95010262</v>
      </c>
      <c r="B207" s="106">
        <v>0</v>
      </c>
      <c r="C207" s="106">
        <v>13101</v>
      </c>
      <c r="D207" s="106" t="s">
        <v>806</v>
      </c>
      <c r="E207" s="106">
        <v>433</v>
      </c>
      <c r="F207" s="106" t="s">
        <v>820</v>
      </c>
      <c r="G207" s="106">
        <v>0</v>
      </c>
      <c r="H207" s="106" t="s">
        <v>573</v>
      </c>
      <c r="I207" s="106">
        <v>724</v>
      </c>
      <c r="J207" s="106">
        <v>1</v>
      </c>
      <c r="K207" s="106">
        <v>0</v>
      </c>
      <c r="L207" s="106"/>
      <c r="M207" s="106">
        <v>0</v>
      </c>
      <c r="N207" s="106">
        <v>0</v>
      </c>
      <c r="O207" s="108"/>
    </row>
    <row r="208" spans="1:15">
      <c r="A208" s="106">
        <v>95010271</v>
      </c>
      <c r="B208" s="106">
        <v>0</v>
      </c>
      <c r="C208" s="106">
        <v>43100</v>
      </c>
      <c r="D208" s="106" t="s">
        <v>821</v>
      </c>
      <c r="E208" s="106">
        <v>434</v>
      </c>
      <c r="F208" s="106" t="s">
        <v>822</v>
      </c>
      <c r="G208" s="106">
        <v>0</v>
      </c>
      <c r="H208" s="106" t="s">
        <v>573</v>
      </c>
      <c r="I208" s="106">
        <v>4970</v>
      </c>
      <c r="J208" s="106">
        <v>1</v>
      </c>
      <c r="K208" s="106">
        <v>107</v>
      </c>
      <c r="L208" s="106">
        <v>512</v>
      </c>
      <c r="M208" s="106">
        <v>0</v>
      </c>
      <c r="N208" s="106">
        <v>0</v>
      </c>
      <c r="O208" s="108"/>
    </row>
    <row r="209" spans="1:18">
      <c r="A209" s="106">
        <v>95010289</v>
      </c>
      <c r="B209" s="106">
        <v>0</v>
      </c>
      <c r="C209" s="106">
        <v>43100</v>
      </c>
      <c r="D209" s="106" t="s">
        <v>821</v>
      </c>
      <c r="E209" s="106">
        <v>435</v>
      </c>
      <c r="F209" s="106" t="s">
        <v>823</v>
      </c>
      <c r="G209" s="106">
        <v>0</v>
      </c>
      <c r="H209" s="106" t="s">
        <v>573</v>
      </c>
      <c r="I209" s="106">
        <v>4970</v>
      </c>
      <c r="J209" s="106">
        <v>1</v>
      </c>
      <c r="K209" s="106">
        <v>108</v>
      </c>
      <c r="L209" s="106">
        <v>513</v>
      </c>
      <c r="M209" s="106">
        <v>0</v>
      </c>
      <c r="N209" s="106">
        <v>0</v>
      </c>
      <c r="O209" s="108"/>
    </row>
    <row r="210" spans="1:18">
      <c r="A210" s="106">
        <v>95010297</v>
      </c>
      <c r="B210" s="106">
        <v>0</v>
      </c>
      <c r="C210" s="106">
        <v>43100</v>
      </c>
      <c r="D210" s="106" t="s">
        <v>821</v>
      </c>
      <c r="E210" s="106">
        <v>436</v>
      </c>
      <c r="F210" s="106" t="s">
        <v>824</v>
      </c>
      <c r="G210" s="106">
        <v>0</v>
      </c>
      <c r="H210" s="106" t="s">
        <v>573</v>
      </c>
      <c r="I210" s="106">
        <v>4970</v>
      </c>
      <c r="J210" s="106">
        <v>1</v>
      </c>
      <c r="K210" s="106">
        <v>109</v>
      </c>
      <c r="L210" s="106">
        <v>514</v>
      </c>
      <c r="M210" s="106">
        <v>0</v>
      </c>
      <c r="N210" s="106">
        <v>0</v>
      </c>
      <c r="O210" s="108"/>
    </row>
    <row r="211" spans="1:18">
      <c r="A211" s="106">
        <v>95010301</v>
      </c>
      <c r="B211" s="106">
        <v>0</v>
      </c>
      <c r="C211" s="106">
        <v>43100</v>
      </c>
      <c r="D211" s="106" t="s">
        <v>821</v>
      </c>
      <c r="E211" s="106">
        <v>437</v>
      </c>
      <c r="F211" s="106" t="s">
        <v>825</v>
      </c>
      <c r="G211" s="106">
        <v>0</v>
      </c>
      <c r="H211" s="106" t="s">
        <v>573</v>
      </c>
      <c r="I211" s="106">
        <v>4970</v>
      </c>
      <c r="J211" s="106">
        <v>1</v>
      </c>
      <c r="K211" s="106">
        <v>110</v>
      </c>
      <c r="L211" s="106">
        <v>515</v>
      </c>
      <c r="M211" s="106">
        <v>0</v>
      </c>
      <c r="N211" s="106">
        <v>0</v>
      </c>
      <c r="O211" s="108"/>
    </row>
    <row r="212" spans="1:18">
      <c r="A212" s="106">
        <v>95010319</v>
      </c>
      <c r="B212" s="106">
        <v>0</v>
      </c>
      <c r="C212" s="106">
        <v>72200</v>
      </c>
      <c r="D212" s="106" t="s">
        <v>682</v>
      </c>
      <c r="E212" s="106">
        <v>438</v>
      </c>
      <c r="F212" s="106" t="s">
        <v>826</v>
      </c>
      <c r="G212" s="106">
        <v>0</v>
      </c>
      <c r="H212" s="106" t="s">
        <v>573</v>
      </c>
      <c r="I212" s="106">
        <v>4458</v>
      </c>
      <c r="J212" s="106">
        <v>1</v>
      </c>
      <c r="K212" s="106">
        <v>0</v>
      </c>
      <c r="L212" s="106"/>
      <c r="M212" s="106">
        <v>0</v>
      </c>
      <c r="N212" s="106">
        <v>0</v>
      </c>
      <c r="O212" s="108"/>
    </row>
    <row r="213" spans="1:18">
      <c r="A213" s="106">
        <v>95010327</v>
      </c>
      <c r="B213" s="106">
        <v>0</v>
      </c>
      <c r="C213" s="106">
        <v>75600</v>
      </c>
      <c r="D213" s="106" t="s">
        <v>827</v>
      </c>
      <c r="E213" s="106">
        <v>439</v>
      </c>
      <c r="F213" s="106" t="s">
        <v>828</v>
      </c>
      <c r="G213" s="106">
        <v>0</v>
      </c>
      <c r="H213" s="106" t="s">
        <v>573</v>
      </c>
      <c r="I213" s="106">
        <v>0</v>
      </c>
      <c r="J213" s="106">
        <v>1</v>
      </c>
      <c r="K213" s="106">
        <v>0</v>
      </c>
      <c r="L213" s="106"/>
      <c r="M213" s="106">
        <v>0</v>
      </c>
      <c r="N213" s="106">
        <v>0</v>
      </c>
      <c r="O213" s="108"/>
    </row>
    <row r="214" spans="1:18">
      <c r="A214" s="106">
        <v>95010335</v>
      </c>
      <c r="B214" s="106">
        <v>0</v>
      </c>
      <c r="C214" s="106">
        <v>75700</v>
      </c>
      <c r="D214" s="106" t="s">
        <v>829</v>
      </c>
      <c r="E214" s="106">
        <v>440</v>
      </c>
      <c r="F214" s="106" t="s">
        <v>830</v>
      </c>
      <c r="G214" s="106">
        <v>0</v>
      </c>
      <c r="H214" s="106" t="s">
        <v>573</v>
      </c>
      <c r="I214" s="106">
        <v>0</v>
      </c>
      <c r="J214" s="106">
        <v>1</v>
      </c>
      <c r="K214" s="106">
        <v>0</v>
      </c>
      <c r="L214" s="106"/>
      <c r="M214" s="106">
        <v>0</v>
      </c>
      <c r="N214" s="106">
        <v>0</v>
      </c>
      <c r="O214" s="108"/>
    </row>
    <row r="215" spans="1:18">
      <c r="A215" s="106">
        <v>95010343</v>
      </c>
      <c r="B215" s="106">
        <v>0</v>
      </c>
      <c r="C215" s="106">
        <v>72200</v>
      </c>
      <c r="D215" s="106" t="s">
        <v>682</v>
      </c>
      <c r="E215" s="106">
        <v>441</v>
      </c>
      <c r="F215" s="106" t="s">
        <v>831</v>
      </c>
      <c r="G215" s="106">
        <v>0</v>
      </c>
      <c r="H215" s="106" t="s">
        <v>573</v>
      </c>
      <c r="I215" s="106">
        <v>4458</v>
      </c>
      <c r="J215" s="106">
        <v>1</v>
      </c>
      <c r="K215" s="106">
        <v>165</v>
      </c>
      <c r="L215" s="106">
        <v>558</v>
      </c>
      <c r="M215" s="106">
        <v>0</v>
      </c>
      <c r="N215" s="106">
        <v>0</v>
      </c>
      <c r="O215" s="108"/>
    </row>
    <row r="216" spans="1:18">
      <c r="A216" s="106">
        <v>95010351</v>
      </c>
      <c r="B216" s="106">
        <v>0</v>
      </c>
      <c r="C216" s="106">
        <v>76601</v>
      </c>
      <c r="D216" s="106" t="s">
        <v>624</v>
      </c>
      <c r="E216" s="106">
        <v>442</v>
      </c>
      <c r="F216" s="106" t="s">
        <v>832</v>
      </c>
      <c r="G216" s="106">
        <v>0</v>
      </c>
      <c r="H216" s="106" t="s">
        <v>573</v>
      </c>
      <c r="I216" s="106">
        <v>0</v>
      </c>
      <c r="J216" s="106">
        <v>1</v>
      </c>
      <c r="K216" s="106">
        <v>100</v>
      </c>
      <c r="L216" s="106">
        <v>505</v>
      </c>
      <c r="M216" s="106">
        <v>0</v>
      </c>
      <c r="N216" s="106">
        <v>0</v>
      </c>
      <c r="O216" s="108"/>
    </row>
    <row r="217" spans="1:18">
      <c r="A217" s="106">
        <v>95010360</v>
      </c>
      <c r="B217" s="106">
        <v>0</v>
      </c>
      <c r="C217" s="106">
        <v>76601</v>
      </c>
      <c r="D217" s="106" t="s">
        <v>624</v>
      </c>
      <c r="E217" s="106">
        <v>443</v>
      </c>
      <c r="F217" s="106" t="s">
        <v>833</v>
      </c>
      <c r="G217" s="106">
        <v>0</v>
      </c>
      <c r="H217" s="106" t="s">
        <v>573</v>
      </c>
      <c r="I217" s="106">
        <v>0</v>
      </c>
      <c r="J217" s="106">
        <v>1</v>
      </c>
      <c r="K217" s="106">
        <v>162</v>
      </c>
      <c r="L217" s="106">
        <v>556</v>
      </c>
      <c r="M217" s="106">
        <v>0</v>
      </c>
      <c r="N217" s="106">
        <v>0</v>
      </c>
      <c r="O217" s="108"/>
    </row>
    <row r="218" spans="1:18">
      <c r="A218" s="106">
        <v>95010386</v>
      </c>
      <c r="B218" s="106">
        <v>0</v>
      </c>
      <c r="C218" s="106">
        <v>15200</v>
      </c>
      <c r="D218" s="106" t="s">
        <v>579</v>
      </c>
      <c r="E218" s="106">
        <v>445</v>
      </c>
      <c r="F218" s="106" t="s">
        <v>834</v>
      </c>
      <c r="G218" s="106">
        <v>0</v>
      </c>
      <c r="H218" s="106" t="s">
        <v>573</v>
      </c>
      <c r="I218" s="106">
        <v>2071</v>
      </c>
      <c r="J218" s="106">
        <v>1</v>
      </c>
      <c r="K218" s="106">
        <v>180</v>
      </c>
      <c r="L218" s="106">
        <v>563</v>
      </c>
      <c r="M218" s="106">
        <v>0</v>
      </c>
      <c r="N218" s="106">
        <v>0</v>
      </c>
      <c r="O218" s="108"/>
    </row>
    <row r="219" spans="1:18">
      <c r="A219" s="106">
        <v>95010408</v>
      </c>
      <c r="B219" s="106">
        <v>0</v>
      </c>
      <c r="C219" s="106">
        <v>75900</v>
      </c>
      <c r="D219" s="106" t="s">
        <v>835</v>
      </c>
      <c r="E219" s="106">
        <v>400</v>
      </c>
      <c r="F219" s="106" t="s">
        <v>836</v>
      </c>
      <c r="G219" s="106">
        <v>0</v>
      </c>
      <c r="H219" s="106" t="s">
        <v>576</v>
      </c>
      <c r="I219" s="106">
        <v>0</v>
      </c>
      <c r="J219" s="106">
        <v>1</v>
      </c>
      <c r="K219" s="106">
        <v>98</v>
      </c>
      <c r="L219" s="106">
        <v>503</v>
      </c>
      <c r="M219" s="106">
        <v>0</v>
      </c>
      <c r="N219" s="106">
        <v>0</v>
      </c>
      <c r="O219" s="108"/>
    </row>
    <row r="220" spans="1:18">
      <c r="A220" s="106">
        <v>95010424</v>
      </c>
      <c r="B220" s="106">
        <v>0</v>
      </c>
      <c r="C220" s="106">
        <v>76400</v>
      </c>
      <c r="D220" s="106" t="s">
        <v>837</v>
      </c>
      <c r="E220" s="106">
        <v>448</v>
      </c>
      <c r="F220" s="106" t="s">
        <v>838</v>
      </c>
      <c r="G220" s="106">
        <v>0</v>
      </c>
      <c r="H220" s="106" t="s">
        <v>573</v>
      </c>
      <c r="I220" s="106">
        <v>0</v>
      </c>
      <c r="J220" s="106">
        <v>1</v>
      </c>
      <c r="K220" s="106">
        <v>181</v>
      </c>
      <c r="L220" s="106">
        <v>564</v>
      </c>
      <c r="M220" s="106">
        <v>0</v>
      </c>
      <c r="N220" s="106">
        <v>0</v>
      </c>
      <c r="O220" s="108"/>
    </row>
    <row r="221" spans="1:18">
      <c r="A221" s="106">
        <v>95010432</v>
      </c>
      <c r="B221" s="106">
        <v>0</v>
      </c>
      <c r="C221" s="106">
        <v>73600</v>
      </c>
      <c r="D221" s="106" t="s">
        <v>648</v>
      </c>
      <c r="E221" s="106">
        <v>449</v>
      </c>
      <c r="F221" s="106" t="s">
        <v>839</v>
      </c>
      <c r="G221" s="106">
        <v>0</v>
      </c>
      <c r="H221" s="106" t="s">
        <v>573</v>
      </c>
      <c r="I221" s="106">
        <v>0</v>
      </c>
      <c r="J221" s="106">
        <v>1</v>
      </c>
      <c r="K221" s="112">
        <v>231</v>
      </c>
      <c r="L221" s="106">
        <v>573</v>
      </c>
      <c r="M221" s="106">
        <v>0</v>
      </c>
      <c r="N221" s="106">
        <v>0</v>
      </c>
      <c r="O221" s="108" t="s">
        <v>590</v>
      </c>
      <c r="R221" s="113" t="s">
        <v>840</v>
      </c>
    </row>
    <row r="222" spans="1:18">
      <c r="A222" s="106">
        <v>95010441</v>
      </c>
      <c r="B222" s="106">
        <v>0</v>
      </c>
      <c r="C222" s="106">
        <v>83000</v>
      </c>
      <c r="D222" s="106" t="s">
        <v>841</v>
      </c>
      <c r="E222" s="106">
        <v>450</v>
      </c>
      <c r="F222" s="106" t="s">
        <v>842</v>
      </c>
      <c r="G222" s="106">
        <v>0</v>
      </c>
      <c r="H222" s="106" t="s">
        <v>573</v>
      </c>
      <c r="I222" s="106">
        <v>4970</v>
      </c>
      <c r="J222" s="106">
        <v>1</v>
      </c>
      <c r="K222" s="106">
        <v>111</v>
      </c>
      <c r="L222" s="106">
        <v>516</v>
      </c>
      <c r="M222" s="106">
        <v>0</v>
      </c>
      <c r="N222" s="106">
        <v>0</v>
      </c>
      <c r="O222" s="108"/>
    </row>
    <row r="223" spans="1:18">
      <c r="A223" s="106">
        <v>95010467</v>
      </c>
      <c r="B223" s="106">
        <v>0</v>
      </c>
      <c r="C223" s="106">
        <v>43005</v>
      </c>
      <c r="D223" s="106" t="s">
        <v>672</v>
      </c>
      <c r="E223" s="106">
        <v>451</v>
      </c>
      <c r="F223" s="106" t="s">
        <v>843</v>
      </c>
      <c r="G223" s="106">
        <v>0</v>
      </c>
      <c r="H223" s="106" t="s">
        <v>573</v>
      </c>
      <c r="I223" s="106">
        <v>7718</v>
      </c>
      <c r="J223" s="106">
        <v>1</v>
      </c>
      <c r="K223" s="106">
        <v>102</v>
      </c>
      <c r="L223" s="106">
        <v>507</v>
      </c>
      <c r="M223" s="106">
        <v>0</v>
      </c>
      <c r="N223" s="106">
        <v>0</v>
      </c>
      <c r="O223" s="108"/>
    </row>
    <row r="224" spans="1:18">
      <c r="A224" s="106">
        <v>95010475</v>
      </c>
      <c r="B224" s="106">
        <v>0</v>
      </c>
      <c r="C224" s="106">
        <v>43005</v>
      </c>
      <c r="D224" s="106" t="s">
        <v>672</v>
      </c>
      <c r="E224" s="106">
        <v>452</v>
      </c>
      <c r="F224" s="106" t="s">
        <v>844</v>
      </c>
      <c r="G224" s="106">
        <v>0</v>
      </c>
      <c r="H224" s="106" t="s">
        <v>573</v>
      </c>
      <c r="I224" s="106">
        <v>7713</v>
      </c>
      <c r="J224" s="106">
        <v>1</v>
      </c>
      <c r="K224" s="106">
        <v>103</v>
      </c>
      <c r="L224" s="106">
        <v>508</v>
      </c>
      <c r="M224" s="106">
        <v>0</v>
      </c>
      <c r="N224" s="106">
        <v>0</v>
      </c>
      <c r="O224" s="108"/>
    </row>
    <row r="225" spans="1:15">
      <c r="A225" s="106">
        <v>95010483</v>
      </c>
      <c r="B225" s="106">
        <v>0</v>
      </c>
      <c r="C225" s="106">
        <v>73300</v>
      </c>
      <c r="D225" s="106" t="s">
        <v>679</v>
      </c>
      <c r="E225" s="106">
        <v>453</v>
      </c>
      <c r="F225" s="106" t="s">
        <v>845</v>
      </c>
      <c r="G225" s="106">
        <v>0</v>
      </c>
      <c r="H225" s="106" t="s">
        <v>573</v>
      </c>
      <c r="I225" s="106">
        <v>0</v>
      </c>
      <c r="J225" s="106">
        <v>1</v>
      </c>
      <c r="K225" s="106">
        <v>0</v>
      </c>
      <c r="L225" s="106"/>
      <c r="M225" s="106">
        <v>0</v>
      </c>
      <c r="N225" s="106">
        <v>0</v>
      </c>
      <c r="O225" s="108"/>
    </row>
    <row r="226" spans="1:15">
      <c r="A226" s="106">
        <v>95010491</v>
      </c>
      <c r="B226" s="106">
        <v>0</v>
      </c>
      <c r="C226" s="106">
        <v>13101</v>
      </c>
      <c r="D226" s="106" t="s">
        <v>806</v>
      </c>
      <c r="E226" s="106">
        <v>454</v>
      </c>
      <c r="F226" s="106" t="s">
        <v>846</v>
      </c>
      <c r="G226" s="106">
        <v>0</v>
      </c>
      <c r="H226" s="106" t="s">
        <v>573</v>
      </c>
      <c r="I226" s="106">
        <v>0</v>
      </c>
      <c r="J226" s="106">
        <v>1</v>
      </c>
      <c r="K226" s="106">
        <v>0</v>
      </c>
      <c r="L226" s="106"/>
      <c r="M226" s="106">
        <v>0</v>
      </c>
      <c r="N226" s="106">
        <v>0</v>
      </c>
      <c r="O226" s="108"/>
    </row>
    <row r="227" spans="1:15">
      <c r="A227" s="106">
        <v>95010505</v>
      </c>
      <c r="B227" s="106">
        <v>0</v>
      </c>
      <c r="C227" s="106">
        <v>43005</v>
      </c>
      <c r="D227" s="106" t="s">
        <v>672</v>
      </c>
      <c r="E227" s="106">
        <v>455</v>
      </c>
      <c r="F227" s="106" t="s">
        <v>847</v>
      </c>
      <c r="G227" s="106">
        <v>0</v>
      </c>
      <c r="H227" s="106" t="s">
        <v>573</v>
      </c>
      <c r="I227" s="106">
        <v>7714</v>
      </c>
      <c r="J227" s="106">
        <v>1</v>
      </c>
      <c r="K227" s="106">
        <v>104</v>
      </c>
      <c r="L227" s="106">
        <v>509</v>
      </c>
      <c r="M227" s="106">
        <v>0</v>
      </c>
      <c r="N227" s="106">
        <v>0</v>
      </c>
      <c r="O227" s="108"/>
    </row>
    <row r="228" spans="1:15">
      <c r="A228" s="106">
        <v>95010513</v>
      </c>
      <c r="B228" s="106">
        <v>0</v>
      </c>
      <c r="C228" s="106">
        <v>70104</v>
      </c>
      <c r="D228" s="106" t="s">
        <v>709</v>
      </c>
      <c r="E228" s="106">
        <v>456</v>
      </c>
      <c r="F228" s="106" t="s">
        <v>848</v>
      </c>
      <c r="G228" s="106">
        <v>0</v>
      </c>
      <c r="H228" s="106" t="s">
        <v>573</v>
      </c>
      <c r="I228" s="106">
        <v>4190</v>
      </c>
      <c r="J228" s="106">
        <v>1</v>
      </c>
      <c r="K228" s="106">
        <v>0</v>
      </c>
      <c r="L228" s="106"/>
      <c r="M228" s="106">
        <v>0</v>
      </c>
      <c r="N228" s="106">
        <v>0</v>
      </c>
      <c r="O228" s="108"/>
    </row>
    <row r="229" spans="1:15">
      <c r="A229" s="106">
        <v>95010521</v>
      </c>
      <c r="B229" s="106">
        <v>0</v>
      </c>
      <c r="C229" s="106">
        <v>76702</v>
      </c>
      <c r="D229" s="106" t="s">
        <v>849</v>
      </c>
      <c r="E229" s="106">
        <v>457</v>
      </c>
      <c r="F229" s="106" t="s">
        <v>850</v>
      </c>
      <c r="G229" s="106">
        <v>0</v>
      </c>
      <c r="H229" s="106" t="s">
        <v>573</v>
      </c>
      <c r="I229" s="106">
        <v>6971</v>
      </c>
      <c r="J229" s="106">
        <v>1</v>
      </c>
      <c r="K229" s="106">
        <v>0</v>
      </c>
      <c r="L229" s="106"/>
      <c r="M229" s="106">
        <v>0</v>
      </c>
      <c r="N229" s="106">
        <v>0</v>
      </c>
      <c r="O229" s="108"/>
    </row>
    <row r="230" spans="1:15">
      <c r="A230" s="106">
        <v>95010530</v>
      </c>
      <c r="B230" s="106">
        <v>0</v>
      </c>
      <c r="C230" s="106">
        <v>43100</v>
      </c>
      <c r="D230" s="106" t="s">
        <v>821</v>
      </c>
      <c r="E230" s="106">
        <v>458</v>
      </c>
      <c r="F230" s="106" t="s">
        <v>851</v>
      </c>
      <c r="G230" s="106">
        <v>0</v>
      </c>
      <c r="H230" s="106" t="s">
        <v>573</v>
      </c>
      <c r="I230" s="106">
        <v>4970</v>
      </c>
      <c r="J230" s="106">
        <v>1</v>
      </c>
      <c r="K230" s="106">
        <v>0</v>
      </c>
      <c r="L230" s="106"/>
      <c r="M230" s="106">
        <v>0</v>
      </c>
      <c r="N230" s="106">
        <v>0</v>
      </c>
      <c r="O230" s="108"/>
    </row>
    <row r="231" spans="1:15" s="108" customFormat="1">
      <c r="A231" s="106">
        <v>95010548</v>
      </c>
      <c r="B231" s="106">
        <v>0</v>
      </c>
      <c r="C231" s="106">
        <v>43100</v>
      </c>
      <c r="D231" s="106" t="s">
        <v>821</v>
      </c>
      <c r="E231" s="106">
        <v>459</v>
      </c>
      <c r="F231" s="106" t="s">
        <v>852</v>
      </c>
      <c r="G231" s="106">
        <v>0</v>
      </c>
      <c r="H231" s="106" t="s">
        <v>573</v>
      </c>
      <c r="I231" s="106">
        <v>4970</v>
      </c>
      <c r="J231" s="106">
        <v>1</v>
      </c>
      <c r="K231" s="106">
        <v>190</v>
      </c>
      <c r="L231" s="106">
        <v>570</v>
      </c>
      <c r="M231" s="106">
        <v>0</v>
      </c>
      <c r="N231" s="106">
        <v>0</v>
      </c>
    </row>
    <row r="232" spans="1:15">
      <c r="A232" s="106">
        <v>95010556</v>
      </c>
      <c r="B232" s="106">
        <v>0</v>
      </c>
      <c r="C232" s="106">
        <v>43100</v>
      </c>
      <c r="D232" s="106" t="s">
        <v>821</v>
      </c>
      <c r="E232" s="106">
        <v>460</v>
      </c>
      <c r="F232" s="106" t="s">
        <v>853</v>
      </c>
      <c r="G232" s="106">
        <v>0</v>
      </c>
      <c r="H232" s="106" t="s">
        <v>573</v>
      </c>
      <c r="I232" s="106">
        <v>4970</v>
      </c>
      <c r="J232" s="106">
        <v>1</v>
      </c>
      <c r="K232" s="106">
        <v>0</v>
      </c>
      <c r="L232" s="106"/>
      <c r="M232" s="106">
        <v>0</v>
      </c>
      <c r="N232" s="106">
        <v>0</v>
      </c>
      <c r="O232" s="108"/>
    </row>
    <row r="233" spans="1:15">
      <c r="A233" s="106">
        <v>95010564</v>
      </c>
      <c r="B233" s="106">
        <v>0</v>
      </c>
      <c r="C233" s="106">
        <v>43100</v>
      </c>
      <c r="D233" s="106" t="s">
        <v>821</v>
      </c>
      <c r="E233" s="106">
        <v>461</v>
      </c>
      <c r="F233" s="106" t="s">
        <v>854</v>
      </c>
      <c r="G233" s="106">
        <v>0</v>
      </c>
      <c r="H233" s="106" t="s">
        <v>573</v>
      </c>
      <c r="I233" s="106">
        <v>4970</v>
      </c>
      <c r="J233" s="106">
        <v>1</v>
      </c>
      <c r="K233" s="106">
        <v>0</v>
      </c>
      <c r="L233" s="106"/>
      <c r="M233" s="106">
        <v>0</v>
      </c>
      <c r="N233" s="106">
        <v>0</v>
      </c>
      <c r="O233" s="108"/>
    </row>
    <row r="234" spans="1:15">
      <c r="A234" s="106">
        <v>95010572</v>
      </c>
      <c r="B234" s="106">
        <v>0</v>
      </c>
      <c r="C234" s="106">
        <v>43100</v>
      </c>
      <c r="D234" s="106" t="s">
        <v>821</v>
      </c>
      <c r="E234" s="106">
        <v>462</v>
      </c>
      <c r="F234" s="106" t="s">
        <v>691</v>
      </c>
      <c r="G234" s="106">
        <v>0</v>
      </c>
      <c r="H234" s="106" t="s">
        <v>573</v>
      </c>
      <c r="I234" s="106">
        <v>1213</v>
      </c>
      <c r="J234" s="106">
        <v>1</v>
      </c>
      <c r="K234" s="106">
        <v>0</v>
      </c>
      <c r="L234" s="106"/>
      <c r="M234" s="106">
        <v>0</v>
      </c>
      <c r="N234" s="106">
        <v>0</v>
      </c>
      <c r="O234" s="108"/>
    </row>
    <row r="235" spans="1:15">
      <c r="A235" s="106">
        <v>95010581</v>
      </c>
      <c r="B235" s="106">
        <v>0</v>
      </c>
      <c r="C235" s="106">
        <v>43100</v>
      </c>
      <c r="D235" s="106" t="s">
        <v>821</v>
      </c>
      <c r="E235" s="106">
        <v>463</v>
      </c>
      <c r="F235" s="106" t="s">
        <v>855</v>
      </c>
      <c r="G235" s="106">
        <v>0</v>
      </c>
      <c r="H235" s="106" t="s">
        <v>573</v>
      </c>
      <c r="I235" s="106">
        <v>4970</v>
      </c>
      <c r="J235" s="106">
        <v>1</v>
      </c>
      <c r="K235" s="106">
        <v>0</v>
      </c>
      <c r="L235" s="106"/>
      <c r="M235" s="106">
        <v>0</v>
      </c>
      <c r="N235" s="106">
        <v>0</v>
      </c>
      <c r="O235" s="108"/>
    </row>
    <row r="236" spans="1:15">
      <c r="A236" s="106">
        <v>95010599</v>
      </c>
      <c r="B236" s="106">
        <v>0</v>
      </c>
      <c r="C236" s="106">
        <v>43100</v>
      </c>
      <c r="D236" s="106" t="s">
        <v>821</v>
      </c>
      <c r="E236" s="106">
        <v>464</v>
      </c>
      <c r="F236" s="106" t="s">
        <v>856</v>
      </c>
      <c r="G236" s="106">
        <v>0</v>
      </c>
      <c r="H236" s="106" t="s">
        <v>573</v>
      </c>
      <c r="I236" s="106">
        <v>968</v>
      </c>
      <c r="J236" s="106">
        <v>1</v>
      </c>
      <c r="K236" s="106">
        <v>183</v>
      </c>
      <c r="L236" s="106">
        <v>565</v>
      </c>
      <c r="M236" s="106">
        <v>0</v>
      </c>
      <c r="N236" s="106">
        <v>0</v>
      </c>
      <c r="O236" s="108"/>
    </row>
    <row r="237" spans="1:15">
      <c r="A237" s="106">
        <v>95010602</v>
      </c>
      <c r="B237" s="106">
        <v>0</v>
      </c>
      <c r="C237" s="106">
        <v>72200</v>
      </c>
      <c r="D237" s="106" t="s">
        <v>682</v>
      </c>
      <c r="E237" s="106">
        <v>402</v>
      </c>
      <c r="F237" s="106" t="s">
        <v>857</v>
      </c>
      <c r="G237" s="106">
        <v>0</v>
      </c>
      <c r="H237" s="106" t="s">
        <v>576</v>
      </c>
      <c r="I237" s="106">
        <v>5735</v>
      </c>
      <c r="J237" s="106">
        <v>1</v>
      </c>
      <c r="K237" s="106">
        <v>166</v>
      </c>
      <c r="L237" s="106">
        <v>559</v>
      </c>
      <c r="M237" s="106">
        <v>0</v>
      </c>
      <c r="N237" s="106">
        <v>0</v>
      </c>
      <c r="O237" s="108"/>
    </row>
    <row r="238" spans="1:15">
      <c r="A238" s="106">
        <v>95010611</v>
      </c>
      <c r="B238" s="106">
        <v>0</v>
      </c>
      <c r="C238" s="106">
        <v>43100</v>
      </c>
      <c r="D238" s="106" t="s">
        <v>821</v>
      </c>
      <c r="E238" s="106">
        <v>465</v>
      </c>
      <c r="F238" s="106" t="s">
        <v>858</v>
      </c>
      <c r="G238" s="106">
        <v>0</v>
      </c>
      <c r="H238" s="106" t="s">
        <v>573</v>
      </c>
      <c r="I238" s="106">
        <v>4970</v>
      </c>
      <c r="J238" s="106">
        <v>1</v>
      </c>
      <c r="K238" s="106">
        <v>0</v>
      </c>
      <c r="L238" s="106"/>
      <c r="M238" s="106">
        <v>0</v>
      </c>
      <c r="N238" s="106">
        <v>0</v>
      </c>
      <c r="O238" s="108"/>
    </row>
    <row r="239" spans="1:15">
      <c r="A239" s="106">
        <v>95010629</v>
      </c>
      <c r="B239" s="106">
        <v>0</v>
      </c>
      <c r="C239" s="106">
        <v>43100</v>
      </c>
      <c r="D239" s="106" t="s">
        <v>821</v>
      </c>
      <c r="E239" s="106">
        <v>466</v>
      </c>
      <c r="F239" s="106" t="s">
        <v>859</v>
      </c>
      <c r="G239" s="106">
        <v>0</v>
      </c>
      <c r="H239" s="106" t="s">
        <v>573</v>
      </c>
      <c r="I239" s="106">
        <v>4970</v>
      </c>
      <c r="J239" s="106">
        <v>1</v>
      </c>
      <c r="K239" s="106">
        <v>0</v>
      </c>
      <c r="L239" s="106"/>
      <c r="M239" s="106">
        <v>0</v>
      </c>
      <c r="N239" s="106">
        <v>0</v>
      </c>
      <c r="O239" s="108"/>
    </row>
    <row r="240" spans="1:15">
      <c r="A240" s="106">
        <v>95010637</v>
      </c>
      <c r="B240" s="106">
        <v>0</v>
      </c>
      <c r="C240" s="106">
        <v>43100</v>
      </c>
      <c r="D240" s="106" t="s">
        <v>821</v>
      </c>
      <c r="E240" s="106">
        <v>467</v>
      </c>
      <c r="F240" s="106" t="s">
        <v>860</v>
      </c>
      <c r="G240" s="106">
        <v>0</v>
      </c>
      <c r="H240" s="106" t="s">
        <v>573</v>
      </c>
      <c r="I240" s="106">
        <v>4970</v>
      </c>
      <c r="J240" s="106">
        <v>1</v>
      </c>
      <c r="K240" s="106">
        <v>0</v>
      </c>
      <c r="L240" s="106"/>
      <c r="M240" s="106">
        <v>0</v>
      </c>
      <c r="N240" s="106">
        <v>0</v>
      </c>
      <c r="O240" s="108"/>
    </row>
    <row r="241" spans="1:15">
      <c r="A241" s="106">
        <v>95010645</v>
      </c>
      <c r="B241" s="106">
        <v>0</v>
      </c>
      <c r="C241" s="106">
        <v>43100</v>
      </c>
      <c r="D241" s="106" t="s">
        <v>821</v>
      </c>
      <c r="E241" s="106">
        <v>468</v>
      </c>
      <c r="F241" s="106" t="s">
        <v>861</v>
      </c>
      <c r="G241" s="106">
        <v>0</v>
      </c>
      <c r="H241" s="106" t="s">
        <v>573</v>
      </c>
      <c r="I241" s="106">
        <v>4970</v>
      </c>
      <c r="J241" s="106">
        <v>1</v>
      </c>
      <c r="K241" s="106">
        <v>0</v>
      </c>
      <c r="L241" s="106"/>
      <c r="M241" s="106">
        <v>0</v>
      </c>
      <c r="N241" s="106">
        <v>0</v>
      </c>
      <c r="O241" s="108"/>
    </row>
    <row r="242" spans="1:15">
      <c r="A242" s="106">
        <v>95010653</v>
      </c>
      <c r="B242" s="106">
        <v>0</v>
      </c>
      <c r="C242" s="106">
        <v>43100</v>
      </c>
      <c r="D242" s="106" t="s">
        <v>821</v>
      </c>
      <c r="E242" s="106">
        <v>469</v>
      </c>
      <c r="F242" s="106" t="s">
        <v>862</v>
      </c>
      <c r="G242" s="106">
        <v>0</v>
      </c>
      <c r="H242" s="106" t="s">
        <v>573</v>
      </c>
      <c r="I242" s="106">
        <v>4970</v>
      </c>
      <c r="J242" s="106">
        <v>1</v>
      </c>
      <c r="K242" s="106">
        <v>0</v>
      </c>
      <c r="L242" s="106"/>
      <c r="M242" s="106">
        <v>0</v>
      </c>
      <c r="N242" s="106">
        <v>0</v>
      </c>
      <c r="O242" s="108"/>
    </row>
    <row r="243" spans="1:15">
      <c r="A243" s="106">
        <v>95010661</v>
      </c>
      <c r="B243" s="106">
        <v>0</v>
      </c>
      <c r="C243" s="106">
        <v>43100</v>
      </c>
      <c r="D243" s="106" t="s">
        <v>821</v>
      </c>
      <c r="E243" s="106">
        <v>470</v>
      </c>
      <c r="F243" s="106" t="s">
        <v>863</v>
      </c>
      <c r="G243" s="106">
        <v>0</v>
      </c>
      <c r="H243" s="106" t="s">
        <v>573</v>
      </c>
      <c r="I243" s="106">
        <v>4970</v>
      </c>
      <c r="J243" s="106">
        <v>1</v>
      </c>
      <c r="K243" s="106">
        <v>0</v>
      </c>
      <c r="L243" s="106"/>
      <c r="M243" s="106">
        <v>0</v>
      </c>
      <c r="N243" s="106">
        <v>0</v>
      </c>
      <c r="O243" s="108"/>
    </row>
    <row r="244" spans="1:15" s="108" customFormat="1">
      <c r="A244" s="106">
        <v>95010670</v>
      </c>
      <c r="B244" s="106">
        <v>0</v>
      </c>
      <c r="C244" s="106">
        <v>43100</v>
      </c>
      <c r="D244" s="106" t="s">
        <v>821</v>
      </c>
      <c r="E244" s="106">
        <v>471</v>
      </c>
      <c r="F244" s="106" t="s">
        <v>864</v>
      </c>
      <c r="G244" s="106">
        <v>0</v>
      </c>
      <c r="H244" s="106" t="s">
        <v>573</v>
      </c>
      <c r="I244" s="106">
        <v>8270</v>
      </c>
      <c r="J244" s="106">
        <v>1</v>
      </c>
      <c r="K244" s="106">
        <v>184</v>
      </c>
      <c r="L244" s="106">
        <v>566</v>
      </c>
      <c r="M244" s="106">
        <v>0</v>
      </c>
      <c r="N244" s="106">
        <v>0</v>
      </c>
    </row>
    <row r="245" spans="1:15">
      <c r="A245" s="106">
        <v>95010688</v>
      </c>
      <c r="B245" s="106">
        <v>0</v>
      </c>
      <c r="C245" s="106">
        <v>43100</v>
      </c>
      <c r="D245" s="106" t="s">
        <v>821</v>
      </c>
      <c r="E245" s="106">
        <v>472</v>
      </c>
      <c r="F245" s="106" t="s">
        <v>865</v>
      </c>
      <c r="G245" s="106">
        <v>0</v>
      </c>
      <c r="H245" s="106" t="s">
        <v>573</v>
      </c>
      <c r="I245" s="106">
        <v>4458</v>
      </c>
      <c r="J245" s="106">
        <v>1</v>
      </c>
      <c r="K245" s="106">
        <v>0</v>
      </c>
      <c r="L245" s="106"/>
      <c r="M245" s="106">
        <v>0</v>
      </c>
      <c r="N245" s="106">
        <v>0</v>
      </c>
      <c r="O245" s="108"/>
    </row>
    <row r="246" spans="1:15">
      <c r="A246" s="106">
        <v>95010696</v>
      </c>
      <c r="B246" s="106">
        <v>0</v>
      </c>
      <c r="C246" s="106">
        <v>75700</v>
      </c>
      <c r="D246" s="106" t="s">
        <v>829</v>
      </c>
      <c r="E246" s="106">
        <v>473</v>
      </c>
      <c r="F246" s="106" t="s">
        <v>866</v>
      </c>
      <c r="G246" s="106">
        <v>0</v>
      </c>
      <c r="H246" s="106" t="s">
        <v>573</v>
      </c>
      <c r="I246" s="106">
        <v>0</v>
      </c>
      <c r="J246" s="106">
        <v>1</v>
      </c>
      <c r="K246" s="106">
        <v>0</v>
      </c>
      <c r="L246" s="106"/>
      <c r="M246" s="106">
        <v>0</v>
      </c>
      <c r="N246" s="106">
        <v>0</v>
      </c>
      <c r="O246" s="108"/>
    </row>
    <row r="247" spans="1:15">
      <c r="A247" s="106">
        <v>95010700</v>
      </c>
      <c r="B247" s="106">
        <v>0</v>
      </c>
      <c r="C247" s="106">
        <v>43100</v>
      </c>
      <c r="D247" s="106" t="s">
        <v>821</v>
      </c>
      <c r="E247" s="106">
        <v>401</v>
      </c>
      <c r="F247" s="106" t="s">
        <v>867</v>
      </c>
      <c r="G247" s="106">
        <v>0</v>
      </c>
      <c r="H247" s="106" t="s">
        <v>573</v>
      </c>
      <c r="I247" s="106">
        <v>2339</v>
      </c>
      <c r="J247" s="106">
        <v>1</v>
      </c>
      <c r="K247" s="106">
        <v>99</v>
      </c>
      <c r="L247" s="106">
        <v>504</v>
      </c>
      <c r="M247" s="106">
        <v>0</v>
      </c>
      <c r="N247" s="106">
        <v>0</v>
      </c>
      <c r="O247" s="108"/>
    </row>
    <row r="248" spans="1:15" s="108" customFormat="1">
      <c r="A248" s="106">
        <v>95010718</v>
      </c>
      <c r="B248" s="106">
        <v>0</v>
      </c>
      <c r="C248" s="106">
        <v>15202</v>
      </c>
      <c r="D248" s="106" t="s">
        <v>868</v>
      </c>
      <c r="E248" s="106">
        <v>474</v>
      </c>
      <c r="F248" s="106" t="s">
        <v>869</v>
      </c>
      <c r="G248" s="106">
        <v>0</v>
      </c>
      <c r="H248" s="106" t="s">
        <v>573</v>
      </c>
      <c r="I248" s="106">
        <v>6618</v>
      </c>
      <c r="J248" s="106">
        <v>1</v>
      </c>
      <c r="K248" s="106">
        <v>179</v>
      </c>
      <c r="L248" s="106">
        <v>562</v>
      </c>
      <c r="M248" s="106">
        <v>0</v>
      </c>
      <c r="N248" s="106">
        <v>0</v>
      </c>
    </row>
    <row r="249" spans="1:15">
      <c r="A249" s="106">
        <v>95010742</v>
      </c>
      <c r="B249" s="106">
        <v>0</v>
      </c>
      <c r="C249" s="106">
        <v>75600</v>
      </c>
      <c r="D249" s="106" t="s">
        <v>827</v>
      </c>
      <c r="E249" s="106">
        <v>213</v>
      </c>
      <c r="F249" s="106" t="s">
        <v>870</v>
      </c>
      <c r="G249" s="106">
        <v>0</v>
      </c>
      <c r="H249" s="106" t="s">
        <v>573</v>
      </c>
      <c r="I249" s="106">
        <v>0</v>
      </c>
      <c r="J249" s="106">
        <v>1</v>
      </c>
      <c r="K249" s="106">
        <v>0</v>
      </c>
      <c r="L249" s="106"/>
      <c r="M249" s="106">
        <v>0</v>
      </c>
      <c r="N249" s="106">
        <v>0</v>
      </c>
      <c r="O249" s="108"/>
    </row>
    <row r="250" spans="1:15">
      <c r="A250" s="106">
        <v>95010751</v>
      </c>
      <c r="B250" s="106">
        <v>0</v>
      </c>
      <c r="C250" s="106">
        <v>75800</v>
      </c>
      <c r="D250" s="106" t="s">
        <v>871</v>
      </c>
      <c r="E250" s="106">
        <v>214</v>
      </c>
      <c r="F250" s="106" t="s">
        <v>872</v>
      </c>
      <c r="G250" s="106">
        <v>0</v>
      </c>
      <c r="H250" s="106" t="s">
        <v>573</v>
      </c>
      <c r="I250" s="106">
        <v>0</v>
      </c>
      <c r="J250" s="106">
        <v>1</v>
      </c>
      <c r="K250" s="106">
        <v>0</v>
      </c>
      <c r="L250" s="106"/>
      <c r="M250" s="106">
        <v>0</v>
      </c>
      <c r="N250" s="106">
        <v>0</v>
      </c>
      <c r="O250" s="108"/>
    </row>
    <row r="251" spans="1:15">
      <c r="A251" s="106">
        <v>95010769</v>
      </c>
      <c r="B251" s="106">
        <v>0</v>
      </c>
      <c r="C251" s="106">
        <v>73305</v>
      </c>
      <c r="D251" s="106" t="s">
        <v>873</v>
      </c>
      <c r="E251" s="106">
        <v>477</v>
      </c>
      <c r="F251" s="106" t="s">
        <v>874</v>
      </c>
      <c r="G251" s="106">
        <v>0</v>
      </c>
      <c r="H251" s="106" t="s">
        <v>573</v>
      </c>
      <c r="I251" s="106">
        <v>8553</v>
      </c>
      <c r="J251" s="106">
        <v>1</v>
      </c>
      <c r="K251" s="106">
        <v>97</v>
      </c>
      <c r="L251" s="106">
        <v>502</v>
      </c>
      <c r="M251" s="106">
        <v>0</v>
      </c>
      <c r="N251" s="106">
        <v>0</v>
      </c>
      <c r="O251" s="108"/>
    </row>
    <row r="252" spans="1:15">
      <c r="A252" s="106">
        <v>95010807</v>
      </c>
      <c r="B252" s="106">
        <v>0</v>
      </c>
      <c r="C252" s="106">
        <v>73600</v>
      </c>
      <c r="D252" s="106" t="s">
        <v>648</v>
      </c>
      <c r="E252" s="106">
        <v>403</v>
      </c>
      <c r="F252" s="106" t="s">
        <v>648</v>
      </c>
      <c r="G252" s="106">
        <v>0</v>
      </c>
      <c r="H252" s="106" t="s">
        <v>576</v>
      </c>
      <c r="I252" s="106">
        <v>0</v>
      </c>
      <c r="J252" s="106">
        <v>1</v>
      </c>
      <c r="K252" s="106">
        <v>105</v>
      </c>
      <c r="L252" s="106">
        <v>510</v>
      </c>
      <c r="M252" s="106">
        <v>0</v>
      </c>
      <c r="N252" s="106">
        <v>0</v>
      </c>
      <c r="O252" s="108"/>
    </row>
    <row r="253" spans="1:15">
      <c r="A253" s="106">
        <v>95010866</v>
      </c>
      <c r="B253" s="106">
        <v>0</v>
      </c>
      <c r="C253" s="106">
        <v>15600</v>
      </c>
      <c r="D253" s="106" t="s">
        <v>639</v>
      </c>
      <c r="E253" s="106">
        <v>481</v>
      </c>
      <c r="F253" s="106" t="s">
        <v>875</v>
      </c>
      <c r="G253" s="106">
        <v>0</v>
      </c>
      <c r="H253" s="106" t="s">
        <v>573</v>
      </c>
      <c r="I253" s="106">
        <v>4458</v>
      </c>
      <c r="J253" s="106">
        <v>1</v>
      </c>
      <c r="K253" s="106">
        <v>126</v>
      </c>
      <c r="L253" s="106">
        <v>501</v>
      </c>
      <c r="M253" s="106">
        <v>0</v>
      </c>
      <c r="N253" s="106">
        <v>0</v>
      </c>
      <c r="O253" s="108"/>
    </row>
    <row r="254" spans="1:15">
      <c r="A254" s="106">
        <v>95010874</v>
      </c>
      <c r="B254" s="106">
        <v>0</v>
      </c>
      <c r="C254" s="106">
        <v>73600</v>
      </c>
      <c r="D254" s="106" t="s">
        <v>648</v>
      </c>
      <c r="E254" s="106">
        <v>482</v>
      </c>
      <c r="F254" s="106" t="s">
        <v>876</v>
      </c>
      <c r="G254" s="106">
        <v>0</v>
      </c>
      <c r="H254" s="106" t="s">
        <v>573</v>
      </c>
      <c r="I254" s="106">
        <v>0</v>
      </c>
      <c r="J254" s="106">
        <v>1</v>
      </c>
      <c r="K254" s="106">
        <v>127</v>
      </c>
      <c r="L254" s="106">
        <v>517</v>
      </c>
      <c r="M254" s="106">
        <v>0</v>
      </c>
      <c r="N254" s="106">
        <v>0</v>
      </c>
      <c r="O254" s="108"/>
    </row>
    <row r="255" spans="1:15">
      <c r="A255" s="106">
        <v>95010882</v>
      </c>
      <c r="B255" s="106">
        <v>0</v>
      </c>
      <c r="C255" s="106">
        <v>73600</v>
      </c>
      <c r="D255" s="106" t="s">
        <v>648</v>
      </c>
      <c r="E255" s="106">
        <v>483</v>
      </c>
      <c r="F255" s="106" t="s">
        <v>877</v>
      </c>
      <c r="G255" s="106">
        <v>0</v>
      </c>
      <c r="H255" s="106" t="s">
        <v>573</v>
      </c>
      <c r="I255" s="106">
        <v>0</v>
      </c>
      <c r="J255" s="106">
        <v>1</v>
      </c>
      <c r="K255" s="106">
        <v>144</v>
      </c>
      <c r="L255" s="106">
        <v>581</v>
      </c>
      <c r="M255" s="106">
        <v>0</v>
      </c>
      <c r="N255" s="106">
        <v>0</v>
      </c>
      <c r="O255" s="108"/>
    </row>
    <row r="256" spans="1:15">
      <c r="A256" s="106">
        <v>95010891</v>
      </c>
      <c r="B256" s="106">
        <v>0</v>
      </c>
      <c r="C256" s="106">
        <v>73600</v>
      </c>
      <c r="D256" s="106" t="s">
        <v>648</v>
      </c>
      <c r="E256" s="106">
        <v>484</v>
      </c>
      <c r="F256" s="106" t="s">
        <v>878</v>
      </c>
      <c r="G256" s="106">
        <v>0</v>
      </c>
      <c r="H256" s="106" t="s">
        <v>573</v>
      </c>
      <c r="I256" s="106">
        <v>0</v>
      </c>
      <c r="J256" s="106">
        <v>1</v>
      </c>
      <c r="K256" s="109">
        <v>225</v>
      </c>
      <c r="L256" s="109">
        <v>575</v>
      </c>
      <c r="M256" s="109">
        <v>0</v>
      </c>
      <c r="N256" s="109">
        <v>0</v>
      </c>
      <c r="O256" s="79" t="s">
        <v>879</v>
      </c>
    </row>
    <row r="257" spans="1:15">
      <c r="A257" s="106">
        <v>95010904</v>
      </c>
      <c r="B257" s="106">
        <v>0</v>
      </c>
      <c r="C257" s="106">
        <v>73600</v>
      </c>
      <c r="D257" s="106" t="s">
        <v>675</v>
      </c>
      <c r="E257" s="106">
        <v>485</v>
      </c>
      <c r="F257" s="106" t="s">
        <v>880</v>
      </c>
      <c r="G257" s="106">
        <v>0</v>
      </c>
      <c r="H257" s="106" t="s">
        <v>573</v>
      </c>
      <c r="I257" s="106">
        <v>0</v>
      </c>
      <c r="J257" s="106">
        <v>1</v>
      </c>
      <c r="K257" s="106">
        <v>145</v>
      </c>
      <c r="L257" s="106">
        <v>580</v>
      </c>
      <c r="M257" s="106">
        <v>0</v>
      </c>
      <c r="N257" s="106">
        <v>0</v>
      </c>
      <c r="O257" s="108"/>
    </row>
    <row r="258" spans="1:15">
      <c r="A258" s="106">
        <v>95010912</v>
      </c>
      <c r="B258" s="106">
        <v>0</v>
      </c>
      <c r="C258" s="106">
        <v>73600</v>
      </c>
      <c r="D258" s="106" t="s">
        <v>675</v>
      </c>
      <c r="E258" s="106">
        <v>486</v>
      </c>
      <c r="F258" s="106" t="s">
        <v>881</v>
      </c>
      <c r="G258" s="106">
        <v>0</v>
      </c>
      <c r="H258" s="106" t="s">
        <v>573</v>
      </c>
      <c r="I258" s="106">
        <v>0</v>
      </c>
      <c r="J258" s="106">
        <v>1</v>
      </c>
      <c r="K258" s="106">
        <v>146</v>
      </c>
      <c r="L258" s="106">
        <v>582</v>
      </c>
      <c r="M258" s="106">
        <v>0</v>
      </c>
      <c r="N258" s="106">
        <v>0</v>
      </c>
      <c r="O258" s="108"/>
    </row>
    <row r="259" spans="1:15">
      <c r="A259" s="106">
        <v>95010955</v>
      </c>
      <c r="B259" s="106">
        <v>0</v>
      </c>
      <c r="C259" s="106">
        <v>43100</v>
      </c>
      <c r="D259" s="106" t="s">
        <v>882</v>
      </c>
      <c r="E259" s="106">
        <v>494</v>
      </c>
      <c r="F259" s="106" t="s">
        <v>883</v>
      </c>
      <c r="G259" s="106">
        <v>0</v>
      </c>
      <c r="H259" s="106"/>
      <c r="I259" s="106">
        <v>4970</v>
      </c>
      <c r="J259" s="106">
        <v>1</v>
      </c>
      <c r="K259" s="106">
        <v>200</v>
      </c>
      <c r="L259" s="106">
        <v>574</v>
      </c>
      <c r="M259" s="106">
        <v>0</v>
      </c>
      <c r="N259" s="106">
        <v>0</v>
      </c>
      <c r="O259" s="108" t="s">
        <v>884</v>
      </c>
    </row>
    <row r="260" spans="1:15" s="108" customFormat="1">
      <c r="A260" s="106">
        <v>95010998</v>
      </c>
      <c r="B260" s="106">
        <v>1</v>
      </c>
      <c r="C260" s="106">
        <v>73600</v>
      </c>
      <c r="D260" s="106" t="s">
        <v>692</v>
      </c>
      <c r="E260" s="106">
        <v>498</v>
      </c>
      <c r="F260" s="106" t="s">
        <v>885</v>
      </c>
      <c r="G260" s="106">
        <v>0</v>
      </c>
      <c r="H260" s="106"/>
      <c r="I260" s="106">
        <v>0</v>
      </c>
      <c r="J260" s="106">
        <v>1</v>
      </c>
      <c r="K260" s="106">
        <v>206</v>
      </c>
      <c r="L260" s="106">
        <v>583</v>
      </c>
      <c r="M260" s="106"/>
      <c r="N260" s="106"/>
      <c r="O260" s="108" t="s">
        <v>886</v>
      </c>
    </row>
    <row r="261" spans="1:15">
      <c r="A261" s="106">
        <v>95011609</v>
      </c>
      <c r="B261" s="106">
        <v>0</v>
      </c>
      <c r="C261" s="106">
        <v>43005</v>
      </c>
      <c r="D261" s="106" t="s">
        <v>887</v>
      </c>
      <c r="E261" s="106">
        <v>406</v>
      </c>
      <c r="F261" s="106" t="s">
        <v>888</v>
      </c>
      <c r="G261" s="106">
        <v>0</v>
      </c>
      <c r="H261" s="106" t="s">
        <v>573</v>
      </c>
      <c r="I261" s="106">
        <v>1213</v>
      </c>
      <c r="J261" s="106">
        <v>1</v>
      </c>
      <c r="K261" s="106">
        <v>0</v>
      </c>
      <c r="L261" s="106"/>
      <c r="M261" s="106">
        <v>0</v>
      </c>
      <c r="N261" s="106">
        <v>0</v>
      </c>
      <c r="O261" s="108"/>
    </row>
    <row r="262" spans="1:15">
      <c r="A262" s="106">
        <v>95011617</v>
      </c>
      <c r="B262" s="106">
        <v>0</v>
      </c>
      <c r="C262" s="106">
        <v>13402</v>
      </c>
      <c r="D262" s="106" t="s">
        <v>889</v>
      </c>
      <c r="E262" s="106">
        <v>516</v>
      </c>
      <c r="F262" s="106" t="s">
        <v>890</v>
      </c>
      <c r="G262" s="106">
        <v>0</v>
      </c>
      <c r="H262" s="106" t="s">
        <v>573</v>
      </c>
      <c r="I262" s="106">
        <v>6494</v>
      </c>
      <c r="J262" s="106">
        <v>1</v>
      </c>
      <c r="K262" s="106">
        <v>128</v>
      </c>
      <c r="L262" s="106">
        <v>540</v>
      </c>
      <c r="M262" s="106">
        <v>0</v>
      </c>
      <c r="N262" s="106">
        <v>0</v>
      </c>
      <c r="O262" s="108"/>
    </row>
    <row r="263" spans="1:15">
      <c r="A263" s="106">
        <v>95011706</v>
      </c>
      <c r="B263" s="106">
        <v>0</v>
      </c>
      <c r="C263" s="106">
        <v>43005</v>
      </c>
      <c r="D263" s="106" t="s">
        <v>887</v>
      </c>
      <c r="E263" s="106">
        <v>407</v>
      </c>
      <c r="F263" s="106" t="s">
        <v>891</v>
      </c>
      <c r="G263" s="106">
        <v>0</v>
      </c>
      <c r="H263" s="106" t="s">
        <v>573</v>
      </c>
      <c r="I263" s="106">
        <v>4318</v>
      </c>
      <c r="J263" s="106">
        <v>1</v>
      </c>
      <c r="K263" s="106">
        <v>101</v>
      </c>
      <c r="L263" s="106">
        <v>506</v>
      </c>
      <c r="M263" s="106">
        <v>0</v>
      </c>
      <c r="N263" s="106">
        <v>0</v>
      </c>
      <c r="O263" s="108"/>
    </row>
    <row r="264" spans="1:15">
      <c r="A264" s="106">
        <v>95011714</v>
      </c>
      <c r="B264" s="106">
        <v>0</v>
      </c>
      <c r="C264" s="106">
        <v>13402</v>
      </c>
      <c r="D264" s="106" t="s">
        <v>889</v>
      </c>
      <c r="E264" s="106">
        <v>517</v>
      </c>
      <c r="F264" s="106" t="s">
        <v>892</v>
      </c>
      <c r="G264" s="106">
        <v>0</v>
      </c>
      <c r="H264" s="106" t="s">
        <v>573</v>
      </c>
      <c r="I264" s="106">
        <v>0</v>
      </c>
      <c r="J264" s="106">
        <v>1</v>
      </c>
      <c r="K264" s="106">
        <v>129</v>
      </c>
      <c r="L264" s="106">
        <v>542</v>
      </c>
      <c r="M264" s="106">
        <v>0</v>
      </c>
      <c r="N264" s="106">
        <v>0</v>
      </c>
      <c r="O264" s="108"/>
    </row>
    <row r="265" spans="1:15">
      <c r="A265" s="106">
        <v>95011803</v>
      </c>
      <c r="B265" s="106">
        <v>0</v>
      </c>
      <c r="C265" s="106">
        <v>13402</v>
      </c>
      <c r="D265" s="106" t="s">
        <v>889</v>
      </c>
      <c r="E265" s="106">
        <v>518</v>
      </c>
      <c r="F265" s="106" t="s">
        <v>893</v>
      </c>
      <c r="G265" s="106">
        <v>0</v>
      </c>
      <c r="H265" s="106" t="s">
        <v>573</v>
      </c>
      <c r="I265" s="106">
        <v>0</v>
      </c>
      <c r="J265" s="106">
        <v>1</v>
      </c>
      <c r="K265" s="106">
        <v>130</v>
      </c>
      <c r="L265" s="106">
        <v>543</v>
      </c>
      <c r="M265" s="106">
        <v>0</v>
      </c>
      <c r="N265" s="106">
        <v>0</v>
      </c>
      <c r="O265" s="108"/>
    </row>
    <row r="266" spans="1:15">
      <c r="A266" s="106">
        <v>95011901</v>
      </c>
      <c r="B266" s="106">
        <v>0</v>
      </c>
      <c r="C266" s="106">
        <v>13402</v>
      </c>
      <c r="D266" s="106" t="s">
        <v>889</v>
      </c>
      <c r="E266" s="106">
        <v>519</v>
      </c>
      <c r="F266" s="106" t="s">
        <v>894</v>
      </c>
      <c r="G266" s="106">
        <v>0</v>
      </c>
      <c r="H266" s="106" t="s">
        <v>573</v>
      </c>
      <c r="I266" s="106">
        <v>7400</v>
      </c>
      <c r="J266" s="106">
        <v>1</v>
      </c>
      <c r="K266" s="106">
        <v>131</v>
      </c>
      <c r="L266" s="106">
        <v>541</v>
      </c>
      <c r="M266" s="106">
        <v>0</v>
      </c>
      <c r="N266" s="106">
        <v>0</v>
      </c>
      <c r="O266" s="108"/>
    </row>
    <row r="267" spans="1:15">
      <c r="A267" s="106">
        <v>95012109</v>
      </c>
      <c r="B267" s="106">
        <v>0</v>
      </c>
      <c r="C267" s="106">
        <v>13402</v>
      </c>
      <c r="D267" s="106" t="s">
        <v>889</v>
      </c>
      <c r="E267" s="106">
        <v>521</v>
      </c>
      <c r="F267" s="106" t="s">
        <v>895</v>
      </c>
      <c r="G267" s="106">
        <v>0</v>
      </c>
      <c r="H267" s="106" t="s">
        <v>573</v>
      </c>
      <c r="I267" s="106">
        <v>0</v>
      </c>
      <c r="J267" s="106">
        <v>1</v>
      </c>
      <c r="K267" s="106">
        <v>132</v>
      </c>
      <c r="L267" s="106">
        <v>544</v>
      </c>
      <c r="M267" s="106">
        <v>0</v>
      </c>
      <c r="N267" s="106">
        <v>0</v>
      </c>
      <c r="O267" s="108"/>
    </row>
    <row r="268" spans="1:15">
      <c r="A268" s="106">
        <v>95012206</v>
      </c>
      <c r="B268" s="106">
        <v>0</v>
      </c>
      <c r="C268" s="106">
        <v>13402</v>
      </c>
      <c r="D268" s="106" t="s">
        <v>889</v>
      </c>
      <c r="E268" s="106">
        <v>522</v>
      </c>
      <c r="F268" s="106" t="s">
        <v>896</v>
      </c>
      <c r="G268" s="106">
        <v>0</v>
      </c>
      <c r="H268" s="106" t="s">
        <v>573</v>
      </c>
      <c r="I268" s="106">
        <v>0</v>
      </c>
      <c r="J268" s="106">
        <v>1</v>
      </c>
      <c r="K268" s="106">
        <v>133</v>
      </c>
      <c r="L268" s="106">
        <v>545</v>
      </c>
      <c r="M268" s="106">
        <v>0</v>
      </c>
      <c r="N268" s="106">
        <v>0</v>
      </c>
      <c r="O268" s="108"/>
    </row>
    <row r="269" spans="1:15">
      <c r="A269" s="106">
        <v>95012401</v>
      </c>
      <c r="B269" s="106">
        <v>0</v>
      </c>
      <c r="C269" s="106">
        <v>13402</v>
      </c>
      <c r="D269" s="106" t="s">
        <v>889</v>
      </c>
      <c r="E269" s="106">
        <v>524</v>
      </c>
      <c r="F269" s="106" t="s">
        <v>897</v>
      </c>
      <c r="G269" s="106">
        <v>0</v>
      </c>
      <c r="H269" s="106" t="s">
        <v>573</v>
      </c>
      <c r="I269" s="106">
        <v>0</v>
      </c>
      <c r="J269" s="106">
        <v>1</v>
      </c>
      <c r="K269" s="106">
        <v>134</v>
      </c>
      <c r="L269" s="106">
        <v>546</v>
      </c>
      <c r="M269" s="106">
        <v>0</v>
      </c>
      <c r="N269" s="106">
        <v>0</v>
      </c>
      <c r="O269" s="108"/>
    </row>
    <row r="270" spans="1:15">
      <c r="A270" s="106">
        <v>95012508</v>
      </c>
      <c r="B270" s="106">
        <v>0</v>
      </c>
      <c r="C270" s="106">
        <v>13402</v>
      </c>
      <c r="D270" s="106" t="s">
        <v>889</v>
      </c>
      <c r="E270" s="106">
        <v>525</v>
      </c>
      <c r="F270" s="106" t="s">
        <v>898</v>
      </c>
      <c r="G270" s="106">
        <v>0</v>
      </c>
      <c r="H270" s="106" t="s">
        <v>573</v>
      </c>
      <c r="I270" s="106">
        <v>0</v>
      </c>
      <c r="J270" s="106">
        <v>1</v>
      </c>
      <c r="K270" s="106">
        <v>135</v>
      </c>
      <c r="L270" s="106">
        <v>547</v>
      </c>
      <c r="M270" s="106">
        <v>0</v>
      </c>
      <c r="N270" s="106">
        <v>0</v>
      </c>
      <c r="O270" s="108"/>
    </row>
    <row r="271" spans="1:15">
      <c r="A271" s="106">
        <v>95012907</v>
      </c>
      <c r="B271" s="106">
        <v>0</v>
      </c>
      <c r="C271" s="106">
        <v>43100</v>
      </c>
      <c r="D271" s="106" t="s">
        <v>821</v>
      </c>
      <c r="E271" s="106">
        <v>408</v>
      </c>
      <c r="F271" s="106" t="s">
        <v>899</v>
      </c>
      <c r="G271" s="106">
        <v>0</v>
      </c>
      <c r="H271" s="106" t="s">
        <v>573</v>
      </c>
      <c r="I271" s="106">
        <v>4970</v>
      </c>
      <c r="J271" s="106">
        <v>1</v>
      </c>
      <c r="K271" s="106">
        <v>106</v>
      </c>
      <c r="L271" s="106">
        <v>511</v>
      </c>
      <c r="M271" s="106">
        <v>0</v>
      </c>
      <c r="N271" s="106">
        <v>0</v>
      </c>
      <c r="O271" s="108"/>
    </row>
    <row r="272" spans="1:15">
      <c r="A272" s="106">
        <v>95018000</v>
      </c>
      <c r="B272" s="106">
        <v>0</v>
      </c>
      <c r="C272" s="106">
        <v>13402</v>
      </c>
      <c r="D272" s="106" t="s">
        <v>889</v>
      </c>
      <c r="E272" s="106">
        <v>580</v>
      </c>
      <c r="F272" s="106" t="s">
        <v>900</v>
      </c>
      <c r="G272" s="106">
        <v>0</v>
      </c>
      <c r="H272" s="106" t="s">
        <v>573</v>
      </c>
      <c r="I272" s="106">
        <v>0</v>
      </c>
      <c r="J272" s="106">
        <v>1</v>
      </c>
      <c r="K272" s="106">
        <v>136</v>
      </c>
      <c r="L272" s="106">
        <v>548</v>
      </c>
      <c r="M272" s="106">
        <v>0</v>
      </c>
      <c r="N272" s="106">
        <v>0</v>
      </c>
      <c r="O272" s="108"/>
    </row>
    <row r="273" spans="1:15">
      <c r="A273" s="106">
        <v>95018107</v>
      </c>
      <c r="B273" s="106">
        <v>0</v>
      </c>
      <c r="C273" s="106">
        <v>13402</v>
      </c>
      <c r="D273" s="106" t="s">
        <v>889</v>
      </c>
      <c r="E273" s="106">
        <v>581</v>
      </c>
      <c r="F273" s="106" t="s">
        <v>901</v>
      </c>
      <c r="G273" s="106">
        <v>0</v>
      </c>
      <c r="H273" s="106" t="s">
        <v>573</v>
      </c>
      <c r="I273" s="106">
        <v>0</v>
      </c>
      <c r="J273" s="106">
        <v>1</v>
      </c>
      <c r="K273" s="106">
        <v>137</v>
      </c>
      <c r="L273" s="106">
        <v>549</v>
      </c>
      <c r="M273" s="106">
        <v>0</v>
      </c>
      <c r="N273" s="106">
        <v>0</v>
      </c>
      <c r="O273" s="108"/>
    </row>
    <row r="274" spans="1:15">
      <c r="A274" s="106">
        <v>95018204</v>
      </c>
      <c r="B274" s="106">
        <v>0</v>
      </c>
      <c r="C274" s="106">
        <v>13402</v>
      </c>
      <c r="D274" s="106" t="s">
        <v>889</v>
      </c>
      <c r="E274" s="106">
        <v>582</v>
      </c>
      <c r="F274" s="106" t="s">
        <v>902</v>
      </c>
      <c r="G274" s="106">
        <v>0</v>
      </c>
      <c r="H274" s="106" t="s">
        <v>573</v>
      </c>
      <c r="I274" s="106">
        <v>0</v>
      </c>
      <c r="J274" s="106">
        <v>1</v>
      </c>
      <c r="K274" s="106">
        <v>138</v>
      </c>
      <c r="L274" s="106">
        <v>550</v>
      </c>
      <c r="M274" s="106">
        <v>0</v>
      </c>
      <c r="N274" s="106">
        <v>0</v>
      </c>
      <c r="O274" s="108"/>
    </row>
    <row r="275" spans="1:15">
      <c r="A275" s="106">
        <v>95018301</v>
      </c>
      <c r="B275" s="106">
        <v>0</v>
      </c>
      <c r="C275" s="106">
        <v>13402</v>
      </c>
      <c r="D275" s="106" t="s">
        <v>889</v>
      </c>
      <c r="E275" s="106">
        <v>583</v>
      </c>
      <c r="F275" s="106" t="s">
        <v>903</v>
      </c>
      <c r="G275" s="106">
        <v>0</v>
      </c>
      <c r="H275" s="106" t="s">
        <v>573</v>
      </c>
      <c r="I275" s="106">
        <v>0</v>
      </c>
      <c r="J275" s="106">
        <v>1</v>
      </c>
      <c r="K275" s="106">
        <v>139</v>
      </c>
      <c r="L275" s="106">
        <v>551</v>
      </c>
      <c r="M275" s="106">
        <v>0</v>
      </c>
      <c r="N275" s="106">
        <v>0</v>
      </c>
      <c r="O275" s="108"/>
    </row>
    <row r="276" spans="1:15">
      <c r="A276" s="106">
        <v>95018409</v>
      </c>
      <c r="B276" s="106">
        <v>0</v>
      </c>
      <c r="C276" s="106">
        <v>13402</v>
      </c>
      <c r="D276" s="106" t="s">
        <v>889</v>
      </c>
      <c r="E276" s="106">
        <v>584</v>
      </c>
      <c r="F276" s="106" t="s">
        <v>904</v>
      </c>
      <c r="G276" s="106">
        <v>0</v>
      </c>
      <c r="H276" s="106" t="s">
        <v>573</v>
      </c>
      <c r="I276" s="106">
        <v>0</v>
      </c>
      <c r="J276" s="106">
        <v>1</v>
      </c>
      <c r="K276" s="106">
        <v>140</v>
      </c>
      <c r="L276" s="106">
        <v>552</v>
      </c>
      <c r="M276" s="106">
        <v>0</v>
      </c>
      <c r="N276" s="106">
        <v>0</v>
      </c>
      <c r="O276" s="108"/>
    </row>
    <row r="277" spans="1:15">
      <c r="A277" s="106">
        <v>95018506</v>
      </c>
      <c r="B277" s="106">
        <v>0</v>
      </c>
      <c r="C277" s="106">
        <v>13402</v>
      </c>
      <c r="D277" s="106" t="s">
        <v>889</v>
      </c>
      <c r="E277" s="106">
        <v>585</v>
      </c>
      <c r="F277" s="106" t="s">
        <v>905</v>
      </c>
      <c r="G277" s="106">
        <v>0</v>
      </c>
      <c r="H277" s="106" t="s">
        <v>573</v>
      </c>
      <c r="I277" s="106">
        <v>0</v>
      </c>
      <c r="J277" s="106">
        <v>1</v>
      </c>
      <c r="K277" s="106">
        <v>141</v>
      </c>
      <c r="L277" s="106">
        <v>553</v>
      </c>
      <c r="M277" s="106">
        <v>0</v>
      </c>
      <c r="N277" s="106">
        <v>0</v>
      </c>
      <c r="O277" s="108"/>
    </row>
    <row r="278" spans="1:15">
      <c r="A278" s="106">
        <v>95018603</v>
      </c>
      <c r="B278" s="106">
        <v>0</v>
      </c>
      <c r="C278" s="106">
        <v>13402</v>
      </c>
      <c r="D278" s="106" t="s">
        <v>889</v>
      </c>
      <c r="E278" s="106">
        <v>686</v>
      </c>
      <c r="F278" s="106" t="s">
        <v>906</v>
      </c>
      <c r="G278" s="106">
        <v>0</v>
      </c>
      <c r="H278" s="106" t="s">
        <v>573</v>
      </c>
      <c r="I278" s="106">
        <v>0</v>
      </c>
      <c r="J278" s="106">
        <v>1</v>
      </c>
      <c r="K278" s="106">
        <v>142</v>
      </c>
      <c r="L278" s="106">
        <v>554</v>
      </c>
      <c r="M278" s="106">
        <v>0</v>
      </c>
      <c r="N278" s="106">
        <v>0</v>
      </c>
      <c r="O278" s="108"/>
    </row>
    <row r="279" spans="1:15">
      <c r="A279" s="106">
        <v>95018701</v>
      </c>
      <c r="B279" s="106">
        <v>0</v>
      </c>
      <c r="C279" s="106">
        <v>13402</v>
      </c>
      <c r="D279" s="106" t="s">
        <v>889</v>
      </c>
      <c r="E279" s="106">
        <v>687</v>
      </c>
      <c r="F279" s="106" t="s">
        <v>907</v>
      </c>
      <c r="G279" s="106">
        <v>0</v>
      </c>
      <c r="H279" s="106" t="s">
        <v>573</v>
      </c>
      <c r="I279" s="106">
        <v>0</v>
      </c>
      <c r="J279" s="106">
        <v>1</v>
      </c>
      <c r="K279" s="106">
        <v>143</v>
      </c>
      <c r="L279" s="106">
        <v>555</v>
      </c>
      <c r="M279" s="106">
        <v>0</v>
      </c>
      <c r="N279" s="106">
        <v>0</v>
      </c>
      <c r="O279" s="108"/>
    </row>
    <row r="280" spans="1:15">
      <c r="A280" s="106">
        <v>95900012</v>
      </c>
      <c r="B280" s="106">
        <v>1</v>
      </c>
      <c r="C280" s="106">
        <v>13120</v>
      </c>
      <c r="D280" s="106" t="s">
        <v>591</v>
      </c>
      <c r="E280" s="106">
        <v>301</v>
      </c>
      <c r="F280" s="106" t="s">
        <v>908</v>
      </c>
      <c r="G280" s="106">
        <v>0</v>
      </c>
      <c r="H280" s="106" t="s">
        <v>573</v>
      </c>
      <c r="I280" s="106">
        <v>0</v>
      </c>
      <c r="J280" s="106">
        <v>1</v>
      </c>
      <c r="K280" s="106">
        <v>86</v>
      </c>
      <c r="L280" s="106">
        <v>285</v>
      </c>
      <c r="M280" s="106">
        <v>1</v>
      </c>
      <c r="N280" s="106">
        <v>1</v>
      </c>
      <c r="O280" s="108"/>
    </row>
    <row r="281" spans="1:15">
      <c r="A281" s="106">
        <v>95900021</v>
      </c>
      <c r="B281" s="106">
        <v>1</v>
      </c>
      <c r="C281" s="106">
        <v>13120</v>
      </c>
      <c r="D281" s="106" t="s">
        <v>591</v>
      </c>
      <c r="E281" s="106">
        <v>302</v>
      </c>
      <c r="F281" s="106" t="s">
        <v>909</v>
      </c>
      <c r="G281" s="106">
        <v>0</v>
      </c>
      <c r="H281" s="106" t="s">
        <v>573</v>
      </c>
      <c r="I281" s="106">
        <v>0</v>
      </c>
      <c r="J281" s="106">
        <v>1</v>
      </c>
      <c r="K281" s="106">
        <v>87</v>
      </c>
      <c r="L281" s="106">
        <v>286</v>
      </c>
      <c r="M281" s="106">
        <v>1</v>
      </c>
      <c r="N281" s="106">
        <v>1</v>
      </c>
      <c r="O281" s="108"/>
    </row>
    <row r="282" spans="1:15">
      <c r="A282" s="106">
        <v>95900039</v>
      </c>
      <c r="B282" s="106">
        <v>1</v>
      </c>
      <c r="C282" s="106">
        <v>13120</v>
      </c>
      <c r="D282" s="106" t="s">
        <v>591</v>
      </c>
      <c r="E282" s="106">
        <v>303</v>
      </c>
      <c r="F282" s="106" t="s">
        <v>910</v>
      </c>
      <c r="G282" s="106">
        <v>0</v>
      </c>
      <c r="H282" s="106" t="s">
        <v>573</v>
      </c>
      <c r="I282" s="106">
        <v>0</v>
      </c>
      <c r="J282" s="106">
        <v>1</v>
      </c>
      <c r="K282" s="106">
        <v>88</v>
      </c>
      <c r="L282" s="106">
        <v>294</v>
      </c>
      <c r="M282" s="106">
        <v>1</v>
      </c>
      <c r="N282" s="106">
        <v>1</v>
      </c>
      <c r="O282" s="108"/>
    </row>
    <row r="283" spans="1:15">
      <c r="A283" s="106">
        <v>95900047</v>
      </c>
      <c r="B283" s="106">
        <v>1</v>
      </c>
      <c r="C283" s="106">
        <v>13120</v>
      </c>
      <c r="D283" s="106" t="s">
        <v>591</v>
      </c>
      <c r="E283" s="106">
        <v>304</v>
      </c>
      <c r="F283" s="106" t="s">
        <v>911</v>
      </c>
      <c r="G283" s="106">
        <v>0</v>
      </c>
      <c r="H283" s="106" t="s">
        <v>573</v>
      </c>
      <c r="I283" s="106">
        <v>0</v>
      </c>
      <c r="J283" s="106">
        <v>1</v>
      </c>
      <c r="K283" s="106">
        <v>89</v>
      </c>
      <c r="L283" s="106">
        <v>287</v>
      </c>
      <c r="M283" s="106">
        <v>1</v>
      </c>
      <c r="N283" s="106">
        <v>1</v>
      </c>
      <c r="O283" s="108"/>
    </row>
    <row r="284" spans="1:15">
      <c r="A284" s="106">
        <v>95900055</v>
      </c>
      <c r="B284" s="106">
        <v>1</v>
      </c>
      <c r="C284" s="106">
        <v>13120</v>
      </c>
      <c r="D284" s="106" t="s">
        <v>591</v>
      </c>
      <c r="E284" s="106">
        <v>305</v>
      </c>
      <c r="F284" s="106" t="s">
        <v>912</v>
      </c>
      <c r="G284" s="106">
        <v>0</v>
      </c>
      <c r="H284" s="106" t="s">
        <v>573</v>
      </c>
      <c r="I284" s="106">
        <v>0</v>
      </c>
      <c r="J284" s="106">
        <v>1</v>
      </c>
      <c r="K284" s="106">
        <v>90</v>
      </c>
      <c r="L284" s="106">
        <v>288</v>
      </c>
      <c r="M284" s="106">
        <v>1</v>
      </c>
      <c r="N284" s="106">
        <v>1</v>
      </c>
      <c r="O284" s="108"/>
    </row>
    <row r="285" spans="1:15">
      <c r="A285" s="106">
        <v>95900063</v>
      </c>
      <c r="B285" s="106">
        <v>1</v>
      </c>
      <c r="C285" s="106">
        <v>13120</v>
      </c>
      <c r="D285" s="106" t="s">
        <v>591</v>
      </c>
      <c r="E285" s="106">
        <v>306</v>
      </c>
      <c r="F285" s="106" t="s">
        <v>913</v>
      </c>
      <c r="G285" s="106">
        <v>0</v>
      </c>
      <c r="H285" s="106" t="s">
        <v>573</v>
      </c>
      <c r="I285" s="106">
        <v>0</v>
      </c>
      <c r="J285" s="106">
        <v>1</v>
      </c>
      <c r="K285" s="106">
        <v>91</v>
      </c>
      <c r="L285" s="106">
        <v>289</v>
      </c>
      <c r="M285" s="106">
        <v>1</v>
      </c>
      <c r="N285" s="106">
        <v>0</v>
      </c>
      <c r="O285" s="108"/>
    </row>
    <row r="286" spans="1:15">
      <c r="A286" s="106">
        <v>95900071</v>
      </c>
      <c r="B286" s="106">
        <v>1</v>
      </c>
      <c r="C286" s="106">
        <v>13120</v>
      </c>
      <c r="D286" s="106" t="s">
        <v>591</v>
      </c>
      <c r="E286" s="106">
        <v>307</v>
      </c>
      <c r="F286" s="106" t="s">
        <v>914</v>
      </c>
      <c r="G286" s="106">
        <v>0</v>
      </c>
      <c r="H286" s="106" t="s">
        <v>573</v>
      </c>
      <c r="I286" s="106">
        <v>0</v>
      </c>
      <c r="J286" s="106">
        <v>1</v>
      </c>
      <c r="K286" s="106">
        <v>92</v>
      </c>
      <c r="L286" s="106">
        <v>300</v>
      </c>
      <c r="M286" s="106">
        <v>0</v>
      </c>
      <c r="N286" s="106">
        <v>1</v>
      </c>
      <c r="O286" s="108"/>
    </row>
    <row r="287" spans="1:15">
      <c r="A287" s="106">
        <v>95900080</v>
      </c>
      <c r="B287" s="106">
        <v>1</v>
      </c>
      <c r="C287" s="106">
        <v>13120</v>
      </c>
      <c r="D287" s="106" t="s">
        <v>591</v>
      </c>
      <c r="E287" s="106">
        <v>308</v>
      </c>
      <c r="F287" s="106" t="s">
        <v>915</v>
      </c>
      <c r="G287" s="106">
        <v>0</v>
      </c>
      <c r="H287" s="106" t="s">
        <v>573</v>
      </c>
      <c r="I287" s="106">
        <v>0</v>
      </c>
      <c r="J287" s="106">
        <v>1</v>
      </c>
      <c r="K287" s="106">
        <v>93</v>
      </c>
      <c r="L287" s="106">
        <v>303</v>
      </c>
      <c r="M287" s="106">
        <v>0</v>
      </c>
      <c r="N287" s="106">
        <v>1</v>
      </c>
      <c r="O287" s="108"/>
    </row>
    <row r="288" spans="1:15">
      <c r="A288" s="106">
        <v>95900098</v>
      </c>
      <c r="B288" s="106">
        <v>1</v>
      </c>
      <c r="C288" s="106">
        <v>13120</v>
      </c>
      <c r="D288" s="106" t="s">
        <v>591</v>
      </c>
      <c r="E288" s="106">
        <v>309</v>
      </c>
      <c r="F288" s="106" t="s">
        <v>916</v>
      </c>
      <c r="G288" s="106">
        <v>0</v>
      </c>
      <c r="H288" s="106" t="s">
        <v>573</v>
      </c>
      <c r="I288" s="106">
        <v>0</v>
      </c>
      <c r="J288" s="106">
        <v>1</v>
      </c>
      <c r="K288" s="106">
        <v>94</v>
      </c>
      <c r="L288" s="106">
        <v>301</v>
      </c>
      <c r="M288" s="106">
        <v>0</v>
      </c>
      <c r="N288" s="106">
        <v>1</v>
      </c>
      <c r="O288" s="108"/>
    </row>
    <row r="289" spans="1:15">
      <c r="A289" s="106">
        <v>95900101</v>
      </c>
      <c r="B289" s="106">
        <v>1</v>
      </c>
      <c r="C289" s="106">
        <v>13120</v>
      </c>
      <c r="D289" s="106" t="s">
        <v>591</v>
      </c>
      <c r="E289" s="106">
        <v>310</v>
      </c>
      <c r="F289" s="106" t="s">
        <v>917</v>
      </c>
      <c r="G289" s="106">
        <v>0</v>
      </c>
      <c r="H289" s="106" t="s">
        <v>573</v>
      </c>
      <c r="I289" s="106">
        <v>0</v>
      </c>
      <c r="J289" s="106">
        <v>1</v>
      </c>
      <c r="K289" s="106">
        <v>95</v>
      </c>
      <c r="L289" s="106">
        <v>292</v>
      </c>
      <c r="M289" s="106">
        <v>0</v>
      </c>
      <c r="N289" s="106">
        <v>1</v>
      </c>
      <c r="O289" s="108"/>
    </row>
    <row r="290" spans="1:15">
      <c r="A290" s="106">
        <v>95900110</v>
      </c>
      <c r="B290" s="106">
        <v>1</v>
      </c>
      <c r="C290" s="106">
        <v>13120</v>
      </c>
      <c r="D290" s="106" t="s">
        <v>591</v>
      </c>
      <c r="E290" s="106">
        <v>311</v>
      </c>
      <c r="F290" s="106" t="s">
        <v>918</v>
      </c>
      <c r="G290" s="106">
        <v>0</v>
      </c>
      <c r="H290" s="106" t="s">
        <v>573</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315</v>
      </c>
    </row>
    <row r="4" spans="2:33">
      <c r="B4" s="84" t="s">
        <v>316</v>
      </c>
      <c r="E4" s="84" t="s">
        <v>317</v>
      </c>
      <c r="J4" s="84" t="s">
        <v>318</v>
      </c>
      <c r="N4" s="84" t="s">
        <v>319</v>
      </c>
      <c r="S4" s="84" t="s">
        <v>320</v>
      </c>
      <c r="X4" s="84" t="s">
        <v>321</v>
      </c>
      <c r="AC4" s="84" t="s">
        <v>322</v>
      </c>
    </row>
    <row r="6" spans="2:33" ht="13.2" thickBot="1">
      <c r="B6" s="85" t="s">
        <v>323</v>
      </c>
      <c r="C6" s="86" t="s">
        <v>324</v>
      </c>
      <c r="E6" s="85" t="s">
        <v>325</v>
      </c>
      <c r="F6" s="87" t="s">
        <v>326</v>
      </c>
      <c r="G6" s="87" t="s">
        <v>327</v>
      </c>
      <c r="H6" s="86" t="s">
        <v>14</v>
      </c>
      <c r="J6" s="85" t="s">
        <v>325</v>
      </c>
      <c r="K6" s="87" t="s">
        <v>327</v>
      </c>
      <c r="L6" s="86" t="s">
        <v>14</v>
      </c>
      <c r="N6" s="85" t="s">
        <v>325</v>
      </c>
      <c r="O6" s="87" t="s">
        <v>328</v>
      </c>
      <c r="P6" s="87" t="s">
        <v>327</v>
      </c>
      <c r="Q6" s="86" t="s">
        <v>14</v>
      </c>
      <c r="S6" s="85" t="s">
        <v>325</v>
      </c>
      <c r="T6" s="87" t="s">
        <v>328</v>
      </c>
      <c r="U6" s="87" t="s">
        <v>327</v>
      </c>
      <c r="V6" s="86" t="s">
        <v>14</v>
      </c>
      <c r="X6" s="85" t="s">
        <v>325</v>
      </c>
      <c r="Y6" s="87" t="s">
        <v>328</v>
      </c>
      <c r="Z6" s="87" t="s">
        <v>327</v>
      </c>
      <c r="AA6" s="86" t="s">
        <v>14</v>
      </c>
      <c r="AC6" s="85" t="s">
        <v>325</v>
      </c>
      <c r="AD6" s="87" t="s">
        <v>329</v>
      </c>
      <c r="AE6" s="87" t="s">
        <v>330</v>
      </c>
      <c r="AF6" s="87" t="s">
        <v>327</v>
      </c>
      <c r="AG6" s="86" t="s">
        <v>14</v>
      </c>
    </row>
    <row r="7" spans="2:33" ht="13.2" thickTop="1">
      <c r="B7" s="88" t="s">
        <v>331</v>
      </c>
      <c r="C7" s="89" t="s">
        <v>332</v>
      </c>
      <c r="E7" s="88" t="s">
        <v>333</v>
      </c>
      <c r="F7" s="84" t="s">
        <v>334</v>
      </c>
      <c r="G7" s="84" t="s">
        <v>111</v>
      </c>
      <c r="H7" s="89"/>
      <c r="J7" s="88" t="s">
        <v>335</v>
      </c>
      <c r="K7" s="84" t="s">
        <v>336</v>
      </c>
      <c r="L7" s="89"/>
      <c r="N7" s="88" t="s">
        <v>337</v>
      </c>
      <c r="P7" s="84" t="s">
        <v>336</v>
      </c>
      <c r="Q7" s="89"/>
      <c r="S7" s="88" t="s">
        <v>338</v>
      </c>
      <c r="T7" s="84" t="s">
        <v>339</v>
      </c>
      <c r="U7" s="84" t="s">
        <v>340</v>
      </c>
      <c r="V7" s="89"/>
      <c r="X7" s="88" t="s">
        <v>341</v>
      </c>
      <c r="Z7" s="84" t="s">
        <v>342</v>
      </c>
      <c r="AA7" s="89"/>
      <c r="AC7" s="88" t="s">
        <v>343</v>
      </c>
      <c r="AE7" s="84" t="s">
        <v>35</v>
      </c>
      <c r="AF7" s="84" t="s">
        <v>344</v>
      </c>
      <c r="AG7" s="89"/>
    </row>
    <row r="8" spans="2:33">
      <c r="B8" s="88" t="s">
        <v>345</v>
      </c>
      <c r="C8" s="89" t="s">
        <v>346</v>
      </c>
      <c r="E8" s="88" t="s">
        <v>347</v>
      </c>
      <c r="F8" s="84" t="s">
        <v>35</v>
      </c>
      <c r="G8" s="84" t="s">
        <v>344</v>
      </c>
      <c r="H8" s="89"/>
      <c r="J8" s="88"/>
      <c r="K8" s="84" t="s">
        <v>348</v>
      </c>
      <c r="L8" s="89"/>
      <c r="N8" s="90" t="s">
        <v>349</v>
      </c>
      <c r="O8" s="84" t="s">
        <v>350</v>
      </c>
      <c r="P8" s="84" t="s">
        <v>336</v>
      </c>
      <c r="Q8" s="89"/>
      <c r="S8" s="88"/>
      <c r="U8" s="84" t="s">
        <v>351</v>
      </c>
      <c r="V8" s="89"/>
      <c r="X8" s="88" t="s">
        <v>352</v>
      </c>
      <c r="Z8" s="84" t="s">
        <v>353</v>
      </c>
      <c r="AA8" s="89"/>
      <c r="AC8" s="88"/>
      <c r="AF8" s="84" t="s">
        <v>351</v>
      </c>
      <c r="AG8" s="89"/>
    </row>
    <row r="9" spans="2:33">
      <c r="B9" s="88" t="s">
        <v>354</v>
      </c>
      <c r="C9" s="89" t="s">
        <v>355</v>
      </c>
      <c r="E9" s="88"/>
      <c r="G9" s="84" t="s">
        <v>356</v>
      </c>
      <c r="H9" s="89"/>
      <c r="J9" s="88"/>
      <c r="K9" s="84" t="s">
        <v>357</v>
      </c>
      <c r="L9" s="89" t="s">
        <v>358</v>
      </c>
      <c r="N9" s="90" t="s">
        <v>349</v>
      </c>
      <c r="O9" s="84" t="s">
        <v>359</v>
      </c>
      <c r="P9" s="84" t="s">
        <v>336</v>
      </c>
      <c r="Q9" s="89"/>
      <c r="S9" s="88"/>
      <c r="U9" s="84" t="s">
        <v>353</v>
      </c>
      <c r="V9" s="89"/>
      <c r="X9" s="88" t="s">
        <v>360</v>
      </c>
      <c r="Y9" s="84" t="s">
        <v>361</v>
      </c>
      <c r="Z9" s="84" t="s">
        <v>353</v>
      </c>
      <c r="AA9" s="89" t="s">
        <v>362</v>
      </c>
      <c r="AC9" s="88"/>
      <c r="AF9" s="84" t="s">
        <v>363</v>
      </c>
      <c r="AG9" s="89"/>
    </row>
    <row r="10" spans="2:33">
      <c r="B10" s="88" t="s">
        <v>364</v>
      </c>
      <c r="C10" s="89" t="s">
        <v>365</v>
      </c>
      <c r="E10" s="88"/>
      <c r="G10" s="84" t="s">
        <v>366</v>
      </c>
      <c r="H10" s="89"/>
      <c r="J10" s="88" t="s">
        <v>367</v>
      </c>
      <c r="K10" s="84" t="s">
        <v>351</v>
      </c>
      <c r="L10" s="89"/>
      <c r="N10" s="88" t="s">
        <v>368</v>
      </c>
      <c r="P10" s="84" t="s">
        <v>336</v>
      </c>
      <c r="Q10" s="89"/>
      <c r="S10" s="88"/>
      <c r="U10" s="84" t="s">
        <v>369</v>
      </c>
      <c r="V10" s="89"/>
      <c r="X10" s="88" t="s">
        <v>360</v>
      </c>
      <c r="Y10" s="84" t="s">
        <v>370</v>
      </c>
      <c r="Z10" s="84" t="s">
        <v>353</v>
      </c>
      <c r="AA10" s="89" t="s">
        <v>362</v>
      </c>
      <c r="AC10" s="88" t="s">
        <v>371</v>
      </c>
      <c r="AD10" s="84" t="s">
        <v>372</v>
      </c>
      <c r="AE10" s="84" t="s">
        <v>35</v>
      </c>
      <c r="AF10" s="84" t="s">
        <v>344</v>
      </c>
      <c r="AG10" s="89"/>
    </row>
    <row r="11" spans="2:33">
      <c r="B11" s="88" t="s">
        <v>373</v>
      </c>
      <c r="C11" s="89" t="s">
        <v>374</v>
      </c>
      <c r="E11" s="88" t="s">
        <v>375</v>
      </c>
      <c r="F11" s="84" t="s">
        <v>35</v>
      </c>
      <c r="G11" s="84" t="s">
        <v>344</v>
      </c>
      <c r="H11" s="89"/>
      <c r="J11" s="88"/>
      <c r="K11" s="84" t="s">
        <v>348</v>
      </c>
      <c r="L11" s="89"/>
      <c r="N11" s="90" t="s">
        <v>376</v>
      </c>
      <c r="O11" s="84" t="s">
        <v>377</v>
      </c>
      <c r="P11" s="84" t="s">
        <v>336</v>
      </c>
      <c r="Q11" s="89"/>
      <c r="S11" s="88" t="s">
        <v>338</v>
      </c>
      <c r="T11" s="84" t="s">
        <v>378</v>
      </c>
      <c r="U11" s="84" t="s">
        <v>369</v>
      </c>
      <c r="V11" s="89"/>
      <c r="X11" s="88" t="s">
        <v>379</v>
      </c>
      <c r="Y11" s="84" t="s">
        <v>380</v>
      </c>
      <c r="Z11" s="84" t="s">
        <v>353</v>
      </c>
      <c r="AA11" s="89"/>
      <c r="AC11" s="88"/>
      <c r="AF11" s="84" t="s">
        <v>146</v>
      </c>
      <c r="AG11" s="89"/>
    </row>
    <row r="12" spans="2:33">
      <c r="B12" s="88" t="s">
        <v>381</v>
      </c>
      <c r="C12" s="89" t="s">
        <v>382</v>
      </c>
      <c r="E12" s="88"/>
      <c r="G12" s="84" t="s">
        <v>356</v>
      </c>
      <c r="H12" s="89"/>
      <c r="J12" s="88"/>
      <c r="K12" s="84" t="s">
        <v>357</v>
      </c>
      <c r="L12" s="89" t="s">
        <v>358</v>
      </c>
      <c r="N12" s="88" t="s">
        <v>383</v>
      </c>
      <c r="P12" s="84" t="s">
        <v>336</v>
      </c>
      <c r="Q12" s="89"/>
      <c r="S12" s="88"/>
      <c r="U12" s="84" t="s">
        <v>351</v>
      </c>
      <c r="V12" s="89"/>
      <c r="X12" s="88" t="s">
        <v>379</v>
      </c>
      <c r="Y12" s="84" t="s">
        <v>384</v>
      </c>
      <c r="Z12" s="84" t="s">
        <v>353</v>
      </c>
      <c r="AA12" s="89"/>
      <c r="AC12" s="88" t="s">
        <v>371</v>
      </c>
      <c r="AD12" s="84" t="s">
        <v>385</v>
      </c>
      <c r="AE12" s="84" t="s">
        <v>35</v>
      </c>
      <c r="AF12" s="84" t="s">
        <v>344</v>
      </c>
      <c r="AG12" s="89"/>
    </row>
    <row r="13" spans="2:33">
      <c r="B13" s="88" t="s">
        <v>386</v>
      </c>
      <c r="C13" s="89" t="s">
        <v>387</v>
      </c>
      <c r="E13" s="88"/>
      <c r="G13" s="84" t="s">
        <v>366</v>
      </c>
      <c r="H13" s="89"/>
      <c r="J13" s="88" t="s">
        <v>388</v>
      </c>
      <c r="K13" s="84" t="s">
        <v>351</v>
      </c>
      <c r="L13" s="89"/>
      <c r="N13" s="88" t="s">
        <v>389</v>
      </c>
      <c r="P13" s="84" t="s">
        <v>336</v>
      </c>
      <c r="Q13" s="89"/>
      <c r="S13" s="88"/>
      <c r="U13" s="84" t="s">
        <v>353</v>
      </c>
      <c r="V13" s="89"/>
      <c r="X13" s="88" t="s">
        <v>390</v>
      </c>
      <c r="Y13" s="84" t="s">
        <v>391</v>
      </c>
      <c r="Z13" s="84" t="s">
        <v>353</v>
      </c>
      <c r="AA13" s="89"/>
      <c r="AC13" s="88"/>
      <c r="AF13" s="84" t="s">
        <v>146</v>
      </c>
      <c r="AG13" s="89"/>
    </row>
    <row r="14" spans="2:33">
      <c r="B14" s="88" t="s">
        <v>392</v>
      </c>
      <c r="C14" s="89" t="s">
        <v>393</v>
      </c>
      <c r="E14" s="88" t="s">
        <v>394</v>
      </c>
      <c r="F14" s="84" t="s">
        <v>35</v>
      </c>
      <c r="G14" s="84" t="s">
        <v>344</v>
      </c>
      <c r="H14" s="89"/>
      <c r="J14" s="88"/>
      <c r="K14" s="84" t="s">
        <v>348</v>
      </c>
      <c r="L14" s="89"/>
      <c r="N14" s="88" t="s">
        <v>395</v>
      </c>
      <c r="O14" s="84" t="s">
        <v>396</v>
      </c>
      <c r="P14" s="84" t="s">
        <v>336</v>
      </c>
      <c r="Q14" s="89"/>
      <c r="S14" s="88"/>
      <c r="U14" s="84" t="s">
        <v>369</v>
      </c>
      <c r="V14" s="89"/>
      <c r="X14" s="88" t="s">
        <v>390</v>
      </c>
      <c r="Y14" s="84" t="s">
        <v>397</v>
      </c>
      <c r="Z14" s="84" t="s">
        <v>353</v>
      </c>
      <c r="AA14" s="89"/>
      <c r="AC14" s="88" t="s">
        <v>371</v>
      </c>
      <c r="AD14" s="84" t="s">
        <v>398</v>
      </c>
      <c r="AE14" s="84" t="s">
        <v>35</v>
      </c>
      <c r="AF14" s="84" t="s">
        <v>344</v>
      </c>
      <c r="AG14" s="89"/>
    </row>
    <row r="15" spans="2:33">
      <c r="B15" s="88" t="s">
        <v>399</v>
      </c>
      <c r="C15" s="89" t="s">
        <v>400</v>
      </c>
      <c r="E15" s="88"/>
      <c r="G15" s="84" t="s">
        <v>401</v>
      </c>
      <c r="H15" s="89"/>
      <c r="J15" s="88" t="s">
        <v>402</v>
      </c>
      <c r="K15" s="84" t="s">
        <v>336</v>
      </c>
      <c r="L15" s="89"/>
      <c r="N15" s="88" t="s">
        <v>395</v>
      </c>
      <c r="O15" s="84" t="s">
        <v>403</v>
      </c>
      <c r="P15" s="84" t="s">
        <v>336</v>
      </c>
      <c r="Q15" s="89"/>
      <c r="S15" s="88" t="s">
        <v>404</v>
      </c>
      <c r="U15" s="84" t="s">
        <v>369</v>
      </c>
      <c r="V15" s="89"/>
      <c r="X15" s="88" t="s">
        <v>390</v>
      </c>
      <c r="Y15" s="84" t="s">
        <v>405</v>
      </c>
      <c r="Z15" s="84" t="s">
        <v>406</v>
      </c>
      <c r="AA15" s="89"/>
      <c r="AC15" s="88"/>
      <c r="AF15" s="84" t="s">
        <v>146</v>
      </c>
      <c r="AG15" s="89"/>
    </row>
    <row r="16" spans="2:33">
      <c r="B16" s="88" t="s">
        <v>407</v>
      </c>
      <c r="C16" s="89" t="s">
        <v>408</v>
      </c>
      <c r="E16" s="88" t="s">
        <v>409</v>
      </c>
      <c r="F16" s="84" t="s">
        <v>35</v>
      </c>
      <c r="G16" s="84" t="s">
        <v>344</v>
      </c>
      <c r="H16" s="89"/>
      <c r="J16" s="91"/>
      <c r="K16" s="92" t="s">
        <v>410</v>
      </c>
      <c r="L16" s="93"/>
      <c r="N16" s="88" t="s">
        <v>411</v>
      </c>
      <c r="P16" s="84" t="s">
        <v>336</v>
      </c>
      <c r="Q16" s="89"/>
      <c r="S16" s="91" t="s">
        <v>412</v>
      </c>
      <c r="T16" s="92"/>
      <c r="U16" s="92" t="s">
        <v>413</v>
      </c>
      <c r="V16" s="93"/>
      <c r="X16" s="88" t="s">
        <v>414</v>
      </c>
      <c r="Y16" s="84" t="s">
        <v>415</v>
      </c>
      <c r="Z16" s="84" t="s">
        <v>353</v>
      </c>
      <c r="AA16" s="89"/>
      <c r="AC16" s="88" t="s">
        <v>416</v>
      </c>
      <c r="AD16" s="84" t="s">
        <v>417</v>
      </c>
      <c r="AE16" s="84" t="s">
        <v>35</v>
      </c>
      <c r="AF16" s="84" t="s">
        <v>344</v>
      </c>
      <c r="AG16" s="89"/>
    </row>
    <row r="17" spans="2:33">
      <c r="B17" s="88" t="s">
        <v>418</v>
      </c>
      <c r="C17" s="89" t="s">
        <v>419</v>
      </c>
      <c r="E17" s="88"/>
      <c r="G17" s="94" t="s">
        <v>420</v>
      </c>
      <c r="H17" s="89" t="s">
        <v>421</v>
      </c>
      <c r="N17" s="88" t="s">
        <v>422</v>
      </c>
      <c r="P17" s="84" t="s">
        <v>336</v>
      </c>
      <c r="Q17" s="89"/>
      <c r="X17" s="88" t="s">
        <v>423</v>
      </c>
      <c r="Y17" s="84" t="s">
        <v>424</v>
      </c>
      <c r="Z17" s="84" t="s">
        <v>353</v>
      </c>
      <c r="AA17" s="89"/>
      <c r="AC17" s="88"/>
      <c r="AF17" s="84" t="s">
        <v>146</v>
      </c>
      <c r="AG17" s="89"/>
    </row>
    <row r="18" spans="2:33">
      <c r="B18" s="95" t="s">
        <v>425</v>
      </c>
      <c r="C18" s="89"/>
      <c r="E18" s="88" t="s">
        <v>426</v>
      </c>
      <c r="F18" s="84" t="s">
        <v>35</v>
      </c>
      <c r="G18" s="84" t="s">
        <v>344</v>
      </c>
      <c r="H18" s="89"/>
      <c r="N18" s="88" t="s">
        <v>427</v>
      </c>
      <c r="P18" s="84" t="s">
        <v>336</v>
      </c>
      <c r="Q18" s="89"/>
      <c r="X18" s="88" t="s">
        <v>428</v>
      </c>
      <c r="Z18" s="84" t="s">
        <v>353</v>
      </c>
      <c r="AA18" s="89"/>
      <c r="AC18" s="88" t="s">
        <v>416</v>
      </c>
      <c r="AD18" s="84" t="s">
        <v>429</v>
      </c>
      <c r="AE18" s="84" t="s">
        <v>35</v>
      </c>
      <c r="AF18" s="84" t="s">
        <v>344</v>
      </c>
      <c r="AG18" s="89"/>
    </row>
    <row r="19" spans="2:33">
      <c r="B19" s="88" t="s">
        <v>430</v>
      </c>
      <c r="C19" s="89" t="s">
        <v>431</v>
      </c>
      <c r="E19" s="88"/>
      <c r="G19" s="84" t="s">
        <v>401</v>
      </c>
      <c r="H19" s="89"/>
      <c r="N19" s="91" t="s">
        <v>432</v>
      </c>
      <c r="O19" s="92"/>
      <c r="P19" s="92" t="s">
        <v>336</v>
      </c>
      <c r="Q19" s="93"/>
      <c r="X19" s="88" t="s">
        <v>433</v>
      </c>
      <c r="Z19" s="84" t="s">
        <v>353</v>
      </c>
      <c r="AA19" s="89"/>
      <c r="AC19" s="88"/>
      <c r="AF19" s="84" t="s">
        <v>146</v>
      </c>
      <c r="AG19" s="89"/>
    </row>
    <row r="20" spans="2:33">
      <c r="B20" s="88" t="s">
        <v>434</v>
      </c>
      <c r="C20" s="89" t="s">
        <v>393</v>
      </c>
      <c r="E20" s="88" t="s">
        <v>435</v>
      </c>
      <c r="F20" s="84" t="s">
        <v>35</v>
      </c>
      <c r="G20" s="84" t="s">
        <v>344</v>
      </c>
      <c r="H20" s="89"/>
      <c r="X20" s="91"/>
      <c r="Y20" s="92"/>
      <c r="Z20" s="92" t="s">
        <v>351</v>
      </c>
      <c r="AA20" s="93"/>
      <c r="AC20" s="88" t="s">
        <v>416</v>
      </c>
      <c r="AD20" s="84" t="s">
        <v>436</v>
      </c>
      <c r="AE20" s="84" t="s">
        <v>35</v>
      </c>
      <c r="AF20" s="84" t="s">
        <v>344</v>
      </c>
      <c r="AG20" s="89"/>
    </row>
    <row r="21" spans="2:33">
      <c r="B21" s="88" t="s">
        <v>437</v>
      </c>
      <c r="C21" s="89" t="s">
        <v>438</v>
      </c>
      <c r="E21" s="88" t="s">
        <v>439</v>
      </c>
      <c r="F21" s="84" t="s">
        <v>35</v>
      </c>
      <c r="G21" s="84" t="s">
        <v>344</v>
      </c>
      <c r="H21" s="89"/>
      <c r="AC21" s="88"/>
      <c r="AF21" s="84" t="s">
        <v>146</v>
      </c>
      <c r="AG21" s="89"/>
    </row>
    <row r="22" spans="2:33">
      <c r="B22" s="88" t="s">
        <v>440</v>
      </c>
      <c r="C22" s="89" t="s">
        <v>441</v>
      </c>
      <c r="E22" s="88"/>
      <c r="G22" s="84" t="s">
        <v>336</v>
      </c>
      <c r="H22" s="89"/>
      <c r="AC22" s="88" t="s">
        <v>416</v>
      </c>
      <c r="AD22" s="84" t="s">
        <v>442</v>
      </c>
      <c r="AE22" s="84" t="s">
        <v>35</v>
      </c>
      <c r="AF22" s="84" t="s">
        <v>344</v>
      </c>
      <c r="AG22" s="89"/>
    </row>
    <row r="23" spans="2:33">
      <c r="B23" s="88" t="s">
        <v>443</v>
      </c>
      <c r="C23" s="89" t="s">
        <v>444</v>
      </c>
      <c r="E23" s="88"/>
      <c r="G23" s="84" t="s">
        <v>357</v>
      </c>
      <c r="H23" s="89"/>
      <c r="AC23" s="88"/>
      <c r="AF23" s="84" t="s">
        <v>146</v>
      </c>
      <c r="AG23" s="89"/>
    </row>
    <row r="24" spans="2:33">
      <c r="B24" s="88" t="s">
        <v>445</v>
      </c>
      <c r="C24" s="89" t="s">
        <v>446</v>
      </c>
      <c r="E24" s="88" t="s">
        <v>447</v>
      </c>
      <c r="F24" s="84" t="s">
        <v>448</v>
      </c>
      <c r="G24" s="84" t="s">
        <v>111</v>
      </c>
      <c r="H24" s="89"/>
      <c r="AC24" s="88" t="s">
        <v>416</v>
      </c>
      <c r="AD24" s="84" t="s">
        <v>449</v>
      </c>
      <c r="AE24" s="84" t="s">
        <v>35</v>
      </c>
      <c r="AF24" s="84" t="s">
        <v>344</v>
      </c>
      <c r="AG24" s="89"/>
    </row>
    <row r="25" spans="2:33">
      <c r="B25" s="88" t="s">
        <v>450</v>
      </c>
      <c r="C25" s="89" t="s">
        <v>451</v>
      </c>
      <c r="E25" s="88" t="s">
        <v>452</v>
      </c>
      <c r="F25" s="84" t="s">
        <v>448</v>
      </c>
      <c r="G25" s="84" t="s">
        <v>111</v>
      </c>
      <c r="H25" s="89"/>
      <c r="AC25" s="88"/>
      <c r="AF25" s="84" t="s">
        <v>146</v>
      </c>
      <c r="AG25" s="89"/>
    </row>
    <row r="26" spans="2:33">
      <c r="B26" s="88" t="s">
        <v>453</v>
      </c>
      <c r="C26" s="89" t="s">
        <v>454</v>
      </c>
      <c r="E26" s="91" t="s">
        <v>455</v>
      </c>
      <c r="F26" s="92" t="s">
        <v>448</v>
      </c>
      <c r="G26" s="92" t="s">
        <v>111</v>
      </c>
      <c r="H26" s="93"/>
      <c r="AC26" s="88" t="s">
        <v>456</v>
      </c>
      <c r="AD26" s="84" t="s">
        <v>457</v>
      </c>
      <c r="AE26" s="84" t="s">
        <v>35</v>
      </c>
      <c r="AF26" s="84" t="s">
        <v>146</v>
      </c>
      <c r="AG26" s="89"/>
    </row>
    <row r="27" spans="2:33">
      <c r="B27" s="88" t="s">
        <v>458</v>
      </c>
      <c r="C27" s="89" t="s">
        <v>459</v>
      </c>
      <c r="AC27" s="88"/>
      <c r="AF27" s="84" t="s">
        <v>460</v>
      </c>
      <c r="AG27" s="89"/>
    </row>
    <row r="28" spans="2:33">
      <c r="B28" s="88" t="s">
        <v>461</v>
      </c>
      <c r="C28" s="89" t="s">
        <v>462</v>
      </c>
      <c r="AC28" s="88" t="s">
        <v>456</v>
      </c>
      <c r="AD28" s="84" t="s">
        <v>463</v>
      </c>
      <c r="AE28" s="84" t="s">
        <v>35</v>
      </c>
      <c r="AF28" s="84" t="s">
        <v>146</v>
      </c>
      <c r="AG28" s="89" t="s">
        <v>464</v>
      </c>
    </row>
    <row r="29" spans="2:33">
      <c r="B29" s="88" t="s">
        <v>465</v>
      </c>
      <c r="C29" s="89" t="s">
        <v>466</v>
      </c>
      <c r="AC29" s="88"/>
      <c r="AF29" s="84" t="s">
        <v>460</v>
      </c>
      <c r="AG29" s="89"/>
    </row>
    <row r="30" spans="2:33">
      <c r="B30" s="88" t="s">
        <v>467</v>
      </c>
      <c r="C30" s="89" t="s">
        <v>468</v>
      </c>
      <c r="AC30" s="88" t="s">
        <v>456</v>
      </c>
      <c r="AD30" s="84" t="s">
        <v>371</v>
      </c>
      <c r="AE30" s="84" t="s">
        <v>35</v>
      </c>
      <c r="AF30" s="84" t="s">
        <v>146</v>
      </c>
      <c r="AG30" s="89" t="s">
        <v>464</v>
      </c>
    </row>
    <row r="31" spans="2:33">
      <c r="B31" s="88" t="s">
        <v>469</v>
      </c>
      <c r="C31" s="89" t="s">
        <v>462</v>
      </c>
      <c r="AC31" s="88"/>
      <c r="AF31" s="84" t="s">
        <v>460</v>
      </c>
      <c r="AG31" s="89"/>
    </row>
    <row r="32" spans="2:33">
      <c r="B32" s="88" t="s">
        <v>470</v>
      </c>
      <c r="C32" s="89" t="s">
        <v>471</v>
      </c>
      <c r="AC32" s="88" t="s">
        <v>456</v>
      </c>
      <c r="AD32" s="84" t="s">
        <v>472</v>
      </c>
      <c r="AE32" s="84" t="s">
        <v>35</v>
      </c>
      <c r="AF32" s="84" t="s">
        <v>146</v>
      </c>
      <c r="AG32" s="89" t="s">
        <v>464</v>
      </c>
    </row>
    <row r="33" spans="2:33">
      <c r="B33" s="91" t="s">
        <v>473</v>
      </c>
      <c r="C33" s="93" t="s">
        <v>474</v>
      </c>
      <c r="AC33" s="88"/>
      <c r="AF33" s="84" t="s">
        <v>460</v>
      </c>
      <c r="AG33" s="89"/>
    </row>
    <row r="34" spans="2:33">
      <c r="AC34" s="88" t="s">
        <v>456</v>
      </c>
      <c r="AD34" s="84" t="s">
        <v>449</v>
      </c>
      <c r="AE34" s="84" t="s">
        <v>35</v>
      </c>
      <c r="AF34" s="84" t="s">
        <v>146</v>
      </c>
      <c r="AG34" s="89" t="s">
        <v>464</v>
      </c>
    </row>
    <row r="35" spans="2:33">
      <c r="AC35" s="88"/>
      <c r="AF35" s="84" t="s">
        <v>460</v>
      </c>
      <c r="AG35" s="89"/>
    </row>
    <row r="36" spans="2:33">
      <c r="AC36" s="88" t="s">
        <v>475</v>
      </c>
      <c r="AD36" s="84" t="s">
        <v>476</v>
      </c>
      <c r="AE36" s="84" t="s">
        <v>35</v>
      </c>
      <c r="AF36" s="84" t="s">
        <v>356</v>
      </c>
      <c r="AG36" s="89"/>
    </row>
    <row r="37" spans="2:33">
      <c r="AC37" s="88" t="s">
        <v>475</v>
      </c>
      <c r="AD37" s="84" t="s">
        <v>477</v>
      </c>
      <c r="AE37" s="84" t="s">
        <v>35</v>
      </c>
      <c r="AF37" s="84" t="s">
        <v>356</v>
      </c>
      <c r="AG37" s="89"/>
    </row>
    <row r="38" spans="2:33">
      <c r="AC38" s="88" t="s">
        <v>475</v>
      </c>
      <c r="AD38" s="84" t="s">
        <v>478</v>
      </c>
      <c r="AE38" s="84" t="s">
        <v>35</v>
      </c>
      <c r="AF38" s="84" t="s">
        <v>356</v>
      </c>
      <c r="AG38" s="89"/>
    </row>
    <row r="39" spans="2:33">
      <c r="AC39" s="88" t="s">
        <v>475</v>
      </c>
      <c r="AD39" s="84" t="s">
        <v>479</v>
      </c>
      <c r="AE39" s="84" t="s">
        <v>35</v>
      </c>
      <c r="AF39" s="84" t="s">
        <v>356</v>
      </c>
      <c r="AG39" s="89"/>
    </row>
    <row r="40" spans="2:33">
      <c r="AC40" s="88" t="s">
        <v>480</v>
      </c>
      <c r="AE40" s="84" t="s">
        <v>35</v>
      </c>
      <c r="AF40" s="84" t="s">
        <v>111</v>
      </c>
      <c r="AG40" s="89"/>
    </row>
    <row r="41" spans="2:33">
      <c r="AC41" s="88" t="s">
        <v>481</v>
      </c>
      <c r="AE41" s="84" t="s">
        <v>35</v>
      </c>
      <c r="AF41" s="84" t="s">
        <v>356</v>
      </c>
      <c r="AG41" s="89"/>
    </row>
    <row r="42" spans="2:33">
      <c r="AC42" s="88" t="s">
        <v>482</v>
      </c>
      <c r="AD42" s="84" t="s">
        <v>483</v>
      </c>
      <c r="AE42" s="84" t="s">
        <v>448</v>
      </c>
      <c r="AF42" s="84" t="s">
        <v>356</v>
      </c>
      <c r="AG42" s="89"/>
    </row>
    <row r="43" spans="2:33">
      <c r="AC43" s="88" t="s">
        <v>482</v>
      </c>
      <c r="AD43" s="84" t="s">
        <v>484</v>
      </c>
      <c r="AE43" s="84" t="s">
        <v>448</v>
      </c>
      <c r="AF43" s="84" t="s">
        <v>356</v>
      </c>
      <c r="AG43" s="89"/>
    </row>
    <row r="44" spans="2:33">
      <c r="AC44" s="88" t="s">
        <v>482</v>
      </c>
      <c r="AD44" s="84" t="s">
        <v>485</v>
      </c>
      <c r="AE44" s="84" t="s">
        <v>448</v>
      </c>
      <c r="AF44" s="84" t="s">
        <v>356</v>
      </c>
      <c r="AG44" s="89"/>
    </row>
    <row r="45" spans="2:33">
      <c r="AC45" s="88" t="s">
        <v>482</v>
      </c>
      <c r="AD45" s="84" t="s">
        <v>486</v>
      </c>
      <c r="AE45" s="84" t="s">
        <v>448</v>
      </c>
      <c r="AF45" s="84" t="s">
        <v>356</v>
      </c>
      <c r="AG45" s="89"/>
    </row>
    <row r="46" spans="2:33">
      <c r="AC46" s="88" t="s">
        <v>482</v>
      </c>
      <c r="AD46" s="84" t="s">
        <v>487</v>
      </c>
      <c r="AE46" s="84" t="s">
        <v>448</v>
      </c>
      <c r="AF46" s="84" t="s">
        <v>356</v>
      </c>
      <c r="AG46" s="89"/>
    </row>
    <row r="47" spans="2:33">
      <c r="AC47" s="88" t="s">
        <v>488</v>
      </c>
      <c r="AD47" s="84" t="s">
        <v>489</v>
      </c>
      <c r="AE47" s="84" t="s">
        <v>448</v>
      </c>
      <c r="AF47" s="84" t="s">
        <v>356</v>
      </c>
      <c r="AG47" s="89"/>
    </row>
    <row r="48" spans="2:33">
      <c r="AC48" s="88" t="s">
        <v>488</v>
      </c>
      <c r="AD48" s="84" t="s">
        <v>490</v>
      </c>
      <c r="AE48" s="84" t="s">
        <v>448</v>
      </c>
      <c r="AF48" s="84" t="s">
        <v>356</v>
      </c>
      <c r="AG48" s="89"/>
    </row>
    <row r="49" spans="29:33">
      <c r="AC49" s="91" t="s">
        <v>491</v>
      </c>
      <c r="AD49" s="92" t="s">
        <v>489</v>
      </c>
      <c r="AE49" s="92" t="s">
        <v>448</v>
      </c>
      <c r="AF49" s="92" t="s">
        <v>356</v>
      </c>
      <c r="AG49" s="93"/>
    </row>
  </sheetData>
  <phoneticPr fontId="1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25532426-1C52-4651-A3CB-D13BF905FF56}"/>
</file>

<file path=customXml/itemProps3.xml><?xml version="1.0" encoding="utf-8"?>
<ds:datastoreItem xmlns:ds="http://schemas.openxmlformats.org/officeDocument/2006/customXml" ds:itemID="{C3B1A985-4E3A-417E-9A69-802E3198C712}">
  <ds:schemaRefs>
    <ds:schemaRef ds:uri="cc94ae7b-2025-4ffb-bd04-1297cd213e7a"/>
    <ds:schemaRef ds:uri="http://www.w3.org/XML/1998/namespace"/>
    <ds:schemaRef ds:uri="http://purl.org/dc/elements/1.1/"/>
    <ds:schemaRef ds:uri="http://purl.org/dc/dcmitype/"/>
    <ds:schemaRef ds:uri="http://schemas.microsoft.com/office/2006/metadata/properties"/>
    <ds:schemaRef ds:uri="http://purl.org/dc/terms/"/>
    <ds:schemaRef ds:uri="http://schemas.microsoft.com/office/2006/documentManagement/types"/>
    <ds:schemaRef ds:uri="http://schemas.openxmlformats.org/package/2006/metadata/core-properties"/>
    <ds:schemaRef ds:uri="http://schemas.microsoft.com/office/infopath/2007/PartnerControls"/>
    <ds:schemaRef ds:uri="925fb8bf-6124-4564-9086-bab0bf3276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2025-01-16T04:16:25Z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