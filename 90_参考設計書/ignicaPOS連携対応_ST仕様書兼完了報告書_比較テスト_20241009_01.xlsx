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205" documentId="13_ncr:1_{83417ED8-4D23-47BB-99B2-FB19FA0558F2}" xr6:coauthVersionLast="47" xr6:coauthVersionMax="47" xr10:uidLastSave="{FFB9181B-C0DB-47FE-B96E-29CF553ECE19}"/>
  <bookViews>
    <workbookView xWindow="-108" yWindow="-108" windowWidth="23256" windowHeight="12576" tabRatio="789" firstSheet="1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 concurrentManualCount="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<sst xmlns="http://schemas.openxmlformats.org/spreadsheetml/2006/main" count="1633" uniqueCount="388">
  <si>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</si>
  <si>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</si>
  <si>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</si>
  <si>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</si>
  <si>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</si>
  <si>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</si>
  <si>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</si>
  <si>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</si>
  <si>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</si>
  <si>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</si>
  <si>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</si>
  <si>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</si>
  <si>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</si>
  <si>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</si>
  <si>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</si>
  <si>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</si>
  <si>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</si>
  <si>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</si>
  <si>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</si>
  <si>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</si>
  <si>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</si>
  <si>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</si>
  <si>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</si>
  <si>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</si>
  <si>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</si>
  <si>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</si>
  <si>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</si>
  <si>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</si>
  <si>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</si>
  <si>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</si>
  <si>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</si>
  <si>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</si>
  <si>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</si>
  <si>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</si>
  <si>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</si>
  <si>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</si>
  <si>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</si>
  <si>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</si>
  <si>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</si>
  <si>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</si>
  <si>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</si>
  <si>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</si>
  <si>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</si>
  <si>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</si>
  <si>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</si>
  <si>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</si>
  <si>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</si>
  <si>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</si>
  <si>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LN_DETAIL.tsv</t>
  </si>
  <si>
    <t>LN_DISCOUNT.tsv</t>
  </si>
  <si>
    <t>TRANSACTION_TAX.tsv</t>
  </si>
  <si>
    <t>TRANSACTION_TENDER.tsv</t>
  </si>
  <si>
    <t>GIFT_CERT_TENDER.tsv</t>
  </si>
  <si>
    <t>GSFD_PNT_TRANS_HEADER.tsv</t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</si>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</sst>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3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Bình thường" xfId="0" builtinId="0"/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/>
  <cols>
    <col min="1" max="16384" width="12" style="5"/>
  </cols>
  <sheetData>
    <row r="3" spans="3:11" ht="15.6" thickBot="1"/>
    <row r="4" spans="3:11" ht="23.45" thickTop="1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>
      <c r="C5" s="8"/>
      <c r="K5" s="9"/>
    </row>
    <row r="6" spans="3:11">
      <c r="C6" s="8"/>
      <c r="K6" s="9"/>
    </row>
    <row r="7" spans="3:11" ht="35.450000000000003">
      <c r="C7" s="113" t="s">
        <v>1</v>
      </c>
      <c r="D7" s="114"/>
      <c r="E7" s="114"/>
      <c r="F7" s="114"/>
      <c r="G7" s="114"/>
      <c r="H7" s="114"/>
      <c r="I7" s="114"/>
      <c r="J7" s="114"/>
      <c r="K7" s="115"/>
    </row>
    <row r="8" spans="3:11" ht="15" customHeight="1">
      <c r="C8" s="16"/>
      <c r="D8" s="17"/>
      <c r="E8" s="17"/>
      <c r="F8" s="17"/>
      <c r="G8" s="17"/>
      <c r="H8" s="17"/>
      <c r="I8" s="17"/>
      <c r="J8" s="17"/>
      <c r="K8" s="18"/>
    </row>
    <row r="9" spans="3:11" ht="35.450000000000003">
      <c r="C9" s="110" t="s">
        <v>2</v>
      </c>
      <c r="D9" s="111"/>
      <c r="E9" s="111"/>
      <c r="F9" s="111"/>
      <c r="G9" s="111"/>
      <c r="H9" s="111"/>
      <c r="I9" s="111"/>
      <c r="J9" s="111"/>
      <c r="K9" s="112"/>
    </row>
    <row r="10" spans="3:11" ht="35.450000000000003">
      <c r="C10" s="110" t="s">
        <v>3</v>
      </c>
      <c r="D10" s="111"/>
      <c r="E10" s="111"/>
      <c r="F10" s="111"/>
      <c r="G10" s="111"/>
      <c r="H10" s="111"/>
      <c r="I10" s="111"/>
      <c r="J10" s="111"/>
      <c r="K10" s="112"/>
    </row>
    <row r="11" spans="3:11">
      <c r="C11" s="8"/>
      <c r="K11" s="9"/>
    </row>
    <row r="12" spans="3:11" ht="15" customHeight="1" thickBot="1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/>
    <row r="14" spans="3:11" ht="15" customHeight="1"/>
    <row r="15" spans="3:11" ht="15" customHeight="1"/>
    <row r="16" spans="3:11" ht="15" customHeight="1"/>
    <row r="17" spans="3:9" ht="15" customHeight="1"/>
    <row r="18" spans="3:9" ht="18.600000000000001">
      <c r="E18" s="116" t="s">
        <v>4</v>
      </c>
      <c r="F18" s="116"/>
      <c r="G18" s="116"/>
      <c r="H18" s="116"/>
      <c r="I18" s="116"/>
    </row>
    <row r="19" spans="3:9" ht="15" customHeight="1"/>
    <row r="20" spans="3:9" ht="15" customHeight="1"/>
    <row r="21" spans="3:9" ht="18.600000000000001">
      <c r="C21" s="10"/>
      <c r="F21" s="117" t="s">
        <v>5</v>
      </c>
      <c r="G21" s="117"/>
      <c r="H21" s="117"/>
    </row>
    <row r="22" spans="3:9" ht="15" customHeight="1">
      <c r="C22" s="10"/>
      <c r="F22" s="11"/>
      <c r="G22" s="11"/>
      <c r="H22" s="11"/>
    </row>
    <row r="23" spans="3:9" ht="15" customHeight="1">
      <c r="C23" s="10"/>
      <c r="F23" s="11"/>
    </row>
    <row r="24" spans="3:9" ht="15" customHeight="1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D1" zoomScaleNormal="110" zoomScaleSheetLayoutView="100" workbookViewId="0">
      <pane ySplit="2" topLeftCell="A3" activePane="bottomLeft" state="frozen"/>
      <selection pane="bottomLeft" activeCell="S3" sqref="S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640625" style="4" bestFit="1" customWidth="1"/>
    <col min="18" max="18" width="4.5" style="4" bestFit="1" customWidth="1"/>
    <col min="19" max="19" width="7.83203125" style="4" customWidth="1"/>
    <col min="20" max="22" width="5.83203125" style="4" customWidth="1"/>
    <col min="23" max="23" width="7.5" style="4" customWidth="1"/>
    <col min="24" max="24" width="77.83203125" style="2" customWidth="1"/>
    <col min="25" max="25" width="13.1640625" style="2" bestFit="1" customWidth="1"/>
    <col min="26" max="16384" width="9.33203125" style="2"/>
  </cols>
  <sheetData>
    <row r="1" spans="1:24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40" t="s">
        <v>10</v>
      </c>
      <c r="F1" s="143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126" t="s">
        <v>17</v>
      </c>
    </row>
    <row r="2" spans="1:24" s="1" customFormat="1" ht="22.9">
      <c r="A2" s="135"/>
      <c r="B2" s="137"/>
      <c r="C2" s="139"/>
      <c r="D2" s="139"/>
      <c r="E2" s="141"/>
      <c r="F2" s="144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127"/>
    </row>
    <row r="3" spans="1:24" ht="22.9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48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38</v>
      </c>
      <c r="H4" s="98"/>
      <c r="I4" s="98"/>
      <c r="J4" s="99"/>
      <c r="K4" s="97" t="s">
        <v>38</v>
      </c>
      <c r="L4" s="98"/>
      <c r="M4" s="98"/>
      <c r="N4" s="100"/>
      <c r="O4" s="100"/>
      <c r="P4" s="100"/>
      <c r="Q4" s="100"/>
      <c r="R4" s="99"/>
      <c r="S4" s="107"/>
      <c r="T4" s="101"/>
      <c r="U4" s="102"/>
      <c r="V4" s="103"/>
      <c r="W4" s="104"/>
      <c r="X4" s="105"/>
    </row>
    <row r="5" spans="1:24" ht="22.9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38</v>
      </c>
      <c r="H6" s="98"/>
      <c r="I6" s="98"/>
      <c r="J6" s="99"/>
      <c r="K6" s="97" t="s">
        <v>38</v>
      </c>
      <c r="L6" s="98"/>
      <c r="M6" s="98"/>
      <c r="N6" s="100"/>
      <c r="O6" s="100"/>
      <c r="P6" s="100"/>
      <c r="Q6" s="100"/>
      <c r="R6" s="99"/>
      <c r="S6" s="107"/>
      <c r="T6" s="101"/>
      <c r="U6" s="102"/>
      <c r="V6" s="103"/>
      <c r="W6" s="104"/>
      <c r="X6" s="105"/>
    </row>
    <row r="7" spans="1:24" ht="11.4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38</v>
      </c>
      <c r="Q7" s="25"/>
      <c r="R7" s="24"/>
      <c r="S7" s="106"/>
      <c r="T7" s="26"/>
      <c r="U7" s="27"/>
      <c r="V7" s="28"/>
      <c r="W7" s="29"/>
      <c r="X7" s="30"/>
    </row>
    <row r="8" spans="1:24" ht="11.4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38</v>
      </c>
      <c r="Q8" s="25"/>
      <c r="R8" s="24"/>
      <c r="S8" s="106"/>
      <c r="T8" s="26"/>
      <c r="U8" s="27"/>
      <c r="V8" s="28"/>
      <c r="W8" s="29"/>
      <c r="X8" s="30"/>
    </row>
    <row r="9" spans="1:24" ht="11.45">
      <c r="A9" s="19">
        <f t="shared" si="1"/>
        <v>7</v>
      </c>
      <c r="B9" s="20"/>
      <c r="C9" s="33"/>
      <c r="D9" s="31" t="s">
        <v>48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38</v>
      </c>
      <c r="Q9" s="25"/>
      <c r="R9" s="24"/>
      <c r="S9" s="106"/>
      <c r="T9" s="26"/>
      <c r="U9" s="27"/>
      <c r="V9" s="28"/>
      <c r="W9" s="29"/>
      <c r="X9" s="30"/>
    </row>
    <row r="10" spans="1:24" ht="11.45">
      <c r="A10" s="19">
        <f t="shared" si="1"/>
        <v>8</v>
      </c>
      <c r="B10" s="20"/>
      <c r="C10" s="20"/>
      <c r="D10" s="31" t="s">
        <v>49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38</v>
      </c>
      <c r="Q10" s="25"/>
      <c r="R10" s="24"/>
      <c r="S10" s="106"/>
      <c r="T10" s="26"/>
      <c r="U10" s="27"/>
      <c r="V10" s="28"/>
      <c r="W10" s="29"/>
      <c r="X10" s="30"/>
    </row>
    <row r="11" spans="1:24" ht="11.45">
      <c r="A11" s="19">
        <f t="shared" si="1"/>
        <v>9</v>
      </c>
      <c r="B11" s="20"/>
      <c r="C11" s="20"/>
      <c r="D11" s="31" t="s">
        <v>50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38</v>
      </c>
      <c r="Q11" s="25"/>
      <c r="R11" s="24"/>
      <c r="S11" s="106"/>
      <c r="T11" s="26"/>
      <c r="U11" s="27"/>
      <c r="V11" s="28"/>
      <c r="W11" s="29"/>
      <c r="X11" s="30"/>
    </row>
    <row r="12" spans="1:24" ht="11.45">
      <c r="A12" s="19">
        <f t="shared" si="1"/>
        <v>10</v>
      </c>
      <c r="B12" s="20"/>
      <c r="C12" s="20"/>
      <c r="D12" s="31" t="s">
        <v>51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38</v>
      </c>
      <c r="Q12" s="25"/>
      <c r="R12" s="24"/>
      <c r="S12" s="106"/>
      <c r="T12" s="26"/>
      <c r="U12" s="27"/>
      <c r="V12" s="28"/>
      <c r="W12" s="29"/>
      <c r="X12" s="30"/>
    </row>
    <row r="13" spans="1:24" ht="11.45">
      <c r="A13" s="19">
        <f t="shared" si="1"/>
        <v>11</v>
      </c>
      <c r="B13" s="20"/>
      <c r="C13" s="20"/>
      <c r="D13" s="20" t="s">
        <v>52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38</v>
      </c>
      <c r="Q13" s="25"/>
      <c r="R13" s="24"/>
      <c r="S13" s="106"/>
      <c r="T13" s="26"/>
      <c r="U13" s="27"/>
      <c r="V13" s="28"/>
      <c r="W13" s="29"/>
      <c r="X13" s="30"/>
    </row>
    <row r="14" spans="1:24" ht="11.45">
      <c r="A14" s="19">
        <f t="shared" si="1"/>
        <v>12</v>
      </c>
      <c r="B14" s="20"/>
      <c r="C14" s="20"/>
      <c r="D14" s="20" t="s">
        <v>53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38</v>
      </c>
      <c r="Q14" s="25"/>
      <c r="R14" s="24"/>
      <c r="S14" s="106"/>
      <c r="T14" s="26"/>
      <c r="U14" s="27"/>
      <c r="V14" s="28"/>
      <c r="W14" s="29"/>
      <c r="X14" s="30"/>
    </row>
    <row r="15" spans="1:24" ht="11.45">
      <c r="A15" s="19">
        <f t="shared" si="1"/>
        <v>13</v>
      </c>
      <c r="B15" s="20"/>
      <c r="C15" s="20"/>
      <c r="D15" s="31" t="s">
        <v>54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/>
      <c r="W15" s="29"/>
      <c r="X15" s="30"/>
    </row>
    <row r="16" spans="1:24" ht="11.45">
      <c r="A16" s="19">
        <f t="shared" si="1"/>
        <v>14</v>
      </c>
      <c r="B16" s="33"/>
      <c r="C16" s="33"/>
      <c r="D16" s="31" t="s">
        <v>55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/>
      <c r="T16" s="26"/>
      <c r="U16" s="27"/>
      <c r="V16" s="28"/>
      <c r="W16" s="29"/>
      <c r="X16" s="30"/>
    </row>
    <row r="17" spans="1:24" ht="11.45">
      <c r="A17" s="19">
        <f t="shared" si="1"/>
        <v>15</v>
      </c>
      <c r="B17" s="33"/>
      <c r="C17" s="33"/>
      <c r="D17" s="31" t="s">
        <v>56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/>
      <c r="T17" s="26"/>
      <c r="U17" s="27"/>
      <c r="V17" s="28"/>
      <c r="W17" s="29"/>
      <c r="X17" s="30"/>
    </row>
    <row r="18" spans="1:24" s="3" customFormat="1" ht="12" customHeight="1">
      <c r="A18" s="34"/>
      <c r="B18" s="35"/>
      <c r="C18" s="36"/>
      <c r="D18" s="36"/>
      <c r="E18" s="35"/>
      <c r="F18" s="37" t="s">
        <v>57</v>
      </c>
      <c r="G18" s="38">
        <f t="shared" ref="G18:R18" si="2">COUNTIF(G3:G17,"●")</f>
        <v>0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0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0</v>
      </c>
      <c r="Q18" s="41">
        <f t="shared" si="2"/>
        <v>0</v>
      </c>
      <c r="R18" s="40">
        <f t="shared" si="2"/>
        <v>0</v>
      </c>
      <c r="S18" s="108"/>
      <c r="T18" s="122" t="s">
        <v>58</v>
      </c>
      <c r="U18" s="122"/>
      <c r="V18" s="123"/>
      <c r="W18" s="42" t="s">
        <v>59</v>
      </c>
      <c r="X18" s="43">
        <f>SUM(G18:R18)</f>
        <v>0</v>
      </c>
    </row>
    <row r="19" spans="1:24" s="3" customFormat="1" ht="12" customHeight="1">
      <c r="A19" s="44"/>
      <c r="B19" s="45" t="s">
        <v>60</v>
      </c>
      <c r="C19" s="46">
        <f>X20</f>
        <v>0</v>
      </c>
      <c r="D19" s="46"/>
      <c r="E19" s="45"/>
      <c r="F19" s="47" t="s">
        <v>61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4"/>
      <c r="U19" s="124"/>
      <c r="V19" s="125"/>
      <c r="W19" s="52" t="s">
        <v>59</v>
      </c>
      <c r="X19" s="53">
        <f t="shared" ref="X19:X21" si="4">SUM(G19:R19)</f>
        <v>0</v>
      </c>
    </row>
    <row r="20" spans="1:24" s="3" customFormat="1" ht="12" customHeight="1">
      <c r="A20" s="54" t="s">
        <v>62</v>
      </c>
      <c r="B20" s="55"/>
      <c r="C20" s="56"/>
      <c r="D20" s="56"/>
      <c r="E20" s="55"/>
      <c r="F20" s="57" t="s">
        <v>63</v>
      </c>
      <c r="G20" s="48">
        <f t="shared" ref="G20:R20" si="5">G18+G19</f>
        <v>0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0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0</v>
      </c>
      <c r="Q20" s="51">
        <f t="shared" si="5"/>
        <v>0</v>
      </c>
      <c r="R20" s="50">
        <f t="shared" si="5"/>
        <v>0</v>
      </c>
      <c r="S20" s="118"/>
      <c r="T20" s="128">
        <f>COUNTA(T3:T17)</f>
        <v>0</v>
      </c>
      <c r="U20" s="130">
        <f>COUNTA(U3:U17)</f>
        <v>0</v>
      </c>
      <c r="V20" s="132">
        <f>COUNTA(V3:V17)</f>
        <v>0</v>
      </c>
      <c r="W20" s="58" t="s">
        <v>59</v>
      </c>
      <c r="X20" s="53">
        <f t="shared" si="4"/>
        <v>0</v>
      </c>
    </row>
    <row r="21" spans="1:24" s="3" customFormat="1" ht="12" customHeight="1">
      <c r="A21" s="59"/>
      <c r="B21" s="60" t="s">
        <v>64</v>
      </c>
      <c r="C21" s="61">
        <f>X21</f>
        <v>15</v>
      </c>
      <c r="D21" s="61"/>
      <c r="E21" s="60"/>
      <c r="F21" s="62" t="s">
        <v>65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19"/>
      <c r="T21" s="129"/>
      <c r="U21" s="131"/>
      <c r="V21" s="133"/>
      <c r="W21" s="67" t="s">
        <v>59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pane="bottomLeft" activeCell="S3" sqref="S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5.83203125" style="2" bestFit="1" customWidth="1"/>
    <col min="3" max="3" width="28.1640625" style="2" customWidth="1"/>
    <col min="4" max="4" width="36" style="2" customWidth="1"/>
    <col min="5" max="5" width="38.6640625" style="2" customWidth="1"/>
    <col min="6" max="6" width="35.33203125" style="2" customWidth="1"/>
    <col min="7" max="13" width="4.5" style="4" bestFit="1" customWidth="1"/>
    <col min="14" max="16" width="4.5" style="4" customWidth="1"/>
    <col min="17" max="17" width="3.6640625" style="4" bestFit="1" customWidth="1"/>
    <col min="18" max="18" width="4.5" style="4" bestFit="1" customWidth="1"/>
    <col min="19" max="19" width="8.33203125" style="4" customWidth="1"/>
    <col min="20" max="22" width="5.83203125" style="4" customWidth="1"/>
    <col min="23" max="23" width="7.5" style="4" customWidth="1"/>
    <col min="24" max="24" width="39.33203125" style="2" customWidth="1"/>
    <col min="25" max="25" width="13.1640625" style="2" bestFit="1" customWidth="1"/>
    <col min="26" max="16384" width="9.33203125" style="2"/>
  </cols>
  <sheetData>
    <row r="1" spans="1:24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48"/>
      <c r="S1" s="120" t="s">
        <v>14</v>
      </c>
      <c r="T1" s="142" t="s">
        <v>15</v>
      </c>
      <c r="U1" s="142"/>
      <c r="V1" s="142"/>
      <c r="W1" s="126" t="s">
        <v>16</v>
      </c>
      <c r="X1" s="69"/>
    </row>
    <row r="2" spans="1:24" s="1" customFormat="1" ht="18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66</v>
      </c>
      <c r="P2" s="73" t="s">
        <v>25</v>
      </c>
      <c r="Q2" s="73" t="s">
        <v>27</v>
      </c>
      <c r="R2" s="73" t="s">
        <v>28</v>
      </c>
      <c r="S2" s="121"/>
      <c r="T2" s="71" t="s">
        <v>29</v>
      </c>
      <c r="U2" s="72" t="s">
        <v>30</v>
      </c>
      <c r="V2" s="73" t="s">
        <v>31</v>
      </c>
      <c r="W2" s="127"/>
      <c r="X2" s="70"/>
    </row>
    <row r="3" spans="1:24" ht="22.9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5">
      <c r="A4" s="19">
        <f t="shared" ref="A4:A13" si="0">ROW()-2</f>
        <v>2</v>
      </c>
      <c r="B4" s="20" t="s">
        <v>34</v>
      </c>
      <c r="C4" s="20" t="s">
        <v>68</v>
      </c>
      <c r="D4" s="96"/>
      <c r="E4" s="96" t="s">
        <v>69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/>
      <c r="U4" s="27"/>
      <c r="V4" s="28"/>
      <c r="W4" s="29"/>
      <c r="X4" s="30"/>
    </row>
    <row r="5" spans="1:24" ht="11.45">
      <c r="A5" s="19">
        <f t="shared" si="0"/>
        <v>3</v>
      </c>
      <c r="B5" s="20"/>
      <c r="C5" s="20" t="s">
        <v>72</v>
      </c>
      <c r="D5" s="20"/>
      <c r="E5" s="96" t="s">
        <v>69</v>
      </c>
      <c r="F5" s="32" t="s">
        <v>73</v>
      </c>
      <c r="G5" s="23" t="s">
        <v>71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/>
      <c r="U5" s="27"/>
      <c r="V5" s="28"/>
      <c r="W5" s="29"/>
      <c r="X5" s="30"/>
    </row>
    <row r="6" spans="1:24" ht="11.45">
      <c r="A6" s="19">
        <f t="shared" si="0"/>
        <v>4</v>
      </c>
      <c r="B6" s="20"/>
      <c r="C6" s="20" t="s">
        <v>74</v>
      </c>
      <c r="D6" s="20"/>
      <c r="E6" s="96" t="s">
        <v>69</v>
      </c>
      <c r="F6" s="32" t="s">
        <v>73</v>
      </c>
      <c r="G6" s="23" t="s">
        <v>71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/>
      <c r="U6" s="27"/>
      <c r="V6" s="28"/>
      <c r="W6" s="29"/>
      <c r="X6" s="30"/>
    </row>
    <row r="7" spans="1:24" ht="34.15">
      <c r="A7" s="19">
        <f t="shared" si="0"/>
        <v>5</v>
      </c>
      <c r="B7" s="20"/>
      <c r="C7" s="20" t="s">
        <v>75</v>
      </c>
      <c r="D7" s="31"/>
      <c r="E7" s="31" t="s">
        <v>76</v>
      </c>
      <c r="F7" s="32" t="s">
        <v>77</v>
      </c>
      <c r="G7" s="23" t="s">
        <v>71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/>
      <c r="U7" s="27"/>
      <c r="V7" s="28"/>
      <c r="W7" s="29"/>
      <c r="X7" s="30" t="s">
        <v>78</v>
      </c>
    </row>
    <row r="8" spans="1:24" ht="22.9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5">
      <c r="A9" s="19">
        <f t="shared" si="0"/>
        <v>7</v>
      </c>
      <c r="B9" s="20" t="s">
        <v>34</v>
      </c>
      <c r="C9" s="20" t="s">
        <v>68</v>
      </c>
      <c r="D9" s="96"/>
      <c r="E9" s="96" t="s">
        <v>79</v>
      </c>
      <c r="F9" s="32" t="s">
        <v>70</v>
      </c>
      <c r="G9" s="23" t="s">
        <v>71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/>
      <c r="U9" s="27"/>
      <c r="V9" s="28"/>
      <c r="W9" s="29"/>
      <c r="X9" s="30"/>
    </row>
    <row r="10" spans="1:24" ht="11.45">
      <c r="A10" s="19">
        <f t="shared" si="0"/>
        <v>8</v>
      </c>
      <c r="B10" s="20"/>
      <c r="C10" s="20" t="s">
        <v>72</v>
      </c>
      <c r="D10" s="20"/>
      <c r="E10" s="96" t="s">
        <v>79</v>
      </c>
      <c r="F10" s="32" t="s">
        <v>73</v>
      </c>
      <c r="G10" s="23" t="s">
        <v>71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/>
      <c r="U10" s="27"/>
      <c r="V10" s="28"/>
      <c r="W10" s="29"/>
      <c r="X10" s="30"/>
    </row>
    <row r="11" spans="1:24" ht="11.45">
      <c r="A11" s="19">
        <f t="shared" si="0"/>
        <v>9</v>
      </c>
      <c r="B11" s="20"/>
      <c r="C11" s="20" t="s">
        <v>74</v>
      </c>
      <c r="D11" s="20"/>
      <c r="E11" s="96" t="s">
        <v>79</v>
      </c>
      <c r="F11" s="32" t="s">
        <v>73</v>
      </c>
      <c r="G11" s="23" t="s">
        <v>71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/>
      <c r="U11" s="27"/>
      <c r="V11" s="28"/>
      <c r="W11" s="29"/>
      <c r="X11" s="30"/>
    </row>
    <row r="12" spans="1:24" ht="34.15">
      <c r="A12" s="19">
        <f t="shared" si="0"/>
        <v>10</v>
      </c>
      <c r="B12" s="20"/>
      <c r="C12" s="20" t="s">
        <v>75</v>
      </c>
      <c r="D12" s="31"/>
      <c r="E12" s="31" t="s">
        <v>76</v>
      </c>
      <c r="F12" s="32" t="s">
        <v>77</v>
      </c>
      <c r="G12" s="23" t="s">
        <v>71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/>
      <c r="U12" s="27"/>
      <c r="V12" s="28"/>
      <c r="W12" s="29"/>
      <c r="X12" s="30" t="s">
        <v>78</v>
      </c>
    </row>
    <row r="13" spans="1:24" ht="11.45">
      <c r="A13" s="19">
        <f t="shared" si="0"/>
        <v>11</v>
      </c>
      <c r="B13" s="20" t="s">
        <v>42</v>
      </c>
      <c r="C13" s="33"/>
      <c r="D13" s="31"/>
      <c r="E13" s="31" t="s">
        <v>80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>
      <c r="A14" s="34"/>
      <c r="B14" s="35"/>
      <c r="C14" s="36"/>
      <c r="D14" s="36"/>
      <c r="E14" s="35"/>
      <c r="F14" s="37" t="s">
        <v>57</v>
      </c>
      <c r="G14" s="38">
        <f t="shared" ref="G14:R14" si="1">COUNTIF(G3:G13,"●")</f>
        <v>0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2" t="s">
        <v>58</v>
      </c>
      <c r="U14" s="122"/>
      <c r="V14" s="123"/>
      <c r="W14" s="42" t="s">
        <v>59</v>
      </c>
      <c r="X14" s="43">
        <f>SUM(G14:R14)</f>
        <v>0</v>
      </c>
    </row>
    <row r="15" spans="1:24" s="3" customFormat="1" ht="12" customHeight="1">
      <c r="A15" s="44"/>
      <c r="B15" s="45" t="s">
        <v>60</v>
      </c>
      <c r="C15" s="46">
        <f>X16</f>
        <v>0</v>
      </c>
      <c r="D15" s="46"/>
      <c r="E15" s="45"/>
      <c r="F15" s="47" t="s">
        <v>61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4"/>
      <c r="U15" s="124"/>
      <c r="V15" s="125"/>
      <c r="W15" s="52" t="s">
        <v>59</v>
      </c>
      <c r="X15" s="53">
        <f>SUM(G15:R15)</f>
        <v>0</v>
      </c>
    </row>
    <row r="16" spans="1:24" s="3" customFormat="1" ht="12" customHeight="1">
      <c r="A16" s="54" t="s">
        <v>62</v>
      </c>
      <c r="B16" s="55"/>
      <c r="C16" s="56"/>
      <c r="D16" s="56"/>
      <c r="E16" s="55"/>
      <c r="F16" s="57" t="s">
        <v>63</v>
      </c>
      <c r="G16" s="48">
        <f t="shared" ref="G16:R16" si="3">G14+G15</f>
        <v>0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8"/>
      <c r="T16" s="128">
        <f>COUNTA(T3:T13)</f>
        <v>0</v>
      </c>
      <c r="U16" s="130">
        <f>COUNTA(U3:U13)</f>
        <v>0</v>
      </c>
      <c r="V16" s="132">
        <f>COUNTA(V3:V13)</f>
        <v>0</v>
      </c>
      <c r="W16" s="58" t="s">
        <v>59</v>
      </c>
      <c r="X16" s="53">
        <f>SUM(G16:R16)</f>
        <v>0</v>
      </c>
    </row>
    <row r="17" spans="1:24" s="3" customFormat="1" ht="12" customHeight="1">
      <c r="A17" s="59"/>
      <c r="B17" s="60" t="s">
        <v>64</v>
      </c>
      <c r="C17" s="61">
        <f>X17</f>
        <v>9</v>
      </c>
      <c r="D17" s="61"/>
      <c r="E17" s="60"/>
      <c r="F17" s="62" t="s">
        <v>65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19"/>
      <c r="T17" s="129"/>
      <c r="U17" s="131"/>
      <c r="V17" s="133"/>
      <c r="W17" s="67" t="s">
        <v>59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pane="bottomLeft" activeCell="R3" sqref="R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27.1640625" style="2" customWidth="1"/>
    <col min="4" max="4" width="21.6640625" style="2" customWidth="1"/>
    <col min="5" max="5" width="41" style="2" customWidth="1"/>
    <col min="6" max="6" width="35.33203125" style="2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7.6640625" style="4" customWidth="1"/>
    <col min="19" max="21" width="5.83203125" style="4" customWidth="1"/>
    <col min="22" max="22" width="7.5" style="4" customWidth="1"/>
    <col min="23" max="23" width="27.3320312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/>
      <c r="T4" s="27"/>
      <c r="U4" s="28"/>
      <c r="V4" s="29"/>
      <c r="W4" s="30"/>
    </row>
    <row r="5" spans="1:23" ht="57">
      <c r="A5" s="19">
        <f t="shared" ref="A5:A9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71</v>
      </c>
      <c r="O5" s="25"/>
      <c r="P5" s="25"/>
      <c r="Q5" s="24"/>
      <c r="R5" s="106"/>
      <c r="S5" s="26"/>
      <c r="T5" s="27"/>
      <c r="U5" s="28"/>
      <c r="V5" s="29"/>
      <c r="W5" s="30"/>
    </row>
    <row r="6" spans="1:23" ht="22.9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9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/>
      <c r="T7" s="27"/>
      <c r="U7" s="28"/>
      <c r="V7" s="29"/>
      <c r="W7" s="30"/>
    </row>
    <row r="8" spans="1:23" ht="57">
      <c r="A8" s="19">
        <f t="shared" si="1"/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71</v>
      </c>
      <c r="O8" s="25"/>
      <c r="P8" s="25"/>
      <c r="Q8" s="24"/>
      <c r="R8" s="106"/>
      <c r="S8" s="26"/>
      <c r="T8" s="27"/>
      <c r="U8" s="28"/>
      <c r="V8" s="29"/>
      <c r="W8" s="30"/>
    </row>
    <row r="9" spans="1:23" ht="11.45">
      <c r="A9" s="19">
        <f t="shared" si="1"/>
        <v>7</v>
      </c>
      <c r="B9" s="20" t="s">
        <v>42</v>
      </c>
      <c r="C9" s="20"/>
      <c r="D9" s="31"/>
      <c r="E9" s="31" t="s">
        <v>86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38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57</v>
      </c>
      <c r="G10" s="38">
        <f t="shared" ref="G10:Q10" si="3">COUNTIF(G3:G9,"●")</f>
        <v>0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0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4"/>
      <c r="T11" s="124"/>
      <c r="U11" s="125"/>
      <c r="V11" s="52" t="s">
        <v>59</v>
      </c>
      <c r="W11" s="53">
        <f t="shared" ref="W11:W13" si="5">SUM(G11:Q11)</f>
        <v>0</v>
      </c>
    </row>
    <row r="12" spans="1:23" s="3" customFormat="1" ht="12" customHeight="1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6">G10+G11</f>
        <v>0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0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8"/>
      <c r="S12" s="128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5"/>
        <v>0</v>
      </c>
    </row>
    <row r="13" spans="1:23" s="3" customFormat="1" ht="12" customHeight="1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19"/>
      <c r="S13" s="129"/>
      <c r="T13" s="131"/>
      <c r="U13" s="133"/>
      <c r="V13" s="67" t="s">
        <v>59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pane="bottomLeft" activeCell="G3" sqref="G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30.6640625" style="2" customWidth="1"/>
    <col min="4" max="4" width="20.5" style="2" customWidth="1"/>
    <col min="5" max="5" width="39.83203125" style="2" customWidth="1"/>
    <col min="6" max="6" width="50.1640625" style="2" bestFit="1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7.6640625" style="4" customWidth="1"/>
    <col min="19" max="21" width="5.83203125" style="4" customWidth="1"/>
    <col min="22" max="22" width="7.5" style="4" customWidth="1"/>
    <col min="23" max="23" width="27.3320312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87</v>
      </c>
      <c r="D4" s="96"/>
      <c r="E4" s="96" t="s">
        <v>81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5">
      <c r="A5" s="19">
        <f t="shared" ref="A5" si="1">ROW()-2</f>
        <v>3</v>
      </c>
      <c r="B5" s="20"/>
      <c r="C5" s="20" t="s">
        <v>88</v>
      </c>
      <c r="D5" s="31"/>
      <c r="E5" s="31" t="s">
        <v>89</v>
      </c>
      <c r="F5" s="32" t="s">
        <v>90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9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9">
      <c r="A7" s="19">
        <f t="shared" ref="A7" si="2">ROW()-2</f>
        <v>5</v>
      </c>
      <c r="B7" s="20" t="s">
        <v>40</v>
      </c>
      <c r="C7" s="20" t="s">
        <v>87</v>
      </c>
      <c r="D7" s="96"/>
      <c r="E7" s="96" t="s">
        <v>85</v>
      </c>
      <c r="F7" s="32" t="s">
        <v>70</v>
      </c>
      <c r="G7" s="23" t="s">
        <v>71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5">
      <c r="A8" s="19">
        <f t="shared" ref="A8" si="3">ROW()-2</f>
        <v>6</v>
      </c>
      <c r="B8" s="20"/>
      <c r="C8" s="20" t="s">
        <v>88</v>
      </c>
      <c r="D8" s="31"/>
      <c r="E8" s="31" t="s">
        <v>89</v>
      </c>
      <c r="F8" s="32" t="s">
        <v>90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5">
      <c r="A9" s="19">
        <f t="shared" ref="A9" si="4">ROW()-2</f>
        <v>7</v>
      </c>
      <c r="B9" s="20" t="s">
        <v>42</v>
      </c>
      <c r="C9" s="33"/>
      <c r="D9" s="20"/>
      <c r="E9" s="20" t="s">
        <v>91</v>
      </c>
      <c r="F9" s="32" t="s">
        <v>92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57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2" t="s">
        <v>58</v>
      </c>
      <c r="T10" s="122"/>
      <c r="U10" s="123"/>
      <c r="V10" s="42" t="s">
        <v>59</v>
      </c>
      <c r="W10" s="43">
        <f>SUM(G10:Q10)</f>
        <v>0</v>
      </c>
    </row>
    <row r="11" spans="1:23" s="3" customFormat="1" ht="12" customHeight="1">
      <c r="A11" s="44"/>
      <c r="B11" s="45" t="s">
        <v>60</v>
      </c>
      <c r="C11" s="46">
        <f>W12</f>
        <v>0</v>
      </c>
      <c r="D11" s="46"/>
      <c r="E11" s="45"/>
      <c r="F11" s="47" t="s">
        <v>61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4"/>
      <c r="T11" s="124"/>
      <c r="U11" s="125"/>
      <c r="V11" s="52" t="s">
        <v>59</v>
      </c>
      <c r="W11" s="53">
        <f t="shared" ref="W11:W13" si="7">SUM(G11:Q11)</f>
        <v>0</v>
      </c>
    </row>
    <row r="12" spans="1:23" s="3" customFormat="1" ht="12" customHeight="1">
      <c r="A12" s="54" t="s">
        <v>62</v>
      </c>
      <c r="B12" s="55"/>
      <c r="C12" s="56"/>
      <c r="D12" s="56"/>
      <c r="E12" s="55"/>
      <c r="F12" s="57" t="s">
        <v>63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1"/>
      <c r="S12" s="151">
        <f>COUNTA(S3:S9)</f>
        <v>0</v>
      </c>
      <c r="T12" s="130">
        <f>COUNTA(T3:T9)</f>
        <v>0</v>
      </c>
      <c r="U12" s="132">
        <f>COUNTA(U3:U9)</f>
        <v>0</v>
      </c>
      <c r="V12" s="58" t="s">
        <v>59</v>
      </c>
      <c r="W12" s="53">
        <f t="shared" si="7"/>
        <v>0</v>
      </c>
    </row>
    <row r="13" spans="1:23" s="3" customFormat="1" ht="12" customHeight="1">
      <c r="A13" s="59"/>
      <c r="B13" s="60" t="s">
        <v>64</v>
      </c>
      <c r="C13" s="61">
        <f>W13</f>
        <v>5</v>
      </c>
      <c r="D13" s="61"/>
      <c r="E13" s="60"/>
      <c r="F13" s="62" t="s">
        <v>65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2"/>
      <c r="S13" s="152"/>
      <c r="T13" s="131"/>
      <c r="U13" s="133"/>
      <c r="V13" s="67" t="s">
        <v>59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W118"/>
  <sheetViews>
    <sheetView view="pageBreakPreview" topLeftCell="B1" zoomScale="98" zoomScaleNormal="110" zoomScaleSheetLayoutView="98" workbookViewId="0">
      <pane ySplit="2" topLeftCell="A3" activePane="bottomLeft" state="frozen"/>
      <selection pane="bottomLeft" activeCell="R3" sqref="R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5.83203125" style="2" bestFit="1" customWidth="1"/>
    <col min="3" max="3" width="27.5" style="2" customWidth="1"/>
    <col min="4" max="4" width="39.6640625" style="2" bestFit="1" customWidth="1"/>
    <col min="5" max="5" width="36.1640625" style="2" customWidth="1"/>
    <col min="6" max="6" width="35.33203125" style="2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8.6640625" style="4" customWidth="1"/>
    <col min="19" max="21" width="5.83203125" style="4" customWidth="1"/>
    <col min="22" max="22" width="7.5" style="4" customWidth="1"/>
    <col min="23" max="23" width="48.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93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/>
      <c r="T4" s="27"/>
      <c r="U4" s="28"/>
      <c r="V4" s="29"/>
      <c r="W4" s="30"/>
    </row>
    <row r="5" spans="1:23" ht="22.9">
      <c r="A5" s="19">
        <f t="shared" ref="A5:A114" si="1">ROW()-2</f>
        <v>3</v>
      </c>
      <c r="B5" s="20"/>
      <c r="C5" s="20" t="s">
        <v>94</v>
      </c>
      <c r="D5" s="31" t="s">
        <v>95</v>
      </c>
      <c r="E5" s="31" t="s">
        <v>96</v>
      </c>
      <c r="F5" s="32" t="s">
        <v>97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45320</v>
      </c>
      <c r="S5" s="26"/>
      <c r="T5" s="26"/>
      <c r="U5" s="28"/>
      <c r="V5" s="29"/>
      <c r="W5" s="30" t="s">
        <v>98</v>
      </c>
    </row>
    <row r="6" spans="1:23" ht="22.9">
      <c r="A6" s="19">
        <f t="shared" si="1"/>
        <v>4</v>
      </c>
      <c r="B6" s="20"/>
      <c r="C6" s="20"/>
      <c r="D6" s="20" t="s">
        <v>99</v>
      </c>
      <c r="E6" s="31" t="s">
        <v>100</v>
      </c>
      <c r="F6" s="32" t="s">
        <v>97</v>
      </c>
      <c r="G6" s="22"/>
      <c r="H6" s="23"/>
      <c r="I6" s="23"/>
      <c r="J6" s="24"/>
      <c r="K6" s="22"/>
      <c r="L6" s="23"/>
      <c r="M6" s="23"/>
      <c r="N6" s="25" t="s">
        <v>38</v>
      </c>
      <c r="O6" s="25"/>
      <c r="P6" s="25"/>
      <c r="Q6" s="24"/>
      <c r="R6" s="106">
        <v>45320</v>
      </c>
      <c r="S6" s="26"/>
      <c r="T6" s="26"/>
      <c r="U6" s="28"/>
      <c r="V6" s="29"/>
      <c r="W6" s="30" t="s">
        <v>101</v>
      </c>
    </row>
    <row r="7" spans="1:23" ht="22.9">
      <c r="A7" s="19">
        <f t="shared" si="1"/>
        <v>5</v>
      </c>
      <c r="B7" s="20"/>
      <c r="C7" s="20"/>
      <c r="D7" s="20" t="s">
        <v>102</v>
      </c>
      <c r="E7" s="31" t="s">
        <v>100</v>
      </c>
      <c r="F7" s="32" t="s">
        <v>97</v>
      </c>
      <c r="G7" s="22"/>
      <c r="H7" s="23"/>
      <c r="I7" s="23"/>
      <c r="J7" s="24"/>
      <c r="K7" s="22"/>
      <c r="L7" s="23"/>
      <c r="M7" s="23"/>
      <c r="N7" s="25" t="s">
        <v>38</v>
      </c>
      <c r="O7" s="25"/>
      <c r="P7" s="25"/>
      <c r="Q7" s="24"/>
      <c r="R7" s="106">
        <v>45320</v>
      </c>
      <c r="S7" s="26"/>
      <c r="T7" s="26"/>
      <c r="U7" s="28"/>
      <c r="V7" s="29"/>
      <c r="W7" s="30" t="s">
        <v>103</v>
      </c>
    </row>
    <row r="8" spans="1:23" ht="22.9">
      <c r="A8" s="19">
        <f t="shared" si="1"/>
        <v>6</v>
      </c>
      <c r="B8" s="20"/>
      <c r="C8" s="20"/>
      <c r="D8" s="31" t="s">
        <v>104</v>
      </c>
      <c r="E8" s="31" t="s">
        <v>100</v>
      </c>
      <c r="F8" s="32" t="s">
        <v>97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45320</v>
      </c>
      <c r="S8" s="26"/>
      <c r="T8" s="26"/>
      <c r="U8" s="28"/>
      <c r="V8" s="29"/>
      <c r="W8" s="30" t="s">
        <v>105</v>
      </c>
    </row>
    <row r="9" spans="1:23" ht="22.9">
      <c r="A9" s="19">
        <f t="shared" si="1"/>
        <v>7</v>
      </c>
      <c r="B9" s="20"/>
      <c r="C9" s="20"/>
      <c r="D9" s="31" t="s">
        <v>106</v>
      </c>
      <c r="E9" s="31" t="s">
        <v>100</v>
      </c>
      <c r="F9" s="32" t="s">
        <v>97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45320</v>
      </c>
      <c r="S9" s="26"/>
      <c r="T9" s="26"/>
      <c r="U9" s="28"/>
      <c r="V9" s="29"/>
      <c r="W9" s="30" t="s">
        <v>107</v>
      </c>
    </row>
    <row r="10" spans="1:23" ht="22.9">
      <c r="A10" s="19">
        <f t="shared" si="1"/>
        <v>8</v>
      </c>
      <c r="B10" s="20"/>
      <c r="C10" s="20"/>
      <c r="D10" s="31" t="s">
        <v>108</v>
      </c>
      <c r="E10" s="31" t="s">
        <v>100</v>
      </c>
      <c r="F10" s="32" t="s">
        <v>97</v>
      </c>
      <c r="G10" s="22"/>
      <c r="H10" s="23"/>
      <c r="I10" s="23"/>
      <c r="J10" s="24"/>
      <c r="K10" s="22"/>
      <c r="L10" s="23"/>
      <c r="M10" s="23"/>
      <c r="N10" s="25" t="s">
        <v>38</v>
      </c>
      <c r="O10" s="25"/>
      <c r="P10" s="25"/>
      <c r="Q10" s="24"/>
      <c r="R10" s="106">
        <v>45320</v>
      </c>
      <c r="S10" s="26"/>
      <c r="T10" s="26"/>
      <c r="U10" s="28"/>
      <c r="V10" s="29"/>
      <c r="W10" s="30" t="s">
        <v>109</v>
      </c>
    </row>
    <row r="11" spans="1:23" ht="22.9">
      <c r="A11" s="19">
        <f t="shared" si="1"/>
        <v>9</v>
      </c>
      <c r="B11" s="20"/>
      <c r="C11" s="20"/>
      <c r="D11" s="31" t="s">
        <v>110</v>
      </c>
      <c r="E11" s="31" t="s">
        <v>100</v>
      </c>
      <c r="F11" s="32" t="s">
        <v>97</v>
      </c>
      <c r="G11" s="22"/>
      <c r="H11" s="23"/>
      <c r="I11" s="23"/>
      <c r="J11" s="24"/>
      <c r="K11" s="22"/>
      <c r="L11" s="23"/>
      <c r="M11" s="23"/>
      <c r="N11" s="25" t="s">
        <v>38</v>
      </c>
      <c r="O11" s="25"/>
      <c r="P11" s="25"/>
      <c r="Q11" s="24"/>
      <c r="R11" s="106">
        <v>45320</v>
      </c>
      <c r="S11" s="26"/>
      <c r="T11" s="26"/>
      <c r="U11" s="28"/>
      <c r="V11" s="29"/>
      <c r="W11" s="30" t="s">
        <v>111</v>
      </c>
    </row>
    <row r="12" spans="1:23" ht="11.45">
      <c r="A12" s="19">
        <f t="shared" si="1"/>
        <v>10</v>
      </c>
      <c r="B12" s="20"/>
      <c r="C12" s="20"/>
      <c r="D12" s="31" t="s">
        <v>112</v>
      </c>
      <c r="E12" s="31" t="s">
        <v>100</v>
      </c>
      <c r="F12" s="32" t="s">
        <v>97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/>
      <c r="T12" s="26"/>
      <c r="U12" s="28"/>
      <c r="V12" s="29"/>
      <c r="W12" s="30" t="s">
        <v>113</v>
      </c>
    </row>
    <row r="13" spans="1:23" ht="11.45">
      <c r="A13" s="19">
        <f t="shared" si="1"/>
        <v>11</v>
      </c>
      <c r="B13" s="20"/>
      <c r="C13" s="20"/>
      <c r="D13" s="31" t="s">
        <v>114</v>
      </c>
      <c r="E13" s="31" t="s">
        <v>100</v>
      </c>
      <c r="F13" s="32" t="s">
        <v>97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/>
      <c r="T13" s="27"/>
      <c r="U13" s="28"/>
      <c r="V13" s="29"/>
      <c r="W13" s="30" t="s">
        <v>115</v>
      </c>
    </row>
    <row r="14" spans="1:23" ht="11.45">
      <c r="A14" s="19">
        <f t="shared" si="1"/>
        <v>12</v>
      </c>
      <c r="B14" s="20"/>
      <c r="C14" s="20"/>
      <c r="D14" s="20" t="s">
        <v>116</v>
      </c>
      <c r="E14" s="31" t="s">
        <v>100</v>
      </c>
      <c r="F14" s="32" t="s">
        <v>97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/>
      <c r="T14" s="27"/>
      <c r="U14" s="28"/>
      <c r="V14" s="29"/>
      <c r="W14" s="30" t="s">
        <v>117</v>
      </c>
    </row>
    <row r="15" spans="1:23" ht="11.45">
      <c r="A15" s="19">
        <f t="shared" si="1"/>
        <v>13</v>
      </c>
      <c r="B15" s="20"/>
      <c r="C15" s="20"/>
      <c r="D15" s="20" t="s">
        <v>118</v>
      </c>
      <c r="E15" s="31" t="s">
        <v>100</v>
      </c>
      <c r="F15" s="32" t="s">
        <v>97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/>
      <c r="T15" s="27"/>
      <c r="U15" s="28"/>
      <c r="V15" s="29"/>
      <c r="W15" s="30" t="s">
        <v>119</v>
      </c>
    </row>
    <row r="16" spans="1:23" ht="11.45">
      <c r="A16" s="19">
        <f t="shared" si="1"/>
        <v>14</v>
      </c>
      <c r="B16" s="20"/>
      <c r="C16" s="20"/>
      <c r="D16" s="31" t="s">
        <v>120</v>
      </c>
      <c r="E16" s="31" t="s">
        <v>100</v>
      </c>
      <c r="F16" s="32" t="s">
        <v>97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/>
      <c r="T16" s="27"/>
      <c r="U16" s="28"/>
      <c r="V16" s="29"/>
      <c r="W16" s="30" t="s">
        <v>121</v>
      </c>
    </row>
    <row r="17" spans="1:23" ht="11.45">
      <c r="A17" s="19">
        <f t="shared" si="1"/>
        <v>15</v>
      </c>
      <c r="B17" s="20"/>
      <c r="C17" s="20"/>
      <c r="D17" s="31" t="s">
        <v>122</v>
      </c>
      <c r="E17" s="31" t="s">
        <v>100</v>
      </c>
      <c r="F17" s="32" t="s">
        <v>97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/>
      <c r="T17" s="27"/>
      <c r="U17" s="28"/>
      <c r="V17" s="29"/>
      <c r="W17" s="30" t="s">
        <v>123</v>
      </c>
    </row>
    <row r="18" spans="1:23" ht="11.45">
      <c r="A18" s="19">
        <f t="shared" si="1"/>
        <v>16</v>
      </c>
      <c r="B18" s="33"/>
      <c r="C18" s="33"/>
      <c r="D18" s="31" t="s">
        <v>124</v>
      </c>
      <c r="E18" s="31" t="s">
        <v>100</v>
      </c>
      <c r="F18" s="32" t="s">
        <v>97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/>
      <c r="T18" s="27"/>
      <c r="U18" s="28"/>
      <c r="V18" s="29"/>
      <c r="W18" s="30" t="s">
        <v>125</v>
      </c>
    </row>
    <row r="19" spans="1:23" ht="22.9">
      <c r="A19" s="19">
        <f t="shared" si="1"/>
        <v>17</v>
      </c>
      <c r="B19" s="33"/>
      <c r="C19" s="33"/>
      <c r="D19" s="31" t="s">
        <v>126</v>
      </c>
      <c r="E19" s="31" t="s">
        <v>100</v>
      </c>
      <c r="F19" s="32" t="s">
        <v>97</v>
      </c>
      <c r="G19" s="22"/>
      <c r="H19" s="23"/>
      <c r="I19" s="23"/>
      <c r="J19" s="24"/>
      <c r="K19" s="22"/>
      <c r="L19" s="23"/>
      <c r="M19" s="23"/>
      <c r="N19" s="25" t="s">
        <v>38</v>
      </c>
      <c r="O19" s="25"/>
      <c r="P19" s="25"/>
      <c r="Q19" s="24"/>
      <c r="R19" s="106">
        <v>45320</v>
      </c>
      <c r="S19" s="26"/>
      <c r="T19" s="27"/>
      <c r="U19" s="28"/>
      <c r="V19" s="29"/>
      <c r="W19" s="30" t="s">
        <v>127</v>
      </c>
    </row>
    <row r="20" spans="1:23" ht="11.45">
      <c r="A20" s="19">
        <f t="shared" si="1"/>
        <v>18</v>
      </c>
      <c r="B20" s="33"/>
      <c r="C20" s="33"/>
      <c r="D20" s="31" t="s">
        <v>128</v>
      </c>
      <c r="E20" s="31" t="s">
        <v>100</v>
      </c>
      <c r="F20" s="32" t="s">
        <v>97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/>
      <c r="T20" s="27"/>
      <c r="U20" s="28"/>
      <c r="V20" s="29"/>
      <c r="W20" s="30" t="s">
        <v>129</v>
      </c>
    </row>
    <row r="21" spans="1:23" ht="11.45">
      <c r="A21" s="19">
        <f t="shared" si="1"/>
        <v>19</v>
      </c>
      <c r="B21" s="33"/>
      <c r="C21" s="33"/>
      <c r="D21" s="31" t="s">
        <v>130</v>
      </c>
      <c r="E21" s="31" t="s">
        <v>100</v>
      </c>
      <c r="F21" s="32" t="s">
        <v>97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/>
      <c r="T21" s="27"/>
      <c r="U21" s="28"/>
      <c r="V21" s="29"/>
      <c r="W21" s="30" t="s">
        <v>131</v>
      </c>
    </row>
    <row r="22" spans="1:23" ht="11.45">
      <c r="A22" s="19">
        <f t="shared" si="1"/>
        <v>20</v>
      </c>
      <c r="B22" s="33"/>
      <c r="C22" s="20"/>
      <c r="D22" s="20" t="s">
        <v>132</v>
      </c>
      <c r="E22" s="31" t="s">
        <v>100</v>
      </c>
      <c r="F22" s="32" t="s">
        <v>97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/>
      <c r="T22" s="27"/>
      <c r="U22" s="28"/>
      <c r="V22" s="29"/>
      <c r="W22" s="30" t="s">
        <v>133</v>
      </c>
    </row>
    <row r="23" spans="1:23" ht="22.9">
      <c r="A23" s="19">
        <f t="shared" si="1"/>
        <v>21</v>
      </c>
      <c r="B23" s="33"/>
      <c r="C23" s="20"/>
      <c r="D23" s="20" t="s">
        <v>134</v>
      </c>
      <c r="E23" s="31" t="s">
        <v>100</v>
      </c>
      <c r="F23" s="32" t="s">
        <v>97</v>
      </c>
      <c r="G23" s="22"/>
      <c r="H23" s="23"/>
      <c r="I23" s="23"/>
      <c r="J23" s="24"/>
      <c r="K23" s="22"/>
      <c r="L23" s="23"/>
      <c r="M23" s="23"/>
      <c r="N23" s="25" t="s">
        <v>38</v>
      </c>
      <c r="O23" s="25"/>
      <c r="P23" s="25"/>
      <c r="Q23" s="24"/>
      <c r="R23" s="106">
        <v>45320</v>
      </c>
      <c r="S23" s="26"/>
      <c r="T23" s="27"/>
      <c r="U23" s="28"/>
      <c r="V23" s="29"/>
      <c r="W23" s="30" t="s">
        <v>135</v>
      </c>
    </row>
    <row r="24" spans="1:23" ht="22.9">
      <c r="A24" s="19">
        <f t="shared" si="1"/>
        <v>22</v>
      </c>
      <c r="B24" s="20"/>
      <c r="C24" s="20"/>
      <c r="D24" s="31" t="s">
        <v>136</v>
      </c>
      <c r="E24" s="31" t="s">
        <v>100</v>
      </c>
      <c r="F24" s="32" t="s">
        <v>97</v>
      </c>
      <c r="G24" s="22"/>
      <c r="H24" s="23"/>
      <c r="I24" s="23"/>
      <c r="J24" s="24"/>
      <c r="K24" s="22"/>
      <c r="L24" s="23"/>
      <c r="M24" s="23"/>
      <c r="N24" s="25" t="s">
        <v>38</v>
      </c>
      <c r="O24" s="25"/>
      <c r="P24" s="25"/>
      <c r="Q24" s="24"/>
      <c r="R24" s="106">
        <v>45320</v>
      </c>
      <c r="S24" s="26"/>
      <c r="T24" s="27"/>
      <c r="U24" s="28"/>
      <c r="V24" s="29"/>
      <c r="W24" s="30" t="s">
        <v>137</v>
      </c>
    </row>
    <row r="25" spans="1:23" ht="22.9">
      <c r="A25" s="19">
        <f t="shared" si="1"/>
        <v>23</v>
      </c>
      <c r="B25" s="20"/>
      <c r="C25" s="20"/>
      <c r="D25" s="31" t="s">
        <v>138</v>
      </c>
      <c r="E25" s="31" t="s">
        <v>100</v>
      </c>
      <c r="F25" s="32" t="s">
        <v>97</v>
      </c>
      <c r="G25" s="22"/>
      <c r="H25" s="23"/>
      <c r="I25" s="23"/>
      <c r="J25" s="24"/>
      <c r="K25" s="22"/>
      <c r="L25" s="23"/>
      <c r="M25" s="23"/>
      <c r="N25" s="25" t="s">
        <v>38</v>
      </c>
      <c r="O25" s="25"/>
      <c r="P25" s="25"/>
      <c r="Q25" s="24"/>
      <c r="R25" s="106">
        <v>45320</v>
      </c>
      <c r="S25" s="26"/>
      <c r="T25" s="27"/>
      <c r="U25" s="28"/>
      <c r="V25" s="29"/>
      <c r="W25" s="30" t="s">
        <v>139</v>
      </c>
    </row>
    <row r="26" spans="1:23" ht="22.9">
      <c r="A26" s="19">
        <f t="shared" si="1"/>
        <v>24</v>
      </c>
      <c r="B26" s="20"/>
      <c r="C26" s="33"/>
      <c r="D26" s="31" t="s">
        <v>140</v>
      </c>
      <c r="E26" s="31" t="s">
        <v>100</v>
      </c>
      <c r="F26" s="32" t="s">
        <v>97</v>
      </c>
      <c r="G26" s="22"/>
      <c r="H26" s="23"/>
      <c r="I26" s="23"/>
      <c r="J26" s="24"/>
      <c r="K26" s="22"/>
      <c r="L26" s="23"/>
      <c r="M26" s="23"/>
      <c r="N26" s="25" t="s">
        <v>38</v>
      </c>
      <c r="O26" s="25"/>
      <c r="P26" s="25"/>
      <c r="Q26" s="24"/>
      <c r="R26" s="106">
        <v>45320</v>
      </c>
      <c r="S26" s="26"/>
      <c r="T26" s="27"/>
      <c r="U26" s="28"/>
      <c r="V26" s="29"/>
      <c r="W26" s="30" t="s">
        <v>141</v>
      </c>
    </row>
    <row r="27" spans="1:23" ht="22.9">
      <c r="A27" s="19">
        <f t="shared" si="1"/>
        <v>25</v>
      </c>
      <c r="B27" s="20"/>
      <c r="C27" s="20"/>
      <c r="D27" s="31" t="s">
        <v>142</v>
      </c>
      <c r="E27" s="31" t="s">
        <v>100</v>
      </c>
      <c r="F27" s="32" t="s">
        <v>97</v>
      </c>
      <c r="G27" s="22"/>
      <c r="H27" s="23"/>
      <c r="I27" s="23"/>
      <c r="J27" s="24"/>
      <c r="K27" s="22"/>
      <c r="L27" s="23"/>
      <c r="M27" s="23"/>
      <c r="N27" s="25" t="s">
        <v>38</v>
      </c>
      <c r="O27" s="25"/>
      <c r="P27" s="25"/>
      <c r="Q27" s="24"/>
      <c r="R27" s="106">
        <v>45320</v>
      </c>
      <c r="S27" s="26"/>
      <c r="T27" s="26"/>
      <c r="U27" s="28"/>
      <c r="V27" s="29"/>
      <c r="W27" s="30" t="s">
        <v>143</v>
      </c>
    </row>
    <row r="28" spans="1:23" ht="22.9">
      <c r="A28" s="19">
        <f t="shared" si="1"/>
        <v>26</v>
      </c>
      <c r="B28" s="20"/>
      <c r="C28" s="20"/>
      <c r="D28" s="20" t="s">
        <v>144</v>
      </c>
      <c r="E28" s="31" t="s">
        <v>100</v>
      </c>
      <c r="F28" s="32" t="s">
        <v>97</v>
      </c>
      <c r="G28" s="22"/>
      <c r="H28" s="23"/>
      <c r="I28" s="23"/>
      <c r="J28" s="24"/>
      <c r="K28" s="22"/>
      <c r="L28" s="23"/>
      <c r="M28" s="23"/>
      <c r="N28" s="25" t="s">
        <v>38</v>
      </c>
      <c r="O28" s="25"/>
      <c r="P28" s="25"/>
      <c r="Q28" s="24"/>
      <c r="R28" s="106">
        <v>45320</v>
      </c>
      <c r="S28" s="26"/>
      <c r="T28" s="26"/>
      <c r="U28" s="28"/>
      <c r="V28" s="29"/>
      <c r="W28" s="30" t="s">
        <v>145</v>
      </c>
    </row>
    <row r="29" spans="1:23" ht="22.9">
      <c r="A29" s="19">
        <f t="shared" si="1"/>
        <v>27</v>
      </c>
      <c r="B29" s="20"/>
      <c r="C29" s="20"/>
      <c r="D29" s="20" t="s">
        <v>146</v>
      </c>
      <c r="E29" s="31" t="s">
        <v>100</v>
      </c>
      <c r="F29" s="32" t="s">
        <v>97</v>
      </c>
      <c r="G29" s="22"/>
      <c r="H29" s="23"/>
      <c r="I29" s="23"/>
      <c r="J29" s="24"/>
      <c r="K29" s="22"/>
      <c r="L29" s="23"/>
      <c r="M29" s="23"/>
      <c r="N29" s="25" t="s">
        <v>38</v>
      </c>
      <c r="O29" s="25"/>
      <c r="P29" s="25"/>
      <c r="Q29" s="24"/>
      <c r="R29" s="106">
        <v>45320</v>
      </c>
      <c r="S29" s="26"/>
      <c r="T29" s="26"/>
      <c r="U29" s="28"/>
      <c r="V29" s="29"/>
      <c r="W29" s="30" t="s">
        <v>147</v>
      </c>
    </row>
    <row r="30" spans="1:23" ht="22.9">
      <c r="A30" s="19">
        <f t="shared" si="1"/>
        <v>28</v>
      </c>
      <c r="B30" s="20"/>
      <c r="C30" s="20"/>
      <c r="D30" s="31" t="s">
        <v>148</v>
      </c>
      <c r="E30" s="31" t="s">
        <v>100</v>
      </c>
      <c r="F30" s="32" t="s">
        <v>97</v>
      </c>
      <c r="G30" s="22"/>
      <c r="H30" s="23"/>
      <c r="I30" s="23"/>
      <c r="J30" s="24"/>
      <c r="K30" s="22"/>
      <c r="L30" s="23"/>
      <c r="M30" s="23"/>
      <c r="N30" s="25" t="s">
        <v>38</v>
      </c>
      <c r="O30" s="25"/>
      <c r="P30" s="25"/>
      <c r="Q30" s="24"/>
      <c r="R30" s="106">
        <v>45320</v>
      </c>
      <c r="S30" s="26"/>
      <c r="T30" s="26"/>
      <c r="U30" s="28"/>
      <c r="V30" s="29"/>
      <c r="W30" s="30" t="s">
        <v>149</v>
      </c>
    </row>
    <row r="31" spans="1:23" ht="22.9">
      <c r="A31" s="19">
        <f t="shared" si="1"/>
        <v>29</v>
      </c>
      <c r="B31" s="20"/>
      <c r="C31" s="20"/>
      <c r="D31" s="31" t="s">
        <v>150</v>
      </c>
      <c r="E31" s="31" t="s">
        <v>100</v>
      </c>
      <c r="F31" s="32" t="s">
        <v>97</v>
      </c>
      <c r="G31" s="22"/>
      <c r="H31" s="23"/>
      <c r="I31" s="23"/>
      <c r="J31" s="24"/>
      <c r="K31" s="22"/>
      <c r="L31" s="23"/>
      <c r="M31" s="23"/>
      <c r="N31" s="25" t="s">
        <v>38</v>
      </c>
      <c r="O31" s="25"/>
      <c r="P31" s="25"/>
      <c r="Q31" s="24"/>
      <c r="R31" s="106">
        <v>45320</v>
      </c>
      <c r="S31" s="26"/>
      <c r="T31" s="26"/>
      <c r="U31" s="28"/>
      <c r="V31" s="29"/>
      <c r="W31" s="30" t="s">
        <v>151</v>
      </c>
    </row>
    <row r="32" spans="1:23" ht="22.9">
      <c r="A32" s="19">
        <f t="shared" si="1"/>
        <v>30</v>
      </c>
      <c r="B32" s="20"/>
      <c r="C32" s="20"/>
      <c r="D32" s="31" t="s">
        <v>152</v>
      </c>
      <c r="E32" s="31" t="s">
        <v>100</v>
      </c>
      <c r="F32" s="32" t="s">
        <v>97</v>
      </c>
      <c r="G32" s="22"/>
      <c r="H32" s="23"/>
      <c r="I32" s="23"/>
      <c r="J32" s="24"/>
      <c r="K32" s="22"/>
      <c r="L32" s="23"/>
      <c r="M32" s="23"/>
      <c r="N32" s="25" t="s">
        <v>38</v>
      </c>
      <c r="O32" s="25"/>
      <c r="P32" s="25"/>
      <c r="Q32" s="24"/>
      <c r="R32" s="106">
        <v>45320</v>
      </c>
      <c r="S32" s="26"/>
      <c r="T32" s="26"/>
      <c r="U32" s="28"/>
      <c r="V32" s="29"/>
      <c r="W32" s="30" t="s">
        <v>153</v>
      </c>
    </row>
    <row r="33" spans="1:23" ht="22.9">
      <c r="A33" s="19">
        <f t="shared" si="1"/>
        <v>31</v>
      </c>
      <c r="B33" s="20"/>
      <c r="C33" s="20"/>
      <c r="D33" s="31" t="s">
        <v>154</v>
      </c>
      <c r="E33" s="31" t="s">
        <v>100</v>
      </c>
      <c r="F33" s="32" t="s">
        <v>97</v>
      </c>
      <c r="G33" s="22"/>
      <c r="H33" s="23"/>
      <c r="I33" s="23"/>
      <c r="J33" s="24"/>
      <c r="K33" s="22"/>
      <c r="L33" s="23"/>
      <c r="M33" s="23"/>
      <c r="N33" s="25" t="s">
        <v>38</v>
      </c>
      <c r="O33" s="25"/>
      <c r="P33" s="25"/>
      <c r="Q33" s="24"/>
      <c r="R33" s="106">
        <v>45320</v>
      </c>
      <c r="S33" s="26"/>
      <c r="T33" s="26"/>
      <c r="U33" s="28"/>
      <c r="V33" s="29"/>
      <c r="W33" s="30" t="s">
        <v>155</v>
      </c>
    </row>
    <row r="34" spans="1:23" ht="22.9">
      <c r="A34" s="19">
        <f t="shared" si="1"/>
        <v>32</v>
      </c>
      <c r="B34" s="20"/>
      <c r="C34" s="20"/>
      <c r="D34" s="31" t="s">
        <v>156</v>
      </c>
      <c r="E34" s="31" t="s">
        <v>100</v>
      </c>
      <c r="F34" s="32" t="s">
        <v>97</v>
      </c>
      <c r="G34" s="22"/>
      <c r="H34" s="23"/>
      <c r="I34" s="23"/>
      <c r="J34" s="24"/>
      <c r="K34" s="22"/>
      <c r="L34" s="23"/>
      <c r="M34" s="23"/>
      <c r="N34" s="25" t="s">
        <v>38</v>
      </c>
      <c r="O34" s="25"/>
      <c r="P34" s="25"/>
      <c r="Q34" s="24"/>
      <c r="R34" s="106">
        <v>45320</v>
      </c>
      <c r="S34" s="26"/>
      <c r="T34" s="26"/>
      <c r="U34" s="28"/>
      <c r="V34" s="29"/>
      <c r="W34" s="30" t="s">
        <v>157</v>
      </c>
    </row>
    <row r="35" spans="1:23" ht="22.9">
      <c r="A35" s="19">
        <f t="shared" si="1"/>
        <v>33</v>
      </c>
      <c r="B35" s="20"/>
      <c r="C35" s="20"/>
      <c r="D35" s="31" t="s">
        <v>158</v>
      </c>
      <c r="E35" s="31" t="s">
        <v>100</v>
      </c>
      <c r="F35" s="32" t="s">
        <v>97</v>
      </c>
      <c r="G35" s="22"/>
      <c r="H35" s="23"/>
      <c r="I35" s="23"/>
      <c r="J35" s="24"/>
      <c r="K35" s="22"/>
      <c r="L35" s="23"/>
      <c r="M35" s="23"/>
      <c r="N35" s="25" t="s">
        <v>38</v>
      </c>
      <c r="O35" s="25"/>
      <c r="P35" s="25"/>
      <c r="Q35" s="24"/>
      <c r="R35" s="106">
        <v>45320</v>
      </c>
      <c r="S35" s="26"/>
      <c r="T35" s="27"/>
      <c r="U35" s="28"/>
      <c r="V35" s="29"/>
      <c r="W35" s="30" t="s">
        <v>159</v>
      </c>
    </row>
    <row r="36" spans="1:23" ht="22.9">
      <c r="A36" s="19">
        <f t="shared" si="1"/>
        <v>34</v>
      </c>
      <c r="B36" s="20"/>
      <c r="C36" s="20"/>
      <c r="D36" s="20" t="s">
        <v>160</v>
      </c>
      <c r="E36" s="31" t="s">
        <v>100</v>
      </c>
      <c r="F36" s="32" t="s">
        <v>97</v>
      </c>
      <c r="G36" s="22"/>
      <c r="H36" s="23"/>
      <c r="I36" s="23"/>
      <c r="J36" s="24"/>
      <c r="K36" s="22"/>
      <c r="L36" s="23"/>
      <c r="M36" s="23"/>
      <c r="N36" s="25" t="s">
        <v>38</v>
      </c>
      <c r="O36" s="25"/>
      <c r="P36" s="25"/>
      <c r="Q36" s="24"/>
      <c r="R36" s="106">
        <v>45320</v>
      </c>
      <c r="S36" s="26"/>
      <c r="T36" s="27"/>
      <c r="U36" s="28"/>
      <c r="V36" s="29"/>
      <c r="W36" s="30" t="s">
        <v>161</v>
      </c>
    </row>
    <row r="37" spans="1:23" ht="22.9">
      <c r="A37" s="19">
        <f t="shared" si="1"/>
        <v>35</v>
      </c>
      <c r="B37" s="20"/>
      <c r="C37" s="20"/>
      <c r="D37" s="20" t="s">
        <v>162</v>
      </c>
      <c r="E37" s="31" t="s">
        <v>100</v>
      </c>
      <c r="F37" s="32" t="s">
        <v>97</v>
      </c>
      <c r="G37" s="22"/>
      <c r="H37" s="23"/>
      <c r="I37" s="23"/>
      <c r="J37" s="24"/>
      <c r="K37" s="22"/>
      <c r="L37" s="23"/>
      <c r="M37" s="23"/>
      <c r="N37" s="25" t="s">
        <v>38</v>
      </c>
      <c r="O37" s="25"/>
      <c r="P37" s="25"/>
      <c r="Q37" s="24"/>
      <c r="R37" s="106">
        <v>45320</v>
      </c>
      <c r="S37" s="26"/>
      <c r="T37" s="27"/>
      <c r="U37" s="28"/>
      <c r="V37" s="29"/>
      <c r="W37" s="30" t="s">
        <v>163</v>
      </c>
    </row>
    <row r="38" spans="1:23" ht="22.9">
      <c r="A38" s="19">
        <f t="shared" si="1"/>
        <v>36</v>
      </c>
      <c r="B38" s="20"/>
      <c r="C38" s="20"/>
      <c r="D38" s="31" t="s">
        <v>164</v>
      </c>
      <c r="E38" s="31" t="s">
        <v>100</v>
      </c>
      <c r="F38" s="32" t="s">
        <v>97</v>
      </c>
      <c r="G38" s="22"/>
      <c r="H38" s="23"/>
      <c r="I38" s="23"/>
      <c r="J38" s="24"/>
      <c r="K38" s="22"/>
      <c r="L38" s="23"/>
      <c r="M38" s="23"/>
      <c r="N38" s="25" t="s">
        <v>38</v>
      </c>
      <c r="O38" s="25"/>
      <c r="P38" s="25"/>
      <c r="Q38" s="24"/>
      <c r="R38" s="106">
        <v>45320</v>
      </c>
      <c r="S38" s="26"/>
      <c r="T38" s="27"/>
      <c r="U38" s="28"/>
      <c r="V38" s="29"/>
      <c r="W38" s="30" t="s">
        <v>165</v>
      </c>
    </row>
    <row r="39" spans="1:23" ht="11.45">
      <c r="A39" s="19">
        <f t="shared" si="1"/>
        <v>37</v>
      </c>
      <c r="B39" s="20"/>
      <c r="C39" s="20"/>
      <c r="D39" s="31" t="s">
        <v>138</v>
      </c>
      <c r="E39" s="31" t="s">
        <v>100</v>
      </c>
      <c r="F39" s="32" t="s">
        <v>97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/>
      <c r="T39" s="27"/>
      <c r="U39" s="28"/>
      <c r="V39" s="29"/>
      <c r="W39" s="30" t="s">
        <v>166</v>
      </c>
    </row>
    <row r="40" spans="1:23" ht="11.45">
      <c r="A40" s="19">
        <f t="shared" si="1"/>
        <v>38</v>
      </c>
      <c r="B40" s="33"/>
      <c r="C40" s="33"/>
      <c r="D40" s="31" t="s">
        <v>167</v>
      </c>
      <c r="E40" s="31" t="s">
        <v>100</v>
      </c>
      <c r="F40" s="32" t="s">
        <v>97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168</v>
      </c>
    </row>
    <row r="41" spans="1:23" ht="22.9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9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169</v>
      </c>
      <c r="F42" s="32" t="s">
        <v>70</v>
      </c>
      <c r="G42" s="23" t="s">
        <v>71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22.9">
      <c r="A43" s="19">
        <f t="shared" si="1"/>
        <v>41</v>
      </c>
      <c r="B43" s="20"/>
      <c r="C43" s="20" t="s">
        <v>94</v>
      </c>
      <c r="D43" s="31" t="s">
        <v>95</v>
      </c>
      <c r="E43" s="31" t="s">
        <v>96</v>
      </c>
      <c r="F43" s="32" t="s">
        <v>97</v>
      </c>
      <c r="G43" s="22"/>
      <c r="H43" s="23"/>
      <c r="I43" s="23"/>
      <c r="J43" s="24"/>
      <c r="K43" s="22"/>
      <c r="L43" s="23"/>
      <c r="M43" s="23"/>
      <c r="N43" s="25" t="s">
        <v>38</v>
      </c>
      <c r="O43" s="25"/>
      <c r="P43" s="25"/>
      <c r="Q43" s="24"/>
      <c r="R43" s="106">
        <v>45321</v>
      </c>
      <c r="S43" s="26"/>
      <c r="T43" s="26"/>
      <c r="U43" s="28"/>
      <c r="V43" s="29"/>
      <c r="W43" s="30" t="s">
        <v>98</v>
      </c>
    </row>
    <row r="44" spans="1:23" ht="22.9">
      <c r="A44" s="19">
        <f t="shared" si="1"/>
        <v>42</v>
      </c>
      <c r="B44" s="20"/>
      <c r="C44" s="20"/>
      <c r="D44" s="20" t="s">
        <v>99</v>
      </c>
      <c r="E44" s="31" t="s">
        <v>170</v>
      </c>
      <c r="F44" s="32" t="s">
        <v>97</v>
      </c>
      <c r="G44" s="22"/>
      <c r="H44" s="23"/>
      <c r="I44" s="23"/>
      <c r="J44" s="24"/>
      <c r="K44" s="22"/>
      <c r="L44" s="23"/>
      <c r="M44" s="23"/>
      <c r="N44" s="25" t="s">
        <v>38</v>
      </c>
      <c r="O44" s="25"/>
      <c r="P44" s="25"/>
      <c r="Q44" s="24"/>
      <c r="R44" s="106">
        <v>45321</v>
      </c>
      <c r="S44" s="26"/>
      <c r="T44" s="26"/>
      <c r="U44" s="28"/>
      <c r="V44" s="29"/>
      <c r="W44" s="30" t="s">
        <v>101</v>
      </c>
    </row>
    <row r="45" spans="1:23" ht="22.9">
      <c r="A45" s="19">
        <f t="shared" si="1"/>
        <v>43</v>
      </c>
      <c r="B45" s="20"/>
      <c r="C45" s="20"/>
      <c r="D45" s="20" t="s">
        <v>102</v>
      </c>
      <c r="E45" s="31" t="s">
        <v>170</v>
      </c>
      <c r="F45" s="32" t="s">
        <v>97</v>
      </c>
      <c r="G45" s="22"/>
      <c r="H45" s="23"/>
      <c r="I45" s="23"/>
      <c r="J45" s="24"/>
      <c r="K45" s="22"/>
      <c r="L45" s="23"/>
      <c r="M45" s="23"/>
      <c r="N45" s="25" t="s">
        <v>38</v>
      </c>
      <c r="O45" s="25"/>
      <c r="P45" s="25"/>
      <c r="Q45" s="24"/>
      <c r="R45" s="106">
        <v>45321</v>
      </c>
      <c r="S45" s="26"/>
      <c r="T45" s="26"/>
      <c r="U45" s="28"/>
      <c r="V45" s="29"/>
      <c r="W45" s="30" t="s">
        <v>103</v>
      </c>
    </row>
    <row r="46" spans="1:23" ht="22.9">
      <c r="A46" s="19">
        <f t="shared" si="1"/>
        <v>44</v>
      </c>
      <c r="B46" s="20"/>
      <c r="C46" s="20"/>
      <c r="D46" s="31" t="s">
        <v>104</v>
      </c>
      <c r="E46" s="31" t="s">
        <v>170</v>
      </c>
      <c r="F46" s="32" t="s">
        <v>97</v>
      </c>
      <c r="G46" s="22"/>
      <c r="H46" s="23"/>
      <c r="I46" s="23"/>
      <c r="J46" s="24"/>
      <c r="K46" s="22"/>
      <c r="L46" s="23"/>
      <c r="M46" s="23"/>
      <c r="N46" s="25" t="s">
        <v>38</v>
      </c>
      <c r="O46" s="25"/>
      <c r="P46" s="25"/>
      <c r="Q46" s="24"/>
      <c r="R46" s="106">
        <v>45321</v>
      </c>
      <c r="S46" s="26"/>
      <c r="T46" s="26"/>
      <c r="U46" s="28"/>
      <c r="V46" s="29"/>
      <c r="W46" s="30" t="s">
        <v>105</v>
      </c>
    </row>
    <row r="47" spans="1:23" ht="22.9">
      <c r="A47" s="19">
        <f t="shared" si="1"/>
        <v>45</v>
      </c>
      <c r="B47" s="20"/>
      <c r="C47" s="20"/>
      <c r="D47" s="31" t="s">
        <v>106</v>
      </c>
      <c r="E47" s="31" t="s">
        <v>170</v>
      </c>
      <c r="F47" s="32" t="s">
        <v>97</v>
      </c>
      <c r="G47" s="22"/>
      <c r="H47" s="23"/>
      <c r="I47" s="23"/>
      <c r="J47" s="24"/>
      <c r="K47" s="22"/>
      <c r="L47" s="23"/>
      <c r="M47" s="23"/>
      <c r="N47" s="25" t="s">
        <v>38</v>
      </c>
      <c r="O47" s="25"/>
      <c r="P47" s="25"/>
      <c r="Q47" s="24"/>
      <c r="R47" s="106">
        <v>45321</v>
      </c>
      <c r="S47" s="26"/>
      <c r="T47" s="26"/>
      <c r="U47" s="28"/>
      <c r="V47" s="29"/>
      <c r="W47" s="30" t="s">
        <v>107</v>
      </c>
    </row>
    <row r="48" spans="1:23" ht="22.9">
      <c r="A48" s="19">
        <f t="shared" si="1"/>
        <v>46</v>
      </c>
      <c r="B48" s="20"/>
      <c r="C48" s="20"/>
      <c r="D48" s="31" t="s">
        <v>108</v>
      </c>
      <c r="E48" s="31" t="s">
        <v>170</v>
      </c>
      <c r="F48" s="32" t="s">
        <v>97</v>
      </c>
      <c r="G48" s="22"/>
      <c r="H48" s="23"/>
      <c r="I48" s="23"/>
      <c r="J48" s="24"/>
      <c r="K48" s="22"/>
      <c r="L48" s="23"/>
      <c r="M48" s="23"/>
      <c r="N48" s="25" t="s">
        <v>38</v>
      </c>
      <c r="O48" s="25"/>
      <c r="P48" s="25"/>
      <c r="Q48" s="24"/>
      <c r="R48" s="106">
        <v>45321</v>
      </c>
      <c r="S48" s="26"/>
      <c r="T48" s="26"/>
      <c r="U48" s="28"/>
      <c r="V48" s="29"/>
      <c r="W48" s="30" t="s">
        <v>109</v>
      </c>
    </row>
    <row r="49" spans="1:23" ht="22.9">
      <c r="A49" s="19">
        <f t="shared" si="1"/>
        <v>47</v>
      </c>
      <c r="B49" s="20"/>
      <c r="C49" s="20"/>
      <c r="D49" s="31" t="s">
        <v>110</v>
      </c>
      <c r="E49" s="31" t="s">
        <v>170</v>
      </c>
      <c r="F49" s="32" t="s">
        <v>97</v>
      </c>
      <c r="G49" s="22"/>
      <c r="H49" s="23"/>
      <c r="I49" s="23"/>
      <c r="J49" s="24"/>
      <c r="K49" s="22"/>
      <c r="L49" s="23"/>
      <c r="M49" s="23"/>
      <c r="N49" s="25" t="s">
        <v>38</v>
      </c>
      <c r="O49" s="25"/>
      <c r="P49" s="25"/>
      <c r="Q49" s="24"/>
      <c r="R49" s="106">
        <v>45321</v>
      </c>
      <c r="S49" s="26"/>
      <c r="T49" s="26"/>
      <c r="U49" s="28"/>
      <c r="V49" s="29"/>
      <c r="W49" s="30" t="s">
        <v>111</v>
      </c>
    </row>
    <row r="50" spans="1:23" ht="11.45">
      <c r="A50" s="19">
        <f t="shared" si="1"/>
        <v>48</v>
      </c>
      <c r="B50" s="20"/>
      <c r="C50" s="20"/>
      <c r="D50" s="31" t="s">
        <v>112</v>
      </c>
      <c r="E50" s="31" t="s">
        <v>170</v>
      </c>
      <c r="F50" s="32" t="s">
        <v>97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/>
      <c r="T50" s="26"/>
      <c r="U50" s="28"/>
      <c r="V50" s="29"/>
      <c r="W50" s="30" t="s">
        <v>113</v>
      </c>
    </row>
    <row r="51" spans="1:23" ht="11.45">
      <c r="A51" s="19">
        <f t="shared" si="1"/>
        <v>49</v>
      </c>
      <c r="B51" s="20"/>
      <c r="C51" s="20"/>
      <c r="D51" s="31" t="s">
        <v>114</v>
      </c>
      <c r="E51" s="31" t="s">
        <v>170</v>
      </c>
      <c r="F51" s="32" t="s">
        <v>97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/>
      <c r="T51" s="27"/>
      <c r="U51" s="28"/>
      <c r="V51" s="29"/>
      <c r="W51" s="30" t="s">
        <v>115</v>
      </c>
    </row>
    <row r="52" spans="1:23" ht="11.45">
      <c r="A52" s="19">
        <f t="shared" si="1"/>
        <v>50</v>
      </c>
      <c r="B52" s="20"/>
      <c r="C52" s="20"/>
      <c r="D52" s="20" t="s">
        <v>116</v>
      </c>
      <c r="E52" s="31" t="s">
        <v>170</v>
      </c>
      <c r="F52" s="32" t="s">
        <v>97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/>
      <c r="T52" s="27"/>
      <c r="U52" s="28"/>
      <c r="V52" s="29"/>
      <c r="W52" s="30" t="s">
        <v>117</v>
      </c>
    </row>
    <row r="53" spans="1:23" ht="11.45">
      <c r="A53" s="19">
        <f t="shared" si="1"/>
        <v>51</v>
      </c>
      <c r="B53" s="20"/>
      <c r="C53" s="20"/>
      <c r="D53" s="20" t="s">
        <v>118</v>
      </c>
      <c r="E53" s="31" t="s">
        <v>170</v>
      </c>
      <c r="F53" s="32" t="s">
        <v>97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/>
      <c r="T53" s="27"/>
      <c r="U53" s="28"/>
      <c r="V53" s="29"/>
      <c r="W53" s="30" t="s">
        <v>119</v>
      </c>
    </row>
    <row r="54" spans="1:23" ht="11.45">
      <c r="A54" s="19">
        <f t="shared" si="1"/>
        <v>52</v>
      </c>
      <c r="B54" s="20"/>
      <c r="C54" s="20"/>
      <c r="D54" s="31" t="s">
        <v>120</v>
      </c>
      <c r="E54" s="31" t="s">
        <v>170</v>
      </c>
      <c r="F54" s="32" t="s">
        <v>97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/>
      <c r="T54" s="27"/>
      <c r="U54" s="28"/>
      <c r="V54" s="29"/>
      <c r="W54" s="30" t="s">
        <v>121</v>
      </c>
    </row>
    <row r="55" spans="1:23" ht="11.45">
      <c r="A55" s="19">
        <f t="shared" si="1"/>
        <v>53</v>
      </c>
      <c r="B55" s="20"/>
      <c r="C55" s="20"/>
      <c r="D55" s="31" t="s">
        <v>122</v>
      </c>
      <c r="E55" s="31" t="s">
        <v>170</v>
      </c>
      <c r="F55" s="32" t="s">
        <v>97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/>
      <c r="T55" s="27"/>
      <c r="U55" s="28"/>
      <c r="V55" s="29"/>
      <c r="W55" s="30" t="s">
        <v>123</v>
      </c>
    </row>
    <row r="56" spans="1:23" ht="11.45">
      <c r="A56" s="19">
        <f t="shared" si="1"/>
        <v>54</v>
      </c>
      <c r="B56" s="33"/>
      <c r="C56" s="33"/>
      <c r="D56" s="31" t="s">
        <v>124</v>
      </c>
      <c r="E56" s="31" t="s">
        <v>170</v>
      </c>
      <c r="F56" s="32" t="s">
        <v>97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/>
      <c r="T56" s="27"/>
      <c r="U56" s="28"/>
      <c r="V56" s="29"/>
      <c r="W56" s="30" t="s">
        <v>125</v>
      </c>
    </row>
    <row r="57" spans="1:23" ht="22.9">
      <c r="A57" s="19">
        <f t="shared" si="1"/>
        <v>55</v>
      </c>
      <c r="B57" s="33"/>
      <c r="C57" s="33"/>
      <c r="D57" s="31" t="s">
        <v>126</v>
      </c>
      <c r="E57" s="31" t="s">
        <v>170</v>
      </c>
      <c r="F57" s="32" t="s">
        <v>97</v>
      </c>
      <c r="G57" s="22"/>
      <c r="H57" s="23"/>
      <c r="I57" s="23"/>
      <c r="J57" s="24"/>
      <c r="K57" s="22"/>
      <c r="L57" s="23"/>
      <c r="M57" s="23"/>
      <c r="N57" s="25" t="s">
        <v>38</v>
      </c>
      <c r="O57" s="25"/>
      <c r="P57" s="25"/>
      <c r="Q57" s="24"/>
      <c r="R57" s="106">
        <v>45321</v>
      </c>
      <c r="S57" s="26"/>
      <c r="T57" s="27"/>
      <c r="U57" s="28"/>
      <c r="V57" s="29"/>
      <c r="W57" s="30" t="s">
        <v>127</v>
      </c>
    </row>
    <row r="58" spans="1:23" ht="11.45">
      <c r="A58" s="19">
        <f t="shared" si="1"/>
        <v>56</v>
      </c>
      <c r="B58" s="33"/>
      <c r="C58" s="33"/>
      <c r="D58" s="31" t="s">
        <v>128</v>
      </c>
      <c r="E58" s="31" t="s">
        <v>170</v>
      </c>
      <c r="F58" s="32" t="s">
        <v>97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/>
      <c r="T58" s="27"/>
      <c r="U58" s="28"/>
      <c r="V58" s="29"/>
      <c r="W58" s="30" t="s">
        <v>129</v>
      </c>
    </row>
    <row r="59" spans="1:23" ht="11.45">
      <c r="A59" s="19">
        <f t="shared" si="1"/>
        <v>57</v>
      </c>
      <c r="B59" s="33"/>
      <c r="C59" s="33"/>
      <c r="D59" s="31" t="s">
        <v>130</v>
      </c>
      <c r="E59" s="31" t="s">
        <v>170</v>
      </c>
      <c r="F59" s="32" t="s">
        <v>97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/>
      <c r="T59" s="27"/>
      <c r="U59" s="28"/>
      <c r="V59" s="29"/>
      <c r="W59" s="30" t="s">
        <v>131</v>
      </c>
    </row>
    <row r="60" spans="1:23" ht="11.45">
      <c r="A60" s="19">
        <f t="shared" si="1"/>
        <v>58</v>
      </c>
      <c r="B60" s="33"/>
      <c r="C60" s="20"/>
      <c r="D60" s="20" t="s">
        <v>132</v>
      </c>
      <c r="E60" s="31" t="s">
        <v>170</v>
      </c>
      <c r="F60" s="32" t="s">
        <v>97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/>
      <c r="T60" s="27"/>
      <c r="U60" s="28"/>
      <c r="V60" s="29"/>
      <c r="W60" s="30" t="s">
        <v>133</v>
      </c>
    </row>
    <row r="61" spans="1:23" ht="22.9">
      <c r="A61" s="19">
        <f t="shared" si="1"/>
        <v>59</v>
      </c>
      <c r="B61" s="33"/>
      <c r="C61" s="20"/>
      <c r="D61" s="20" t="s">
        <v>134</v>
      </c>
      <c r="E61" s="31" t="s">
        <v>170</v>
      </c>
      <c r="F61" s="32" t="s">
        <v>97</v>
      </c>
      <c r="G61" s="22"/>
      <c r="H61" s="23"/>
      <c r="I61" s="23"/>
      <c r="J61" s="24"/>
      <c r="K61" s="22"/>
      <c r="L61" s="23"/>
      <c r="M61" s="23"/>
      <c r="N61" s="25" t="s">
        <v>38</v>
      </c>
      <c r="O61" s="25"/>
      <c r="P61" s="25"/>
      <c r="Q61" s="24"/>
      <c r="R61" s="106">
        <v>45321</v>
      </c>
      <c r="S61" s="26"/>
      <c r="T61" s="27"/>
      <c r="U61" s="28"/>
      <c r="V61" s="29"/>
      <c r="W61" s="30" t="s">
        <v>135</v>
      </c>
    </row>
    <row r="62" spans="1:23" ht="22.9">
      <c r="A62" s="19">
        <f t="shared" si="1"/>
        <v>60</v>
      </c>
      <c r="B62" s="20"/>
      <c r="C62" s="20"/>
      <c r="D62" s="31" t="s">
        <v>136</v>
      </c>
      <c r="E62" s="31" t="s">
        <v>170</v>
      </c>
      <c r="F62" s="32" t="s">
        <v>97</v>
      </c>
      <c r="G62" s="22"/>
      <c r="H62" s="23"/>
      <c r="I62" s="23"/>
      <c r="J62" s="24"/>
      <c r="K62" s="22"/>
      <c r="L62" s="23"/>
      <c r="M62" s="23"/>
      <c r="N62" s="25" t="s">
        <v>38</v>
      </c>
      <c r="O62" s="25"/>
      <c r="P62" s="25"/>
      <c r="Q62" s="24"/>
      <c r="R62" s="106">
        <v>45321</v>
      </c>
      <c r="S62" s="26"/>
      <c r="T62" s="27"/>
      <c r="U62" s="28"/>
      <c r="V62" s="29"/>
      <c r="W62" s="30" t="s">
        <v>137</v>
      </c>
    </row>
    <row r="63" spans="1:23" ht="22.9">
      <c r="A63" s="19">
        <f t="shared" si="1"/>
        <v>61</v>
      </c>
      <c r="B63" s="20"/>
      <c r="C63" s="20"/>
      <c r="D63" s="31" t="s">
        <v>138</v>
      </c>
      <c r="E63" s="31" t="s">
        <v>170</v>
      </c>
      <c r="F63" s="32" t="s">
        <v>97</v>
      </c>
      <c r="G63" s="22"/>
      <c r="H63" s="23"/>
      <c r="I63" s="23"/>
      <c r="J63" s="24"/>
      <c r="K63" s="22"/>
      <c r="L63" s="23"/>
      <c r="M63" s="23"/>
      <c r="N63" s="25" t="s">
        <v>38</v>
      </c>
      <c r="O63" s="25"/>
      <c r="P63" s="25"/>
      <c r="Q63" s="24"/>
      <c r="R63" s="106">
        <v>45321</v>
      </c>
      <c r="S63" s="26"/>
      <c r="T63" s="27"/>
      <c r="U63" s="28"/>
      <c r="V63" s="29"/>
      <c r="W63" s="30" t="s">
        <v>139</v>
      </c>
    </row>
    <row r="64" spans="1:23" ht="22.9">
      <c r="A64" s="19">
        <f t="shared" si="1"/>
        <v>62</v>
      </c>
      <c r="B64" s="20"/>
      <c r="C64" s="33"/>
      <c r="D64" s="31" t="s">
        <v>140</v>
      </c>
      <c r="E64" s="31" t="s">
        <v>170</v>
      </c>
      <c r="F64" s="32" t="s">
        <v>97</v>
      </c>
      <c r="G64" s="22"/>
      <c r="H64" s="23"/>
      <c r="I64" s="23"/>
      <c r="J64" s="24"/>
      <c r="K64" s="22"/>
      <c r="L64" s="23"/>
      <c r="M64" s="23"/>
      <c r="N64" s="25" t="s">
        <v>38</v>
      </c>
      <c r="O64" s="25"/>
      <c r="P64" s="25"/>
      <c r="Q64" s="24"/>
      <c r="R64" s="106">
        <v>45321</v>
      </c>
      <c r="S64" s="26"/>
      <c r="T64" s="27"/>
      <c r="U64" s="28"/>
      <c r="V64" s="29"/>
      <c r="W64" s="30" t="s">
        <v>141</v>
      </c>
    </row>
    <row r="65" spans="1:23" ht="22.9">
      <c r="A65" s="19">
        <f t="shared" si="1"/>
        <v>63</v>
      </c>
      <c r="B65" s="20"/>
      <c r="C65" s="20"/>
      <c r="D65" s="31" t="s">
        <v>142</v>
      </c>
      <c r="E65" s="31" t="s">
        <v>170</v>
      </c>
      <c r="F65" s="32" t="s">
        <v>97</v>
      </c>
      <c r="G65" s="22"/>
      <c r="H65" s="23"/>
      <c r="I65" s="23"/>
      <c r="J65" s="24"/>
      <c r="K65" s="22"/>
      <c r="L65" s="23"/>
      <c r="M65" s="23"/>
      <c r="N65" s="25" t="s">
        <v>38</v>
      </c>
      <c r="O65" s="25"/>
      <c r="P65" s="25"/>
      <c r="Q65" s="24"/>
      <c r="R65" s="106">
        <v>45321</v>
      </c>
      <c r="S65" s="26"/>
      <c r="T65" s="26"/>
      <c r="U65" s="28"/>
      <c r="V65" s="29"/>
      <c r="W65" s="30" t="s">
        <v>143</v>
      </c>
    </row>
    <row r="66" spans="1:23" ht="22.9">
      <c r="A66" s="19">
        <f t="shared" si="1"/>
        <v>64</v>
      </c>
      <c r="B66" s="20"/>
      <c r="C66" s="20"/>
      <c r="D66" s="20" t="s">
        <v>144</v>
      </c>
      <c r="E66" s="31" t="s">
        <v>170</v>
      </c>
      <c r="F66" s="32" t="s">
        <v>97</v>
      </c>
      <c r="G66" s="22"/>
      <c r="H66" s="23"/>
      <c r="I66" s="23"/>
      <c r="J66" s="24"/>
      <c r="K66" s="22"/>
      <c r="L66" s="23"/>
      <c r="M66" s="23"/>
      <c r="N66" s="25" t="s">
        <v>38</v>
      </c>
      <c r="O66" s="25"/>
      <c r="P66" s="25"/>
      <c r="Q66" s="24"/>
      <c r="R66" s="106">
        <v>45321</v>
      </c>
      <c r="S66" s="26"/>
      <c r="T66" s="26"/>
      <c r="U66" s="28"/>
      <c r="V66" s="29"/>
      <c r="W66" s="30" t="s">
        <v>145</v>
      </c>
    </row>
    <row r="67" spans="1:23" ht="22.9">
      <c r="A67" s="19">
        <f t="shared" si="1"/>
        <v>65</v>
      </c>
      <c r="B67" s="20"/>
      <c r="C67" s="20"/>
      <c r="D67" s="20" t="s">
        <v>146</v>
      </c>
      <c r="E67" s="31" t="s">
        <v>170</v>
      </c>
      <c r="F67" s="32" t="s">
        <v>97</v>
      </c>
      <c r="G67" s="22"/>
      <c r="H67" s="23"/>
      <c r="I67" s="23"/>
      <c r="J67" s="24"/>
      <c r="K67" s="22"/>
      <c r="L67" s="23"/>
      <c r="M67" s="23"/>
      <c r="N67" s="25" t="s">
        <v>38</v>
      </c>
      <c r="O67" s="25"/>
      <c r="P67" s="25"/>
      <c r="Q67" s="24"/>
      <c r="R67" s="106">
        <v>45321</v>
      </c>
      <c r="S67" s="26"/>
      <c r="T67" s="26"/>
      <c r="U67" s="28"/>
      <c r="V67" s="29"/>
      <c r="W67" s="30" t="s">
        <v>147</v>
      </c>
    </row>
    <row r="68" spans="1:23" ht="22.9">
      <c r="A68" s="19">
        <f t="shared" si="1"/>
        <v>66</v>
      </c>
      <c r="B68" s="20"/>
      <c r="C68" s="20"/>
      <c r="D68" s="31" t="s">
        <v>148</v>
      </c>
      <c r="E68" s="31" t="s">
        <v>170</v>
      </c>
      <c r="F68" s="32" t="s">
        <v>97</v>
      </c>
      <c r="G68" s="22"/>
      <c r="H68" s="23"/>
      <c r="I68" s="23"/>
      <c r="J68" s="24"/>
      <c r="K68" s="22"/>
      <c r="L68" s="23"/>
      <c r="M68" s="23"/>
      <c r="N68" s="25" t="s">
        <v>38</v>
      </c>
      <c r="O68" s="25"/>
      <c r="P68" s="25"/>
      <c r="Q68" s="24"/>
      <c r="R68" s="106">
        <v>45321</v>
      </c>
      <c r="S68" s="26"/>
      <c r="T68" s="26"/>
      <c r="U68" s="28"/>
      <c r="V68" s="29"/>
      <c r="W68" s="30" t="s">
        <v>149</v>
      </c>
    </row>
    <row r="69" spans="1:23" ht="22.9">
      <c r="A69" s="19">
        <f t="shared" si="1"/>
        <v>67</v>
      </c>
      <c r="B69" s="20"/>
      <c r="C69" s="20"/>
      <c r="D69" s="31" t="s">
        <v>150</v>
      </c>
      <c r="E69" s="31" t="s">
        <v>170</v>
      </c>
      <c r="F69" s="32" t="s">
        <v>97</v>
      </c>
      <c r="G69" s="22"/>
      <c r="H69" s="23"/>
      <c r="I69" s="23"/>
      <c r="J69" s="24"/>
      <c r="K69" s="22"/>
      <c r="L69" s="23"/>
      <c r="M69" s="23"/>
      <c r="N69" s="25" t="s">
        <v>38</v>
      </c>
      <c r="O69" s="25"/>
      <c r="P69" s="25"/>
      <c r="Q69" s="24"/>
      <c r="R69" s="106">
        <v>45321</v>
      </c>
      <c r="S69" s="26"/>
      <c r="T69" s="26"/>
      <c r="U69" s="28"/>
      <c r="V69" s="29"/>
      <c r="W69" s="30" t="s">
        <v>151</v>
      </c>
    </row>
    <row r="70" spans="1:23" ht="22.9">
      <c r="A70" s="19">
        <f t="shared" si="1"/>
        <v>68</v>
      </c>
      <c r="B70" s="20"/>
      <c r="C70" s="20"/>
      <c r="D70" s="31" t="s">
        <v>152</v>
      </c>
      <c r="E70" s="31" t="s">
        <v>170</v>
      </c>
      <c r="F70" s="32" t="s">
        <v>97</v>
      </c>
      <c r="G70" s="22"/>
      <c r="H70" s="23"/>
      <c r="I70" s="23"/>
      <c r="J70" s="24"/>
      <c r="K70" s="22"/>
      <c r="L70" s="23"/>
      <c r="M70" s="23"/>
      <c r="N70" s="25" t="s">
        <v>38</v>
      </c>
      <c r="O70" s="25"/>
      <c r="P70" s="25"/>
      <c r="Q70" s="24"/>
      <c r="R70" s="106">
        <v>45321</v>
      </c>
      <c r="S70" s="26"/>
      <c r="T70" s="26"/>
      <c r="U70" s="28"/>
      <c r="V70" s="29"/>
      <c r="W70" s="30" t="s">
        <v>153</v>
      </c>
    </row>
    <row r="71" spans="1:23" ht="22.9">
      <c r="A71" s="19">
        <f t="shared" si="1"/>
        <v>69</v>
      </c>
      <c r="B71" s="20"/>
      <c r="C71" s="20"/>
      <c r="D71" s="31" t="s">
        <v>154</v>
      </c>
      <c r="E71" s="31" t="s">
        <v>170</v>
      </c>
      <c r="F71" s="32" t="s">
        <v>97</v>
      </c>
      <c r="G71" s="22"/>
      <c r="H71" s="23"/>
      <c r="I71" s="23"/>
      <c r="J71" s="24"/>
      <c r="K71" s="22"/>
      <c r="L71" s="23"/>
      <c r="M71" s="23"/>
      <c r="N71" s="25" t="s">
        <v>38</v>
      </c>
      <c r="O71" s="25"/>
      <c r="P71" s="25"/>
      <c r="Q71" s="24"/>
      <c r="R71" s="106">
        <v>45321</v>
      </c>
      <c r="S71" s="26"/>
      <c r="T71" s="26"/>
      <c r="U71" s="28"/>
      <c r="V71" s="29"/>
      <c r="W71" s="30" t="s">
        <v>155</v>
      </c>
    </row>
    <row r="72" spans="1:23" ht="22.9">
      <c r="A72" s="19">
        <f t="shared" si="1"/>
        <v>70</v>
      </c>
      <c r="B72" s="20"/>
      <c r="C72" s="20"/>
      <c r="D72" s="31" t="s">
        <v>156</v>
      </c>
      <c r="E72" s="31" t="s">
        <v>170</v>
      </c>
      <c r="F72" s="32" t="s">
        <v>97</v>
      </c>
      <c r="G72" s="22"/>
      <c r="H72" s="23"/>
      <c r="I72" s="23"/>
      <c r="J72" s="24"/>
      <c r="K72" s="22"/>
      <c r="L72" s="23"/>
      <c r="M72" s="23"/>
      <c r="N72" s="25" t="s">
        <v>38</v>
      </c>
      <c r="O72" s="25"/>
      <c r="P72" s="25"/>
      <c r="Q72" s="24"/>
      <c r="R72" s="106">
        <v>45321</v>
      </c>
      <c r="S72" s="26"/>
      <c r="T72" s="26"/>
      <c r="U72" s="28"/>
      <c r="V72" s="29"/>
      <c r="W72" s="30" t="s">
        <v>157</v>
      </c>
    </row>
    <row r="73" spans="1:23" ht="22.9">
      <c r="A73" s="19">
        <f t="shared" si="1"/>
        <v>71</v>
      </c>
      <c r="B73" s="20"/>
      <c r="C73" s="20"/>
      <c r="D73" s="31" t="s">
        <v>158</v>
      </c>
      <c r="E73" s="31" t="s">
        <v>170</v>
      </c>
      <c r="F73" s="32" t="s">
        <v>97</v>
      </c>
      <c r="G73" s="22"/>
      <c r="H73" s="23"/>
      <c r="I73" s="23"/>
      <c r="J73" s="24"/>
      <c r="K73" s="22"/>
      <c r="L73" s="23"/>
      <c r="M73" s="23"/>
      <c r="N73" s="25" t="s">
        <v>38</v>
      </c>
      <c r="O73" s="25"/>
      <c r="P73" s="25"/>
      <c r="Q73" s="24"/>
      <c r="R73" s="106">
        <v>45321</v>
      </c>
      <c r="S73" s="26"/>
      <c r="T73" s="27"/>
      <c r="U73" s="28"/>
      <c r="V73" s="29"/>
      <c r="W73" s="30" t="s">
        <v>159</v>
      </c>
    </row>
    <row r="74" spans="1:23" ht="22.9">
      <c r="A74" s="19">
        <f t="shared" si="1"/>
        <v>72</v>
      </c>
      <c r="B74" s="20"/>
      <c r="C74" s="20"/>
      <c r="D74" s="20" t="s">
        <v>160</v>
      </c>
      <c r="E74" s="31" t="s">
        <v>170</v>
      </c>
      <c r="F74" s="32" t="s">
        <v>97</v>
      </c>
      <c r="G74" s="22"/>
      <c r="H74" s="23"/>
      <c r="I74" s="23"/>
      <c r="J74" s="24"/>
      <c r="K74" s="22"/>
      <c r="L74" s="23"/>
      <c r="M74" s="23"/>
      <c r="N74" s="25" t="s">
        <v>38</v>
      </c>
      <c r="O74" s="25"/>
      <c r="P74" s="25"/>
      <c r="Q74" s="24"/>
      <c r="R74" s="106">
        <v>45321</v>
      </c>
      <c r="S74" s="26"/>
      <c r="T74" s="27"/>
      <c r="U74" s="28"/>
      <c r="V74" s="29"/>
      <c r="W74" s="30" t="s">
        <v>161</v>
      </c>
    </row>
    <row r="75" spans="1:23" ht="22.9">
      <c r="A75" s="19">
        <f t="shared" si="1"/>
        <v>73</v>
      </c>
      <c r="B75" s="20"/>
      <c r="C75" s="20"/>
      <c r="D75" s="20" t="s">
        <v>162</v>
      </c>
      <c r="E75" s="31" t="s">
        <v>170</v>
      </c>
      <c r="F75" s="32" t="s">
        <v>97</v>
      </c>
      <c r="G75" s="22"/>
      <c r="H75" s="23"/>
      <c r="I75" s="23"/>
      <c r="J75" s="24"/>
      <c r="K75" s="22"/>
      <c r="L75" s="23"/>
      <c r="M75" s="23"/>
      <c r="N75" s="25" t="s">
        <v>38</v>
      </c>
      <c r="O75" s="25"/>
      <c r="P75" s="25"/>
      <c r="Q75" s="24"/>
      <c r="R75" s="106">
        <v>45321</v>
      </c>
      <c r="S75" s="26"/>
      <c r="T75" s="27"/>
      <c r="U75" s="28"/>
      <c r="V75" s="29"/>
      <c r="W75" s="30" t="s">
        <v>163</v>
      </c>
    </row>
    <row r="76" spans="1:23" ht="22.9">
      <c r="A76" s="19">
        <f t="shared" si="1"/>
        <v>74</v>
      </c>
      <c r="B76" s="20"/>
      <c r="C76" s="20"/>
      <c r="D76" s="31" t="s">
        <v>164</v>
      </c>
      <c r="E76" s="31" t="s">
        <v>170</v>
      </c>
      <c r="F76" s="32" t="s">
        <v>97</v>
      </c>
      <c r="G76" s="22"/>
      <c r="H76" s="23"/>
      <c r="I76" s="23"/>
      <c r="J76" s="24"/>
      <c r="K76" s="22"/>
      <c r="L76" s="23"/>
      <c r="M76" s="23"/>
      <c r="N76" s="25" t="s">
        <v>38</v>
      </c>
      <c r="O76" s="25"/>
      <c r="P76" s="25"/>
      <c r="Q76" s="24"/>
      <c r="R76" s="106">
        <v>45321</v>
      </c>
      <c r="S76" s="26"/>
      <c r="T76" s="27"/>
      <c r="U76" s="28"/>
      <c r="V76" s="29"/>
      <c r="W76" s="30" t="s">
        <v>165</v>
      </c>
    </row>
    <row r="77" spans="1:23" ht="11.45">
      <c r="A77" s="19">
        <f t="shared" si="1"/>
        <v>75</v>
      </c>
      <c r="B77" s="20"/>
      <c r="C77" s="20"/>
      <c r="D77" s="31" t="s">
        <v>138</v>
      </c>
      <c r="E77" s="31" t="s">
        <v>170</v>
      </c>
      <c r="F77" s="32" t="s">
        <v>97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/>
      <c r="T77" s="27"/>
      <c r="U77" s="28"/>
      <c r="V77" s="29"/>
      <c r="W77" s="30" t="s">
        <v>166</v>
      </c>
    </row>
    <row r="78" spans="1:23" ht="11.45">
      <c r="A78" s="19">
        <f t="shared" si="1"/>
        <v>76</v>
      </c>
      <c r="B78" s="33"/>
      <c r="C78" s="33"/>
      <c r="D78" s="31" t="s">
        <v>167</v>
      </c>
      <c r="E78" s="31" t="s">
        <v>170</v>
      </c>
      <c r="F78" s="32" t="s">
        <v>97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168</v>
      </c>
    </row>
    <row r="79" spans="1:23" ht="22.9">
      <c r="A79" s="19">
        <f t="shared" si="1"/>
        <v>77</v>
      </c>
      <c r="B79" s="20"/>
      <c r="C79" s="20" t="s">
        <v>42</v>
      </c>
      <c r="D79" s="31" t="s">
        <v>95</v>
      </c>
      <c r="E79" s="31" t="s">
        <v>171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5">
      <c r="A80" s="19">
        <f t="shared" si="1"/>
        <v>78</v>
      </c>
      <c r="B80" s="20"/>
      <c r="C80" s="20"/>
      <c r="D80" s="20" t="s">
        <v>99</v>
      </c>
      <c r="E80" s="31" t="s">
        <v>172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5">
      <c r="A81" s="19">
        <f t="shared" si="1"/>
        <v>79</v>
      </c>
      <c r="B81" s="20"/>
      <c r="C81" s="20"/>
      <c r="D81" s="20" t="s">
        <v>102</v>
      </c>
      <c r="E81" s="31" t="s">
        <v>172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5">
      <c r="A82" s="19">
        <f t="shared" si="1"/>
        <v>80</v>
      </c>
      <c r="B82" s="20"/>
      <c r="C82" s="20"/>
      <c r="D82" s="31" t="s">
        <v>104</v>
      </c>
      <c r="E82" s="31" t="s">
        <v>172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5">
      <c r="A83" s="19">
        <f t="shared" si="1"/>
        <v>81</v>
      </c>
      <c r="B83" s="20"/>
      <c r="C83" s="20"/>
      <c r="D83" s="31" t="s">
        <v>106</v>
      </c>
      <c r="E83" s="31" t="s">
        <v>172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5">
      <c r="A84" s="19">
        <f t="shared" si="1"/>
        <v>82</v>
      </c>
      <c r="B84" s="20"/>
      <c r="C84" s="20"/>
      <c r="D84" s="31" t="s">
        <v>108</v>
      </c>
      <c r="E84" s="31" t="s">
        <v>172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5">
      <c r="A85" s="19">
        <f t="shared" si="1"/>
        <v>83</v>
      </c>
      <c r="B85" s="20"/>
      <c r="C85" s="20"/>
      <c r="D85" s="31" t="s">
        <v>110</v>
      </c>
      <c r="E85" s="31" t="s">
        <v>172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5">
      <c r="A86" s="19">
        <f t="shared" si="1"/>
        <v>84</v>
      </c>
      <c r="B86" s="20"/>
      <c r="C86" s="20"/>
      <c r="D86" s="31" t="s">
        <v>112</v>
      </c>
      <c r="E86" s="31" t="s">
        <v>172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5">
      <c r="A87" s="19">
        <f t="shared" si="1"/>
        <v>85</v>
      </c>
      <c r="B87" s="20"/>
      <c r="C87" s="20"/>
      <c r="D87" s="31" t="s">
        <v>114</v>
      </c>
      <c r="E87" s="31" t="s">
        <v>172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5">
      <c r="A88" s="19">
        <f t="shared" si="1"/>
        <v>86</v>
      </c>
      <c r="B88" s="20"/>
      <c r="C88" s="20"/>
      <c r="D88" s="20" t="s">
        <v>116</v>
      </c>
      <c r="E88" s="31" t="s">
        <v>172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5">
      <c r="A89" s="19">
        <f t="shared" si="1"/>
        <v>87</v>
      </c>
      <c r="B89" s="20"/>
      <c r="C89" s="20"/>
      <c r="D89" s="20" t="s">
        <v>118</v>
      </c>
      <c r="E89" s="31" t="s">
        <v>172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5">
      <c r="A90" s="19">
        <f t="shared" si="1"/>
        <v>88</v>
      </c>
      <c r="B90" s="20"/>
      <c r="C90" s="20"/>
      <c r="D90" s="31" t="s">
        <v>120</v>
      </c>
      <c r="E90" s="31" t="s">
        <v>172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5">
      <c r="A91" s="19">
        <f t="shared" si="1"/>
        <v>89</v>
      </c>
      <c r="B91" s="20"/>
      <c r="C91" s="20"/>
      <c r="D91" s="31" t="s">
        <v>122</v>
      </c>
      <c r="E91" s="31" t="s">
        <v>172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5">
      <c r="A92" s="19">
        <f t="shared" si="1"/>
        <v>90</v>
      </c>
      <c r="B92" s="33"/>
      <c r="C92" s="33"/>
      <c r="D92" s="31" t="s">
        <v>124</v>
      </c>
      <c r="E92" s="31" t="s">
        <v>172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5">
      <c r="A93" s="19">
        <f t="shared" si="1"/>
        <v>91</v>
      </c>
      <c r="B93" s="33"/>
      <c r="C93" s="33"/>
      <c r="D93" s="31" t="s">
        <v>126</v>
      </c>
      <c r="E93" s="31" t="s">
        <v>172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5">
      <c r="A94" s="19">
        <f t="shared" si="1"/>
        <v>92</v>
      </c>
      <c r="B94" s="33"/>
      <c r="C94" s="33"/>
      <c r="D94" s="31" t="s">
        <v>128</v>
      </c>
      <c r="E94" s="31" t="s">
        <v>172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5">
      <c r="A95" s="19">
        <f t="shared" si="1"/>
        <v>93</v>
      </c>
      <c r="B95" s="33"/>
      <c r="C95" s="33"/>
      <c r="D95" s="31" t="s">
        <v>130</v>
      </c>
      <c r="E95" s="31" t="s">
        <v>172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5">
      <c r="A96" s="19">
        <f t="shared" si="1"/>
        <v>94</v>
      </c>
      <c r="B96" s="33"/>
      <c r="C96" s="20"/>
      <c r="D96" s="20" t="s">
        <v>132</v>
      </c>
      <c r="E96" s="31" t="s">
        <v>172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5">
      <c r="A97" s="19">
        <f t="shared" si="1"/>
        <v>95</v>
      </c>
      <c r="B97" s="33"/>
      <c r="C97" s="20"/>
      <c r="D97" s="20" t="s">
        <v>134</v>
      </c>
      <c r="E97" s="31" t="s">
        <v>172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5">
      <c r="A98" s="19">
        <f t="shared" si="1"/>
        <v>96</v>
      </c>
      <c r="B98" s="20"/>
      <c r="C98" s="20"/>
      <c r="D98" s="31" t="s">
        <v>136</v>
      </c>
      <c r="E98" s="31" t="s">
        <v>172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5">
      <c r="A99" s="19">
        <f t="shared" si="1"/>
        <v>97</v>
      </c>
      <c r="B99" s="20"/>
      <c r="C99" s="20"/>
      <c r="D99" s="31" t="s">
        <v>138</v>
      </c>
      <c r="E99" s="31" t="s">
        <v>172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5">
      <c r="A100" s="19">
        <f t="shared" si="1"/>
        <v>98</v>
      </c>
      <c r="B100" s="20"/>
      <c r="C100" s="33"/>
      <c r="D100" s="31" t="s">
        <v>140</v>
      </c>
      <c r="E100" s="31" t="s">
        <v>172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5">
      <c r="A101" s="19">
        <f t="shared" si="1"/>
        <v>99</v>
      </c>
      <c r="B101" s="20"/>
      <c r="C101" s="20"/>
      <c r="D101" s="31" t="s">
        <v>142</v>
      </c>
      <c r="E101" s="31" t="s">
        <v>172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5">
      <c r="A102" s="19">
        <f t="shared" si="1"/>
        <v>100</v>
      </c>
      <c r="B102" s="20"/>
      <c r="C102" s="20"/>
      <c r="D102" s="20" t="s">
        <v>144</v>
      </c>
      <c r="E102" s="31" t="s">
        <v>172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5">
      <c r="A103" s="19">
        <f t="shared" si="1"/>
        <v>101</v>
      </c>
      <c r="B103" s="20"/>
      <c r="C103" s="20"/>
      <c r="D103" s="20" t="s">
        <v>146</v>
      </c>
      <c r="E103" s="31" t="s">
        <v>172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5">
      <c r="A104" s="19">
        <f t="shared" si="1"/>
        <v>102</v>
      </c>
      <c r="B104" s="20"/>
      <c r="C104" s="20"/>
      <c r="D104" s="31" t="s">
        <v>148</v>
      </c>
      <c r="E104" s="31" t="s">
        <v>172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5">
      <c r="A105" s="19">
        <f t="shared" si="1"/>
        <v>103</v>
      </c>
      <c r="B105" s="20"/>
      <c r="C105" s="20"/>
      <c r="D105" s="31" t="s">
        <v>150</v>
      </c>
      <c r="E105" s="31" t="s">
        <v>172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5">
      <c r="A106" s="19">
        <f t="shared" si="1"/>
        <v>104</v>
      </c>
      <c r="B106" s="20"/>
      <c r="C106" s="20"/>
      <c r="D106" s="31" t="s">
        <v>152</v>
      </c>
      <c r="E106" s="31" t="s">
        <v>172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5">
      <c r="A107" s="19">
        <f t="shared" si="1"/>
        <v>105</v>
      </c>
      <c r="B107" s="20"/>
      <c r="C107" s="20"/>
      <c r="D107" s="31" t="s">
        <v>154</v>
      </c>
      <c r="E107" s="31" t="s">
        <v>172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5">
      <c r="A108" s="19">
        <f t="shared" si="1"/>
        <v>106</v>
      </c>
      <c r="B108" s="20"/>
      <c r="C108" s="20"/>
      <c r="D108" s="31" t="s">
        <v>156</v>
      </c>
      <c r="E108" s="31" t="s">
        <v>172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5">
      <c r="A109" s="19">
        <f t="shared" si="1"/>
        <v>107</v>
      </c>
      <c r="B109" s="20"/>
      <c r="C109" s="20"/>
      <c r="D109" s="31" t="s">
        <v>158</v>
      </c>
      <c r="E109" s="31" t="s">
        <v>172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5">
      <c r="A110" s="19">
        <f t="shared" si="1"/>
        <v>108</v>
      </c>
      <c r="B110" s="20"/>
      <c r="C110" s="20"/>
      <c r="D110" s="20" t="s">
        <v>160</v>
      </c>
      <c r="E110" s="31" t="s">
        <v>172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5">
      <c r="A111" s="19">
        <f t="shared" si="1"/>
        <v>109</v>
      </c>
      <c r="B111" s="20"/>
      <c r="C111" s="20"/>
      <c r="D111" s="20" t="s">
        <v>162</v>
      </c>
      <c r="E111" s="31" t="s">
        <v>172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5">
      <c r="A112" s="19">
        <f t="shared" si="1"/>
        <v>110</v>
      </c>
      <c r="B112" s="20"/>
      <c r="C112" s="20"/>
      <c r="D112" s="31" t="s">
        <v>164</v>
      </c>
      <c r="E112" s="31" t="s">
        <v>172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5">
      <c r="A113" s="19">
        <f t="shared" si="1"/>
        <v>111</v>
      </c>
      <c r="B113" s="20"/>
      <c r="C113" s="20"/>
      <c r="D113" s="31" t="s">
        <v>138</v>
      </c>
      <c r="E113" s="31" t="s">
        <v>172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5">
      <c r="A114" s="19">
        <f t="shared" si="1"/>
        <v>112</v>
      </c>
      <c r="B114" s="33"/>
      <c r="C114" s="33"/>
      <c r="D114" s="31" t="s">
        <v>167</v>
      </c>
      <c r="E114" s="31" t="s">
        <v>172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>
      <c r="A115" s="34"/>
      <c r="B115" s="35"/>
      <c r="C115" s="36"/>
      <c r="D115" s="36"/>
      <c r="E115" s="35"/>
      <c r="F115" s="37" t="s">
        <v>57</v>
      </c>
      <c r="G115" s="38">
        <f t="shared" ref="G115:Q115" si="3">COUNTIF(G3:G114,"●")</f>
        <v>0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0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2" t="s">
        <v>58</v>
      </c>
      <c r="T115" s="122"/>
      <c r="U115" s="123"/>
      <c r="V115" s="42" t="s">
        <v>59</v>
      </c>
      <c r="W115" s="43">
        <f>SUM(G115:Q115)</f>
        <v>0</v>
      </c>
    </row>
    <row r="116" spans="1:23" s="3" customFormat="1" ht="12" customHeight="1">
      <c r="A116" s="44"/>
      <c r="B116" s="45" t="s">
        <v>60</v>
      </c>
      <c r="C116" s="46">
        <f>W117</f>
        <v>0</v>
      </c>
      <c r="D116" s="46"/>
      <c r="E116" s="45"/>
      <c r="F116" s="47" t="s">
        <v>61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4"/>
      <c r="T116" s="124"/>
      <c r="U116" s="125"/>
      <c r="V116" s="52" t="s">
        <v>59</v>
      </c>
      <c r="W116" s="53">
        <f t="shared" ref="W116:W118" si="5">SUM(G116:Q116)</f>
        <v>0</v>
      </c>
    </row>
    <row r="117" spans="1:23" s="3" customFormat="1" ht="12" customHeight="1">
      <c r="A117" s="54" t="s">
        <v>62</v>
      </c>
      <c r="B117" s="55"/>
      <c r="C117" s="56"/>
      <c r="D117" s="56"/>
      <c r="E117" s="55"/>
      <c r="F117" s="57" t="s">
        <v>63</v>
      </c>
      <c r="G117" s="48">
        <f t="shared" ref="G117:Q117" si="6">G115+G116</f>
        <v>0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0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8"/>
      <c r="S117" s="128">
        <f>COUNTA(S3:S114)</f>
        <v>0</v>
      </c>
      <c r="T117" s="130">
        <f>COUNTA(T3:T114)</f>
        <v>0</v>
      </c>
      <c r="U117" s="132">
        <f>COUNTA(U3:U114)</f>
        <v>0</v>
      </c>
      <c r="V117" s="58" t="s">
        <v>59</v>
      </c>
      <c r="W117" s="53">
        <f t="shared" si="5"/>
        <v>0</v>
      </c>
    </row>
    <row r="118" spans="1:23" s="3" customFormat="1" ht="12" customHeight="1">
      <c r="A118" s="59"/>
      <c r="B118" s="60" t="s">
        <v>64</v>
      </c>
      <c r="C118" s="61">
        <f>W118</f>
        <v>110</v>
      </c>
      <c r="D118" s="61"/>
      <c r="E118" s="60"/>
      <c r="F118" s="62" t="s">
        <v>65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19"/>
      <c r="S118" s="129"/>
      <c r="T118" s="131"/>
      <c r="U118" s="133"/>
      <c r="V118" s="67" t="s">
        <v>59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94" zoomScaleNormal="110" zoomScaleSheetLayoutView="94" workbookViewId="0">
      <pane ySplit="2" topLeftCell="A3" activePane="bottomLeft" state="frozen"/>
      <selection pane="bottomLeft" activeCell="R3" sqref="R3"/>
      <selection activeCell="B8" sqref="B8"/>
    </sheetView>
  </sheetViews>
  <sheetFormatPr defaultColWidth="9.33203125" defaultRowHeight="9" customHeight="1"/>
  <cols>
    <col min="1" max="1" width="5.1640625" style="2" customWidth="1"/>
    <col min="2" max="2" width="16.83203125" style="2" customWidth="1"/>
    <col min="3" max="3" width="28.6640625" style="2" customWidth="1"/>
    <col min="4" max="4" width="26.6640625" style="2" customWidth="1"/>
    <col min="5" max="5" width="41.5" style="2" bestFit="1" customWidth="1"/>
    <col min="6" max="6" width="35.33203125" style="2" customWidth="1"/>
    <col min="7" max="13" width="4.5" style="4" bestFit="1" customWidth="1"/>
    <col min="14" max="15" width="4.5" style="4" customWidth="1"/>
    <col min="16" max="16" width="3.6640625" style="4" bestFit="1" customWidth="1"/>
    <col min="17" max="17" width="4.5" style="4" bestFit="1" customWidth="1"/>
    <col min="18" max="18" width="7.33203125" style="4" customWidth="1"/>
    <col min="19" max="19" width="5.83203125" style="4" customWidth="1"/>
    <col min="20" max="20" width="7.83203125" style="4" customWidth="1"/>
    <col min="21" max="21" width="5.83203125" style="4" customWidth="1"/>
    <col min="22" max="22" width="7.5" style="4" customWidth="1"/>
    <col min="23" max="23" width="27.33203125" style="2" customWidth="1"/>
    <col min="24" max="24" width="13.1640625" style="2" bestFit="1" customWidth="1"/>
    <col min="25" max="16384" width="9.33203125" style="2"/>
  </cols>
  <sheetData>
    <row r="1" spans="1:23" s="1" customFormat="1" ht="13.5" customHeight="1">
      <c r="A1" s="134" t="s">
        <v>6</v>
      </c>
      <c r="B1" s="136" t="s">
        <v>7</v>
      </c>
      <c r="C1" s="138" t="s">
        <v>8</v>
      </c>
      <c r="D1" s="138" t="s">
        <v>9</v>
      </c>
      <c r="E1" s="138" t="s">
        <v>10</v>
      </c>
      <c r="F1" s="149" t="s">
        <v>11</v>
      </c>
      <c r="G1" s="142" t="s">
        <v>12</v>
      </c>
      <c r="H1" s="142"/>
      <c r="I1" s="142"/>
      <c r="J1" s="145"/>
      <c r="K1" s="146" t="s">
        <v>13</v>
      </c>
      <c r="L1" s="147"/>
      <c r="M1" s="147"/>
      <c r="N1" s="148"/>
      <c r="O1" s="148"/>
      <c r="P1" s="148"/>
      <c r="Q1" s="148"/>
      <c r="R1" s="120" t="s">
        <v>14</v>
      </c>
      <c r="S1" s="142" t="s">
        <v>15</v>
      </c>
      <c r="T1" s="142"/>
      <c r="U1" s="142"/>
      <c r="V1" s="126" t="s">
        <v>16</v>
      </c>
      <c r="W1" s="69"/>
    </row>
    <row r="2" spans="1:23" s="1" customFormat="1" ht="15" customHeight="1">
      <c r="A2" s="135"/>
      <c r="B2" s="137"/>
      <c r="C2" s="139"/>
      <c r="D2" s="139"/>
      <c r="E2" s="139"/>
      <c r="F2" s="150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1"/>
      <c r="S2" s="71" t="s">
        <v>29</v>
      </c>
      <c r="T2" s="72" t="s">
        <v>30</v>
      </c>
      <c r="U2" s="73" t="s">
        <v>31</v>
      </c>
      <c r="V2" s="127"/>
      <c r="W2" s="70"/>
    </row>
    <row r="3" spans="1:23" ht="22.9">
      <c r="A3" s="89">
        <f>ROW()-2</f>
        <v>1</v>
      </c>
      <c r="B3" s="90" t="s">
        <v>32</v>
      </c>
      <c r="C3" s="90" t="s">
        <v>67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9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173</v>
      </c>
      <c r="F4" s="32" t="s">
        <v>70</v>
      </c>
      <c r="G4" s="23" t="s">
        <v>71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/>
      <c r="T4" s="27"/>
      <c r="U4" s="28"/>
      <c r="V4" s="29"/>
      <c r="W4" s="30"/>
    </row>
    <row r="5" spans="1:23" ht="68.45">
      <c r="A5" s="19">
        <f t="shared" ref="A5:A7" si="1">ROW()-2</f>
        <v>3</v>
      </c>
      <c r="B5" s="20"/>
      <c r="C5" s="20" t="s">
        <v>174</v>
      </c>
      <c r="D5" s="20" t="s">
        <v>175</v>
      </c>
      <c r="E5" s="20" t="s">
        <v>176</v>
      </c>
      <c r="F5" s="21" t="s">
        <v>177</v>
      </c>
      <c r="G5" s="22"/>
      <c r="H5" s="23"/>
      <c r="I5" s="23"/>
      <c r="J5" s="24"/>
      <c r="K5" s="22"/>
      <c r="L5" s="23" t="s">
        <v>38</v>
      </c>
      <c r="M5" s="23"/>
      <c r="N5" s="25"/>
      <c r="O5" s="25"/>
      <c r="P5" s="25"/>
      <c r="Q5" s="24"/>
      <c r="R5" s="106">
        <v>45320</v>
      </c>
      <c r="S5" s="26"/>
      <c r="T5" s="27"/>
      <c r="U5" s="28"/>
      <c r="V5" s="29"/>
      <c r="W5" s="30"/>
    </row>
    <row r="6" spans="1:23" ht="68.45">
      <c r="A6" s="19">
        <f t="shared" si="1"/>
        <v>4</v>
      </c>
      <c r="B6" s="20"/>
      <c r="C6" s="20"/>
      <c r="D6" s="20" t="s">
        <v>178</v>
      </c>
      <c r="E6" s="20" t="s">
        <v>179</v>
      </c>
      <c r="F6" s="21" t="s">
        <v>177</v>
      </c>
      <c r="G6" s="22"/>
      <c r="H6" s="23"/>
      <c r="I6" s="23"/>
      <c r="J6" s="24"/>
      <c r="K6" s="22"/>
      <c r="L6" s="23" t="s">
        <v>38</v>
      </c>
      <c r="M6" s="23"/>
      <c r="N6" s="25"/>
      <c r="O6" s="25"/>
      <c r="P6" s="25"/>
      <c r="Q6" s="24"/>
      <c r="R6" s="106">
        <v>45320</v>
      </c>
      <c r="S6" s="26"/>
      <c r="T6" s="27"/>
      <c r="U6" s="28"/>
      <c r="V6" s="29"/>
      <c r="W6" s="30"/>
    </row>
    <row r="7" spans="1:23" ht="68.45">
      <c r="A7" s="19">
        <f t="shared" si="1"/>
        <v>5</v>
      </c>
      <c r="B7" s="20"/>
      <c r="C7" s="20"/>
      <c r="D7" s="31" t="s">
        <v>180</v>
      </c>
      <c r="E7" s="20" t="s">
        <v>181</v>
      </c>
      <c r="F7" s="21" t="s">
        <v>177</v>
      </c>
      <c r="G7" s="22"/>
      <c r="H7" s="23"/>
      <c r="I7" s="23"/>
      <c r="J7" s="24"/>
      <c r="K7" s="22"/>
      <c r="L7" s="23" t="s">
        <v>38</v>
      </c>
      <c r="M7" s="23"/>
      <c r="N7" s="25"/>
      <c r="O7" s="25"/>
      <c r="P7" s="25"/>
      <c r="Q7" s="24"/>
      <c r="R7" s="106">
        <v>45320</v>
      </c>
      <c r="S7" s="26"/>
      <c r="T7" s="27"/>
      <c r="U7" s="28"/>
      <c r="V7" s="29"/>
      <c r="W7" s="30"/>
    </row>
    <row r="8" spans="1:23" ht="68.45">
      <c r="A8" s="19">
        <f t="shared" ref="A8:A92" si="2">ROW()-2</f>
        <v>6</v>
      </c>
      <c r="B8" s="20"/>
      <c r="C8" s="20"/>
      <c r="D8" s="31" t="s">
        <v>182</v>
      </c>
      <c r="E8" s="20" t="s">
        <v>183</v>
      </c>
      <c r="F8" s="21" t="s">
        <v>177</v>
      </c>
      <c r="G8" s="22"/>
      <c r="H8" s="23"/>
      <c r="I8" s="23"/>
      <c r="J8" s="24"/>
      <c r="K8" s="22"/>
      <c r="L8" s="23" t="s">
        <v>38</v>
      </c>
      <c r="M8" s="23"/>
      <c r="N8" s="25"/>
      <c r="O8" s="25"/>
      <c r="P8" s="25"/>
      <c r="Q8" s="24"/>
      <c r="R8" s="106">
        <v>45320</v>
      </c>
      <c r="S8" s="26"/>
      <c r="T8" s="27"/>
      <c r="U8" s="28"/>
      <c r="V8" s="29"/>
      <c r="W8" s="30"/>
    </row>
    <row r="9" spans="1:23" ht="68.45">
      <c r="A9" s="19">
        <f t="shared" si="2"/>
        <v>7</v>
      </c>
      <c r="B9" s="20"/>
      <c r="C9" s="20"/>
      <c r="D9" s="31" t="s">
        <v>184</v>
      </c>
      <c r="E9" s="20" t="s">
        <v>185</v>
      </c>
      <c r="F9" s="21" t="s">
        <v>177</v>
      </c>
      <c r="G9" s="22"/>
      <c r="H9" s="23"/>
      <c r="I9" s="23"/>
      <c r="J9" s="24"/>
      <c r="K9" s="22"/>
      <c r="L9" s="23" t="s">
        <v>38</v>
      </c>
      <c r="M9" s="23"/>
      <c r="N9" s="25"/>
      <c r="O9" s="25"/>
      <c r="P9" s="25"/>
      <c r="Q9" s="24"/>
      <c r="R9" s="106">
        <v>45320</v>
      </c>
      <c r="S9" s="26"/>
      <c r="T9" s="27"/>
      <c r="U9" s="28"/>
      <c r="V9" s="29"/>
      <c r="W9" s="30"/>
    </row>
    <row r="10" spans="1:23" ht="68.45">
      <c r="A10" s="19">
        <f t="shared" si="2"/>
        <v>8</v>
      </c>
      <c r="B10" s="20"/>
      <c r="C10" s="20"/>
      <c r="D10" s="31" t="s">
        <v>186</v>
      </c>
      <c r="E10" s="20" t="s">
        <v>187</v>
      </c>
      <c r="F10" s="21" t="s">
        <v>177</v>
      </c>
      <c r="G10" s="22"/>
      <c r="H10" s="23"/>
      <c r="I10" s="23"/>
      <c r="J10" s="24"/>
      <c r="K10" s="22"/>
      <c r="L10" s="23" t="s">
        <v>38</v>
      </c>
      <c r="M10" s="23"/>
      <c r="N10" s="25"/>
      <c r="O10" s="25"/>
      <c r="P10" s="25"/>
      <c r="Q10" s="24"/>
      <c r="R10" s="106">
        <v>45320</v>
      </c>
      <c r="S10" s="26"/>
      <c r="T10" s="27"/>
      <c r="U10" s="28"/>
      <c r="V10" s="29"/>
      <c r="W10" s="30"/>
    </row>
    <row r="11" spans="1:23" ht="68.45">
      <c r="A11" s="19">
        <f t="shared" si="2"/>
        <v>9</v>
      </c>
      <c r="B11" s="20"/>
      <c r="C11" s="20"/>
      <c r="D11" s="31" t="s">
        <v>188</v>
      </c>
      <c r="E11" s="20" t="s">
        <v>189</v>
      </c>
      <c r="F11" s="21" t="s">
        <v>177</v>
      </c>
      <c r="G11" s="22"/>
      <c r="H11" s="23"/>
      <c r="I11" s="23"/>
      <c r="J11" s="24"/>
      <c r="K11" s="22"/>
      <c r="L11" s="23" t="s">
        <v>38</v>
      </c>
      <c r="M11" s="23"/>
      <c r="N11" s="25"/>
      <c r="O11" s="25"/>
      <c r="P11" s="25"/>
      <c r="Q11" s="24"/>
      <c r="R11" s="106">
        <v>45320</v>
      </c>
      <c r="S11" s="26"/>
      <c r="T11" s="27"/>
      <c r="U11" s="28"/>
      <c r="V11" s="29"/>
      <c r="W11" s="30"/>
    </row>
    <row r="12" spans="1:23" ht="68.45">
      <c r="A12" s="19">
        <f t="shared" si="2"/>
        <v>10</v>
      </c>
      <c r="B12" s="20"/>
      <c r="C12" s="20"/>
      <c r="D12" s="31" t="s">
        <v>190</v>
      </c>
      <c r="E12" s="20" t="s">
        <v>191</v>
      </c>
      <c r="F12" s="21" t="s">
        <v>177</v>
      </c>
      <c r="G12" s="22"/>
      <c r="H12" s="23"/>
      <c r="I12" s="23"/>
      <c r="J12" s="24"/>
      <c r="K12" s="22"/>
      <c r="L12" s="23" t="s">
        <v>38</v>
      </c>
      <c r="M12" s="23"/>
      <c r="N12" s="25"/>
      <c r="O12" s="25"/>
      <c r="P12" s="25"/>
      <c r="Q12" s="24"/>
      <c r="R12" s="106">
        <v>45320</v>
      </c>
      <c r="S12" s="26"/>
      <c r="T12" s="27"/>
      <c r="U12" s="28"/>
      <c r="V12" s="29"/>
      <c r="W12" s="30"/>
    </row>
    <row r="13" spans="1:23" ht="68.45">
      <c r="A13" s="19">
        <f t="shared" si="2"/>
        <v>11</v>
      </c>
      <c r="B13" s="20"/>
      <c r="C13" s="20"/>
      <c r="D13" s="20" t="s">
        <v>192</v>
      </c>
      <c r="E13" s="20" t="s">
        <v>193</v>
      </c>
      <c r="F13" s="21" t="s">
        <v>177</v>
      </c>
      <c r="G13" s="22"/>
      <c r="H13" s="23"/>
      <c r="I13" s="23"/>
      <c r="J13" s="24"/>
      <c r="K13" s="22"/>
      <c r="L13" s="23" t="s">
        <v>38</v>
      </c>
      <c r="M13" s="23"/>
      <c r="N13" s="25"/>
      <c r="O13" s="25"/>
      <c r="P13" s="25"/>
      <c r="Q13" s="24"/>
      <c r="R13" s="106">
        <v>45320</v>
      </c>
      <c r="S13" s="26"/>
      <c r="T13" s="27"/>
      <c r="U13" s="28"/>
      <c r="V13" s="29"/>
      <c r="W13" s="30"/>
    </row>
    <row r="14" spans="1:23" ht="68.45">
      <c r="A14" s="19">
        <f t="shared" si="2"/>
        <v>12</v>
      </c>
      <c r="B14" s="20"/>
      <c r="C14" s="20"/>
      <c r="D14" s="20" t="s">
        <v>194</v>
      </c>
      <c r="E14" s="20" t="s">
        <v>195</v>
      </c>
      <c r="F14" s="21" t="s">
        <v>177</v>
      </c>
      <c r="G14" s="22"/>
      <c r="H14" s="23"/>
      <c r="I14" s="23"/>
      <c r="J14" s="24"/>
      <c r="K14" s="22"/>
      <c r="L14" s="23" t="s">
        <v>38</v>
      </c>
      <c r="M14" s="23"/>
      <c r="N14" s="25"/>
      <c r="O14" s="25"/>
      <c r="P14" s="25"/>
      <c r="Q14" s="24"/>
      <c r="R14" s="106">
        <v>45320</v>
      </c>
      <c r="S14" s="26"/>
      <c r="T14" s="27"/>
      <c r="U14" s="28"/>
      <c r="V14" s="29"/>
      <c r="W14" s="30"/>
    </row>
    <row r="15" spans="1:23" ht="68.45">
      <c r="A15" s="19">
        <f t="shared" si="2"/>
        <v>13</v>
      </c>
      <c r="B15" s="20"/>
      <c r="C15" s="20"/>
      <c r="D15" s="31" t="s">
        <v>196</v>
      </c>
      <c r="E15" s="20" t="s">
        <v>197</v>
      </c>
      <c r="F15" s="21" t="s">
        <v>177</v>
      </c>
      <c r="G15" s="22"/>
      <c r="H15" s="23"/>
      <c r="I15" s="23"/>
      <c r="J15" s="24"/>
      <c r="K15" s="22"/>
      <c r="L15" s="23" t="s">
        <v>38</v>
      </c>
      <c r="M15" s="23"/>
      <c r="N15" s="25"/>
      <c r="O15" s="25"/>
      <c r="P15" s="25"/>
      <c r="Q15" s="24"/>
      <c r="R15" s="106">
        <v>45320</v>
      </c>
      <c r="S15" s="26"/>
      <c r="T15" s="27"/>
      <c r="U15" s="28"/>
      <c r="V15" s="29"/>
      <c r="W15" s="30"/>
    </row>
    <row r="16" spans="1:23" ht="68.45">
      <c r="A16" s="19">
        <f t="shared" si="2"/>
        <v>14</v>
      </c>
      <c r="B16" s="20"/>
      <c r="C16" s="20"/>
      <c r="D16" s="31" t="s">
        <v>198</v>
      </c>
      <c r="E16" s="20" t="s">
        <v>199</v>
      </c>
      <c r="F16" s="21" t="s">
        <v>177</v>
      </c>
      <c r="G16" s="22"/>
      <c r="H16" s="23"/>
      <c r="I16" s="23"/>
      <c r="J16" s="24"/>
      <c r="K16" s="22"/>
      <c r="L16" s="23" t="s">
        <v>38</v>
      </c>
      <c r="M16" s="23"/>
      <c r="N16" s="25"/>
      <c r="O16" s="25"/>
      <c r="P16" s="25"/>
      <c r="Q16" s="24"/>
      <c r="R16" s="106">
        <v>45320</v>
      </c>
      <c r="S16" s="26"/>
      <c r="T16" s="27"/>
      <c r="U16" s="28"/>
      <c r="V16" s="29"/>
      <c r="W16" s="30"/>
    </row>
    <row r="17" spans="1:23" ht="68.45">
      <c r="A17" s="19">
        <f t="shared" si="2"/>
        <v>15</v>
      </c>
      <c r="B17" s="20"/>
      <c r="C17" s="20"/>
      <c r="D17" s="31" t="s">
        <v>200</v>
      </c>
      <c r="E17" s="20" t="s">
        <v>201</v>
      </c>
      <c r="F17" s="21" t="s">
        <v>177</v>
      </c>
      <c r="G17" s="22"/>
      <c r="H17" s="23"/>
      <c r="I17" s="23"/>
      <c r="J17" s="24"/>
      <c r="K17" s="22"/>
      <c r="L17" s="23" t="s">
        <v>38</v>
      </c>
      <c r="M17" s="23"/>
      <c r="N17" s="25"/>
      <c r="O17" s="25"/>
      <c r="P17" s="25"/>
      <c r="Q17" s="24"/>
      <c r="R17" s="106">
        <v>45320</v>
      </c>
      <c r="S17" s="26"/>
      <c r="T17" s="27"/>
      <c r="U17" s="28"/>
      <c r="V17" s="29"/>
      <c r="W17" s="30"/>
    </row>
    <row r="18" spans="1:23" ht="68.45">
      <c r="A18" s="19">
        <f t="shared" si="2"/>
        <v>16</v>
      </c>
      <c r="B18" s="20"/>
      <c r="C18" s="20"/>
      <c r="D18" s="31" t="s">
        <v>202</v>
      </c>
      <c r="E18" s="20" t="s">
        <v>203</v>
      </c>
      <c r="F18" s="21" t="s">
        <v>177</v>
      </c>
      <c r="G18" s="22"/>
      <c r="H18" s="23"/>
      <c r="I18" s="23"/>
      <c r="J18" s="24"/>
      <c r="K18" s="22"/>
      <c r="L18" s="23" t="s">
        <v>38</v>
      </c>
      <c r="M18" s="23"/>
      <c r="N18" s="25"/>
      <c r="O18" s="25"/>
      <c r="P18" s="25"/>
      <c r="Q18" s="24"/>
      <c r="R18" s="106">
        <v>45320</v>
      </c>
      <c r="S18" s="26"/>
      <c r="T18" s="27"/>
      <c r="U18" s="28"/>
      <c r="V18" s="29"/>
      <c r="W18" s="30"/>
    </row>
    <row r="19" spans="1:23" ht="68.45">
      <c r="A19" s="19">
        <f t="shared" si="2"/>
        <v>17</v>
      </c>
      <c r="B19" s="20"/>
      <c r="C19" s="20"/>
      <c r="D19" s="31" t="s">
        <v>204</v>
      </c>
      <c r="E19" s="20" t="s">
        <v>205</v>
      </c>
      <c r="F19" s="21" t="s">
        <v>177</v>
      </c>
      <c r="G19" s="22"/>
      <c r="H19" s="23"/>
      <c r="I19" s="23"/>
      <c r="J19" s="24"/>
      <c r="K19" s="22"/>
      <c r="L19" s="23" t="s">
        <v>38</v>
      </c>
      <c r="M19" s="23"/>
      <c r="N19" s="25"/>
      <c r="O19" s="25"/>
      <c r="P19" s="25"/>
      <c r="Q19" s="24"/>
      <c r="R19" s="106">
        <v>45320</v>
      </c>
      <c r="S19" s="26"/>
      <c r="T19" s="27"/>
      <c r="U19" s="28"/>
      <c r="V19" s="29"/>
      <c r="W19" s="30"/>
    </row>
    <row r="20" spans="1:23" ht="68.45">
      <c r="A20" s="19">
        <f t="shared" si="2"/>
        <v>18</v>
      </c>
      <c r="B20" s="20"/>
      <c r="C20" s="20"/>
      <c r="D20" s="31" t="s">
        <v>206</v>
      </c>
      <c r="E20" s="20" t="s">
        <v>207</v>
      </c>
      <c r="F20" s="21" t="s">
        <v>177</v>
      </c>
      <c r="G20" s="22"/>
      <c r="H20" s="23"/>
      <c r="I20" s="23"/>
      <c r="J20" s="24"/>
      <c r="K20" s="22"/>
      <c r="L20" s="23" t="s">
        <v>38</v>
      </c>
      <c r="M20" s="23"/>
      <c r="N20" s="25"/>
      <c r="O20" s="25"/>
      <c r="P20" s="25"/>
      <c r="Q20" s="24"/>
      <c r="R20" s="106">
        <v>45320</v>
      </c>
      <c r="S20" s="26"/>
      <c r="T20" s="27"/>
      <c r="U20" s="28"/>
      <c r="V20" s="29"/>
      <c r="W20" s="30"/>
    </row>
    <row r="21" spans="1:23" ht="68.45">
      <c r="A21" s="19">
        <f t="shared" si="2"/>
        <v>19</v>
      </c>
      <c r="B21" s="20"/>
      <c r="C21" s="20"/>
      <c r="D21" s="20" t="s">
        <v>208</v>
      </c>
      <c r="E21" s="20" t="s">
        <v>209</v>
      </c>
      <c r="F21" s="21" t="s">
        <v>177</v>
      </c>
      <c r="G21" s="22"/>
      <c r="H21" s="23"/>
      <c r="I21" s="23"/>
      <c r="J21" s="24"/>
      <c r="K21" s="22"/>
      <c r="L21" s="23" t="s">
        <v>38</v>
      </c>
      <c r="M21" s="23"/>
      <c r="N21" s="25"/>
      <c r="O21" s="25"/>
      <c r="P21" s="25"/>
      <c r="Q21" s="24"/>
      <c r="R21" s="106">
        <v>45320</v>
      </c>
      <c r="S21" s="26"/>
      <c r="T21" s="27"/>
      <c r="U21" s="28"/>
      <c r="V21" s="29"/>
      <c r="W21" s="30"/>
    </row>
    <row r="22" spans="1:23" ht="68.45">
      <c r="A22" s="19">
        <f t="shared" si="2"/>
        <v>20</v>
      </c>
      <c r="B22" s="20"/>
      <c r="C22" s="20"/>
      <c r="D22" s="20" t="s">
        <v>210</v>
      </c>
      <c r="E22" s="20" t="s">
        <v>211</v>
      </c>
      <c r="F22" s="21" t="s">
        <v>177</v>
      </c>
      <c r="G22" s="22"/>
      <c r="H22" s="23"/>
      <c r="I22" s="23"/>
      <c r="J22" s="24"/>
      <c r="K22" s="22"/>
      <c r="L22" s="23" t="s">
        <v>38</v>
      </c>
      <c r="M22" s="23"/>
      <c r="N22" s="25"/>
      <c r="O22" s="25"/>
      <c r="P22" s="25"/>
      <c r="Q22" s="24"/>
      <c r="R22" s="106">
        <v>45320</v>
      </c>
      <c r="S22" s="26"/>
      <c r="T22" s="27"/>
      <c r="U22" s="28"/>
      <c r="V22" s="29"/>
      <c r="W22" s="30"/>
    </row>
    <row r="23" spans="1:23" ht="68.45">
      <c r="A23" s="19">
        <f t="shared" si="2"/>
        <v>21</v>
      </c>
      <c r="B23" s="20"/>
      <c r="C23" s="20"/>
      <c r="D23" s="31" t="s">
        <v>212</v>
      </c>
      <c r="E23" s="20" t="s">
        <v>213</v>
      </c>
      <c r="F23" s="21" t="s">
        <v>177</v>
      </c>
      <c r="G23" s="22"/>
      <c r="H23" s="23"/>
      <c r="I23" s="23"/>
      <c r="J23" s="24"/>
      <c r="K23" s="22"/>
      <c r="L23" s="23" t="s">
        <v>38</v>
      </c>
      <c r="M23" s="23"/>
      <c r="N23" s="25"/>
      <c r="O23" s="25"/>
      <c r="P23" s="25"/>
      <c r="Q23" s="24"/>
      <c r="R23" s="106">
        <v>45320</v>
      </c>
      <c r="S23" s="26"/>
      <c r="T23" s="27"/>
      <c r="U23" s="28"/>
      <c r="V23" s="29"/>
      <c r="W23" s="30"/>
    </row>
    <row r="24" spans="1:23" ht="68.45">
      <c r="A24" s="19">
        <f t="shared" si="2"/>
        <v>22</v>
      </c>
      <c r="B24" s="20"/>
      <c r="C24" s="20"/>
      <c r="D24" s="31" t="s">
        <v>214</v>
      </c>
      <c r="E24" s="20" t="s">
        <v>215</v>
      </c>
      <c r="F24" s="21" t="s">
        <v>177</v>
      </c>
      <c r="G24" s="22"/>
      <c r="H24" s="23"/>
      <c r="I24" s="23"/>
      <c r="J24" s="24"/>
      <c r="K24" s="22"/>
      <c r="L24" s="23" t="s">
        <v>38</v>
      </c>
      <c r="M24" s="23"/>
      <c r="N24" s="25"/>
      <c r="O24" s="25"/>
      <c r="P24" s="25"/>
      <c r="Q24" s="24"/>
      <c r="R24" s="106">
        <v>45320</v>
      </c>
      <c r="S24" s="26"/>
      <c r="T24" s="27"/>
      <c r="U24" s="28"/>
      <c r="V24" s="29"/>
      <c r="W24" s="30"/>
    </row>
    <row r="25" spans="1:23" ht="68.45">
      <c r="A25" s="19">
        <f t="shared" si="2"/>
        <v>23</v>
      </c>
      <c r="B25" s="33"/>
      <c r="C25" s="33"/>
      <c r="D25" s="31" t="s">
        <v>216</v>
      </c>
      <c r="E25" s="20" t="s">
        <v>217</v>
      </c>
      <c r="F25" s="21" t="s">
        <v>177</v>
      </c>
      <c r="G25" s="22"/>
      <c r="H25" s="23"/>
      <c r="I25" s="23"/>
      <c r="J25" s="24"/>
      <c r="K25" s="22"/>
      <c r="L25" s="23" t="s">
        <v>38</v>
      </c>
      <c r="M25" s="23"/>
      <c r="N25" s="25"/>
      <c r="O25" s="25"/>
      <c r="P25" s="25"/>
      <c r="Q25" s="24"/>
      <c r="R25" s="106">
        <v>45320</v>
      </c>
      <c r="S25" s="26"/>
      <c r="T25" s="27"/>
      <c r="U25" s="28"/>
      <c r="V25" s="29"/>
      <c r="W25" s="30"/>
    </row>
    <row r="26" spans="1:23" ht="68.45">
      <c r="A26" s="19">
        <f t="shared" si="2"/>
        <v>24</v>
      </c>
      <c r="B26" s="33"/>
      <c r="C26" s="33"/>
      <c r="D26" s="31" t="s">
        <v>218</v>
      </c>
      <c r="E26" s="20" t="s">
        <v>219</v>
      </c>
      <c r="F26" s="21" t="s">
        <v>177</v>
      </c>
      <c r="G26" s="22"/>
      <c r="H26" s="23"/>
      <c r="I26" s="23"/>
      <c r="J26" s="24"/>
      <c r="K26" s="22"/>
      <c r="L26" s="23" t="s">
        <v>38</v>
      </c>
      <c r="M26" s="23"/>
      <c r="N26" s="25"/>
      <c r="O26" s="25"/>
      <c r="P26" s="25"/>
      <c r="Q26" s="24"/>
      <c r="R26" s="106">
        <v>45320</v>
      </c>
      <c r="S26" s="26"/>
      <c r="T26" s="27"/>
      <c r="U26" s="28"/>
      <c r="V26" s="29"/>
      <c r="W26" s="30"/>
    </row>
    <row r="27" spans="1:23" ht="68.45">
      <c r="A27" s="19">
        <f t="shared" si="2"/>
        <v>25</v>
      </c>
      <c r="B27" s="33"/>
      <c r="C27" s="33"/>
      <c r="D27" s="31" t="s">
        <v>220</v>
      </c>
      <c r="E27" s="20" t="s">
        <v>221</v>
      </c>
      <c r="F27" s="21" t="s">
        <v>177</v>
      </c>
      <c r="G27" s="22"/>
      <c r="H27" s="23"/>
      <c r="I27" s="23"/>
      <c r="J27" s="24"/>
      <c r="K27" s="22"/>
      <c r="L27" s="23" t="s">
        <v>38</v>
      </c>
      <c r="M27" s="23"/>
      <c r="N27" s="25"/>
      <c r="O27" s="25"/>
      <c r="P27" s="25"/>
      <c r="Q27" s="24"/>
      <c r="R27" s="106">
        <v>45320</v>
      </c>
      <c r="S27" s="26"/>
      <c r="T27" s="27"/>
      <c r="U27" s="28"/>
      <c r="V27" s="29"/>
      <c r="W27" s="30"/>
    </row>
    <row r="28" spans="1:23" ht="68.45">
      <c r="A28" s="19">
        <f t="shared" si="2"/>
        <v>26</v>
      </c>
      <c r="B28" s="33"/>
      <c r="C28" s="33"/>
      <c r="D28" s="31" t="s">
        <v>222</v>
      </c>
      <c r="E28" s="20" t="s">
        <v>223</v>
      </c>
      <c r="F28" s="21" t="s">
        <v>177</v>
      </c>
      <c r="G28" s="22"/>
      <c r="H28" s="23"/>
      <c r="I28" s="23"/>
      <c r="J28" s="24"/>
      <c r="K28" s="22"/>
      <c r="L28" s="23" t="s">
        <v>38</v>
      </c>
      <c r="M28" s="23"/>
      <c r="N28" s="25"/>
      <c r="O28" s="25"/>
      <c r="P28" s="25"/>
      <c r="Q28" s="24"/>
      <c r="R28" s="106">
        <v>45320</v>
      </c>
      <c r="S28" s="26"/>
      <c r="T28" s="27"/>
      <c r="U28" s="28"/>
      <c r="V28" s="29"/>
      <c r="W28" s="30"/>
    </row>
    <row r="29" spans="1:23" ht="68.45">
      <c r="A29" s="19">
        <f t="shared" si="2"/>
        <v>27</v>
      </c>
      <c r="B29" s="33"/>
      <c r="C29" s="20"/>
      <c r="D29" s="20" t="s">
        <v>224</v>
      </c>
      <c r="E29" s="20" t="s">
        <v>225</v>
      </c>
      <c r="F29" s="21" t="s">
        <v>177</v>
      </c>
      <c r="G29" s="22"/>
      <c r="H29" s="23"/>
      <c r="I29" s="23"/>
      <c r="J29" s="24"/>
      <c r="K29" s="22"/>
      <c r="L29" s="23" t="s">
        <v>38</v>
      </c>
      <c r="M29" s="23"/>
      <c r="N29" s="25"/>
      <c r="O29" s="25"/>
      <c r="P29" s="25"/>
      <c r="Q29" s="24"/>
      <c r="R29" s="106">
        <v>45320</v>
      </c>
      <c r="S29" s="26"/>
      <c r="T29" s="27"/>
      <c r="U29" s="28"/>
      <c r="V29" s="29"/>
      <c r="W29" s="30"/>
    </row>
    <row r="30" spans="1:23" ht="68.45">
      <c r="A30" s="19">
        <f t="shared" si="2"/>
        <v>28</v>
      </c>
      <c r="B30" s="33"/>
      <c r="C30" s="20"/>
      <c r="D30" s="20" t="s">
        <v>226</v>
      </c>
      <c r="E30" s="20" t="s">
        <v>227</v>
      </c>
      <c r="F30" s="21" t="s">
        <v>177</v>
      </c>
      <c r="G30" s="22"/>
      <c r="H30" s="23"/>
      <c r="I30" s="23"/>
      <c r="J30" s="24"/>
      <c r="K30" s="22"/>
      <c r="L30" s="23" t="s">
        <v>38</v>
      </c>
      <c r="M30" s="23"/>
      <c r="N30" s="25"/>
      <c r="O30" s="25"/>
      <c r="P30" s="25"/>
      <c r="Q30" s="24"/>
      <c r="R30" s="106">
        <v>45320</v>
      </c>
      <c r="S30" s="26"/>
      <c r="T30" s="27"/>
      <c r="U30" s="28"/>
      <c r="V30" s="29"/>
      <c r="W30" s="30"/>
    </row>
    <row r="31" spans="1:23" ht="68.45">
      <c r="A31" s="19">
        <f t="shared" si="2"/>
        <v>29</v>
      </c>
      <c r="B31" s="20"/>
      <c r="C31" s="20"/>
      <c r="D31" s="31" t="s">
        <v>228</v>
      </c>
      <c r="E31" s="20" t="s">
        <v>229</v>
      </c>
      <c r="F31" s="21" t="s">
        <v>177</v>
      </c>
      <c r="G31" s="22"/>
      <c r="H31" s="23"/>
      <c r="I31" s="23"/>
      <c r="J31" s="24"/>
      <c r="K31" s="22"/>
      <c r="L31" s="23" t="s">
        <v>38</v>
      </c>
      <c r="M31" s="23"/>
      <c r="N31" s="25"/>
      <c r="O31" s="25"/>
      <c r="P31" s="25"/>
      <c r="Q31" s="24"/>
      <c r="R31" s="106">
        <v>45320</v>
      </c>
      <c r="S31" s="26"/>
      <c r="T31" s="27"/>
      <c r="U31" s="28"/>
      <c r="V31" s="29"/>
      <c r="W31" s="30"/>
    </row>
    <row r="32" spans="1:23" ht="57">
      <c r="A32" s="19">
        <f t="shared" si="2"/>
        <v>30</v>
      </c>
      <c r="B32" s="20"/>
      <c r="C32" s="20"/>
      <c r="D32" s="31" t="s">
        <v>230</v>
      </c>
      <c r="E32" s="20" t="s">
        <v>231</v>
      </c>
      <c r="F32" s="21" t="s">
        <v>177</v>
      </c>
      <c r="G32" s="22"/>
      <c r="H32" s="23"/>
      <c r="I32" s="23"/>
      <c r="J32" s="24"/>
      <c r="K32" s="22"/>
      <c r="L32" s="23" t="s">
        <v>38</v>
      </c>
      <c r="M32" s="23"/>
      <c r="N32" s="25"/>
      <c r="O32" s="25"/>
      <c r="P32" s="25"/>
      <c r="Q32" s="24"/>
      <c r="R32" s="106">
        <v>45320</v>
      </c>
      <c r="S32" s="26"/>
      <c r="T32" s="27"/>
      <c r="U32" s="28"/>
      <c r="V32" s="29"/>
      <c r="W32" s="30"/>
    </row>
    <row r="33" spans="1:23" ht="57">
      <c r="A33" s="19">
        <f t="shared" si="2"/>
        <v>31</v>
      </c>
      <c r="B33" s="20"/>
      <c r="C33" s="20"/>
      <c r="D33" s="31" t="s">
        <v>232</v>
      </c>
      <c r="E33" s="20" t="s">
        <v>233</v>
      </c>
      <c r="F33" s="21" t="s">
        <v>177</v>
      </c>
      <c r="G33" s="22"/>
      <c r="H33" s="23"/>
      <c r="I33" s="23"/>
      <c r="J33" s="24"/>
      <c r="K33" s="22"/>
      <c r="L33" s="23" t="s">
        <v>38</v>
      </c>
      <c r="M33" s="23"/>
      <c r="N33" s="25"/>
      <c r="O33" s="25"/>
      <c r="P33" s="25"/>
      <c r="Q33" s="24"/>
      <c r="R33" s="106">
        <v>45320</v>
      </c>
      <c r="S33" s="26"/>
      <c r="T33" s="27"/>
      <c r="U33" s="28"/>
      <c r="V33" s="29"/>
      <c r="W33" s="30"/>
    </row>
    <row r="34" spans="1:23" ht="22.9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9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234</v>
      </c>
      <c r="F35" s="32" t="s">
        <v>70</v>
      </c>
      <c r="G35" s="23" t="s">
        <v>71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/>
      <c r="T35" s="27"/>
      <c r="U35" s="28"/>
      <c r="V35" s="29"/>
      <c r="W35" s="30"/>
    </row>
    <row r="36" spans="1:23" ht="68.45">
      <c r="A36" s="19">
        <f t="shared" si="3"/>
        <v>34</v>
      </c>
      <c r="B36" s="20"/>
      <c r="C36" s="20" t="s">
        <v>174</v>
      </c>
      <c r="D36" s="20" t="s">
        <v>175</v>
      </c>
      <c r="E36" s="20" t="s">
        <v>176</v>
      </c>
      <c r="F36" s="21" t="s">
        <v>177</v>
      </c>
      <c r="G36" s="22"/>
      <c r="H36" s="23"/>
      <c r="I36" s="23"/>
      <c r="J36" s="24"/>
      <c r="K36" s="22"/>
      <c r="L36" s="23" t="s">
        <v>38</v>
      </c>
      <c r="M36" s="23"/>
      <c r="N36" s="25"/>
      <c r="O36" s="25"/>
      <c r="P36" s="25"/>
      <c r="Q36" s="24"/>
      <c r="R36" s="106">
        <v>45321</v>
      </c>
      <c r="S36" s="26"/>
      <c r="T36" s="27"/>
      <c r="U36" s="28"/>
      <c r="V36" s="29"/>
      <c r="W36" s="30"/>
    </row>
    <row r="37" spans="1:23" ht="68.45">
      <c r="A37" s="19">
        <f t="shared" si="3"/>
        <v>35</v>
      </c>
      <c r="B37" s="20"/>
      <c r="C37" s="20"/>
      <c r="D37" s="20" t="s">
        <v>178</v>
      </c>
      <c r="E37" s="20" t="s">
        <v>179</v>
      </c>
      <c r="F37" s="21" t="s">
        <v>177</v>
      </c>
      <c r="G37" s="22"/>
      <c r="H37" s="23"/>
      <c r="I37" s="23"/>
      <c r="J37" s="24"/>
      <c r="K37" s="22"/>
      <c r="L37" s="23" t="s">
        <v>38</v>
      </c>
      <c r="M37" s="23"/>
      <c r="N37" s="25"/>
      <c r="O37" s="25"/>
      <c r="P37" s="25"/>
      <c r="Q37" s="24"/>
      <c r="R37" s="106">
        <v>45321</v>
      </c>
      <c r="S37" s="26"/>
      <c r="T37" s="27"/>
      <c r="U37" s="28"/>
      <c r="V37" s="29"/>
      <c r="W37" s="30"/>
    </row>
    <row r="38" spans="1:23" ht="68.45">
      <c r="A38" s="19">
        <f t="shared" si="3"/>
        <v>36</v>
      </c>
      <c r="B38" s="20"/>
      <c r="C38" s="20"/>
      <c r="D38" s="31" t="s">
        <v>180</v>
      </c>
      <c r="E38" s="20" t="s">
        <v>181</v>
      </c>
      <c r="F38" s="21" t="s">
        <v>177</v>
      </c>
      <c r="G38" s="22"/>
      <c r="H38" s="23"/>
      <c r="I38" s="23"/>
      <c r="J38" s="24"/>
      <c r="K38" s="22"/>
      <c r="L38" s="23" t="s">
        <v>38</v>
      </c>
      <c r="M38" s="23"/>
      <c r="N38" s="25"/>
      <c r="O38" s="25"/>
      <c r="P38" s="25"/>
      <c r="Q38" s="24"/>
      <c r="R38" s="106">
        <v>45321</v>
      </c>
      <c r="S38" s="26"/>
      <c r="T38" s="27"/>
      <c r="U38" s="28"/>
      <c r="V38" s="29"/>
      <c r="W38" s="30"/>
    </row>
    <row r="39" spans="1:23" ht="68.45">
      <c r="A39" s="19">
        <f t="shared" si="2"/>
        <v>37</v>
      </c>
      <c r="B39" s="20"/>
      <c r="C39" s="20"/>
      <c r="D39" s="31" t="s">
        <v>182</v>
      </c>
      <c r="E39" s="20" t="s">
        <v>183</v>
      </c>
      <c r="F39" s="21" t="s">
        <v>177</v>
      </c>
      <c r="G39" s="22"/>
      <c r="H39" s="23"/>
      <c r="I39" s="23"/>
      <c r="J39" s="24"/>
      <c r="K39" s="22"/>
      <c r="L39" s="23" t="s">
        <v>38</v>
      </c>
      <c r="M39" s="23"/>
      <c r="N39" s="25"/>
      <c r="O39" s="25"/>
      <c r="P39" s="25"/>
      <c r="Q39" s="24"/>
      <c r="R39" s="106">
        <v>45321</v>
      </c>
      <c r="S39" s="26"/>
      <c r="T39" s="27"/>
      <c r="U39" s="28"/>
      <c r="V39" s="29"/>
      <c r="W39" s="30"/>
    </row>
    <row r="40" spans="1:23" ht="68.45">
      <c r="A40" s="19">
        <f t="shared" si="2"/>
        <v>38</v>
      </c>
      <c r="B40" s="20"/>
      <c r="C40" s="20"/>
      <c r="D40" s="31" t="s">
        <v>184</v>
      </c>
      <c r="E40" s="20" t="s">
        <v>185</v>
      </c>
      <c r="F40" s="21" t="s">
        <v>177</v>
      </c>
      <c r="G40" s="22"/>
      <c r="H40" s="23"/>
      <c r="I40" s="23"/>
      <c r="J40" s="24"/>
      <c r="K40" s="22"/>
      <c r="L40" s="23" t="s">
        <v>38</v>
      </c>
      <c r="M40" s="23"/>
      <c r="N40" s="25"/>
      <c r="O40" s="25"/>
      <c r="P40" s="25"/>
      <c r="Q40" s="24"/>
      <c r="R40" s="106">
        <v>45321</v>
      </c>
      <c r="S40" s="26"/>
      <c r="T40" s="27"/>
      <c r="U40" s="28"/>
      <c r="V40" s="29"/>
      <c r="W40" s="30"/>
    </row>
    <row r="41" spans="1:23" ht="68.45">
      <c r="A41" s="19">
        <f t="shared" si="2"/>
        <v>39</v>
      </c>
      <c r="B41" s="20"/>
      <c r="C41" s="20"/>
      <c r="D41" s="31" t="s">
        <v>186</v>
      </c>
      <c r="E41" s="20" t="s">
        <v>187</v>
      </c>
      <c r="F41" s="21" t="s">
        <v>177</v>
      </c>
      <c r="G41" s="22"/>
      <c r="H41" s="23"/>
      <c r="I41" s="23"/>
      <c r="J41" s="24"/>
      <c r="K41" s="22"/>
      <c r="L41" s="23" t="s">
        <v>38</v>
      </c>
      <c r="M41" s="23"/>
      <c r="N41" s="25"/>
      <c r="O41" s="25"/>
      <c r="P41" s="25"/>
      <c r="Q41" s="24"/>
      <c r="R41" s="106">
        <v>45321</v>
      </c>
      <c r="S41" s="26"/>
      <c r="T41" s="27"/>
      <c r="U41" s="28"/>
      <c r="V41" s="29"/>
      <c r="W41" s="30"/>
    </row>
    <row r="42" spans="1:23" ht="68.45">
      <c r="A42" s="19">
        <f t="shared" si="2"/>
        <v>40</v>
      </c>
      <c r="B42" s="20"/>
      <c r="C42" s="20"/>
      <c r="D42" s="31" t="s">
        <v>188</v>
      </c>
      <c r="E42" s="20" t="s">
        <v>189</v>
      </c>
      <c r="F42" s="21" t="s">
        <v>177</v>
      </c>
      <c r="G42" s="22"/>
      <c r="H42" s="23"/>
      <c r="I42" s="23"/>
      <c r="J42" s="24"/>
      <c r="K42" s="22"/>
      <c r="L42" s="23" t="s">
        <v>38</v>
      </c>
      <c r="M42" s="23"/>
      <c r="N42" s="25"/>
      <c r="O42" s="25"/>
      <c r="P42" s="25"/>
      <c r="Q42" s="24"/>
      <c r="R42" s="106">
        <v>45321</v>
      </c>
      <c r="S42" s="26"/>
      <c r="T42" s="27"/>
      <c r="U42" s="28"/>
      <c r="V42" s="29"/>
      <c r="W42" s="30"/>
    </row>
    <row r="43" spans="1:23" ht="68.45">
      <c r="A43" s="19">
        <f t="shared" si="2"/>
        <v>41</v>
      </c>
      <c r="B43" s="20"/>
      <c r="C43" s="20"/>
      <c r="D43" s="31" t="s">
        <v>190</v>
      </c>
      <c r="E43" s="20" t="s">
        <v>191</v>
      </c>
      <c r="F43" s="21" t="s">
        <v>177</v>
      </c>
      <c r="G43" s="22"/>
      <c r="H43" s="23"/>
      <c r="I43" s="23"/>
      <c r="J43" s="24"/>
      <c r="K43" s="22"/>
      <c r="L43" s="23" t="s">
        <v>38</v>
      </c>
      <c r="M43" s="23"/>
      <c r="N43" s="25"/>
      <c r="O43" s="25"/>
      <c r="P43" s="25"/>
      <c r="Q43" s="24"/>
      <c r="R43" s="106">
        <v>45321</v>
      </c>
      <c r="S43" s="26"/>
      <c r="T43" s="27"/>
      <c r="U43" s="28"/>
      <c r="V43" s="29"/>
      <c r="W43" s="30"/>
    </row>
    <row r="44" spans="1:23" ht="68.45">
      <c r="A44" s="19">
        <f t="shared" si="2"/>
        <v>42</v>
      </c>
      <c r="B44" s="20"/>
      <c r="C44" s="20"/>
      <c r="D44" s="20" t="s">
        <v>192</v>
      </c>
      <c r="E44" s="20" t="s">
        <v>193</v>
      </c>
      <c r="F44" s="21" t="s">
        <v>177</v>
      </c>
      <c r="G44" s="22"/>
      <c r="H44" s="23"/>
      <c r="I44" s="23"/>
      <c r="J44" s="24"/>
      <c r="K44" s="22"/>
      <c r="L44" s="23" t="s">
        <v>38</v>
      </c>
      <c r="M44" s="23"/>
      <c r="N44" s="25"/>
      <c r="O44" s="25"/>
      <c r="P44" s="25"/>
      <c r="Q44" s="24"/>
      <c r="R44" s="106">
        <v>45321</v>
      </c>
      <c r="S44" s="26"/>
      <c r="T44" s="27"/>
      <c r="U44" s="28"/>
      <c r="V44" s="29"/>
      <c r="W44" s="30"/>
    </row>
    <row r="45" spans="1:23" ht="68.45">
      <c r="A45" s="19">
        <f t="shared" si="2"/>
        <v>43</v>
      </c>
      <c r="B45" s="20"/>
      <c r="C45" s="20"/>
      <c r="D45" s="20" t="s">
        <v>194</v>
      </c>
      <c r="E45" s="20" t="s">
        <v>195</v>
      </c>
      <c r="F45" s="21" t="s">
        <v>177</v>
      </c>
      <c r="G45" s="22"/>
      <c r="H45" s="23"/>
      <c r="I45" s="23"/>
      <c r="J45" s="24"/>
      <c r="K45" s="22"/>
      <c r="L45" s="23" t="s">
        <v>38</v>
      </c>
      <c r="M45" s="23"/>
      <c r="N45" s="25"/>
      <c r="O45" s="25"/>
      <c r="P45" s="25"/>
      <c r="Q45" s="24"/>
      <c r="R45" s="106">
        <v>45321</v>
      </c>
      <c r="S45" s="26"/>
      <c r="T45" s="27"/>
      <c r="U45" s="28"/>
      <c r="V45" s="29"/>
      <c r="W45" s="30"/>
    </row>
    <row r="46" spans="1:23" ht="68.45">
      <c r="A46" s="19">
        <f t="shared" si="2"/>
        <v>44</v>
      </c>
      <c r="B46" s="20"/>
      <c r="C46" s="20"/>
      <c r="D46" s="31" t="s">
        <v>196</v>
      </c>
      <c r="E46" s="20" t="s">
        <v>197</v>
      </c>
      <c r="F46" s="21" t="s">
        <v>177</v>
      </c>
      <c r="G46" s="22"/>
      <c r="H46" s="23"/>
      <c r="I46" s="23"/>
      <c r="J46" s="24"/>
      <c r="K46" s="22"/>
      <c r="L46" s="23" t="s">
        <v>38</v>
      </c>
      <c r="M46" s="23"/>
      <c r="N46" s="25"/>
      <c r="O46" s="25"/>
      <c r="P46" s="25"/>
      <c r="Q46" s="24"/>
      <c r="R46" s="106">
        <v>45321</v>
      </c>
      <c r="S46" s="26"/>
      <c r="T46" s="27"/>
      <c r="U46" s="28"/>
      <c r="V46" s="29"/>
      <c r="W46" s="30"/>
    </row>
    <row r="47" spans="1:23" ht="68.45">
      <c r="A47" s="19">
        <f t="shared" si="2"/>
        <v>45</v>
      </c>
      <c r="B47" s="20"/>
      <c r="C47" s="20"/>
      <c r="D47" s="31" t="s">
        <v>198</v>
      </c>
      <c r="E47" s="20" t="s">
        <v>199</v>
      </c>
      <c r="F47" s="21" t="s">
        <v>177</v>
      </c>
      <c r="G47" s="22"/>
      <c r="H47" s="23"/>
      <c r="I47" s="23"/>
      <c r="J47" s="24"/>
      <c r="K47" s="22"/>
      <c r="L47" s="23" t="s">
        <v>38</v>
      </c>
      <c r="M47" s="23"/>
      <c r="N47" s="25"/>
      <c r="O47" s="25"/>
      <c r="P47" s="25"/>
      <c r="Q47" s="24"/>
      <c r="R47" s="106">
        <v>45321</v>
      </c>
      <c r="S47" s="26"/>
      <c r="T47" s="27"/>
      <c r="U47" s="28"/>
      <c r="V47" s="29"/>
      <c r="W47" s="30"/>
    </row>
    <row r="48" spans="1:23" ht="68.45">
      <c r="A48" s="19">
        <f t="shared" si="2"/>
        <v>46</v>
      </c>
      <c r="B48" s="20"/>
      <c r="C48" s="20"/>
      <c r="D48" s="31" t="s">
        <v>200</v>
      </c>
      <c r="E48" s="20" t="s">
        <v>201</v>
      </c>
      <c r="F48" s="21" t="s">
        <v>177</v>
      </c>
      <c r="G48" s="22"/>
      <c r="H48" s="23"/>
      <c r="I48" s="23"/>
      <c r="J48" s="24"/>
      <c r="K48" s="22"/>
      <c r="L48" s="23" t="s">
        <v>38</v>
      </c>
      <c r="M48" s="23"/>
      <c r="N48" s="25"/>
      <c r="O48" s="25"/>
      <c r="P48" s="25"/>
      <c r="Q48" s="24"/>
      <c r="R48" s="106">
        <v>45321</v>
      </c>
      <c r="S48" s="26"/>
      <c r="T48" s="27"/>
      <c r="U48" s="28"/>
      <c r="V48" s="29"/>
      <c r="W48" s="30"/>
    </row>
    <row r="49" spans="1:23" ht="68.45">
      <c r="A49" s="19">
        <f t="shared" si="2"/>
        <v>47</v>
      </c>
      <c r="B49" s="20"/>
      <c r="C49" s="20"/>
      <c r="D49" s="31" t="s">
        <v>202</v>
      </c>
      <c r="E49" s="20" t="s">
        <v>203</v>
      </c>
      <c r="F49" s="21" t="s">
        <v>177</v>
      </c>
      <c r="G49" s="22"/>
      <c r="H49" s="23"/>
      <c r="I49" s="23"/>
      <c r="J49" s="24"/>
      <c r="K49" s="22"/>
      <c r="L49" s="23" t="s">
        <v>38</v>
      </c>
      <c r="M49" s="23"/>
      <c r="N49" s="25"/>
      <c r="O49" s="25"/>
      <c r="P49" s="25"/>
      <c r="Q49" s="24"/>
      <c r="R49" s="106">
        <v>45321</v>
      </c>
      <c r="S49" s="26"/>
      <c r="T49" s="27"/>
      <c r="U49" s="28"/>
      <c r="V49" s="29"/>
      <c r="W49" s="30"/>
    </row>
    <row r="50" spans="1:23" ht="68.45">
      <c r="A50" s="19">
        <f t="shared" si="2"/>
        <v>48</v>
      </c>
      <c r="B50" s="20"/>
      <c r="C50" s="20"/>
      <c r="D50" s="31" t="s">
        <v>204</v>
      </c>
      <c r="E50" s="20" t="s">
        <v>205</v>
      </c>
      <c r="F50" s="21" t="s">
        <v>177</v>
      </c>
      <c r="G50" s="22"/>
      <c r="H50" s="23"/>
      <c r="I50" s="23"/>
      <c r="J50" s="24"/>
      <c r="K50" s="22"/>
      <c r="L50" s="23" t="s">
        <v>38</v>
      </c>
      <c r="M50" s="23"/>
      <c r="N50" s="25"/>
      <c r="O50" s="25"/>
      <c r="P50" s="25"/>
      <c r="Q50" s="24"/>
      <c r="R50" s="106">
        <v>45321</v>
      </c>
      <c r="S50" s="26"/>
      <c r="T50" s="27"/>
      <c r="U50" s="28"/>
      <c r="V50" s="29"/>
      <c r="W50" s="30"/>
    </row>
    <row r="51" spans="1:23" ht="68.45">
      <c r="A51" s="19">
        <f t="shared" si="2"/>
        <v>49</v>
      </c>
      <c r="B51" s="20"/>
      <c r="C51" s="20"/>
      <c r="D51" s="31" t="s">
        <v>206</v>
      </c>
      <c r="E51" s="20" t="s">
        <v>207</v>
      </c>
      <c r="F51" s="21" t="s">
        <v>177</v>
      </c>
      <c r="G51" s="22"/>
      <c r="H51" s="23"/>
      <c r="I51" s="23"/>
      <c r="J51" s="24"/>
      <c r="K51" s="22"/>
      <c r="L51" s="23" t="s">
        <v>38</v>
      </c>
      <c r="M51" s="23"/>
      <c r="N51" s="25"/>
      <c r="O51" s="25"/>
      <c r="P51" s="25"/>
      <c r="Q51" s="24"/>
      <c r="R51" s="106">
        <v>45321</v>
      </c>
      <c r="S51" s="26"/>
      <c r="T51" s="27"/>
      <c r="U51" s="28"/>
      <c r="V51" s="29"/>
      <c r="W51" s="30"/>
    </row>
    <row r="52" spans="1:23" ht="68.45">
      <c r="A52" s="19">
        <f t="shared" si="2"/>
        <v>50</v>
      </c>
      <c r="B52" s="20"/>
      <c r="C52" s="20"/>
      <c r="D52" s="20" t="s">
        <v>208</v>
      </c>
      <c r="E52" s="20" t="s">
        <v>209</v>
      </c>
      <c r="F52" s="21" t="s">
        <v>177</v>
      </c>
      <c r="G52" s="22"/>
      <c r="H52" s="23"/>
      <c r="I52" s="23"/>
      <c r="J52" s="24"/>
      <c r="K52" s="22"/>
      <c r="L52" s="23" t="s">
        <v>38</v>
      </c>
      <c r="M52" s="23"/>
      <c r="N52" s="25"/>
      <c r="O52" s="25"/>
      <c r="P52" s="25"/>
      <c r="Q52" s="24"/>
      <c r="R52" s="106">
        <v>45321</v>
      </c>
      <c r="S52" s="26"/>
      <c r="T52" s="27"/>
      <c r="U52" s="28"/>
      <c r="V52" s="29"/>
      <c r="W52" s="30"/>
    </row>
    <row r="53" spans="1:23" ht="68.45">
      <c r="A53" s="19">
        <f t="shared" si="2"/>
        <v>51</v>
      </c>
      <c r="B53" s="20"/>
      <c r="C53" s="20"/>
      <c r="D53" s="20" t="s">
        <v>210</v>
      </c>
      <c r="E53" s="20" t="s">
        <v>211</v>
      </c>
      <c r="F53" s="21" t="s">
        <v>177</v>
      </c>
      <c r="G53" s="22"/>
      <c r="H53" s="23"/>
      <c r="I53" s="23"/>
      <c r="J53" s="24"/>
      <c r="K53" s="22"/>
      <c r="L53" s="23" t="s">
        <v>38</v>
      </c>
      <c r="M53" s="23"/>
      <c r="N53" s="25"/>
      <c r="O53" s="25"/>
      <c r="P53" s="25"/>
      <c r="Q53" s="24"/>
      <c r="R53" s="106">
        <v>45321</v>
      </c>
      <c r="S53" s="26"/>
      <c r="T53" s="27"/>
      <c r="U53" s="28"/>
      <c r="V53" s="29"/>
      <c r="W53" s="30"/>
    </row>
    <row r="54" spans="1:23" ht="68.45">
      <c r="A54" s="19">
        <f t="shared" si="2"/>
        <v>52</v>
      </c>
      <c r="B54" s="20"/>
      <c r="C54" s="20"/>
      <c r="D54" s="31" t="s">
        <v>212</v>
      </c>
      <c r="E54" s="20" t="s">
        <v>213</v>
      </c>
      <c r="F54" s="21" t="s">
        <v>177</v>
      </c>
      <c r="G54" s="22"/>
      <c r="H54" s="23"/>
      <c r="I54" s="23"/>
      <c r="J54" s="24"/>
      <c r="K54" s="22"/>
      <c r="L54" s="23" t="s">
        <v>38</v>
      </c>
      <c r="M54" s="23"/>
      <c r="N54" s="25"/>
      <c r="O54" s="25"/>
      <c r="P54" s="25"/>
      <c r="Q54" s="24"/>
      <c r="R54" s="106">
        <v>45321</v>
      </c>
      <c r="S54" s="26"/>
      <c r="T54" s="27"/>
      <c r="U54" s="28"/>
      <c r="V54" s="29"/>
      <c r="W54" s="30"/>
    </row>
    <row r="55" spans="1:23" ht="68.45">
      <c r="A55" s="19">
        <f t="shared" si="2"/>
        <v>53</v>
      </c>
      <c r="B55" s="20"/>
      <c r="C55" s="20"/>
      <c r="D55" s="31" t="s">
        <v>214</v>
      </c>
      <c r="E55" s="20" t="s">
        <v>215</v>
      </c>
      <c r="F55" s="21" t="s">
        <v>177</v>
      </c>
      <c r="G55" s="22"/>
      <c r="H55" s="23"/>
      <c r="I55" s="23"/>
      <c r="J55" s="24"/>
      <c r="K55" s="22"/>
      <c r="L55" s="23" t="s">
        <v>38</v>
      </c>
      <c r="M55" s="23"/>
      <c r="N55" s="25"/>
      <c r="O55" s="25"/>
      <c r="P55" s="25"/>
      <c r="Q55" s="24"/>
      <c r="R55" s="106">
        <v>45321</v>
      </c>
      <c r="S55" s="26"/>
      <c r="T55" s="27"/>
      <c r="U55" s="28"/>
      <c r="V55" s="29"/>
      <c r="W55" s="30"/>
    </row>
    <row r="56" spans="1:23" ht="68.45">
      <c r="A56" s="19">
        <f t="shared" si="2"/>
        <v>54</v>
      </c>
      <c r="B56" s="33"/>
      <c r="C56" s="33"/>
      <c r="D56" s="31" t="s">
        <v>216</v>
      </c>
      <c r="E56" s="20" t="s">
        <v>217</v>
      </c>
      <c r="F56" s="21" t="s">
        <v>177</v>
      </c>
      <c r="G56" s="22"/>
      <c r="H56" s="23"/>
      <c r="I56" s="23"/>
      <c r="J56" s="24"/>
      <c r="K56" s="22"/>
      <c r="L56" s="23" t="s">
        <v>38</v>
      </c>
      <c r="M56" s="23"/>
      <c r="N56" s="25"/>
      <c r="O56" s="25"/>
      <c r="P56" s="25"/>
      <c r="Q56" s="24"/>
      <c r="R56" s="106">
        <v>45321</v>
      </c>
      <c r="S56" s="26"/>
      <c r="T56" s="27"/>
      <c r="U56" s="28"/>
      <c r="V56" s="29"/>
      <c r="W56" s="30"/>
    </row>
    <row r="57" spans="1:23" ht="68.45">
      <c r="A57" s="19">
        <f t="shared" si="2"/>
        <v>55</v>
      </c>
      <c r="B57" s="33"/>
      <c r="C57" s="33"/>
      <c r="D57" s="31" t="s">
        <v>218</v>
      </c>
      <c r="E57" s="20" t="s">
        <v>219</v>
      </c>
      <c r="F57" s="21" t="s">
        <v>177</v>
      </c>
      <c r="G57" s="22"/>
      <c r="H57" s="23"/>
      <c r="I57" s="23"/>
      <c r="J57" s="24"/>
      <c r="K57" s="22"/>
      <c r="L57" s="23" t="s">
        <v>38</v>
      </c>
      <c r="M57" s="23"/>
      <c r="N57" s="25"/>
      <c r="O57" s="25"/>
      <c r="P57" s="25"/>
      <c r="Q57" s="24"/>
      <c r="R57" s="106">
        <v>45321</v>
      </c>
      <c r="S57" s="26"/>
      <c r="T57" s="27"/>
      <c r="U57" s="28"/>
      <c r="V57" s="29"/>
      <c r="W57" s="30"/>
    </row>
    <row r="58" spans="1:23" ht="68.45">
      <c r="A58" s="19">
        <f t="shared" si="2"/>
        <v>56</v>
      </c>
      <c r="B58" s="33"/>
      <c r="C58" s="33"/>
      <c r="D58" s="31" t="s">
        <v>220</v>
      </c>
      <c r="E58" s="20" t="s">
        <v>221</v>
      </c>
      <c r="F58" s="21" t="s">
        <v>177</v>
      </c>
      <c r="G58" s="22"/>
      <c r="H58" s="23"/>
      <c r="I58" s="23"/>
      <c r="J58" s="24"/>
      <c r="K58" s="22"/>
      <c r="L58" s="23" t="s">
        <v>38</v>
      </c>
      <c r="M58" s="23"/>
      <c r="N58" s="25"/>
      <c r="O58" s="25"/>
      <c r="P58" s="25"/>
      <c r="Q58" s="24"/>
      <c r="R58" s="106">
        <v>45321</v>
      </c>
      <c r="S58" s="26"/>
      <c r="T58" s="27"/>
      <c r="U58" s="28"/>
      <c r="V58" s="29"/>
      <c r="W58" s="30"/>
    </row>
    <row r="59" spans="1:23" ht="68.45">
      <c r="A59" s="19">
        <f t="shared" si="2"/>
        <v>57</v>
      </c>
      <c r="B59" s="33"/>
      <c r="C59" s="33"/>
      <c r="D59" s="31" t="s">
        <v>222</v>
      </c>
      <c r="E59" s="20" t="s">
        <v>223</v>
      </c>
      <c r="F59" s="21" t="s">
        <v>177</v>
      </c>
      <c r="G59" s="22"/>
      <c r="H59" s="23"/>
      <c r="I59" s="23"/>
      <c r="J59" s="24"/>
      <c r="K59" s="22"/>
      <c r="L59" s="23" t="s">
        <v>38</v>
      </c>
      <c r="M59" s="23"/>
      <c r="N59" s="25"/>
      <c r="O59" s="25"/>
      <c r="P59" s="25"/>
      <c r="Q59" s="24"/>
      <c r="R59" s="106">
        <v>45321</v>
      </c>
      <c r="S59" s="26"/>
      <c r="T59" s="27"/>
      <c r="U59" s="28"/>
      <c r="V59" s="29"/>
      <c r="W59" s="30"/>
    </row>
    <row r="60" spans="1:23" ht="68.45">
      <c r="A60" s="19">
        <f t="shared" si="2"/>
        <v>58</v>
      </c>
      <c r="B60" s="33"/>
      <c r="C60" s="20"/>
      <c r="D60" s="20" t="s">
        <v>224</v>
      </c>
      <c r="E60" s="20" t="s">
        <v>225</v>
      </c>
      <c r="F60" s="21" t="s">
        <v>177</v>
      </c>
      <c r="G60" s="22"/>
      <c r="H60" s="23"/>
      <c r="I60" s="23"/>
      <c r="J60" s="24"/>
      <c r="K60" s="22"/>
      <c r="L60" s="23" t="s">
        <v>38</v>
      </c>
      <c r="M60" s="23"/>
      <c r="N60" s="25"/>
      <c r="O60" s="25"/>
      <c r="P60" s="25"/>
      <c r="Q60" s="24"/>
      <c r="R60" s="106">
        <v>45321</v>
      </c>
      <c r="S60" s="26"/>
      <c r="T60" s="27"/>
      <c r="U60" s="28"/>
      <c r="V60" s="29"/>
      <c r="W60" s="30"/>
    </row>
    <row r="61" spans="1:23" ht="68.45">
      <c r="A61" s="19">
        <f t="shared" si="2"/>
        <v>59</v>
      </c>
      <c r="B61" s="33"/>
      <c r="C61" s="20"/>
      <c r="D61" s="20" t="s">
        <v>226</v>
      </c>
      <c r="E61" s="20" t="s">
        <v>227</v>
      </c>
      <c r="F61" s="21" t="s">
        <v>177</v>
      </c>
      <c r="G61" s="22"/>
      <c r="H61" s="23"/>
      <c r="I61" s="23"/>
      <c r="J61" s="24"/>
      <c r="K61" s="22"/>
      <c r="L61" s="23" t="s">
        <v>38</v>
      </c>
      <c r="M61" s="23"/>
      <c r="N61" s="25"/>
      <c r="O61" s="25"/>
      <c r="P61" s="25"/>
      <c r="Q61" s="24"/>
      <c r="R61" s="106">
        <v>45321</v>
      </c>
      <c r="S61" s="26"/>
      <c r="T61" s="27"/>
      <c r="U61" s="28"/>
      <c r="V61" s="29"/>
      <c r="W61" s="30"/>
    </row>
    <row r="62" spans="1:23" ht="68.45">
      <c r="A62" s="19">
        <f t="shared" si="2"/>
        <v>60</v>
      </c>
      <c r="B62" s="20"/>
      <c r="C62" s="20"/>
      <c r="D62" s="31" t="s">
        <v>228</v>
      </c>
      <c r="E62" s="20" t="s">
        <v>229</v>
      </c>
      <c r="F62" s="21" t="s">
        <v>177</v>
      </c>
      <c r="G62" s="22"/>
      <c r="H62" s="23"/>
      <c r="I62" s="23"/>
      <c r="J62" s="24"/>
      <c r="K62" s="22"/>
      <c r="L62" s="23" t="s">
        <v>38</v>
      </c>
      <c r="M62" s="23"/>
      <c r="N62" s="25"/>
      <c r="O62" s="25"/>
      <c r="P62" s="25"/>
      <c r="Q62" s="24"/>
      <c r="R62" s="106">
        <v>45321</v>
      </c>
      <c r="S62" s="26"/>
      <c r="T62" s="27"/>
      <c r="U62" s="28"/>
      <c r="V62" s="29"/>
      <c r="W62" s="30"/>
    </row>
    <row r="63" spans="1:23" ht="57">
      <c r="A63" s="19">
        <f t="shared" si="2"/>
        <v>61</v>
      </c>
      <c r="B63" s="20"/>
      <c r="C63" s="20"/>
      <c r="D63" s="31" t="s">
        <v>230</v>
      </c>
      <c r="E63" s="20" t="s">
        <v>231</v>
      </c>
      <c r="F63" s="21" t="s">
        <v>177</v>
      </c>
      <c r="G63" s="22"/>
      <c r="H63" s="23"/>
      <c r="I63" s="23"/>
      <c r="J63" s="24"/>
      <c r="K63" s="22"/>
      <c r="L63" s="23" t="s">
        <v>38</v>
      </c>
      <c r="M63" s="23"/>
      <c r="N63" s="25"/>
      <c r="O63" s="25"/>
      <c r="P63" s="25"/>
      <c r="Q63" s="24"/>
      <c r="R63" s="106">
        <v>45321</v>
      </c>
      <c r="S63" s="26"/>
      <c r="T63" s="27"/>
      <c r="U63" s="28"/>
      <c r="V63" s="29"/>
      <c r="W63" s="30"/>
    </row>
    <row r="64" spans="1:23" ht="57">
      <c r="A64" s="19">
        <f t="shared" si="2"/>
        <v>62</v>
      </c>
      <c r="B64" s="20"/>
      <c r="C64" s="20"/>
      <c r="D64" s="31" t="s">
        <v>232</v>
      </c>
      <c r="E64" s="20" t="s">
        <v>233</v>
      </c>
      <c r="F64" s="21" t="s">
        <v>177</v>
      </c>
      <c r="G64" s="22"/>
      <c r="H64" s="23"/>
      <c r="I64" s="23"/>
      <c r="J64" s="24"/>
      <c r="K64" s="22"/>
      <c r="L64" s="23" t="s">
        <v>38</v>
      </c>
      <c r="M64" s="23"/>
      <c r="N64" s="25"/>
      <c r="O64" s="25"/>
      <c r="P64" s="25"/>
      <c r="Q64" s="24"/>
      <c r="R64" s="106">
        <v>45321</v>
      </c>
      <c r="S64" s="26"/>
      <c r="T64" s="27"/>
      <c r="U64" s="28"/>
      <c r="V64" s="29"/>
      <c r="W64" s="30"/>
    </row>
    <row r="65" spans="1:23" ht="11.45">
      <c r="A65" s="19">
        <f t="shared" si="2"/>
        <v>63</v>
      </c>
      <c r="B65" s="20" t="s">
        <v>42</v>
      </c>
      <c r="C65" s="33"/>
      <c r="D65" s="31" t="s">
        <v>175</v>
      </c>
      <c r="E65" s="31" t="s">
        <v>235</v>
      </c>
      <c r="F65" s="32" t="s">
        <v>236</v>
      </c>
      <c r="G65" s="22"/>
      <c r="H65" s="23"/>
      <c r="I65" s="23"/>
      <c r="J65" s="24"/>
      <c r="K65" s="22"/>
      <c r="L65" s="23" t="s">
        <v>38</v>
      </c>
      <c r="M65" s="23"/>
      <c r="N65" s="25"/>
      <c r="O65" s="25"/>
      <c r="P65" s="25"/>
      <c r="Q65" s="24"/>
      <c r="R65" s="106">
        <v>45325</v>
      </c>
      <c r="S65" s="26"/>
      <c r="T65" s="27"/>
      <c r="U65" s="28"/>
      <c r="V65" s="29"/>
      <c r="W65" s="30"/>
    </row>
    <row r="66" spans="1:23" ht="11.45">
      <c r="A66" s="19">
        <f t="shared" si="2"/>
        <v>64</v>
      </c>
      <c r="B66" s="20"/>
      <c r="C66" s="20"/>
      <c r="D66" s="20" t="s">
        <v>178</v>
      </c>
      <c r="E66" s="20" t="s">
        <v>237</v>
      </c>
      <c r="F66" s="32" t="s">
        <v>236</v>
      </c>
      <c r="G66" s="22"/>
      <c r="H66" s="23"/>
      <c r="I66" s="23"/>
      <c r="J66" s="24"/>
      <c r="K66" s="22"/>
      <c r="L66" s="23" t="s">
        <v>38</v>
      </c>
      <c r="M66" s="23"/>
      <c r="N66" s="25"/>
      <c r="O66" s="25"/>
      <c r="P66" s="25"/>
      <c r="Q66" s="24"/>
      <c r="R66" s="106">
        <v>45325</v>
      </c>
      <c r="S66" s="26"/>
      <c r="T66" s="27"/>
      <c r="U66" s="28"/>
      <c r="V66" s="29"/>
      <c r="W66" s="30"/>
    </row>
    <row r="67" spans="1:23" ht="11.45">
      <c r="A67" s="19">
        <f t="shared" si="2"/>
        <v>65</v>
      </c>
      <c r="B67" s="20"/>
      <c r="C67" s="20"/>
      <c r="D67" s="20" t="s">
        <v>180</v>
      </c>
      <c r="E67" s="20" t="s">
        <v>237</v>
      </c>
      <c r="F67" s="32" t="s">
        <v>236</v>
      </c>
      <c r="G67" s="22"/>
      <c r="H67" s="23"/>
      <c r="I67" s="23"/>
      <c r="J67" s="24"/>
      <c r="K67" s="22"/>
      <c r="L67" s="23" t="s">
        <v>38</v>
      </c>
      <c r="M67" s="23"/>
      <c r="N67" s="25"/>
      <c r="O67" s="25"/>
      <c r="P67" s="25"/>
      <c r="Q67" s="24"/>
      <c r="R67" s="106">
        <v>45325</v>
      </c>
      <c r="S67" s="26"/>
      <c r="T67" s="27"/>
      <c r="U67" s="28"/>
      <c r="V67" s="29"/>
      <c r="W67" s="30"/>
    </row>
    <row r="68" spans="1:23" ht="11.45">
      <c r="A68" s="19">
        <f t="shared" si="2"/>
        <v>66</v>
      </c>
      <c r="B68" s="20"/>
      <c r="C68" s="20"/>
      <c r="D68" s="31" t="s">
        <v>182</v>
      </c>
      <c r="E68" s="20" t="s">
        <v>237</v>
      </c>
      <c r="F68" s="32" t="s">
        <v>236</v>
      </c>
      <c r="G68" s="22"/>
      <c r="H68" s="23"/>
      <c r="I68" s="23"/>
      <c r="J68" s="24"/>
      <c r="K68" s="22"/>
      <c r="L68" s="23" t="s">
        <v>38</v>
      </c>
      <c r="M68" s="23"/>
      <c r="N68" s="25"/>
      <c r="O68" s="25"/>
      <c r="P68" s="25"/>
      <c r="Q68" s="24"/>
      <c r="R68" s="106">
        <v>45325</v>
      </c>
      <c r="S68" s="26"/>
      <c r="T68" s="27"/>
      <c r="U68" s="28"/>
      <c r="V68" s="29"/>
      <c r="W68" s="30"/>
    </row>
    <row r="69" spans="1:23" ht="11.45">
      <c r="A69" s="19">
        <f t="shared" si="2"/>
        <v>67</v>
      </c>
      <c r="B69" s="20"/>
      <c r="C69" s="20"/>
      <c r="D69" s="31" t="s">
        <v>184</v>
      </c>
      <c r="E69" s="20" t="s">
        <v>237</v>
      </c>
      <c r="F69" s="32" t="s">
        <v>236</v>
      </c>
      <c r="G69" s="22"/>
      <c r="H69" s="23"/>
      <c r="I69" s="23"/>
      <c r="J69" s="24"/>
      <c r="K69" s="22"/>
      <c r="L69" s="23" t="s">
        <v>38</v>
      </c>
      <c r="M69" s="23"/>
      <c r="N69" s="25"/>
      <c r="O69" s="25"/>
      <c r="P69" s="25"/>
      <c r="Q69" s="24"/>
      <c r="R69" s="106">
        <v>45325</v>
      </c>
      <c r="S69" s="26"/>
      <c r="T69" s="27"/>
      <c r="U69" s="28"/>
      <c r="V69" s="29"/>
      <c r="W69" s="30"/>
    </row>
    <row r="70" spans="1:23" ht="11.45">
      <c r="A70" s="19">
        <f t="shared" si="2"/>
        <v>68</v>
      </c>
      <c r="B70" s="20"/>
      <c r="C70" s="20"/>
      <c r="D70" s="31" t="s">
        <v>186</v>
      </c>
      <c r="E70" s="20" t="s">
        <v>237</v>
      </c>
      <c r="F70" s="32" t="s">
        <v>236</v>
      </c>
      <c r="G70" s="22"/>
      <c r="H70" s="23"/>
      <c r="I70" s="23"/>
      <c r="J70" s="24"/>
      <c r="K70" s="22"/>
      <c r="L70" s="23" t="s">
        <v>38</v>
      </c>
      <c r="M70" s="23"/>
      <c r="N70" s="25"/>
      <c r="O70" s="25"/>
      <c r="P70" s="25"/>
      <c r="Q70" s="24"/>
      <c r="R70" s="106">
        <v>45325</v>
      </c>
      <c r="S70" s="26"/>
      <c r="T70" s="27"/>
      <c r="U70" s="28"/>
      <c r="V70" s="29"/>
      <c r="W70" s="30"/>
    </row>
    <row r="71" spans="1:23" ht="11.45">
      <c r="A71" s="19">
        <f t="shared" si="2"/>
        <v>69</v>
      </c>
      <c r="B71" s="20"/>
      <c r="C71" s="20"/>
      <c r="D71" s="31" t="s">
        <v>188</v>
      </c>
      <c r="E71" s="20" t="s">
        <v>237</v>
      </c>
      <c r="F71" s="32" t="s">
        <v>236</v>
      </c>
      <c r="G71" s="22"/>
      <c r="H71" s="23"/>
      <c r="I71" s="23"/>
      <c r="J71" s="24"/>
      <c r="K71" s="22"/>
      <c r="L71" s="23" t="s">
        <v>38</v>
      </c>
      <c r="M71" s="23"/>
      <c r="N71" s="25"/>
      <c r="O71" s="25"/>
      <c r="P71" s="25"/>
      <c r="Q71" s="24"/>
      <c r="R71" s="106">
        <v>45325</v>
      </c>
      <c r="S71" s="26"/>
      <c r="T71" s="27"/>
      <c r="U71" s="28"/>
      <c r="V71" s="29"/>
      <c r="W71" s="30"/>
    </row>
    <row r="72" spans="1:23" ht="11.45">
      <c r="A72" s="19">
        <f t="shared" si="2"/>
        <v>70</v>
      </c>
      <c r="B72" s="20"/>
      <c r="C72" s="20"/>
      <c r="D72" s="31" t="s">
        <v>190</v>
      </c>
      <c r="E72" s="20" t="s">
        <v>237</v>
      </c>
      <c r="F72" s="32" t="s">
        <v>236</v>
      </c>
      <c r="G72" s="22"/>
      <c r="H72" s="23"/>
      <c r="I72" s="23"/>
      <c r="J72" s="24"/>
      <c r="K72" s="22"/>
      <c r="L72" s="23" t="s">
        <v>38</v>
      </c>
      <c r="M72" s="23"/>
      <c r="N72" s="25"/>
      <c r="O72" s="25"/>
      <c r="P72" s="25"/>
      <c r="Q72" s="24"/>
      <c r="R72" s="106">
        <v>45325</v>
      </c>
      <c r="S72" s="26"/>
      <c r="T72" s="27"/>
      <c r="U72" s="28"/>
      <c r="V72" s="29"/>
      <c r="W72" s="30"/>
    </row>
    <row r="73" spans="1:23" ht="11.45">
      <c r="A73" s="19">
        <f t="shared" si="2"/>
        <v>71</v>
      </c>
      <c r="B73" s="20"/>
      <c r="C73" s="20"/>
      <c r="D73" s="31" t="s">
        <v>192</v>
      </c>
      <c r="E73" s="20" t="s">
        <v>237</v>
      </c>
      <c r="F73" s="32" t="s">
        <v>236</v>
      </c>
      <c r="G73" s="22"/>
      <c r="H73" s="23"/>
      <c r="I73" s="23"/>
      <c r="J73" s="24"/>
      <c r="K73" s="22"/>
      <c r="L73" s="23" t="s">
        <v>38</v>
      </c>
      <c r="M73" s="23"/>
      <c r="N73" s="25"/>
      <c r="O73" s="25"/>
      <c r="P73" s="25"/>
      <c r="Q73" s="24"/>
      <c r="R73" s="106">
        <v>45325</v>
      </c>
      <c r="S73" s="26"/>
      <c r="T73" s="27"/>
      <c r="U73" s="28"/>
      <c r="V73" s="29"/>
      <c r="W73" s="30"/>
    </row>
    <row r="74" spans="1:23" ht="11.45">
      <c r="A74" s="19">
        <f t="shared" si="2"/>
        <v>72</v>
      </c>
      <c r="B74" s="20"/>
      <c r="C74" s="20"/>
      <c r="D74" s="20" t="s">
        <v>194</v>
      </c>
      <c r="E74" s="20" t="s">
        <v>237</v>
      </c>
      <c r="F74" s="32" t="s">
        <v>236</v>
      </c>
      <c r="G74" s="22"/>
      <c r="H74" s="23"/>
      <c r="I74" s="23"/>
      <c r="J74" s="24"/>
      <c r="K74" s="22"/>
      <c r="L74" s="23" t="s">
        <v>38</v>
      </c>
      <c r="M74" s="23"/>
      <c r="N74" s="25"/>
      <c r="O74" s="25"/>
      <c r="P74" s="25"/>
      <c r="Q74" s="24"/>
      <c r="R74" s="106">
        <v>45325</v>
      </c>
      <c r="S74" s="26"/>
      <c r="T74" s="27"/>
      <c r="U74" s="28"/>
      <c r="V74" s="29"/>
      <c r="W74" s="30"/>
    </row>
    <row r="75" spans="1:23" ht="11.45">
      <c r="A75" s="19">
        <f t="shared" si="2"/>
        <v>73</v>
      </c>
      <c r="B75" s="20"/>
      <c r="C75" s="20"/>
      <c r="D75" s="20" t="s">
        <v>196</v>
      </c>
      <c r="E75" s="20" t="s">
        <v>237</v>
      </c>
      <c r="F75" s="32" t="s">
        <v>236</v>
      </c>
      <c r="G75" s="22"/>
      <c r="H75" s="23"/>
      <c r="I75" s="23"/>
      <c r="J75" s="24"/>
      <c r="K75" s="22"/>
      <c r="L75" s="23" t="s">
        <v>38</v>
      </c>
      <c r="M75" s="23"/>
      <c r="N75" s="25"/>
      <c r="O75" s="25"/>
      <c r="P75" s="25"/>
      <c r="Q75" s="24"/>
      <c r="R75" s="106">
        <v>45325</v>
      </c>
      <c r="S75" s="26"/>
      <c r="T75" s="27"/>
      <c r="U75" s="28"/>
      <c r="V75" s="29"/>
      <c r="W75" s="30"/>
    </row>
    <row r="76" spans="1:23" ht="11.45">
      <c r="A76" s="19">
        <f t="shared" si="2"/>
        <v>74</v>
      </c>
      <c r="B76" s="20"/>
      <c r="C76" s="20"/>
      <c r="D76" s="31" t="s">
        <v>198</v>
      </c>
      <c r="E76" s="20" t="s">
        <v>237</v>
      </c>
      <c r="F76" s="32" t="s">
        <v>236</v>
      </c>
      <c r="G76" s="22"/>
      <c r="H76" s="23"/>
      <c r="I76" s="23"/>
      <c r="J76" s="24"/>
      <c r="K76" s="22"/>
      <c r="L76" s="23" t="s">
        <v>38</v>
      </c>
      <c r="M76" s="23"/>
      <c r="N76" s="25"/>
      <c r="O76" s="25"/>
      <c r="P76" s="25"/>
      <c r="Q76" s="24"/>
      <c r="R76" s="106">
        <v>45325</v>
      </c>
      <c r="S76" s="26"/>
      <c r="T76" s="27"/>
      <c r="U76" s="28"/>
      <c r="V76" s="29"/>
      <c r="W76" s="30"/>
    </row>
    <row r="77" spans="1:23" ht="11.45">
      <c r="A77" s="19">
        <f t="shared" si="2"/>
        <v>75</v>
      </c>
      <c r="B77" s="20"/>
      <c r="C77" s="20"/>
      <c r="D77" s="31" t="s">
        <v>200</v>
      </c>
      <c r="E77" s="20" t="s">
        <v>237</v>
      </c>
      <c r="F77" s="32" t="s">
        <v>236</v>
      </c>
      <c r="G77" s="22"/>
      <c r="H77" s="23"/>
      <c r="I77" s="23"/>
      <c r="J77" s="24"/>
      <c r="K77" s="22"/>
      <c r="L77" s="23" t="s">
        <v>38</v>
      </c>
      <c r="M77" s="23"/>
      <c r="N77" s="25"/>
      <c r="O77" s="25"/>
      <c r="P77" s="25"/>
      <c r="Q77" s="24"/>
      <c r="R77" s="106">
        <v>45325</v>
      </c>
      <c r="S77" s="26"/>
      <c r="T77" s="27"/>
      <c r="U77" s="28"/>
      <c r="V77" s="29"/>
      <c r="W77" s="30"/>
    </row>
    <row r="78" spans="1:23" ht="11.45">
      <c r="A78" s="19">
        <f t="shared" si="2"/>
        <v>76</v>
      </c>
      <c r="B78" s="20"/>
      <c r="C78" s="20"/>
      <c r="D78" s="31" t="s">
        <v>202</v>
      </c>
      <c r="E78" s="20" t="s">
        <v>237</v>
      </c>
      <c r="F78" s="32" t="s">
        <v>236</v>
      </c>
      <c r="G78" s="22"/>
      <c r="H78" s="23"/>
      <c r="I78" s="23"/>
      <c r="J78" s="24"/>
      <c r="K78" s="22"/>
      <c r="L78" s="23" t="s">
        <v>38</v>
      </c>
      <c r="M78" s="23"/>
      <c r="N78" s="25"/>
      <c r="O78" s="25"/>
      <c r="P78" s="25"/>
      <c r="Q78" s="24"/>
      <c r="R78" s="106">
        <v>45325</v>
      </c>
      <c r="S78" s="26"/>
      <c r="T78" s="27"/>
      <c r="U78" s="28"/>
      <c r="V78" s="29"/>
      <c r="W78" s="30"/>
    </row>
    <row r="79" spans="1:23" ht="11.45">
      <c r="A79" s="19">
        <f t="shared" si="2"/>
        <v>77</v>
      </c>
      <c r="B79" s="20"/>
      <c r="C79" s="20"/>
      <c r="D79" s="31" t="s">
        <v>204</v>
      </c>
      <c r="E79" s="20" t="s">
        <v>237</v>
      </c>
      <c r="F79" s="32" t="s">
        <v>236</v>
      </c>
      <c r="G79" s="22"/>
      <c r="H79" s="23"/>
      <c r="I79" s="23"/>
      <c r="J79" s="24"/>
      <c r="K79" s="22"/>
      <c r="L79" s="23" t="s">
        <v>38</v>
      </c>
      <c r="M79" s="23"/>
      <c r="N79" s="25"/>
      <c r="O79" s="25"/>
      <c r="P79" s="25"/>
      <c r="Q79" s="24"/>
      <c r="R79" s="106">
        <v>45325</v>
      </c>
      <c r="S79" s="26"/>
      <c r="T79" s="27"/>
      <c r="U79" s="28"/>
      <c r="V79" s="29"/>
      <c r="W79" s="30"/>
    </row>
    <row r="80" spans="1:23" ht="11.45">
      <c r="A80" s="19">
        <f t="shared" si="2"/>
        <v>78</v>
      </c>
      <c r="B80" s="20"/>
      <c r="C80" s="20"/>
      <c r="D80" s="31" t="s">
        <v>206</v>
      </c>
      <c r="E80" s="20" t="s">
        <v>237</v>
      </c>
      <c r="F80" s="32" t="s">
        <v>236</v>
      </c>
      <c r="G80" s="22"/>
      <c r="H80" s="23"/>
      <c r="I80" s="23"/>
      <c r="J80" s="24"/>
      <c r="K80" s="22"/>
      <c r="L80" s="23" t="s">
        <v>38</v>
      </c>
      <c r="M80" s="23"/>
      <c r="N80" s="25"/>
      <c r="O80" s="25"/>
      <c r="P80" s="25"/>
      <c r="Q80" s="24"/>
      <c r="R80" s="106">
        <v>45325</v>
      </c>
      <c r="S80" s="26"/>
      <c r="T80" s="27"/>
      <c r="U80" s="28"/>
      <c r="V80" s="29"/>
      <c r="W80" s="30"/>
    </row>
    <row r="81" spans="1:23" ht="11.45">
      <c r="A81" s="19">
        <f t="shared" si="2"/>
        <v>79</v>
      </c>
      <c r="B81" s="20"/>
      <c r="C81" s="20"/>
      <c r="D81" s="31" t="s">
        <v>208</v>
      </c>
      <c r="E81" s="20" t="s">
        <v>237</v>
      </c>
      <c r="F81" s="32" t="s">
        <v>236</v>
      </c>
      <c r="G81" s="22"/>
      <c r="H81" s="23"/>
      <c r="I81" s="23"/>
      <c r="J81" s="24"/>
      <c r="K81" s="22"/>
      <c r="L81" s="23" t="s">
        <v>38</v>
      </c>
      <c r="M81" s="23"/>
      <c r="N81" s="25"/>
      <c r="O81" s="25"/>
      <c r="P81" s="25"/>
      <c r="Q81" s="24"/>
      <c r="R81" s="106">
        <v>45325</v>
      </c>
      <c r="S81" s="26"/>
      <c r="T81" s="27"/>
      <c r="U81" s="28"/>
      <c r="V81" s="29"/>
      <c r="W81" s="30"/>
    </row>
    <row r="82" spans="1:23" ht="11.45">
      <c r="A82" s="19">
        <f t="shared" si="2"/>
        <v>80</v>
      </c>
      <c r="B82" s="20"/>
      <c r="C82" s="20"/>
      <c r="D82" s="20" t="s">
        <v>210</v>
      </c>
      <c r="E82" s="20" t="s">
        <v>237</v>
      </c>
      <c r="F82" s="32" t="s">
        <v>236</v>
      </c>
      <c r="G82" s="22"/>
      <c r="H82" s="23"/>
      <c r="I82" s="23"/>
      <c r="J82" s="24"/>
      <c r="K82" s="22"/>
      <c r="L82" s="23" t="s">
        <v>38</v>
      </c>
      <c r="M82" s="23"/>
      <c r="N82" s="25"/>
      <c r="O82" s="25"/>
      <c r="P82" s="25"/>
      <c r="Q82" s="24"/>
      <c r="R82" s="106">
        <v>45325</v>
      </c>
      <c r="S82" s="26"/>
      <c r="T82" s="27"/>
      <c r="U82" s="28"/>
      <c r="V82" s="29"/>
      <c r="W82" s="30"/>
    </row>
    <row r="83" spans="1:23" ht="11.45">
      <c r="A83" s="19">
        <f t="shared" si="2"/>
        <v>81</v>
      </c>
      <c r="B83" s="20"/>
      <c r="C83" s="20"/>
      <c r="D83" s="20" t="s">
        <v>212</v>
      </c>
      <c r="E83" s="20" t="s">
        <v>237</v>
      </c>
      <c r="F83" s="32" t="s">
        <v>236</v>
      </c>
      <c r="G83" s="22"/>
      <c r="H83" s="23"/>
      <c r="I83" s="23"/>
      <c r="J83" s="24"/>
      <c r="K83" s="22"/>
      <c r="L83" s="23" t="s">
        <v>38</v>
      </c>
      <c r="M83" s="23"/>
      <c r="N83" s="25"/>
      <c r="O83" s="25"/>
      <c r="P83" s="25"/>
      <c r="Q83" s="24"/>
      <c r="R83" s="106">
        <v>45325</v>
      </c>
      <c r="S83" s="26"/>
      <c r="T83" s="27"/>
      <c r="U83" s="28"/>
      <c r="V83" s="29"/>
      <c r="W83" s="30"/>
    </row>
    <row r="84" spans="1:23" ht="11.45">
      <c r="A84" s="19">
        <f t="shared" si="2"/>
        <v>82</v>
      </c>
      <c r="B84" s="20"/>
      <c r="C84" s="20"/>
      <c r="D84" s="31" t="s">
        <v>214</v>
      </c>
      <c r="E84" s="20" t="s">
        <v>237</v>
      </c>
      <c r="F84" s="32" t="s">
        <v>236</v>
      </c>
      <c r="G84" s="22"/>
      <c r="H84" s="23"/>
      <c r="I84" s="23"/>
      <c r="J84" s="24"/>
      <c r="K84" s="22"/>
      <c r="L84" s="23" t="s">
        <v>38</v>
      </c>
      <c r="M84" s="23"/>
      <c r="N84" s="25"/>
      <c r="O84" s="25"/>
      <c r="P84" s="25"/>
      <c r="Q84" s="24"/>
      <c r="R84" s="106">
        <v>45325</v>
      </c>
      <c r="S84" s="26"/>
      <c r="T84" s="27"/>
      <c r="U84" s="28"/>
      <c r="V84" s="29"/>
      <c r="W84" s="30"/>
    </row>
    <row r="85" spans="1:23" ht="11.45">
      <c r="A85" s="19">
        <f t="shared" si="2"/>
        <v>83</v>
      </c>
      <c r="B85" s="20"/>
      <c r="C85" s="20"/>
      <c r="D85" s="31" t="s">
        <v>216</v>
      </c>
      <c r="E85" s="20" t="s">
        <v>237</v>
      </c>
      <c r="F85" s="32" t="s">
        <v>236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5">
      <c r="A86" s="19">
        <f t="shared" si="2"/>
        <v>84</v>
      </c>
      <c r="B86" s="33"/>
      <c r="C86" s="33"/>
      <c r="D86" s="31" t="s">
        <v>218</v>
      </c>
      <c r="E86" s="20" t="s">
        <v>237</v>
      </c>
      <c r="F86" s="32" t="s">
        <v>236</v>
      </c>
      <c r="G86" s="22"/>
      <c r="H86" s="23"/>
      <c r="I86" s="23"/>
      <c r="J86" s="24"/>
      <c r="K86" s="22"/>
      <c r="L86" s="23" t="s">
        <v>38</v>
      </c>
      <c r="M86" s="23"/>
      <c r="N86" s="25"/>
      <c r="O86" s="25"/>
      <c r="P86" s="25"/>
      <c r="Q86" s="24"/>
      <c r="R86" s="106">
        <v>45325</v>
      </c>
      <c r="S86" s="26"/>
      <c r="T86" s="27"/>
      <c r="U86" s="28"/>
      <c r="V86" s="29"/>
      <c r="W86" s="30"/>
    </row>
    <row r="87" spans="1:23" ht="11.45">
      <c r="A87" s="19">
        <f t="shared" si="2"/>
        <v>85</v>
      </c>
      <c r="B87" s="33"/>
      <c r="C87" s="33"/>
      <c r="D87" s="31" t="s">
        <v>220</v>
      </c>
      <c r="E87" s="20" t="s">
        <v>237</v>
      </c>
      <c r="F87" s="32" t="s">
        <v>236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5">
      <c r="A88" s="19">
        <f t="shared" si="2"/>
        <v>86</v>
      </c>
      <c r="B88" s="33"/>
      <c r="C88" s="33"/>
      <c r="D88" s="31" t="s">
        <v>222</v>
      </c>
      <c r="E88" s="20" t="s">
        <v>237</v>
      </c>
      <c r="F88" s="32" t="s">
        <v>236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5">
      <c r="A89" s="19">
        <f t="shared" si="2"/>
        <v>87</v>
      </c>
      <c r="B89" s="33"/>
      <c r="C89" s="33"/>
      <c r="D89" s="31" t="s">
        <v>224</v>
      </c>
      <c r="E89" s="20" t="s">
        <v>237</v>
      </c>
      <c r="F89" s="32" t="s">
        <v>236</v>
      </c>
      <c r="G89" s="22"/>
      <c r="H89" s="23"/>
      <c r="I89" s="23"/>
      <c r="J89" s="24"/>
      <c r="K89" s="22"/>
      <c r="L89" s="23" t="s">
        <v>38</v>
      </c>
      <c r="M89" s="23"/>
      <c r="N89" s="25"/>
      <c r="O89" s="25"/>
      <c r="P89" s="25"/>
      <c r="Q89" s="24"/>
      <c r="R89" s="106">
        <v>45325</v>
      </c>
      <c r="S89" s="26"/>
      <c r="T89" s="27"/>
      <c r="U89" s="28"/>
      <c r="V89" s="29"/>
      <c r="W89" s="30"/>
    </row>
    <row r="90" spans="1:23" ht="11.45">
      <c r="A90" s="19">
        <f t="shared" si="2"/>
        <v>88</v>
      </c>
      <c r="B90" s="33"/>
      <c r="C90" s="20"/>
      <c r="D90" s="20" t="s">
        <v>226</v>
      </c>
      <c r="E90" s="20" t="s">
        <v>237</v>
      </c>
      <c r="F90" s="32" t="s">
        <v>236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5">
      <c r="A91" s="19">
        <f t="shared" si="2"/>
        <v>89</v>
      </c>
      <c r="B91" s="33"/>
      <c r="C91" s="20"/>
      <c r="D91" s="20" t="s">
        <v>228</v>
      </c>
      <c r="E91" s="20" t="s">
        <v>237</v>
      </c>
      <c r="F91" s="32" t="s">
        <v>236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5">
      <c r="A92" s="19">
        <f t="shared" si="2"/>
        <v>90</v>
      </c>
      <c r="B92" s="33"/>
      <c r="C92" s="33"/>
      <c r="D92" s="31" t="s">
        <v>230</v>
      </c>
      <c r="E92" s="20" t="s">
        <v>237</v>
      </c>
      <c r="F92" s="32" t="s">
        <v>236</v>
      </c>
      <c r="G92" s="22"/>
      <c r="H92" s="23"/>
      <c r="I92" s="23"/>
      <c r="J92" s="24"/>
      <c r="K92" s="22"/>
      <c r="L92" s="23" t="s">
        <v>38</v>
      </c>
      <c r="M92" s="23"/>
      <c r="N92" s="25"/>
      <c r="O92" s="25"/>
      <c r="P92" s="25"/>
      <c r="Q92" s="24"/>
      <c r="R92" s="106">
        <v>45325</v>
      </c>
      <c r="S92" s="26"/>
      <c r="T92" s="27"/>
      <c r="U92" s="28"/>
      <c r="V92" s="29"/>
      <c r="W92" s="30"/>
    </row>
    <row r="93" spans="1:23" ht="11.45">
      <c r="A93" s="19">
        <f t="shared" ref="A93" si="4">ROW()-2</f>
        <v>91</v>
      </c>
      <c r="B93" s="33"/>
      <c r="C93" s="20"/>
      <c r="D93" s="31" t="s">
        <v>232</v>
      </c>
      <c r="E93" s="20" t="s">
        <v>237</v>
      </c>
      <c r="F93" s="32" t="s">
        <v>236</v>
      </c>
      <c r="G93" s="22"/>
      <c r="H93" s="23"/>
      <c r="I93" s="23"/>
      <c r="J93" s="24"/>
      <c r="K93" s="22"/>
      <c r="L93" s="23" t="s">
        <v>38</v>
      </c>
      <c r="M93" s="23"/>
      <c r="N93" s="25"/>
      <c r="O93" s="25"/>
      <c r="P93" s="25"/>
      <c r="Q93" s="24"/>
      <c r="R93" s="106">
        <v>45325</v>
      </c>
      <c r="S93" s="26"/>
      <c r="T93" s="27"/>
      <c r="U93" s="28"/>
      <c r="V93" s="29"/>
      <c r="W93" s="30"/>
    </row>
    <row r="94" spans="1:23" s="3" customFormat="1" ht="12" customHeight="1">
      <c r="A94" s="34"/>
      <c r="B94" s="35"/>
      <c r="C94" s="36"/>
      <c r="D94" s="36"/>
      <c r="E94" s="35"/>
      <c r="F94" s="37" t="s">
        <v>57</v>
      </c>
      <c r="G94" s="38">
        <f>COUNTIF(G3:G93,"●")</f>
        <v>0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0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2" t="s">
        <v>58</v>
      </c>
      <c r="T94" s="122"/>
      <c r="U94" s="123"/>
      <c r="V94" s="42" t="s">
        <v>59</v>
      </c>
      <c r="W94" s="43">
        <f>SUM(G94:Q94)</f>
        <v>0</v>
      </c>
    </row>
    <row r="95" spans="1:23" s="3" customFormat="1" ht="12" customHeight="1">
      <c r="A95" s="44"/>
      <c r="B95" s="45" t="s">
        <v>60</v>
      </c>
      <c r="C95" s="46">
        <f>W96</f>
        <v>0</v>
      </c>
      <c r="D95" s="46"/>
      <c r="E95" s="45"/>
      <c r="F95" s="47" t="s">
        <v>61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4"/>
      <c r="T95" s="124"/>
      <c r="U95" s="125"/>
      <c r="V95" s="52" t="s">
        <v>59</v>
      </c>
      <c r="W95" s="53">
        <f t="shared" ref="W95:W97" si="7">SUM(G95:Q95)</f>
        <v>0</v>
      </c>
    </row>
    <row r="96" spans="1:23" s="3" customFormat="1" ht="12" customHeight="1">
      <c r="A96" s="54" t="s">
        <v>62</v>
      </c>
      <c r="B96" s="55"/>
      <c r="C96" s="56"/>
      <c r="D96" s="56"/>
      <c r="E96" s="55"/>
      <c r="F96" s="57" t="s">
        <v>63</v>
      </c>
      <c r="G96" s="48">
        <f t="shared" ref="G96:Q96" si="8">G94+G95</f>
        <v>0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0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8"/>
      <c r="S96" s="128">
        <f>COUNTA(S3:S91)</f>
        <v>0</v>
      </c>
      <c r="T96" s="130">
        <f>COUNTA(T3:T91)</f>
        <v>0</v>
      </c>
      <c r="U96" s="132">
        <f>COUNTA(U3:U91)</f>
        <v>0</v>
      </c>
      <c r="V96" s="58" t="s">
        <v>59</v>
      </c>
      <c r="W96" s="53">
        <f t="shared" si="7"/>
        <v>0</v>
      </c>
    </row>
    <row r="97" spans="1:23" s="3" customFormat="1" ht="12" customHeight="1">
      <c r="A97" s="59"/>
      <c r="B97" s="60" t="s">
        <v>64</v>
      </c>
      <c r="C97" s="61">
        <f>W97</f>
        <v>89</v>
      </c>
      <c r="D97" s="61"/>
      <c r="E97" s="60"/>
      <c r="F97" s="62" t="s">
        <v>65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19"/>
      <c r="S97" s="129"/>
      <c r="T97" s="131"/>
      <c r="U97" s="133"/>
      <c r="V97" s="67" t="s">
        <v>59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/>
  <cols>
    <col min="1" max="1" width="9" style="77"/>
    <col min="2" max="2" width="23.6640625" style="77" bestFit="1" customWidth="1"/>
    <col min="3" max="3" width="42.1640625" style="77" bestFit="1" customWidth="1"/>
    <col min="4" max="4" width="9" style="77"/>
    <col min="5" max="5" width="18.6640625" style="77" bestFit="1" customWidth="1"/>
    <col min="6" max="6" width="5.5" style="77" bestFit="1" customWidth="1"/>
    <col min="7" max="7" width="29.6640625" style="77" bestFit="1" customWidth="1"/>
    <col min="8" max="8" width="16.1640625" style="77" bestFit="1" customWidth="1"/>
    <col min="9" max="9" width="5.5" style="77" customWidth="1"/>
    <col min="10" max="10" width="11.33203125" style="77" bestFit="1" customWidth="1"/>
    <col min="11" max="11" width="29.6640625" style="77" bestFit="1" customWidth="1"/>
    <col min="12" max="12" width="23.1640625" style="77" bestFit="1" customWidth="1"/>
    <col min="13" max="13" width="9" style="77"/>
    <col min="14" max="14" width="13.33203125" style="77" bestFit="1" customWidth="1"/>
    <col min="15" max="15" width="10.33203125" style="77" bestFit="1" customWidth="1"/>
    <col min="16" max="16" width="12.1640625" style="77" bestFit="1" customWidth="1"/>
    <col min="17" max="17" width="5.5" style="77" bestFit="1" customWidth="1"/>
    <col min="18" max="18" width="9" style="77"/>
    <col min="19" max="19" width="11.1640625" style="77" bestFit="1" customWidth="1"/>
    <col min="20" max="20" width="9.1640625" style="77" bestFit="1" customWidth="1"/>
    <col min="21" max="21" width="16.6640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640625" style="77" bestFit="1" customWidth="1"/>
    <col min="27" max="27" width="7.33203125" style="77" bestFit="1" customWidth="1"/>
    <col min="28" max="28" width="9" style="77"/>
    <col min="29" max="29" width="18.6640625" style="77" bestFit="1" customWidth="1"/>
    <col min="30" max="30" width="19.6640625" style="77" bestFit="1" customWidth="1"/>
    <col min="31" max="31" width="5.5" style="77" bestFit="1" customWidth="1"/>
    <col min="32" max="32" width="29.6640625" style="77" bestFit="1" customWidth="1"/>
    <col min="33" max="33" width="26.6640625" style="77" bestFit="1" customWidth="1"/>
    <col min="34" max="16384" width="9" style="77"/>
  </cols>
  <sheetData>
    <row r="2" spans="2:33">
      <c r="B2" s="77" t="s">
        <v>238</v>
      </c>
    </row>
    <row r="4" spans="2:33">
      <c r="B4" s="77" t="s">
        <v>239</v>
      </c>
      <c r="E4" s="77" t="s">
        <v>240</v>
      </c>
      <c r="J4" s="77" t="s">
        <v>241</v>
      </c>
      <c r="N4" s="77" t="s">
        <v>242</v>
      </c>
      <c r="S4" s="77" t="s">
        <v>243</v>
      </c>
      <c r="X4" s="77" t="s">
        <v>244</v>
      </c>
      <c r="AC4" s="77" t="s">
        <v>245</v>
      </c>
    </row>
    <row r="6" spans="2:33" ht="13.15" thickBot="1">
      <c r="B6" s="78" t="s">
        <v>246</v>
      </c>
      <c r="C6" s="79" t="s">
        <v>247</v>
      </c>
      <c r="E6" s="78" t="s">
        <v>248</v>
      </c>
      <c r="F6" s="80" t="s">
        <v>249</v>
      </c>
      <c r="G6" s="80" t="s">
        <v>250</v>
      </c>
      <c r="H6" s="79" t="s">
        <v>17</v>
      </c>
      <c r="J6" s="78" t="s">
        <v>248</v>
      </c>
      <c r="K6" s="80" t="s">
        <v>250</v>
      </c>
      <c r="L6" s="79" t="s">
        <v>17</v>
      </c>
      <c r="N6" s="78" t="s">
        <v>248</v>
      </c>
      <c r="O6" s="80" t="s">
        <v>251</v>
      </c>
      <c r="P6" s="80" t="s">
        <v>250</v>
      </c>
      <c r="Q6" s="79" t="s">
        <v>17</v>
      </c>
      <c r="S6" s="78" t="s">
        <v>248</v>
      </c>
      <c r="T6" s="80" t="s">
        <v>251</v>
      </c>
      <c r="U6" s="80" t="s">
        <v>250</v>
      </c>
      <c r="V6" s="79" t="s">
        <v>17</v>
      </c>
      <c r="X6" s="78" t="s">
        <v>248</v>
      </c>
      <c r="Y6" s="80" t="s">
        <v>251</v>
      </c>
      <c r="Z6" s="80" t="s">
        <v>250</v>
      </c>
      <c r="AA6" s="79" t="s">
        <v>17</v>
      </c>
      <c r="AC6" s="78" t="s">
        <v>248</v>
      </c>
      <c r="AD6" s="80" t="s">
        <v>252</v>
      </c>
      <c r="AE6" s="80" t="s">
        <v>253</v>
      </c>
      <c r="AF6" s="80" t="s">
        <v>250</v>
      </c>
      <c r="AG6" s="79" t="s">
        <v>17</v>
      </c>
    </row>
    <row r="7" spans="2:33" ht="13.15" thickTop="1">
      <c r="B7" s="81" t="s">
        <v>175</v>
      </c>
      <c r="C7" s="82" t="s">
        <v>254</v>
      </c>
      <c r="E7" s="81" t="s">
        <v>255</v>
      </c>
      <c r="F7" s="77" t="s">
        <v>256</v>
      </c>
      <c r="G7" s="77" t="s">
        <v>257</v>
      </c>
      <c r="H7" s="82"/>
      <c r="J7" s="81" t="s">
        <v>258</v>
      </c>
      <c r="K7" s="77" t="s">
        <v>259</v>
      </c>
      <c r="L7" s="82"/>
      <c r="N7" s="81" t="s">
        <v>260</v>
      </c>
      <c r="P7" s="77" t="s">
        <v>259</v>
      </c>
      <c r="Q7" s="82"/>
      <c r="S7" s="81" t="s">
        <v>261</v>
      </c>
      <c r="T7" s="77" t="s">
        <v>262</v>
      </c>
      <c r="U7" s="77" t="s">
        <v>263</v>
      </c>
      <c r="V7" s="82"/>
      <c r="X7" s="81" t="s">
        <v>264</v>
      </c>
      <c r="Z7" s="77" t="s">
        <v>265</v>
      </c>
      <c r="AA7" s="82"/>
      <c r="AC7" s="81" t="s">
        <v>266</v>
      </c>
      <c r="AE7" s="77" t="s">
        <v>267</v>
      </c>
      <c r="AF7" s="77" t="s">
        <v>268</v>
      </c>
      <c r="AG7" s="82"/>
    </row>
    <row r="8" spans="2:33">
      <c r="B8" s="81" t="s">
        <v>178</v>
      </c>
      <c r="C8" s="82" t="s">
        <v>269</v>
      </c>
      <c r="E8" s="81" t="s">
        <v>270</v>
      </c>
      <c r="F8" s="77" t="s">
        <v>267</v>
      </c>
      <c r="G8" s="77" t="s">
        <v>268</v>
      </c>
      <c r="H8" s="82"/>
      <c r="J8" s="81"/>
      <c r="K8" s="77" t="s">
        <v>271</v>
      </c>
      <c r="L8" s="82"/>
      <c r="N8" s="83" t="s">
        <v>272</v>
      </c>
      <c r="O8" s="77" t="s">
        <v>273</v>
      </c>
      <c r="P8" s="77" t="s">
        <v>259</v>
      </c>
      <c r="Q8" s="82"/>
      <c r="S8" s="81"/>
      <c r="U8" s="77" t="s">
        <v>274</v>
      </c>
      <c r="V8" s="82"/>
      <c r="X8" s="81" t="s">
        <v>275</v>
      </c>
      <c r="Z8" s="77" t="s">
        <v>276</v>
      </c>
      <c r="AA8" s="82"/>
      <c r="AC8" s="81"/>
      <c r="AF8" s="77" t="s">
        <v>274</v>
      </c>
      <c r="AG8" s="82"/>
    </row>
    <row r="9" spans="2:33">
      <c r="B9" s="81" t="s">
        <v>180</v>
      </c>
      <c r="C9" s="82" t="s">
        <v>277</v>
      </c>
      <c r="E9" s="81"/>
      <c r="G9" s="77" t="s">
        <v>278</v>
      </c>
      <c r="H9" s="82"/>
      <c r="J9" s="81"/>
      <c r="K9" s="77" t="s">
        <v>279</v>
      </c>
      <c r="L9" s="82" t="s">
        <v>280</v>
      </c>
      <c r="N9" s="83" t="s">
        <v>272</v>
      </c>
      <c r="O9" s="77" t="s">
        <v>281</v>
      </c>
      <c r="P9" s="77" t="s">
        <v>259</v>
      </c>
      <c r="Q9" s="82"/>
      <c r="S9" s="81"/>
      <c r="U9" s="77" t="s">
        <v>276</v>
      </c>
      <c r="V9" s="82"/>
      <c r="X9" s="81" t="s">
        <v>282</v>
      </c>
      <c r="Y9" s="77" t="s">
        <v>283</v>
      </c>
      <c r="Z9" s="77" t="s">
        <v>276</v>
      </c>
      <c r="AA9" s="82" t="s">
        <v>284</v>
      </c>
      <c r="AC9" s="81"/>
      <c r="AF9" s="77" t="s">
        <v>285</v>
      </c>
      <c r="AG9" s="82"/>
    </row>
    <row r="10" spans="2:33">
      <c r="B10" s="81" t="s">
        <v>182</v>
      </c>
      <c r="C10" s="82" t="s">
        <v>286</v>
      </c>
      <c r="E10" s="81"/>
      <c r="G10" s="77" t="s">
        <v>55</v>
      </c>
      <c r="H10" s="82"/>
      <c r="J10" s="81" t="s">
        <v>287</v>
      </c>
      <c r="K10" s="77" t="s">
        <v>274</v>
      </c>
      <c r="L10" s="82"/>
      <c r="N10" s="81" t="s">
        <v>288</v>
      </c>
      <c r="P10" s="77" t="s">
        <v>259</v>
      </c>
      <c r="Q10" s="82"/>
      <c r="S10" s="81"/>
      <c r="U10" s="77" t="s">
        <v>289</v>
      </c>
      <c r="V10" s="82"/>
      <c r="X10" s="81" t="s">
        <v>282</v>
      </c>
      <c r="Y10" s="77" t="s">
        <v>290</v>
      </c>
      <c r="Z10" s="77" t="s">
        <v>276</v>
      </c>
      <c r="AA10" s="82" t="s">
        <v>284</v>
      </c>
      <c r="AC10" s="81" t="s">
        <v>291</v>
      </c>
      <c r="AD10" s="77" t="s">
        <v>292</v>
      </c>
      <c r="AE10" s="77" t="s">
        <v>267</v>
      </c>
      <c r="AF10" s="77" t="s">
        <v>268</v>
      </c>
      <c r="AG10" s="82"/>
    </row>
    <row r="11" spans="2:33">
      <c r="B11" s="81" t="s">
        <v>184</v>
      </c>
      <c r="C11" s="82" t="s">
        <v>293</v>
      </c>
      <c r="E11" s="81" t="s">
        <v>294</v>
      </c>
      <c r="F11" s="77" t="s">
        <v>267</v>
      </c>
      <c r="G11" s="77" t="s">
        <v>268</v>
      </c>
      <c r="H11" s="82"/>
      <c r="J11" s="81"/>
      <c r="K11" s="77" t="s">
        <v>271</v>
      </c>
      <c r="L11" s="82"/>
      <c r="N11" s="83" t="s">
        <v>295</v>
      </c>
      <c r="O11" s="77" t="s">
        <v>296</v>
      </c>
      <c r="P11" s="77" t="s">
        <v>259</v>
      </c>
      <c r="Q11" s="82"/>
      <c r="S11" s="81" t="s">
        <v>261</v>
      </c>
      <c r="T11" s="77" t="s">
        <v>297</v>
      </c>
      <c r="U11" s="77" t="s">
        <v>289</v>
      </c>
      <c r="V11" s="82"/>
      <c r="X11" s="81" t="s">
        <v>298</v>
      </c>
      <c r="Y11" s="77" t="s">
        <v>299</v>
      </c>
      <c r="Z11" s="77" t="s">
        <v>276</v>
      </c>
      <c r="AA11" s="82"/>
      <c r="AC11" s="81"/>
      <c r="AF11" s="77" t="s">
        <v>300</v>
      </c>
      <c r="AG11" s="82"/>
    </row>
    <row r="12" spans="2:33">
      <c r="B12" s="81" t="s">
        <v>186</v>
      </c>
      <c r="C12" s="82" t="s">
        <v>301</v>
      </c>
      <c r="E12" s="81"/>
      <c r="G12" s="77" t="s">
        <v>278</v>
      </c>
      <c r="H12" s="82"/>
      <c r="J12" s="81"/>
      <c r="K12" s="77" t="s">
        <v>279</v>
      </c>
      <c r="L12" s="82" t="s">
        <v>280</v>
      </c>
      <c r="N12" s="81" t="s">
        <v>302</v>
      </c>
      <c r="P12" s="77" t="s">
        <v>259</v>
      </c>
      <c r="Q12" s="82"/>
      <c r="S12" s="81"/>
      <c r="U12" s="77" t="s">
        <v>274</v>
      </c>
      <c r="V12" s="82"/>
      <c r="X12" s="81" t="s">
        <v>298</v>
      </c>
      <c r="Y12" s="77" t="s">
        <v>303</v>
      </c>
      <c r="Z12" s="77" t="s">
        <v>276</v>
      </c>
      <c r="AA12" s="82"/>
      <c r="AC12" s="81" t="s">
        <v>291</v>
      </c>
      <c r="AD12" s="77" t="s">
        <v>304</v>
      </c>
      <c r="AE12" s="77" t="s">
        <v>267</v>
      </c>
      <c r="AF12" s="77" t="s">
        <v>268</v>
      </c>
      <c r="AG12" s="82"/>
    </row>
    <row r="13" spans="2:33">
      <c r="B13" s="81" t="s">
        <v>188</v>
      </c>
      <c r="C13" s="82" t="s">
        <v>305</v>
      </c>
      <c r="E13" s="81"/>
      <c r="G13" s="77" t="s">
        <v>55</v>
      </c>
      <c r="H13" s="82"/>
      <c r="J13" s="81" t="s">
        <v>306</v>
      </c>
      <c r="K13" s="77" t="s">
        <v>274</v>
      </c>
      <c r="L13" s="82"/>
      <c r="N13" s="81" t="s">
        <v>307</v>
      </c>
      <c r="P13" s="77" t="s">
        <v>259</v>
      </c>
      <c r="Q13" s="82"/>
      <c r="S13" s="81"/>
      <c r="U13" s="77" t="s">
        <v>276</v>
      </c>
      <c r="V13" s="82"/>
      <c r="X13" s="81" t="s">
        <v>308</v>
      </c>
      <c r="Y13" s="77" t="s">
        <v>309</v>
      </c>
      <c r="Z13" s="77" t="s">
        <v>276</v>
      </c>
      <c r="AA13" s="82"/>
      <c r="AC13" s="81"/>
      <c r="AF13" s="77" t="s">
        <v>300</v>
      </c>
      <c r="AG13" s="82"/>
    </row>
    <row r="14" spans="2:33">
      <c r="B14" s="81" t="s">
        <v>190</v>
      </c>
      <c r="C14" s="82" t="s">
        <v>310</v>
      </c>
      <c r="E14" s="81" t="s">
        <v>311</v>
      </c>
      <c r="F14" s="77" t="s">
        <v>267</v>
      </c>
      <c r="G14" s="77" t="s">
        <v>268</v>
      </c>
      <c r="H14" s="82"/>
      <c r="J14" s="81"/>
      <c r="K14" s="77" t="s">
        <v>271</v>
      </c>
      <c r="L14" s="82"/>
      <c r="N14" s="81" t="s">
        <v>312</v>
      </c>
      <c r="O14" s="77" t="s">
        <v>313</v>
      </c>
      <c r="P14" s="77" t="s">
        <v>259</v>
      </c>
      <c r="Q14" s="82"/>
      <c r="S14" s="81"/>
      <c r="U14" s="77" t="s">
        <v>289</v>
      </c>
      <c r="V14" s="82"/>
      <c r="X14" s="81" t="s">
        <v>308</v>
      </c>
      <c r="Y14" s="77" t="s">
        <v>314</v>
      </c>
      <c r="Z14" s="77" t="s">
        <v>276</v>
      </c>
      <c r="AA14" s="82"/>
      <c r="AC14" s="81" t="s">
        <v>291</v>
      </c>
      <c r="AD14" s="77" t="s">
        <v>315</v>
      </c>
      <c r="AE14" s="77" t="s">
        <v>267</v>
      </c>
      <c r="AF14" s="77" t="s">
        <v>268</v>
      </c>
      <c r="AG14" s="82"/>
    </row>
    <row r="15" spans="2:33">
      <c r="B15" s="81" t="s">
        <v>192</v>
      </c>
      <c r="C15" s="82" t="s">
        <v>316</v>
      </c>
      <c r="E15" s="81"/>
      <c r="G15" s="77" t="s">
        <v>56</v>
      </c>
      <c r="H15" s="82"/>
      <c r="J15" s="81" t="s">
        <v>317</v>
      </c>
      <c r="K15" s="77" t="s">
        <v>259</v>
      </c>
      <c r="L15" s="82"/>
      <c r="N15" s="81" t="s">
        <v>312</v>
      </c>
      <c r="O15" s="77" t="s">
        <v>318</v>
      </c>
      <c r="P15" s="77" t="s">
        <v>259</v>
      </c>
      <c r="Q15" s="82"/>
      <c r="S15" s="81" t="s">
        <v>319</v>
      </c>
      <c r="U15" s="77" t="s">
        <v>289</v>
      </c>
      <c r="V15" s="82"/>
      <c r="X15" s="81" t="s">
        <v>308</v>
      </c>
      <c r="Y15" s="77" t="s">
        <v>320</v>
      </c>
      <c r="Z15" s="77" t="s">
        <v>321</v>
      </c>
      <c r="AA15" s="82"/>
      <c r="AC15" s="81"/>
      <c r="AF15" s="77" t="s">
        <v>300</v>
      </c>
      <c r="AG15" s="82"/>
    </row>
    <row r="16" spans="2:33">
      <c r="B16" s="81" t="s">
        <v>194</v>
      </c>
      <c r="C16" s="82" t="s">
        <v>322</v>
      </c>
      <c r="E16" s="81" t="s">
        <v>323</v>
      </c>
      <c r="F16" s="77" t="s">
        <v>267</v>
      </c>
      <c r="G16" s="77" t="s">
        <v>268</v>
      </c>
      <c r="H16" s="82"/>
      <c r="J16" s="84"/>
      <c r="K16" s="85" t="s">
        <v>324</v>
      </c>
      <c r="L16" s="86"/>
      <c r="N16" s="81" t="s">
        <v>325</v>
      </c>
      <c r="P16" s="77" t="s">
        <v>259</v>
      </c>
      <c r="Q16" s="82"/>
      <c r="S16" s="84" t="s">
        <v>326</v>
      </c>
      <c r="T16" s="85"/>
      <c r="U16" s="85" t="s">
        <v>54</v>
      </c>
      <c r="V16" s="86"/>
      <c r="X16" s="81" t="s">
        <v>327</v>
      </c>
      <c r="Y16" s="77" t="s">
        <v>328</v>
      </c>
      <c r="Z16" s="77" t="s">
        <v>276</v>
      </c>
      <c r="AA16" s="82"/>
      <c r="AC16" s="81" t="s">
        <v>329</v>
      </c>
      <c r="AD16" s="77" t="s">
        <v>330</v>
      </c>
      <c r="AE16" s="77" t="s">
        <v>267</v>
      </c>
      <c r="AF16" s="77" t="s">
        <v>268</v>
      </c>
      <c r="AG16" s="82"/>
    </row>
    <row r="17" spans="2:33">
      <c r="B17" s="81" t="s">
        <v>196</v>
      </c>
      <c r="C17" s="82" t="s">
        <v>331</v>
      </c>
      <c r="E17" s="81"/>
      <c r="G17" s="87" t="s">
        <v>332</v>
      </c>
      <c r="H17" s="82" t="s">
        <v>333</v>
      </c>
      <c r="N17" s="81" t="s">
        <v>334</v>
      </c>
      <c r="P17" s="77" t="s">
        <v>259</v>
      </c>
      <c r="Q17" s="82"/>
      <c r="X17" s="81" t="s">
        <v>335</v>
      </c>
      <c r="Y17" s="77" t="s">
        <v>336</v>
      </c>
      <c r="Z17" s="77" t="s">
        <v>276</v>
      </c>
      <c r="AA17" s="82"/>
      <c r="AC17" s="81"/>
      <c r="AF17" s="77" t="s">
        <v>300</v>
      </c>
      <c r="AG17" s="82"/>
    </row>
    <row r="18" spans="2:33">
      <c r="B18" s="88" t="s">
        <v>198</v>
      </c>
      <c r="C18" s="82"/>
      <c r="E18" s="81" t="s">
        <v>337</v>
      </c>
      <c r="F18" s="77" t="s">
        <v>267</v>
      </c>
      <c r="G18" s="77" t="s">
        <v>268</v>
      </c>
      <c r="H18" s="82"/>
      <c r="N18" s="81" t="s">
        <v>338</v>
      </c>
      <c r="P18" s="77" t="s">
        <v>259</v>
      </c>
      <c r="Q18" s="82"/>
      <c r="X18" s="81" t="s">
        <v>339</v>
      </c>
      <c r="Z18" s="77" t="s">
        <v>276</v>
      </c>
      <c r="AA18" s="82"/>
      <c r="AC18" s="81" t="s">
        <v>329</v>
      </c>
      <c r="AD18" s="77" t="s">
        <v>340</v>
      </c>
      <c r="AE18" s="77" t="s">
        <v>267</v>
      </c>
      <c r="AF18" s="77" t="s">
        <v>268</v>
      </c>
      <c r="AG18" s="82"/>
    </row>
    <row r="19" spans="2:33">
      <c r="B19" s="81" t="s">
        <v>200</v>
      </c>
      <c r="C19" s="82" t="s">
        <v>341</v>
      </c>
      <c r="E19" s="81"/>
      <c r="G19" s="77" t="s">
        <v>56</v>
      </c>
      <c r="H19" s="82"/>
      <c r="N19" s="84" t="s">
        <v>342</v>
      </c>
      <c r="O19" s="85"/>
      <c r="P19" s="85" t="s">
        <v>259</v>
      </c>
      <c r="Q19" s="86"/>
      <c r="X19" s="81" t="s">
        <v>343</v>
      </c>
      <c r="Z19" s="77" t="s">
        <v>276</v>
      </c>
      <c r="AA19" s="82"/>
      <c r="AC19" s="81"/>
      <c r="AF19" s="77" t="s">
        <v>300</v>
      </c>
      <c r="AG19" s="82"/>
    </row>
    <row r="20" spans="2:33">
      <c r="B20" s="81" t="s">
        <v>202</v>
      </c>
      <c r="C20" s="82" t="s">
        <v>310</v>
      </c>
      <c r="E20" s="81" t="s">
        <v>344</v>
      </c>
      <c r="F20" s="77" t="s">
        <v>267</v>
      </c>
      <c r="G20" s="77" t="s">
        <v>268</v>
      </c>
      <c r="H20" s="82"/>
      <c r="X20" s="84"/>
      <c r="Y20" s="85"/>
      <c r="Z20" s="85" t="s">
        <v>274</v>
      </c>
      <c r="AA20" s="86"/>
      <c r="AC20" s="81" t="s">
        <v>329</v>
      </c>
      <c r="AD20" s="77" t="s">
        <v>345</v>
      </c>
      <c r="AE20" s="77" t="s">
        <v>267</v>
      </c>
      <c r="AF20" s="77" t="s">
        <v>268</v>
      </c>
      <c r="AG20" s="82"/>
    </row>
    <row r="21" spans="2:33">
      <c r="B21" s="81" t="s">
        <v>204</v>
      </c>
      <c r="C21" s="82" t="s">
        <v>346</v>
      </c>
      <c r="E21" s="81" t="s">
        <v>347</v>
      </c>
      <c r="F21" s="77" t="s">
        <v>267</v>
      </c>
      <c r="G21" s="77" t="s">
        <v>268</v>
      </c>
      <c r="H21" s="82"/>
      <c r="AC21" s="81"/>
      <c r="AF21" s="77" t="s">
        <v>300</v>
      </c>
      <c r="AG21" s="82"/>
    </row>
    <row r="22" spans="2:33">
      <c r="B22" s="81" t="s">
        <v>206</v>
      </c>
      <c r="C22" s="82" t="s">
        <v>348</v>
      </c>
      <c r="E22" s="81"/>
      <c r="G22" s="77" t="s">
        <v>259</v>
      </c>
      <c r="H22" s="82"/>
      <c r="AC22" s="81" t="s">
        <v>329</v>
      </c>
      <c r="AD22" s="77" t="s">
        <v>349</v>
      </c>
      <c r="AE22" s="77" t="s">
        <v>267</v>
      </c>
      <c r="AF22" s="77" t="s">
        <v>268</v>
      </c>
      <c r="AG22" s="82"/>
    </row>
    <row r="23" spans="2:33">
      <c r="B23" s="81" t="s">
        <v>208</v>
      </c>
      <c r="C23" s="82" t="s">
        <v>350</v>
      </c>
      <c r="E23" s="81"/>
      <c r="G23" s="77" t="s">
        <v>279</v>
      </c>
      <c r="H23" s="82"/>
      <c r="AC23" s="81"/>
      <c r="AF23" s="77" t="s">
        <v>300</v>
      </c>
      <c r="AG23" s="82"/>
    </row>
    <row r="24" spans="2:33">
      <c r="B24" s="81" t="s">
        <v>210</v>
      </c>
      <c r="C24" s="82" t="s">
        <v>351</v>
      </c>
      <c r="E24" s="81" t="s">
        <v>352</v>
      </c>
      <c r="F24" s="77" t="s">
        <v>353</v>
      </c>
      <c r="G24" s="77" t="s">
        <v>257</v>
      </c>
      <c r="H24" s="82"/>
      <c r="AC24" s="81" t="s">
        <v>329</v>
      </c>
      <c r="AD24" s="77" t="s">
        <v>354</v>
      </c>
      <c r="AE24" s="77" t="s">
        <v>267</v>
      </c>
      <c r="AF24" s="77" t="s">
        <v>268</v>
      </c>
      <c r="AG24" s="82"/>
    </row>
    <row r="25" spans="2:33">
      <c r="B25" s="81" t="s">
        <v>212</v>
      </c>
      <c r="C25" s="82" t="s">
        <v>355</v>
      </c>
      <c r="E25" s="81" t="s">
        <v>356</v>
      </c>
      <c r="F25" s="77" t="s">
        <v>353</v>
      </c>
      <c r="G25" s="77" t="s">
        <v>257</v>
      </c>
      <c r="H25" s="82"/>
      <c r="AC25" s="81"/>
      <c r="AF25" s="77" t="s">
        <v>300</v>
      </c>
      <c r="AG25" s="82"/>
    </row>
    <row r="26" spans="2:33">
      <c r="B26" s="81" t="s">
        <v>214</v>
      </c>
      <c r="C26" s="82" t="s">
        <v>357</v>
      </c>
      <c r="E26" s="84" t="s">
        <v>358</v>
      </c>
      <c r="F26" s="85" t="s">
        <v>353</v>
      </c>
      <c r="G26" s="85" t="s">
        <v>257</v>
      </c>
      <c r="H26" s="86"/>
      <c r="AC26" s="81" t="s">
        <v>359</v>
      </c>
      <c r="AD26" s="77" t="s">
        <v>360</v>
      </c>
      <c r="AE26" s="77" t="s">
        <v>267</v>
      </c>
      <c r="AF26" s="77" t="s">
        <v>300</v>
      </c>
      <c r="AG26" s="82"/>
    </row>
    <row r="27" spans="2:33">
      <c r="B27" s="81" t="s">
        <v>216</v>
      </c>
      <c r="C27" s="82" t="s">
        <v>361</v>
      </c>
      <c r="AC27" s="81"/>
      <c r="AF27" s="77" t="s">
        <v>362</v>
      </c>
      <c r="AG27" s="82"/>
    </row>
    <row r="28" spans="2:33">
      <c r="B28" s="81" t="s">
        <v>218</v>
      </c>
      <c r="C28" s="82" t="s">
        <v>363</v>
      </c>
      <c r="AC28" s="81" t="s">
        <v>359</v>
      </c>
      <c r="AD28" s="77" t="s">
        <v>364</v>
      </c>
      <c r="AE28" s="77" t="s">
        <v>267</v>
      </c>
      <c r="AF28" s="77" t="s">
        <v>300</v>
      </c>
      <c r="AG28" s="82" t="s">
        <v>365</v>
      </c>
    </row>
    <row r="29" spans="2:33">
      <c r="B29" s="81" t="s">
        <v>220</v>
      </c>
      <c r="C29" s="82" t="s">
        <v>366</v>
      </c>
      <c r="AC29" s="81"/>
      <c r="AF29" s="77" t="s">
        <v>362</v>
      </c>
      <c r="AG29" s="82"/>
    </row>
    <row r="30" spans="2:33">
      <c r="B30" s="81" t="s">
        <v>222</v>
      </c>
      <c r="C30" s="82" t="s">
        <v>367</v>
      </c>
      <c r="AC30" s="81" t="s">
        <v>359</v>
      </c>
      <c r="AD30" s="77" t="s">
        <v>291</v>
      </c>
      <c r="AE30" s="77" t="s">
        <v>267</v>
      </c>
      <c r="AF30" s="77" t="s">
        <v>300</v>
      </c>
      <c r="AG30" s="82" t="s">
        <v>365</v>
      </c>
    </row>
    <row r="31" spans="2:33">
      <c r="B31" s="81" t="s">
        <v>224</v>
      </c>
      <c r="C31" s="82" t="s">
        <v>363</v>
      </c>
      <c r="AC31" s="81"/>
      <c r="AF31" s="77" t="s">
        <v>362</v>
      </c>
      <c r="AG31" s="82"/>
    </row>
    <row r="32" spans="2:33">
      <c r="B32" s="81" t="s">
        <v>226</v>
      </c>
      <c r="C32" s="82" t="s">
        <v>368</v>
      </c>
      <c r="AC32" s="81" t="s">
        <v>359</v>
      </c>
      <c r="AD32" s="77" t="s">
        <v>369</v>
      </c>
      <c r="AE32" s="77" t="s">
        <v>267</v>
      </c>
      <c r="AF32" s="77" t="s">
        <v>300</v>
      </c>
      <c r="AG32" s="82" t="s">
        <v>365</v>
      </c>
    </row>
    <row r="33" spans="2:33">
      <c r="B33" s="84" t="s">
        <v>228</v>
      </c>
      <c r="C33" s="86" t="s">
        <v>370</v>
      </c>
      <c r="AC33" s="81"/>
      <c r="AF33" s="77" t="s">
        <v>362</v>
      </c>
      <c r="AG33" s="82"/>
    </row>
    <row r="34" spans="2:33">
      <c r="AC34" s="81" t="s">
        <v>359</v>
      </c>
      <c r="AD34" s="77" t="s">
        <v>354</v>
      </c>
      <c r="AE34" s="77" t="s">
        <v>267</v>
      </c>
      <c r="AF34" s="77" t="s">
        <v>300</v>
      </c>
      <c r="AG34" s="82" t="s">
        <v>365</v>
      </c>
    </row>
    <row r="35" spans="2:33">
      <c r="AC35" s="81"/>
      <c r="AF35" s="77" t="s">
        <v>362</v>
      </c>
      <c r="AG35" s="82"/>
    </row>
    <row r="36" spans="2:33">
      <c r="AC36" s="81" t="s">
        <v>371</v>
      </c>
      <c r="AD36" s="77" t="s">
        <v>372</v>
      </c>
      <c r="AE36" s="77" t="s">
        <v>267</v>
      </c>
      <c r="AF36" s="77" t="s">
        <v>278</v>
      </c>
      <c r="AG36" s="82"/>
    </row>
    <row r="37" spans="2:33">
      <c r="AC37" s="81" t="s">
        <v>371</v>
      </c>
      <c r="AD37" s="77" t="s">
        <v>373</v>
      </c>
      <c r="AE37" s="77" t="s">
        <v>267</v>
      </c>
      <c r="AF37" s="77" t="s">
        <v>278</v>
      </c>
      <c r="AG37" s="82"/>
    </row>
    <row r="38" spans="2:33">
      <c r="AC38" s="81" t="s">
        <v>371</v>
      </c>
      <c r="AD38" s="77" t="s">
        <v>374</v>
      </c>
      <c r="AE38" s="77" t="s">
        <v>267</v>
      </c>
      <c r="AF38" s="77" t="s">
        <v>278</v>
      </c>
      <c r="AG38" s="82"/>
    </row>
    <row r="39" spans="2:33">
      <c r="AC39" s="81" t="s">
        <v>371</v>
      </c>
      <c r="AD39" s="77" t="s">
        <v>375</v>
      </c>
      <c r="AE39" s="77" t="s">
        <v>267</v>
      </c>
      <c r="AF39" s="77" t="s">
        <v>278</v>
      </c>
      <c r="AG39" s="82"/>
    </row>
    <row r="40" spans="2:33">
      <c r="AC40" s="81" t="s">
        <v>376</v>
      </c>
      <c r="AE40" s="77" t="s">
        <v>267</v>
      </c>
      <c r="AF40" s="77" t="s">
        <v>257</v>
      </c>
      <c r="AG40" s="82"/>
    </row>
    <row r="41" spans="2:33">
      <c r="AC41" s="81" t="s">
        <v>377</v>
      </c>
      <c r="AE41" s="77" t="s">
        <v>267</v>
      </c>
      <c r="AF41" s="77" t="s">
        <v>278</v>
      </c>
      <c r="AG41" s="82"/>
    </row>
    <row r="42" spans="2:33">
      <c r="AC42" s="81" t="s">
        <v>378</v>
      </c>
      <c r="AD42" s="77" t="s">
        <v>379</v>
      </c>
      <c r="AE42" s="77" t="s">
        <v>353</v>
      </c>
      <c r="AF42" s="77" t="s">
        <v>278</v>
      </c>
      <c r="AG42" s="82"/>
    </row>
    <row r="43" spans="2:33">
      <c r="AC43" s="81" t="s">
        <v>378</v>
      </c>
      <c r="AD43" s="77" t="s">
        <v>380</v>
      </c>
      <c r="AE43" s="77" t="s">
        <v>353</v>
      </c>
      <c r="AF43" s="77" t="s">
        <v>278</v>
      </c>
      <c r="AG43" s="82"/>
    </row>
    <row r="44" spans="2:33">
      <c r="AC44" s="81" t="s">
        <v>378</v>
      </c>
      <c r="AD44" s="77" t="s">
        <v>381</v>
      </c>
      <c r="AE44" s="77" t="s">
        <v>353</v>
      </c>
      <c r="AF44" s="77" t="s">
        <v>278</v>
      </c>
      <c r="AG44" s="82"/>
    </row>
    <row r="45" spans="2:33">
      <c r="AC45" s="81" t="s">
        <v>378</v>
      </c>
      <c r="AD45" s="77" t="s">
        <v>382</v>
      </c>
      <c r="AE45" s="77" t="s">
        <v>353</v>
      </c>
      <c r="AF45" s="77" t="s">
        <v>278</v>
      </c>
      <c r="AG45" s="82"/>
    </row>
    <row r="46" spans="2:33">
      <c r="AC46" s="81" t="s">
        <v>378</v>
      </c>
      <c r="AD46" s="77" t="s">
        <v>383</v>
      </c>
      <c r="AE46" s="77" t="s">
        <v>353</v>
      </c>
      <c r="AF46" s="77" t="s">
        <v>278</v>
      </c>
      <c r="AG46" s="82"/>
    </row>
    <row r="47" spans="2:33">
      <c r="AC47" s="81" t="s">
        <v>384</v>
      </c>
      <c r="AD47" s="77" t="s">
        <v>385</v>
      </c>
      <c r="AE47" s="77" t="s">
        <v>353</v>
      </c>
      <c r="AF47" s="77" t="s">
        <v>278</v>
      </c>
      <c r="AG47" s="82"/>
    </row>
    <row r="48" spans="2:33">
      <c r="AC48" s="81" t="s">
        <v>384</v>
      </c>
      <c r="AD48" s="77" t="s">
        <v>386</v>
      </c>
      <c r="AE48" s="77" t="s">
        <v>353</v>
      </c>
      <c r="AF48" s="77" t="s">
        <v>278</v>
      </c>
      <c r="AG48" s="82"/>
    </row>
    <row r="49" spans="29:33">
      <c r="AC49" s="84" t="s">
        <v>387</v>
      </c>
      <c r="AD49" s="85" t="s">
        <v>385</v>
      </c>
      <c r="AE49" s="85" t="s">
        <v>353</v>
      </c>
      <c r="AF49" s="85" t="s">
        <v>278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24F426-4D34-4C87-B993-11C12AC9E7B1}"/>
</file>

<file path=customXml/itemProps2.xml><?xml version="1.0" encoding="utf-8"?>
<ds:datastoreItem xmlns:ds="http://schemas.openxmlformats.org/officeDocument/2006/customXml" ds:itemID="{C3B1A985-4E3A-417E-9A69-802E3198C712}"/>
</file>

<file path=customXml/itemProps3.xml><?xml version="1.0" encoding="utf-8"?>
<ds:datastoreItem xmlns:ds="http://schemas.openxmlformats.org/officeDocument/2006/customXml" ds:itemID="{967336F9-942E-4263-90AB-19E036EC50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FJTS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Nguyen Thi Anh (VTI.D10)</cp:lastModifiedBy>
  <cp:revision/>
  <dcterms:created xsi:type="dcterms:W3CDTF">1997-07-11T07:53:19Z</dcterms:created>
  <dcterms:modified xsi:type="dcterms:W3CDTF">2024-12-30T10:18:49Z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