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506" documentId="13_ncr:1_{83417ED8-4D23-47BB-99B2-FB19FA0558F2}" xr6:coauthVersionLast="47" xr6:coauthVersionMax="47" xr10:uidLastSave="{09FF540C-DF1D-4C07-987C-C684F2E4D5A6}"/>
  <bookViews>
    <workbookView xWindow="228" yWindow="348" windowWidth="22788" windowHeight="11940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<sst xmlns="http://schemas.openxmlformats.org/spreadsheetml/2006/main" count="1690" uniqueCount="431">
  <si>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</si>
  <si>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</si>
  <si>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</si>
  <si>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</si>
  <si>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</si>
  <si>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</si>
  <si>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</si>
  <si>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</si>
  <si>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</si>
  <si>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</si>
  <si>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</si>
  <si>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</si>
  <si>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</si>
  <si>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</si>
  <si>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</si>
  <si>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</si>
  <si>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</si>
  <si>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</si>
  <si>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</si>
  <si>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</si>
  <si>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</si>
  <si>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</si>
  <si>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</si>
  <si>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</si>
  <si>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</si>
  <si>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</si>
  <si>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</si>
  <si>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</si>
  <si>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</si>
  <si>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</si>
  <si>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</si>
  <si>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</si>
  <si>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</si>
  <si>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</si>
  <si>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</si>
  <si>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</si>
  <si>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</si>
  <si>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</si>
  <si>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</si>
  <si>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</si>
  <si>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</si>
  <si>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</si>
  <si>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</si>
  <si>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</si>
  <si>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</si>
  <si>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</si>
  <si>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</si>
  <si>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</si>
  <si>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</si>
  <si>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</si>
  <si>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</si>
  <si>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</si>
  <si>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</si>
  <si>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</si>
  <si>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</si>
  <si>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</si>
  <si>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</si>
  <si>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</si>
  <si>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</si>
  <si>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</si>
  <si>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</si>
  <si>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</si>
  <si>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</si>
  <si>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</si>
  <si>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</si>
  <si>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</si>
  <si>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</si>
  <si>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</si>
  <si>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</si>
  <si>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</si>
  <si>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</si>
  <si>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</si>
  <si>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</si>
  <si>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</si>
  <si>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</si>
  <si>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</si>
  <si>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</si>
  <si>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</si>
  <si>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</si>
  <si>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</si>
  <si>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</si>
  <si>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</si>
  <si>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</si>
  <si>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</si>
  <si>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</si>
  <si>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</si>
  <si>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</si>
  <si>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</si>
  <si>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</si>
  <si>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</si>
  <si>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</si>
  <si>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</si>
  <si>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</si>
  <si>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</si>
  <si>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</si>
  <si>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</si>
  <si>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</si>
  <si>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</si>
  <si>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</si>
  <si>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</si>
  <si>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</si>
  <si>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</si>
  <si>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</si>
  <si>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</si>
  <si>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</si>
  <si>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</si>
  <si>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</si>
  <si>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</si>
  <si>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</si>
  <si>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</si>
  <si>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</si>
  <si>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</si>
  <si>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</si>
  <si>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</si>
  <si>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</si>
  <si>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</si>
  <si>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</si>
  <si>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</si>
  <si>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</si>
  <si>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</si>
  <si>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</si>
  <si>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</si>
  <si>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</si>
  <si>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</si>
  <si>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</si>
  <si>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</si>
  <si>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</si>
  <si>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</si>
  <si>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</si>
  <si>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</si>
  <si>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</si>
  <si>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</si>
  <si>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</si>
  <si>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</si>
  <si>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</si>
  <si>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</si>
  <si>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</si>
  <si>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</si>
  <si>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</si>
  <si>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</si>
  <si>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</si>
  <si>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</si>
  <si>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</si>
  <si>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</si>
  <si>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</si>
  <si>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</si>
  <si>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</si>
  <si>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</si>
  <si>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</si>
  <si>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</si>
  <si>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</si>
  <si>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</si>
  <si>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</si>
  <si>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</si>
  <si>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</si>
  <si>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</si>
  <si>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</si>
  <si>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</si>
  <si>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</si>
  <si>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</si>
  <si>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</si>
  <si>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</si>
  <si>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</si>
  <si>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</si>
  <si>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</si>
  <si>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</si>
  <si>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</si>
  <si>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</si>
  <si>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</si>
  <si>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</si>
  <si>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</si>
  <si>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</si>
  <si>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</si>
  <si>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</si>
  <si>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</si>
  <si>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</si>
  <si>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</si>
  <si>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</si>
  <si>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</si>
  <si>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</si>
  <si>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</si>
  <si>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</si>
  <si>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</si>
  <si>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</si>
  <si>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</si>
  <si>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</si>
  <si>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</si>
  <si>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</si>
  <si>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</si>
  <si>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</si>
  <si>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</si>
  <si>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</si>
  <si>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</si>
  <si>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</si>
  <si>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</si>
  <si>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</si>
  <si>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</si>
  <si>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</si>
  <si>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</si>
  <si>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</si>
  <si>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</si>
  <si>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</si>
  <si>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</si>
  <si>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</si>
  <si>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</si>
  <si>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</si>
  <si>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</si>
  <si>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</si>
  <si>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</si>
  <si>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</si>
  <si>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</si>
  <si>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</si>
  <si>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</si>
  <si>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</si>
  <si>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</si>
  <si>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</si>
  <si>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</si>
  <si>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</si>
  <si>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</si>
  <si>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</si>
  <si>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</si>
  <si>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</si>
  <si>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</si>
  <si>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</si>
  <si>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</si>
  <si>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</si>
  <si>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</si>
  <si>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</si>
  <si>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</si>
  <si>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</si>
  <si>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</si>
  <si>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</si>
  <si>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</si>
  <si>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</si>
  <si>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</si>
  <si>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</si>
  <si>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</si>
  <si>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</si>
  <si>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</si>
  <si>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</si>
  <si>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</si>
  <si>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</si>
  <si>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</si>
  <si>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</si>
  <si>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</si>
  <si>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</si>
  <si>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</si>
  <si>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</si>
  <si>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</si>
  <si>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</si>
  <si>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</si>
  <si>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</si>
  <si>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</si>
  <si>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</si>
  <si>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</si>
  <si>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</si>
  <si>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</si>
  <si>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</si>
  <si>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</si>
  <si>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</si>
  <si>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</si>
  <si>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</si>
  <si>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</si>
  <si>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</si>
  <si>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</si>
  <si>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</si>
  <si>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</si>
  <si>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</si>
  <si>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</si>
  <si>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</si>
  <si>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</si>
  <si>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</si>
  <si>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</si>
  <si>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</si>
  <si>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</si>
  <si>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</si>
  <si>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</si>
  <si>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</si>
  <si>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</si>
  <si>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</si>
  <si>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</si>
  <si>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</si>
  <si>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</si>
  <si>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</si>
  <si>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</si>
  <si>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</si>
  <si>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</si>
  <si>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</si>
  <si>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</si>
  <si>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</si>
  <si>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</si>
  <si>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</si>
  <si>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</si>
  <si>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</si>
  <si>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</si>
  <si>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</si>
  <si>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</si>
  <si>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</si>
  <si>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</si>
  <si>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</si>
  <si>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</si>
  <si>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</si>
  <si>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</si>
  <si>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</si>
  <si>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</si>
  <si>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</si>
  <si>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</si>
  <si>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</si>
  <si>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</si>
  <si>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</si>
  <si>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</si>
  <si>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</si>
  <si>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</si>
  <si>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</si>
  <si>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</si>
  <si>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</si>
  <si>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</si>
  <si>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</si>
  <si>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</si>
  <si>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</si>
  <si>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</si>
  <si>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</si>
  <si>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</si>
  <si>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</si>
  <si>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</si>
  <si>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</si>
  <si>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</si>
  <si>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</si>
  <si>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</si>
  <si>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</si>
  <si>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</si>
  <si>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</si>
  <si>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</si>
  <si>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</si>
  <si>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</si>
  <si>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</si>
  <si>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</si>
  <si>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</si>
  <si>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</si>
  <si>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</si>
  <si>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</si>
  <si>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</si>
  <si>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</si>
  <si>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</si>
  <si>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</si>
  <si>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</si>
  <si>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</si>
  <si>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</si>
  <si>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</si>
  <si>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</si>
  <si>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</si>
  <si>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</si>
  <si>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</si>
  <si>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</si>
  <si>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</si>
  <si>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</si>
  <si>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</si>
  <si>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</si>
  <si>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</si>
  <si>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</si>
  <si>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</si>
  <si>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</si>
  <si>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</si>
  <si>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</si>
  <si>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</si>
  <si>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</si>
  <si>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</si>
  <si>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</si>
  <si>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</si>
  <si>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</si>
  <si>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</si>
  <si>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</si>
  <si>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</si>
  <si>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</si>
  <si>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</si>
  <si>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</si>
  <si>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</si>
  <si>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</si>
  <si>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</si>
  <si>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</si>
  <si>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</si>
  <si>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</si>
  <si>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</si>
  <si>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</si>
  <si>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</si>
  <si>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</si>
  <si>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</si>
  <si>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</si>
  <si>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</si>
  <si>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</si>
  <si>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</si>
  <si>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</si>
  <si>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</si>
  <si>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</si>
  <si>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</si>
  <si>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</si>
  <si>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</si>
  <si>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</si>
  <si>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</si>
  <si>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</si>
  <si>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</si>
  <si>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</si>
  <si>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</si>
  <si>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</si>
  <si>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</si>
  <si>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</si>
  <si>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</si>
  <si>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</si>
  <si>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</si>
  <si>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</si>
  <si>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</si>
  <si>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</si>
  <si>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ACTREGI</t>
    <phoneticPr fontId="12"/>
  </si>
  <si>
    <t>CTKY_ITEM_ADD_DATA.txt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</si>
  <si>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</si>
  <si>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</si>
  <si>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</si>
  <si>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</si>
  <si>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</si>
  <si>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</si>
  <si>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</si>
  <si>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</si>
  <si>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</si>
  <si>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</si>
  <si>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</si>
  <si>
    <r>
      <t xml:space="preserve">ACTDPT
</t>
    </r>
    <r>
      <rPr>
        <sz val="8"/>
        <color rgb="FFFF0000"/>
        <rFont val="Meiryo UI"/>
        <family val="3"/>
        <charset val="128"/>
      </rPr>
      <t>ignica：商品階層別日報と数値が合わない</t>
    </r>
    <rPh sb="14" eb="16">
      <t>ショウヒン</t>
    </rPh>
    <rPh sb="16" eb="18">
      <t>カイソウ</t>
    </rPh>
    <rPh sb="18" eb="19">
      <t>ベツ</t>
    </rPh>
    <rPh sb="19" eb="21">
      <t>ニッポウ</t>
    </rPh>
    <rPh sb="22" eb="24">
      <t>スウチ</t>
    </rPh>
    <rPh sb="25" eb="26">
      <t>ア</t>
    </rPh>
    <phoneticPr fontId="12"/>
  </si>
  <si>
    <r>
      <t xml:space="preserve">ACTSTOR
</t>
    </r>
    <r>
      <rPr>
        <sz val="8"/>
        <color rgb="FFFF0000"/>
        <rFont val="Meiryo UI"/>
        <family val="3"/>
        <charset val="128"/>
      </rPr>
      <t>ignica：精算確定報と数値が合わない</t>
    </r>
    <rPh sb="15" eb="17">
      <t>セイサン</t>
    </rPh>
    <rPh sb="17" eb="20">
      <t>カクテイホウ</t>
    </rPh>
    <rPh sb="21" eb="23">
      <t>スウチ</t>
    </rPh>
    <phoneticPr fontId="12"/>
  </si>
  <si>
    <r>
      <t xml:space="preserve">RSTYDTL
</t>
    </r>
    <r>
      <rPr>
        <sz val="8"/>
        <color rgb="FFFF0000"/>
        <rFont val="Meiryo UI"/>
        <family val="3"/>
        <charset val="128"/>
      </rPr>
      <t>ignica：商品階層別日報とクレジット売上の数値が合わない</t>
    </r>
    <rPh sb="28" eb="30">
      <t>ウリアゲ</t>
    </rPh>
    <phoneticPr fontId="12"/>
  </si>
  <si>
    <r>
      <t xml:space="preserve">CTKY_SUBDISC_DATA.dat
</t>
    </r>
    <r>
      <rPr>
        <sz val="8"/>
        <color rgb="FFFF0000"/>
        <rFont val="Meiryo UI"/>
        <family val="3"/>
        <charset val="128"/>
      </rPr>
      <t>テストデータなし</t>
    </r>
    <phoneticPr fontId="12"/>
  </si>
  <si>
    <r>
      <t xml:space="preserve">SLSITEMDAYADD
</t>
    </r>
    <r>
      <rPr>
        <sz val="8"/>
        <color rgb="FFFF0000"/>
        <rFont val="Meiryo UI"/>
        <family val="3"/>
        <charset val="128"/>
      </rPr>
      <t>ignica側のデータ無し</t>
    </r>
    <rPh sb="20" eb="21">
      <t>ガワ</t>
    </rPh>
    <rPh sb="25" eb="26">
      <t>ナ</t>
    </rPh>
    <phoneticPr fontId="12"/>
  </si>
  <si>
    <r>
      <t xml:space="preserve">SLSITEMDAY
</t>
    </r>
    <r>
      <rPr>
        <sz val="8"/>
        <color rgb="FFFF0000"/>
        <rFont val="Meiryo UI"/>
        <family val="3"/>
        <charset val="128"/>
      </rPr>
      <t>項番97と同件でいいか？</t>
    </r>
    <rPh sb="11" eb="13">
      <t>コウバン</t>
    </rPh>
    <rPh sb="16" eb="18">
      <t>ドウケン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</si>
</sst>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5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5" t="s">
        <v>1</v>
      </c>
      <c r="D7" s="116"/>
      <c r="E7" s="116"/>
      <c r="F7" s="116"/>
      <c r="G7" s="116"/>
      <c r="H7" s="116"/>
      <c r="I7" s="116"/>
      <c r="J7" s="116"/>
      <c r="K7" s="117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2" t="s">
        <v>2</v>
      </c>
      <c r="D9" s="113"/>
      <c r="E9" s="113"/>
      <c r="F9" s="113"/>
      <c r="G9" s="113"/>
      <c r="H9" s="113"/>
      <c r="I9" s="113"/>
      <c r="J9" s="113"/>
      <c r="K9" s="114"/>
    </row>
    <row r="10" spans="3:11" ht="35.4" x14ac:dyDescent="0.65">
      <c r="C10" s="112" t="s">
        <v>3</v>
      </c>
      <c r="D10" s="113"/>
      <c r="E10" s="113"/>
      <c r="F10" s="113"/>
      <c r="G10" s="113"/>
      <c r="H10" s="113"/>
      <c r="I10" s="113"/>
      <c r="J10" s="113"/>
      <c r="K10" s="114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8" t="s">
        <v>4</v>
      </c>
      <c r="F18" s="118"/>
      <c r="G18" s="118"/>
      <c r="H18" s="118"/>
      <c r="I18" s="118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9" t="s">
        <v>5</v>
      </c>
      <c r="G21" s="119"/>
      <c r="H21" s="119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4" activePane="bottomLeft" state="frozen"/>
      <selection activeCell="B8" sqref="B8"/>
      <selection pane="bottomLeft" activeCell="P15" sqref="P15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8" t="s">
        <v>10</v>
      </c>
      <c r="F1" s="13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120" t="s">
        <v>17</v>
      </c>
    </row>
    <row r="2" spans="1:24" s="1" customFormat="1" ht="22.8" x14ac:dyDescent="0.15">
      <c r="A2" s="123"/>
      <c r="B2" s="125"/>
      <c r="C2" s="127"/>
      <c r="D2" s="127"/>
      <c r="E2" s="129"/>
      <c r="F2" s="13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121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41" t="s">
        <v>52</v>
      </c>
      <c r="U18" s="141"/>
      <c r="V18" s="142"/>
      <c r="W18" s="42" t="s">
        <v>53</v>
      </c>
      <c r="X18" s="43">
        <f>SUM(G18:R18)</f>
        <v>12</v>
      </c>
    </row>
    <row r="19" spans="1:24" s="3" customFormat="1" ht="12" customHeight="1" x14ac:dyDescent="0.25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3"/>
      <c r="U19" s="143"/>
      <c r="V19" s="144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37"/>
      <c r="T20" s="145">
        <f>COUNTA(T3:T17)</f>
        <v>3</v>
      </c>
      <c r="U20" s="147">
        <f>COUNTA(U3:U17)</f>
        <v>0</v>
      </c>
      <c r="V20" s="149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8"/>
      <c r="T21" s="146"/>
      <c r="U21" s="148"/>
      <c r="V21" s="150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69"/>
    </row>
    <row r="2" spans="1:24" s="1" customFormat="1" ht="18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1" t="s">
        <v>52</v>
      </c>
      <c r="U14" s="141"/>
      <c r="V14" s="142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3"/>
      <c r="U15" s="143"/>
      <c r="V15" s="144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7"/>
      <c r="T16" s="145">
        <f>COUNTA(T3:T13)</f>
        <v>8</v>
      </c>
      <c r="U16" s="147">
        <f>COUNTA(U3:U13)</f>
        <v>1</v>
      </c>
      <c r="V16" s="149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8"/>
      <c r="T17" s="146"/>
      <c r="U17" s="148"/>
      <c r="V17" s="150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4</v>
      </c>
    </row>
    <row r="11" spans="1:23" s="3" customFormat="1" ht="12" customHeight="1" x14ac:dyDescent="0.25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3"/>
      <c r="T11" s="143"/>
      <c r="U11" s="144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7"/>
      <c r="S12" s="145">
        <f>COUNTA(S3:S9)</f>
        <v>5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8"/>
      <c r="S13" s="146"/>
      <c r="T13" s="148"/>
      <c r="U13" s="150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3"/>
      <c r="T11" s="143"/>
      <c r="U11" s="144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3"/>
      <c r="S12" s="153">
        <f>COUNTA(S3:S9)</f>
        <v>0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4"/>
      <c r="S13" s="154"/>
      <c r="T13" s="148"/>
      <c r="U13" s="150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tabSelected="1" view="pageBreakPreview" topLeftCell="B1" zoomScale="85" zoomScaleNormal="110" zoomScaleSheetLayoutView="85" workbookViewId="0">
      <pane ySplit="2" topLeftCell="A92" activePane="bottomLeft" state="frozen"/>
      <selection activeCell="B8" sqref="B8"/>
      <selection pane="bottomLeft" activeCell="D114" sqref="D1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4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417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418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419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420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421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422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423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415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424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>
        <v>45700</v>
      </c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11.4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412</v>
      </c>
    </row>
    <row r="106" spans="1:23" ht="22.8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>
        <v>45700</v>
      </c>
      <c r="U106" s="28"/>
      <c r="V106" s="29"/>
      <c r="W106" s="30" t="s">
        <v>426</v>
      </c>
    </row>
    <row r="107" spans="1:23" ht="22.8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>
        <v>45700</v>
      </c>
      <c r="U107" s="28"/>
      <c r="V107" s="29"/>
      <c r="W107" s="30" t="s">
        <v>425</v>
      </c>
    </row>
    <row r="108" spans="1:23" ht="22.8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>
        <v>45700</v>
      </c>
      <c r="U108" s="28"/>
      <c r="V108" s="29"/>
      <c r="W108" s="30" t="s">
        <v>427</v>
      </c>
    </row>
    <row r="109" spans="1:23" ht="22.8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 t="s">
        <v>428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>
        <v>45700</v>
      </c>
      <c r="T110" s="27"/>
      <c r="U110" s="28"/>
      <c r="V110" s="29"/>
      <c r="W110" s="30" t="s">
        <v>413</v>
      </c>
    </row>
    <row r="111" spans="1:23" ht="22.8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 t="s">
        <v>429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>
        <v>45700</v>
      </c>
      <c r="T112" s="27"/>
      <c r="U112" s="28"/>
      <c r="V112" s="29"/>
      <c r="W112" s="30" t="s">
        <v>414</v>
      </c>
    </row>
    <row r="113" spans="1:23" ht="22.8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 t="s">
        <v>430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 t="s">
        <v>416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1" t="s">
        <v>52</v>
      </c>
      <c r="T115" s="141"/>
      <c r="U115" s="142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3"/>
      <c r="T116" s="143"/>
      <c r="U116" s="144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7"/>
      <c r="S117" s="145">
        <f>COUNTA(S3:S114)</f>
        <v>91</v>
      </c>
      <c r="T117" s="147">
        <f>COUNTA(T3:T114)</f>
        <v>12</v>
      </c>
      <c r="U117" s="149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8"/>
      <c r="S118" s="146"/>
      <c r="T118" s="148"/>
      <c r="U118" s="150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1" t="s">
        <v>52</v>
      </c>
      <c r="T94" s="141"/>
      <c r="U94" s="142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3"/>
      <c r="T95" s="143"/>
      <c r="U95" s="144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7"/>
      <c r="S96" s="145">
        <f>COUNTA(S3:S91)</f>
        <v>87</v>
      </c>
      <c r="T96" s="147">
        <f>COUNTA(T3:T91)</f>
        <v>0</v>
      </c>
      <c r="U96" s="149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8"/>
      <c r="S97" s="146"/>
      <c r="T97" s="148"/>
      <c r="U97" s="150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1A985-4E3A-417E-9A69-802E3198C71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5b7a9d6-bcaa-4a9d-b1c7-8801531a7bf3"/>
    <ds:schemaRef ds:uri="e85bf11c-610f-4c75-b4c1-3f2e492bcdf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C86FDD-E823-4C7F-8C6E-48850F259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2025-02-12T08:34:21Z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