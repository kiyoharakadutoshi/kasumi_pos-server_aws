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59" documentId="13_ncr:1_{83417ED8-4D23-47BB-99B2-FB19FA0558F2}" xr6:coauthVersionLast="47" xr6:coauthVersionMax="47" xr10:uidLastSave="{530925D5-EFEA-48DC-9A34-5F536A04CCA2}"/>
  <bookViews>
    <workbookView xWindow="-108" yWindow="-108" windowWidth="23256" windowHeight="12576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<sst xmlns="http://schemas.openxmlformats.org/spreadsheetml/2006/main" count="1690" uniqueCount="431">
  <si>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</si>
  <si>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</si>
  <si>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</si>
  <si>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</si>
  <si>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</si>
  <si>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</si>
  <si>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</si>
  <si>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</si>
  <si>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</si>
  <si>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</si>
  <si>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</si>
  <si>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</si>
  <si>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</si>
  <si>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</si>
  <si>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</si>
  <si>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</si>
  <si>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</si>
  <si>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</si>
  <si>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</si>
  <si>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</si>
  <si>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</si>
  <si>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</si>
  <si>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</si>
  <si>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</si>
  <si>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</si>
  <si>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</si>
  <si>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</si>
  <si>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</si>
  <si>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</si>
  <si>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</si>
  <si>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</si>
  <si>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</si>
  <si>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</si>
  <si>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</si>
  <si>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</si>
  <si>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</si>
  <si>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</si>
  <si>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</si>
  <si>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</si>
  <si>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</si>
  <si>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</si>
  <si>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</si>
  <si>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</si>
  <si>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</si>
  <si>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</si>
  <si>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</si>
  <si>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</si>
  <si>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</si>
  <si>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</si>
  <si>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</si>
  <si>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</si>
  <si>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</si>
  <si>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</si>
  <si>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</si>
  <si>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</si>
  <si>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</si>
  <si>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</si>
  <si>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</si>
  <si>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</si>
  <si>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</si>
  <si>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</si>
  <si>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</si>
  <si>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</si>
  <si>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</si>
  <si>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</si>
  <si>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</si>
  <si>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</si>
  <si>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</si>
  <si>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</si>
  <si>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</si>
  <si>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</si>
  <si>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</si>
  <si>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</si>
  <si>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</si>
  <si>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</si>
  <si>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</si>
  <si>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</si>
  <si>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</si>
  <si>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</si>
  <si>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</si>
  <si>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</si>
  <si>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</si>
  <si>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</si>
  <si>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</si>
  <si>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</si>
  <si>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</si>
  <si>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</si>
  <si>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</si>
  <si>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</si>
  <si>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</si>
  <si>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</si>
  <si>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</si>
  <si>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</si>
  <si>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</si>
  <si>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</si>
  <si>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</si>
  <si>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</si>
  <si>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</si>
  <si>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</si>
  <si>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</si>
  <si>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</si>
  <si>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</si>
  <si>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</si>
  <si>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</si>
  <si>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</si>
  <si>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</si>
  <si>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</si>
  <si>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</si>
  <si>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</si>
  <si>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</si>
  <si>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</si>
  <si>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</si>
  <si>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</si>
  <si>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</si>
  <si>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</si>
  <si>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</si>
  <si>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</si>
  <si>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</si>
  <si>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</si>
  <si>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</si>
  <si>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</si>
  <si>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</si>
  <si>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</si>
  <si>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</si>
  <si>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</si>
  <si>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</si>
  <si>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</si>
  <si>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</si>
  <si>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</si>
  <si>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</si>
  <si>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</si>
  <si>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</si>
  <si>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</si>
  <si>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</si>
  <si>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</si>
  <si>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</si>
  <si>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</si>
  <si>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</si>
  <si>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</si>
  <si>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</si>
  <si>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</si>
  <si>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</si>
  <si>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</si>
  <si>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</si>
  <si>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</si>
  <si>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</si>
  <si>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</si>
  <si>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</si>
  <si>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</si>
  <si>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</si>
  <si>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</si>
  <si>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</si>
  <si>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</si>
  <si>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</si>
  <si>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</si>
  <si>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</si>
  <si>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</si>
  <si>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</si>
  <si>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</si>
  <si>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</si>
  <si>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</si>
  <si>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</si>
  <si>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</si>
  <si>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</si>
  <si>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</si>
  <si>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</si>
  <si>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</si>
  <si>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</si>
  <si>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</si>
  <si>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</si>
  <si>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</si>
  <si>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</si>
  <si>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</si>
  <si>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</si>
  <si>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</si>
  <si>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</si>
  <si>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</si>
  <si>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</si>
  <si>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</si>
  <si>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</si>
  <si>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</si>
  <si>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</si>
  <si>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</si>
  <si>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</si>
  <si>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</si>
  <si>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</si>
  <si>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</si>
  <si>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</si>
  <si>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</si>
  <si>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</si>
  <si>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</si>
  <si>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</si>
  <si>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</si>
  <si>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</si>
  <si>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</si>
  <si>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</si>
  <si>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</si>
  <si>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</si>
  <si>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</si>
  <si>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</si>
  <si>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</si>
  <si>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</si>
  <si>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</si>
  <si>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</si>
  <si>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</si>
  <si>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</si>
  <si>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</si>
  <si>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</si>
  <si>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</si>
  <si>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</si>
  <si>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</si>
  <si>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</si>
  <si>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</si>
  <si>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</si>
  <si>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</si>
  <si>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</si>
  <si>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</si>
  <si>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</si>
  <si>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</si>
  <si>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</si>
  <si>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</si>
  <si>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</si>
  <si>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</si>
  <si>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</si>
  <si>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</si>
  <si>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</si>
  <si>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</si>
  <si>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</si>
  <si>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</si>
  <si>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</si>
  <si>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</si>
  <si>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</si>
  <si>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</si>
  <si>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</si>
  <si>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</si>
  <si>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</si>
  <si>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</si>
  <si>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</si>
  <si>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</si>
  <si>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</si>
  <si>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</si>
  <si>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</si>
  <si>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</si>
  <si>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</si>
  <si>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</si>
  <si>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</si>
  <si>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</si>
  <si>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</si>
  <si>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</si>
  <si>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</si>
  <si>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</si>
  <si>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</si>
  <si>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</si>
  <si>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</si>
  <si>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</si>
  <si>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</si>
  <si>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</si>
  <si>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</si>
  <si>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</si>
  <si>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</si>
  <si>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</si>
  <si>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</si>
  <si>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</si>
  <si>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</si>
  <si>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</si>
  <si>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</si>
  <si>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</si>
  <si>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</si>
  <si>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</si>
  <si>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</si>
  <si>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</si>
  <si>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</si>
  <si>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</si>
  <si>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</si>
  <si>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</si>
  <si>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</si>
  <si>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</si>
  <si>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</si>
  <si>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</si>
  <si>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</si>
  <si>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</si>
  <si>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</si>
  <si>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</si>
  <si>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</si>
  <si>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</si>
  <si>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</si>
  <si>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</si>
  <si>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</si>
  <si>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</si>
  <si>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</si>
  <si>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</si>
  <si>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</si>
  <si>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</si>
  <si>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</si>
  <si>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</si>
  <si>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</si>
  <si>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</si>
  <si>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</si>
  <si>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</si>
  <si>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</si>
  <si>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</si>
  <si>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</si>
  <si>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</si>
  <si>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</si>
  <si>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</si>
  <si>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</si>
  <si>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</si>
  <si>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</si>
  <si>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</si>
  <si>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</si>
  <si>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</si>
  <si>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</si>
  <si>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</si>
  <si>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</si>
  <si>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</si>
  <si>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</si>
  <si>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</si>
  <si>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</si>
  <si>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</si>
  <si>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</si>
  <si>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</si>
  <si>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</si>
  <si>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</si>
  <si>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</si>
  <si>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</si>
  <si>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</si>
  <si>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</si>
  <si>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</si>
  <si>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</si>
  <si>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</si>
  <si>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</si>
  <si>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</si>
  <si>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</si>
  <si>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</si>
  <si>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</si>
  <si>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</si>
  <si>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</si>
  <si>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</si>
  <si>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</si>
  <si>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</si>
  <si>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</si>
  <si>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</si>
  <si>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</si>
  <si>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</si>
  <si>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</si>
  <si>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</si>
  <si>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</si>
  <si>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</si>
  <si>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</si>
  <si>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</si>
  <si>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</si>
  <si>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</si>
  <si>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</si>
  <si>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</si>
  <si>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</si>
  <si>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</si>
  <si>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</si>
  <si>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</si>
  <si>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</si>
  <si>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</si>
  <si>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</si>
  <si>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</si>
  <si>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</si>
  <si>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</si>
  <si>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</si>
  <si>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</si>
  <si>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</si>
  <si>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</si>
  <si>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</si>
  <si>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</si>
  <si>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</si>
  <si>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</si>
  <si>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</si>
  <si>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</si>
  <si>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</si>
  <si>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</si>
  <si>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</si>
  <si>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</si>
  <si>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</si>
  <si>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</si>
  <si>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</si>
  <si>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</si>
  <si>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</si>
  <si>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</si>
  <si>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</si>
  <si>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</si>
  <si>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</si>
  <si>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</si>
  <si>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</si>
  <si>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</si>
  <si>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</si>
  <si>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</si>
  <si>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</si>
  <si>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</si>
  <si>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</si>
  <si>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</si>
  <si>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</si>
  <si>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</si>
  <si>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</si>
  <si>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</si>
  <si>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</si>
  <si>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</si>
  <si>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</si>
  <si>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</si>
  <si>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</si>
  <si>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</si>
  <si>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</si>
  <si>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</si>
  <si>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</si>
  <si>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</si>
  <si>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</si>
  <si>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</si>
  <si>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</si>
  <si>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</si>
  <si>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</si>
  <si>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</si>
  <si>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</si>
  <si>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</si>
  <si>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</si>
  <si>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</si>
  <si>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</si>
  <si>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</si>
  <si>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</si>
  <si>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</si>
  <si>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</si>
  <si>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</si>
  <si>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</si>
  <si>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</si>
  <si>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</si>
  <si>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</si>
  <si>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8桁JANコードの下1桁が0になっている（2/17再テスト⇒OK）</t>
    </r>
    <rPh sb="15" eb="16">
      <t>ケタ</t>
    </rPh>
    <rPh sb="23" eb="24">
      <t>シモ</t>
    </rPh>
    <rPh sb="25" eb="26">
      <t>ケタ</t>
    </rPh>
    <rPh sb="39" eb="40">
      <t>サイ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</si>
</sst>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176" fontId="22" fillId="5" borderId="41" xfId="14" applyNumberFormat="1" applyFont="1" applyFill="1" applyBorder="1" applyAlignment="1">
      <alignment horizontal="center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6" t="s">
        <v>1</v>
      </c>
      <c r="D7" s="117"/>
      <c r="E7" s="117"/>
      <c r="F7" s="117"/>
      <c r="G7" s="117"/>
      <c r="H7" s="117"/>
      <c r="I7" s="117"/>
      <c r="J7" s="117"/>
      <c r="K7" s="118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3" t="s">
        <v>2</v>
      </c>
      <c r="D9" s="114"/>
      <c r="E9" s="114"/>
      <c r="F9" s="114"/>
      <c r="G9" s="114"/>
      <c r="H9" s="114"/>
      <c r="I9" s="114"/>
      <c r="J9" s="114"/>
      <c r="K9" s="115"/>
    </row>
    <row r="10" spans="3:11" ht="35.4" x14ac:dyDescent="0.65">
      <c r="C10" s="113" t="s">
        <v>3</v>
      </c>
      <c r="D10" s="114"/>
      <c r="E10" s="114"/>
      <c r="F10" s="114"/>
      <c r="G10" s="114"/>
      <c r="H10" s="114"/>
      <c r="I10" s="114"/>
      <c r="J10" s="114"/>
      <c r="K10" s="115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9" t="s">
        <v>4</v>
      </c>
      <c r="F18" s="119"/>
      <c r="G18" s="119"/>
      <c r="H18" s="119"/>
      <c r="I18" s="119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20" t="s">
        <v>5</v>
      </c>
      <c r="G21" s="120"/>
      <c r="H21" s="120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R16" sqref="R1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9" t="s">
        <v>10</v>
      </c>
      <c r="F1" s="13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121" t="s">
        <v>17</v>
      </c>
    </row>
    <row r="2" spans="1:24" s="1" customFormat="1" ht="22.8" x14ac:dyDescent="0.15">
      <c r="A2" s="124"/>
      <c r="B2" s="126"/>
      <c r="C2" s="128"/>
      <c r="D2" s="128"/>
      <c r="E2" s="130"/>
      <c r="F2" s="13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122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>
        <v>45702</v>
      </c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2" t="s">
        <v>52</v>
      </c>
      <c r="U18" s="142"/>
      <c r="V18" s="143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4"/>
      <c r="U19" s="144"/>
      <c r="V19" s="145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8"/>
      <c r="T20" s="146">
        <f>COUNTA(T3:T17)</f>
        <v>6</v>
      </c>
      <c r="U20" s="148">
        <f>COUNTA(U3:U17)</f>
        <v>3</v>
      </c>
      <c r="V20" s="150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9"/>
      <c r="T21" s="147"/>
      <c r="U21" s="149"/>
      <c r="V21" s="151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O8" sqref="O8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37"/>
      <c r="S1" s="140" t="s">
        <v>14</v>
      </c>
      <c r="T1" s="131" t="s">
        <v>15</v>
      </c>
      <c r="U1" s="131"/>
      <c r="V1" s="131"/>
      <c r="W1" s="121" t="s">
        <v>16</v>
      </c>
      <c r="X1" s="69"/>
    </row>
    <row r="2" spans="1:24" s="1" customFormat="1" ht="18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1"/>
      <c r="T2" s="71" t="s">
        <v>29</v>
      </c>
      <c r="U2" s="72" t="s">
        <v>30</v>
      </c>
      <c r="V2" s="73" t="s">
        <v>31</v>
      </c>
      <c r="W2" s="122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2" t="s">
        <v>52</v>
      </c>
      <c r="U14" s="142"/>
      <c r="V14" s="143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4"/>
      <c r="U15" s="144"/>
      <c r="V15" s="145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8"/>
      <c r="T16" s="146">
        <f>COUNTA(T3:T13)</f>
        <v>8</v>
      </c>
      <c r="U16" s="148">
        <f>COUNTA(U3:U13)</f>
        <v>1</v>
      </c>
      <c r="V16" s="150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9"/>
      <c r="T17" s="147"/>
      <c r="U17" s="149"/>
      <c r="V17" s="151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zoomScaleNormal="110" zoomScaleSheetLayoutView="100" workbookViewId="0">
      <pane ySplit="2" topLeftCell="A3" activePane="bottomLeft" state="frozen"/>
      <selection activeCell="B8" sqref="B8"/>
      <selection pane="bottomLeft" activeCell="G7" sqref="G7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391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2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5</v>
      </c>
    </row>
    <row r="11" spans="1:23" s="3" customFormat="1" ht="12" customHeight="1" x14ac:dyDescent="0.25">
      <c r="A11" s="44"/>
      <c r="B11" s="45" t="s">
        <v>54</v>
      </c>
      <c r="C11" s="46">
        <f>W12</f>
        <v>5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4"/>
      <c r="T11" s="144"/>
      <c r="U11" s="145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2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8"/>
      <c r="S12" s="146">
        <f>COUNTA(S3:S9)</f>
        <v>5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5"/>
        <v>5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9"/>
      <c r="S13" s="147"/>
      <c r="T13" s="149"/>
      <c r="U13" s="151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2" t="s">
        <v>52</v>
      </c>
      <c r="T10" s="142"/>
      <c r="U10" s="143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4"/>
      <c r="T11" s="144"/>
      <c r="U11" s="145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4"/>
      <c r="S12" s="154">
        <f>COUNTA(S3:S9)</f>
        <v>0</v>
      </c>
      <c r="T12" s="148">
        <f>COUNTA(T3:T9)</f>
        <v>0</v>
      </c>
      <c r="U12" s="150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5"/>
      <c r="S13" s="155"/>
      <c r="T13" s="149"/>
      <c r="U13" s="151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C1" zoomScale="85" zoomScaleNormal="110" zoomScaleSheetLayoutView="85" workbookViewId="0">
      <pane ySplit="2" topLeftCell="A95" activePane="bottomLeft" state="frozen"/>
      <selection activeCell="B8" sqref="B8"/>
      <selection pane="bottomLeft" activeCell="W111" sqref="W111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4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391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391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391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391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391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391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391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391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391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391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391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391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391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391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391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391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391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391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391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391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391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391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391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391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391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391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391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391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391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391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391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391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391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391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391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391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391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391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391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391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391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391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429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12">
        <v>45705</v>
      </c>
      <c r="T109" s="27"/>
      <c r="U109" s="28"/>
      <c r="V109" s="29"/>
      <c r="W109" s="30" t="s">
        <v>428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391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12"/>
      <c r="T111" s="27">
        <v>45705</v>
      </c>
      <c r="U111" s="28">
        <v>45706</v>
      </c>
      <c r="V111" s="29"/>
      <c r="W111" s="30" t="s">
        <v>430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391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391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391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94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2" t="s">
        <v>52</v>
      </c>
      <c r="T115" s="142"/>
      <c r="U115" s="143"/>
      <c r="V115" s="42" t="s">
        <v>53</v>
      </c>
      <c r="W115" s="43">
        <f>SUM(G115:Q115)</f>
        <v>96</v>
      </c>
    </row>
    <row r="116" spans="1:23" s="3" customFormat="1" ht="12" customHeight="1" x14ac:dyDescent="0.25">
      <c r="A116" s="44"/>
      <c r="B116" s="45" t="s">
        <v>54</v>
      </c>
      <c r="C116" s="46">
        <f>W117</f>
        <v>96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4"/>
      <c r="T116" s="144"/>
      <c r="U116" s="145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94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8"/>
      <c r="S117" s="146">
        <f>COUNTA(S3:S114)</f>
        <v>97</v>
      </c>
      <c r="T117" s="148">
        <f>COUNTA(T3:T114)</f>
        <v>13</v>
      </c>
      <c r="U117" s="150">
        <f>COUNTA(U3:U114)</f>
        <v>1</v>
      </c>
      <c r="V117" s="58" t="s">
        <v>53</v>
      </c>
      <c r="W117" s="53">
        <f t="shared" si="5"/>
        <v>96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9"/>
      <c r="S118" s="147"/>
      <c r="T118" s="149"/>
      <c r="U118" s="151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5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3" t="s">
        <v>6</v>
      </c>
      <c r="B1" s="125" t="s">
        <v>7</v>
      </c>
      <c r="C1" s="127" t="s">
        <v>8</v>
      </c>
      <c r="D1" s="127" t="s">
        <v>9</v>
      </c>
      <c r="E1" s="127" t="s">
        <v>10</v>
      </c>
      <c r="F1" s="152" t="s">
        <v>11</v>
      </c>
      <c r="G1" s="131" t="s">
        <v>12</v>
      </c>
      <c r="H1" s="131"/>
      <c r="I1" s="131"/>
      <c r="J1" s="134"/>
      <c r="K1" s="135" t="s">
        <v>13</v>
      </c>
      <c r="L1" s="136"/>
      <c r="M1" s="136"/>
      <c r="N1" s="137"/>
      <c r="O1" s="137"/>
      <c r="P1" s="137"/>
      <c r="Q1" s="137"/>
      <c r="R1" s="140" t="s">
        <v>14</v>
      </c>
      <c r="S1" s="131" t="s">
        <v>15</v>
      </c>
      <c r="T1" s="131"/>
      <c r="U1" s="131"/>
      <c r="V1" s="121" t="s">
        <v>16</v>
      </c>
      <c r="W1" s="69"/>
    </row>
    <row r="2" spans="1:23" s="1" customFormat="1" ht="15" customHeight="1" x14ac:dyDescent="0.15">
      <c r="A2" s="124"/>
      <c r="B2" s="126"/>
      <c r="C2" s="128"/>
      <c r="D2" s="128"/>
      <c r="E2" s="128"/>
      <c r="F2" s="153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1"/>
      <c r="S2" s="71" t="s">
        <v>29</v>
      </c>
      <c r="T2" s="72" t="s">
        <v>30</v>
      </c>
      <c r="U2" s="73" t="s">
        <v>31</v>
      </c>
      <c r="V2" s="122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2" t="s">
        <v>52</v>
      </c>
      <c r="T94" s="142"/>
      <c r="U94" s="143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4"/>
      <c r="T95" s="144"/>
      <c r="U95" s="145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8"/>
      <c r="S96" s="146">
        <f>COUNTA(S3:S91)</f>
        <v>87</v>
      </c>
      <c r="T96" s="148">
        <f>COUNTA(T3:T91)</f>
        <v>0</v>
      </c>
      <c r="U96" s="150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9"/>
      <c r="S97" s="147"/>
      <c r="T97" s="149"/>
      <c r="U97" s="151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C8666E-F90F-4617-9701-8C39FB9D6885}"/>
</file>

<file path=customXml/itemProps2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B1A985-4E3A-417E-9A69-802E3198C712}">
  <ds:schemaRefs>
    <ds:schemaRef ds:uri="http://schemas.microsoft.com/office/2006/documentManagement/types"/>
    <ds:schemaRef ds:uri="http://purl.org/dc/terms/"/>
    <ds:schemaRef ds:uri="55b7a9d6-bcaa-4a9d-b1c7-8801531a7bf3"/>
    <ds:schemaRef ds:uri="http://purl.org/dc/dcmitype/"/>
    <ds:schemaRef ds:uri="http://schemas.microsoft.com/office/infopath/2007/PartnerControls"/>
    <ds:schemaRef ds:uri="e85bf11c-610f-4c75-b4c1-3f2e492bcdf6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2025-02-18T00:45:18Z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