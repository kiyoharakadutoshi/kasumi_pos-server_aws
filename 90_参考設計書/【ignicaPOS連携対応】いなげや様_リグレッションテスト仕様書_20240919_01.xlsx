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3.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2"/>
  <workbookPr codeName="ThisWorkbook"/>
  <mc:AlternateContent xmlns:mc="http://schemas.openxmlformats.org/markup-compatibility/2006">
    <mc:Choice Requires="x15">
      <x15ac:absPath xmlns:x15ac="http://schemas.microsoft.com/office/spreadsheetml/2010/11/ac" url="https://fujitsu.sharepoint.com/sites/jp-inageya-POS-Support/Shared Documents/株式会社いなげや　SAシステム再構築/FUJITSU-PUBLIC/プロジェクトライブラリ/社内ＰＪメンバ/079.IgnicaPOS連携対応/500.開発/007.ST/001.テスト仕様書/"/>
    </mc:Choice>
  </mc:AlternateContent>
  <xr:revisionPtr revIDLastSave="91" documentId="13_ncr:1_{46397EEA-9EE9-4AC1-A92D-DB0EEF65A2F4}" xr6:coauthVersionLast="47" xr6:coauthVersionMax="47" xr10:uidLastSave="{E74EE4FE-7696-4D09-BD3F-B8883DBF5CD8}"/>
  <bookViews>
    <workbookView xWindow="-108" yWindow="-108" windowWidth="23256" windowHeight="12576" firstSheet="6" activeTab="6"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0" i="33" l="1"/>
  <c r="D76" i="33" s="1"/>
  <c r="J76" i="40"/>
  <c r="M76" i="40"/>
  <c r="N76" i="40"/>
  <c r="P76" i="40"/>
  <c r="K76" i="40"/>
  <c r="I76" i="40"/>
  <c r="L76" i="40"/>
  <c r="O76" i="40"/>
  <c r="L77" i="40" l="1"/>
  <c r="P77" i="40"/>
  <c r="K77" i="40"/>
  <c r="H75"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C12" i="45" s="1"/>
  <c r="E12" i="45" s="1"/>
  <c r="E56" i="37"/>
  <c r="E55" i="37"/>
  <c r="E54" i="37"/>
  <c r="E53" i="37"/>
  <c r="E52" i="37"/>
  <c r="E51" i="37"/>
  <c r="C113" i="42" l="1"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F71"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<sst xmlns="http://schemas.openxmlformats.org/spreadsheetml/2006/main" count="10746" uniqueCount="791">
  <si>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</si>
  <si>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</si>
  <si>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</si>
  <si>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</si>
  <si>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</si>
  <si>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</si>
  <si>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</si>
  <si>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</si>
  <si>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</si>
  <si>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</si>
  <si>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</si>
  <si>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</si>
  <si>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</si>
  <si>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</si>
  <si>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</si>
  <si>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</si>
  <si>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</si>
  <si>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</si>
  <si>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</si>
  <si>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</si>
  <si>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</si>
  <si>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</si>
  <si>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</si>
  <si>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</si>
  <si>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</si>
  <si>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</si>
  <si>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</si>
  <si>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</si>
  <si>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</si>
  <si>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</si>
  <si>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</si>
  <si>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</si>
  <si>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</si>
  <si>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</si>
  <si>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</si>
  <si>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</si>
  <si>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</si>
  <si>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</si>
  <si>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</si>
  <si>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</si>
  <si>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</si>
  <si>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</si>
  <si>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</si>
  <si>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</si>
  <si>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</si>
  <si>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</si>
  <si>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</si>
  <si>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</si>
  <si>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</si>
  <si>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</si>
  <si>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</si>
  <si>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</si>
  <si>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</si>
  <si>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</si>
  <si>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</si>
  <si>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</si>
  <si>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</si>
  <si>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</si>
  <si>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</si>
  <si>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</si>
  <si>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</si>
  <si>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</si>
  <si>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</si>
  <si>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</si>
  <si>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</si>
  <si>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</si>
  <si>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</si>
  <si>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</si>
  <si>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</si>
  <si>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</si>
  <si>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</si>
  <si>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</si>
  <si>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</si>
  <si>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</si>
  <si>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</si>
  <si>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</si>
  <si>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</si>
  <si>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</si>
  <si>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</si>
  <si>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</si>
  <si>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</si>
  <si>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</si>
  <si>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</si>
  <si>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</si>
  <si>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</si>
  <si>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</si>
  <si>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</si>
  <si>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</si>
  <si>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</si>
  <si>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</si>
  <si>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</si>
  <si>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</si>
  <si>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</si>
  <si>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</si>
  <si>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</si>
  <si>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</si>
  <si>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</si>
  <si>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</si>
  <si>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</si>
  <si>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</si>
  <si>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</si>
  <si>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</si>
  <si>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</si>
  <si>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</si>
  <si>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</si>
  <si>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</si>
  <si>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</si>
  <si>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</si>
  <si>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</si>
  <si>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</si>
  <si>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</si>
  <si>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</si>
  <si>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</si>
  <si>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</si>
  <si>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</si>
  <si>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</si>
  <si>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</si>
  <si>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</si>
  <si>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</si>
  <si>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</si>
  <si>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</si>
  <si>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</si>
  <si>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</si>
  <si>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</si>
  <si>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</si>
  <si>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</si>
  <si>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</si>
  <si>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</si>
  <si>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</si>
  <si>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</si>
  <si>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</si>
  <si>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</si>
  <si>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</si>
  <si>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</si>
  <si>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</si>
  <si>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</si>
  <si>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</si>
  <si>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</si>
  <si>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</si>
  <si>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</si>
  <si>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</si>
  <si>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</si>
  <si>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</si>
  <si>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</si>
  <si>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</si>
  <si>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</si>
  <si>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</si>
  <si>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</si>
  <si>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</si>
  <si>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</si>
  <si>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</si>
  <si>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</si>
  <si>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</si>
  <si>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</si>
  <si>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</si>
  <si>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</si>
  <si>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</si>
  <si>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</si>
  <si>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</si>
  <si>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</si>
  <si>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</si>
  <si>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</si>
  <si>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</si>
  <si>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</si>
  <si>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</si>
  <si>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</si>
  <si>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</si>
  <si>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</si>
  <si>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</si>
  <si>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</si>
  <si>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</si>
  <si>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</si>
  <si>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</si>
  <si>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</si>
  <si>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</si>
  <si>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</si>
  <si>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</si>
  <si>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</si>
  <si>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</si>
  <si>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</si>
  <si>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</si>
  <si>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</si>
  <si>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</si>
  <si>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</si>
  <si>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</si>
  <si>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</si>
  <si>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</si>
  <si>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</si>
  <si>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</si>
  <si>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</si>
  <si>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</si>
  <si>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</si>
  <si>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</si>
  <si>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</si>
  <si>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</si>
  <si>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</si>
  <si>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</si>
  <si>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</si>
  <si>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</si>
  <si>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</si>
  <si>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</si>
  <si>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</si>
  <si>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</si>
  <si>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</si>
  <si>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</si>
  <si>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</si>
  <si>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</si>
  <si>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</si>
  <si>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</si>
  <si>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</si>
  <si>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</si>
  <si>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</si>
  <si>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</si>
  <si>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</si>
  <si>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</si>
  <si>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</si>
  <si>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</si>
  <si>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</si>
  <si>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</si>
  <si>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</si>
  <si>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</si>
  <si>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</si>
  <si>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</si>
  <si>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</si>
  <si>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</si>
  <si>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</si>
  <si>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</si>
  <si>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</si>
  <si>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</si>
  <si>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</si>
  <si>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</si>
  <si>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</si>
  <si>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</si>
  <si>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</si>
  <si>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</si>
  <si>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</si>
  <si>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</si>
  <si>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</si>
  <si>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</si>
  <si>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</si>
  <si>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</si>
  <si>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</si>
  <si>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</si>
  <si>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</si>
  <si>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</si>
  <si>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</si>
  <si>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</si>
  <si>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</si>
  <si>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</si>
  <si>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</si>
  <si>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</si>
  <si>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</si>
  <si>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</si>
  <si>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</si>
  <si>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</si>
  <si>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</si>
  <si>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</si>
  <si>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</si>
  <si>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</si>
  <si>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</si>
  <si>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</si>
  <si>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</si>
  <si>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</si>
  <si>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</si>
  <si>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</si>
  <si>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</si>
  <si>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</si>
  <si>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</si>
  <si>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</si>
  <si>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</si>
  <si>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</si>
  <si>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</si>
  <si>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</si>
  <si>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</si>
  <si>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</si>
  <si>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</si>
  <si>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</si>
  <si>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</si>
  <si>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</si>
  <si>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</si>
  <si>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</si>
  <si>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</si>
  <si>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</si>
  <si>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</si>
  <si>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</si>
  <si>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</si>
  <si>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</si>
  <si>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</si>
  <si>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</si>
  <si>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</si>
  <si>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</si>
  <si>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</si>
  <si>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</si>
  <si>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</si>
  <si>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</si>
  <si>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</si>
  <si>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</si>
  <si>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</si>
  <si>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</si>
  <si>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</si>
  <si>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</si>
  <si>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</si>
  <si>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</si>
  <si>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</si>
  <si>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</si>
  <si>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</si>
  <si>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</si>
  <si>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</si>
  <si>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</si>
  <si>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</si>
  <si>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</si>
  <si>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2人制運用なし</t>
    <rPh sb="0" eb="3">
      <t>ニニンセイ</t>
    </rPh>
    <rPh sb="3" eb="5">
      <t>ウンヨウ</t>
    </rPh>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</si>
  <si>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</si>
  <si>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</si>
  <si>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</si>
  <si>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</si>
  <si>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</si>
  <si>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</si>
  <si>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</si>
  <si>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</si>
  <si>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</si>
  <si>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</si>
  <si>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</si>
  <si>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</si>
  <si>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</si>
  <si>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決済端末未接続のため、Vカード支払不可</t>
    <rPh sb="0" eb="4">
      <t>ケッサイタンマツ</t>
    </rPh>
    <rPh sb="4" eb="7">
      <t>ミセツゾク</t>
    </rPh>
    <rPh sb="15" eb="17">
      <t>シハライ</t>
    </rPh>
    <rPh sb="17" eb="19">
      <t>フカ</t>
    </rPh>
    <phoneticPr fontId="23"/>
  </si>
  <si>
    <t>オフライン警告印字あり</t>
    <rPh sb="5" eb="7">
      <t>ケイコク</t>
    </rPh>
    <rPh sb="7" eb="9">
      <t>インジ</t>
    </rPh>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</si>
  <si>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</si>
  <si>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</si>
  <si>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</si>
  <si>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</si>
  <si>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</si>
  <si>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</si>
  <si>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</si>
  <si>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</si>
  <si>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</si>
  <si>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</si>
  <si>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</si>
  <si>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</si>
  <si>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</si>
  <si>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</si>
  <si>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クレジットレシートのクレジット会社名印字が正しく印字されること</t>
    <phoneticPr fontId="23"/>
  </si>
  <si>
    <t>PSタッチスキャナ接続なし</t>
    <rPh sb="9" eb="11">
      <t>セツゾク</t>
    </rPh>
    <phoneticPr fontId="23"/>
  </si>
  <si>
    <t>カメラスキャナでは不可</t>
    <rPh sb="9" eb="11">
      <t>フカ</t>
    </rPh>
    <phoneticPr fontId="23"/>
  </si>
  <si>
    <t>アプリケーションエラーが表示されPOSが落ちないこと。</t>
    <phoneticPr fontId="23"/>
  </si>
  <si>
    <t>6y</t>
    <phoneticPr fontId="23"/>
  </si>
  <si>
    <t>ドロアは自動オープンしない</t>
    <rPh sb="4" eb="6">
      <t>ジドウ</t>
    </rPh>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</si>
  <si>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</si>
  <si>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</si>
  <si>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'ー</t>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</si>
  <si>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</si>
  <si>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</si>
  <si>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</si>
  <si>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</si>
  <si>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</si>
  <si>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</si>
  <si>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</si>
  <si>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</si>
  <si>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</si>
  <si>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</si>
  <si>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</si>
  <si>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</si>
  <si>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</si>
  <si>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</si>
  <si>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</si>
  <si>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</si>
  <si>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</si>
  <si>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</si>
  <si>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</si>
  <si>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</si>
  <si>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</si>
  <si>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</si>
  <si>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</si>
  <si>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</si>
  <si>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</si>
  <si>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</si>
  <si>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</si>
  <si>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</si>
  <si>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</si>
  <si>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</si>
  <si>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</si>
  <si>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</si>
  <si>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</si>
  <si>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</si>
  <si>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</si>
  <si>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</si>
  <si>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</si>
  <si>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</si>
  <si>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</si>
  <si>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</si>
  <si>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</si>
  <si>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</si>
  <si>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</si>
  <si>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</si>
  <si>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</si>
  <si>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</si>
  <si>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</si>
  <si>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</si>
  <si>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</si>
  <si>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</si>
  <si>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</si>
  <si>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</si>
  <si>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</si>
  <si>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</si>
  <si>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</si>
  <si>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</si>
  <si>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</si>
  <si>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</si>
  <si>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</si>
  <si>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</si>
  <si>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</si>
  <si>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</si>
  <si>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</si>
  <si>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</si>
  <si>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</si>
  <si>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</si>
  <si>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</si>
  <si>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</si>
  <si>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</si>
  <si>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</si>
  <si>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</si>
  <si>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</si>
  <si>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</si>
  <si>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</si>
  <si>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</si>
  <si>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</si>
  <si>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</si>
  <si>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</si>
  <si>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</si>
  <si>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</si>
  <si>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</si>
  <si>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</si>
  <si>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</si>
  <si>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</si>
  <si>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</si>
  <si>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</si>
  <si>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</si>
  <si>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</si>
  <si>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</si>
  <si>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</si>
  <si>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</si>
  <si>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</si>
  <si>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</si>
  <si>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</si>
  <si>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</si>
  <si>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</si>
  <si>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</si>
  <si>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</si>
  <si>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</si>
  <si>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</si>
  <si>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</si>
  <si>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</si>
  <si>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</si>
  <si>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</si>
  <si>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</si>
  <si>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</si>
  <si>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</si>
  <si>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</si>
  <si>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</si>
  <si>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</si>
  <si>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</si>
  <si>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</si>
  <si>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</si>
  <si>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</si>
  <si>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</si>
  <si>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</si>
  <si>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</si>
  <si>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</si>
  <si>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</si>
  <si>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</si>
  <si>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</si>
  <si>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</si>
  <si>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</si>
  <si>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</si>
  <si>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</si>
  <si>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</si>
  <si>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</si>
  <si>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</si>
  <si>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</si>
  <si>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</si>
  <si>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</si>
  <si>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</si>
  <si>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</si>
  <si>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</si>
  <si>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</si>
  <si>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</si>
  <si>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</si>
  <si>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</si>
  <si>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</si>
  <si>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</si>
  <si>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</si>
  <si>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</si>
  <si>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</si>
  <si>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</si>
  <si>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</si>
  <si>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</si>
  <si>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</si>
  <si>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</si>
  <si>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</si>
  <si>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</si>
  <si>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</si>
  <si>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</si>
  <si>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</si>
  <si>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</si>
  <si>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</si>
  <si>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</si>
  <si>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</si>
  <si>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</si>
  <si>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</si>
  <si>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</si>
  <si>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</si>
  <si>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</si>
  <si>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</si>
  <si>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</si>
  <si>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</si>
  <si>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</si>
  <si>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</si>
  <si>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</si>
  <si>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</si>
  <si>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</si>
  <si>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</si>
  <si>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</si>
  <si>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</si>
  <si>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</si>
  <si>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</si>
  <si>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</si>
  <si>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</si>
  <si>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</si>
  <si>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</si>
  <si>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</si>
  <si>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</si>
  <si>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</si>
  <si>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</si>
  <si>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</si>
  <si>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</si>
  <si>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</si>
  <si>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</si>
  <si>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</si>
  <si>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</si>
  <si>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</si>
  <si>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</si>
  <si>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</si>
  <si>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</si>
  <si>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</si>
  <si>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</si>
  <si>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</si>
  <si>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</si>
  <si>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</si>
  <si>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</si>
  <si>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</si>
  <si>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</si>
  <si>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</si>
  <si>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</si>
  <si>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</si>
  <si>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</si>
  <si>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</si>
  <si>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</si>
  <si>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</si>
  <si>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</si>
  <si>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</si>
  <si>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</si>
  <si>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</si>
  <si>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</si>
  <si>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</si>
  <si>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</si>
  <si>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</si>
  <si>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</si>
  <si>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</si>
  <si>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</si>
  <si>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</si>
  <si>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</si>
  <si>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</si>
  <si>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</si>
  <si>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</si>
  <si>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</si>
  <si>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</si>
  <si>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</si>
  <si>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</si>
  <si>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</si>
  <si>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</si>
  <si>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</si>
  <si>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</si>
  <si>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</si>
  <si>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</si>
  <si>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</si>
  <si>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</si>
  <si>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</si>
  <si>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</si>
  <si>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</si>
  <si>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</si>
  <si>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</si>
  <si>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</si>
  <si>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</si>
  <si>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</si>
  <si>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</si>
  <si>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</si>
  <si>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</si>
  <si>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</si>
  <si>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</si>
  <si>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</si>
  <si>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</si>
  <si>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</si>
  <si>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</si>
  <si>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</si>
  <si>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</si>
  <si>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</si>
  <si>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</si>
  <si>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</si>
  <si>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</si>
  <si>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</si>
  <si>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</si>
  <si>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</si>
  <si>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</si>
  <si>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</si>
  <si>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</si>
  <si>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</si>
  <si>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</si>
  <si>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</si>
  <si>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</si>
  <si>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</si>
  <si>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</si>
  <si>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</si>
  <si>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</si>
  <si>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</si>
  <si>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</si>
  <si>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</si>
  <si>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</si>
  <si>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</si>
  <si>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</si>
  <si>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</si>
  <si>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</si>
  <si>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</si>
  <si>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</si>
  <si>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</si>
  <si>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</si>
  <si>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</si>
  <si>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</si>
  <si>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</si>
  <si>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</si>
  <si>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</si>
  <si>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</si>
  <si>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</si>
  <si>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</si>
  <si>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</si>
  <si>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</si>
  <si>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</si>
  <si>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</si>
  <si>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</si>
  <si>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</si>
  <si>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</si>
  <si>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</si>
  <si>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</si>
  <si>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</si>
  <si>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</si>
  <si>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</si>
  <si>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</si>
  <si>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</si>
  <si>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</si>
  <si>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</si>
  <si>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</si>
  <si>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</si>
  <si>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</si>
  <si>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</si>
  <si>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</si>
  <si>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</si>
  <si>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SSポイント修正ボタンなし</t>
    <rPh sb="6" eb="8">
      <t>シュウセイ</t>
    </rPh>
    <phoneticPr fontId="23"/>
  </si>
  <si>
    <t>正常にマイナス処理が完了すること</t>
    <rPh sb="7" eb="9">
      <t>ショリ</t>
    </rPh>
    <rPh sb="10" eb="12">
      <t>カンリョウ</t>
    </rPh>
    <phoneticPr fontId="17"/>
  </si>
  <si>
    <t>Vカードを手入力、200円で1ポイント減産を確認</t>
    <rPh sb="5" eb="8">
      <t>テニュウリョク</t>
    </rPh>
    <rPh sb="12" eb="13">
      <t>エン</t>
    </rPh>
    <rPh sb="19" eb="21">
      <t>ゲンサン</t>
    </rPh>
    <rPh sb="22" eb="24">
      <t>カクニン</t>
    </rPh>
    <phoneticPr fontId="23"/>
  </si>
  <si>
    <t>手入力で確認</t>
    <rPh sb="0" eb="3">
      <t>テニュウリョク</t>
    </rPh>
    <rPh sb="4" eb="6">
      <t>カクニン</t>
    </rPh>
    <phoneticPr fontId="23"/>
  </si>
  <si>
    <t>パッケージ系(PS)で実施</t>
    <rPh sb="5" eb="6">
      <t>ケイ</t>
    </rPh>
    <rPh sb="11" eb="13">
      <t>ジッシ</t>
    </rPh>
    <phoneticPr fontId="23"/>
  </si>
  <si>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</si>
  <si>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</si>
  <si>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ペイメントモードではfanカード宣言Ｖカード支払不可</t>
    <rPh sb="16" eb="18">
      <t>センゲン</t>
    </rPh>
    <rPh sb="22" eb="26">
      <t>シハライフカ</t>
    </rPh>
    <phoneticPr fontId="23"/>
  </si>
  <si>
    <t>POSモード手入力可</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</si>
  <si>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</si>
  <si>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</si>
  <si>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</si>
  <si>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CS</t>
    <phoneticPr fontId="23"/>
  </si>
  <si>
    <t>フルセルフ</t>
    <phoneticPr fontId="4"/>
  </si>
  <si>
    <t>蒲田環境のVカードはIC支払はできないがIC取消は可</t>
    <rPh sb="0" eb="2">
      <t>カマタ</t>
    </rPh>
    <rPh sb="2" eb="4">
      <t>カンキョウ</t>
    </rPh>
    <rPh sb="12" eb="14">
      <t>シハライ</t>
    </rPh>
    <rPh sb="22" eb="24">
      <t>トリケシ</t>
    </rPh>
    <rPh sb="25" eb="26">
      <t>カ</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</si>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</sst>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9843"/>
  <ax:ocxPr ax:name="_cy" ax:value="3090"/>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0181"/>
  <ax:ocxPr ax:name="_cy" ax:value="3260"/>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4224"/>
  <ax:ocxPr ax:name="_cy" ax:value="2921"/>
  <ax:ocxPr ax:name="Style" ax:value="2"/>
  <ax:ocxPr ax:name="SubStyle" ax:value="0"/>
  <ax:ocxPr ax:name="Validation" ax:value="0"/>
  <ax:ocxPr ax:name="LineWeight" ax:value="3"/>
  <ax:ocxPr ax:name="Direction" ax:value="0"/>
  <ax:ocxPr ax:name="ShowData" ax:value="1"/>
  <ax:ocxPr ax:name="Value" ax:value="17011000026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638175</xdr:colOff>
      <xdr:row>6</xdr:row>
      <xdr:rowOff>438150</xdr:rowOff>
    </xdr:from>
    <xdr:to>
      <xdr:col>5</xdr:col>
      <xdr:colOff>1809750</xdr:colOff>
      <xdr:row>9</xdr:row>
      <xdr:rowOff>257175</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229100" y="3133725"/>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6</xdr:col>
          <xdr:colOff>350520</xdr:colOff>
          <xdr:row>10</xdr:row>
          <xdr:rowOff>7620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13</xdr:col>
          <xdr:colOff>533400</xdr:colOff>
          <xdr:row>9</xdr:row>
          <xdr:rowOff>160020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8</xdr:col>
          <xdr:colOff>594360</xdr:colOff>
          <xdr:row>23</xdr:row>
          <xdr:rowOff>129540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dimension ref="B2:G13"/>
  <sheetViews>
    <sheetView workbookViewId="0">
      <selection activeCell="E8" sqref="E8"/>
    </sheetView>
  </sheetViews>
  <sheetFormatPr defaultRowHeight="13.15"/>
  <cols>
    <col min="2" max="2" width="24.7109375" customWidth="1"/>
    <col min="3" max="6" width="13.85546875" customWidth="1"/>
  </cols>
  <sheetData>
    <row r="2" spans="2:7" ht="13.9" thickBot="1">
      <c r="B2" s="403"/>
      <c r="C2" s="403" t="s">
        <v>0</v>
      </c>
      <c r="D2" s="403" t="s">
        <v>1</v>
      </c>
      <c r="E2" s="403" t="s">
        <v>2</v>
      </c>
      <c r="F2" s="403" t="s">
        <v>3</v>
      </c>
    </row>
    <row r="3" spans="2:7" ht="13.9" thickTop="1">
      <c r="B3" s="410" t="s">
        <v>4</v>
      </c>
      <c r="C3" s="398">
        <f>パッケージ系!$D$109</f>
        <v>130</v>
      </c>
      <c r="D3" s="398">
        <f>パッケージ系!$D$107</f>
        <v>0</v>
      </c>
      <c r="E3" s="398">
        <f t="shared" ref="E3:E12" si="0">C3-D3</f>
        <v>130</v>
      </c>
      <c r="F3" s="411">
        <f t="shared" ref="F3:F13" si="1">D3/C3</f>
        <v>0</v>
      </c>
    </row>
    <row r="4" spans="2:7">
      <c r="B4" s="393" t="s">
        <v>5</v>
      </c>
      <c r="C4" s="399">
        <f>'パッケージ系 (SS)'!$D$109</f>
        <v>111</v>
      </c>
      <c r="D4" s="399">
        <f>'パッケージ系 (SS)'!$D$107</f>
        <v>0</v>
      </c>
      <c r="E4" s="399">
        <f t="shared" si="0"/>
        <v>111</v>
      </c>
      <c r="F4" s="394">
        <f t="shared" si="1"/>
        <v>0</v>
      </c>
    </row>
    <row r="5" spans="2:7">
      <c r="B5" s="404" t="s">
        <v>6</v>
      </c>
      <c r="C5" s="405"/>
      <c r="D5" s="405"/>
      <c r="E5" s="405">
        <f t="shared" si="0"/>
        <v>0</v>
      </c>
      <c r="F5" s="406" t="e">
        <f t="shared" si="1"/>
        <v>#DIV/0!</v>
      </c>
      <c r="G5" t="s">
        <v>7</v>
      </c>
    </row>
    <row r="6" spans="2:7">
      <c r="B6" s="393" t="s">
        <v>8</v>
      </c>
      <c r="C6" s="399">
        <f>'パッケージ系 (PS)'!$D$109</f>
        <v>128</v>
      </c>
      <c r="D6" s="399">
        <f>'パッケージ系 (PS)'!$D$107</f>
        <v>0</v>
      </c>
      <c r="E6" s="398">
        <f t="shared" si="0"/>
        <v>128</v>
      </c>
      <c r="F6" s="394">
        <f t="shared" si="1"/>
        <v>0</v>
      </c>
    </row>
    <row r="7" spans="2:7">
      <c r="B7" s="393" t="s">
        <v>9</v>
      </c>
      <c r="C7" s="399">
        <v>56</v>
      </c>
      <c r="D7" s="399">
        <v>56</v>
      </c>
      <c r="E7" s="399">
        <f t="shared" si="0"/>
        <v>0</v>
      </c>
      <c r="F7" s="394">
        <f t="shared" si="1"/>
        <v>1</v>
      </c>
    </row>
    <row r="8" spans="2:7">
      <c r="B8" s="393" t="s">
        <v>10</v>
      </c>
      <c r="C8" s="399">
        <f>Win10対応_POS!$D$94</f>
        <v>204</v>
      </c>
      <c r="D8" s="399">
        <f>Win10対応_POS!$D$92</f>
        <v>0</v>
      </c>
      <c r="E8" s="399">
        <f t="shared" si="0"/>
        <v>204</v>
      </c>
      <c r="F8" s="394">
        <f t="shared" si="1"/>
        <v>0</v>
      </c>
    </row>
    <row r="9" spans="2:7">
      <c r="B9" s="393" t="s">
        <v>11</v>
      </c>
      <c r="C9" s="399">
        <f>Win10対応_SS!$D$76</f>
        <v>47</v>
      </c>
      <c r="D9" s="399">
        <f>Win10対応_SS!$D$74</f>
        <v>0</v>
      </c>
      <c r="E9" s="399">
        <f t="shared" si="0"/>
        <v>47</v>
      </c>
      <c r="F9" s="394">
        <f t="shared" si="1"/>
        <v>0</v>
      </c>
    </row>
    <row r="10" spans="2:7">
      <c r="B10" s="393" t="s">
        <v>12</v>
      </c>
      <c r="C10" s="399">
        <f>Win10対応_PS!$D$76</f>
        <v>159</v>
      </c>
      <c r="D10" s="399">
        <f>Win10対応_PS!$D$74</f>
        <v>0</v>
      </c>
      <c r="E10" s="398">
        <f t="shared" si="0"/>
        <v>159</v>
      </c>
      <c r="F10" s="394">
        <f t="shared" si="1"/>
        <v>0</v>
      </c>
    </row>
    <row r="11" spans="2:7">
      <c r="B11" s="393" t="s">
        <v>13</v>
      </c>
      <c r="C11" s="399">
        <f>Win10対応_フルセルフ!$D$77</f>
        <v>184</v>
      </c>
      <c r="D11" s="399">
        <f>Win10対応_フルセルフ!$D$75</f>
        <v>0</v>
      </c>
      <c r="E11" s="398">
        <f t="shared" si="0"/>
        <v>184</v>
      </c>
      <c r="F11" s="394">
        <f t="shared" si="1"/>
        <v>0</v>
      </c>
    </row>
    <row r="12" spans="2:7" ht="13.9" thickBot="1">
      <c r="B12" s="395" t="s">
        <v>14</v>
      </c>
      <c r="C12" s="400">
        <f>Win10対応_サーバ!$D$25</f>
        <v>32</v>
      </c>
      <c r="D12" s="400">
        <f>Win10対応_サーバ!$D$23</f>
        <v>0</v>
      </c>
      <c r="E12" s="400">
        <f t="shared" si="0"/>
        <v>32</v>
      </c>
      <c r="F12" s="396">
        <f t="shared" si="1"/>
        <v>0</v>
      </c>
    </row>
    <row r="13" spans="2:7" ht="13.9" thickTop="1">
      <c r="B13" s="397" t="s">
        <v>15</v>
      </c>
      <c r="C13" s="401">
        <f>SUM(C3:C12)</f>
        <v>1051</v>
      </c>
      <c r="D13" s="401">
        <f>SUM(D3:D12)</f>
        <v>56</v>
      </c>
      <c r="E13" s="401">
        <f>SUM(E3:E12)</f>
        <v>995</v>
      </c>
      <c r="F13" s="402">
        <f t="shared" si="1"/>
        <v>5.3282588011417699E-2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5546875" defaultRowHeight="13.15"/>
  <cols>
    <col min="1" max="16384" width="8.85546875" style="1"/>
  </cols>
  <sheetData>
    <row r="1" spans="1:22">
      <c r="A1" s="131"/>
      <c r="B1" s="131"/>
      <c r="C1" s="131"/>
      <c r="D1" s="131"/>
      <c r="E1" s="131"/>
      <c r="F1" s="131"/>
      <c r="G1" s="131"/>
      <c r="H1" s="131"/>
      <c r="I1" s="131"/>
      <c r="J1" s="131"/>
      <c r="K1" s="131"/>
      <c r="L1" s="131"/>
      <c r="M1" s="131"/>
    </row>
    <row r="2" spans="1:22">
      <c r="A2" s="131"/>
      <c r="B2" s="131"/>
      <c r="C2" s="131"/>
      <c r="D2" s="131"/>
      <c r="E2" s="131"/>
      <c r="F2" s="131"/>
      <c r="G2" s="131"/>
      <c r="H2" s="131"/>
      <c r="I2" s="131"/>
      <c r="J2" s="131"/>
      <c r="K2" s="131"/>
      <c r="L2" s="131"/>
      <c r="M2" s="131"/>
    </row>
    <row r="3" spans="1:22" ht="13.9" thickBot="1">
      <c r="A3" s="131"/>
      <c r="B3" s="131"/>
      <c r="C3" s="131"/>
      <c r="D3" s="131"/>
      <c r="E3" s="131"/>
      <c r="F3" s="131"/>
      <c r="G3" s="131"/>
      <c r="H3" s="131"/>
      <c r="I3" s="131"/>
      <c r="J3" s="131"/>
      <c r="K3" s="131"/>
      <c r="L3" s="131"/>
      <c r="M3" s="131"/>
    </row>
    <row r="4" spans="1:22" ht="16.899999999999999" thickTop="1">
      <c r="A4" s="131"/>
      <c r="B4" s="131"/>
      <c r="C4" s="132" t="s">
        <v>16</v>
      </c>
      <c r="D4" s="133"/>
      <c r="E4" s="133"/>
      <c r="F4" s="133"/>
      <c r="G4" s="133"/>
      <c r="H4" s="133"/>
      <c r="I4" s="133"/>
      <c r="J4" s="133"/>
      <c r="K4" s="134"/>
      <c r="L4" s="131"/>
      <c r="M4" s="131"/>
    </row>
    <row r="5" spans="1:22">
      <c r="A5" s="131"/>
      <c r="B5" s="131"/>
      <c r="C5" s="135"/>
      <c r="D5" s="131"/>
      <c r="E5" s="131"/>
      <c r="F5" s="131"/>
      <c r="G5" s="131"/>
      <c r="H5" s="131"/>
      <c r="I5" s="131"/>
      <c r="J5" s="131"/>
      <c r="K5" s="136"/>
      <c r="L5" s="131"/>
      <c r="M5" s="131"/>
      <c r="S5" s="2"/>
      <c r="V5" s="3"/>
    </row>
    <row r="6" spans="1:22">
      <c r="A6" s="131"/>
      <c r="B6" s="131"/>
      <c r="C6" s="135"/>
      <c r="D6" s="131"/>
      <c r="E6" s="131"/>
      <c r="F6" s="131"/>
      <c r="G6" s="131"/>
      <c r="H6" s="131"/>
      <c r="I6" s="131"/>
      <c r="J6" s="131"/>
      <c r="K6" s="136"/>
      <c r="L6" s="131"/>
      <c r="M6" s="131"/>
    </row>
    <row r="7" spans="1:22" ht="30">
      <c r="A7" s="131"/>
      <c r="B7" s="131"/>
      <c r="C7" s="421" t="s">
        <v>17</v>
      </c>
      <c r="D7" s="422"/>
      <c r="E7" s="422"/>
      <c r="F7" s="422"/>
      <c r="G7" s="422"/>
      <c r="H7" s="422"/>
      <c r="I7" s="422"/>
      <c r="J7" s="422"/>
      <c r="K7" s="423"/>
      <c r="L7" s="131"/>
      <c r="M7" s="131"/>
      <c r="O7" s="4"/>
    </row>
    <row r="8" spans="1:22">
      <c r="A8" s="131"/>
      <c r="B8" s="131"/>
      <c r="C8" s="135"/>
      <c r="D8" s="131"/>
      <c r="E8" s="131"/>
      <c r="F8" s="131"/>
      <c r="G8" s="131"/>
      <c r="H8" s="131"/>
      <c r="I8" s="131"/>
      <c r="J8" s="131"/>
      <c r="K8" s="136"/>
      <c r="L8" s="131"/>
      <c r="M8" s="131"/>
    </row>
    <row r="9" spans="1:22" ht="24" thickBot="1">
      <c r="A9" s="131"/>
      <c r="B9" s="131"/>
      <c r="C9" s="424" t="s">
        <v>18</v>
      </c>
      <c r="D9" s="425"/>
      <c r="E9" s="425"/>
      <c r="F9" s="425"/>
      <c r="G9" s="425"/>
      <c r="H9" s="425"/>
      <c r="I9" s="425"/>
      <c r="J9" s="425"/>
      <c r="K9" s="426"/>
      <c r="L9" s="131"/>
      <c r="M9" s="131"/>
    </row>
    <row r="10" spans="1:22" ht="13.9" thickTop="1">
      <c r="A10" s="131"/>
      <c r="B10" s="131"/>
      <c r="C10" s="131"/>
      <c r="D10" s="131"/>
      <c r="E10" s="131"/>
      <c r="F10" s="131"/>
      <c r="G10" s="131"/>
      <c r="H10" s="131"/>
      <c r="I10" s="131"/>
      <c r="J10" s="131"/>
      <c r="K10" s="131"/>
      <c r="L10" s="131"/>
      <c r="M10" s="131"/>
    </row>
    <row r="11" spans="1:22">
      <c r="A11" s="131"/>
      <c r="B11" s="131"/>
      <c r="C11" s="131"/>
      <c r="D11" s="131"/>
      <c r="E11" s="131"/>
      <c r="F11" s="131"/>
      <c r="G11" s="131"/>
      <c r="H11" s="131"/>
      <c r="I11" s="131"/>
      <c r="J11" s="131"/>
      <c r="K11" s="131"/>
      <c r="L11" s="131"/>
      <c r="M11" s="131"/>
    </row>
    <row r="12" spans="1:22">
      <c r="A12" s="131"/>
      <c r="B12" s="131"/>
      <c r="C12" s="131"/>
      <c r="D12" s="131"/>
      <c r="E12" s="131"/>
      <c r="F12" s="131"/>
      <c r="G12" s="131"/>
      <c r="H12" s="131"/>
      <c r="I12" s="131"/>
      <c r="J12" s="131"/>
      <c r="K12" s="131"/>
      <c r="L12" s="131"/>
      <c r="M12" s="131"/>
    </row>
    <row r="13" spans="1:22">
      <c r="A13" s="131"/>
      <c r="B13" s="131"/>
      <c r="C13" s="131"/>
      <c r="D13" s="131"/>
      <c r="E13" s="131"/>
      <c r="F13" s="131"/>
      <c r="G13" s="131"/>
      <c r="H13" s="131"/>
      <c r="I13" s="131"/>
      <c r="J13" s="131"/>
      <c r="K13" s="131"/>
      <c r="L13" s="131"/>
      <c r="M13" s="131"/>
    </row>
    <row r="14" spans="1:22">
      <c r="A14" s="131"/>
      <c r="B14" s="131"/>
      <c r="C14" s="131"/>
      <c r="D14" s="131"/>
      <c r="E14" s="131"/>
      <c r="F14" s="131"/>
      <c r="G14" s="131"/>
      <c r="H14" s="131"/>
      <c r="I14" s="131"/>
      <c r="J14" s="131"/>
      <c r="K14" s="131"/>
      <c r="L14" s="131"/>
      <c r="M14" s="131"/>
    </row>
    <row r="15" spans="1:22" ht="16.149999999999999">
      <c r="A15" s="131"/>
      <c r="B15" s="131"/>
      <c r="C15" s="131"/>
      <c r="D15" s="131"/>
      <c r="E15" s="428" t="s">
        <v>19</v>
      </c>
      <c r="F15" s="428"/>
      <c r="G15" s="428"/>
      <c r="H15" s="428"/>
      <c r="I15" s="428"/>
      <c r="J15" s="131"/>
      <c r="K15" s="131"/>
      <c r="L15" s="131"/>
      <c r="M15" s="131"/>
    </row>
    <row r="16" spans="1:22">
      <c r="A16" s="131"/>
      <c r="B16" s="131"/>
      <c r="C16" s="131"/>
      <c r="D16" s="131"/>
      <c r="E16" s="131"/>
      <c r="F16" s="131"/>
      <c r="G16" s="131"/>
      <c r="H16" s="131"/>
      <c r="I16" s="131"/>
      <c r="J16" s="131"/>
      <c r="K16" s="131"/>
      <c r="L16" s="131"/>
      <c r="M16" s="131"/>
    </row>
    <row r="17" spans="1:13">
      <c r="A17" s="131"/>
      <c r="B17" s="131"/>
      <c r="C17" s="131"/>
      <c r="D17" s="131"/>
      <c r="E17" s="131"/>
      <c r="F17" s="131"/>
      <c r="G17" s="131"/>
      <c r="H17" s="131"/>
      <c r="I17" s="131"/>
      <c r="J17" s="131"/>
      <c r="K17" s="131"/>
      <c r="L17" s="131"/>
      <c r="M17" s="131"/>
    </row>
    <row r="18" spans="1:13">
      <c r="A18" s="131"/>
      <c r="B18" s="131"/>
      <c r="C18" s="131"/>
      <c r="D18" s="131"/>
      <c r="E18" s="131"/>
      <c r="F18" s="131"/>
      <c r="G18" s="131"/>
      <c r="H18" s="131"/>
      <c r="I18" s="131"/>
      <c r="J18" s="131"/>
      <c r="K18" s="131"/>
      <c r="L18" s="131"/>
      <c r="M18" s="131"/>
    </row>
    <row r="19" spans="1:13">
      <c r="A19" s="131"/>
      <c r="B19" s="131"/>
      <c r="C19" s="131"/>
      <c r="D19" s="131"/>
      <c r="E19" s="131"/>
      <c r="F19" s="131"/>
      <c r="G19" s="131"/>
      <c r="H19" s="131"/>
      <c r="I19" s="131"/>
      <c r="J19" s="131"/>
      <c r="K19" s="131"/>
      <c r="L19" s="131"/>
      <c r="M19" s="131"/>
    </row>
    <row r="20" spans="1:13">
      <c r="A20" s="131"/>
      <c r="B20" s="131"/>
      <c r="C20" s="131"/>
      <c r="D20" s="131"/>
      <c r="E20" s="131"/>
      <c r="F20" s="131"/>
      <c r="G20" s="131"/>
      <c r="H20" s="131"/>
      <c r="I20" s="131"/>
      <c r="J20" s="131"/>
      <c r="K20" s="131"/>
      <c r="L20" s="131"/>
      <c r="M20" s="131"/>
    </row>
    <row r="21" spans="1:13">
      <c r="A21" s="131"/>
      <c r="B21" s="131"/>
      <c r="C21" s="131"/>
      <c r="D21" s="131"/>
      <c r="E21" s="131"/>
      <c r="F21" s="131"/>
      <c r="G21" s="131"/>
      <c r="H21" s="131"/>
      <c r="I21" s="131"/>
      <c r="J21" s="131"/>
      <c r="K21" s="131"/>
      <c r="L21" s="131"/>
      <c r="M21" s="131"/>
    </row>
    <row r="22" spans="1:13">
      <c r="A22" s="131"/>
      <c r="B22" s="131"/>
      <c r="C22" s="131"/>
      <c r="D22" s="131"/>
      <c r="E22" s="131"/>
      <c r="F22" s="131"/>
      <c r="G22" s="131"/>
      <c r="H22" s="131"/>
      <c r="I22" s="131"/>
      <c r="J22" s="131"/>
      <c r="K22" s="131"/>
      <c r="L22" s="131"/>
      <c r="M22" s="131"/>
    </row>
    <row r="23" spans="1:13">
      <c r="A23" s="131"/>
      <c r="B23" s="131"/>
      <c r="C23" s="131"/>
      <c r="D23" s="131"/>
      <c r="E23" s="131"/>
      <c r="F23" s="131"/>
      <c r="G23" s="131"/>
      <c r="H23" s="131"/>
      <c r="I23" s="131"/>
      <c r="J23" s="131"/>
      <c r="K23" s="131"/>
      <c r="L23" s="131"/>
      <c r="M23" s="131"/>
    </row>
    <row r="24" spans="1:13">
      <c r="A24" s="131"/>
      <c r="B24" s="131"/>
      <c r="C24" s="131"/>
      <c r="D24" s="131"/>
      <c r="E24" s="131"/>
      <c r="F24" s="131"/>
      <c r="G24" s="131"/>
      <c r="H24" s="131"/>
      <c r="I24" s="131"/>
      <c r="J24" s="131"/>
      <c r="K24" s="131"/>
      <c r="L24" s="131"/>
      <c r="M24" s="131"/>
    </row>
    <row r="25" spans="1:13">
      <c r="A25" s="131"/>
      <c r="B25" s="131"/>
      <c r="C25" s="131"/>
      <c r="D25" s="131"/>
      <c r="E25" s="131"/>
      <c r="F25" s="131"/>
      <c r="G25" s="131"/>
      <c r="H25" s="131"/>
      <c r="I25" s="131"/>
      <c r="J25" s="131"/>
      <c r="K25" s="131"/>
      <c r="L25" s="131"/>
      <c r="M25" s="131"/>
    </row>
    <row r="26" spans="1:13" ht="23.45">
      <c r="A26" s="131"/>
      <c r="B26" s="131"/>
      <c r="C26" s="131"/>
      <c r="D26" s="131"/>
      <c r="E26" s="131"/>
      <c r="F26" s="427" t="s">
        <v>20</v>
      </c>
      <c r="G26" s="427"/>
      <c r="H26" s="427"/>
      <c r="I26" s="137"/>
      <c r="J26" s="137"/>
      <c r="K26" s="137"/>
      <c r="L26" s="131"/>
      <c r="M26" s="131"/>
    </row>
    <row r="27" spans="1:13" ht="16.149999999999999">
      <c r="A27" s="131"/>
      <c r="B27" s="427" t="s">
        <v>21</v>
      </c>
      <c r="C27" s="427"/>
      <c r="D27" s="427"/>
      <c r="E27" s="427"/>
      <c r="F27" s="427"/>
      <c r="G27" s="427"/>
      <c r="H27" s="427"/>
      <c r="I27" s="427"/>
      <c r="J27" s="427"/>
      <c r="K27" s="427"/>
      <c r="L27" s="427"/>
      <c r="M27" s="131"/>
    </row>
    <row r="28" spans="1:13" ht="16.149999999999999">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R91"/>
  <sheetViews>
    <sheetView view="pageBreakPreview" zoomScale="80" zoomScaleNormal="100" zoomScaleSheetLayoutView="80" workbookViewId="0">
      <selection activeCell="AM22" sqref="AM22:AP25"/>
    </sheetView>
  </sheetViews>
  <sheetFormatPr defaultColWidth="2.7109375" defaultRowHeight="12" customHeight="1"/>
  <cols>
    <col min="1" max="7" width="2.7109375" style="7"/>
    <col min="8" max="8" width="2.7109375" style="39"/>
    <col min="9" max="10" width="2.7109375" style="7"/>
    <col min="11" max="11" width="2.7109375" style="37"/>
    <col min="12" max="16384" width="2.7109375" style="7"/>
  </cols>
  <sheetData>
    <row r="1" spans="1:44" ht="12" customHeight="1" thickBot="1">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c r="A2" s="5"/>
      <c r="B2" s="439" t="s">
        <v>22</v>
      </c>
      <c r="C2" s="440"/>
      <c r="D2" s="440"/>
      <c r="E2" s="440"/>
      <c r="F2" s="440"/>
      <c r="G2" s="440"/>
      <c r="H2" s="440"/>
      <c r="I2" s="440"/>
      <c r="J2" s="440"/>
      <c r="K2" s="440"/>
      <c r="L2" s="440"/>
      <c r="M2" s="440"/>
      <c r="N2" s="441"/>
      <c r="O2" s="442" t="s">
        <v>23</v>
      </c>
      <c r="P2" s="436"/>
      <c r="Q2" s="436"/>
      <c r="R2" s="436"/>
      <c r="S2" s="436"/>
      <c r="T2" s="443"/>
      <c r="U2" s="435" t="s">
        <v>24</v>
      </c>
      <c r="V2" s="436"/>
      <c r="W2" s="436"/>
      <c r="X2" s="436"/>
      <c r="Y2" s="436"/>
      <c r="Z2" s="429" t="s">
        <v>25</v>
      </c>
      <c r="AA2" s="430"/>
      <c r="AB2" s="430"/>
      <c r="AC2" s="430"/>
      <c r="AD2" s="430"/>
      <c r="AE2" s="430"/>
      <c r="AF2" s="430"/>
      <c r="AG2" s="430"/>
      <c r="AH2" s="430"/>
      <c r="AI2" s="431"/>
      <c r="AJ2" s="8"/>
      <c r="AK2" s="9"/>
      <c r="AL2" s="9"/>
      <c r="AM2" s="9"/>
      <c r="AN2" s="9"/>
      <c r="AO2" s="9"/>
      <c r="AP2" s="9"/>
      <c r="AQ2" s="10"/>
      <c r="AR2" s="139"/>
    </row>
    <row r="3" spans="1:44" ht="12" customHeight="1" thickBot="1">
      <c r="A3" s="5"/>
      <c r="B3" s="446"/>
      <c r="C3" s="447"/>
      <c r="D3" s="447"/>
      <c r="E3" s="447"/>
      <c r="F3" s="447"/>
      <c r="G3" s="447"/>
      <c r="H3" s="447"/>
      <c r="I3" s="447"/>
      <c r="J3" s="447"/>
      <c r="K3" s="447"/>
      <c r="L3" s="447"/>
      <c r="M3" s="447"/>
      <c r="N3" s="448"/>
      <c r="O3" s="444" t="s">
        <v>26</v>
      </c>
      <c r="P3" s="438"/>
      <c r="Q3" s="438"/>
      <c r="R3" s="438"/>
      <c r="S3" s="438"/>
      <c r="T3" s="445"/>
      <c r="U3" s="437"/>
      <c r="V3" s="438"/>
      <c r="W3" s="438"/>
      <c r="X3" s="438"/>
      <c r="Y3" s="438"/>
      <c r="Z3" s="432"/>
      <c r="AA3" s="433"/>
      <c r="AB3" s="433"/>
      <c r="AC3" s="433"/>
      <c r="AD3" s="433"/>
      <c r="AE3" s="433"/>
      <c r="AF3" s="433"/>
      <c r="AG3" s="433"/>
      <c r="AH3" s="433"/>
      <c r="AI3" s="434"/>
      <c r="AJ3" s="11"/>
      <c r="AK3" s="12"/>
      <c r="AL3" s="13"/>
      <c r="AM3" s="13"/>
      <c r="AN3" s="13"/>
      <c r="AO3" s="13"/>
      <c r="AP3" s="12"/>
      <c r="AQ3" s="14"/>
      <c r="AR3" s="139"/>
    </row>
    <row r="4" spans="1:44" ht="12" customHeight="1" thickTop="1">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c r="A8" s="5"/>
      <c r="B8" s="19"/>
      <c r="C8" s="457" t="s">
        <v>28</v>
      </c>
      <c r="D8" s="452"/>
      <c r="E8" s="452"/>
      <c r="F8" s="458"/>
      <c r="G8" s="451" t="s">
        <v>29</v>
      </c>
      <c r="H8" s="458"/>
      <c r="I8" s="461" t="s">
        <v>30</v>
      </c>
      <c r="J8" s="462"/>
      <c r="K8" s="463"/>
      <c r="L8" s="451" t="s">
        <v>31</v>
      </c>
      <c r="M8" s="452"/>
      <c r="N8" s="452"/>
      <c r="O8" s="452"/>
      <c r="P8" s="452"/>
      <c r="Q8" s="452"/>
      <c r="R8" s="452"/>
      <c r="S8" s="452"/>
      <c r="T8" s="452"/>
      <c r="U8" s="452"/>
      <c r="V8" s="452"/>
      <c r="W8" s="452"/>
      <c r="X8" s="452"/>
      <c r="Y8" s="452"/>
      <c r="Z8" s="452"/>
      <c r="AA8" s="452"/>
      <c r="AB8" s="452"/>
      <c r="AC8" s="452"/>
      <c r="AD8" s="452"/>
      <c r="AE8" s="452"/>
      <c r="AF8" s="452"/>
      <c r="AG8" s="452"/>
      <c r="AH8" s="452"/>
      <c r="AI8" s="452"/>
      <c r="AJ8" s="452"/>
      <c r="AK8" s="452"/>
      <c r="AL8" s="458"/>
      <c r="AM8" s="451" t="s">
        <v>32</v>
      </c>
      <c r="AN8" s="452"/>
      <c r="AO8" s="452"/>
      <c r="AP8" s="453"/>
      <c r="AQ8" s="20"/>
      <c r="AR8" s="139"/>
    </row>
    <row r="9" spans="1:44" ht="12" customHeight="1">
      <c r="A9" s="5"/>
      <c r="B9" s="18"/>
      <c r="C9" s="459"/>
      <c r="D9" s="455"/>
      <c r="E9" s="455"/>
      <c r="F9" s="460"/>
      <c r="G9" s="454"/>
      <c r="H9" s="460"/>
      <c r="I9" s="464"/>
      <c r="J9" s="465"/>
      <c r="K9" s="466"/>
      <c r="L9" s="454"/>
      <c r="M9" s="455"/>
      <c r="N9" s="455"/>
      <c r="O9" s="455"/>
      <c r="P9" s="455"/>
      <c r="Q9" s="455"/>
      <c r="R9" s="455"/>
      <c r="S9" s="455"/>
      <c r="T9" s="455"/>
      <c r="U9" s="455"/>
      <c r="V9" s="455"/>
      <c r="W9" s="455"/>
      <c r="X9" s="455"/>
      <c r="Y9" s="455"/>
      <c r="Z9" s="455"/>
      <c r="AA9" s="455"/>
      <c r="AB9" s="455"/>
      <c r="AC9" s="455"/>
      <c r="AD9" s="455"/>
      <c r="AE9" s="455"/>
      <c r="AF9" s="455"/>
      <c r="AG9" s="455"/>
      <c r="AH9" s="455"/>
      <c r="AI9" s="455"/>
      <c r="AJ9" s="455"/>
      <c r="AK9" s="455"/>
      <c r="AL9" s="460"/>
      <c r="AM9" s="454"/>
      <c r="AN9" s="455"/>
      <c r="AO9" s="455"/>
      <c r="AP9" s="456"/>
      <c r="AQ9" s="21"/>
      <c r="AR9" s="139"/>
    </row>
    <row r="10" spans="1:44" ht="12" customHeight="1">
      <c r="A10" s="5"/>
      <c r="B10" s="18"/>
      <c r="C10" s="467">
        <v>43650</v>
      </c>
      <c r="D10" s="468"/>
      <c r="E10" s="468"/>
      <c r="F10" s="469"/>
      <c r="G10" s="473">
        <v>1</v>
      </c>
      <c r="H10" s="47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77" t="s">
        <v>34</v>
      </c>
      <c r="AN10" s="478"/>
      <c r="AO10" s="478"/>
      <c r="AP10" s="479"/>
      <c r="AQ10" s="17"/>
      <c r="AR10" s="139"/>
    </row>
    <row r="11" spans="1:44" ht="12" customHeight="1">
      <c r="A11" s="5"/>
      <c r="B11" s="18"/>
      <c r="C11" s="470"/>
      <c r="D11" s="471"/>
      <c r="E11" s="471"/>
      <c r="F11" s="472"/>
      <c r="G11" s="475"/>
      <c r="H11" s="47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80"/>
      <c r="AN11" s="481"/>
      <c r="AO11" s="481"/>
      <c r="AP11" s="482"/>
      <c r="AQ11" s="17"/>
      <c r="AR11" s="139"/>
    </row>
    <row r="12" spans="1:44" ht="12" customHeight="1">
      <c r="A12" s="5"/>
      <c r="B12" s="18"/>
      <c r="C12" s="467">
        <v>44225</v>
      </c>
      <c r="D12" s="468"/>
      <c r="E12" s="468"/>
      <c r="F12" s="469"/>
      <c r="G12" s="473">
        <v>1.1000000000000001</v>
      </c>
      <c r="H12" s="47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77" t="s">
        <v>34</v>
      </c>
      <c r="AN12" s="478"/>
      <c r="AO12" s="478"/>
      <c r="AP12" s="479"/>
      <c r="AQ12" s="17"/>
      <c r="AR12" s="139"/>
    </row>
    <row r="13" spans="1:44" ht="12" customHeight="1">
      <c r="A13" s="5"/>
      <c r="B13" s="18"/>
      <c r="C13" s="470"/>
      <c r="D13" s="471"/>
      <c r="E13" s="471"/>
      <c r="F13" s="472"/>
      <c r="G13" s="475"/>
      <c r="H13" s="47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80"/>
      <c r="AN13" s="481"/>
      <c r="AO13" s="481"/>
      <c r="AP13" s="482"/>
      <c r="AQ13" s="17"/>
      <c r="AR13" s="139"/>
    </row>
    <row r="14" spans="1:44" ht="12" customHeight="1">
      <c r="A14" s="5"/>
      <c r="B14" s="18"/>
      <c r="C14" s="467">
        <v>44229</v>
      </c>
      <c r="D14" s="468"/>
      <c r="E14" s="468"/>
      <c r="F14" s="469"/>
      <c r="G14" s="473">
        <v>1.2</v>
      </c>
      <c r="H14" s="47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77" t="s">
        <v>34</v>
      </c>
      <c r="AN14" s="478"/>
      <c r="AO14" s="478"/>
      <c r="AP14" s="479"/>
      <c r="AQ14" s="17"/>
      <c r="AR14" s="139"/>
    </row>
    <row r="15" spans="1:44" ht="12" customHeight="1">
      <c r="A15" s="5"/>
      <c r="B15" s="18"/>
      <c r="C15" s="470"/>
      <c r="D15" s="471"/>
      <c r="E15" s="471"/>
      <c r="F15" s="472"/>
      <c r="G15" s="475"/>
      <c r="H15" s="47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80"/>
      <c r="AN15" s="481"/>
      <c r="AO15" s="481"/>
      <c r="AP15" s="482"/>
      <c r="AQ15" s="17"/>
      <c r="AR15" s="139"/>
    </row>
    <row r="16" spans="1:44" ht="12" customHeight="1">
      <c r="A16" s="5"/>
      <c r="B16" s="18"/>
      <c r="C16" s="467">
        <v>44230</v>
      </c>
      <c r="D16" s="468"/>
      <c r="E16" s="468"/>
      <c r="F16" s="469"/>
      <c r="G16" s="473">
        <v>1.3</v>
      </c>
      <c r="H16" s="47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77" t="s">
        <v>34</v>
      </c>
      <c r="AN16" s="478"/>
      <c r="AO16" s="478"/>
      <c r="AP16" s="479"/>
      <c r="AQ16" s="17"/>
      <c r="AR16" s="139"/>
    </row>
    <row r="17" spans="1:44" ht="12" customHeight="1">
      <c r="A17" s="5"/>
      <c r="B17" s="18"/>
      <c r="C17" s="470"/>
      <c r="D17" s="471"/>
      <c r="E17" s="471"/>
      <c r="F17" s="472"/>
      <c r="G17" s="475"/>
      <c r="H17" s="47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80"/>
      <c r="AN17" s="481"/>
      <c r="AO17" s="481"/>
      <c r="AP17" s="482"/>
      <c r="AQ17" s="17"/>
      <c r="AR17" s="139"/>
    </row>
    <row r="18" spans="1:44" ht="12" customHeight="1">
      <c r="A18" s="5"/>
      <c r="B18" s="18"/>
      <c r="C18" s="467">
        <v>44245</v>
      </c>
      <c r="D18" s="468"/>
      <c r="E18" s="468"/>
      <c r="F18" s="469"/>
      <c r="G18" s="473">
        <v>1.4</v>
      </c>
      <c r="H18" s="47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77" t="s">
        <v>34</v>
      </c>
      <c r="AN18" s="478"/>
      <c r="AO18" s="478"/>
      <c r="AP18" s="479"/>
      <c r="AQ18" s="17"/>
      <c r="AR18" s="139"/>
    </row>
    <row r="19" spans="1:44" ht="12" customHeight="1">
      <c r="A19" s="5"/>
      <c r="B19" s="18"/>
      <c r="C19" s="470"/>
      <c r="D19" s="471"/>
      <c r="E19" s="471"/>
      <c r="F19" s="472"/>
      <c r="G19" s="475"/>
      <c r="H19" s="47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80"/>
      <c r="AN19" s="481"/>
      <c r="AO19" s="481"/>
      <c r="AP19" s="482"/>
      <c r="AQ19" s="17"/>
      <c r="AR19" s="139"/>
    </row>
    <row r="20" spans="1:44" ht="12" customHeight="1">
      <c r="A20" s="5"/>
      <c r="B20" s="18"/>
      <c r="C20" s="467">
        <v>44909</v>
      </c>
      <c r="D20" s="468"/>
      <c r="E20" s="468"/>
      <c r="F20" s="469"/>
      <c r="G20" s="473">
        <v>1.5</v>
      </c>
      <c r="H20" s="47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77" t="s">
        <v>34</v>
      </c>
      <c r="AN20" s="478"/>
      <c r="AO20" s="478"/>
      <c r="AP20" s="479"/>
      <c r="AQ20" s="17"/>
      <c r="AR20" s="139"/>
    </row>
    <row r="21" spans="1:44" ht="12" customHeight="1">
      <c r="A21" s="5"/>
      <c r="B21" s="18"/>
      <c r="C21" s="470"/>
      <c r="D21" s="471"/>
      <c r="E21" s="471"/>
      <c r="F21" s="472"/>
      <c r="G21" s="475"/>
      <c r="H21" s="47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80"/>
      <c r="AN21" s="481"/>
      <c r="AO21" s="481"/>
      <c r="AP21" s="482"/>
      <c r="AQ21" s="17"/>
      <c r="AR21" s="139"/>
    </row>
    <row r="22" spans="1:44" ht="12" customHeight="1">
      <c r="A22" s="5"/>
      <c r="B22" s="18"/>
      <c r="C22" s="467">
        <v>44970</v>
      </c>
      <c r="D22" s="468"/>
      <c r="E22" s="468"/>
      <c r="F22" s="469"/>
      <c r="G22" s="473">
        <v>1.6</v>
      </c>
      <c r="H22" s="47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77" t="s">
        <v>34</v>
      </c>
      <c r="AN22" s="478"/>
      <c r="AO22" s="478"/>
      <c r="AP22" s="479"/>
      <c r="AQ22" s="17"/>
      <c r="AR22" s="139"/>
    </row>
    <row r="23" spans="1:44" ht="12" customHeight="1">
      <c r="A23" s="5"/>
      <c r="B23" s="18"/>
      <c r="C23" s="470"/>
      <c r="D23" s="471"/>
      <c r="E23" s="471"/>
      <c r="F23" s="472"/>
      <c r="G23" s="475"/>
      <c r="H23" s="47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80"/>
      <c r="AN23" s="481"/>
      <c r="AO23" s="481"/>
      <c r="AP23" s="482"/>
      <c r="AQ23" s="17"/>
      <c r="AR23" s="139"/>
    </row>
    <row r="24" spans="1:44" ht="12" customHeight="1">
      <c r="A24" s="5"/>
      <c r="B24" s="18"/>
      <c r="C24" s="467">
        <v>45548</v>
      </c>
      <c r="D24" s="468"/>
      <c r="E24" s="468"/>
      <c r="F24" s="469"/>
      <c r="G24" s="473">
        <v>1.7</v>
      </c>
      <c r="H24" s="47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77" t="s">
        <v>34</v>
      </c>
      <c r="AN24" s="478"/>
      <c r="AO24" s="478"/>
      <c r="AP24" s="479"/>
      <c r="AQ24" s="17"/>
      <c r="AR24" s="139"/>
    </row>
    <row r="25" spans="1:44" ht="12" customHeight="1">
      <c r="A25" s="5"/>
      <c r="B25" s="18"/>
      <c r="C25" s="470"/>
      <c r="D25" s="471"/>
      <c r="E25" s="471"/>
      <c r="F25" s="472"/>
      <c r="G25" s="475"/>
      <c r="H25" s="47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80"/>
      <c r="AN25" s="481"/>
      <c r="AO25" s="481"/>
      <c r="AP25" s="482"/>
      <c r="AQ25" s="17"/>
      <c r="AR25" s="139"/>
    </row>
    <row r="26" spans="1:44" ht="12" customHeight="1">
      <c r="A26" s="5"/>
      <c r="B26" s="18"/>
      <c r="C26" s="467"/>
      <c r="D26" s="468"/>
      <c r="E26" s="468"/>
      <c r="F26" s="469"/>
      <c r="G26" s="473"/>
      <c r="H26" s="47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77"/>
      <c r="AN26" s="478"/>
      <c r="AO26" s="478"/>
      <c r="AP26" s="479"/>
      <c r="AQ26" s="17"/>
      <c r="AR26" s="139"/>
    </row>
    <row r="27" spans="1:44" ht="12" customHeight="1">
      <c r="A27" s="5"/>
      <c r="B27" s="18"/>
      <c r="C27" s="470"/>
      <c r="D27" s="471"/>
      <c r="E27" s="471"/>
      <c r="F27" s="472"/>
      <c r="G27" s="475"/>
      <c r="H27" s="47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80"/>
      <c r="AN27" s="481"/>
      <c r="AO27" s="481"/>
      <c r="AP27" s="482"/>
      <c r="AQ27" s="17"/>
      <c r="AR27" s="139"/>
    </row>
    <row r="28" spans="1:44" ht="12" customHeight="1">
      <c r="A28" s="5"/>
      <c r="B28" s="18"/>
      <c r="C28" s="467"/>
      <c r="D28" s="468"/>
      <c r="E28" s="468"/>
      <c r="F28" s="469"/>
      <c r="G28" s="473"/>
      <c r="H28" s="47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77"/>
      <c r="AN28" s="478"/>
      <c r="AO28" s="478"/>
      <c r="AP28" s="479"/>
      <c r="AQ28" s="17"/>
      <c r="AR28" s="139"/>
    </row>
    <row r="29" spans="1:44" ht="12" customHeight="1">
      <c r="A29" s="5"/>
      <c r="B29" s="18"/>
      <c r="C29" s="470"/>
      <c r="D29" s="471"/>
      <c r="E29" s="471"/>
      <c r="F29" s="472"/>
      <c r="G29" s="475"/>
      <c r="H29" s="47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80"/>
      <c r="AN29" s="481"/>
      <c r="AO29" s="481"/>
      <c r="AP29" s="482"/>
      <c r="AQ29" s="17"/>
      <c r="AR29" s="139"/>
    </row>
    <row r="30" spans="1:44" ht="12" customHeight="1">
      <c r="A30" s="5"/>
      <c r="B30" s="18"/>
      <c r="C30" s="467"/>
      <c r="D30" s="468"/>
      <c r="E30" s="468"/>
      <c r="F30" s="469"/>
      <c r="G30" s="473"/>
      <c r="H30" s="47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77"/>
      <c r="AN30" s="478"/>
      <c r="AO30" s="478"/>
      <c r="AP30" s="479"/>
      <c r="AQ30" s="17"/>
      <c r="AR30" s="139"/>
    </row>
    <row r="31" spans="1:44" ht="12" customHeight="1">
      <c r="A31" s="5"/>
      <c r="B31" s="18"/>
      <c r="C31" s="470"/>
      <c r="D31" s="471"/>
      <c r="E31" s="471"/>
      <c r="F31" s="472"/>
      <c r="G31" s="475"/>
      <c r="H31" s="47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80"/>
      <c r="AN31" s="481"/>
      <c r="AO31" s="481"/>
      <c r="AP31" s="482"/>
      <c r="AQ31" s="17"/>
      <c r="AR31" s="139"/>
    </row>
    <row r="32" spans="1:44" ht="12" customHeight="1">
      <c r="A32" s="5"/>
      <c r="B32" s="18"/>
      <c r="C32" s="467"/>
      <c r="D32" s="468"/>
      <c r="E32" s="468"/>
      <c r="F32" s="469"/>
      <c r="G32" s="473"/>
      <c r="H32" s="47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77"/>
      <c r="AN32" s="478"/>
      <c r="AO32" s="478"/>
      <c r="AP32" s="479"/>
      <c r="AQ32" s="17"/>
      <c r="AR32" s="139"/>
    </row>
    <row r="33" spans="1:44" ht="12" customHeight="1">
      <c r="A33" s="5"/>
      <c r="B33" s="18"/>
      <c r="C33" s="470"/>
      <c r="D33" s="471"/>
      <c r="E33" s="471"/>
      <c r="F33" s="472"/>
      <c r="G33" s="475"/>
      <c r="H33" s="47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80"/>
      <c r="AN33" s="481"/>
      <c r="AO33" s="481"/>
      <c r="AP33" s="482"/>
      <c r="AQ33" s="17"/>
      <c r="AR33" s="139"/>
    </row>
    <row r="34" spans="1:44" ht="12" customHeight="1">
      <c r="A34" s="5"/>
      <c r="B34" s="18"/>
      <c r="C34" s="467"/>
      <c r="D34" s="468"/>
      <c r="E34" s="468"/>
      <c r="F34" s="469"/>
      <c r="G34" s="473"/>
      <c r="H34" s="47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77"/>
      <c r="AN34" s="478"/>
      <c r="AO34" s="478"/>
      <c r="AP34" s="479"/>
      <c r="AQ34" s="17"/>
      <c r="AR34" s="139"/>
    </row>
    <row r="35" spans="1:44" ht="12" customHeight="1">
      <c r="A35" s="5"/>
      <c r="B35" s="18"/>
      <c r="C35" s="470"/>
      <c r="D35" s="471"/>
      <c r="E35" s="471"/>
      <c r="F35" s="472"/>
      <c r="G35" s="475"/>
      <c r="H35" s="47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80"/>
      <c r="AN35" s="481"/>
      <c r="AO35" s="481"/>
      <c r="AP35" s="482"/>
      <c r="AQ35" s="17"/>
      <c r="AR35" s="139"/>
    </row>
    <row r="36" spans="1:44" ht="12" customHeight="1">
      <c r="A36" s="5"/>
      <c r="B36" s="18"/>
      <c r="C36" s="467"/>
      <c r="D36" s="468"/>
      <c r="E36" s="468"/>
      <c r="F36" s="469"/>
      <c r="G36" s="473"/>
      <c r="H36" s="47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77"/>
      <c r="AN36" s="478"/>
      <c r="AO36" s="478"/>
      <c r="AP36" s="479"/>
      <c r="AQ36" s="17"/>
      <c r="AR36" s="139"/>
    </row>
    <row r="37" spans="1:44" ht="12" customHeight="1">
      <c r="A37" s="5"/>
      <c r="B37" s="18"/>
      <c r="C37" s="470"/>
      <c r="D37" s="471"/>
      <c r="E37" s="471"/>
      <c r="F37" s="472"/>
      <c r="G37" s="475"/>
      <c r="H37" s="47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80"/>
      <c r="AN37" s="481"/>
      <c r="AO37" s="481"/>
      <c r="AP37" s="482"/>
      <c r="AQ37" s="17"/>
      <c r="AR37" s="139"/>
    </row>
    <row r="38" spans="1:44" ht="12" customHeight="1">
      <c r="A38" s="5"/>
      <c r="B38" s="18"/>
      <c r="C38" s="467"/>
      <c r="D38" s="468"/>
      <c r="E38" s="468"/>
      <c r="F38" s="469"/>
      <c r="G38" s="473"/>
      <c r="H38" s="47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77"/>
      <c r="AN38" s="478"/>
      <c r="AO38" s="478"/>
      <c r="AP38" s="479"/>
      <c r="AQ38" s="17"/>
      <c r="AR38" s="139"/>
    </row>
    <row r="39" spans="1:44" ht="12" customHeight="1">
      <c r="A39" s="5"/>
      <c r="B39" s="18"/>
      <c r="C39" s="470"/>
      <c r="D39" s="471"/>
      <c r="E39" s="471"/>
      <c r="F39" s="472"/>
      <c r="G39" s="475"/>
      <c r="H39" s="47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80"/>
      <c r="AN39" s="481"/>
      <c r="AO39" s="481"/>
      <c r="AP39" s="482"/>
      <c r="AQ39" s="17"/>
      <c r="AR39" s="139"/>
    </row>
    <row r="40" spans="1:44" ht="12" customHeight="1">
      <c r="A40" s="5"/>
      <c r="B40" s="18"/>
      <c r="C40" s="467"/>
      <c r="D40" s="468"/>
      <c r="E40" s="468"/>
      <c r="F40" s="469"/>
      <c r="G40" s="473"/>
      <c r="H40" s="47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77"/>
      <c r="AN40" s="478"/>
      <c r="AO40" s="478"/>
      <c r="AP40" s="479"/>
      <c r="AQ40" s="17"/>
      <c r="AR40" s="139"/>
    </row>
    <row r="41" spans="1:44" ht="12" customHeight="1">
      <c r="A41" s="5"/>
      <c r="B41" s="18"/>
      <c r="C41" s="470"/>
      <c r="D41" s="471"/>
      <c r="E41" s="471"/>
      <c r="F41" s="472"/>
      <c r="G41" s="475"/>
      <c r="H41" s="47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80"/>
      <c r="AN41" s="481"/>
      <c r="AO41" s="481"/>
      <c r="AP41" s="482"/>
      <c r="AQ41" s="17"/>
      <c r="AR41" s="139"/>
    </row>
    <row r="42" spans="1:44" ht="12" customHeight="1">
      <c r="A42" s="5"/>
      <c r="B42" s="18"/>
      <c r="C42" s="467"/>
      <c r="D42" s="468"/>
      <c r="E42" s="468"/>
      <c r="F42" s="469"/>
      <c r="G42" s="473"/>
      <c r="H42" s="47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77"/>
      <c r="AN42" s="478"/>
      <c r="AO42" s="478"/>
      <c r="AP42" s="479"/>
      <c r="AQ42" s="17"/>
      <c r="AR42" s="139"/>
    </row>
    <row r="43" spans="1:44" ht="12" customHeight="1">
      <c r="A43" s="5"/>
      <c r="B43" s="18"/>
      <c r="C43" s="470"/>
      <c r="D43" s="471"/>
      <c r="E43" s="471"/>
      <c r="F43" s="472"/>
      <c r="G43" s="475"/>
      <c r="H43" s="47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80"/>
      <c r="AN43" s="481"/>
      <c r="AO43" s="481"/>
      <c r="AP43" s="482"/>
      <c r="AQ43" s="17"/>
      <c r="AR43" s="139"/>
    </row>
    <row r="44" spans="1:44" ht="12" customHeight="1">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c r="A46" s="139"/>
      <c r="B46" s="140"/>
      <c r="C46" s="140"/>
      <c r="D46" s="140"/>
      <c r="E46" s="140"/>
      <c r="F46" s="140"/>
      <c r="G46" s="140"/>
      <c r="H46" s="141"/>
      <c r="I46" s="140"/>
      <c r="J46" s="140"/>
      <c r="K46" s="142"/>
      <c r="L46" s="140"/>
      <c r="M46" s="140"/>
      <c r="N46" s="140"/>
      <c r="O46" s="483"/>
      <c r="P46" s="483"/>
      <c r="Q46" s="483"/>
      <c r="R46" s="483"/>
      <c r="S46" s="483"/>
      <c r="T46" s="483"/>
      <c r="U46" s="143"/>
      <c r="V46" s="143"/>
      <c r="W46" s="143"/>
      <c r="X46" s="143"/>
      <c r="Y46" s="143"/>
      <c r="Z46" s="450"/>
      <c r="AA46" s="450"/>
      <c r="AB46" s="450"/>
      <c r="AC46" s="450"/>
      <c r="AD46" s="450"/>
      <c r="AE46" s="450"/>
      <c r="AF46" s="450"/>
      <c r="AG46" s="484"/>
      <c r="AH46" s="484"/>
      <c r="AI46" s="483"/>
      <c r="AJ46" s="483"/>
      <c r="AK46" s="143"/>
      <c r="AL46" s="449"/>
      <c r="AM46" s="449"/>
      <c r="AN46" s="449"/>
      <c r="AO46" s="449"/>
      <c r="AP46" s="139"/>
      <c r="AQ46" s="143"/>
      <c r="AR46" s="139"/>
    </row>
    <row r="47" spans="1:44" ht="12" customHeight="1">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c r="B67" s="37"/>
      <c r="C67" s="37"/>
      <c r="E67" s="37"/>
      <c r="AO67" s="37"/>
      <c r="AQ67" s="37"/>
    </row>
    <row r="68" spans="1:44" ht="12" customHeight="1">
      <c r="B68" s="37"/>
      <c r="C68" s="37"/>
      <c r="E68" s="37"/>
      <c r="AO68" s="37"/>
      <c r="AQ68" s="37"/>
    </row>
    <row r="69" spans="1:44" ht="12" customHeight="1">
      <c r="B69" s="37"/>
      <c r="C69" s="37"/>
      <c r="AO69" s="37"/>
      <c r="AQ69" s="37"/>
    </row>
    <row r="70" spans="1:44" ht="12" customHeight="1">
      <c r="B70" s="37"/>
      <c r="C70" s="37"/>
      <c r="AO70" s="37"/>
      <c r="AQ70" s="37"/>
    </row>
    <row r="71" spans="1:44" ht="12" customHeight="1">
      <c r="B71" s="37"/>
      <c r="C71" s="37"/>
      <c r="R71" s="40"/>
      <c r="X71" s="37"/>
      <c r="Y71" s="37"/>
      <c r="Z71" s="37"/>
      <c r="AA71" s="37"/>
      <c r="AB71" s="37"/>
      <c r="AC71" s="37"/>
      <c r="AD71" s="37"/>
      <c r="AE71" s="37"/>
      <c r="AF71" s="37"/>
      <c r="AG71" s="37"/>
      <c r="AH71" s="37"/>
      <c r="AI71" s="37"/>
      <c r="AJ71" s="37"/>
      <c r="AK71" s="37"/>
      <c r="AL71" s="37"/>
      <c r="AQ71" s="37"/>
    </row>
    <row r="72" spans="1:44" ht="12" customHeight="1">
      <c r="B72" s="37"/>
      <c r="C72" s="37"/>
      <c r="AK72" s="37"/>
      <c r="AL72" s="37"/>
      <c r="AQ72" s="37"/>
    </row>
    <row r="73" spans="1:44" ht="12" customHeight="1">
      <c r="B73" s="37"/>
      <c r="C73" s="37"/>
      <c r="H73" s="41"/>
      <c r="I73" s="42"/>
      <c r="J73" s="42"/>
      <c r="K73" s="43"/>
      <c r="AK73" s="37"/>
      <c r="AL73" s="37"/>
      <c r="AM73" s="37"/>
      <c r="AN73" s="37"/>
      <c r="AO73" s="37"/>
      <c r="AP73" s="37"/>
      <c r="AQ73" s="37"/>
    </row>
    <row r="74" spans="1:44" ht="12" customHeight="1">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c r="B88" s="37"/>
      <c r="C88" s="37"/>
      <c r="D88" s="37"/>
      <c r="I88" s="42"/>
      <c r="AB88" s="37"/>
      <c r="AK88" s="37"/>
      <c r="AL88" s="37"/>
      <c r="AM88" s="37"/>
      <c r="AN88" s="37"/>
      <c r="AO88" s="37"/>
      <c r="AP88" s="37"/>
      <c r="AQ88" s="37"/>
    </row>
    <row r="89" spans="2:43" ht="12" customHeight="1">
      <c r="B89" s="37"/>
      <c r="C89" s="37"/>
      <c r="D89" s="37"/>
      <c r="H89" s="41"/>
      <c r="I89" s="42"/>
      <c r="J89" s="42"/>
      <c r="K89" s="43"/>
      <c r="S89" s="40"/>
      <c r="AA89" s="40"/>
      <c r="AB89" s="37"/>
      <c r="AK89" s="37"/>
      <c r="AL89" s="37"/>
      <c r="AP89" s="37"/>
      <c r="AQ89" s="37"/>
    </row>
    <row r="90" spans="2:43" ht="12" customHeight="1">
      <c r="B90" s="37"/>
      <c r="C90" s="37"/>
      <c r="D90" s="37"/>
      <c r="AN90" s="37"/>
      <c r="AO90" s="37"/>
      <c r="AP90" s="37"/>
      <c r="AQ90" s="37"/>
    </row>
    <row r="91" spans="2:43" ht="12" customHeight="1">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15" customHeight="1">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15" customHeight="1">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15" customHeight="1">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5" customHeight="1">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15" customHeight="1">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15" customHeight="1">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15" customHeight="1">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15" customHeight="1">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15" customHeight="1">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15" customHeight="1">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15" customHeight="1">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15" customHeight="1">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15" customHeight="1">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15" customHeight="1">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15" customHeight="1">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15" customHeight="1">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15" customHeight="1">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15" customHeight="1">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15" customHeight="1">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15" customHeight="1">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15" customHeight="1">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15" customHeight="1">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15" customHeight="1">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15" customHeight="1">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15" customHeight="1">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15" customHeight="1">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15" customHeight="1">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15" customHeight="1">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15" customHeight="1">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15" customHeight="1">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15" customHeight="1">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 customHeight="1">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15" customHeight="1">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 customHeight="1">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15" customHeight="1">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15" customHeight="1">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15" customHeight="1">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15" customHeight="1">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15" customHeight="1">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15" customHeight="1">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 customHeight="1">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15" customHeight="1">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15" customHeight="1">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15" customHeight="1">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15" customHeight="1">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15" customHeight="1">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15" customHeight="1">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15" customHeight="1">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 customHeight="1">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 customHeight="1">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 customHeight="1">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 customHeight="1">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 customHeight="1">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15" customHeight="1">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15" customHeight="1">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15" customHeight="1">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15" customHeight="1">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15" customHeight="1">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15" customHeight="1">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15" customHeight="1">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15" customHeight="1">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15" customHeight="1">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15" customHeight="1">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15" customHeight="1">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15" customHeight="1">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15" customHeight="1">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15" customHeight="1">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15" customHeight="1">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15" customHeight="1">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15" customHeight="1">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15" customHeight="1">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5" customHeight="1">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15" customHeight="1">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15" customHeight="1">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15" customHeight="1">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15" customHeight="1">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15" customHeight="1">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00000000000006" customHeight="1">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00000000000006" customHeight="1">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15" customHeight="1">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15" customHeight="1">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15" customHeight="1">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15" customHeight="1">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15" customHeight="1" thickBot="1">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c r="B107" s="511" t="s">
        <v>301</v>
      </c>
      <c r="C107" s="496"/>
      <c r="D107" s="496">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498" t="s">
        <v>303</v>
      </c>
      <c r="R107" s="498"/>
      <c r="S107" s="498"/>
      <c r="T107" s="161"/>
      <c r="U107" s="162"/>
    </row>
    <row r="108" spans="1:21" ht="18" customHeight="1">
      <c r="B108" s="512"/>
      <c r="C108" s="497"/>
      <c r="D108" s="497"/>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499"/>
      <c r="R108" s="499"/>
      <c r="S108" s="499"/>
      <c r="T108" s="71"/>
      <c r="U108" s="105"/>
    </row>
    <row r="109" spans="1:21" ht="18" customHeight="1">
      <c r="B109" s="51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1"/>
      <c r="R110" s="503"/>
      <c r="S110" s="505"/>
      <c r="T110" s="112"/>
      <c r="U110" s="113"/>
    </row>
    <row r="111" spans="1:21" ht="24" customHeight="1">
      <c r="P111" s="119">
        <f>SUM(H110:P110)</f>
        <v>130</v>
      </c>
    </row>
    <row r="114" spans="3:3">
      <c r="C114" s="60" t="s">
        <v>308</v>
      </c>
    </row>
    <row r="115" spans="3:3">
      <c r="C115" s="416">
        <f>SUM($D$109+Win10対応_POS!$D$94)</f>
        <v>334</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9" activePane="bottomLeft" state="frozen"/>
      <selection pane="bottomLeft" activeCell="U105" sqref="U105"/>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15" customHeight="1">
      <c r="B8" s="125" t="s">
        <v>82</v>
      </c>
      <c r="C8" s="124"/>
      <c r="D8" s="232" t="s">
        <v>83</v>
      </c>
      <c r="E8" s="233">
        <f t="shared" si="0"/>
        <v>5</v>
      </c>
      <c r="F8" s="97"/>
      <c r="G8" s="91" t="s">
        <v>310</v>
      </c>
      <c r="H8" s="48" t="s">
        <v>71</v>
      </c>
      <c r="I8" s="48" t="s">
        <v>71</v>
      </c>
      <c r="J8" s="48" t="s">
        <v>71</v>
      </c>
      <c r="K8" s="78" t="s">
        <v>72</v>
      </c>
      <c r="L8" s="48" t="s">
        <v>71</v>
      </c>
      <c r="M8" s="48" t="s">
        <v>71</v>
      </c>
      <c r="N8" s="48" t="s">
        <v>71</v>
      </c>
      <c r="O8" s="48" t="s">
        <v>71</v>
      </c>
      <c r="P8" s="62" t="s">
        <v>71</v>
      </c>
      <c r="Q8" s="64"/>
      <c r="R8" s="49"/>
      <c r="S8" s="66"/>
      <c r="T8" s="85"/>
      <c r="U8" s="100"/>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73"/>
      <c r="R9" s="54"/>
      <c r="S9" s="74"/>
      <c r="T9" s="85"/>
      <c r="U9" s="101"/>
    </row>
    <row r="10" spans="1:22" ht="28.15" customHeight="1">
      <c r="B10" s="122"/>
      <c r="C10" s="124" t="s">
        <v>87</v>
      </c>
      <c r="D10" s="234" t="s">
        <v>88</v>
      </c>
      <c r="E10" s="233">
        <f t="shared" si="0"/>
        <v>7</v>
      </c>
      <c r="F10" s="97"/>
      <c r="G10" s="91" t="s">
        <v>89</v>
      </c>
      <c r="H10" s="78" t="s">
        <v>71</v>
      </c>
      <c r="I10" s="48" t="s">
        <v>71</v>
      </c>
      <c r="J10" s="48" t="s">
        <v>71</v>
      </c>
      <c r="K10" s="78" t="s">
        <v>71</v>
      </c>
      <c r="L10" s="78" t="s">
        <v>72</v>
      </c>
      <c r="M10" s="78" t="s">
        <v>72</v>
      </c>
      <c r="N10" s="48" t="s">
        <v>71</v>
      </c>
      <c r="O10" s="48" t="s">
        <v>71</v>
      </c>
      <c r="P10" s="62" t="s">
        <v>71</v>
      </c>
      <c r="Q10" s="64"/>
      <c r="R10" s="49"/>
      <c r="S10" s="66"/>
      <c r="T10" s="85"/>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85"/>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85"/>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85"/>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15" customHeight="1">
      <c r="B15" s="122"/>
      <c r="C15" s="123"/>
      <c r="D15" s="88" t="s">
        <v>105</v>
      </c>
      <c r="E15" s="89">
        <f t="shared" si="0"/>
        <v>12</v>
      </c>
      <c r="F15" s="90"/>
      <c r="G15" s="91" t="s">
        <v>106</v>
      </c>
      <c r="H15" s="78" t="s">
        <v>72</v>
      </c>
      <c r="I15" s="48" t="s">
        <v>71</v>
      </c>
      <c r="J15" s="48" t="s">
        <v>71</v>
      </c>
      <c r="K15" s="78" t="s">
        <v>71</v>
      </c>
      <c r="L15" s="48" t="s">
        <v>71</v>
      </c>
      <c r="M15" s="48" t="s">
        <v>71</v>
      </c>
      <c r="N15" s="48" t="s">
        <v>71</v>
      </c>
      <c r="O15" s="48" t="s">
        <v>71</v>
      </c>
      <c r="P15" s="48" t="s">
        <v>71</v>
      </c>
      <c r="Q15" s="64"/>
      <c r="R15" s="49"/>
      <c r="S15" s="66"/>
      <c r="T15" s="85"/>
      <c r="U15" s="100"/>
    </row>
    <row r="16" spans="1:22" ht="28.15" customHeight="1">
      <c r="B16" s="122"/>
      <c r="C16" s="123"/>
      <c r="D16" s="88" t="s">
        <v>107</v>
      </c>
      <c r="E16" s="89">
        <f t="shared" si="0"/>
        <v>13</v>
      </c>
      <c r="F16" s="90"/>
      <c r="G16" s="91" t="s">
        <v>108</v>
      </c>
      <c r="H16" s="78" t="s">
        <v>72</v>
      </c>
      <c r="I16" s="48" t="s">
        <v>71</v>
      </c>
      <c r="J16" s="48" t="s">
        <v>71</v>
      </c>
      <c r="K16" s="78" t="s">
        <v>71</v>
      </c>
      <c r="L16" s="48" t="s">
        <v>71</v>
      </c>
      <c r="M16" s="48" t="s">
        <v>71</v>
      </c>
      <c r="N16" s="48" t="s">
        <v>71</v>
      </c>
      <c r="O16" s="48" t="s">
        <v>71</v>
      </c>
      <c r="P16" s="48" t="s">
        <v>71</v>
      </c>
      <c r="Q16" s="64"/>
      <c r="R16" s="49"/>
      <c r="S16" s="66"/>
      <c r="T16" s="85"/>
      <c r="U16" s="100"/>
    </row>
    <row r="17" spans="1:22" ht="28.15" customHeight="1">
      <c r="B17" s="122"/>
      <c r="C17" s="123"/>
      <c r="D17" s="232" t="s">
        <v>109</v>
      </c>
      <c r="E17" s="233">
        <f t="shared" si="0"/>
        <v>14</v>
      </c>
      <c r="F17" s="97"/>
      <c r="G17" s="91" t="s">
        <v>110</v>
      </c>
      <c r="H17" s="78" t="s">
        <v>72</v>
      </c>
      <c r="I17" s="48" t="s">
        <v>71</v>
      </c>
      <c r="J17" s="48" t="s">
        <v>71</v>
      </c>
      <c r="K17" s="78" t="s">
        <v>71</v>
      </c>
      <c r="L17" s="48" t="s">
        <v>71</v>
      </c>
      <c r="M17" s="48" t="s">
        <v>71</v>
      </c>
      <c r="N17" s="48" t="s">
        <v>71</v>
      </c>
      <c r="O17" s="48" t="s">
        <v>71</v>
      </c>
      <c r="P17" s="62" t="s">
        <v>71</v>
      </c>
      <c r="Q17" s="64"/>
      <c r="R17" s="49"/>
      <c r="S17" s="66"/>
      <c r="T17" s="85"/>
      <c r="U17" s="101"/>
    </row>
    <row r="18" spans="1:22" ht="28.15" customHeight="1">
      <c r="B18" s="122"/>
      <c r="C18" s="123"/>
      <c r="D18" s="235" t="s">
        <v>111</v>
      </c>
      <c r="E18" s="233">
        <f t="shared" si="0"/>
        <v>15</v>
      </c>
      <c r="F18" s="97"/>
      <c r="G18" s="91" t="s">
        <v>112</v>
      </c>
      <c r="H18" s="78" t="s">
        <v>72</v>
      </c>
      <c r="I18" s="48" t="s">
        <v>71</v>
      </c>
      <c r="J18" s="48" t="s">
        <v>71</v>
      </c>
      <c r="K18" s="78" t="s">
        <v>71</v>
      </c>
      <c r="L18" s="48" t="s">
        <v>71</v>
      </c>
      <c r="M18" s="48" t="s">
        <v>71</v>
      </c>
      <c r="N18" s="48" t="s">
        <v>71</v>
      </c>
      <c r="O18" s="48" t="s">
        <v>71</v>
      </c>
      <c r="P18" s="62" t="s">
        <v>71</v>
      </c>
      <c r="Q18" s="64"/>
      <c r="R18" s="49"/>
      <c r="S18" s="66"/>
      <c r="T18" s="85"/>
      <c r="U18" s="100"/>
    </row>
    <row r="19" spans="1:22" s="316" customFormat="1" ht="28.15" customHeight="1">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311</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85"/>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85"/>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85"/>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85"/>
      <c r="U23" s="100"/>
    </row>
    <row r="24" spans="1:22" ht="28.15" customHeight="1">
      <c r="B24" s="122"/>
      <c r="C24" s="123"/>
      <c r="D24" s="235" t="s">
        <v>123</v>
      </c>
      <c r="E24" s="89">
        <f t="shared" si="0"/>
        <v>21</v>
      </c>
      <c r="F24" s="90"/>
      <c r="G24" s="91" t="s">
        <v>124</v>
      </c>
      <c r="H24" s="78" t="s">
        <v>71</v>
      </c>
      <c r="I24" s="48" t="s">
        <v>71</v>
      </c>
      <c r="J24" s="48" t="s">
        <v>71</v>
      </c>
      <c r="K24" s="78" t="s">
        <v>71</v>
      </c>
      <c r="L24" s="78" t="s">
        <v>72</v>
      </c>
      <c r="M24" s="78" t="s">
        <v>72</v>
      </c>
      <c r="N24" s="48" t="s">
        <v>71</v>
      </c>
      <c r="O24" s="48" t="s">
        <v>71</v>
      </c>
      <c r="P24" s="62" t="s">
        <v>71</v>
      </c>
      <c r="Q24" s="64"/>
      <c r="R24" s="49"/>
      <c r="S24" s="66"/>
      <c r="T24" s="85"/>
      <c r="U24" s="101"/>
      <c r="V24" s="126"/>
    </row>
    <row r="25" spans="1:22" ht="28.15" customHeight="1">
      <c r="B25" s="122"/>
      <c r="C25" s="123"/>
      <c r="D25" s="236"/>
      <c r="E25" s="89">
        <f t="shared" si="0"/>
        <v>22</v>
      </c>
      <c r="F25" s="90"/>
      <c r="G25" s="91" t="s">
        <v>125</v>
      </c>
      <c r="H25" s="78" t="s">
        <v>71</v>
      </c>
      <c r="I25" s="48" t="s">
        <v>71</v>
      </c>
      <c r="J25" s="48" t="s">
        <v>71</v>
      </c>
      <c r="K25" s="78" t="s">
        <v>71</v>
      </c>
      <c r="L25" s="78" t="s">
        <v>72</v>
      </c>
      <c r="M25" s="78" t="s">
        <v>72</v>
      </c>
      <c r="N25" s="48" t="s">
        <v>71</v>
      </c>
      <c r="O25" s="48" t="s">
        <v>71</v>
      </c>
      <c r="P25" s="62" t="s">
        <v>71</v>
      </c>
      <c r="Q25" s="64"/>
      <c r="R25" s="49"/>
      <c r="S25" s="66"/>
      <c r="T25" s="85"/>
      <c r="U25" s="101"/>
      <c r="V25" s="126"/>
    </row>
    <row r="26" spans="1:22" ht="28.15" customHeight="1">
      <c r="B26" s="122"/>
      <c r="C26" s="123"/>
      <c r="D26" s="236"/>
      <c r="E26" s="89">
        <f t="shared" si="0"/>
        <v>23</v>
      </c>
      <c r="F26" s="90"/>
      <c r="G26" s="91" t="s">
        <v>126</v>
      </c>
      <c r="H26" s="78" t="s">
        <v>71</v>
      </c>
      <c r="I26" s="48" t="s">
        <v>71</v>
      </c>
      <c r="J26" s="48" t="s">
        <v>71</v>
      </c>
      <c r="K26" s="78" t="s">
        <v>71</v>
      </c>
      <c r="L26" s="78" t="s">
        <v>72</v>
      </c>
      <c r="M26" s="78" t="s">
        <v>72</v>
      </c>
      <c r="N26" s="48" t="s">
        <v>71</v>
      </c>
      <c r="O26" s="48" t="s">
        <v>71</v>
      </c>
      <c r="P26" s="62" t="s">
        <v>71</v>
      </c>
      <c r="Q26" s="64"/>
      <c r="R26" s="49"/>
      <c r="S26" s="66"/>
      <c r="T26" s="85"/>
      <c r="U26" s="101"/>
      <c r="V26" s="126"/>
    </row>
    <row r="27" spans="1:22" ht="28.15" customHeight="1">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312</v>
      </c>
      <c r="V27" s="126"/>
    </row>
    <row r="28" spans="1:22" ht="28.15" customHeight="1">
      <c r="B28" s="122"/>
      <c r="C28" s="124" t="s">
        <v>129</v>
      </c>
      <c r="D28" s="88" t="s">
        <v>130</v>
      </c>
      <c r="E28" s="89">
        <f t="shared" si="0"/>
        <v>25</v>
      </c>
      <c r="F28" s="90"/>
      <c r="G28" s="91" t="s">
        <v>131</v>
      </c>
      <c r="H28" s="78" t="s">
        <v>72</v>
      </c>
      <c r="I28" s="48" t="s">
        <v>71</v>
      </c>
      <c r="J28" s="48" t="s">
        <v>71</v>
      </c>
      <c r="K28" s="78" t="s">
        <v>71</v>
      </c>
      <c r="L28" s="48" t="s">
        <v>71</v>
      </c>
      <c r="M28" s="48" t="s">
        <v>71</v>
      </c>
      <c r="N28" s="48" t="s">
        <v>71</v>
      </c>
      <c r="O28" s="48" t="s">
        <v>71</v>
      </c>
      <c r="P28" s="62" t="s">
        <v>71</v>
      </c>
      <c r="Q28" s="64"/>
      <c r="R28" s="49"/>
      <c r="S28" s="66"/>
      <c r="T28" s="85"/>
      <c r="U28" s="100"/>
    </row>
    <row r="29" spans="1:22" ht="28.15" customHeight="1">
      <c r="B29" s="122"/>
      <c r="C29" s="123"/>
      <c r="D29" s="88" t="s">
        <v>133</v>
      </c>
      <c r="E29" s="89">
        <f t="shared" si="0"/>
        <v>26</v>
      </c>
      <c r="F29" s="90"/>
      <c r="G29" s="91" t="s">
        <v>131</v>
      </c>
      <c r="H29" s="78" t="s">
        <v>72</v>
      </c>
      <c r="I29" s="48" t="s">
        <v>71</v>
      </c>
      <c r="J29" s="48" t="s">
        <v>71</v>
      </c>
      <c r="K29" s="78" t="s">
        <v>71</v>
      </c>
      <c r="L29" s="48" t="s">
        <v>71</v>
      </c>
      <c r="M29" s="48" t="s">
        <v>71</v>
      </c>
      <c r="N29" s="48" t="s">
        <v>71</v>
      </c>
      <c r="O29" s="48" t="s">
        <v>71</v>
      </c>
      <c r="P29" s="62" t="s">
        <v>71</v>
      </c>
      <c r="Q29" s="64"/>
      <c r="R29" s="49"/>
      <c r="S29" s="66"/>
      <c r="T29" s="85"/>
      <c r="U29" s="100"/>
      <c r="V29" s="320"/>
    </row>
    <row r="30" spans="1:22" ht="28.15" customHeight="1">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15" customHeight="1">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15" customHeight="1">
      <c r="B32" s="122"/>
      <c r="C32" s="123"/>
      <c r="D32" s="93" t="s">
        <v>137</v>
      </c>
      <c r="E32" s="94">
        <f t="shared" si="0"/>
        <v>29</v>
      </c>
      <c r="F32" s="95"/>
      <c r="G32" s="96" t="s">
        <v>313</v>
      </c>
      <c r="H32" s="50" t="s">
        <v>71</v>
      </c>
      <c r="I32" s="50" t="s">
        <v>71</v>
      </c>
      <c r="J32" s="50" t="s">
        <v>71</v>
      </c>
      <c r="K32" s="50" t="s">
        <v>71</v>
      </c>
      <c r="L32" s="50" t="s">
        <v>71</v>
      </c>
      <c r="M32" s="50" t="s">
        <v>71</v>
      </c>
      <c r="N32" s="50" t="s">
        <v>71</v>
      </c>
      <c r="O32" s="50" t="s">
        <v>71</v>
      </c>
      <c r="P32" s="63" t="s">
        <v>71</v>
      </c>
      <c r="Q32" s="65"/>
      <c r="R32" s="51"/>
      <c r="S32" s="67"/>
      <c r="T32" s="324"/>
      <c r="U32" s="102" t="s">
        <v>314</v>
      </c>
    </row>
    <row r="33" spans="2:22" ht="28.15" customHeight="1">
      <c r="B33" s="122"/>
      <c r="C33" s="123"/>
      <c r="D33" s="93" t="s">
        <v>140</v>
      </c>
      <c r="E33" s="94">
        <f t="shared" si="0"/>
        <v>30</v>
      </c>
      <c r="F33" s="95"/>
      <c r="G33" s="96" t="s">
        <v>315</v>
      </c>
      <c r="H33" s="50" t="s">
        <v>71</v>
      </c>
      <c r="I33" s="50" t="s">
        <v>71</v>
      </c>
      <c r="J33" s="50" t="s">
        <v>71</v>
      </c>
      <c r="K33" s="50" t="s">
        <v>71</v>
      </c>
      <c r="L33" s="50" t="s">
        <v>71</v>
      </c>
      <c r="M33" s="50" t="s">
        <v>71</v>
      </c>
      <c r="N33" s="50" t="s">
        <v>71</v>
      </c>
      <c r="O33" s="50" t="s">
        <v>71</v>
      </c>
      <c r="P33" s="63" t="s">
        <v>71</v>
      </c>
      <c r="Q33" s="65"/>
      <c r="R33" s="51"/>
      <c r="S33" s="67"/>
      <c r="T33" s="324"/>
      <c r="U33" s="102" t="s">
        <v>314</v>
      </c>
    </row>
    <row r="34" spans="2:22" ht="28.15" customHeight="1">
      <c r="B34" s="122"/>
      <c r="C34" s="123"/>
      <c r="D34" s="88" t="s">
        <v>142</v>
      </c>
      <c r="E34" s="89">
        <f t="shared" si="0"/>
        <v>31</v>
      </c>
      <c r="F34" s="90"/>
      <c r="G34" s="91" t="s">
        <v>143</v>
      </c>
      <c r="H34" s="78" t="s">
        <v>72</v>
      </c>
      <c r="I34" s="48" t="s">
        <v>71</v>
      </c>
      <c r="J34" s="48" t="s">
        <v>71</v>
      </c>
      <c r="K34" s="78" t="s">
        <v>71</v>
      </c>
      <c r="L34" s="48" t="s">
        <v>71</v>
      </c>
      <c r="M34" s="48" t="s">
        <v>71</v>
      </c>
      <c r="N34" s="48" t="s">
        <v>71</v>
      </c>
      <c r="O34" s="48" t="s">
        <v>71</v>
      </c>
      <c r="P34" s="62" t="s">
        <v>71</v>
      </c>
      <c r="Q34" s="64"/>
      <c r="R34" s="49"/>
      <c r="S34" s="66"/>
      <c r="T34" s="85"/>
      <c r="U34" s="100"/>
    </row>
    <row r="35" spans="2:22" ht="28.15" customHeight="1">
      <c r="B35" s="122"/>
      <c r="C35" s="123"/>
      <c r="D35" s="88" t="s">
        <v>144</v>
      </c>
      <c r="E35" s="89">
        <f t="shared" si="0"/>
        <v>32</v>
      </c>
      <c r="F35" s="90"/>
      <c r="G35" s="91" t="s">
        <v>143</v>
      </c>
      <c r="H35" s="78" t="s">
        <v>72</v>
      </c>
      <c r="I35" s="48" t="s">
        <v>71</v>
      </c>
      <c r="J35" s="48" t="s">
        <v>71</v>
      </c>
      <c r="K35" s="78" t="s">
        <v>71</v>
      </c>
      <c r="L35" s="48" t="s">
        <v>71</v>
      </c>
      <c r="M35" s="48" t="s">
        <v>71</v>
      </c>
      <c r="N35" s="48" t="s">
        <v>71</v>
      </c>
      <c r="O35" s="48" t="s">
        <v>71</v>
      </c>
      <c r="P35" s="62" t="s">
        <v>71</v>
      </c>
      <c r="Q35" s="64"/>
      <c r="R35" s="49"/>
      <c r="S35" s="66"/>
      <c r="T35" s="85"/>
      <c r="U35" s="100"/>
    </row>
    <row r="36" spans="2:22" ht="28.15" customHeight="1">
      <c r="B36" s="122"/>
      <c r="C36" s="123"/>
      <c r="D36" s="88" t="s">
        <v>145</v>
      </c>
      <c r="E36" s="89">
        <f t="shared" si="0"/>
        <v>33</v>
      </c>
      <c r="F36" s="90"/>
      <c r="G36" s="91" t="s">
        <v>143</v>
      </c>
      <c r="H36" s="78" t="s">
        <v>72</v>
      </c>
      <c r="I36" s="48" t="s">
        <v>71</v>
      </c>
      <c r="J36" s="48" t="s">
        <v>71</v>
      </c>
      <c r="K36" s="78" t="s">
        <v>71</v>
      </c>
      <c r="L36" s="48" t="s">
        <v>71</v>
      </c>
      <c r="M36" s="48" t="s">
        <v>71</v>
      </c>
      <c r="N36" s="48" t="s">
        <v>71</v>
      </c>
      <c r="O36" s="48" t="s">
        <v>71</v>
      </c>
      <c r="P36" s="62" t="s">
        <v>71</v>
      </c>
      <c r="Q36" s="64"/>
      <c r="R36" s="49"/>
      <c r="S36" s="66"/>
      <c r="T36" s="85"/>
      <c r="U36" s="100"/>
    </row>
    <row r="37" spans="2:22" ht="28.15" customHeight="1">
      <c r="B37" s="122"/>
      <c r="C37" s="123"/>
      <c r="D37" s="88" t="s">
        <v>146</v>
      </c>
      <c r="E37" s="89">
        <f t="shared" si="0"/>
        <v>34</v>
      </c>
      <c r="F37" s="90"/>
      <c r="G37" s="91" t="s">
        <v>143</v>
      </c>
      <c r="H37" s="78" t="s">
        <v>72</v>
      </c>
      <c r="I37" s="48" t="s">
        <v>71</v>
      </c>
      <c r="J37" s="48" t="s">
        <v>71</v>
      </c>
      <c r="K37" s="78" t="s">
        <v>71</v>
      </c>
      <c r="L37" s="48" t="s">
        <v>71</v>
      </c>
      <c r="M37" s="48" t="s">
        <v>71</v>
      </c>
      <c r="N37" s="48" t="s">
        <v>71</v>
      </c>
      <c r="O37" s="48" t="s">
        <v>71</v>
      </c>
      <c r="P37" s="62" t="s">
        <v>71</v>
      </c>
      <c r="Q37" s="64"/>
      <c r="R37" s="49"/>
      <c r="S37" s="66"/>
      <c r="T37" s="85"/>
      <c r="U37" s="100"/>
    </row>
    <row r="38" spans="2:22"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85"/>
      <c r="U38" s="100"/>
    </row>
    <row r="39" spans="2:22" ht="28.15" customHeight="1">
      <c r="B39" s="122"/>
      <c r="C39" s="124" t="s">
        <v>149</v>
      </c>
      <c r="D39" s="88" t="s">
        <v>150</v>
      </c>
      <c r="E39" s="89">
        <f t="shared" si="0"/>
        <v>36</v>
      </c>
      <c r="F39" s="97"/>
      <c r="G39" s="91" t="s">
        <v>148</v>
      </c>
      <c r="H39" s="78" t="s">
        <v>72</v>
      </c>
      <c r="I39" s="48" t="s">
        <v>71</v>
      </c>
      <c r="J39" s="48" t="s">
        <v>71</v>
      </c>
      <c r="K39" s="78" t="s">
        <v>71</v>
      </c>
      <c r="L39" s="48" t="s">
        <v>71</v>
      </c>
      <c r="M39" s="48" t="s">
        <v>71</v>
      </c>
      <c r="N39" s="48" t="s">
        <v>71</v>
      </c>
      <c r="O39" s="48" t="s">
        <v>71</v>
      </c>
      <c r="P39" s="62" t="s">
        <v>71</v>
      </c>
      <c r="Q39" s="64"/>
      <c r="R39" s="49"/>
      <c r="S39" s="66"/>
      <c r="T39" s="85"/>
      <c r="U39" s="100"/>
      <c r="V39" s="126"/>
    </row>
    <row r="40" spans="2:22" ht="48.6" customHeight="1">
      <c r="B40" s="122"/>
      <c r="C40" s="123"/>
      <c r="D40" s="88" t="s">
        <v>151</v>
      </c>
      <c r="E40" s="89">
        <f t="shared" si="0"/>
        <v>37</v>
      </c>
      <c r="F40" s="97" t="s">
        <v>152</v>
      </c>
      <c r="G40" s="91" t="s">
        <v>148</v>
      </c>
      <c r="H40" s="78" t="s">
        <v>72</v>
      </c>
      <c r="I40" s="48" t="s">
        <v>71</v>
      </c>
      <c r="J40" s="48" t="s">
        <v>71</v>
      </c>
      <c r="K40" s="78" t="s">
        <v>71</v>
      </c>
      <c r="L40" s="48" t="s">
        <v>71</v>
      </c>
      <c r="M40" s="48" t="s">
        <v>71</v>
      </c>
      <c r="N40" s="48" t="s">
        <v>71</v>
      </c>
      <c r="O40" s="48" t="s">
        <v>71</v>
      </c>
      <c r="P40" s="62" t="s">
        <v>71</v>
      </c>
      <c r="Q40" s="64"/>
      <c r="R40" s="49"/>
      <c r="S40" s="66"/>
      <c r="T40" s="85"/>
      <c r="U40" s="100"/>
      <c r="V40" s="126"/>
    </row>
    <row r="41" spans="2:22" ht="28.15" customHeight="1">
      <c r="B41" s="122"/>
      <c r="C41" s="123"/>
      <c r="D41" s="88" t="s">
        <v>153</v>
      </c>
      <c r="E41" s="89">
        <f t="shared" si="0"/>
        <v>38</v>
      </c>
      <c r="F41" s="97"/>
      <c r="G41" s="91" t="s">
        <v>154</v>
      </c>
      <c r="H41" s="78" t="s">
        <v>72</v>
      </c>
      <c r="I41" s="48" t="s">
        <v>71</v>
      </c>
      <c r="J41" s="48" t="s">
        <v>71</v>
      </c>
      <c r="K41" s="78" t="s">
        <v>71</v>
      </c>
      <c r="L41" s="48" t="s">
        <v>71</v>
      </c>
      <c r="M41" s="48" t="s">
        <v>71</v>
      </c>
      <c r="N41" s="48" t="s">
        <v>71</v>
      </c>
      <c r="O41" s="48" t="s">
        <v>71</v>
      </c>
      <c r="P41" s="62" t="s">
        <v>71</v>
      </c>
      <c r="Q41" s="64"/>
      <c r="R41" s="49"/>
      <c r="S41" s="66"/>
      <c r="T41" s="85"/>
      <c r="U41" s="100"/>
    </row>
    <row r="42" spans="2:22" ht="28.15" customHeight="1">
      <c r="B42" s="122"/>
      <c r="C42" s="123"/>
      <c r="D42" s="88" t="s">
        <v>155</v>
      </c>
      <c r="E42" s="89">
        <f t="shared" si="0"/>
        <v>39</v>
      </c>
      <c r="F42" s="97"/>
      <c r="G42" s="91" t="s">
        <v>148</v>
      </c>
      <c r="H42" s="78" t="s">
        <v>72</v>
      </c>
      <c r="I42" s="48" t="s">
        <v>71</v>
      </c>
      <c r="J42" s="48" t="s">
        <v>71</v>
      </c>
      <c r="K42" s="78" t="s">
        <v>71</v>
      </c>
      <c r="L42" s="48" t="s">
        <v>71</v>
      </c>
      <c r="M42" s="48" t="s">
        <v>71</v>
      </c>
      <c r="N42" s="48" t="s">
        <v>71</v>
      </c>
      <c r="O42" s="48" t="s">
        <v>71</v>
      </c>
      <c r="P42" s="62" t="s">
        <v>71</v>
      </c>
      <c r="Q42" s="64"/>
      <c r="R42" s="49"/>
      <c r="S42" s="66"/>
      <c r="T42" s="85"/>
      <c r="U42" s="100"/>
      <c r="V42" s="126"/>
    </row>
    <row r="43" spans="2:22"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316</v>
      </c>
      <c r="V43" s="126"/>
    </row>
    <row r="44" spans="2:22" ht="37.9" customHeight="1">
      <c r="B44" s="122"/>
      <c r="C44" s="123"/>
      <c r="D44" s="88" t="s">
        <v>159</v>
      </c>
      <c r="E44" s="89">
        <f t="shared" si="0"/>
        <v>41</v>
      </c>
      <c r="F44" s="97" t="s">
        <v>160</v>
      </c>
      <c r="G44" s="91" t="s">
        <v>148</v>
      </c>
      <c r="H44" s="78" t="s">
        <v>72</v>
      </c>
      <c r="I44" s="48" t="s">
        <v>71</v>
      </c>
      <c r="J44" s="48" t="s">
        <v>71</v>
      </c>
      <c r="K44" s="78" t="s">
        <v>71</v>
      </c>
      <c r="L44" s="48" t="s">
        <v>71</v>
      </c>
      <c r="M44" s="48" t="s">
        <v>71</v>
      </c>
      <c r="N44" s="48" t="s">
        <v>71</v>
      </c>
      <c r="O44" s="48" t="s">
        <v>71</v>
      </c>
      <c r="P44" s="62" t="s">
        <v>71</v>
      </c>
      <c r="Q44" s="64"/>
      <c r="R44" s="49"/>
      <c r="S44" s="66"/>
      <c r="T44" s="85"/>
      <c r="U44" s="101"/>
    </row>
    <row r="45" spans="2:22" ht="28.15" customHeight="1">
      <c r="B45" s="122"/>
      <c r="C45" s="123"/>
      <c r="D45" s="88" t="s">
        <v>161</v>
      </c>
      <c r="E45" s="89">
        <f t="shared" si="0"/>
        <v>42</v>
      </c>
      <c r="F45" s="97" t="s">
        <v>162</v>
      </c>
      <c r="G45" s="91" t="s">
        <v>148</v>
      </c>
      <c r="H45" s="78" t="s">
        <v>72</v>
      </c>
      <c r="I45" s="48" t="s">
        <v>71</v>
      </c>
      <c r="J45" s="48" t="s">
        <v>71</v>
      </c>
      <c r="K45" s="78" t="s">
        <v>71</v>
      </c>
      <c r="L45" s="48" t="s">
        <v>71</v>
      </c>
      <c r="M45" s="48" t="s">
        <v>71</v>
      </c>
      <c r="N45" s="48" t="s">
        <v>71</v>
      </c>
      <c r="O45" s="48" t="s">
        <v>71</v>
      </c>
      <c r="P45" s="62" t="s">
        <v>71</v>
      </c>
      <c r="Q45" s="64"/>
      <c r="R45" s="49"/>
      <c r="S45" s="66"/>
      <c r="T45" s="85"/>
      <c r="U45" s="100" t="s">
        <v>317</v>
      </c>
    </row>
    <row r="46" spans="2:22" ht="36" customHeight="1">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318</v>
      </c>
    </row>
    <row r="47" spans="2:22"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85"/>
      <c r="U47" s="100"/>
    </row>
    <row r="48" spans="2:22" ht="52.9" customHeight="1">
      <c r="B48" s="122"/>
      <c r="C48" s="123"/>
      <c r="D48" s="242"/>
      <c r="E48" s="89">
        <f t="shared" si="0"/>
        <v>45</v>
      </c>
      <c r="F48" s="97" t="s">
        <v>168</v>
      </c>
      <c r="G48" s="91" t="s">
        <v>169</v>
      </c>
      <c r="H48" s="78" t="s">
        <v>72</v>
      </c>
      <c r="I48" s="48" t="s">
        <v>71</v>
      </c>
      <c r="J48" s="48" t="s">
        <v>71</v>
      </c>
      <c r="K48" s="78" t="s">
        <v>71</v>
      </c>
      <c r="L48" s="48" t="s">
        <v>71</v>
      </c>
      <c r="M48" s="48" t="s">
        <v>71</v>
      </c>
      <c r="N48" s="48" t="s">
        <v>71</v>
      </c>
      <c r="O48" s="48" t="s">
        <v>71</v>
      </c>
      <c r="P48" s="62" t="s">
        <v>71</v>
      </c>
      <c r="Q48" s="64"/>
      <c r="R48" s="49"/>
      <c r="S48" s="66"/>
      <c r="T48" s="85"/>
      <c r="U48" s="100"/>
    </row>
    <row r="49" spans="2:22" ht="28.15" customHeight="1">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311</v>
      </c>
    </row>
    <row r="50" spans="2:22" ht="28.15" customHeight="1">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311</v>
      </c>
    </row>
    <row r="51" spans="2:22" ht="28.15" customHeight="1">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311</v>
      </c>
    </row>
    <row r="52" spans="2:22" ht="28.15" customHeight="1">
      <c r="B52" s="122"/>
      <c r="C52" s="322" t="s">
        <v>174</v>
      </c>
      <c r="D52" s="93" t="s">
        <v>175</v>
      </c>
      <c r="E52" s="94">
        <f t="shared" si="0"/>
        <v>49</v>
      </c>
      <c r="F52" s="95"/>
      <c r="G52" s="96" t="s">
        <v>319</v>
      </c>
      <c r="H52" s="50" t="s">
        <v>71</v>
      </c>
      <c r="I52" s="50" t="s">
        <v>71</v>
      </c>
      <c r="J52" s="50" t="s">
        <v>71</v>
      </c>
      <c r="K52" s="50" t="s">
        <v>71</v>
      </c>
      <c r="L52" s="50" t="s">
        <v>71</v>
      </c>
      <c r="M52" s="50" t="s">
        <v>71</v>
      </c>
      <c r="N52" s="50" t="s">
        <v>71</v>
      </c>
      <c r="O52" s="50" t="s">
        <v>71</v>
      </c>
      <c r="P52" s="63" t="s">
        <v>71</v>
      </c>
      <c r="Q52" s="65"/>
      <c r="R52" s="51"/>
      <c r="S52" s="67"/>
      <c r="T52" s="324"/>
      <c r="U52" s="102" t="s">
        <v>320</v>
      </c>
    </row>
    <row r="53" spans="2:22" ht="28.15" customHeight="1">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15" customHeight="1">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312</v>
      </c>
    </row>
    <row r="55" spans="2:22" ht="28.15" customHeight="1">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85"/>
      <c r="U56" s="101"/>
    </row>
    <row r="57" spans="2:22" ht="52.9" customHeight="1">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321</v>
      </c>
    </row>
    <row r="58" spans="2:22" ht="28.15" customHeight="1">
      <c r="B58" s="122"/>
      <c r="C58" s="322" t="s">
        <v>322</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323</v>
      </c>
    </row>
    <row r="59" spans="2:22" ht="28.15" customHeight="1">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323</v>
      </c>
    </row>
    <row r="60" spans="2:22" ht="28.15" customHeight="1">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323</v>
      </c>
    </row>
    <row r="61" spans="2:22" ht="28.15" customHeight="1">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323</v>
      </c>
    </row>
    <row r="62" spans="2:22" ht="28.15" customHeight="1">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323</v>
      </c>
      <c r="V62" s="126"/>
    </row>
    <row r="63" spans="2:22" ht="28.15" customHeight="1">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323</v>
      </c>
      <c r="V63" s="126"/>
    </row>
    <row r="64" spans="2:22" ht="28.15" customHeight="1">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323</v>
      </c>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324</v>
      </c>
    </row>
    <row r="68" spans="2:22" ht="43.9" customHeight="1">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318</v>
      </c>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85"/>
      <c r="U69" s="100"/>
    </row>
    <row r="70" spans="2:22" ht="43.9" customHeight="1">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325</v>
      </c>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73"/>
      <c r="R71" s="54"/>
      <c r="S71" s="74"/>
      <c r="T71" s="70"/>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48" t="s">
        <v>71</v>
      </c>
      <c r="L73" s="78" t="s">
        <v>72</v>
      </c>
      <c r="M73" s="48" t="s">
        <v>71</v>
      </c>
      <c r="N73" s="48" t="s">
        <v>71</v>
      </c>
      <c r="O73" s="48" t="s">
        <v>71</v>
      </c>
      <c r="P73" s="62" t="s">
        <v>71</v>
      </c>
      <c r="Q73" s="73"/>
      <c r="R73" s="54"/>
      <c r="S73" s="74"/>
      <c r="T73" s="70"/>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73"/>
      <c r="R74" s="54"/>
      <c r="S74" s="74"/>
      <c r="T74" s="70"/>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73"/>
      <c r="R75" s="54"/>
      <c r="S75" s="74"/>
      <c r="T75" s="70"/>
      <c r="U75" s="100"/>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73"/>
      <c r="R76" s="54"/>
      <c r="S76" s="74"/>
      <c r="T76" s="70"/>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73"/>
      <c r="R77" s="54"/>
      <c r="S77" s="74"/>
      <c r="T77" s="70"/>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73"/>
      <c r="R78" s="54"/>
      <c r="S78" s="74"/>
      <c r="T78" s="70"/>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73"/>
      <c r="R79" s="54"/>
      <c r="S79" s="74"/>
      <c r="T79" s="70"/>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73"/>
      <c r="R80" s="54"/>
      <c r="S80" s="74"/>
      <c r="T80" s="70"/>
      <c r="U80" s="100"/>
      <c r="V80" s="126"/>
    </row>
    <row r="81" spans="2: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73"/>
      <c r="R81" s="54"/>
      <c r="S81" s="74"/>
      <c r="T81" s="70"/>
      <c r="U81" s="100"/>
      <c r="V81" s="126"/>
    </row>
    <row r="82" spans="2: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73"/>
      <c r="R82" s="54"/>
      <c r="S82" s="74"/>
      <c r="T82" s="70"/>
      <c r="U82" s="100"/>
    </row>
    <row r="83" spans="2: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73"/>
      <c r="R83" s="54"/>
      <c r="S83" s="74"/>
      <c r="T83" s="70"/>
      <c r="U83" s="101" t="s">
        <v>326</v>
      </c>
    </row>
    <row r="84" spans="2: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73"/>
      <c r="R84" s="54"/>
      <c r="S84" s="74"/>
      <c r="T84" s="70"/>
      <c r="U84" s="101" t="s">
        <v>326</v>
      </c>
    </row>
    <row r="85" spans="2: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73"/>
      <c r="R85" s="54"/>
      <c r="S85" s="74"/>
      <c r="T85" s="70"/>
      <c r="U85" s="101"/>
    </row>
    <row r="86" spans="2: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73"/>
      <c r="R86" s="54"/>
      <c r="S86" s="74"/>
      <c r="T86" s="70"/>
      <c r="U86" s="101"/>
      <c r="V86" s="126"/>
    </row>
    <row r="87" spans="2: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73"/>
      <c r="R87" s="54"/>
      <c r="S87" s="74"/>
      <c r="T87" s="70"/>
      <c r="U87" s="101"/>
      <c r="V87" s="126"/>
    </row>
    <row r="88" spans="2:22" ht="28.15" customHeight="1">
      <c r="B88" s="122"/>
      <c r="C88" s="124" t="s">
        <v>255</v>
      </c>
      <c r="D88" s="232"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73"/>
      <c r="R88" s="54"/>
      <c r="S88" s="74"/>
      <c r="T88" s="70"/>
      <c r="U88" s="100"/>
    </row>
    <row r="89" spans="2:22" ht="28.15" customHeight="1">
      <c r="B89" s="122"/>
      <c r="C89" s="123"/>
      <c r="D89" s="232"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73"/>
      <c r="R89" s="54"/>
      <c r="S89" s="74"/>
      <c r="T89" s="70"/>
      <c r="U89" s="100"/>
    </row>
    <row r="90" spans="2: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85"/>
      <c r="U90" s="100"/>
    </row>
    <row r="91" spans="2:22" ht="71.45" customHeight="1">
      <c r="B91" s="122"/>
      <c r="C91" s="123"/>
      <c r="D91" s="93" t="s">
        <v>263</v>
      </c>
      <c r="E91" s="94">
        <f t="shared" si="0"/>
        <v>88</v>
      </c>
      <c r="F91" s="95"/>
      <c r="G91" s="96" t="s">
        <v>327</v>
      </c>
      <c r="H91" s="50" t="s">
        <v>71</v>
      </c>
      <c r="I91" s="50" t="s">
        <v>71</v>
      </c>
      <c r="J91" s="50" t="s">
        <v>71</v>
      </c>
      <c r="K91" s="50" t="s">
        <v>71</v>
      </c>
      <c r="L91" s="50" t="s">
        <v>71</v>
      </c>
      <c r="M91" s="50" t="s">
        <v>71</v>
      </c>
      <c r="N91" s="50" t="s">
        <v>71</v>
      </c>
      <c r="O91" s="50" t="s">
        <v>71</v>
      </c>
      <c r="P91" s="63" t="s">
        <v>71</v>
      </c>
      <c r="Q91" s="65"/>
      <c r="R91" s="51"/>
      <c r="S91" s="67"/>
      <c r="T91" s="69"/>
      <c r="U91" s="102" t="s">
        <v>328</v>
      </c>
    </row>
    <row r="92" spans="2:22" ht="28.15" customHeight="1">
      <c r="B92" s="122"/>
      <c r="C92" s="124" t="s">
        <v>266</v>
      </c>
      <c r="D92" s="232"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54"/>
      <c r="S92" s="74"/>
      <c r="T92" s="70"/>
      <c r="U92" s="100"/>
    </row>
    <row r="93" spans="2:22" ht="28.15" customHeight="1">
      <c r="B93" s="122"/>
      <c r="C93" s="232" t="s">
        <v>268</v>
      </c>
      <c r="D93" s="232" t="s">
        <v>268</v>
      </c>
      <c r="E93" s="233">
        <f t="shared" si="0"/>
        <v>90</v>
      </c>
      <c r="F93" s="97"/>
      <c r="G93" s="91" t="s">
        <v>235</v>
      </c>
      <c r="H93" s="78" t="s">
        <v>72</v>
      </c>
      <c r="I93" s="48" t="s">
        <v>71</v>
      </c>
      <c r="J93" s="48" t="s">
        <v>71</v>
      </c>
      <c r="K93" s="78" t="s">
        <v>72</v>
      </c>
      <c r="L93" s="78" t="s">
        <v>72</v>
      </c>
      <c r="M93" s="78" t="s">
        <v>72</v>
      </c>
      <c r="N93" s="48" t="s">
        <v>71</v>
      </c>
      <c r="O93" s="48" t="s">
        <v>71</v>
      </c>
      <c r="P93" s="62" t="s">
        <v>71</v>
      </c>
      <c r="Q93" s="73"/>
      <c r="R93" s="54"/>
      <c r="S93" s="74"/>
      <c r="T93" s="70"/>
      <c r="U93" s="100"/>
      <c r="V93" s="126"/>
    </row>
    <row r="94" spans="2:22" ht="28.15" customHeight="1">
      <c r="B94" s="122"/>
      <c r="C94" s="124" t="s">
        <v>269</v>
      </c>
      <c r="D94" s="232" t="s">
        <v>269</v>
      </c>
      <c r="E94" s="89">
        <f t="shared" ref="E94:E106" si="1">ROW()-3</f>
        <v>91</v>
      </c>
      <c r="F94" s="90"/>
      <c r="G94" s="91" t="s">
        <v>235</v>
      </c>
      <c r="H94" s="78" t="s">
        <v>72</v>
      </c>
      <c r="I94" s="48" t="s">
        <v>71</v>
      </c>
      <c r="J94" s="48" t="s">
        <v>71</v>
      </c>
      <c r="K94" s="78" t="s">
        <v>72</v>
      </c>
      <c r="L94" s="78" t="s">
        <v>72</v>
      </c>
      <c r="M94" s="78" t="s">
        <v>72</v>
      </c>
      <c r="N94" s="48" t="s">
        <v>71</v>
      </c>
      <c r="O94" s="48" t="s">
        <v>71</v>
      </c>
      <c r="P94" s="62" t="s">
        <v>71</v>
      </c>
      <c r="Q94" s="73"/>
      <c r="R94" s="54"/>
      <c r="S94" s="74"/>
      <c r="T94" s="70"/>
      <c r="U94" s="100"/>
    </row>
    <row r="95" spans="2:22" ht="28.15" customHeight="1">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329</v>
      </c>
    </row>
    <row r="96" spans="2:22" ht="28.15" customHeight="1">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329</v>
      </c>
    </row>
    <row r="97" spans="1:21" ht="64.900000000000006" customHeight="1">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329</v>
      </c>
    </row>
    <row r="98" spans="1:21" ht="64.900000000000006" customHeight="1">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329</v>
      </c>
    </row>
    <row r="99" spans="1:21" ht="28.15" customHeight="1">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15" customHeight="1">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330</v>
      </c>
    </row>
    <row r="101" spans="1:21" ht="28.15" customHeight="1">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73"/>
      <c r="R104" s="54"/>
      <c r="S104" s="74"/>
      <c r="T104" s="70"/>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73"/>
      <c r="R105" s="54"/>
      <c r="S105" s="74"/>
      <c r="T105" s="70"/>
      <c r="U105" s="343" t="s">
        <v>331</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73"/>
      <c r="R106" s="54"/>
      <c r="S106" s="74"/>
      <c r="T106" s="70"/>
      <c r="U106" s="100" t="s">
        <v>331</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499"/>
      <c r="R108" s="499"/>
      <c r="S108" s="499"/>
      <c r="T108" s="71"/>
      <c r="U108" s="105"/>
    </row>
    <row r="109" spans="1:21" ht="18" customHeight="1">
      <c r="B109" s="513" t="s">
        <v>305</v>
      </c>
      <c r="C109" s="494"/>
      <c r="D109" s="494">
        <f>SUM(H110:P110)</f>
        <v>111</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1"/>
      <c r="R110" s="503"/>
      <c r="S110" s="505"/>
      <c r="T110" s="112"/>
      <c r="U110" s="113"/>
    </row>
    <row r="111" spans="1:21" ht="24" customHeight="1"/>
    <row r="113" spans="2:3">
      <c r="B113" s="60" t="s">
        <v>332</v>
      </c>
      <c r="C113" s="60" cm="1">
        <f t="array" ref="C113">SUM(Win10対応_SS!D76+'パッケージ系 (SS)'!D109:D110)</f>
        <v>205</v>
      </c>
    </row>
    <row r="114" spans="2:3">
      <c r="B114" s="60" t="s">
        <v>333</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101" activePane="bottomLeft" state="frozen"/>
      <selection pane="bottomLeft" activeCell="A2" sqref="A2"/>
    </sheetView>
  </sheetViews>
  <sheetFormatPr defaultColWidth="8.7109375" defaultRowHeight="13.15"/>
  <cols>
    <col min="1" max="1" width="3.140625" style="60" customWidth="1"/>
    <col min="2" max="2" width="8.14062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2.140625" style="120" bestFit="1" customWidth="1"/>
    <col min="22" max="22" width="5" style="120" customWidth="1"/>
    <col min="23" max="16384" width="8.7109375" style="120"/>
  </cols>
  <sheetData>
    <row r="1" spans="1:22" ht="20.45" thickBot="1">
      <c r="B1" s="121" t="s">
        <v>42</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15" customHeight="1">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15" customHeight="1">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15" customHeight="1">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15" customHeight="1">
      <c r="B8" s="125" t="s">
        <v>82</v>
      </c>
      <c r="C8" s="124"/>
      <c r="D8" s="232" t="s">
        <v>83</v>
      </c>
      <c r="E8" s="233">
        <f t="shared" si="0"/>
        <v>5</v>
      </c>
      <c r="F8" s="97"/>
      <c r="G8" s="91" t="s">
        <v>335</v>
      </c>
      <c r="H8" s="78" t="s">
        <v>71</v>
      </c>
      <c r="I8" s="341" t="s">
        <v>336</v>
      </c>
      <c r="J8" s="341" t="s">
        <v>71</v>
      </c>
      <c r="K8" s="78" t="s">
        <v>72</v>
      </c>
      <c r="L8" s="341" t="s">
        <v>71</v>
      </c>
      <c r="M8" s="341" t="s">
        <v>71</v>
      </c>
      <c r="N8" s="341" t="s">
        <v>71</v>
      </c>
      <c r="O8" s="341" t="s">
        <v>71</v>
      </c>
      <c r="P8" s="345" t="s">
        <v>71</v>
      </c>
      <c r="Q8" s="407"/>
      <c r="R8" s="342"/>
      <c r="S8" s="408"/>
      <c r="T8" s="409"/>
      <c r="U8" s="343"/>
    </row>
    <row r="9" spans="1:22" ht="28.15" customHeight="1">
      <c r="B9" s="122"/>
      <c r="C9" s="123"/>
      <c r="D9" s="234" t="s">
        <v>85</v>
      </c>
      <c r="E9" s="233">
        <f t="shared" si="0"/>
        <v>6</v>
      </c>
      <c r="F9" s="97"/>
      <c r="G9" s="91" t="s">
        <v>86</v>
      </c>
      <c r="H9" s="78" t="s">
        <v>72</v>
      </c>
      <c r="I9" s="48" t="s">
        <v>71</v>
      </c>
      <c r="J9" s="48" t="s">
        <v>71</v>
      </c>
      <c r="K9" s="78" t="s">
        <v>72</v>
      </c>
      <c r="L9" s="48" t="s">
        <v>71</v>
      </c>
      <c r="M9" s="48" t="s">
        <v>71</v>
      </c>
      <c r="N9" s="48" t="s">
        <v>71</v>
      </c>
      <c r="O9" s="48" t="s">
        <v>71</v>
      </c>
      <c r="P9" s="62" t="s">
        <v>71</v>
      </c>
      <c r="Q9" s="64"/>
      <c r="R9" s="49"/>
      <c r="S9" s="66"/>
      <c r="T9" s="68"/>
      <c r="U9" s="101"/>
    </row>
    <row r="10" spans="1:22" ht="28.15" customHeight="1">
      <c r="B10" s="122"/>
      <c r="C10" s="124" t="s">
        <v>87</v>
      </c>
      <c r="D10" s="234" t="s">
        <v>88</v>
      </c>
      <c r="E10" s="233">
        <f t="shared" si="0"/>
        <v>7</v>
      </c>
      <c r="F10" s="97"/>
      <c r="G10" s="91" t="s">
        <v>89</v>
      </c>
      <c r="H10" s="78" t="s">
        <v>71</v>
      </c>
      <c r="I10" s="48" t="s">
        <v>71</v>
      </c>
      <c r="J10" s="48" t="s">
        <v>71</v>
      </c>
      <c r="K10" s="48" t="s">
        <v>71</v>
      </c>
      <c r="L10" s="78" t="s">
        <v>72</v>
      </c>
      <c r="M10" s="78" t="s">
        <v>72</v>
      </c>
      <c r="N10" s="48" t="s">
        <v>71</v>
      </c>
      <c r="O10" s="48" t="s">
        <v>71</v>
      </c>
      <c r="P10" s="62" t="s">
        <v>71</v>
      </c>
      <c r="Q10" s="64"/>
      <c r="R10" s="49"/>
      <c r="S10" s="66"/>
      <c r="T10" s="68"/>
      <c r="U10" s="101"/>
      <c r="V10" s="126"/>
    </row>
    <row r="11" spans="1:22" ht="28.15" customHeight="1">
      <c r="B11" s="125" t="s">
        <v>90</v>
      </c>
      <c r="C11" s="124" t="s">
        <v>91</v>
      </c>
      <c r="D11" s="232" t="s">
        <v>92</v>
      </c>
      <c r="E11" s="233">
        <f t="shared" si="0"/>
        <v>8</v>
      </c>
      <c r="F11" s="97" t="s">
        <v>93</v>
      </c>
      <c r="G11" s="91" t="s">
        <v>94</v>
      </c>
      <c r="H11" s="78" t="s">
        <v>72</v>
      </c>
      <c r="I11" s="48" t="s">
        <v>71</v>
      </c>
      <c r="J11" s="48" t="s">
        <v>71</v>
      </c>
      <c r="K11" s="78" t="s">
        <v>72</v>
      </c>
      <c r="L11" s="48" t="s">
        <v>71</v>
      </c>
      <c r="M11" s="48" t="s">
        <v>71</v>
      </c>
      <c r="N11" s="48" t="s">
        <v>71</v>
      </c>
      <c r="O11" s="48" t="s">
        <v>71</v>
      </c>
      <c r="P11" s="62" t="s">
        <v>71</v>
      </c>
      <c r="Q11" s="64"/>
      <c r="R11" s="49"/>
      <c r="S11" s="66"/>
      <c r="T11" s="68"/>
      <c r="U11" s="100"/>
    </row>
    <row r="12" spans="1:22" ht="62.45" customHeight="1">
      <c r="B12" s="122"/>
      <c r="C12" s="123"/>
      <c r="D12" s="232" t="s">
        <v>95</v>
      </c>
      <c r="E12" s="233">
        <f t="shared" si="0"/>
        <v>9</v>
      </c>
      <c r="F12" s="98" t="s">
        <v>96</v>
      </c>
      <c r="G12" s="91" t="s">
        <v>97</v>
      </c>
      <c r="H12" s="78" t="s">
        <v>72</v>
      </c>
      <c r="I12" s="48" t="s">
        <v>71</v>
      </c>
      <c r="J12" s="48" t="s">
        <v>71</v>
      </c>
      <c r="K12" s="78" t="s">
        <v>72</v>
      </c>
      <c r="L12" s="48" t="s">
        <v>71</v>
      </c>
      <c r="M12" s="48" t="s">
        <v>71</v>
      </c>
      <c r="N12" s="48" t="s">
        <v>71</v>
      </c>
      <c r="O12" s="48" t="s">
        <v>71</v>
      </c>
      <c r="P12" s="62" t="s">
        <v>71</v>
      </c>
      <c r="Q12" s="64"/>
      <c r="R12" s="49"/>
      <c r="S12" s="66"/>
      <c r="T12" s="68"/>
      <c r="U12" s="100"/>
    </row>
    <row r="13" spans="1:22" ht="28.15" customHeight="1">
      <c r="B13" s="122"/>
      <c r="C13" s="123"/>
      <c r="D13" s="232" t="s">
        <v>98</v>
      </c>
      <c r="E13" s="233">
        <f t="shared" si="0"/>
        <v>10</v>
      </c>
      <c r="F13" s="98"/>
      <c r="G13" s="91" t="s">
        <v>99</v>
      </c>
      <c r="H13" s="78" t="s">
        <v>72</v>
      </c>
      <c r="I13" s="48" t="s">
        <v>71</v>
      </c>
      <c r="J13" s="48" t="s">
        <v>71</v>
      </c>
      <c r="K13" s="78" t="s">
        <v>72</v>
      </c>
      <c r="L13" s="48" t="s">
        <v>71</v>
      </c>
      <c r="M13" s="48" t="s">
        <v>71</v>
      </c>
      <c r="N13" s="48" t="s">
        <v>71</v>
      </c>
      <c r="O13" s="48" t="s">
        <v>71</v>
      </c>
      <c r="P13" s="62" t="s">
        <v>71</v>
      </c>
      <c r="Q13" s="64"/>
      <c r="R13" s="49"/>
      <c r="S13" s="66"/>
      <c r="T13" s="68"/>
      <c r="U13" s="100"/>
    </row>
    <row r="14" spans="1:22" ht="28.15" customHeight="1">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337</v>
      </c>
    </row>
    <row r="15" spans="1:22" ht="28.15" customHeight="1">
      <c r="B15" s="122"/>
      <c r="C15" s="123"/>
      <c r="D15" s="93" t="s">
        <v>105</v>
      </c>
      <c r="E15" s="94">
        <f t="shared" si="0"/>
        <v>12</v>
      </c>
      <c r="F15" s="95"/>
      <c r="G15" s="96" t="s">
        <v>106</v>
      </c>
      <c r="H15" s="79" t="s">
        <v>336</v>
      </c>
      <c r="I15" s="50" t="s">
        <v>336</v>
      </c>
      <c r="J15" s="50" t="s">
        <v>71</v>
      </c>
      <c r="K15" s="50" t="s">
        <v>71</v>
      </c>
      <c r="L15" s="50" t="s">
        <v>71</v>
      </c>
      <c r="M15" s="50" t="s">
        <v>71</v>
      </c>
      <c r="N15" s="50" t="s">
        <v>71</v>
      </c>
      <c r="O15" s="50" t="s">
        <v>71</v>
      </c>
      <c r="P15" s="63" t="s">
        <v>71</v>
      </c>
      <c r="Q15" s="65"/>
      <c r="R15" s="51"/>
      <c r="S15" s="67"/>
      <c r="T15" s="324"/>
      <c r="U15" s="328" t="s">
        <v>338</v>
      </c>
    </row>
    <row r="16" spans="1:22" ht="28.15" customHeight="1">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339</v>
      </c>
    </row>
    <row r="17" spans="1:22" ht="28.15" customHeight="1">
      <c r="B17" s="122"/>
      <c r="C17" s="123"/>
      <c r="D17" s="232" t="s">
        <v>109</v>
      </c>
      <c r="E17" s="233">
        <f t="shared" si="0"/>
        <v>14</v>
      </c>
      <c r="F17" s="97"/>
      <c r="G17" s="91" t="s">
        <v>110</v>
      </c>
      <c r="H17" s="78" t="s">
        <v>72</v>
      </c>
      <c r="I17" s="48" t="s">
        <v>71</v>
      </c>
      <c r="J17" s="48" t="s">
        <v>71</v>
      </c>
      <c r="K17" s="48" t="s">
        <v>71</v>
      </c>
      <c r="L17" s="48" t="s">
        <v>71</v>
      </c>
      <c r="M17" s="48" t="s">
        <v>71</v>
      </c>
      <c r="N17" s="48" t="s">
        <v>71</v>
      </c>
      <c r="O17" s="48" t="s">
        <v>71</v>
      </c>
      <c r="P17" s="62" t="s">
        <v>71</v>
      </c>
      <c r="Q17" s="64"/>
      <c r="R17" s="49"/>
      <c r="S17" s="66"/>
      <c r="T17" s="68"/>
      <c r="U17" s="101"/>
    </row>
    <row r="18" spans="1:22" ht="28.15" customHeight="1">
      <c r="B18" s="122"/>
      <c r="C18" s="123"/>
      <c r="D18" s="235" t="s">
        <v>111</v>
      </c>
      <c r="E18" s="94">
        <f t="shared" si="0"/>
        <v>15</v>
      </c>
      <c r="F18" s="95"/>
      <c r="G18" s="96" t="s">
        <v>112</v>
      </c>
      <c r="H18" s="79" t="s">
        <v>336</v>
      </c>
      <c r="I18" s="50" t="s">
        <v>336</v>
      </c>
      <c r="J18" s="50" t="s">
        <v>71</v>
      </c>
      <c r="K18" s="50" t="s">
        <v>71</v>
      </c>
      <c r="L18" s="50" t="s">
        <v>71</v>
      </c>
      <c r="M18" s="50" t="s">
        <v>71</v>
      </c>
      <c r="N18" s="50" t="s">
        <v>71</v>
      </c>
      <c r="O18" s="50" t="s">
        <v>71</v>
      </c>
      <c r="P18" s="63" t="s">
        <v>71</v>
      </c>
      <c r="Q18" s="65"/>
      <c r="R18" s="51"/>
      <c r="S18" s="67"/>
      <c r="T18" s="324"/>
      <c r="U18" s="328" t="s">
        <v>340</v>
      </c>
    </row>
    <row r="19" spans="1:22" s="316" customFormat="1" ht="28.15" customHeight="1">
      <c r="A19" s="317"/>
      <c r="B19" s="318"/>
      <c r="C19" s="319"/>
      <c r="D19" s="326"/>
      <c r="E19" s="94">
        <f t="shared" si="0"/>
        <v>16</v>
      </c>
      <c r="F19" s="95"/>
      <c r="G19" s="96" t="s">
        <v>113</v>
      </c>
      <c r="H19" s="79" t="s">
        <v>336</v>
      </c>
      <c r="I19" s="50" t="s">
        <v>71</v>
      </c>
      <c r="J19" s="50" t="s">
        <v>71</v>
      </c>
      <c r="K19" s="50" t="s">
        <v>71</v>
      </c>
      <c r="L19" s="50" t="s">
        <v>71</v>
      </c>
      <c r="M19" s="50" t="s">
        <v>71</v>
      </c>
      <c r="N19" s="50" t="s">
        <v>71</v>
      </c>
      <c r="O19" s="50" t="s">
        <v>71</v>
      </c>
      <c r="P19" s="63" t="s">
        <v>71</v>
      </c>
      <c r="Q19" s="65"/>
      <c r="R19" s="51"/>
      <c r="S19" s="67"/>
      <c r="T19" s="324"/>
      <c r="U19" s="328" t="s">
        <v>340</v>
      </c>
      <c r="V19" s="325"/>
    </row>
    <row r="20" spans="1:22" ht="28.15" customHeight="1">
      <c r="B20" s="122"/>
      <c r="C20" s="123"/>
      <c r="D20" s="237"/>
      <c r="E20" s="233">
        <f t="shared" si="0"/>
        <v>17</v>
      </c>
      <c r="F20" s="97"/>
      <c r="G20" s="91" t="s">
        <v>115</v>
      </c>
      <c r="H20" s="78" t="s">
        <v>72</v>
      </c>
      <c r="I20" s="48" t="s">
        <v>71</v>
      </c>
      <c r="J20" s="48" t="s">
        <v>71</v>
      </c>
      <c r="K20" s="78" t="s">
        <v>72</v>
      </c>
      <c r="L20" s="48" t="s">
        <v>71</v>
      </c>
      <c r="M20" s="48" t="s">
        <v>71</v>
      </c>
      <c r="N20" s="48" t="s">
        <v>71</v>
      </c>
      <c r="O20" s="48" t="s">
        <v>71</v>
      </c>
      <c r="P20" s="62" t="s">
        <v>71</v>
      </c>
      <c r="Q20" s="64"/>
      <c r="R20" s="49"/>
      <c r="S20" s="66"/>
      <c r="T20" s="68"/>
      <c r="U20" s="100"/>
    </row>
    <row r="21" spans="1:22" ht="28.15" customHeight="1">
      <c r="B21" s="122"/>
      <c r="C21" s="123"/>
      <c r="D21" s="232" t="s">
        <v>116</v>
      </c>
      <c r="E21" s="233">
        <f t="shared" si="0"/>
        <v>18</v>
      </c>
      <c r="F21" s="97"/>
      <c r="G21" s="91" t="s">
        <v>117</v>
      </c>
      <c r="H21" s="78" t="s">
        <v>72</v>
      </c>
      <c r="I21" s="48" t="s">
        <v>71</v>
      </c>
      <c r="J21" s="48" t="s">
        <v>71</v>
      </c>
      <c r="K21" s="78" t="s">
        <v>72</v>
      </c>
      <c r="L21" s="48" t="s">
        <v>71</v>
      </c>
      <c r="M21" s="48" t="s">
        <v>71</v>
      </c>
      <c r="N21" s="48" t="s">
        <v>71</v>
      </c>
      <c r="O21" s="48" t="s">
        <v>71</v>
      </c>
      <c r="P21" s="62" t="s">
        <v>71</v>
      </c>
      <c r="Q21" s="64"/>
      <c r="R21" s="49"/>
      <c r="S21" s="66"/>
      <c r="T21" s="68"/>
      <c r="U21" s="100"/>
    </row>
    <row r="22" spans="1:22" ht="28.15" customHeight="1">
      <c r="B22" s="122"/>
      <c r="C22" s="123"/>
      <c r="D22" s="234" t="s">
        <v>118</v>
      </c>
      <c r="E22" s="233">
        <f t="shared" si="0"/>
        <v>19</v>
      </c>
      <c r="F22" s="97" t="s">
        <v>119</v>
      </c>
      <c r="G22" s="91" t="s">
        <v>120</v>
      </c>
      <c r="H22" s="78" t="s">
        <v>72</v>
      </c>
      <c r="I22" s="48" t="s">
        <v>71</v>
      </c>
      <c r="J22" s="48" t="s">
        <v>71</v>
      </c>
      <c r="K22" s="78" t="s">
        <v>72</v>
      </c>
      <c r="L22" s="48" t="s">
        <v>71</v>
      </c>
      <c r="M22" s="48" t="s">
        <v>71</v>
      </c>
      <c r="N22" s="48" t="s">
        <v>71</v>
      </c>
      <c r="O22" s="48" t="s">
        <v>71</v>
      </c>
      <c r="P22" s="62" t="s">
        <v>71</v>
      </c>
      <c r="Q22" s="64"/>
      <c r="R22" s="49"/>
      <c r="S22" s="66"/>
      <c r="T22" s="68"/>
      <c r="U22" s="100"/>
    </row>
    <row r="23" spans="1:22" ht="28.15" customHeight="1">
      <c r="B23" s="122"/>
      <c r="C23" s="123"/>
      <c r="D23" s="88" t="s">
        <v>121</v>
      </c>
      <c r="E23" s="89">
        <f t="shared" si="0"/>
        <v>20</v>
      </c>
      <c r="F23" s="90"/>
      <c r="G23" s="91" t="s">
        <v>122</v>
      </c>
      <c r="H23" s="78" t="s">
        <v>72</v>
      </c>
      <c r="I23" s="48" t="s">
        <v>71</v>
      </c>
      <c r="J23" s="48" t="s">
        <v>71</v>
      </c>
      <c r="K23" s="78" t="s">
        <v>71</v>
      </c>
      <c r="L23" s="48" t="s">
        <v>71</v>
      </c>
      <c r="M23" s="48" t="s">
        <v>71</v>
      </c>
      <c r="N23" s="48" t="s">
        <v>71</v>
      </c>
      <c r="O23" s="48" t="s">
        <v>71</v>
      </c>
      <c r="P23" s="62" t="s">
        <v>71</v>
      </c>
      <c r="Q23" s="64"/>
      <c r="R23" s="49"/>
      <c r="S23" s="66"/>
      <c r="T23" s="68"/>
      <c r="U23" s="100"/>
    </row>
    <row r="24" spans="1:22" ht="28.15" customHeight="1">
      <c r="B24" s="122"/>
      <c r="C24" s="123"/>
      <c r="D24" s="235" t="s">
        <v>123</v>
      </c>
      <c r="E24" s="89">
        <f t="shared" si="0"/>
        <v>21</v>
      </c>
      <c r="F24" s="90"/>
      <c r="G24" s="91" t="s">
        <v>124</v>
      </c>
      <c r="H24" s="78" t="s">
        <v>71</v>
      </c>
      <c r="I24" s="48" t="s">
        <v>71</v>
      </c>
      <c r="J24" s="48" t="s">
        <v>71</v>
      </c>
      <c r="K24" s="78" t="s">
        <v>71</v>
      </c>
      <c r="L24" s="48" t="s">
        <v>72</v>
      </c>
      <c r="M24" s="48" t="s">
        <v>72</v>
      </c>
      <c r="N24" s="48" t="s">
        <v>71</v>
      </c>
      <c r="O24" s="48" t="s">
        <v>71</v>
      </c>
      <c r="P24" s="62" t="s">
        <v>71</v>
      </c>
      <c r="Q24" s="64"/>
      <c r="R24" s="49"/>
      <c r="S24" s="66"/>
      <c r="T24" s="68"/>
      <c r="U24" s="101"/>
      <c r="V24" s="126"/>
    </row>
    <row r="25" spans="1:22" ht="28.15" customHeight="1">
      <c r="B25" s="122"/>
      <c r="C25" s="123"/>
      <c r="D25" s="236"/>
      <c r="E25" s="89">
        <f t="shared" si="0"/>
        <v>22</v>
      </c>
      <c r="F25" s="90"/>
      <c r="G25" s="91" t="s">
        <v>125</v>
      </c>
      <c r="H25" s="78" t="s">
        <v>71</v>
      </c>
      <c r="I25" s="48" t="s">
        <v>71</v>
      </c>
      <c r="J25" s="48" t="s">
        <v>71</v>
      </c>
      <c r="K25" s="78" t="s">
        <v>71</v>
      </c>
      <c r="L25" s="48" t="s">
        <v>72</v>
      </c>
      <c r="M25" s="48" t="s">
        <v>72</v>
      </c>
      <c r="N25" s="48" t="s">
        <v>71</v>
      </c>
      <c r="O25" s="48" t="s">
        <v>71</v>
      </c>
      <c r="P25" s="62" t="s">
        <v>71</v>
      </c>
      <c r="Q25" s="64"/>
      <c r="R25" s="49"/>
      <c r="S25" s="66"/>
      <c r="T25" s="68"/>
      <c r="U25" s="101"/>
      <c r="V25" s="126"/>
    </row>
    <row r="26" spans="1:22" ht="28.15" customHeight="1">
      <c r="B26" s="122"/>
      <c r="C26" s="123"/>
      <c r="D26" s="236"/>
      <c r="E26" s="89">
        <f t="shared" si="0"/>
        <v>23</v>
      </c>
      <c r="F26" s="90"/>
      <c r="G26" s="91" t="s">
        <v>126</v>
      </c>
      <c r="H26" s="78" t="s">
        <v>71</v>
      </c>
      <c r="I26" s="48" t="s">
        <v>71</v>
      </c>
      <c r="J26" s="48" t="s">
        <v>71</v>
      </c>
      <c r="K26" s="78" t="s">
        <v>71</v>
      </c>
      <c r="L26" s="48" t="s">
        <v>72</v>
      </c>
      <c r="M26" s="48" t="s">
        <v>72</v>
      </c>
      <c r="N26" s="48" t="s">
        <v>71</v>
      </c>
      <c r="O26" s="48" t="s">
        <v>71</v>
      </c>
      <c r="P26" s="62" t="s">
        <v>71</v>
      </c>
      <c r="Q26" s="64"/>
      <c r="R26" s="49"/>
      <c r="S26" s="66"/>
      <c r="T26" s="68"/>
      <c r="U26" s="101"/>
      <c r="V26" s="126"/>
    </row>
    <row r="27" spans="1:22" ht="28.15" customHeight="1">
      <c r="B27" s="122"/>
      <c r="C27" s="123"/>
      <c r="D27" s="234" t="s">
        <v>127</v>
      </c>
      <c r="E27" s="89">
        <f t="shared" si="0"/>
        <v>24</v>
      </c>
      <c r="F27" s="90"/>
      <c r="G27" s="91" t="s">
        <v>341</v>
      </c>
      <c r="H27" s="78" t="s">
        <v>71</v>
      </c>
      <c r="I27" s="48" t="s">
        <v>71</v>
      </c>
      <c r="J27" s="48" t="s">
        <v>71</v>
      </c>
      <c r="K27" s="78" t="s">
        <v>71</v>
      </c>
      <c r="L27" s="48" t="s">
        <v>72</v>
      </c>
      <c r="M27" s="48" t="s">
        <v>72</v>
      </c>
      <c r="N27" s="48" t="s">
        <v>71</v>
      </c>
      <c r="O27" s="48" t="s">
        <v>71</v>
      </c>
      <c r="P27" s="62" t="s">
        <v>71</v>
      </c>
      <c r="Q27" s="64"/>
      <c r="R27" s="49"/>
      <c r="S27" s="66"/>
      <c r="T27" s="68"/>
      <c r="U27" s="101"/>
      <c r="V27" s="126"/>
    </row>
    <row r="28" spans="1:22" ht="28.15" customHeight="1">
      <c r="B28" s="122"/>
      <c r="C28" s="124" t="s">
        <v>129</v>
      </c>
      <c r="D28" s="88" t="s">
        <v>130</v>
      </c>
      <c r="E28" s="89">
        <f t="shared" si="0"/>
        <v>25</v>
      </c>
      <c r="F28" s="90"/>
      <c r="G28" s="91" t="s">
        <v>131</v>
      </c>
      <c r="H28" s="78" t="s">
        <v>72</v>
      </c>
      <c r="I28" s="48" t="s">
        <v>71</v>
      </c>
      <c r="J28" s="48" t="s">
        <v>71</v>
      </c>
      <c r="K28" s="48" t="s">
        <v>71</v>
      </c>
      <c r="L28" s="48" t="s">
        <v>71</v>
      </c>
      <c r="M28" s="48" t="s">
        <v>71</v>
      </c>
      <c r="N28" s="48" t="s">
        <v>71</v>
      </c>
      <c r="O28" s="48" t="s">
        <v>71</v>
      </c>
      <c r="P28" s="62" t="s">
        <v>71</v>
      </c>
      <c r="Q28" s="64"/>
      <c r="R28" s="49"/>
      <c r="S28" s="66"/>
      <c r="T28" s="68"/>
      <c r="U28" s="100"/>
    </row>
    <row r="29" spans="1:22" ht="28.15" customHeight="1">
      <c r="B29" s="122"/>
      <c r="C29" s="123"/>
      <c r="D29" s="93" t="s">
        <v>133</v>
      </c>
      <c r="E29" s="94">
        <f t="shared" si="0"/>
        <v>26</v>
      </c>
      <c r="F29" s="95"/>
      <c r="G29" s="96" t="s">
        <v>131</v>
      </c>
      <c r="H29" s="79" t="s">
        <v>336</v>
      </c>
      <c r="I29" s="50" t="s">
        <v>336</v>
      </c>
      <c r="J29" s="50" t="s">
        <v>71</v>
      </c>
      <c r="K29" s="50" t="s">
        <v>71</v>
      </c>
      <c r="L29" s="50" t="s">
        <v>71</v>
      </c>
      <c r="M29" s="50" t="s">
        <v>71</v>
      </c>
      <c r="N29" s="50" t="s">
        <v>71</v>
      </c>
      <c r="O29" s="50" t="s">
        <v>71</v>
      </c>
      <c r="P29" s="63" t="s">
        <v>71</v>
      </c>
      <c r="Q29" s="65"/>
      <c r="R29" s="51"/>
      <c r="S29" s="67"/>
      <c r="T29" s="324"/>
      <c r="U29" s="102" t="s">
        <v>342</v>
      </c>
      <c r="V29" s="320"/>
    </row>
    <row r="30" spans="1:22" ht="28.15" customHeight="1">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0"/>
      <c r="V30" s="126"/>
    </row>
    <row r="31" spans="1:22" ht="28.15" customHeight="1">
      <c r="B31" s="122"/>
      <c r="C31" s="123"/>
      <c r="D31" s="236"/>
      <c r="E31" s="89">
        <f t="shared" si="0"/>
        <v>28</v>
      </c>
      <c r="F31" s="90"/>
      <c r="G31" s="91" t="s">
        <v>136</v>
      </c>
      <c r="H31" s="78" t="s">
        <v>72</v>
      </c>
      <c r="I31" s="48" t="s">
        <v>71</v>
      </c>
      <c r="J31" s="48" t="s">
        <v>71</v>
      </c>
      <c r="K31" s="48" t="s">
        <v>71</v>
      </c>
      <c r="L31" s="48" t="s">
        <v>71</v>
      </c>
      <c r="M31" s="48" t="s">
        <v>71</v>
      </c>
      <c r="N31" s="48" t="s">
        <v>71</v>
      </c>
      <c r="O31" s="48" t="s">
        <v>71</v>
      </c>
      <c r="P31" s="62" t="s">
        <v>71</v>
      </c>
      <c r="Q31" s="64"/>
      <c r="R31" s="49"/>
      <c r="S31" s="66"/>
      <c r="T31" s="68"/>
      <c r="U31" s="100"/>
      <c r="V31" s="126"/>
    </row>
    <row r="32" spans="1:22" ht="28.15" customHeight="1">
      <c r="B32" s="122"/>
      <c r="C32" s="123"/>
      <c r="D32" s="93" t="s">
        <v>137</v>
      </c>
      <c r="E32" s="94">
        <f t="shared" si="0"/>
        <v>29</v>
      </c>
      <c r="F32" s="95"/>
      <c r="G32" s="96" t="s">
        <v>313</v>
      </c>
      <c r="H32" s="79" t="s">
        <v>336</v>
      </c>
      <c r="I32" s="50" t="s">
        <v>336</v>
      </c>
      <c r="J32" s="50" t="s">
        <v>71</v>
      </c>
      <c r="K32" s="50" t="s">
        <v>71</v>
      </c>
      <c r="L32" s="50" t="s">
        <v>71</v>
      </c>
      <c r="M32" s="50" t="s">
        <v>71</v>
      </c>
      <c r="N32" s="50" t="s">
        <v>71</v>
      </c>
      <c r="O32" s="50" t="s">
        <v>71</v>
      </c>
      <c r="P32" s="63" t="s">
        <v>71</v>
      </c>
      <c r="Q32" s="65"/>
      <c r="R32" s="51"/>
      <c r="S32" s="67"/>
      <c r="T32" s="324"/>
      <c r="U32" s="102"/>
    </row>
    <row r="33" spans="1:23" ht="28.15" customHeight="1">
      <c r="B33" s="122"/>
      <c r="C33" s="123"/>
      <c r="D33" s="93" t="s">
        <v>140</v>
      </c>
      <c r="E33" s="94">
        <f t="shared" si="0"/>
        <v>30</v>
      </c>
      <c r="F33" s="95"/>
      <c r="G33" s="96" t="s">
        <v>315</v>
      </c>
      <c r="H33" s="79" t="s">
        <v>336</v>
      </c>
      <c r="I33" s="50" t="s">
        <v>336</v>
      </c>
      <c r="J33" s="50" t="s">
        <v>71</v>
      </c>
      <c r="K33" s="50" t="s">
        <v>71</v>
      </c>
      <c r="L33" s="50" t="s">
        <v>71</v>
      </c>
      <c r="M33" s="50" t="s">
        <v>71</v>
      </c>
      <c r="N33" s="50" t="s">
        <v>71</v>
      </c>
      <c r="O33" s="50" t="s">
        <v>71</v>
      </c>
      <c r="P33" s="63" t="s">
        <v>71</v>
      </c>
      <c r="Q33" s="65"/>
      <c r="R33" s="51"/>
      <c r="S33" s="67"/>
      <c r="T33" s="324"/>
      <c r="U33" s="102"/>
    </row>
    <row r="34" spans="1:23" ht="28.15" customHeight="1">
      <c r="B34" s="122"/>
      <c r="C34" s="123"/>
      <c r="D34" s="93" t="s">
        <v>142</v>
      </c>
      <c r="E34" s="94">
        <f t="shared" si="0"/>
        <v>31</v>
      </c>
      <c r="F34" s="95"/>
      <c r="G34" s="96" t="s">
        <v>143</v>
      </c>
      <c r="H34" s="79" t="s">
        <v>336</v>
      </c>
      <c r="I34" s="50" t="s">
        <v>336</v>
      </c>
      <c r="J34" s="50" t="s">
        <v>71</v>
      </c>
      <c r="K34" s="50" t="s">
        <v>71</v>
      </c>
      <c r="L34" s="50" t="s">
        <v>71</v>
      </c>
      <c r="M34" s="50" t="s">
        <v>71</v>
      </c>
      <c r="N34" s="50" t="s">
        <v>71</v>
      </c>
      <c r="O34" s="50" t="s">
        <v>71</v>
      </c>
      <c r="P34" s="63" t="s">
        <v>71</v>
      </c>
      <c r="Q34" s="65"/>
      <c r="R34" s="51"/>
      <c r="S34" s="67"/>
      <c r="T34" s="324"/>
      <c r="U34" s="102"/>
    </row>
    <row r="35" spans="1:23" ht="28.15" customHeight="1">
      <c r="B35" s="122"/>
      <c r="C35" s="123"/>
      <c r="D35" s="88" t="s">
        <v>144</v>
      </c>
      <c r="E35" s="89">
        <f t="shared" si="0"/>
        <v>32</v>
      </c>
      <c r="F35" s="90"/>
      <c r="G35" s="91" t="s">
        <v>143</v>
      </c>
      <c r="H35" s="78" t="s">
        <v>72</v>
      </c>
      <c r="I35" s="48" t="s">
        <v>71</v>
      </c>
      <c r="J35" s="48" t="s">
        <v>71</v>
      </c>
      <c r="K35" s="48" t="s">
        <v>71</v>
      </c>
      <c r="L35" s="48" t="s">
        <v>71</v>
      </c>
      <c r="M35" s="48" t="s">
        <v>71</v>
      </c>
      <c r="N35" s="48" t="s">
        <v>71</v>
      </c>
      <c r="O35" s="48" t="s">
        <v>71</v>
      </c>
      <c r="P35" s="62" t="s">
        <v>71</v>
      </c>
      <c r="Q35" s="64"/>
      <c r="R35" s="49"/>
      <c r="S35" s="66"/>
      <c r="T35" s="68"/>
      <c r="U35" s="100"/>
    </row>
    <row r="36" spans="1:23" ht="28.15" customHeight="1">
      <c r="B36" s="122"/>
      <c r="C36" s="123"/>
      <c r="D36" s="93" t="s">
        <v>145</v>
      </c>
      <c r="E36" s="94">
        <f t="shared" si="0"/>
        <v>33</v>
      </c>
      <c r="F36" s="95"/>
      <c r="G36" s="96" t="s">
        <v>143</v>
      </c>
      <c r="H36" s="79" t="s">
        <v>336</v>
      </c>
      <c r="I36" s="50" t="s">
        <v>336</v>
      </c>
      <c r="J36" s="50" t="s">
        <v>71</v>
      </c>
      <c r="K36" s="50" t="s">
        <v>71</v>
      </c>
      <c r="L36" s="50" t="s">
        <v>71</v>
      </c>
      <c r="M36" s="50" t="s">
        <v>71</v>
      </c>
      <c r="N36" s="50" t="s">
        <v>71</v>
      </c>
      <c r="O36" s="50" t="s">
        <v>71</v>
      </c>
      <c r="P36" s="63" t="s">
        <v>71</v>
      </c>
      <c r="Q36" s="65"/>
      <c r="R36" s="51"/>
      <c r="S36" s="67"/>
      <c r="T36" s="324"/>
      <c r="U36" s="102"/>
    </row>
    <row r="37" spans="1:23" ht="28.15" customHeight="1">
      <c r="B37" s="122"/>
      <c r="C37" s="123"/>
      <c r="D37" s="93" t="s">
        <v>146</v>
      </c>
      <c r="E37" s="94">
        <f t="shared" si="0"/>
        <v>34</v>
      </c>
      <c r="F37" s="95"/>
      <c r="G37" s="96" t="s">
        <v>143</v>
      </c>
      <c r="H37" s="79" t="s">
        <v>336</v>
      </c>
      <c r="I37" s="50" t="s">
        <v>336</v>
      </c>
      <c r="J37" s="50" t="s">
        <v>71</v>
      </c>
      <c r="K37" s="50" t="s">
        <v>71</v>
      </c>
      <c r="L37" s="50" t="s">
        <v>71</v>
      </c>
      <c r="M37" s="50" t="s">
        <v>71</v>
      </c>
      <c r="N37" s="50" t="s">
        <v>71</v>
      </c>
      <c r="O37" s="50" t="s">
        <v>71</v>
      </c>
      <c r="P37" s="63" t="s">
        <v>71</v>
      </c>
      <c r="Q37" s="65"/>
      <c r="R37" s="51"/>
      <c r="S37" s="67"/>
      <c r="T37" s="324"/>
      <c r="U37" s="102"/>
    </row>
    <row r="38" spans="1:23" ht="28.15" customHeight="1">
      <c r="B38" s="122"/>
      <c r="C38" s="123"/>
      <c r="D38" s="88" t="s">
        <v>147</v>
      </c>
      <c r="E38" s="89">
        <f t="shared" si="0"/>
        <v>35</v>
      </c>
      <c r="F38" s="90"/>
      <c r="G38" s="91" t="s">
        <v>148</v>
      </c>
      <c r="H38" s="78" t="s">
        <v>72</v>
      </c>
      <c r="I38" s="48" t="s">
        <v>71</v>
      </c>
      <c r="J38" s="48" t="s">
        <v>71</v>
      </c>
      <c r="K38" s="78" t="s">
        <v>72</v>
      </c>
      <c r="L38" s="48" t="s">
        <v>71</v>
      </c>
      <c r="M38" s="48" t="s">
        <v>71</v>
      </c>
      <c r="N38" s="48" t="s">
        <v>71</v>
      </c>
      <c r="O38" s="48" t="s">
        <v>71</v>
      </c>
      <c r="P38" s="62" t="s">
        <v>71</v>
      </c>
      <c r="Q38" s="64"/>
      <c r="R38" s="49"/>
      <c r="S38" s="66"/>
      <c r="T38" s="68"/>
      <c r="U38" s="100"/>
    </row>
    <row r="39" spans="1:23" ht="28.15" customHeight="1">
      <c r="B39" s="122"/>
      <c r="C39" s="124" t="s">
        <v>149</v>
      </c>
      <c r="D39" s="88" t="s">
        <v>150</v>
      </c>
      <c r="E39" s="89">
        <f t="shared" si="0"/>
        <v>36</v>
      </c>
      <c r="F39" s="97"/>
      <c r="G39" s="91" t="s">
        <v>148</v>
      </c>
      <c r="H39" s="78" t="s">
        <v>72</v>
      </c>
      <c r="I39" s="48" t="s">
        <v>71</v>
      </c>
      <c r="J39" s="48" t="s">
        <v>71</v>
      </c>
      <c r="K39" s="48" t="s">
        <v>71</v>
      </c>
      <c r="L39" s="48" t="s">
        <v>71</v>
      </c>
      <c r="M39" s="48" t="s">
        <v>71</v>
      </c>
      <c r="N39" s="48" t="s">
        <v>71</v>
      </c>
      <c r="O39" s="48" t="s">
        <v>71</v>
      </c>
      <c r="P39" s="62" t="s">
        <v>71</v>
      </c>
      <c r="Q39" s="64"/>
      <c r="R39" s="49"/>
      <c r="S39" s="66"/>
      <c r="T39" s="68"/>
      <c r="U39" s="100"/>
      <c r="V39" s="126"/>
    </row>
    <row r="40" spans="1:23" ht="48.6" customHeight="1">
      <c r="B40" s="122"/>
      <c r="C40" s="123"/>
      <c r="D40" s="88" t="s">
        <v>151</v>
      </c>
      <c r="E40" s="89">
        <f t="shared" si="0"/>
        <v>37</v>
      </c>
      <c r="F40" s="97" t="s">
        <v>152</v>
      </c>
      <c r="G40" s="91" t="s">
        <v>148</v>
      </c>
      <c r="H40" s="78" t="s">
        <v>72</v>
      </c>
      <c r="I40" s="48" t="s">
        <v>71</v>
      </c>
      <c r="J40" s="48" t="s">
        <v>71</v>
      </c>
      <c r="K40" s="48" t="s">
        <v>71</v>
      </c>
      <c r="L40" s="48" t="s">
        <v>71</v>
      </c>
      <c r="M40" s="48" t="s">
        <v>71</v>
      </c>
      <c r="N40" s="48" t="s">
        <v>71</v>
      </c>
      <c r="O40" s="48" t="s">
        <v>71</v>
      </c>
      <c r="P40" s="62" t="s">
        <v>71</v>
      </c>
      <c r="Q40" s="64"/>
      <c r="R40" s="49"/>
      <c r="S40" s="66"/>
      <c r="T40" s="68"/>
      <c r="U40" s="100"/>
      <c r="V40" s="126"/>
    </row>
    <row r="41" spans="1:23" ht="28.15" customHeight="1">
      <c r="B41" s="122"/>
      <c r="C41" s="123"/>
      <c r="D41" s="88" t="s">
        <v>153</v>
      </c>
      <c r="E41" s="89">
        <f t="shared" si="0"/>
        <v>38</v>
      </c>
      <c r="F41" s="97"/>
      <c r="G41" s="91" t="s">
        <v>154</v>
      </c>
      <c r="H41" s="78" t="s">
        <v>72</v>
      </c>
      <c r="I41" s="48" t="s">
        <v>71</v>
      </c>
      <c r="J41" s="48" t="s">
        <v>71</v>
      </c>
      <c r="K41" s="48" t="s">
        <v>71</v>
      </c>
      <c r="L41" s="48" t="s">
        <v>71</v>
      </c>
      <c r="M41" s="48" t="s">
        <v>71</v>
      </c>
      <c r="N41" s="48" t="s">
        <v>71</v>
      </c>
      <c r="O41" s="48" t="s">
        <v>71</v>
      </c>
      <c r="P41" s="62" t="s">
        <v>71</v>
      </c>
      <c r="Q41" s="64"/>
      <c r="R41" s="49"/>
      <c r="S41" s="66"/>
      <c r="T41" s="68"/>
      <c r="U41" s="100"/>
    </row>
    <row r="42" spans="1:23" ht="28.15" customHeight="1">
      <c r="B42" s="122"/>
      <c r="C42" s="123"/>
      <c r="D42" s="88" t="s">
        <v>155</v>
      </c>
      <c r="E42" s="89">
        <f t="shared" si="0"/>
        <v>39</v>
      </c>
      <c r="F42" s="97"/>
      <c r="G42" s="91" t="s">
        <v>148</v>
      </c>
      <c r="H42" s="78" t="s">
        <v>72</v>
      </c>
      <c r="I42" s="48" t="s">
        <v>71</v>
      </c>
      <c r="J42" s="48" t="s">
        <v>71</v>
      </c>
      <c r="K42" s="48" t="s">
        <v>71</v>
      </c>
      <c r="L42" s="48" t="s">
        <v>71</v>
      </c>
      <c r="M42" s="48" t="s">
        <v>71</v>
      </c>
      <c r="N42" s="48" t="s">
        <v>71</v>
      </c>
      <c r="O42" s="48" t="s">
        <v>71</v>
      </c>
      <c r="P42" s="62" t="s">
        <v>71</v>
      </c>
      <c r="Q42" s="64"/>
      <c r="R42" s="49"/>
      <c r="S42" s="66"/>
      <c r="T42" s="68"/>
      <c r="U42" s="100"/>
      <c r="V42" s="126"/>
    </row>
    <row r="43" spans="1:23" ht="28.15" customHeight="1">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316</v>
      </c>
      <c r="V43" s="126"/>
    </row>
    <row r="44" spans="1:23" ht="37.9" customHeight="1">
      <c r="B44" s="122"/>
      <c r="C44" s="123"/>
      <c r="D44" s="88" t="s">
        <v>159</v>
      </c>
      <c r="E44" s="89">
        <f t="shared" si="0"/>
        <v>41</v>
      </c>
      <c r="F44" s="97" t="s">
        <v>160</v>
      </c>
      <c r="G44" s="91" t="s">
        <v>148</v>
      </c>
      <c r="H44" s="78" t="s">
        <v>72</v>
      </c>
      <c r="I44" s="48" t="s">
        <v>71</v>
      </c>
      <c r="J44" s="48" t="s">
        <v>71</v>
      </c>
      <c r="K44" s="48" t="s">
        <v>71</v>
      </c>
      <c r="L44" s="48" t="s">
        <v>71</v>
      </c>
      <c r="M44" s="48" t="s">
        <v>71</v>
      </c>
      <c r="N44" s="48" t="s">
        <v>71</v>
      </c>
      <c r="O44" s="48" t="s">
        <v>71</v>
      </c>
      <c r="P44" s="62" t="s">
        <v>71</v>
      </c>
      <c r="Q44" s="64"/>
      <c r="R44" s="49"/>
      <c r="S44" s="66"/>
      <c r="T44" s="68"/>
      <c r="U44" s="101"/>
    </row>
    <row r="45" spans="1:23" s="348" customFormat="1" ht="28.15" customHeight="1">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343</v>
      </c>
      <c r="V45" s="120"/>
      <c r="W45" s="120"/>
    </row>
    <row r="46" spans="1:23" ht="36" customHeight="1">
      <c r="B46" s="122"/>
      <c r="C46" s="123"/>
      <c r="D46" s="235" t="s">
        <v>163</v>
      </c>
      <c r="E46" s="89">
        <f t="shared" si="0"/>
        <v>43</v>
      </c>
      <c r="F46" s="97" t="s">
        <v>164</v>
      </c>
      <c r="G46" s="91" t="s">
        <v>148</v>
      </c>
      <c r="H46" s="78" t="s">
        <v>72</v>
      </c>
      <c r="I46" s="48" t="s">
        <v>71</v>
      </c>
      <c r="J46" s="48" t="s">
        <v>71</v>
      </c>
      <c r="K46" s="78" t="s">
        <v>72</v>
      </c>
      <c r="L46" s="48" t="s">
        <v>71</v>
      </c>
      <c r="M46" s="48" t="s">
        <v>71</v>
      </c>
      <c r="N46" s="48" t="s">
        <v>71</v>
      </c>
      <c r="O46" s="48" t="s">
        <v>71</v>
      </c>
      <c r="P46" s="62" t="s">
        <v>71</v>
      </c>
      <c r="Q46" s="64"/>
      <c r="R46" s="49"/>
      <c r="S46" s="66"/>
      <c r="T46" s="68"/>
      <c r="U46" s="100"/>
    </row>
    <row r="47" spans="1:23" ht="36" customHeight="1">
      <c r="B47" s="122"/>
      <c r="C47" s="123"/>
      <c r="D47" s="236"/>
      <c r="E47" s="89">
        <f t="shared" si="0"/>
        <v>44</v>
      </c>
      <c r="F47" s="97" t="s">
        <v>166</v>
      </c>
      <c r="G47" s="91" t="s">
        <v>167</v>
      </c>
      <c r="H47" s="78" t="s">
        <v>72</v>
      </c>
      <c r="I47" s="48" t="s">
        <v>71</v>
      </c>
      <c r="J47" s="48" t="s">
        <v>71</v>
      </c>
      <c r="K47" s="78" t="s">
        <v>72</v>
      </c>
      <c r="L47" s="48" t="s">
        <v>71</v>
      </c>
      <c r="M47" s="48" t="s">
        <v>71</v>
      </c>
      <c r="N47" s="48" t="s">
        <v>71</v>
      </c>
      <c r="O47" s="48" t="s">
        <v>71</v>
      </c>
      <c r="P47" s="62" t="s">
        <v>71</v>
      </c>
      <c r="Q47" s="64"/>
      <c r="R47" s="49"/>
      <c r="S47" s="66"/>
      <c r="T47" s="68"/>
      <c r="U47" s="100"/>
    </row>
    <row r="48" spans="1:23" ht="52.9" customHeight="1">
      <c r="B48" s="122"/>
      <c r="C48" s="123"/>
      <c r="D48" s="242"/>
      <c r="E48" s="89">
        <f t="shared" si="0"/>
        <v>45</v>
      </c>
      <c r="F48" s="97" t="s">
        <v>168</v>
      </c>
      <c r="G48" s="91" t="s">
        <v>169</v>
      </c>
      <c r="H48" s="78" t="s">
        <v>72</v>
      </c>
      <c r="I48" s="48" t="s">
        <v>71</v>
      </c>
      <c r="J48" s="48" t="s">
        <v>71</v>
      </c>
      <c r="K48" s="48" t="s">
        <v>71</v>
      </c>
      <c r="L48" s="48" t="s">
        <v>71</v>
      </c>
      <c r="M48" s="48" t="s">
        <v>71</v>
      </c>
      <c r="N48" s="48" t="s">
        <v>71</v>
      </c>
      <c r="O48" s="48" t="s">
        <v>71</v>
      </c>
      <c r="P48" s="62" t="s">
        <v>71</v>
      </c>
      <c r="Q48" s="64"/>
      <c r="R48" s="49"/>
      <c r="S48" s="66"/>
      <c r="T48" s="68"/>
      <c r="U48" s="100"/>
    </row>
    <row r="49" spans="2:22" ht="28.15" customHeight="1">
      <c r="B49" s="122"/>
      <c r="C49" s="322" t="s">
        <v>170</v>
      </c>
      <c r="D49" s="93" t="s">
        <v>171</v>
      </c>
      <c r="E49" s="94">
        <f t="shared" si="0"/>
        <v>46</v>
      </c>
      <c r="F49" s="95"/>
      <c r="G49" s="96" t="s">
        <v>172</v>
      </c>
      <c r="H49" s="50" t="s">
        <v>336</v>
      </c>
      <c r="I49" s="50" t="s">
        <v>336</v>
      </c>
      <c r="J49" s="50" t="s">
        <v>71</v>
      </c>
      <c r="K49" s="50" t="s">
        <v>71</v>
      </c>
      <c r="L49" s="50" t="s">
        <v>71</v>
      </c>
      <c r="M49" s="50" t="s">
        <v>71</v>
      </c>
      <c r="N49" s="50" t="s">
        <v>71</v>
      </c>
      <c r="O49" s="50" t="s">
        <v>71</v>
      </c>
      <c r="P49" s="63" t="s">
        <v>71</v>
      </c>
      <c r="Q49" s="65"/>
      <c r="R49" s="51"/>
      <c r="S49" s="67"/>
      <c r="T49" s="324"/>
      <c r="U49" s="346"/>
    </row>
    <row r="50" spans="2:22" ht="28.15" customHeight="1">
      <c r="B50" s="122"/>
      <c r="C50" s="332"/>
      <c r="D50" s="333" t="s">
        <v>171</v>
      </c>
      <c r="E50" s="94">
        <f t="shared" si="0"/>
        <v>47</v>
      </c>
      <c r="F50" s="95"/>
      <c r="G50" s="96" t="s">
        <v>172</v>
      </c>
      <c r="H50" s="50" t="s">
        <v>336</v>
      </c>
      <c r="I50" s="50" t="s">
        <v>336</v>
      </c>
      <c r="J50" s="50" t="s">
        <v>71</v>
      </c>
      <c r="K50" s="50" t="s">
        <v>71</v>
      </c>
      <c r="L50" s="50" t="s">
        <v>71</v>
      </c>
      <c r="M50" s="50" t="s">
        <v>71</v>
      </c>
      <c r="N50" s="50" t="s">
        <v>71</v>
      </c>
      <c r="O50" s="50" t="s">
        <v>71</v>
      </c>
      <c r="P50" s="63" t="s">
        <v>71</v>
      </c>
      <c r="Q50" s="65"/>
      <c r="R50" s="51"/>
      <c r="S50" s="67"/>
      <c r="T50" s="324"/>
      <c r="U50" s="346"/>
    </row>
    <row r="51" spans="2:22" ht="28.15" customHeight="1">
      <c r="B51" s="122"/>
      <c r="C51" s="332"/>
      <c r="D51" s="339"/>
      <c r="E51" s="94">
        <f t="shared" si="0"/>
        <v>48</v>
      </c>
      <c r="F51" s="95"/>
      <c r="G51" s="96" t="s">
        <v>173</v>
      </c>
      <c r="H51" s="50" t="s">
        <v>336</v>
      </c>
      <c r="I51" s="50" t="s">
        <v>336</v>
      </c>
      <c r="J51" s="50" t="s">
        <v>71</v>
      </c>
      <c r="K51" s="50" t="s">
        <v>71</v>
      </c>
      <c r="L51" s="50" t="s">
        <v>71</v>
      </c>
      <c r="M51" s="50" t="s">
        <v>71</v>
      </c>
      <c r="N51" s="50" t="s">
        <v>71</v>
      </c>
      <c r="O51" s="50" t="s">
        <v>71</v>
      </c>
      <c r="P51" s="63" t="s">
        <v>71</v>
      </c>
      <c r="Q51" s="65"/>
      <c r="R51" s="51"/>
      <c r="S51" s="67"/>
      <c r="T51" s="324"/>
      <c r="U51" s="102"/>
    </row>
    <row r="52" spans="2:22" ht="28.15" customHeight="1">
      <c r="B52" s="122"/>
      <c r="C52" s="124" t="s">
        <v>174</v>
      </c>
      <c r="D52" s="88" t="s">
        <v>175</v>
      </c>
      <c r="E52" s="89">
        <f t="shared" si="0"/>
        <v>49</v>
      </c>
      <c r="F52" s="90"/>
      <c r="G52" s="91" t="s">
        <v>319</v>
      </c>
      <c r="H52" s="78" t="s">
        <v>72</v>
      </c>
      <c r="I52" s="48" t="s">
        <v>71</v>
      </c>
      <c r="J52" s="48" t="s">
        <v>71</v>
      </c>
      <c r="K52" s="78" t="s">
        <v>71</v>
      </c>
      <c r="L52" s="48" t="s">
        <v>71</v>
      </c>
      <c r="M52" s="48" t="s">
        <v>71</v>
      </c>
      <c r="N52" s="48" t="s">
        <v>71</v>
      </c>
      <c r="O52" s="48" t="s">
        <v>71</v>
      </c>
      <c r="P52" s="62" t="s">
        <v>71</v>
      </c>
      <c r="Q52" s="64"/>
      <c r="R52" s="49"/>
      <c r="S52" s="66"/>
      <c r="T52" s="68"/>
      <c r="U52" s="100"/>
    </row>
    <row r="53" spans="2:22" ht="28.15" customHeight="1">
      <c r="B53" s="122"/>
      <c r="C53" s="123"/>
      <c r="D53" s="88" t="s">
        <v>177</v>
      </c>
      <c r="E53" s="89">
        <f t="shared" si="0"/>
        <v>50</v>
      </c>
      <c r="F53" s="90"/>
      <c r="G53" s="91" t="s">
        <v>178</v>
      </c>
      <c r="H53" s="78" t="s">
        <v>72</v>
      </c>
      <c r="I53" s="48" t="s">
        <v>71</v>
      </c>
      <c r="J53" s="48" t="s">
        <v>71</v>
      </c>
      <c r="K53" s="78" t="s">
        <v>71</v>
      </c>
      <c r="L53" s="48" t="s">
        <v>71</v>
      </c>
      <c r="M53" s="48" t="s">
        <v>71</v>
      </c>
      <c r="N53" s="48" t="s">
        <v>71</v>
      </c>
      <c r="O53" s="48" t="s">
        <v>71</v>
      </c>
      <c r="P53" s="62" t="s">
        <v>71</v>
      </c>
      <c r="Q53" s="64"/>
      <c r="R53" s="49"/>
      <c r="S53" s="66"/>
      <c r="T53" s="68"/>
      <c r="U53" s="100"/>
    </row>
    <row r="54" spans="2:22" ht="28.15" customHeight="1">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15" customHeight="1">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15" customHeight="1">
      <c r="B56" s="122"/>
      <c r="C56" s="124" t="s">
        <v>184</v>
      </c>
      <c r="D56" s="88" t="s">
        <v>185</v>
      </c>
      <c r="E56" s="89">
        <f t="shared" si="0"/>
        <v>53</v>
      </c>
      <c r="F56" s="90"/>
      <c r="G56" s="91" t="s">
        <v>186</v>
      </c>
      <c r="H56" s="61" t="s">
        <v>71</v>
      </c>
      <c r="I56" s="48" t="s">
        <v>71</v>
      </c>
      <c r="J56" s="48" t="s">
        <v>71</v>
      </c>
      <c r="K56" s="78" t="s">
        <v>72</v>
      </c>
      <c r="L56" s="48" t="s">
        <v>71</v>
      </c>
      <c r="M56" s="78" t="s">
        <v>72</v>
      </c>
      <c r="N56" s="48" t="s">
        <v>71</v>
      </c>
      <c r="O56" s="48" t="s">
        <v>71</v>
      </c>
      <c r="P56" s="62" t="s">
        <v>71</v>
      </c>
      <c r="Q56" s="64"/>
      <c r="R56" s="49"/>
      <c r="S56" s="66"/>
      <c r="T56" s="68"/>
      <c r="U56" s="101"/>
    </row>
    <row r="57" spans="2:22" ht="52.9" customHeight="1">
      <c r="B57" s="122"/>
      <c r="C57" s="123"/>
      <c r="D57" s="88" t="s">
        <v>187</v>
      </c>
      <c r="E57" s="89">
        <f t="shared" si="0"/>
        <v>54</v>
      </c>
      <c r="F57" s="90" t="s">
        <v>188</v>
      </c>
      <c r="G57" s="91" t="s">
        <v>344</v>
      </c>
      <c r="H57" s="78" t="s">
        <v>72</v>
      </c>
      <c r="I57" s="48" t="s">
        <v>71</v>
      </c>
      <c r="J57" s="48" t="s">
        <v>71</v>
      </c>
      <c r="K57" s="78" t="s">
        <v>72</v>
      </c>
      <c r="L57" s="48" t="s">
        <v>71</v>
      </c>
      <c r="M57" s="48" t="s">
        <v>71</v>
      </c>
      <c r="N57" s="48" t="s">
        <v>71</v>
      </c>
      <c r="O57" s="48" t="s">
        <v>71</v>
      </c>
      <c r="P57" s="62" t="s">
        <v>71</v>
      </c>
      <c r="Q57" s="64"/>
      <c r="R57" s="49"/>
      <c r="S57" s="66"/>
      <c r="T57" s="68"/>
      <c r="U57" s="100"/>
    </row>
    <row r="58" spans="2:22" ht="28.15" customHeight="1">
      <c r="B58" s="122"/>
      <c r="C58" s="124" t="s">
        <v>190</v>
      </c>
      <c r="D58" s="88" t="s">
        <v>191</v>
      </c>
      <c r="E58" s="89">
        <f t="shared" si="0"/>
        <v>55</v>
      </c>
      <c r="F58" s="90"/>
      <c r="G58" s="91" t="s">
        <v>192</v>
      </c>
      <c r="H58" s="78" t="s">
        <v>72</v>
      </c>
      <c r="I58" s="48" t="s">
        <v>71</v>
      </c>
      <c r="J58" s="48" t="s">
        <v>71</v>
      </c>
      <c r="K58" s="48" t="s">
        <v>71</v>
      </c>
      <c r="L58" s="48" t="s">
        <v>71</v>
      </c>
      <c r="M58" s="48" t="s">
        <v>71</v>
      </c>
      <c r="N58" s="48" t="s">
        <v>71</v>
      </c>
      <c r="O58" s="48" t="s">
        <v>71</v>
      </c>
      <c r="P58" s="62" t="s">
        <v>71</v>
      </c>
      <c r="Q58" s="64"/>
      <c r="R58" s="49"/>
      <c r="S58" s="66"/>
      <c r="T58" s="68"/>
      <c r="U58" s="100"/>
    </row>
    <row r="59" spans="2:22" ht="28.15" customHeight="1">
      <c r="B59" s="122"/>
      <c r="C59" s="123"/>
      <c r="D59" s="88" t="s">
        <v>193</v>
      </c>
      <c r="E59" s="89">
        <f t="shared" si="0"/>
        <v>56</v>
      </c>
      <c r="F59" s="90"/>
      <c r="G59" s="91" t="s">
        <v>194</v>
      </c>
      <c r="H59" s="78" t="s">
        <v>72</v>
      </c>
      <c r="I59" s="48" t="s">
        <v>71</v>
      </c>
      <c r="J59" s="48" t="s">
        <v>71</v>
      </c>
      <c r="K59" s="48" t="s">
        <v>71</v>
      </c>
      <c r="L59" s="48" t="s">
        <v>71</v>
      </c>
      <c r="M59" s="48" t="s">
        <v>71</v>
      </c>
      <c r="N59" s="48" t="s">
        <v>71</v>
      </c>
      <c r="O59" s="48" t="s">
        <v>71</v>
      </c>
      <c r="P59" s="62" t="s">
        <v>71</v>
      </c>
      <c r="Q59" s="64"/>
      <c r="R59" s="49"/>
      <c r="S59" s="66"/>
      <c r="T59" s="68"/>
      <c r="U59" s="100"/>
    </row>
    <row r="60" spans="2:22" ht="28.15" customHeight="1">
      <c r="B60" s="122"/>
      <c r="C60" s="123"/>
      <c r="D60" s="88" t="s">
        <v>195</v>
      </c>
      <c r="E60" s="89">
        <f t="shared" si="0"/>
        <v>57</v>
      </c>
      <c r="F60" s="90"/>
      <c r="G60" s="91" t="s">
        <v>196</v>
      </c>
      <c r="H60" s="78" t="s">
        <v>72</v>
      </c>
      <c r="I60" s="48" t="s">
        <v>71</v>
      </c>
      <c r="J60" s="48" t="s">
        <v>71</v>
      </c>
      <c r="K60" s="48" t="s">
        <v>71</v>
      </c>
      <c r="L60" s="48" t="s">
        <v>71</v>
      </c>
      <c r="M60" s="48" t="s">
        <v>71</v>
      </c>
      <c r="N60" s="48" t="s">
        <v>71</v>
      </c>
      <c r="O60" s="48" t="s">
        <v>71</v>
      </c>
      <c r="P60" s="62" t="s">
        <v>71</v>
      </c>
      <c r="Q60" s="64"/>
      <c r="R60" s="49"/>
      <c r="S60" s="66"/>
      <c r="T60" s="68"/>
      <c r="U60" s="100"/>
    </row>
    <row r="61" spans="2:22" ht="28.15" customHeight="1">
      <c r="B61" s="122"/>
      <c r="C61" s="123"/>
      <c r="D61" s="88" t="s">
        <v>198</v>
      </c>
      <c r="E61" s="89">
        <f t="shared" si="0"/>
        <v>58</v>
      </c>
      <c r="F61" s="90"/>
      <c r="G61" s="91" t="s">
        <v>199</v>
      </c>
      <c r="H61" s="78" t="s">
        <v>72</v>
      </c>
      <c r="I61" s="48" t="s">
        <v>71</v>
      </c>
      <c r="J61" s="48" t="s">
        <v>71</v>
      </c>
      <c r="K61" s="48" t="s">
        <v>71</v>
      </c>
      <c r="L61" s="48" t="s">
        <v>71</v>
      </c>
      <c r="M61" s="48" t="s">
        <v>71</v>
      </c>
      <c r="N61" s="48" t="s">
        <v>71</v>
      </c>
      <c r="O61" s="48" t="s">
        <v>71</v>
      </c>
      <c r="P61" s="62" t="s">
        <v>71</v>
      </c>
      <c r="Q61" s="64"/>
      <c r="R61" s="49"/>
      <c r="S61" s="66"/>
      <c r="T61" s="68"/>
      <c r="U61" s="100"/>
    </row>
    <row r="62" spans="2:22" ht="28.15" customHeight="1">
      <c r="B62" s="122"/>
      <c r="C62" s="123"/>
      <c r="D62" s="88" t="s">
        <v>200</v>
      </c>
      <c r="E62" s="89">
        <f t="shared" si="0"/>
        <v>59</v>
      </c>
      <c r="F62" s="90"/>
      <c r="G62" s="91" t="s">
        <v>201</v>
      </c>
      <c r="H62" s="78" t="s">
        <v>345</v>
      </c>
      <c r="I62" s="48" t="s">
        <v>71</v>
      </c>
      <c r="J62" s="48" t="s">
        <v>71</v>
      </c>
      <c r="K62" s="48" t="s">
        <v>71</v>
      </c>
      <c r="L62" s="48" t="s">
        <v>71</v>
      </c>
      <c r="M62" s="48" t="s">
        <v>71</v>
      </c>
      <c r="N62" s="48" t="s">
        <v>71</v>
      </c>
      <c r="O62" s="48" t="s">
        <v>71</v>
      </c>
      <c r="P62" s="62" t="s">
        <v>71</v>
      </c>
      <c r="Q62" s="64"/>
      <c r="R62" s="49"/>
      <c r="S62" s="66"/>
      <c r="T62" s="68"/>
      <c r="U62" s="100"/>
      <c r="V62" s="126"/>
    </row>
    <row r="63" spans="2:22" ht="28.15" customHeight="1">
      <c r="B63" s="122"/>
      <c r="C63" s="123"/>
      <c r="D63" s="88" t="s">
        <v>202</v>
      </c>
      <c r="E63" s="89">
        <f t="shared" si="0"/>
        <v>60</v>
      </c>
      <c r="F63" s="90"/>
      <c r="G63" s="91" t="s">
        <v>201</v>
      </c>
      <c r="H63" s="78" t="s">
        <v>72</v>
      </c>
      <c r="I63" s="48" t="s">
        <v>71</v>
      </c>
      <c r="J63" s="48" t="s">
        <v>71</v>
      </c>
      <c r="K63" s="48" t="s">
        <v>71</v>
      </c>
      <c r="L63" s="48" t="s">
        <v>71</v>
      </c>
      <c r="M63" s="48" t="s">
        <v>71</v>
      </c>
      <c r="N63" s="48" t="s">
        <v>71</v>
      </c>
      <c r="O63" s="48" t="s">
        <v>71</v>
      </c>
      <c r="P63" s="62" t="s">
        <v>71</v>
      </c>
      <c r="Q63" s="64"/>
      <c r="R63" s="49"/>
      <c r="S63" s="66"/>
      <c r="T63" s="68"/>
      <c r="U63" s="100"/>
      <c r="V63" s="126"/>
    </row>
    <row r="64" spans="2:22" ht="28.15" customHeight="1">
      <c r="B64" s="122"/>
      <c r="C64" s="123"/>
      <c r="D64" s="88" t="s">
        <v>203</v>
      </c>
      <c r="E64" s="89">
        <f t="shared" si="0"/>
        <v>61</v>
      </c>
      <c r="F64" s="97"/>
      <c r="G64" s="91" t="s">
        <v>201</v>
      </c>
      <c r="H64" s="78" t="s">
        <v>72</v>
      </c>
      <c r="I64" s="48" t="s">
        <v>71</v>
      </c>
      <c r="J64" s="48" t="s">
        <v>71</v>
      </c>
      <c r="K64" s="48" t="s">
        <v>71</v>
      </c>
      <c r="L64" s="48" t="s">
        <v>71</v>
      </c>
      <c r="M64" s="48" t="s">
        <v>71</v>
      </c>
      <c r="N64" s="48" t="s">
        <v>71</v>
      </c>
      <c r="O64" s="48" t="s">
        <v>71</v>
      </c>
      <c r="P64" s="62" t="s">
        <v>71</v>
      </c>
      <c r="Q64" s="64"/>
      <c r="R64" s="49"/>
      <c r="S64" s="66"/>
      <c r="T64" s="68"/>
      <c r="U64" s="100"/>
    </row>
    <row r="65" spans="2:22" ht="37.9" customHeight="1">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316</v>
      </c>
    </row>
    <row r="66" spans="2:22" ht="37.9" customHeight="1">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324</v>
      </c>
    </row>
    <row r="67" spans="2:22" ht="37.9" customHeight="1">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324</v>
      </c>
    </row>
    <row r="68" spans="2:22" ht="43.9" customHeight="1">
      <c r="B68" s="122"/>
      <c r="C68" s="124" t="s">
        <v>209</v>
      </c>
      <c r="D68" s="92" t="s">
        <v>210</v>
      </c>
      <c r="E68" s="89">
        <f t="shared" si="0"/>
        <v>65</v>
      </c>
      <c r="F68" s="90"/>
      <c r="G68" s="91" t="s">
        <v>211</v>
      </c>
      <c r="H68" s="78" t="s">
        <v>72</v>
      </c>
      <c r="I68" s="48" t="s">
        <v>71</v>
      </c>
      <c r="J68" s="48" t="s">
        <v>71</v>
      </c>
      <c r="K68" s="78" t="s">
        <v>71</v>
      </c>
      <c r="L68" s="78" t="s">
        <v>72</v>
      </c>
      <c r="M68" s="78" t="s">
        <v>72</v>
      </c>
      <c r="N68" s="48" t="s">
        <v>71</v>
      </c>
      <c r="O68" s="48" t="s">
        <v>71</v>
      </c>
      <c r="P68" s="62" t="s">
        <v>71</v>
      </c>
      <c r="Q68" s="64"/>
      <c r="R68" s="49"/>
      <c r="S68" s="66"/>
      <c r="T68" s="68"/>
      <c r="U68" s="101"/>
    </row>
    <row r="69" spans="2:22" ht="43.9" customHeight="1">
      <c r="B69" s="122"/>
      <c r="C69" s="123"/>
      <c r="D69" s="92" t="s">
        <v>212</v>
      </c>
      <c r="E69" s="89">
        <f t="shared" si="0"/>
        <v>66</v>
      </c>
      <c r="F69" s="90"/>
      <c r="G69" s="91" t="s">
        <v>213</v>
      </c>
      <c r="H69" s="78" t="s">
        <v>72</v>
      </c>
      <c r="I69" s="48" t="s">
        <v>71</v>
      </c>
      <c r="J69" s="48" t="s">
        <v>71</v>
      </c>
      <c r="K69" s="78" t="s">
        <v>71</v>
      </c>
      <c r="L69" s="78" t="s">
        <v>72</v>
      </c>
      <c r="M69" s="78" t="s">
        <v>72</v>
      </c>
      <c r="N69" s="48" t="s">
        <v>71</v>
      </c>
      <c r="O69" s="48" t="s">
        <v>71</v>
      </c>
      <c r="P69" s="62" t="s">
        <v>71</v>
      </c>
      <c r="Q69" s="64"/>
      <c r="R69" s="49"/>
      <c r="S69" s="66"/>
      <c r="T69" s="68"/>
      <c r="U69" s="100"/>
    </row>
    <row r="70" spans="2:22" ht="43.9" customHeight="1">
      <c r="B70" s="122"/>
      <c r="C70" s="123"/>
      <c r="D70" s="92" t="s">
        <v>214</v>
      </c>
      <c r="E70" s="89">
        <f t="shared" si="0"/>
        <v>67</v>
      </c>
      <c r="F70" s="90"/>
      <c r="G70" s="91" t="s">
        <v>215</v>
      </c>
      <c r="H70" s="78" t="s">
        <v>72</v>
      </c>
      <c r="I70" s="48" t="s">
        <v>71</v>
      </c>
      <c r="J70" s="48" t="s">
        <v>71</v>
      </c>
      <c r="K70" s="78" t="s">
        <v>71</v>
      </c>
      <c r="L70" s="78" t="s">
        <v>72</v>
      </c>
      <c r="M70" s="78" t="s">
        <v>72</v>
      </c>
      <c r="N70" s="48" t="s">
        <v>71</v>
      </c>
      <c r="O70" s="48" t="s">
        <v>71</v>
      </c>
      <c r="P70" s="62" t="s">
        <v>71</v>
      </c>
      <c r="Q70" s="64"/>
      <c r="R70" s="49"/>
      <c r="S70" s="66"/>
      <c r="T70" s="68"/>
      <c r="U70" s="100"/>
    </row>
    <row r="71" spans="2:22" ht="43.9" customHeight="1">
      <c r="B71" s="122"/>
      <c r="C71" s="123"/>
      <c r="D71" s="88" t="s">
        <v>216</v>
      </c>
      <c r="E71" s="89">
        <f t="shared" si="0"/>
        <v>68</v>
      </c>
      <c r="F71" s="90"/>
      <c r="G71" s="91" t="s">
        <v>217</v>
      </c>
      <c r="H71" s="78" t="s">
        <v>72</v>
      </c>
      <c r="I71" s="48" t="s">
        <v>71</v>
      </c>
      <c r="J71" s="48" t="s">
        <v>71</v>
      </c>
      <c r="K71" s="78" t="s">
        <v>71</v>
      </c>
      <c r="L71" s="78" t="s">
        <v>72</v>
      </c>
      <c r="M71" s="78" t="s">
        <v>72</v>
      </c>
      <c r="N71" s="48" t="s">
        <v>71</v>
      </c>
      <c r="O71" s="48" t="s">
        <v>71</v>
      </c>
      <c r="P71" s="62" t="s">
        <v>71</v>
      </c>
      <c r="Q71" s="64"/>
      <c r="R71" s="49"/>
      <c r="S71" s="66"/>
      <c r="T71" s="68"/>
      <c r="U71" s="100"/>
    </row>
    <row r="72" spans="2:22" ht="52.15" customHeight="1">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15" customHeight="1">
      <c r="B73" s="125" t="s">
        <v>221</v>
      </c>
      <c r="C73" s="124" t="s">
        <v>222</v>
      </c>
      <c r="D73" s="88" t="s">
        <v>223</v>
      </c>
      <c r="E73" s="89">
        <f t="shared" si="0"/>
        <v>70</v>
      </c>
      <c r="F73" s="90"/>
      <c r="G73" s="91" t="s">
        <v>225</v>
      </c>
      <c r="H73" s="78" t="s">
        <v>72</v>
      </c>
      <c r="I73" s="48" t="s">
        <v>71</v>
      </c>
      <c r="J73" s="48" t="s">
        <v>71</v>
      </c>
      <c r="K73" s="78"/>
      <c r="L73" s="78" t="s">
        <v>72</v>
      </c>
      <c r="M73" s="48" t="s">
        <v>71</v>
      </c>
      <c r="N73" s="48" t="s">
        <v>71</v>
      </c>
      <c r="O73" s="48" t="s">
        <v>71</v>
      </c>
      <c r="P73" s="62" t="s">
        <v>71</v>
      </c>
      <c r="Q73" s="64"/>
      <c r="R73" s="49"/>
      <c r="S73" s="66"/>
      <c r="T73" s="68"/>
      <c r="U73" s="100"/>
    </row>
    <row r="74" spans="2:22" ht="28.15" customHeight="1">
      <c r="B74" s="122"/>
      <c r="C74" s="124" t="s">
        <v>226</v>
      </c>
      <c r="D74" s="88" t="s">
        <v>227</v>
      </c>
      <c r="E74" s="89">
        <f t="shared" si="0"/>
        <v>71</v>
      </c>
      <c r="F74" s="90"/>
      <c r="G74" s="91" t="s">
        <v>228</v>
      </c>
      <c r="H74" s="78" t="s">
        <v>72</v>
      </c>
      <c r="I74" s="48" t="s">
        <v>71</v>
      </c>
      <c r="J74" s="48" t="s">
        <v>71</v>
      </c>
      <c r="K74" s="78" t="s">
        <v>72</v>
      </c>
      <c r="L74" s="48" t="s">
        <v>71</v>
      </c>
      <c r="M74" s="48" t="s">
        <v>71</v>
      </c>
      <c r="N74" s="48" t="s">
        <v>71</v>
      </c>
      <c r="O74" s="48" t="s">
        <v>71</v>
      </c>
      <c r="P74" s="62" t="s">
        <v>71</v>
      </c>
      <c r="Q74" s="64"/>
      <c r="R74" s="49"/>
      <c r="S74" s="66"/>
      <c r="T74" s="68"/>
      <c r="U74" s="100"/>
    </row>
    <row r="75" spans="2:22" ht="28.15" customHeight="1">
      <c r="B75" s="122"/>
      <c r="C75" s="123"/>
      <c r="D75" s="88" t="s">
        <v>229</v>
      </c>
      <c r="E75" s="89">
        <f t="shared" si="0"/>
        <v>72</v>
      </c>
      <c r="F75" s="90" t="s">
        <v>230</v>
      </c>
      <c r="G75" s="91" t="s">
        <v>228</v>
      </c>
      <c r="H75" s="78" t="s">
        <v>72</v>
      </c>
      <c r="I75" s="48" t="s">
        <v>71</v>
      </c>
      <c r="J75" s="48" t="s">
        <v>71</v>
      </c>
      <c r="K75" s="78" t="s">
        <v>72</v>
      </c>
      <c r="L75" s="48" t="s">
        <v>71</v>
      </c>
      <c r="M75" s="48" t="s">
        <v>71</v>
      </c>
      <c r="N75" s="48" t="s">
        <v>71</v>
      </c>
      <c r="O75" s="48" t="s">
        <v>71</v>
      </c>
      <c r="P75" s="62" t="s">
        <v>71</v>
      </c>
      <c r="Q75" s="64"/>
      <c r="R75" s="49"/>
      <c r="S75" s="66"/>
      <c r="T75" s="68"/>
      <c r="U75" s="101"/>
    </row>
    <row r="76" spans="2:22" ht="28.15" customHeight="1">
      <c r="B76" s="122"/>
      <c r="C76" s="123"/>
      <c r="D76" s="88" t="s">
        <v>231</v>
      </c>
      <c r="E76" s="89">
        <f t="shared" si="0"/>
        <v>73</v>
      </c>
      <c r="F76" s="90" t="s">
        <v>232</v>
      </c>
      <c r="G76" s="91" t="s">
        <v>228</v>
      </c>
      <c r="H76" s="78" t="s">
        <v>72</v>
      </c>
      <c r="I76" s="48" t="s">
        <v>71</v>
      </c>
      <c r="J76" s="48" t="s">
        <v>71</v>
      </c>
      <c r="K76" s="78" t="s">
        <v>72</v>
      </c>
      <c r="L76" s="48" t="s">
        <v>71</v>
      </c>
      <c r="M76" s="48" t="s">
        <v>71</v>
      </c>
      <c r="N76" s="48" t="s">
        <v>71</v>
      </c>
      <c r="O76" s="48" t="s">
        <v>71</v>
      </c>
      <c r="P76" s="62" t="s">
        <v>71</v>
      </c>
      <c r="Q76" s="64"/>
      <c r="R76" s="49"/>
      <c r="S76" s="66"/>
      <c r="T76" s="68"/>
      <c r="U76" s="101"/>
    </row>
    <row r="77" spans="2:22" ht="28.15" customHeight="1">
      <c r="B77" s="122"/>
      <c r="C77" s="123"/>
      <c r="D77" s="88" t="s">
        <v>233</v>
      </c>
      <c r="E77" s="89">
        <f t="shared" si="0"/>
        <v>74</v>
      </c>
      <c r="F77" s="90" t="s">
        <v>234</v>
      </c>
      <c r="G77" s="91" t="s">
        <v>235</v>
      </c>
      <c r="H77" s="78" t="s">
        <v>72</v>
      </c>
      <c r="I77" s="48" t="s">
        <v>71</v>
      </c>
      <c r="J77" s="48" t="s">
        <v>71</v>
      </c>
      <c r="K77" s="78" t="s">
        <v>72</v>
      </c>
      <c r="L77" s="48" t="s">
        <v>71</v>
      </c>
      <c r="M77" s="48" t="s">
        <v>71</v>
      </c>
      <c r="N77" s="48" t="s">
        <v>71</v>
      </c>
      <c r="O77" s="48" t="s">
        <v>71</v>
      </c>
      <c r="P77" s="62" t="s">
        <v>71</v>
      </c>
      <c r="Q77" s="64"/>
      <c r="R77" s="49"/>
      <c r="S77" s="66"/>
      <c r="T77" s="68"/>
      <c r="U77" s="100"/>
    </row>
    <row r="78" spans="2:22" ht="28.15" customHeight="1">
      <c r="B78" s="122"/>
      <c r="C78" s="123"/>
      <c r="D78" s="88" t="s">
        <v>236</v>
      </c>
      <c r="E78" s="89">
        <f t="shared" si="0"/>
        <v>75</v>
      </c>
      <c r="F78" s="90" t="s">
        <v>237</v>
      </c>
      <c r="G78" s="91" t="s">
        <v>228</v>
      </c>
      <c r="H78" s="78" t="s">
        <v>72</v>
      </c>
      <c r="I78" s="48" t="s">
        <v>71</v>
      </c>
      <c r="J78" s="48" t="s">
        <v>71</v>
      </c>
      <c r="K78" s="78" t="s">
        <v>72</v>
      </c>
      <c r="L78" s="48" t="s">
        <v>71</v>
      </c>
      <c r="M78" s="48" t="s">
        <v>71</v>
      </c>
      <c r="N78" s="48" t="s">
        <v>71</v>
      </c>
      <c r="O78" s="48" t="s">
        <v>71</v>
      </c>
      <c r="P78" s="62" t="s">
        <v>71</v>
      </c>
      <c r="Q78" s="64"/>
      <c r="R78" s="49"/>
      <c r="S78" s="66"/>
      <c r="T78" s="68"/>
      <c r="U78" s="100"/>
    </row>
    <row r="79" spans="2:22" ht="28.15" customHeight="1">
      <c r="B79" s="122"/>
      <c r="C79" s="123"/>
      <c r="D79" s="88" t="s">
        <v>238</v>
      </c>
      <c r="E79" s="89">
        <f t="shared" si="0"/>
        <v>76</v>
      </c>
      <c r="F79" s="90" t="s">
        <v>239</v>
      </c>
      <c r="G79" s="91" t="s">
        <v>228</v>
      </c>
      <c r="H79" s="78" t="s">
        <v>72</v>
      </c>
      <c r="I79" s="48" t="s">
        <v>71</v>
      </c>
      <c r="J79" s="48" t="s">
        <v>71</v>
      </c>
      <c r="K79" s="48" t="s">
        <v>71</v>
      </c>
      <c r="L79" s="78" t="s">
        <v>72</v>
      </c>
      <c r="M79" s="48" t="s">
        <v>71</v>
      </c>
      <c r="N79" s="48" t="s">
        <v>71</v>
      </c>
      <c r="O79" s="48" t="s">
        <v>71</v>
      </c>
      <c r="P79" s="62" t="s">
        <v>71</v>
      </c>
      <c r="Q79" s="64"/>
      <c r="R79" s="49"/>
      <c r="S79" s="66"/>
      <c r="T79" s="68"/>
      <c r="U79" s="100"/>
    </row>
    <row r="80" spans="2:22" ht="28.15" customHeight="1">
      <c r="B80" s="122"/>
      <c r="C80" s="123"/>
      <c r="D80" s="88" t="s">
        <v>240</v>
      </c>
      <c r="E80" s="89">
        <f t="shared" si="0"/>
        <v>77</v>
      </c>
      <c r="F80" s="90" t="s">
        <v>241</v>
      </c>
      <c r="G80" s="91" t="s">
        <v>228</v>
      </c>
      <c r="H80" s="78" t="s">
        <v>72</v>
      </c>
      <c r="I80" s="48" t="s">
        <v>71</v>
      </c>
      <c r="J80" s="48" t="s">
        <v>71</v>
      </c>
      <c r="K80" s="48" t="s">
        <v>71</v>
      </c>
      <c r="L80" s="78" t="s">
        <v>72</v>
      </c>
      <c r="M80" s="48" t="s">
        <v>71</v>
      </c>
      <c r="N80" s="48" t="s">
        <v>71</v>
      </c>
      <c r="O80" s="48" t="s">
        <v>71</v>
      </c>
      <c r="P80" s="62" t="s">
        <v>71</v>
      </c>
      <c r="Q80" s="64"/>
      <c r="R80" s="49"/>
      <c r="S80" s="66"/>
      <c r="T80" s="68"/>
      <c r="U80" s="100"/>
      <c r="V80" s="126"/>
    </row>
    <row r="81" spans="1:22" ht="28.15" customHeight="1">
      <c r="B81" s="122"/>
      <c r="C81" s="124" t="s">
        <v>242</v>
      </c>
      <c r="D81" s="88" t="s">
        <v>227</v>
      </c>
      <c r="E81" s="89">
        <f t="shared" si="0"/>
        <v>78</v>
      </c>
      <c r="F81" s="90" t="s">
        <v>243</v>
      </c>
      <c r="G81" s="91" t="s">
        <v>228</v>
      </c>
      <c r="H81" s="78" t="s">
        <v>72</v>
      </c>
      <c r="I81" s="48" t="s">
        <v>71</v>
      </c>
      <c r="J81" s="48" t="s">
        <v>71</v>
      </c>
      <c r="K81" s="78" t="s">
        <v>72</v>
      </c>
      <c r="L81" s="48" t="s">
        <v>71</v>
      </c>
      <c r="M81" s="48" t="s">
        <v>71</v>
      </c>
      <c r="N81" s="48" t="s">
        <v>71</v>
      </c>
      <c r="O81" s="48" t="s">
        <v>71</v>
      </c>
      <c r="P81" s="62" t="s">
        <v>71</v>
      </c>
      <c r="Q81" s="64"/>
      <c r="R81" s="49"/>
      <c r="S81" s="66"/>
      <c r="T81" s="68"/>
      <c r="U81" s="100"/>
      <c r="V81" s="126"/>
    </row>
    <row r="82" spans="1:22" ht="28.15" customHeight="1">
      <c r="B82" s="122"/>
      <c r="C82" s="123"/>
      <c r="D82" s="88" t="s">
        <v>244</v>
      </c>
      <c r="E82" s="89">
        <f t="shared" si="0"/>
        <v>79</v>
      </c>
      <c r="F82" s="90" t="s">
        <v>245</v>
      </c>
      <c r="G82" s="91" t="s">
        <v>228</v>
      </c>
      <c r="H82" s="78" t="s">
        <v>72</v>
      </c>
      <c r="I82" s="48" t="s">
        <v>71</v>
      </c>
      <c r="J82" s="48" t="s">
        <v>71</v>
      </c>
      <c r="K82" s="78" t="s">
        <v>72</v>
      </c>
      <c r="L82" s="48" t="s">
        <v>71</v>
      </c>
      <c r="M82" s="48" t="s">
        <v>71</v>
      </c>
      <c r="N82" s="48" t="s">
        <v>71</v>
      </c>
      <c r="O82" s="48" t="s">
        <v>71</v>
      </c>
      <c r="P82" s="62" t="s">
        <v>71</v>
      </c>
      <c r="Q82" s="64"/>
      <c r="R82" s="49"/>
      <c r="S82" s="66"/>
      <c r="T82" s="68"/>
      <c r="U82" s="100"/>
    </row>
    <row r="83" spans="1:22" ht="28.15" customHeight="1">
      <c r="B83" s="122"/>
      <c r="C83" s="123"/>
      <c r="D83" s="88" t="s">
        <v>246</v>
      </c>
      <c r="E83" s="89">
        <f t="shared" si="0"/>
        <v>80</v>
      </c>
      <c r="F83" s="90" t="s">
        <v>247</v>
      </c>
      <c r="G83" s="91" t="s">
        <v>228</v>
      </c>
      <c r="H83" s="78" t="s">
        <v>72</v>
      </c>
      <c r="I83" s="48" t="s">
        <v>71</v>
      </c>
      <c r="J83" s="48" t="s">
        <v>71</v>
      </c>
      <c r="K83" s="48" t="s">
        <v>71</v>
      </c>
      <c r="L83" s="78" t="s">
        <v>72</v>
      </c>
      <c r="M83" s="48" t="s">
        <v>71</v>
      </c>
      <c r="N83" s="48" t="s">
        <v>71</v>
      </c>
      <c r="O83" s="48" t="s">
        <v>71</v>
      </c>
      <c r="P83" s="62" t="s">
        <v>71</v>
      </c>
      <c r="Q83" s="64"/>
      <c r="R83" s="49"/>
      <c r="S83" s="66"/>
      <c r="T83" s="68"/>
      <c r="U83" s="100"/>
    </row>
    <row r="84" spans="1:22" ht="28.15" customHeight="1">
      <c r="B84" s="122"/>
      <c r="C84" s="123"/>
      <c r="D84" s="88" t="s">
        <v>248</v>
      </c>
      <c r="E84" s="89">
        <f t="shared" si="0"/>
        <v>81</v>
      </c>
      <c r="F84" s="90" t="s">
        <v>249</v>
      </c>
      <c r="G84" s="91" t="s">
        <v>228</v>
      </c>
      <c r="H84" s="78" t="s">
        <v>72</v>
      </c>
      <c r="I84" s="48" t="s">
        <v>71</v>
      </c>
      <c r="J84" s="48" t="s">
        <v>71</v>
      </c>
      <c r="K84" s="48" t="s">
        <v>71</v>
      </c>
      <c r="L84" s="78" t="s">
        <v>72</v>
      </c>
      <c r="M84" s="48" t="s">
        <v>71</v>
      </c>
      <c r="N84" s="48" t="s">
        <v>71</v>
      </c>
      <c r="O84" s="48" t="s">
        <v>71</v>
      </c>
      <c r="P84" s="62" t="s">
        <v>71</v>
      </c>
      <c r="Q84" s="64"/>
      <c r="R84" s="49"/>
      <c r="S84" s="66"/>
      <c r="T84" s="68"/>
      <c r="U84" s="100"/>
    </row>
    <row r="85" spans="1:22" ht="28.15" customHeight="1">
      <c r="B85" s="122"/>
      <c r="C85" s="124" t="s">
        <v>250</v>
      </c>
      <c r="D85" s="88" t="s">
        <v>251</v>
      </c>
      <c r="E85" s="89">
        <f t="shared" si="0"/>
        <v>82</v>
      </c>
      <c r="F85" s="90" t="s">
        <v>252</v>
      </c>
      <c r="G85" s="91" t="s">
        <v>253</v>
      </c>
      <c r="H85" s="78" t="s">
        <v>72</v>
      </c>
      <c r="I85" s="48" t="s">
        <v>71</v>
      </c>
      <c r="J85" s="48" t="s">
        <v>71</v>
      </c>
      <c r="K85" s="78" t="s">
        <v>72</v>
      </c>
      <c r="L85" s="48" t="s">
        <v>71</v>
      </c>
      <c r="M85" s="48" t="s">
        <v>71</v>
      </c>
      <c r="N85" s="48" t="s">
        <v>71</v>
      </c>
      <c r="O85" s="48" t="s">
        <v>71</v>
      </c>
      <c r="P85" s="62" t="s">
        <v>71</v>
      </c>
      <c r="Q85" s="64"/>
      <c r="R85" s="49"/>
      <c r="S85" s="66"/>
      <c r="T85" s="68"/>
      <c r="U85" s="101"/>
    </row>
    <row r="86" spans="1:22" ht="28.15" customHeight="1">
      <c r="B86" s="122"/>
      <c r="C86" s="123"/>
      <c r="D86" s="235" t="s">
        <v>123</v>
      </c>
      <c r="E86" s="89">
        <f t="shared" si="0"/>
        <v>83</v>
      </c>
      <c r="F86" s="90" t="s">
        <v>254</v>
      </c>
      <c r="G86" s="91" t="s">
        <v>124</v>
      </c>
      <c r="H86" s="78" t="s">
        <v>72</v>
      </c>
      <c r="I86" s="48" t="s">
        <v>71</v>
      </c>
      <c r="J86" s="48" t="s">
        <v>71</v>
      </c>
      <c r="K86" s="48" t="s">
        <v>71</v>
      </c>
      <c r="L86" s="78" t="s">
        <v>72</v>
      </c>
      <c r="M86" s="78" t="s">
        <v>72</v>
      </c>
      <c r="N86" s="48" t="s">
        <v>71</v>
      </c>
      <c r="O86" s="48" t="s">
        <v>71</v>
      </c>
      <c r="P86" s="62" t="s">
        <v>71</v>
      </c>
      <c r="Q86" s="64"/>
      <c r="R86" s="49"/>
      <c r="S86" s="66"/>
      <c r="T86" s="68"/>
      <c r="U86" s="101"/>
      <c r="V86" s="126"/>
    </row>
    <row r="87" spans="1:22" ht="28.15" customHeight="1">
      <c r="B87" s="122"/>
      <c r="C87" s="123"/>
      <c r="D87" s="237"/>
      <c r="E87" s="89">
        <f t="shared" si="0"/>
        <v>84</v>
      </c>
      <c r="F87" s="90" t="s">
        <v>252</v>
      </c>
      <c r="G87" s="91" t="s">
        <v>125</v>
      </c>
      <c r="H87" s="78" t="s">
        <v>72</v>
      </c>
      <c r="I87" s="48" t="s">
        <v>71</v>
      </c>
      <c r="J87" s="48" t="s">
        <v>71</v>
      </c>
      <c r="K87" s="48" t="s">
        <v>71</v>
      </c>
      <c r="L87" s="78" t="s">
        <v>72</v>
      </c>
      <c r="M87" s="78" t="s">
        <v>72</v>
      </c>
      <c r="N87" s="48" t="s">
        <v>71</v>
      </c>
      <c r="O87" s="48" t="s">
        <v>71</v>
      </c>
      <c r="P87" s="62" t="s">
        <v>71</v>
      </c>
      <c r="Q87" s="64"/>
      <c r="R87" s="49"/>
      <c r="S87" s="66"/>
      <c r="T87" s="68"/>
      <c r="U87" s="101"/>
      <c r="V87" s="126"/>
    </row>
    <row r="88" spans="1:22" ht="28.15" customHeight="1">
      <c r="B88" s="122"/>
      <c r="C88" s="124" t="s">
        <v>255</v>
      </c>
      <c r="D88" s="88" t="s">
        <v>255</v>
      </c>
      <c r="E88" s="89">
        <f t="shared" si="0"/>
        <v>85</v>
      </c>
      <c r="F88" s="90" t="s">
        <v>256</v>
      </c>
      <c r="G88" s="91" t="s">
        <v>257</v>
      </c>
      <c r="H88" s="78" t="s">
        <v>72</v>
      </c>
      <c r="I88" s="48" t="s">
        <v>71</v>
      </c>
      <c r="J88" s="48" t="s">
        <v>71</v>
      </c>
      <c r="K88" s="78" t="s">
        <v>72</v>
      </c>
      <c r="L88" s="48" t="s">
        <v>71</v>
      </c>
      <c r="M88" s="48" t="s">
        <v>71</v>
      </c>
      <c r="N88" s="48" t="s">
        <v>71</v>
      </c>
      <c r="O88" s="48" t="s">
        <v>71</v>
      </c>
      <c r="P88" s="62" t="s">
        <v>71</v>
      </c>
      <c r="Q88" s="64"/>
      <c r="R88" s="49"/>
      <c r="S88" s="66"/>
      <c r="T88" s="68"/>
      <c r="U88" s="100"/>
    </row>
    <row r="89" spans="1:22" ht="28.15" customHeight="1">
      <c r="B89" s="122"/>
      <c r="C89" s="123"/>
      <c r="D89" s="88" t="s">
        <v>258</v>
      </c>
      <c r="E89" s="89">
        <f t="shared" si="0"/>
        <v>86</v>
      </c>
      <c r="F89" s="90" t="s">
        <v>259</v>
      </c>
      <c r="G89" s="91" t="s">
        <v>257</v>
      </c>
      <c r="H89" s="78" t="s">
        <v>72</v>
      </c>
      <c r="I89" s="48" t="s">
        <v>71</v>
      </c>
      <c r="J89" s="48" t="s">
        <v>71</v>
      </c>
      <c r="K89" s="48" t="s">
        <v>71</v>
      </c>
      <c r="L89" s="78" t="s">
        <v>72</v>
      </c>
      <c r="M89" s="48" t="s">
        <v>71</v>
      </c>
      <c r="N89" s="48" t="s">
        <v>71</v>
      </c>
      <c r="O89" s="48" t="s">
        <v>71</v>
      </c>
      <c r="P89" s="62" t="s">
        <v>71</v>
      </c>
      <c r="Q89" s="64"/>
      <c r="R89" s="49"/>
      <c r="S89" s="66"/>
      <c r="T89" s="68"/>
      <c r="U89" s="100"/>
    </row>
    <row r="90" spans="1:22" ht="28.15" customHeight="1">
      <c r="B90" s="125" t="s">
        <v>260</v>
      </c>
      <c r="C90" s="124" t="s">
        <v>261</v>
      </c>
      <c r="D90" s="88" t="s">
        <v>262</v>
      </c>
      <c r="E90" s="89">
        <f t="shared" si="0"/>
        <v>87</v>
      </c>
      <c r="F90" s="90"/>
      <c r="G90" s="91" t="s">
        <v>278</v>
      </c>
      <c r="H90" s="78" t="s">
        <v>72</v>
      </c>
      <c r="I90" s="48" t="s">
        <v>71</v>
      </c>
      <c r="J90" s="48" t="s">
        <v>71</v>
      </c>
      <c r="K90" s="78" t="s">
        <v>72</v>
      </c>
      <c r="L90" s="78" t="s">
        <v>72</v>
      </c>
      <c r="M90" s="48" t="s">
        <v>71</v>
      </c>
      <c r="N90" s="48" t="s">
        <v>71</v>
      </c>
      <c r="O90" s="48" t="s">
        <v>71</v>
      </c>
      <c r="P90" s="62" t="s">
        <v>71</v>
      </c>
      <c r="Q90" s="64"/>
      <c r="R90" s="49"/>
      <c r="S90" s="66"/>
      <c r="T90" s="68"/>
      <c r="U90" s="100"/>
    </row>
    <row r="91" spans="1:22" ht="71.45" customHeight="1">
      <c r="B91" s="122"/>
      <c r="C91" s="123"/>
      <c r="D91" s="88" t="s">
        <v>263</v>
      </c>
      <c r="E91" s="89">
        <f t="shared" si="0"/>
        <v>88</v>
      </c>
      <c r="F91" s="90"/>
      <c r="G91" s="419" t="s">
        <v>327</v>
      </c>
      <c r="H91" s="78" t="s">
        <v>72</v>
      </c>
      <c r="I91" s="48" t="s">
        <v>71</v>
      </c>
      <c r="J91" s="48" t="s">
        <v>71</v>
      </c>
      <c r="K91" s="48" t="s">
        <v>71</v>
      </c>
      <c r="L91" s="48" t="s">
        <v>71</v>
      </c>
      <c r="M91" s="48" t="s">
        <v>71</v>
      </c>
      <c r="N91" s="48" t="s">
        <v>71</v>
      </c>
      <c r="O91" s="48" t="s">
        <v>71</v>
      </c>
      <c r="P91" s="62" t="s">
        <v>71</v>
      </c>
      <c r="Q91" s="64"/>
      <c r="R91" s="49"/>
      <c r="S91" s="66"/>
      <c r="T91" s="68"/>
      <c r="U91" s="100" t="s">
        <v>346</v>
      </c>
    </row>
    <row r="92" spans="1:22" ht="28.15" customHeight="1">
      <c r="B92" s="122"/>
      <c r="C92" s="124" t="s">
        <v>266</v>
      </c>
      <c r="D92" s="88" t="s">
        <v>223</v>
      </c>
      <c r="E92" s="89">
        <f t="shared" si="0"/>
        <v>89</v>
      </c>
      <c r="F92" s="90"/>
      <c r="G92" s="91" t="s">
        <v>267</v>
      </c>
      <c r="H92" s="78" t="s">
        <v>72</v>
      </c>
      <c r="I92" s="48" t="s">
        <v>71</v>
      </c>
      <c r="J92" s="48" t="s">
        <v>71</v>
      </c>
      <c r="K92" s="78" t="s">
        <v>72</v>
      </c>
      <c r="L92" s="78" t="s">
        <v>72</v>
      </c>
      <c r="M92" s="78" t="s">
        <v>72</v>
      </c>
      <c r="N92" s="48" t="s">
        <v>71</v>
      </c>
      <c r="O92" s="48" t="s">
        <v>71</v>
      </c>
      <c r="P92" s="62" t="s">
        <v>71</v>
      </c>
      <c r="Q92" s="64"/>
      <c r="R92" s="49"/>
      <c r="S92" s="66"/>
      <c r="T92" s="68"/>
      <c r="U92" s="100"/>
    </row>
    <row r="93" spans="1:22" ht="28.15" customHeight="1">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347</v>
      </c>
      <c r="V93" s="126"/>
    </row>
    <row r="94" spans="1:22" ht="28.15" customHeight="1">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347</v>
      </c>
    </row>
    <row r="95" spans="1:22" s="348" customFormat="1" ht="28.15" customHeight="1">
      <c r="A95" s="60"/>
      <c r="B95" s="122"/>
      <c r="C95" s="124" t="s">
        <v>270</v>
      </c>
      <c r="D95" s="235" t="s">
        <v>271</v>
      </c>
      <c r="E95" s="94">
        <f t="shared" si="1"/>
        <v>92</v>
      </c>
      <c r="F95" s="95"/>
      <c r="G95" s="96" t="s">
        <v>272</v>
      </c>
      <c r="H95" s="79" t="s">
        <v>336</v>
      </c>
      <c r="I95" s="50" t="s">
        <v>336</v>
      </c>
      <c r="J95" s="50" t="s">
        <v>71</v>
      </c>
      <c r="K95" s="50" t="s">
        <v>71</v>
      </c>
      <c r="L95" s="50" t="s">
        <v>71</v>
      </c>
      <c r="M95" s="50" t="s">
        <v>71</v>
      </c>
      <c r="N95" s="50" t="s">
        <v>71</v>
      </c>
      <c r="O95" s="50" t="s">
        <v>71</v>
      </c>
      <c r="P95" s="63" t="s">
        <v>71</v>
      </c>
      <c r="Q95" s="65"/>
      <c r="R95" s="51"/>
      <c r="S95" s="67"/>
      <c r="T95" s="69"/>
      <c r="U95" s="102" t="s">
        <v>348</v>
      </c>
    </row>
    <row r="96" spans="1:22" ht="28.15" customHeight="1">
      <c r="B96" s="122"/>
      <c r="C96" s="123"/>
      <c r="D96" s="236"/>
      <c r="E96" s="89">
        <f t="shared" si="1"/>
        <v>93</v>
      </c>
      <c r="F96" s="90"/>
      <c r="G96" s="91" t="s">
        <v>273</v>
      </c>
      <c r="H96" s="78" t="s">
        <v>72</v>
      </c>
      <c r="I96" s="48" t="s">
        <v>71</v>
      </c>
      <c r="J96" s="48" t="s">
        <v>71</v>
      </c>
      <c r="K96" s="78" t="s">
        <v>72</v>
      </c>
      <c r="L96" s="78" t="s">
        <v>72</v>
      </c>
      <c r="M96" s="78" t="s">
        <v>72</v>
      </c>
      <c r="N96" s="48" t="s">
        <v>71</v>
      </c>
      <c r="O96" s="48" t="s">
        <v>71</v>
      </c>
      <c r="P96" s="62" t="s">
        <v>71</v>
      </c>
      <c r="Q96" s="64"/>
      <c r="R96" s="49"/>
      <c r="S96" s="66"/>
      <c r="T96" s="68"/>
      <c r="U96" s="100"/>
    </row>
    <row r="97" spans="1:21" s="348" customFormat="1" ht="64.900000000000006" customHeight="1">
      <c r="A97" s="60"/>
      <c r="B97" s="122"/>
      <c r="C97" s="123"/>
      <c r="D97" s="236"/>
      <c r="E97" s="94">
        <f t="shared" si="1"/>
        <v>94</v>
      </c>
      <c r="F97" s="95"/>
      <c r="G97" s="96" t="s">
        <v>274</v>
      </c>
      <c r="H97" s="79" t="s">
        <v>336</v>
      </c>
      <c r="I97" s="50" t="s">
        <v>336</v>
      </c>
      <c r="J97" s="50" t="s">
        <v>71</v>
      </c>
      <c r="K97" s="50" t="s">
        <v>71</v>
      </c>
      <c r="L97" s="50" t="s">
        <v>71</v>
      </c>
      <c r="M97" s="50" t="s">
        <v>71</v>
      </c>
      <c r="N97" s="50" t="s">
        <v>71</v>
      </c>
      <c r="O97" s="50" t="s">
        <v>71</v>
      </c>
      <c r="P97" s="63" t="s">
        <v>71</v>
      </c>
      <c r="Q97" s="65"/>
      <c r="R97" s="51"/>
      <c r="S97" s="67"/>
      <c r="T97" s="69"/>
      <c r="U97" s="102" t="s">
        <v>348</v>
      </c>
    </row>
    <row r="98" spans="1:21" s="348" customFormat="1" ht="64.900000000000006" customHeight="1">
      <c r="A98" s="60"/>
      <c r="B98" s="122"/>
      <c r="C98" s="123"/>
      <c r="D98" s="236"/>
      <c r="E98" s="94">
        <f t="shared" si="1"/>
        <v>95</v>
      </c>
      <c r="F98" s="95"/>
      <c r="G98" s="96" t="s">
        <v>275</v>
      </c>
      <c r="H98" s="79" t="s">
        <v>336</v>
      </c>
      <c r="I98" s="50" t="s">
        <v>336</v>
      </c>
      <c r="J98" s="50" t="s">
        <v>71</v>
      </c>
      <c r="K98" s="50" t="s">
        <v>71</v>
      </c>
      <c r="L98" s="50" t="s">
        <v>71</v>
      </c>
      <c r="M98" s="50" t="s">
        <v>71</v>
      </c>
      <c r="N98" s="50" t="s">
        <v>71</v>
      </c>
      <c r="O98" s="50" t="s">
        <v>71</v>
      </c>
      <c r="P98" s="63" t="s">
        <v>71</v>
      </c>
      <c r="Q98" s="65"/>
      <c r="R98" s="51"/>
      <c r="S98" s="67"/>
      <c r="T98" s="69"/>
      <c r="U98" s="102" t="s">
        <v>348</v>
      </c>
    </row>
    <row r="99" spans="1:21" ht="28.15" customHeight="1">
      <c r="B99" s="122"/>
      <c r="C99" s="124" t="s">
        <v>276</v>
      </c>
      <c r="D99" s="88" t="s">
        <v>251</v>
      </c>
      <c r="E99" s="89">
        <f t="shared" si="1"/>
        <v>96</v>
      </c>
      <c r="F99" s="90"/>
      <c r="G99" s="91" t="s">
        <v>278</v>
      </c>
      <c r="H99" s="78" t="s">
        <v>72</v>
      </c>
      <c r="I99" s="48" t="s">
        <v>71</v>
      </c>
      <c r="J99" s="48" t="s">
        <v>71</v>
      </c>
      <c r="K99" s="78" t="s">
        <v>71</v>
      </c>
      <c r="L99" s="48" t="s">
        <v>71</v>
      </c>
      <c r="M99" s="48" t="s">
        <v>71</v>
      </c>
      <c r="N99" s="48" t="s">
        <v>71</v>
      </c>
      <c r="O99" s="48" t="s">
        <v>71</v>
      </c>
      <c r="P99" s="62" t="s">
        <v>71</v>
      </c>
      <c r="Q99" s="64"/>
      <c r="R99" s="49"/>
      <c r="S99" s="66"/>
      <c r="T99" s="68"/>
      <c r="U99" s="100"/>
    </row>
    <row r="100" spans="1:21" ht="28.15" customHeight="1">
      <c r="B100" s="122"/>
      <c r="C100" s="124" t="s">
        <v>279</v>
      </c>
      <c r="D100" s="88" t="s">
        <v>251</v>
      </c>
      <c r="E100" s="89">
        <f t="shared" si="1"/>
        <v>97</v>
      </c>
      <c r="F100" s="90"/>
      <c r="G100" s="91" t="s">
        <v>278</v>
      </c>
      <c r="H100" s="78" t="s">
        <v>72</v>
      </c>
      <c r="I100" s="48" t="s">
        <v>71</v>
      </c>
      <c r="J100" s="48" t="s">
        <v>71</v>
      </c>
      <c r="K100" s="78" t="s">
        <v>71</v>
      </c>
      <c r="L100" s="48" t="s">
        <v>71</v>
      </c>
      <c r="M100" s="48" t="s">
        <v>71</v>
      </c>
      <c r="N100" s="48" t="s">
        <v>71</v>
      </c>
      <c r="O100" s="48" t="s">
        <v>71</v>
      </c>
      <c r="P100" s="62" t="s">
        <v>71</v>
      </c>
      <c r="Q100" s="64"/>
      <c r="R100" s="49"/>
      <c r="S100" s="66"/>
      <c r="T100" s="68"/>
      <c r="U100" s="100" t="s">
        <v>330</v>
      </c>
    </row>
    <row r="101" spans="1:21" ht="28.15" customHeight="1">
      <c r="B101" s="122"/>
      <c r="C101" s="124" t="s">
        <v>282</v>
      </c>
      <c r="D101" s="88" t="s">
        <v>251</v>
      </c>
      <c r="E101" s="89">
        <f t="shared" si="1"/>
        <v>98</v>
      </c>
      <c r="F101" s="90"/>
      <c r="G101" s="91" t="s">
        <v>278</v>
      </c>
      <c r="H101" s="78" t="s">
        <v>72</v>
      </c>
      <c r="I101" s="48" t="s">
        <v>71</v>
      </c>
      <c r="J101" s="48" t="s">
        <v>71</v>
      </c>
      <c r="K101" s="78" t="s">
        <v>71</v>
      </c>
      <c r="L101" s="48" t="s">
        <v>71</v>
      </c>
      <c r="M101" s="48" t="s">
        <v>71</v>
      </c>
      <c r="N101" s="48" t="s">
        <v>71</v>
      </c>
      <c r="O101" s="48" t="s">
        <v>71</v>
      </c>
      <c r="P101" s="62" t="s">
        <v>71</v>
      </c>
      <c r="Q101" s="64"/>
      <c r="R101" s="49"/>
      <c r="S101" s="66"/>
      <c r="T101" s="68"/>
      <c r="U101" s="100"/>
    </row>
    <row r="102" spans="1:21" ht="66.599999999999994" customHeight="1">
      <c r="B102" s="122"/>
      <c r="C102" s="124" t="s">
        <v>284</v>
      </c>
      <c r="D102" s="88" t="s">
        <v>251</v>
      </c>
      <c r="E102" s="89">
        <f t="shared" si="1"/>
        <v>99</v>
      </c>
      <c r="F102" s="90"/>
      <c r="G102" s="91" t="s">
        <v>278</v>
      </c>
      <c r="H102" s="78" t="s">
        <v>72</v>
      </c>
      <c r="I102" s="48" t="s">
        <v>71</v>
      </c>
      <c r="J102" s="48" t="s">
        <v>71</v>
      </c>
      <c r="K102" s="78" t="s">
        <v>71</v>
      </c>
      <c r="L102" s="48" t="s">
        <v>71</v>
      </c>
      <c r="M102" s="48" t="s">
        <v>71</v>
      </c>
      <c r="N102" s="48" t="s">
        <v>71</v>
      </c>
      <c r="O102" s="48" t="s">
        <v>71</v>
      </c>
      <c r="P102" s="62" t="s">
        <v>71</v>
      </c>
      <c r="Q102" s="64"/>
      <c r="R102" s="49"/>
      <c r="S102" s="66"/>
      <c r="T102" s="68"/>
      <c r="U102" s="100" t="s">
        <v>265</v>
      </c>
    </row>
    <row r="103" spans="1:21" ht="45" customHeight="1">
      <c r="B103" s="122"/>
      <c r="C103" s="322" t="s">
        <v>287</v>
      </c>
      <c r="D103" s="93" t="s">
        <v>251</v>
      </c>
      <c r="E103" s="94">
        <f t="shared" si="1"/>
        <v>100</v>
      </c>
      <c r="F103" s="95"/>
      <c r="G103" s="96" t="s">
        <v>288</v>
      </c>
      <c r="H103" s="79" t="s">
        <v>349</v>
      </c>
      <c r="I103" s="50" t="s">
        <v>336</v>
      </c>
      <c r="J103" s="50" t="s">
        <v>71</v>
      </c>
      <c r="K103" s="50" t="s">
        <v>71</v>
      </c>
      <c r="L103" s="50" t="s">
        <v>71</v>
      </c>
      <c r="M103" s="50" t="s">
        <v>71</v>
      </c>
      <c r="N103" s="323" t="s">
        <v>71</v>
      </c>
      <c r="O103" s="50" t="s">
        <v>71</v>
      </c>
      <c r="P103" s="63" t="s">
        <v>71</v>
      </c>
      <c r="Q103" s="65"/>
      <c r="R103" s="51"/>
      <c r="S103" s="67"/>
      <c r="T103" s="69"/>
      <c r="U103" s="102"/>
    </row>
    <row r="104" spans="1:21" ht="28.15" customHeight="1">
      <c r="B104" s="125" t="s">
        <v>184</v>
      </c>
      <c r="C104" s="124" t="s">
        <v>289</v>
      </c>
      <c r="D104" s="88" t="s">
        <v>290</v>
      </c>
      <c r="E104" s="89">
        <f t="shared" si="1"/>
        <v>101</v>
      </c>
      <c r="F104" s="90"/>
      <c r="G104" s="91" t="s">
        <v>291</v>
      </c>
      <c r="H104" s="78" t="s">
        <v>72</v>
      </c>
      <c r="I104" s="48" t="s">
        <v>71</v>
      </c>
      <c r="J104" s="48" t="s">
        <v>71</v>
      </c>
      <c r="K104" s="48" t="s">
        <v>71</v>
      </c>
      <c r="L104" s="78" t="s">
        <v>72</v>
      </c>
      <c r="M104" s="78" t="s">
        <v>72</v>
      </c>
      <c r="N104" s="48" t="s">
        <v>71</v>
      </c>
      <c r="O104" s="48" t="s">
        <v>71</v>
      </c>
      <c r="P104" s="62" t="s">
        <v>71</v>
      </c>
      <c r="Q104" s="64"/>
      <c r="R104" s="49"/>
      <c r="S104" s="66"/>
      <c r="T104" s="68"/>
      <c r="U104" s="103"/>
    </row>
    <row r="105" spans="1:21" ht="28.15" customHeight="1">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72</v>
      </c>
      <c r="P105" s="345" t="s">
        <v>71</v>
      </c>
      <c r="Q105" s="64"/>
      <c r="R105" s="49"/>
      <c r="S105" s="66"/>
      <c r="T105" s="68"/>
      <c r="U105" s="343" t="s">
        <v>350</v>
      </c>
    </row>
    <row r="106" spans="1:21" ht="28.15" customHeight="1" thickBot="1">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72</v>
      </c>
      <c r="P106" s="72" t="s">
        <v>71</v>
      </c>
      <c r="Q106" s="64"/>
      <c r="R106" s="49"/>
      <c r="S106" s="66"/>
      <c r="T106" s="68"/>
      <c r="U106" s="343" t="s">
        <v>350</v>
      </c>
    </row>
    <row r="107" spans="1:21" ht="18" customHeight="1">
      <c r="B107" s="511" t="s">
        <v>301</v>
      </c>
      <c r="C107" s="496"/>
      <c r="D107" s="496">
        <f>SUM(H109:P109)</f>
        <v>0</v>
      </c>
      <c r="E107" s="157"/>
      <c r="F107" s="158"/>
      <c r="G107" s="250" t="s">
        <v>302</v>
      </c>
      <c r="H107" s="160">
        <f>COUNTIF(H4:H106,"●")+COUNTIF(H4:H106,"■")+COUNTIF(H4:H106,"OK")</f>
        <v>0</v>
      </c>
      <c r="I107" s="160">
        <f t="shared" ref="I107:P107" si="2">COUNTIF(I4:I106,"●")+COUNTIF(I4:I106,"■")+COUNTIF(I4:I106,"OK")</f>
        <v>0</v>
      </c>
      <c r="J107" s="160">
        <f t="shared" si="2"/>
        <v>0</v>
      </c>
      <c r="K107" s="160">
        <f t="shared" si="2"/>
        <v>0</v>
      </c>
      <c r="L107" s="160">
        <f t="shared" si="2"/>
        <v>0</v>
      </c>
      <c r="M107" s="160">
        <f t="shared" si="2"/>
        <v>0</v>
      </c>
      <c r="N107" s="160">
        <f t="shared" si="2"/>
        <v>0</v>
      </c>
      <c r="O107" s="160">
        <f t="shared" si="2"/>
        <v>0</v>
      </c>
      <c r="P107" s="160">
        <f t="shared" si="2"/>
        <v>0</v>
      </c>
      <c r="Q107" s="498" t="s">
        <v>303</v>
      </c>
      <c r="R107" s="498"/>
      <c r="S107" s="498"/>
      <c r="T107" s="161"/>
      <c r="U107" s="162"/>
    </row>
    <row r="108" spans="1:21" ht="18" customHeight="1">
      <c r="B108" s="512"/>
      <c r="C108" s="497"/>
      <c r="D108" s="497"/>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499"/>
      <c r="R108" s="499"/>
      <c r="S108" s="499"/>
      <c r="T108" s="71"/>
      <c r="U108" s="105"/>
    </row>
    <row r="109" spans="1:21" ht="18" customHeight="1">
      <c r="B109" s="513" t="s">
        <v>305</v>
      </c>
      <c r="C109" s="494"/>
      <c r="D109" s="494">
        <f>SUM(H110:P110)</f>
        <v>128</v>
      </c>
      <c r="E109" s="45"/>
      <c r="F109" s="46"/>
      <c r="G109" s="251" t="s">
        <v>306</v>
      </c>
      <c r="H109" s="75">
        <f t="shared" ref="H109:P109" si="4">H107+H108</f>
        <v>0</v>
      </c>
      <c r="I109" s="76">
        <f t="shared" si="4"/>
        <v>0</v>
      </c>
      <c r="J109" s="76">
        <f t="shared" si="4"/>
        <v>0</v>
      </c>
      <c r="K109" s="76">
        <f t="shared" si="4"/>
        <v>0</v>
      </c>
      <c r="L109" s="76">
        <f t="shared" si="4"/>
        <v>0</v>
      </c>
      <c r="M109" s="76">
        <f t="shared" si="4"/>
        <v>0</v>
      </c>
      <c r="N109" s="76">
        <f t="shared" si="4"/>
        <v>0</v>
      </c>
      <c r="O109" s="76">
        <f t="shared" si="4"/>
        <v>0</v>
      </c>
      <c r="P109" s="77">
        <f t="shared" si="4"/>
        <v>0</v>
      </c>
      <c r="Q109" s="500">
        <f>COUNTA(Q4:Q106)</f>
        <v>0</v>
      </c>
      <c r="R109" s="502">
        <f>COUNTA(R4:R106)</f>
        <v>0</v>
      </c>
      <c r="S109" s="504">
        <f>COUNTA(S4:S106)</f>
        <v>0</v>
      </c>
      <c r="T109" s="71"/>
      <c r="U109" s="105"/>
    </row>
    <row r="110" spans="1:21" ht="18" customHeight="1" thickBot="1">
      <c r="A110" s="118"/>
      <c r="B110" s="514"/>
      <c r="C110" s="495"/>
      <c r="D110" s="495"/>
      <c r="E110" s="106"/>
      <c r="F110" s="107"/>
      <c r="G110" s="252" t="s">
        <v>307</v>
      </c>
      <c r="H110" s="109">
        <f t="shared" ref="H110:P110" si="5">COUNTBLANK(H4:H106)+H109+COUNTIF(H4:H106,"□")</f>
        <v>62</v>
      </c>
      <c r="I110" s="110">
        <f t="shared" si="5"/>
        <v>0</v>
      </c>
      <c r="J110" s="110">
        <f t="shared" si="5"/>
        <v>0</v>
      </c>
      <c r="K110" s="110">
        <f t="shared" si="5"/>
        <v>26</v>
      </c>
      <c r="L110" s="110">
        <f t="shared" si="5"/>
        <v>21</v>
      </c>
      <c r="M110" s="110">
        <f t="shared" si="5"/>
        <v>15</v>
      </c>
      <c r="N110" s="110">
        <f t="shared" si="5"/>
        <v>0</v>
      </c>
      <c r="O110" s="110">
        <f t="shared" si="5"/>
        <v>4</v>
      </c>
      <c r="P110" s="111">
        <f t="shared" si="5"/>
        <v>0</v>
      </c>
      <c r="Q110" s="501"/>
      <c r="R110" s="503"/>
      <c r="S110" s="505"/>
      <c r="T110" s="112"/>
      <c r="U110" s="113"/>
    </row>
    <row r="111" spans="1:21" ht="24" customHeight="1"/>
    <row r="113" spans="2:3">
      <c r="B113" s="60" t="s">
        <v>332</v>
      </c>
      <c r="C113" s="60">
        <f>SUM(D109+Win10対応_PS!D76)</f>
        <v>287</v>
      </c>
    </row>
    <row r="114" spans="2:3">
      <c r="B114" s="60" t="s">
        <v>333</v>
      </c>
      <c r="C114" s="60">
        <v>391</v>
      </c>
    </row>
    <row r="115" spans="2:3" ht="39.6">
      <c r="C115" s="60" t="s">
        <v>351</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tabSelected="1" view="pageBreakPreview" zoomScale="80" zoomScaleNormal="40" zoomScaleSheetLayoutView="80" workbookViewId="0">
      <pane ySplit="3" topLeftCell="A4" activePane="bottomLeft" state="frozen"/>
      <selection pane="bottomLeft" activeCell="E12" sqref="E12"/>
    </sheetView>
  </sheetViews>
  <sheetFormatPr defaultColWidth="9" defaultRowHeight="13.15"/>
  <cols>
    <col min="1" max="1" width="3" style="195" customWidth="1"/>
    <col min="2" max="2" width="5.28515625" style="195" customWidth="1"/>
    <col min="3" max="3" width="10.7109375" style="195" bestFit="1" customWidth="1"/>
    <col min="4" max="4" width="33.28515625" style="195" bestFit="1" customWidth="1"/>
    <col min="5" max="5" width="34.5703125" style="195" bestFit="1" customWidth="1"/>
    <col min="6" max="6" width="58.7109375" style="196" customWidth="1"/>
    <col min="7" max="20" width="6.5703125" style="195" customWidth="1"/>
    <col min="21" max="22" width="9" style="243" customWidth="1"/>
    <col min="23" max="23" width="9.85546875" style="243" customWidth="1"/>
    <col min="24" max="24" width="51.5703125" style="243" bestFit="1" customWidth="1"/>
    <col min="25" max="25" width="5.28515625" style="195" bestFit="1" customWidth="1"/>
    <col min="26" max="16384" width="9" style="195"/>
  </cols>
  <sheetData>
    <row r="1" spans="1:24" ht="20.45" thickBot="1">
      <c r="B1" s="200" t="s">
        <v>352</v>
      </c>
      <c r="C1" s="199"/>
      <c r="D1" s="199"/>
      <c r="E1" s="199"/>
      <c r="F1" s="196" t="s">
        <v>353</v>
      </c>
      <c r="G1" s="197" t="s">
        <v>354</v>
      </c>
      <c r="H1" s="197"/>
      <c r="I1" s="197"/>
      <c r="J1" s="197"/>
      <c r="K1" s="197"/>
      <c r="L1" s="197"/>
      <c r="M1" s="197"/>
      <c r="N1" s="197"/>
      <c r="O1" s="197"/>
      <c r="P1" s="197"/>
      <c r="Q1" s="197"/>
      <c r="R1" s="197"/>
      <c r="S1" s="197"/>
      <c r="T1" s="197"/>
      <c r="U1" s="197"/>
      <c r="V1" s="198"/>
      <c r="W1" s="198"/>
      <c r="X1" s="201" t="s">
        <v>355</v>
      </c>
    </row>
    <row r="2" spans="1:24" s="193" customFormat="1" ht="30" customHeight="1">
      <c r="A2" s="195"/>
      <c r="B2" s="539" t="s">
        <v>356</v>
      </c>
      <c r="C2" s="541" t="s">
        <v>357</v>
      </c>
      <c r="D2" s="541" t="s">
        <v>358</v>
      </c>
      <c r="E2" s="543" t="s">
        <v>359</v>
      </c>
      <c r="F2" s="535" t="s">
        <v>360</v>
      </c>
      <c r="G2" s="545" t="s">
        <v>361</v>
      </c>
      <c r="H2" s="546"/>
      <c r="I2" s="546"/>
      <c r="J2" s="546"/>
      <c r="K2" s="546"/>
      <c r="L2" s="546"/>
      <c r="M2" s="546"/>
      <c r="N2" s="546"/>
      <c r="O2" s="546"/>
      <c r="P2" s="546"/>
      <c r="Q2" s="546"/>
      <c r="R2" s="546"/>
      <c r="S2" s="546"/>
      <c r="T2" s="547"/>
      <c r="U2" s="524" t="s">
        <v>362</v>
      </c>
      <c r="V2" s="524" t="s">
        <v>363</v>
      </c>
      <c r="W2" s="524" t="s">
        <v>364</v>
      </c>
      <c r="X2" s="533" t="s">
        <v>365</v>
      </c>
    </row>
    <row r="3" spans="1:24" s="193" customFormat="1" ht="40.15" thickBot="1">
      <c r="A3" s="195"/>
      <c r="B3" s="540"/>
      <c r="C3" s="542"/>
      <c r="D3" s="542"/>
      <c r="E3" s="544"/>
      <c r="F3" s="536"/>
      <c r="G3" s="202" t="s">
        <v>366</v>
      </c>
      <c r="H3" s="203" t="s">
        <v>367</v>
      </c>
      <c r="I3" s="203" t="s">
        <v>368</v>
      </c>
      <c r="J3" s="203" t="s">
        <v>369</v>
      </c>
      <c r="K3" s="204" t="s">
        <v>370</v>
      </c>
      <c r="L3" s="204" t="s">
        <v>371</v>
      </c>
      <c r="M3" s="204" t="s">
        <v>372</v>
      </c>
      <c r="N3" s="204" t="s">
        <v>373</v>
      </c>
      <c r="O3" s="204" t="s">
        <v>374</v>
      </c>
      <c r="P3" s="203" t="s">
        <v>375</v>
      </c>
      <c r="Q3" s="204" t="s">
        <v>376</v>
      </c>
      <c r="R3" s="203" t="s">
        <v>377</v>
      </c>
      <c r="S3" s="204" t="s">
        <v>378</v>
      </c>
      <c r="T3" s="205" t="s">
        <v>379</v>
      </c>
      <c r="U3" s="525"/>
      <c r="V3" s="525"/>
      <c r="W3" s="525"/>
      <c r="X3" s="534"/>
    </row>
    <row r="4" spans="1:24" s="193" customFormat="1" ht="40.15" customHeight="1">
      <c r="A4" s="195"/>
      <c r="B4" s="227">
        <f>ROW()-3</f>
        <v>1</v>
      </c>
      <c r="C4" s="241" t="s">
        <v>66</v>
      </c>
      <c r="D4" s="206" t="s">
        <v>380</v>
      </c>
      <c r="E4" s="208" t="s">
        <v>381</v>
      </c>
      <c r="F4" s="225" t="s">
        <v>382</v>
      </c>
      <c r="G4" s="349"/>
      <c r="H4" s="350"/>
      <c r="I4" s="350"/>
      <c r="J4" s="350"/>
      <c r="K4" s="350"/>
      <c r="L4" s="350"/>
      <c r="M4" s="350"/>
      <c r="N4" s="350"/>
      <c r="O4" s="350"/>
      <c r="P4" s="350"/>
      <c r="Q4" s="350"/>
      <c r="R4" s="350"/>
      <c r="S4" s="350"/>
      <c r="T4" s="351" t="s">
        <v>383</v>
      </c>
      <c r="U4" s="212"/>
      <c r="V4" s="217"/>
      <c r="W4" s="212"/>
      <c r="X4" s="219" t="s">
        <v>384</v>
      </c>
    </row>
    <row r="5" spans="1:24" s="193" customFormat="1" ht="40.15" customHeight="1">
      <c r="A5" s="195"/>
      <c r="B5" s="228">
        <f t="shared" ref="B5:B62" si="0">ROW()-3</f>
        <v>2</v>
      </c>
      <c r="C5" s="206" t="s">
        <v>66</v>
      </c>
      <c r="D5" s="206" t="s">
        <v>380</v>
      </c>
      <c r="E5" s="209" t="s">
        <v>385</v>
      </c>
      <c r="F5" s="226" t="s">
        <v>386</v>
      </c>
      <c r="G5" s="352"/>
      <c r="H5" s="353"/>
      <c r="I5" s="353"/>
      <c r="J5" s="353"/>
      <c r="K5" s="353"/>
      <c r="L5" s="353"/>
      <c r="M5" s="353"/>
      <c r="N5" s="353"/>
      <c r="O5" s="353"/>
      <c r="P5" s="353"/>
      <c r="Q5" s="353"/>
      <c r="R5" s="353"/>
      <c r="S5" s="353"/>
      <c r="T5" s="354" t="s">
        <v>383</v>
      </c>
      <c r="U5" s="213"/>
      <c r="V5" s="218"/>
      <c r="W5" s="224"/>
      <c r="X5" s="220" t="s">
        <v>384</v>
      </c>
    </row>
    <row r="6" spans="1:24" s="193" customFormat="1" ht="40.15" customHeight="1">
      <c r="A6" s="195"/>
      <c r="B6" s="228">
        <f t="shared" si="0"/>
        <v>3</v>
      </c>
      <c r="C6" s="206" t="s">
        <v>66</v>
      </c>
      <c r="D6" s="206" t="s">
        <v>387</v>
      </c>
      <c r="E6" s="209" t="s">
        <v>388</v>
      </c>
      <c r="F6" s="226" t="s">
        <v>389</v>
      </c>
      <c r="G6" s="352"/>
      <c r="H6" s="353"/>
      <c r="I6" s="353"/>
      <c r="J6" s="353"/>
      <c r="K6" s="353"/>
      <c r="L6" s="353"/>
      <c r="M6" s="353"/>
      <c r="N6" s="353"/>
      <c r="O6" s="353"/>
      <c r="P6" s="353"/>
      <c r="Q6" s="353"/>
      <c r="R6" s="353"/>
      <c r="S6" s="353"/>
      <c r="T6" s="354" t="s">
        <v>383</v>
      </c>
      <c r="U6" s="213"/>
      <c r="V6" s="218"/>
      <c r="W6" s="224"/>
      <c r="X6" s="220" t="s">
        <v>390</v>
      </c>
    </row>
    <row r="7" spans="1:24" s="193" customFormat="1" ht="40.15" customHeight="1">
      <c r="A7" s="195"/>
      <c r="B7" s="228">
        <f t="shared" si="0"/>
        <v>4</v>
      </c>
      <c r="C7" s="206" t="s">
        <v>66</v>
      </c>
      <c r="D7" s="206" t="s">
        <v>387</v>
      </c>
      <c r="E7" s="209" t="s">
        <v>391</v>
      </c>
      <c r="F7" s="226" t="s">
        <v>392</v>
      </c>
      <c r="G7" s="352"/>
      <c r="H7" s="353"/>
      <c r="I7" s="353"/>
      <c r="J7" s="353"/>
      <c r="K7" s="353"/>
      <c r="L7" s="353"/>
      <c r="M7" s="353"/>
      <c r="N7" s="353"/>
      <c r="O7" s="353"/>
      <c r="P7" s="353"/>
      <c r="Q7" s="353"/>
      <c r="R7" s="353"/>
      <c r="S7" s="353"/>
      <c r="T7" s="354" t="s">
        <v>383</v>
      </c>
      <c r="U7" s="213"/>
      <c r="V7" s="218"/>
      <c r="W7" s="224"/>
      <c r="X7" s="220" t="s">
        <v>390</v>
      </c>
    </row>
    <row r="8" spans="1:24" s="193" customFormat="1" ht="40.15" customHeight="1">
      <c r="A8" s="195"/>
      <c r="B8" s="361">
        <f t="shared" si="0"/>
        <v>5</v>
      </c>
      <c r="C8" s="362" t="s">
        <v>66</v>
      </c>
      <c r="D8" s="362" t="s">
        <v>393</v>
      </c>
      <c r="E8" s="363" t="s">
        <v>394</v>
      </c>
      <c r="F8" s="364" t="s">
        <v>395</v>
      </c>
      <c r="G8" s="355"/>
      <c r="H8" s="356"/>
      <c r="I8" s="356"/>
      <c r="J8" s="356"/>
      <c r="K8" s="356"/>
      <c r="L8" s="356"/>
      <c r="M8" s="356"/>
      <c r="N8" s="356"/>
      <c r="O8" s="356"/>
      <c r="P8" s="356"/>
      <c r="Q8" s="356"/>
      <c r="R8" s="356"/>
      <c r="S8" s="356"/>
      <c r="T8" s="357"/>
      <c r="U8" s="365"/>
      <c r="V8" s="366"/>
      <c r="W8" s="367"/>
      <c r="X8" s="368"/>
    </row>
    <row r="9" spans="1:24" s="193" customFormat="1" ht="40.15" customHeight="1">
      <c r="A9" s="195"/>
      <c r="B9" s="228">
        <f t="shared" si="0"/>
        <v>6</v>
      </c>
      <c r="C9" s="206" t="s">
        <v>396</v>
      </c>
      <c r="D9" s="206" t="s">
        <v>397</v>
      </c>
      <c r="E9" s="209"/>
      <c r="F9" s="226" t="s">
        <v>398</v>
      </c>
      <c r="G9" s="354" t="s">
        <v>383</v>
      </c>
      <c r="H9" s="353"/>
      <c r="I9" s="353"/>
      <c r="J9" s="353"/>
      <c r="K9" s="353"/>
      <c r="L9" s="353"/>
      <c r="M9" s="353"/>
      <c r="N9" s="353"/>
      <c r="O9" s="353"/>
      <c r="P9" s="353"/>
      <c r="Q9" s="353"/>
      <c r="R9" s="353"/>
      <c r="S9" s="353"/>
      <c r="T9" s="354"/>
      <c r="U9" s="213"/>
      <c r="V9" s="218"/>
      <c r="W9" s="224"/>
      <c r="X9" s="221"/>
    </row>
    <row r="10" spans="1:24" s="193" customFormat="1" ht="40.15" customHeight="1">
      <c r="A10" s="195"/>
      <c r="B10" s="228">
        <f t="shared" ref="B10:B69" si="1">ROW()-3</f>
        <v>7</v>
      </c>
      <c r="C10" s="206" t="s">
        <v>399</v>
      </c>
      <c r="D10" s="206" t="s">
        <v>400</v>
      </c>
      <c r="E10" s="209"/>
      <c r="F10" s="226" t="s">
        <v>401</v>
      </c>
      <c r="G10" s="354" t="s">
        <v>383</v>
      </c>
      <c r="H10" s="353"/>
      <c r="I10" s="353"/>
      <c r="J10" s="353"/>
      <c r="K10" s="353"/>
      <c r="L10" s="353"/>
      <c r="M10" s="353"/>
      <c r="N10" s="353"/>
      <c r="O10" s="353"/>
      <c r="P10" s="353"/>
      <c r="Q10" s="353"/>
      <c r="R10" s="353"/>
      <c r="S10" s="353"/>
      <c r="T10" s="354"/>
      <c r="U10" s="213"/>
      <c r="V10" s="218"/>
      <c r="W10" s="224"/>
      <c r="X10" s="221"/>
    </row>
    <row r="11" spans="1:24" s="193" customFormat="1" ht="40.15" customHeight="1">
      <c r="A11" s="195"/>
      <c r="B11" s="228">
        <f t="shared" si="0"/>
        <v>8</v>
      </c>
      <c r="C11" s="206" t="s">
        <v>402</v>
      </c>
      <c r="D11" s="206" t="s">
        <v>403</v>
      </c>
      <c r="E11" s="209" t="s">
        <v>404</v>
      </c>
      <c r="F11" s="226" t="s">
        <v>405</v>
      </c>
      <c r="G11" s="354" t="s">
        <v>383</v>
      </c>
      <c r="H11" s="353"/>
      <c r="I11" s="353"/>
      <c r="J11" s="353"/>
      <c r="K11" s="353"/>
      <c r="L11" s="353"/>
      <c r="M11" s="353"/>
      <c r="N11" s="353"/>
      <c r="O11" s="353"/>
      <c r="P11" s="353"/>
      <c r="Q11" s="353"/>
      <c r="R11" s="353"/>
      <c r="S11" s="353"/>
      <c r="T11" s="354"/>
      <c r="U11" s="213"/>
      <c r="V11" s="218"/>
      <c r="W11" s="224"/>
      <c r="X11" s="221"/>
    </row>
    <row r="12" spans="1:24" s="193" customFormat="1" ht="51" customHeight="1">
      <c r="A12" s="195"/>
      <c r="B12" s="228">
        <f t="shared" si="0"/>
        <v>9</v>
      </c>
      <c r="C12" s="206" t="s">
        <v>406</v>
      </c>
      <c r="D12" s="206" t="s">
        <v>407</v>
      </c>
      <c r="E12" s="209" t="s">
        <v>408</v>
      </c>
      <c r="F12" s="226" t="s">
        <v>409</v>
      </c>
      <c r="G12" s="354" t="s">
        <v>383</v>
      </c>
      <c r="H12" s="353"/>
      <c r="I12" s="353"/>
      <c r="J12" s="353"/>
      <c r="K12" s="353"/>
      <c r="L12" s="353"/>
      <c r="M12" s="353"/>
      <c r="N12" s="353"/>
      <c r="O12" s="353"/>
      <c r="P12" s="353"/>
      <c r="Q12" s="353"/>
      <c r="R12" s="353"/>
      <c r="S12" s="353"/>
      <c r="T12" s="354"/>
      <c r="U12" s="213"/>
      <c r="V12" s="218"/>
      <c r="W12" s="224"/>
      <c r="X12" s="220" t="s">
        <v>410</v>
      </c>
    </row>
    <row r="13" spans="1:24" s="193" customFormat="1" ht="40.15" customHeight="1">
      <c r="A13" s="195"/>
      <c r="B13" s="228">
        <f t="shared" si="0"/>
        <v>10</v>
      </c>
      <c r="C13" s="206" t="s">
        <v>406</v>
      </c>
      <c r="D13" s="206" t="s">
        <v>411</v>
      </c>
      <c r="E13" s="209" t="s">
        <v>412</v>
      </c>
      <c r="F13" s="226" t="s">
        <v>413</v>
      </c>
      <c r="G13" s="353" t="s">
        <v>72</v>
      </c>
      <c r="H13" s="353"/>
      <c r="I13" s="353"/>
      <c r="J13" s="353"/>
      <c r="K13" s="353"/>
      <c r="L13" s="353"/>
      <c r="M13" s="353"/>
      <c r="N13" s="353"/>
      <c r="O13" s="353"/>
      <c r="P13" s="353"/>
      <c r="Q13" s="353"/>
      <c r="R13" s="353"/>
      <c r="S13" s="353" t="s">
        <v>72</v>
      </c>
      <c r="T13" s="354"/>
      <c r="U13" s="213"/>
      <c r="V13" s="218"/>
      <c r="W13" s="224"/>
      <c r="X13" s="220" t="s">
        <v>414</v>
      </c>
    </row>
    <row r="14" spans="1:24" s="193" customFormat="1" ht="60.6" customHeight="1">
      <c r="A14" s="195"/>
      <c r="B14" s="228">
        <f t="shared" si="0"/>
        <v>11</v>
      </c>
      <c r="C14" s="206" t="s">
        <v>406</v>
      </c>
      <c r="D14" s="206" t="s">
        <v>415</v>
      </c>
      <c r="E14" s="209" t="s">
        <v>416</v>
      </c>
      <c r="F14" s="226" t="s">
        <v>417</v>
      </c>
      <c r="G14" s="352" t="s">
        <v>383</v>
      </c>
      <c r="H14" s="353"/>
      <c r="I14" s="353"/>
      <c r="J14" s="353"/>
      <c r="K14" s="353"/>
      <c r="L14" s="353"/>
      <c r="M14" s="353"/>
      <c r="N14" s="353"/>
      <c r="O14" s="353"/>
      <c r="P14" s="353"/>
      <c r="Q14" s="353"/>
      <c r="R14" s="353"/>
      <c r="S14" s="353"/>
      <c r="T14" s="354"/>
      <c r="U14" s="213"/>
      <c r="V14" s="218"/>
      <c r="W14" s="224"/>
      <c r="X14" s="220" t="s">
        <v>418</v>
      </c>
    </row>
    <row r="15" spans="1:24" s="193" customFormat="1" ht="60.6" customHeight="1">
      <c r="A15" s="195"/>
      <c r="B15" s="228">
        <f t="shared" si="0"/>
        <v>12</v>
      </c>
      <c r="C15" s="206" t="s">
        <v>406</v>
      </c>
      <c r="D15" s="206" t="s">
        <v>415</v>
      </c>
      <c r="E15" s="209" t="s">
        <v>419</v>
      </c>
      <c r="F15" s="226" t="s">
        <v>420</v>
      </c>
      <c r="G15" s="353" t="s">
        <v>72</v>
      </c>
      <c r="H15" s="353"/>
      <c r="I15" s="353"/>
      <c r="J15" s="353"/>
      <c r="K15" s="353"/>
      <c r="L15" s="353"/>
      <c r="M15" s="353"/>
      <c r="N15" s="353"/>
      <c r="O15" s="353"/>
      <c r="P15" s="353"/>
      <c r="Q15" s="353"/>
      <c r="R15" s="353"/>
      <c r="S15" s="353"/>
      <c r="T15" s="354"/>
      <c r="U15" s="213"/>
      <c r="V15" s="218"/>
      <c r="W15" s="224"/>
      <c r="X15" s="221" t="s">
        <v>421</v>
      </c>
    </row>
    <row r="16" spans="1:24" s="193" customFormat="1" ht="58.15" customHeight="1">
      <c r="A16" s="195"/>
      <c r="B16" s="228">
        <f t="shared" si="0"/>
        <v>13</v>
      </c>
      <c r="C16" s="206" t="s">
        <v>406</v>
      </c>
      <c r="D16" s="206" t="s">
        <v>415</v>
      </c>
      <c r="E16" s="209" t="s">
        <v>419</v>
      </c>
      <c r="F16" s="226" t="s">
        <v>422</v>
      </c>
      <c r="G16" s="353" t="s">
        <v>72</v>
      </c>
      <c r="H16" s="353"/>
      <c r="I16" s="353"/>
      <c r="J16" s="353"/>
      <c r="K16" s="353"/>
      <c r="L16" s="353"/>
      <c r="M16" s="353"/>
      <c r="N16" s="353"/>
      <c r="O16" s="353"/>
      <c r="P16" s="353"/>
      <c r="Q16" s="353"/>
      <c r="R16" s="353"/>
      <c r="S16" s="353"/>
      <c r="T16" s="354"/>
      <c r="U16" s="213"/>
      <c r="V16" s="218"/>
      <c r="W16" s="224"/>
      <c r="X16" s="221" t="s">
        <v>423</v>
      </c>
    </row>
    <row r="17" spans="1:25" s="193" customFormat="1" ht="48.6" customHeight="1">
      <c r="A17" s="195"/>
      <c r="B17" s="228">
        <f t="shared" si="0"/>
        <v>14</v>
      </c>
      <c r="C17" s="206" t="s">
        <v>406</v>
      </c>
      <c r="D17" s="206" t="s">
        <v>415</v>
      </c>
      <c r="E17" s="209" t="s">
        <v>424</v>
      </c>
      <c r="F17" s="226" t="s">
        <v>425</v>
      </c>
      <c r="G17" s="352" t="s">
        <v>383</v>
      </c>
      <c r="H17" s="353"/>
      <c r="I17" s="353"/>
      <c r="J17" s="353"/>
      <c r="K17" s="353"/>
      <c r="L17" s="353"/>
      <c r="M17" s="353"/>
      <c r="N17" s="353"/>
      <c r="O17" s="353"/>
      <c r="P17" s="353"/>
      <c r="Q17" s="353"/>
      <c r="R17" s="353"/>
      <c r="S17" s="353"/>
      <c r="T17" s="354"/>
      <c r="U17" s="213"/>
      <c r="V17" s="218"/>
      <c r="W17" s="224"/>
      <c r="X17" s="220" t="s">
        <v>426</v>
      </c>
    </row>
    <row r="18" spans="1:25" s="193" customFormat="1" ht="61.9" customHeight="1">
      <c r="A18" s="195"/>
      <c r="B18" s="228">
        <f t="shared" si="0"/>
        <v>15</v>
      </c>
      <c r="C18" s="206" t="s">
        <v>406</v>
      </c>
      <c r="D18" s="206" t="s">
        <v>415</v>
      </c>
      <c r="E18" s="209" t="s">
        <v>427</v>
      </c>
      <c r="F18" s="226" t="s">
        <v>428</v>
      </c>
      <c r="G18" s="352" t="s">
        <v>383</v>
      </c>
      <c r="H18" s="353"/>
      <c r="I18" s="353"/>
      <c r="J18" s="353"/>
      <c r="K18" s="353"/>
      <c r="L18" s="353"/>
      <c r="M18" s="353"/>
      <c r="N18" s="353"/>
      <c r="O18" s="353"/>
      <c r="P18" s="353"/>
      <c r="Q18" s="353"/>
      <c r="R18" s="353"/>
      <c r="S18" s="353"/>
      <c r="T18" s="354"/>
      <c r="U18" s="213"/>
      <c r="V18" s="218"/>
      <c r="W18" s="224"/>
      <c r="X18" s="220" t="s">
        <v>429</v>
      </c>
    </row>
    <row r="19" spans="1:25" s="193" customFormat="1" ht="52.9" customHeight="1">
      <c r="A19" s="195"/>
      <c r="B19" s="228">
        <f t="shared" si="0"/>
        <v>16</v>
      </c>
      <c r="C19" s="206" t="s">
        <v>406</v>
      </c>
      <c r="D19" s="206" t="s">
        <v>407</v>
      </c>
      <c r="E19" s="209" t="s">
        <v>430</v>
      </c>
      <c r="F19" s="226" t="s">
        <v>431</v>
      </c>
      <c r="G19" s="352" t="s">
        <v>383</v>
      </c>
      <c r="H19" s="353"/>
      <c r="I19" s="353"/>
      <c r="J19" s="353"/>
      <c r="K19" s="353"/>
      <c r="L19" s="353"/>
      <c r="M19" s="353"/>
      <c r="N19" s="353"/>
      <c r="O19" s="353"/>
      <c r="P19" s="353"/>
      <c r="Q19" s="353"/>
      <c r="R19" s="353"/>
      <c r="S19" s="353"/>
      <c r="T19" s="354"/>
      <c r="U19" s="213"/>
      <c r="V19" s="218"/>
      <c r="W19" s="224"/>
      <c r="X19" s="220" t="s">
        <v>432</v>
      </c>
    </row>
    <row r="20" spans="1:25" s="193" customFormat="1" ht="49.15" customHeight="1">
      <c r="A20" s="195"/>
      <c r="B20" s="228">
        <f t="shared" si="0"/>
        <v>17</v>
      </c>
      <c r="C20" s="206" t="s">
        <v>406</v>
      </c>
      <c r="D20" s="206" t="s">
        <v>407</v>
      </c>
      <c r="E20" s="209" t="s">
        <v>433</v>
      </c>
      <c r="F20" s="226" t="s">
        <v>434</v>
      </c>
      <c r="G20" s="352" t="s">
        <v>383</v>
      </c>
      <c r="H20" s="353"/>
      <c r="I20" s="353"/>
      <c r="J20" s="353"/>
      <c r="K20" s="353"/>
      <c r="L20" s="353"/>
      <c r="M20" s="353"/>
      <c r="N20" s="353"/>
      <c r="O20" s="353"/>
      <c r="P20" s="353"/>
      <c r="Q20" s="353"/>
      <c r="R20" s="353"/>
      <c r="S20" s="353"/>
      <c r="T20" s="354"/>
      <c r="U20" s="213"/>
      <c r="V20" s="218"/>
      <c r="W20" s="224"/>
      <c r="X20" s="220"/>
    </row>
    <row r="21" spans="1:25" s="193" customFormat="1" ht="44.45" customHeight="1">
      <c r="A21" s="195"/>
      <c r="B21" s="228">
        <f t="shared" si="0"/>
        <v>18</v>
      </c>
      <c r="C21" s="206" t="s">
        <v>406</v>
      </c>
      <c r="D21" s="206" t="s">
        <v>407</v>
      </c>
      <c r="E21" s="210" t="s">
        <v>435</v>
      </c>
      <c r="F21" s="226" t="s">
        <v>436</v>
      </c>
      <c r="G21" s="352" t="s">
        <v>383</v>
      </c>
      <c r="H21" s="353"/>
      <c r="I21" s="353"/>
      <c r="J21" s="353"/>
      <c r="K21" s="353"/>
      <c r="L21" s="353"/>
      <c r="M21" s="353"/>
      <c r="N21" s="353"/>
      <c r="O21" s="353"/>
      <c r="P21" s="353"/>
      <c r="Q21" s="353"/>
      <c r="R21" s="353"/>
      <c r="S21" s="353"/>
      <c r="T21" s="354"/>
      <c r="U21" s="213"/>
      <c r="V21" s="218"/>
      <c r="W21" s="224"/>
      <c r="X21" s="222"/>
    </row>
    <row r="22" spans="1:25" s="193" customFormat="1" ht="43.9" customHeight="1">
      <c r="A22" s="195"/>
      <c r="B22" s="228">
        <f t="shared" si="0"/>
        <v>19</v>
      </c>
      <c r="C22" s="206" t="s">
        <v>406</v>
      </c>
      <c r="D22" s="206" t="s">
        <v>407</v>
      </c>
      <c r="E22" s="209" t="s">
        <v>437</v>
      </c>
      <c r="F22" s="226" t="s">
        <v>438</v>
      </c>
      <c r="G22" s="352" t="s">
        <v>383</v>
      </c>
      <c r="H22" s="353"/>
      <c r="I22" s="353"/>
      <c r="J22" s="353"/>
      <c r="K22" s="353"/>
      <c r="L22" s="353"/>
      <c r="M22" s="353"/>
      <c r="N22" s="353"/>
      <c r="O22" s="353"/>
      <c r="P22" s="353"/>
      <c r="Q22" s="353"/>
      <c r="R22" s="353"/>
      <c r="S22" s="353"/>
      <c r="T22" s="354"/>
      <c r="U22" s="213"/>
      <c r="V22" s="218"/>
      <c r="W22" s="224"/>
      <c r="X22" s="221"/>
    </row>
    <row r="23" spans="1:25" s="193" customFormat="1" ht="45" customHeight="1">
      <c r="A23" s="195"/>
      <c r="B23" s="228">
        <f t="shared" si="0"/>
        <v>20</v>
      </c>
      <c r="C23" s="206" t="s">
        <v>406</v>
      </c>
      <c r="D23" s="206" t="s">
        <v>407</v>
      </c>
      <c r="E23" s="209" t="s">
        <v>439</v>
      </c>
      <c r="F23" s="226" t="s">
        <v>440</v>
      </c>
      <c r="G23" s="352" t="s">
        <v>383</v>
      </c>
      <c r="H23" s="353"/>
      <c r="I23" s="353"/>
      <c r="J23" s="353"/>
      <c r="K23" s="353"/>
      <c r="L23" s="353"/>
      <c r="M23" s="353"/>
      <c r="N23" s="353"/>
      <c r="O23" s="353"/>
      <c r="P23" s="353"/>
      <c r="Q23" s="353"/>
      <c r="R23" s="353"/>
      <c r="S23" s="353"/>
      <c r="T23" s="354"/>
      <c r="U23" s="213"/>
      <c r="V23" s="218"/>
      <c r="W23" s="224"/>
      <c r="X23" s="221"/>
    </row>
    <row r="24" spans="1:25" s="193" customFormat="1" ht="45" customHeight="1">
      <c r="A24" s="195"/>
      <c r="B24" s="228">
        <f t="shared" si="0"/>
        <v>21</v>
      </c>
      <c r="C24" s="206" t="s">
        <v>406</v>
      </c>
      <c r="D24" s="206" t="s">
        <v>407</v>
      </c>
      <c r="E24" s="209" t="s">
        <v>441</v>
      </c>
      <c r="F24" s="226" t="s">
        <v>442</v>
      </c>
      <c r="G24" s="352" t="s">
        <v>383</v>
      </c>
      <c r="H24" s="353"/>
      <c r="I24" s="353"/>
      <c r="J24" s="353"/>
      <c r="K24" s="353"/>
      <c r="L24" s="353"/>
      <c r="M24" s="353"/>
      <c r="N24" s="353"/>
      <c r="O24" s="353"/>
      <c r="P24" s="353"/>
      <c r="Q24" s="353"/>
      <c r="R24" s="353"/>
      <c r="S24" s="353"/>
      <c r="T24" s="354"/>
      <c r="U24" s="213"/>
      <c r="V24" s="218"/>
      <c r="W24" s="224"/>
      <c r="X24" s="221"/>
    </row>
    <row r="25" spans="1:25" s="193" customFormat="1" ht="37.9" customHeight="1">
      <c r="A25" s="195"/>
      <c r="B25" s="228">
        <f t="shared" si="0"/>
        <v>22</v>
      </c>
      <c r="C25" s="206" t="s">
        <v>406</v>
      </c>
      <c r="D25" s="206" t="s">
        <v>443</v>
      </c>
      <c r="E25" s="209" t="s">
        <v>444</v>
      </c>
      <c r="F25" s="226" t="s">
        <v>445</v>
      </c>
      <c r="G25" s="352"/>
      <c r="H25" s="353"/>
      <c r="I25" s="353"/>
      <c r="J25" s="353"/>
      <c r="K25" s="353"/>
      <c r="L25" s="353"/>
      <c r="M25" s="353"/>
      <c r="N25" s="353" t="s">
        <v>446</v>
      </c>
      <c r="O25" s="353"/>
      <c r="P25" s="353"/>
      <c r="Q25" s="353"/>
      <c r="R25" s="353"/>
      <c r="S25" s="353"/>
      <c r="T25" s="354"/>
      <c r="U25" s="213"/>
      <c r="V25" s="218"/>
      <c r="W25" s="224"/>
      <c r="X25" s="221"/>
      <c r="Y25" s="194"/>
    </row>
    <row r="26" spans="1:25" s="193" customFormat="1" ht="50.45" customHeight="1">
      <c r="A26" s="195"/>
      <c r="B26" s="228">
        <f t="shared" si="0"/>
        <v>23</v>
      </c>
      <c r="C26" s="206" t="s">
        <v>406</v>
      </c>
      <c r="D26" s="206" t="s">
        <v>447</v>
      </c>
      <c r="E26" s="209" t="s">
        <v>448</v>
      </c>
      <c r="F26" s="226" t="s">
        <v>445</v>
      </c>
      <c r="G26" s="352"/>
      <c r="H26" s="353"/>
      <c r="I26" s="353"/>
      <c r="J26" s="353"/>
      <c r="K26" s="353"/>
      <c r="L26" s="353"/>
      <c r="M26" s="353"/>
      <c r="N26" s="353" t="s">
        <v>446</v>
      </c>
      <c r="O26" s="353"/>
      <c r="P26" s="353"/>
      <c r="Q26" s="353"/>
      <c r="R26" s="353"/>
      <c r="S26" s="353"/>
      <c r="T26" s="354"/>
      <c r="U26" s="213"/>
      <c r="V26" s="218"/>
      <c r="W26" s="224"/>
      <c r="X26" s="221"/>
      <c r="Y26" s="194"/>
    </row>
    <row r="27" spans="1:25" s="193" customFormat="1" ht="50.45" customHeight="1">
      <c r="A27" s="195"/>
      <c r="B27" s="228">
        <f t="shared" si="0"/>
        <v>24</v>
      </c>
      <c r="C27" s="206" t="s">
        <v>406</v>
      </c>
      <c r="D27" s="206" t="s">
        <v>447</v>
      </c>
      <c r="E27" s="209" t="s">
        <v>449</v>
      </c>
      <c r="F27" s="226" t="s">
        <v>445</v>
      </c>
      <c r="G27" s="352"/>
      <c r="H27" s="353"/>
      <c r="I27" s="353"/>
      <c r="J27" s="353"/>
      <c r="K27" s="353"/>
      <c r="L27" s="353"/>
      <c r="M27" s="353"/>
      <c r="N27" s="353" t="s">
        <v>446</v>
      </c>
      <c r="O27" s="353"/>
      <c r="P27" s="353"/>
      <c r="Q27" s="353"/>
      <c r="R27" s="353"/>
      <c r="S27" s="353"/>
      <c r="T27" s="354"/>
      <c r="U27" s="213"/>
      <c r="V27" s="218"/>
      <c r="W27" s="224"/>
      <c r="X27" s="221"/>
      <c r="Y27" s="194"/>
    </row>
    <row r="28" spans="1:25" s="193" customFormat="1" ht="50.45" customHeight="1">
      <c r="A28" s="195"/>
      <c r="B28" s="228">
        <f t="shared" si="0"/>
        <v>25</v>
      </c>
      <c r="C28" s="206" t="s">
        <v>406</v>
      </c>
      <c r="D28" s="206" t="s">
        <v>447</v>
      </c>
      <c r="E28" s="209" t="s">
        <v>450</v>
      </c>
      <c r="F28" s="226" t="s">
        <v>445</v>
      </c>
      <c r="G28" s="352"/>
      <c r="H28" s="353"/>
      <c r="I28" s="353"/>
      <c r="J28" s="353"/>
      <c r="K28" s="353"/>
      <c r="L28" s="353"/>
      <c r="M28" s="353"/>
      <c r="N28" s="353" t="s">
        <v>446</v>
      </c>
      <c r="O28" s="353"/>
      <c r="P28" s="353"/>
      <c r="Q28" s="353"/>
      <c r="R28" s="353"/>
      <c r="S28" s="353"/>
      <c r="T28" s="354"/>
      <c r="U28" s="213"/>
      <c r="V28" s="218"/>
      <c r="W28" s="224"/>
      <c r="X28" s="221"/>
      <c r="Y28" s="194"/>
    </row>
    <row r="29" spans="1:25" s="193" customFormat="1" ht="50.45" customHeight="1">
      <c r="A29" s="195"/>
      <c r="B29" s="228">
        <f t="shared" si="0"/>
        <v>26</v>
      </c>
      <c r="C29" s="206" t="s">
        <v>406</v>
      </c>
      <c r="D29" s="206" t="s">
        <v>447</v>
      </c>
      <c r="E29" s="209" t="s">
        <v>451</v>
      </c>
      <c r="F29" s="226" t="s">
        <v>445</v>
      </c>
      <c r="G29" s="352"/>
      <c r="H29" s="353"/>
      <c r="I29" s="353"/>
      <c r="J29" s="353"/>
      <c r="K29" s="353"/>
      <c r="L29" s="353"/>
      <c r="M29" s="353"/>
      <c r="N29" s="353" t="s">
        <v>446</v>
      </c>
      <c r="O29" s="353"/>
      <c r="P29" s="353"/>
      <c r="Q29" s="353"/>
      <c r="R29" s="353"/>
      <c r="S29" s="353"/>
      <c r="T29" s="354"/>
      <c r="U29" s="213"/>
      <c r="V29" s="218"/>
      <c r="W29" s="224"/>
      <c r="X29" s="221"/>
      <c r="Y29" s="194"/>
    </row>
    <row r="30" spans="1:25" s="193" customFormat="1" ht="37.9" customHeight="1">
      <c r="A30" s="195"/>
      <c r="B30" s="228">
        <f t="shared" si="0"/>
        <v>27</v>
      </c>
      <c r="C30" s="206" t="s">
        <v>406</v>
      </c>
      <c r="D30" s="206" t="s">
        <v>447</v>
      </c>
      <c r="E30" s="209" t="s">
        <v>452</v>
      </c>
      <c r="F30" s="226" t="s">
        <v>445</v>
      </c>
      <c r="G30" s="352"/>
      <c r="H30" s="353"/>
      <c r="I30" s="353"/>
      <c r="J30" s="353"/>
      <c r="K30" s="353"/>
      <c r="L30" s="353"/>
      <c r="M30" s="353"/>
      <c r="N30" s="353" t="s">
        <v>446</v>
      </c>
      <c r="O30" s="353"/>
      <c r="P30" s="353"/>
      <c r="Q30" s="353"/>
      <c r="R30" s="353"/>
      <c r="S30" s="353"/>
      <c r="T30" s="354"/>
      <c r="U30" s="213"/>
      <c r="V30" s="218"/>
      <c r="W30" s="224"/>
      <c r="X30" s="221"/>
      <c r="Y30" s="194"/>
    </row>
    <row r="31" spans="1:25" s="193" customFormat="1" ht="37.9" customHeight="1">
      <c r="A31" s="195"/>
      <c r="B31" s="228">
        <f t="shared" si="0"/>
        <v>28</v>
      </c>
      <c r="C31" s="206" t="s">
        <v>406</v>
      </c>
      <c r="D31" s="206" t="s">
        <v>453</v>
      </c>
      <c r="E31" s="209" t="s">
        <v>454</v>
      </c>
      <c r="F31" s="226" t="s">
        <v>455</v>
      </c>
      <c r="G31" s="352"/>
      <c r="H31" s="353"/>
      <c r="I31" s="353"/>
      <c r="J31" s="353"/>
      <c r="K31" s="353"/>
      <c r="L31" s="353"/>
      <c r="M31" s="353"/>
      <c r="N31" s="353" t="s">
        <v>446</v>
      </c>
      <c r="O31" s="353"/>
      <c r="P31" s="353"/>
      <c r="Q31" s="353"/>
      <c r="R31" s="353"/>
      <c r="S31" s="353"/>
      <c r="T31" s="354"/>
      <c r="U31" s="213"/>
      <c r="V31" s="218"/>
      <c r="W31" s="224"/>
      <c r="X31" s="221"/>
    </row>
    <row r="32" spans="1:25" s="193" customFormat="1" ht="37.9" customHeight="1">
      <c r="A32" s="195"/>
      <c r="B32" s="228">
        <f t="shared" si="0"/>
        <v>29</v>
      </c>
      <c r="C32" s="206" t="s">
        <v>406</v>
      </c>
      <c r="D32" s="206" t="s">
        <v>447</v>
      </c>
      <c r="E32" s="209" t="s">
        <v>456</v>
      </c>
      <c r="F32" s="226" t="s">
        <v>455</v>
      </c>
      <c r="G32" s="352"/>
      <c r="H32" s="353"/>
      <c r="I32" s="353"/>
      <c r="J32" s="353"/>
      <c r="K32" s="353"/>
      <c r="L32" s="353"/>
      <c r="M32" s="353"/>
      <c r="N32" s="353" t="s">
        <v>446</v>
      </c>
      <c r="O32" s="353"/>
      <c r="P32" s="353"/>
      <c r="Q32" s="353"/>
      <c r="R32" s="353"/>
      <c r="S32" s="353"/>
      <c r="T32" s="354"/>
      <c r="U32" s="213"/>
      <c r="V32" s="218"/>
      <c r="W32" s="224"/>
      <c r="X32" s="221"/>
    </row>
    <row r="33" spans="1:25" s="193" customFormat="1" ht="37.9" customHeight="1">
      <c r="A33" s="195"/>
      <c r="B33" s="228">
        <f t="shared" si="0"/>
        <v>30</v>
      </c>
      <c r="C33" s="206" t="s">
        <v>406</v>
      </c>
      <c r="D33" s="206" t="s">
        <v>447</v>
      </c>
      <c r="E33" s="209" t="s">
        <v>457</v>
      </c>
      <c r="F33" s="226" t="s">
        <v>455</v>
      </c>
      <c r="G33" s="352"/>
      <c r="H33" s="353"/>
      <c r="I33" s="353"/>
      <c r="J33" s="353"/>
      <c r="K33" s="353"/>
      <c r="L33" s="353"/>
      <c r="M33" s="353"/>
      <c r="N33" s="353" t="s">
        <v>446</v>
      </c>
      <c r="O33" s="353"/>
      <c r="P33" s="353"/>
      <c r="Q33" s="353"/>
      <c r="R33" s="353"/>
      <c r="S33" s="353"/>
      <c r="T33" s="354"/>
      <c r="U33" s="213"/>
      <c r="V33" s="218"/>
      <c r="W33" s="224"/>
      <c r="X33" s="221"/>
    </row>
    <row r="34" spans="1:25" s="193" customFormat="1" ht="37.9" customHeight="1">
      <c r="A34" s="195"/>
      <c r="B34" s="228">
        <f t="shared" si="0"/>
        <v>31</v>
      </c>
      <c r="C34" s="206" t="s">
        <v>406</v>
      </c>
      <c r="D34" s="206" t="s">
        <v>447</v>
      </c>
      <c r="E34" s="209" t="s">
        <v>458</v>
      </c>
      <c r="F34" s="226" t="s">
        <v>455</v>
      </c>
      <c r="G34" s="352"/>
      <c r="H34" s="353"/>
      <c r="I34" s="353"/>
      <c r="J34" s="353"/>
      <c r="K34" s="353"/>
      <c r="L34" s="353"/>
      <c r="M34" s="353"/>
      <c r="N34" s="353" t="s">
        <v>446</v>
      </c>
      <c r="O34" s="353"/>
      <c r="P34" s="353"/>
      <c r="Q34" s="353"/>
      <c r="R34" s="353"/>
      <c r="S34" s="353"/>
      <c r="T34" s="354"/>
      <c r="U34" s="213"/>
      <c r="V34" s="218"/>
      <c r="W34" s="224"/>
      <c r="X34" s="220" t="s">
        <v>459</v>
      </c>
    </row>
    <row r="35" spans="1:25" s="193" customFormat="1" ht="42.6" customHeight="1">
      <c r="A35" s="195"/>
      <c r="B35" s="228">
        <f t="shared" si="0"/>
        <v>32</v>
      </c>
      <c r="C35" s="206" t="s">
        <v>406</v>
      </c>
      <c r="D35" s="206" t="s">
        <v>447</v>
      </c>
      <c r="E35" s="209" t="s">
        <v>460</v>
      </c>
      <c r="F35" s="226" t="s">
        <v>455</v>
      </c>
      <c r="G35" s="352"/>
      <c r="H35" s="353"/>
      <c r="I35" s="353"/>
      <c r="J35" s="353"/>
      <c r="K35" s="353"/>
      <c r="L35" s="353"/>
      <c r="M35" s="353"/>
      <c r="N35" s="353" t="s">
        <v>446</v>
      </c>
      <c r="O35" s="353"/>
      <c r="P35" s="353"/>
      <c r="Q35" s="353"/>
      <c r="R35" s="353"/>
      <c r="S35" s="353"/>
      <c r="T35" s="354"/>
      <c r="U35" s="213"/>
      <c r="V35" s="218"/>
      <c r="W35" s="224"/>
      <c r="X35" s="221"/>
    </row>
    <row r="36" spans="1:25" s="193" customFormat="1" ht="45.6" customHeight="1">
      <c r="A36" s="195"/>
      <c r="B36" s="228">
        <f t="shared" si="0"/>
        <v>33</v>
      </c>
      <c r="C36" s="206" t="s">
        <v>406</v>
      </c>
      <c r="D36" s="206" t="s">
        <v>447</v>
      </c>
      <c r="E36" s="209" t="s">
        <v>461</v>
      </c>
      <c r="F36" s="226" t="s">
        <v>445</v>
      </c>
      <c r="G36" s="352"/>
      <c r="H36" s="353"/>
      <c r="I36" s="353"/>
      <c r="J36" s="353"/>
      <c r="K36" s="353"/>
      <c r="L36" s="353"/>
      <c r="M36" s="353"/>
      <c r="N36" s="353" t="s">
        <v>446</v>
      </c>
      <c r="O36" s="353"/>
      <c r="P36" s="353"/>
      <c r="Q36" s="353"/>
      <c r="R36" s="353"/>
      <c r="S36" s="353"/>
      <c r="T36" s="354"/>
      <c r="U36" s="213"/>
      <c r="V36" s="218"/>
      <c r="W36" s="224"/>
      <c r="X36" s="221"/>
    </row>
    <row r="37" spans="1:25" s="193" customFormat="1" ht="45.6" customHeight="1">
      <c r="A37" s="195"/>
      <c r="B37" s="228">
        <f t="shared" si="0"/>
        <v>34</v>
      </c>
      <c r="C37" s="206" t="s">
        <v>406</v>
      </c>
      <c r="D37" s="206" t="s">
        <v>447</v>
      </c>
      <c r="E37" s="209" t="s">
        <v>462</v>
      </c>
      <c r="F37" s="226" t="s">
        <v>445</v>
      </c>
      <c r="G37" s="352"/>
      <c r="H37" s="353"/>
      <c r="I37" s="353"/>
      <c r="J37" s="353"/>
      <c r="K37" s="353"/>
      <c r="L37" s="353"/>
      <c r="M37" s="353"/>
      <c r="N37" s="353" t="s">
        <v>446</v>
      </c>
      <c r="O37" s="353"/>
      <c r="P37" s="353"/>
      <c r="Q37" s="353"/>
      <c r="R37" s="353"/>
      <c r="S37" s="353"/>
      <c r="T37" s="354"/>
      <c r="U37" s="213"/>
      <c r="V37" s="218"/>
      <c r="W37" s="224"/>
      <c r="X37" s="221"/>
    </row>
    <row r="38" spans="1:25" s="193" customFormat="1" ht="46.15" customHeight="1">
      <c r="A38" s="195"/>
      <c r="B38" s="228">
        <f t="shared" si="0"/>
        <v>35</v>
      </c>
      <c r="C38" s="206" t="s">
        <v>406</v>
      </c>
      <c r="D38" s="206" t="s">
        <v>447</v>
      </c>
      <c r="E38" s="209" t="s">
        <v>463</v>
      </c>
      <c r="F38" s="226" t="s">
        <v>445</v>
      </c>
      <c r="G38" s="352"/>
      <c r="H38" s="353"/>
      <c r="I38" s="353"/>
      <c r="J38" s="353"/>
      <c r="K38" s="353"/>
      <c r="L38" s="353"/>
      <c r="M38" s="353"/>
      <c r="N38" s="353" t="s">
        <v>446</v>
      </c>
      <c r="O38" s="353"/>
      <c r="P38" s="353"/>
      <c r="Q38" s="353"/>
      <c r="R38" s="353"/>
      <c r="S38" s="353"/>
      <c r="T38" s="354"/>
      <c r="U38" s="213"/>
      <c r="V38" s="218"/>
      <c r="W38" s="224"/>
      <c r="X38" s="221"/>
    </row>
    <row r="39" spans="1:25" s="193" customFormat="1" ht="46.15" customHeight="1">
      <c r="A39" s="195"/>
      <c r="B39" s="228">
        <f t="shared" si="0"/>
        <v>36</v>
      </c>
      <c r="C39" s="206" t="s">
        <v>406</v>
      </c>
      <c r="D39" s="207" t="s">
        <v>464</v>
      </c>
      <c r="E39" s="211" t="s">
        <v>465</v>
      </c>
      <c r="F39" s="226" t="s">
        <v>466</v>
      </c>
      <c r="G39" s="352"/>
      <c r="H39" s="353"/>
      <c r="I39" s="353"/>
      <c r="J39" s="353"/>
      <c r="K39" s="353"/>
      <c r="L39" s="353"/>
      <c r="M39" s="353"/>
      <c r="N39" s="353" t="s">
        <v>446</v>
      </c>
      <c r="O39" s="353"/>
      <c r="P39" s="353"/>
      <c r="Q39" s="353"/>
      <c r="R39" s="353"/>
      <c r="S39" s="353" t="s">
        <v>446</v>
      </c>
      <c r="T39" s="354"/>
      <c r="U39" s="213"/>
      <c r="V39" s="218"/>
      <c r="W39" s="224"/>
      <c r="X39" s="221" t="s">
        <v>467</v>
      </c>
    </row>
    <row r="40" spans="1:25" s="193" customFormat="1" ht="46.15" customHeight="1">
      <c r="A40" s="195"/>
      <c r="B40" s="228">
        <f t="shared" si="0"/>
        <v>37</v>
      </c>
      <c r="C40" s="206" t="s">
        <v>406</v>
      </c>
      <c r="D40" s="207" t="s">
        <v>464</v>
      </c>
      <c r="E40" s="211" t="s">
        <v>465</v>
      </c>
      <c r="F40" s="226" t="s">
        <v>468</v>
      </c>
      <c r="G40" s="352"/>
      <c r="H40" s="353"/>
      <c r="I40" s="353"/>
      <c r="J40" s="353"/>
      <c r="K40" s="353"/>
      <c r="L40" s="353"/>
      <c r="M40" s="353"/>
      <c r="N40" s="353" t="s">
        <v>446</v>
      </c>
      <c r="O40" s="353"/>
      <c r="P40" s="353"/>
      <c r="Q40" s="353"/>
      <c r="R40" s="353"/>
      <c r="S40" s="353" t="s">
        <v>446</v>
      </c>
      <c r="T40" s="354"/>
      <c r="U40" s="213"/>
      <c r="V40" s="218"/>
      <c r="W40" s="224"/>
      <c r="X40" s="221" t="s">
        <v>467</v>
      </c>
    </row>
    <row r="41" spans="1:25" s="193" customFormat="1" ht="37.9" customHeight="1">
      <c r="A41" s="195"/>
      <c r="B41" s="228">
        <f t="shared" si="0"/>
        <v>38</v>
      </c>
      <c r="C41" s="206" t="s">
        <v>469</v>
      </c>
      <c r="D41" s="206" t="s">
        <v>447</v>
      </c>
      <c r="E41" s="209" t="s">
        <v>470</v>
      </c>
      <c r="F41" s="226" t="s">
        <v>445</v>
      </c>
      <c r="G41" s="352"/>
      <c r="H41" s="353"/>
      <c r="I41" s="353"/>
      <c r="J41" s="353"/>
      <c r="K41" s="353"/>
      <c r="L41" s="353"/>
      <c r="M41" s="353"/>
      <c r="N41" s="353" t="s">
        <v>446</v>
      </c>
      <c r="O41" s="353"/>
      <c r="P41" s="353"/>
      <c r="Q41" s="353"/>
      <c r="R41" s="353"/>
      <c r="S41" s="353"/>
      <c r="T41" s="354"/>
      <c r="U41" s="213"/>
      <c r="V41" s="218"/>
      <c r="W41" s="224"/>
      <c r="X41" s="221"/>
      <c r="Y41" s="194"/>
    </row>
    <row r="42" spans="1:25" s="193" customFormat="1" ht="37.9" customHeight="1">
      <c r="A42" s="195"/>
      <c r="B42" s="228">
        <f t="shared" si="0"/>
        <v>39</v>
      </c>
      <c r="C42" s="206" t="s">
        <v>469</v>
      </c>
      <c r="D42" s="206" t="s">
        <v>447</v>
      </c>
      <c r="E42" s="209" t="s">
        <v>471</v>
      </c>
      <c r="F42" s="226" t="s">
        <v>472</v>
      </c>
      <c r="G42" s="352"/>
      <c r="H42" s="353"/>
      <c r="I42" s="353"/>
      <c r="J42" s="353"/>
      <c r="K42" s="353"/>
      <c r="L42" s="353"/>
      <c r="M42" s="353"/>
      <c r="N42" s="353" t="s">
        <v>446</v>
      </c>
      <c r="O42" s="353"/>
      <c r="P42" s="353"/>
      <c r="Q42" s="353"/>
      <c r="R42" s="353"/>
      <c r="S42" s="353"/>
      <c r="T42" s="354"/>
      <c r="U42" s="213"/>
      <c r="V42" s="218"/>
      <c r="W42" s="224"/>
      <c r="X42" s="221"/>
      <c r="Y42" s="194"/>
    </row>
    <row r="43" spans="1:25" s="193" customFormat="1" ht="37.9" customHeight="1">
      <c r="A43" s="195"/>
      <c r="B43" s="228">
        <f t="shared" si="0"/>
        <v>40</v>
      </c>
      <c r="C43" s="206" t="s">
        <v>469</v>
      </c>
      <c r="D43" s="206" t="s">
        <v>447</v>
      </c>
      <c r="E43" s="209" t="s">
        <v>473</v>
      </c>
      <c r="F43" s="226" t="s">
        <v>445</v>
      </c>
      <c r="G43" s="352"/>
      <c r="H43" s="353"/>
      <c r="I43" s="353"/>
      <c r="J43" s="353"/>
      <c r="K43" s="353"/>
      <c r="L43" s="353"/>
      <c r="M43" s="353"/>
      <c r="N43" s="353" t="s">
        <v>446</v>
      </c>
      <c r="O43" s="353"/>
      <c r="P43" s="353"/>
      <c r="Q43" s="353"/>
      <c r="R43" s="353"/>
      <c r="S43" s="353"/>
      <c r="T43" s="354"/>
      <c r="U43" s="213"/>
      <c r="V43" s="218"/>
      <c r="W43" s="224"/>
      <c r="X43" s="221"/>
      <c r="Y43" s="194"/>
    </row>
    <row r="44" spans="1:25" s="193" customFormat="1" ht="37.9" customHeight="1">
      <c r="A44" s="195"/>
      <c r="B44" s="228">
        <f t="shared" si="0"/>
        <v>41</v>
      </c>
      <c r="C44" s="206" t="s">
        <v>469</v>
      </c>
      <c r="D44" s="206" t="s">
        <v>447</v>
      </c>
      <c r="E44" s="209" t="s">
        <v>474</v>
      </c>
      <c r="F44" s="226" t="s">
        <v>445</v>
      </c>
      <c r="G44" s="352"/>
      <c r="H44" s="353"/>
      <c r="I44" s="353"/>
      <c r="J44" s="353"/>
      <c r="K44" s="353"/>
      <c r="L44" s="353"/>
      <c r="M44" s="353"/>
      <c r="N44" s="353" t="s">
        <v>446</v>
      </c>
      <c r="O44" s="353"/>
      <c r="P44" s="353"/>
      <c r="Q44" s="353"/>
      <c r="R44" s="353"/>
      <c r="S44" s="353"/>
      <c r="T44" s="354"/>
      <c r="U44" s="213"/>
      <c r="V44" s="218"/>
      <c r="W44" s="224"/>
      <c r="X44" s="221"/>
      <c r="Y44" s="194"/>
    </row>
    <row r="45" spans="1:25" s="193" customFormat="1" ht="45.6" customHeight="1">
      <c r="A45" s="195"/>
      <c r="B45" s="228">
        <f t="shared" si="0"/>
        <v>42</v>
      </c>
      <c r="C45" s="206" t="s">
        <v>469</v>
      </c>
      <c r="D45" s="206" t="s">
        <v>447</v>
      </c>
      <c r="E45" s="209" t="s">
        <v>475</v>
      </c>
      <c r="F45" s="226"/>
      <c r="G45" s="352"/>
      <c r="H45" s="353"/>
      <c r="I45" s="353"/>
      <c r="J45" s="353"/>
      <c r="K45" s="353"/>
      <c r="L45" s="353"/>
      <c r="M45" s="353"/>
      <c r="N45" s="353" t="s">
        <v>446</v>
      </c>
      <c r="O45" s="353"/>
      <c r="P45" s="353"/>
      <c r="Q45" s="353"/>
      <c r="R45" s="353"/>
      <c r="S45" s="353"/>
      <c r="T45" s="354"/>
      <c r="U45" s="213"/>
      <c r="V45" s="218"/>
      <c r="W45" s="224"/>
      <c r="X45" s="221"/>
    </row>
    <row r="46" spans="1:25" s="193" customFormat="1" ht="45.6" customHeight="1">
      <c r="A46" s="195"/>
      <c r="B46" s="228">
        <f t="shared" si="0"/>
        <v>43</v>
      </c>
      <c r="C46" s="206" t="s">
        <v>469</v>
      </c>
      <c r="D46" s="206" t="s">
        <v>447</v>
      </c>
      <c r="E46" s="209" t="s">
        <v>476</v>
      </c>
      <c r="F46" s="226" t="s">
        <v>445</v>
      </c>
      <c r="G46" s="352"/>
      <c r="H46" s="353"/>
      <c r="I46" s="353"/>
      <c r="J46" s="353"/>
      <c r="K46" s="353"/>
      <c r="L46" s="353"/>
      <c r="M46" s="353"/>
      <c r="N46" s="353" t="s">
        <v>446</v>
      </c>
      <c r="O46" s="353"/>
      <c r="P46" s="353"/>
      <c r="Q46" s="353"/>
      <c r="R46" s="353"/>
      <c r="S46" s="353"/>
      <c r="T46" s="354"/>
      <c r="U46" s="213"/>
      <c r="V46" s="218"/>
      <c r="W46" s="224"/>
      <c r="X46" s="221"/>
    </row>
    <row r="47" spans="1:25" s="193" customFormat="1" ht="45.6" customHeight="1">
      <c r="A47" s="195"/>
      <c r="B47" s="228">
        <f t="shared" si="0"/>
        <v>44</v>
      </c>
      <c r="C47" s="206" t="s">
        <v>469</v>
      </c>
      <c r="D47" s="206" t="s">
        <v>447</v>
      </c>
      <c r="E47" s="209" t="s">
        <v>477</v>
      </c>
      <c r="F47" s="226" t="s">
        <v>445</v>
      </c>
      <c r="G47" s="352"/>
      <c r="H47" s="353"/>
      <c r="I47" s="353"/>
      <c r="J47" s="353"/>
      <c r="K47" s="353"/>
      <c r="L47" s="353"/>
      <c r="M47" s="353"/>
      <c r="N47" s="353" t="s">
        <v>446</v>
      </c>
      <c r="O47" s="353"/>
      <c r="P47" s="353"/>
      <c r="Q47" s="353"/>
      <c r="R47" s="353"/>
      <c r="S47" s="353"/>
      <c r="T47" s="354"/>
      <c r="U47" s="213"/>
      <c r="V47" s="218"/>
      <c r="W47" s="224"/>
      <c r="X47" s="221"/>
    </row>
    <row r="48" spans="1:25" s="193" customFormat="1" ht="45.6" customHeight="1">
      <c r="A48" s="195"/>
      <c r="B48" s="228">
        <f t="shared" si="0"/>
        <v>45</v>
      </c>
      <c r="C48" s="206" t="s">
        <v>469</v>
      </c>
      <c r="D48" s="206" t="s">
        <v>447</v>
      </c>
      <c r="E48" s="209" t="s">
        <v>478</v>
      </c>
      <c r="F48" s="226" t="s">
        <v>455</v>
      </c>
      <c r="G48" s="352"/>
      <c r="H48" s="353"/>
      <c r="I48" s="353"/>
      <c r="J48" s="353"/>
      <c r="K48" s="353"/>
      <c r="L48" s="353"/>
      <c r="M48" s="353"/>
      <c r="N48" s="353" t="s">
        <v>446</v>
      </c>
      <c r="O48" s="353"/>
      <c r="P48" s="353"/>
      <c r="Q48" s="353"/>
      <c r="R48" s="353"/>
      <c r="S48" s="353"/>
      <c r="T48" s="354"/>
      <c r="U48" s="213"/>
      <c r="V48" s="218"/>
      <c r="W48" s="224"/>
      <c r="X48" s="221"/>
    </row>
    <row r="49" spans="1:24" s="193" customFormat="1" ht="45.6" customHeight="1">
      <c r="A49" s="195"/>
      <c r="B49" s="228">
        <f t="shared" si="0"/>
        <v>46</v>
      </c>
      <c r="C49" s="206" t="s">
        <v>469</v>
      </c>
      <c r="D49" s="206" t="s">
        <v>447</v>
      </c>
      <c r="E49" s="209" t="s">
        <v>479</v>
      </c>
      <c r="F49" s="226" t="s">
        <v>455</v>
      </c>
      <c r="G49" s="352"/>
      <c r="H49" s="353"/>
      <c r="I49" s="353"/>
      <c r="J49" s="353"/>
      <c r="K49" s="353"/>
      <c r="L49" s="353"/>
      <c r="M49" s="353"/>
      <c r="N49" s="353" t="s">
        <v>446</v>
      </c>
      <c r="O49" s="353"/>
      <c r="P49" s="353"/>
      <c r="Q49" s="353"/>
      <c r="R49" s="353"/>
      <c r="S49" s="353"/>
      <c r="T49" s="354"/>
      <c r="U49" s="213"/>
      <c r="V49" s="218"/>
      <c r="W49" s="224"/>
      <c r="X49" s="221"/>
    </row>
    <row r="50" spans="1:24" s="193" customFormat="1" ht="45.6" customHeight="1">
      <c r="A50" s="195"/>
      <c r="B50" s="228">
        <f t="shared" si="0"/>
        <v>47</v>
      </c>
      <c r="C50" s="206" t="s">
        <v>469</v>
      </c>
      <c r="D50" s="206" t="s">
        <v>447</v>
      </c>
      <c r="E50" s="209" t="s">
        <v>480</v>
      </c>
      <c r="F50" s="226" t="s">
        <v>455</v>
      </c>
      <c r="G50" s="352"/>
      <c r="H50" s="353"/>
      <c r="I50" s="353"/>
      <c r="J50" s="353"/>
      <c r="K50" s="353"/>
      <c r="L50" s="353"/>
      <c r="M50" s="353"/>
      <c r="N50" s="353" t="s">
        <v>446</v>
      </c>
      <c r="O50" s="353"/>
      <c r="P50" s="353"/>
      <c r="Q50" s="353"/>
      <c r="R50" s="353"/>
      <c r="S50" s="353"/>
      <c r="T50" s="354"/>
      <c r="U50" s="213"/>
      <c r="V50" s="218"/>
      <c r="W50" s="224"/>
      <c r="X50" s="221"/>
    </row>
    <row r="51" spans="1:24" s="193" customFormat="1" ht="45.6" customHeight="1">
      <c r="A51" s="195"/>
      <c r="B51" s="228">
        <f t="shared" si="0"/>
        <v>48</v>
      </c>
      <c r="C51" s="206" t="s">
        <v>469</v>
      </c>
      <c r="D51" s="206" t="s">
        <v>447</v>
      </c>
      <c r="E51" s="209" t="s">
        <v>481</v>
      </c>
      <c r="F51" s="226" t="s">
        <v>445</v>
      </c>
      <c r="G51" s="352"/>
      <c r="H51" s="353"/>
      <c r="I51" s="353"/>
      <c r="J51" s="353"/>
      <c r="K51" s="353"/>
      <c r="L51" s="353"/>
      <c r="M51" s="353"/>
      <c r="N51" s="353" t="s">
        <v>446</v>
      </c>
      <c r="O51" s="353"/>
      <c r="P51" s="353"/>
      <c r="Q51" s="353"/>
      <c r="R51" s="353"/>
      <c r="S51" s="353"/>
      <c r="T51" s="354"/>
      <c r="U51" s="213"/>
      <c r="V51" s="218"/>
      <c r="W51" s="224"/>
      <c r="X51" s="221"/>
    </row>
    <row r="52" spans="1:24" s="193" customFormat="1" ht="45.6" customHeight="1">
      <c r="A52" s="195"/>
      <c r="B52" s="228">
        <f t="shared" si="0"/>
        <v>49</v>
      </c>
      <c r="C52" s="206" t="s">
        <v>469</v>
      </c>
      <c r="D52" s="206" t="s">
        <v>447</v>
      </c>
      <c r="E52" s="209" t="s">
        <v>482</v>
      </c>
      <c r="F52" s="226" t="s">
        <v>445</v>
      </c>
      <c r="G52" s="352"/>
      <c r="H52" s="353"/>
      <c r="I52" s="353"/>
      <c r="J52" s="353"/>
      <c r="K52" s="353"/>
      <c r="L52" s="353"/>
      <c r="M52" s="353"/>
      <c r="N52" s="353" t="s">
        <v>446</v>
      </c>
      <c r="O52" s="353"/>
      <c r="P52" s="353"/>
      <c r="Q52" s="353"/>
      <c r="R52" s="353"/>
      <c r="S52" s="353"/>
      <c r="T52" s="354"/>
      <c r="U52" s="213"/>
      <c r="V52" s="218"/>
      <c r="W52" s="224"/>
      <c r="X52" s="221"/>
    </row>
    <row r="53" spans="1:24" s="193" customFormat="1" ht="45.6" customHeight="1">
      <c r="A53" s="195"/>
      <c r="B53" s="228">
        <f t="shared" si="0"/>
        <v>50</v>
      </c>
      <c r="C53" s="206" t="s">
        <v>469</v>
      </c>
      <c r="D53" s="206" t="s">
        <v>447</v>
      </c>
      <c r="E53" s="209" t="s">
        <v>483</v>
      </c>
      <c r="F53" s="226" t="s">
        <v>445</v>
      </c>
      <c r="G53" s="352"/>
      <c r="H53" s="353"/>
      <c r="I53" s="353"/>
      <c r="J53" s="353"/>
      <c r="K53" s="353"/>
      <c r="L53" s="353"/>
      <c r="M53" s="353"/>
      <c r="N53" s="353" t="s">
        <v>446</v>
      </c>
      <c r="O53" s="353"/>
      <c r="P53" s="353"/>
      <c r="Q53" s="353"/>
      <c r="R53" s="353"/>
      <c r="S53" s="353"/>
      <c r="T53" s="354"/>
      <c r="U53" s="213"/>
      <c r="V53" s="218"/>
      <c r="W53" s="224"/>
      <c r="X53" s="221"/>
    </row>
    <row r="54" spans="1:24" s="193" customFormat="1" ht="45.6" customHeight="1">
      <c r="A54" s="195"/>
      <c r="B54" s="228">
        <f t="shared" si="0"/>
        <v>51</v>
      </c>
      <c r="C54" s="206" t="s">
        <v>469</v>
      </c>
      <c r="D54" s="206" t="s">
        <v>447</v>
      </c>
      <c r="E54" s="209" t="s">
        <v>484</v>
      </c>
      <c r="F54" s="226" t="s">
        <v>445</v>
      </c>
      <c r="G54" s="352"/>
      <c r="H54" s="353"/>
      <c r="I54" s="353"/>
      <c r="J54" s="353"/>
      <c r="K54" s="353"/>
      <c r="L54" s="353"/>
      <c r="M54" s="353"/>
      <c r="N54" s="353" t="s">
        <v>446</v>
      </c>
      <c r="O54" s="353"/>
      <c r="P54" s="353"/>
      <c r="Q54" s="353"/>
      <c r="R54" s="353"/>
      <c r="S54" s="353"/>
      <c r="T54" s="354"/>
      <c r="U54" s="213"/>
      <c r="V54" s="218"/>
      <c r="W54" s="224"/>
      <c r="X54" s="221"/>
    </row>
    <row r="55" spans="1:24" s="193" customFormat="1" ht="40.15" customHeight="1">
      <c r="A55" s="195"/>
      <c r="B55" s="228">
        <f t="shared" si="0"/>
        <v>52</v>
      </c>
      <c r="C55" s="206" t="s">
        <v>485</v>
      </c>
      <c r="D55" s="206" t="s">
        <v>407</v>
      </c>
      <c r="E55" s="209" t="s">
        <v>486</v>
      </c>
      <c r="F55" s="226" t="s">
        <v>487</v>
      </c>
      <c r="G55" s="352" t="s">
        <v>72</v>
      </c>
      <c r="H55" s="353"/>
      <c r="I55" s="353"/>
      <c r="J55" s="353"/>
      <c r="K55" s="353"/>
      <c r="L55" s="353"/>
      <c r="M55" s="353"/>
      <c r="N55" s="353"/>
      <c r="O55" s="353"/>
      <c r="P55" s="353"/>
      <c r="Q55" s="353"/>
      <c r="R55" s="353"/>
      <c r="S55" s="353"/>
      <c r="T55" s="354"/>
      <c r="U55" s="213"/>
      <c r="V55" s="218"/>
      <c r="W55" s="224"/>
      <c r="X55" s="221" t="s">
        <v>488</v>
      </c>
    </row>
    <row r="56" spans="1:24" s="193" customFormat="1" ht="40.15" customHeight="1">
      <c r="A56" s="195"/>
      <c r="B56" s="228">
        <f t="shared" si="0"/>
        <v>53</v>
      </c>
      <c r="C56" s="206" t="s">
        <v>485</v>
      </c>
      <c r="D56" s="206" t="s">
        <v>407</v>
      </c>
      <c r="E56" s="209" t="s">
        <v>489</v>
      </c>
      <c r="F56" s="226" t="s">
        <v>490</v>
      </c>
      <c r="G56" s="352" t="s">
        <v>383</v>
      </c>
      <c r="H56" s="353"/>
      <c r="I56" s="353"/>
      <c r="J56" s="353"/>
      <c r="K56" s="353"/>
      <c r="L56" s="353"/>
      <c r="M56" s="353"/>
      <c r="N56" s="353"/>
      <c r="O56" s="353"/>
      <c r="P56" s="353"/>
      <c r="Q56" s="353"/>
      <c r="R56" s="353"/>
      <c r="S56" s="353"/>
      <c r="T56" s="354"/>
      <c r="U56" s="213"/>
      <c r="V56" s="218"/>
      <c r="W56" s="224"/>
      <c r="X56" s="220" t="s">
        <v>491</v>
      </c>
    </row>
    <row r="57" spans="1:24" s="193" customFormat="1" ht="40.15" customHeight="1">
      <c r="A57" s="195"/>
      <c r="B57" s="228">
        <f t="shared" si="0"/>
        <v>54</v>
      </c>
      <c r="C57" s="206" t="s">
        <v>485</v>
      </c>
      <c r="D57" s="206" t="s">
        <v>407</v>
      </c>
      <c r="E57" s="209" t="s">
        <v>492</v>
      </c>
      <c r="F57" s="226" t="s">
        <v>493</v>
      </c>
      <c r="G57" s="352" t="s">
        <v>383</v>
      </c>
      <c r="H57" s="353"/>
      <c r="I57" s="353"/>
      <c r="J57" s="353"/>
      <c r="K57" s="353"/>
      <c r="L57" s="353"/>
      <c r="M57" s="353"/>
      <c r="N57" s="353"/>
      <c r="O57" s="353"/>
      <c r="P57" s="353"/>
      <c r="Q57" s="353"/>
      <c r="R57" s="353"/>
      <c r="S57" s="353"/>
      <c r="T57" s="354"/>
      <c r="U57" s="213"/>
      <c r="V57" s="218"/>
      <c r="W57" s="224"/>
      <c r="X57" s="220" t="s">
        <v>494</v>
      </c>
    </row>
    <row r="58" spans="1:24" s="193" customFormat="1" ht="46.15" customHeight="1">
      <c r="A58" s="195"/>
      <c r="B58" s="228">
        <f t="shared" si="0"/>
        <v>55</v>
      </c>
      <c r="C58" s="239" t="s">
        <v>469</v>
      </c>
      <c r="D58" s="239" t="s">
        <v>495</v>
      </c>
      <c r="E58" s="210" t="s">
        <v>496</v>
      </c>
      <c r="F58" s="226" t="s">
        <v>497</v>
      </c>
      <c r="G58" s="353" t="s">
        <v>446</v>
      </c>
      <c r="H58" s="358"/>
      <c r="I58" s="358"/>
      <c r="J58" s="358"/>
      <c r="K58" s="358"/>
      <c r="L58" s="358"/>
      <c r="M58" s="358"/>
      <c r="N58" s="358"/>
      <c r="O58" s="358"/>
      <c r="P58" s="358"/>
      <c r="Q58" s="358"/>
      <c r="R58" s="358"/>
      <c r="S58" s="358"/>
      <c r="T58" s="359"/>
      <c r="U58" s="213"/>
      <c r="V58" s="218"/>
      <c r="W58" s="224"/>
      <c r="X58" s="248"/>
    </row>
    <row r="59" spans="1:24" s="193" customFormat="1" ht="46.15" customHeight="1">
      <c r="A59" s="195"/>
      <c r="B59" s="228">
        <f t="shared" si="0"/>
        <v>56</v>
      </c>
      <c r="C59" s="239" t="s">
        <v>469</v>
      </c>
      <c r="D59" s="239" t="s">
        <v>495</v>
      </c>
      <c r="E59" s="210" t="s">
        <v>496</v>
      </c>
      <c r="F59" s="226" t="s">
        <v>498</v>
      </c>
      <c r="G59" s="353" t="s">
        <v>446</v>
      </c>
      <c r="H59" s="358"/>
      <c r="I59" s="358"/>
      <c r="J59" s="358"/>
      <c r="K59" s="358"/>
      <c r="L59" s="358"/>
      <c r="M59" s="358"/>
      <c r="N59" s="358"/>
      <c r="O59" s="358"/>
      <c r="P59" s="358"/>
      <c r="Q59" s="358"/>
      <c r="R59" s="358"/>
      <c r="S59" s="358"/>
      <c r="T59" s="359"/>
      <c r="U59" s="213"/>
      <c r="V59" s="218"/>
      <c r="W59" s="224"/>
      <c r="X59" s="248"/>
    </row>
    <row r="60" spans="1:24" s="193" customFormat="1" ht="46.15" customHeight="1">
      <c r="A60" s="195"/>
      <c r="B60" s="228">
        <f t="shared" si="0"/>
        <v>57</v>
      </c>
      <c r="C60" s="239" t="s">
        <v>469</v>
      </c>
      <c r="D60" s="239" t="s">
        <v>495</v>
      </c>
      <c r="E60" s="206" t="s">
        <v>499</v>
      </c>
      <c r="F60" s="226" t="s">
        <v>500</v>
      </c>
      <c r="G60" s="353" t="s">
        <v>446</v>
      </c>
      <c r="H60" s="353"/>
      <c r="I60" s="353"/>
      <c r="J60" s="353"/>
      <c r="K60" s="353"/>
      <c r="L60" s="353"/>
      <c r="M60" s="353"/>
      <c r="N60" s="353"/>
      <c r="O60" s="353"/>
      <c r="P60" s="353"/>
      <c r="Q60" s="353"/>
      <c r="R60" s="353"/>
      <c r="S60" s="353"/>
      <c r="T60" s="354"/>
      <c r="U60" s="213"/>
      <c r="V60" s="218"/>
      <c r="W60" s="224"/>
      <c r="X60" s="221"/>
    </row>
    <row r="61" spans="1:24" s="193" customFormat="1" ht="46.15" customHeight="1">
      <c r="A61" s="195"/>
      <c r="B61" s="228">
        <f t="shared" si="0"/>
        <v>58</v>
      </c>
      <c r="C61" s="239" t="s">
        <v>469</v>
      </c>
      <c r="D61" s="239" t="s">
        <v>495</v>
      </c>
      <c r="E61" s="206" t="s">
        <v>499</v>
      </c>
      <c r="F61" s="226" t="s">
        <v>501</v>
      </c>
      <c r="G61" s="353" t="s">
        <v>446</v>
      </c>
      <c r="H61" s="353"/>
      <c r="I61" s="353"/>
      <c r="J61" s="353"/>
      <c r="K61" s="353"/>
      <c r="L61" s="353"/>
      <c r="M61" s="353"/>
      <c r="N61" s="353"/>
      <c r="O61" s="353"/>
      <c r="P61" s="353"/>
      <c r="Q61" s="353"/>
      <c r="R61" s="353"/>
      <c r="S61" s="353"/>
      <c r="T61" s="354"/>
      <c r="U61" s="213"/>
      <c r="V61" s="218"/>
      <c r="W61" s="224"/>
      <c r="X61" s="221"/>
    </row>
    <row r="62" spans="1:24" s="193" customFormat="1" ht="40.9" customHeight="1">
      <c r="A62" s="195"/>
      <c r="B62" s="228">
        <f t="shared" si="0"/>
        <v>59</v>
      </c>
      <c r="C62" s="206" t="s">
        <v>469</v>
      </c>
      <c r="D62" s="206" t="s">
        <v>502</v>
      </c>
      <c r="E62" s="209" t="s">
        <v>503</v>
      </c>
      <c r="F62" s="226" t="s">
        <v>504</v>
      </c>
      <c r="G62" s="353" t="s">
        <v>72</v>
      </c>
      <c r="H62" s="353"/>
      <c r="I62" s="353"/>
      <c r="J62" s="353"/>
      <c r="K62" s="353"/>
      <c r="L62" s="353"/>
      <c r="M62" s="353"/>
      <c r="N62" s="353"/>
      <c r="O62" s="353"/>
      <c r="P62" s="353"/>
      <c r="Q62" s="353"/>
      <c r="R62" s="353"/>
      <c r="S62" s="353"/>
      <c r="T62" s="354"/>
      <c r="U62" s="213"/>
      <c r="V62" s="218"/>
      <c r="W62" s="224"/>
      <c r="X62" s="221"/>
    </row>
    <row r="63" spans="1:24" s="193" customFormat="1" ht="53.45" customHeight="1">
      <c r="A63" s="195"/>
      <c r="B63" s="238">
        <f t="shared" si="1"/>
        <v>60</v>
      </c>
      <c r="C63" s="239" t="s">
        <v>505</v>
      </c>
      <c r="D63" s="239" t="s">
        <v>506</v>
      </c>
      <c r="E63" s="239" t="s">
        <v>506</v>
      </c>
      <c r="F63" s="226" t="s">
        <v>507</v>
      </c>
      <c r="G63" s="360"/>
      <c r="H63" s="358"/>
      <c r="I63" s="358"/>
      <c r="J63" s="358"/>
      <c r="K63" s="358"/>
      <c r="L63" s="358"/>
      <c r="M63" s="358"/>
      <c r="N63" s="358"/>
      <c r="O63" s="358"/>
      <c r="P63" s="358"/>
      <c r="Q63" s="358"/>
      <c r="R63" s="358"/>
      <c r="S63" s="358"/>
      <c r="T63" s="352" t="s">
        <v>383</v>
      </c>
      <c r="U63" s="213"/>
      <c r="V63" s="218"/>
      <c r="W63" s="224"/>
      <c r="X63" s="267" t="s">
        <v>508</v>
      </c>
    </row>
    <row r="64" spans="1:24" s="193" customFormat="1" ht="43.9" customHeight="1">
      <c r="A64" s="195"/>
      <c r="B64" s="238">
        <f t="shared" si="1"/>
        <v>61</v>
      </c>
      <c r="C64" s="239" t="s">
        <v>505</v>
      </c>
      <c r="D64" s="239" t="s">
        <v>509</v>
      </c>
      <c r="E64" s="239" t="s">
        <v>509</v>
      </c>
      <c r="F64" s="226" t="s">
        <v>510</v>
      </c>
      <c r="G64" s="360"/>
      <c r="H64" s="358"/>
      <c r="I64" s="358"/>
      <c r="J64" s="358"/>
      <c r="K64" s="358"/>
      <c r="L64" s="358"/>
      <c r="M64" s="358"/>
      <c r="N64" s="358"/>
      <c r="O64" s="358"/>
      <c r="P64" s="358"/>
      <c r="Q64" s="358"/>
      <c r="R64" s="358"/>
      <c r="S64" s="358"/>
      <c r="T64" s="352" t="s">
        <v>383</v>
      </c>
      <c r="U64" s="213"/>
      <c r="V64" s="218"/>
      <c r="W64" s="224"/>
      <c r="X64" s="392" t="s">
        <v>511</v>
      </c>
    </row>
    <row r="65" spans="1:24" s="193" customFormat="1" ht="43.9" customHeight="1">
      <c r="A65" s="195"/>
      <c r="B65" s="238">
        <f t="shared" si="1"/>
        <v>62</v>
      </c>
      <c r="C65" s="239" t="s">
        <v>505</v>
      </c>
      <c r="D65" s="239" t="s">
        <v>512</v>
      </c>
      <c r="E65" s="210" t="s">
        <v>513</v>
      </c>
      <c r="F65" s="226" t="s">
        <v>514</v>
      </c>
      <c r="G65" s="360"/>
      <c r="H65" s="358"/>
      <c r="I65" s="358"/>
      <c r="J65" s="358"/>
      <c r="K65" s="358"/>
      <c r="L65" s="358"/>
      <c r="M65" s="358"/>
      <c r="N65" s="358"/>
      <c r="O65" s="358"/>
      <c r="P65" s="358"/>
      <c r="Q65" s="358"/>
      <c r="R65" s="352" t="s">
        <v>383</v>
      </c>
      <c r="S65" s="358"/>
      <c r="T65" s="352" t="s">
        <v>383</v>
      </c>
      <c r="U65" s="213"/>
      <c r="V65" s="218"/>
      <c r="W65" s="224"/>
      <c r="X65" s="240" t="s">
        <v>515</v>
      </c>
    </row>
    <row r="66" spans="1:24" s="193" customFormat="1" ht="69.599999999999994" customHeight="1">
      <c r="A66" s="195"/>
      <c r="B66" s="238">
        <f t="shared" si="1"/>
        <v>63</v>
      </c>
      <c r="C66" s="239" t="s">
        <v>505</v>
      </c>
      <c r="D66" s="239" t="s">
        <v>512</v>
      </c>
      <c r="E66" s="210" t="s">
        <v>513</v>
      </c>
      <c r="F66" s="226" t="s">
        <v>516</v>
      </c>
      <c r="G66" s="360"/>
      <c r="H66" s="358"/>
      <c r="I66" s="358"/>
      <c r="J66" s="358"/>
      <c r="K66" s="358"/>
      <c r="L66" s="358"/>
      <c r="M66" s="358"/>
      <c r="N66" s="358"/>
      <c r="O66" s="358"/>
      <c r="P66" s="358"/>
      <c r="Q66" s="358"/>
      <c r="R66" s="352" t="s">
        <v>383</v>
      </c>
      <c r="S66" s="358"/>
      <c r="T66" s="352" t="s">
        <v>383</v>
      </c>
      <c r="U66" s="213"/>
      <c r="V66" s="218"/>
      <c r="W66" s="224"/>
      <c r="X66" s="240" t="s">
        <v>515</v>
      </c>
    </row>
    <row r="67" spans="1:24" s="193" customFormat="1" ht="69.599999999999994" customHeight="1">
      <c r="A67" s="195"/>
      <c r="B67" s="361">
        <f t="shared" si="1"/>
        <v>64</v>
      </c>
      <c r="C67" s="362" t="s">
        <v>505</v>
      </c>
      <c r="D67" s="362" t="s">
        <v>512</v>
      </c>
      <c r="E67" s="363" t="s">
        <v>513</v>
      </c>
      <c r="F67" s="364" t="s">
        <v>517</v>
      </c>
      <c r="G67" s="355"/>
      <c r="H67" s="356"/>
      <c r="I67" s="356"/>
      <c r="J67" s="356"/>
      <c r="K67" s="356"/>
      <c r="L67" s="356"/>
      <c r="M67" s="356"/>
      <c r="N67" s="356"/>
      <c r="O67" s="356"/>
      <c r="P67" s="356"/>
      <c r="Q67" s="356"/>
      <c r="R67" s="355"/>
      <c r="S67" s="356"/>
      <c r="T67" s="355"/>
      <c r="U67" s="376"/>
      <c r="V67" s="377"/>
      <c r="W67" s="367"/>
      <c r="X67" s="378" t="s">
        <v>515</v>
      </c>
    </row>
    <row r="68" spans="1:24" s="193" customFormat="1" ht="69.599999999999994" customHeight="1">
      <c r="A68" s="195"/>
      <c r="B68" s="361">
        <f t="shared" si="1"/>
        <v>65</v>
      </c>
      <c r="C68" s="362" t="s">
        <v>505</v>
      </c>
      <c r="D68" s="362" t="s">
        <v>512</v>
      </c>
      <c r="E68" s="363" t="s">
        <v>513</v>
      </c>
      <c r="F68" s="364" t="s">
        <v>518</v>
      </c>
      <c r="G68" s="355"/>
      <c r="H68" s="356"/>
      <c r="I68" s="356"/>
      <c r="J68" s="356"/>
      <c r="K68" s="356"/>
      <c r="L68" s="356"/>
      <c r="M68" s="356"/>
      <c r="N68" s="356"/>
      <c r="O68" s="356"/>
      <c r="P68" s="356"/>
      <c r="Q68" s="356"/>
      <c r="R68" s="355"/>
      <c r="S68" s="356"/>
      <c r="T68" s="355"/>
      <c r="U68" s="365"/>
      <c r="V68" s="377"/>
      <c r="W68" s="367"/>
      <c r="X68" s="378" t="s">
        <v>515</v>
      </c>
    </row>
    <row r="69" spans="1:24" s="193" customFormat="1" ht="43.9" customHeight="1" thickBot="1">
      <c r="A69" s="195"/>
      <c r="B69" s="228">
        <f t="shared" si="1"/>
        <v>66</v>
      </c>
      <c r="C69" s="206" t="s">
        <v>396</v>
      </c>
      <c r="D69" s="206" t="s">
        <v>519</v>
      </c>
      <c r="E69" s="209"/>
      <c r="F69" s="226" t="s">
        <v>398</v>
      </c>
      <c r="G69" s="352" t="s">
        <v>383</v>
      </c>
      <c r="H69" s="353"/>
      <c r="I69" s="353"/>
      <c r="J69" s="353"/>
      <c r="K69" s="353"/>
      <c r="L69" s="353"/>
      <c r="M69" s="353"/>
      <c r="N69" s="353"/>
      <c r="O69" s="353"/>
      <c r="P69" s="353"/>
      <c r="Q69" s="353"/>
      <c r="R69" s="353"/>
      <c r="S69" s="353"/>
      <c r="T69" s="354"/>
      <c r="U69" s="213"/>
      <c r="V69" s="218"/>
      <c r="W69" s="224"/>
      <c r="X69" s="223" t="s">
        <v>520</v>
      </c>
    </row>
    <row r="70" spans="1:24" s="193" customFormat="1" ht="21.6" customHeight="1">
      <c r="A70" s="195"/>
      <c r="B70" s="537" t="s">
        <v>521</v>
      </c>
      <c r="C70" s="538"/>
      <c r="D70" s="538"/>
      <c r="E70" s="538"/>
      <c r="F70" s="245">
        <f>SUM(G70:T70)</f>
        <v>68</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21" t="s">
        <v>522</v>
      </c>
      <c r="V70" s="517" t="s">
        <v>523</v>
      </c>
      <c r="W70" s="548">
        <f>COUNTIF(W4:W69,"○")</f>
        <v>0</v>
      </c>
      <c r="X70" s="526"/>
    </row>
    <row r="71" spans="1:24" s="193" customFormat="1" ht="21.6" customHeight="1">
      <c r="A71" s="195"/>
      <c r="B71" s="529" t="s">
        <v>524</v>
      </c>
      <c r="C71" s="530"/>
      <c r="D71" s="530"/>
      <c r="E71" s="530"/>
      <c r="F71" s="246" t="str">
        <f t="shared" ref="F71:F73" si="3">SUM(G71:T71)&amp;"件"</f>
        <v>62件</v>
      </c>
      <c r="G71" s="215">
        <f t="shared" ref="G71:T71" si="4">COUNTIF(G4:G69,"○")+COUNTIF(G4:G69,"△")+COUNTIF(G4:G69,"●")+COUNTIF(G4:G69,"▲")</f>
        <v>20</v>
      </c>
      <c r="H71" s="215">
        <f t="shared" si="4"/>
        <v>0</v>
      </c>
      <c r="I71" s="215">
        <f t="shared" si="4"/>
        <v>0</v>
      </c>
      <c r="J71" s="215">
        <f t="shared" si="4"/>
        <v>0</v>
      </c>
      <c r="K71" s="215">
        <f t="shared" si="4"/>
        <v>0</v>
      </c>
      <c r="L71" s="215">
        <f t="shared" si="4"/>
        <v>0</v>
      </c>
      <c r="M71" s="215">
        <f t="shared" si="4"/>
        <v>0</v>
      </c>
      <c r="N71" s="215">
        <f t="shared" si="4"/>
        <v>30</v>
      </c>
      <c r="O71" s="215">
        <f t="shared" si="4"/>
        <v>0</v>
      </c>
      <c r="P71" s="215">
        <f t="shared" si="4"/>
        <v>0</v>
      </c>
      <c r="Q71" s="215">
        <f t="shared" si="4"/>
        <v>0</v>
      </c>
      <c r="R71" s="215">
        <f t="shared" si="4"/>
        <v>2</v>
      </c>
      <c r="S71" s="215">
        <f t="shared" si="4"/>
        <v>2</v>
      </c>
      <c r="T71" s="215">
        <f t="shared" si="4"/>
        <v>8</v>
      </c>
      <c r="U71" s="522"/>
      <c r="V71" s="518"/>
      <c r="W71" s="549"/>
      <c r="X71" s="527"/>
    </row>
    <row r="72" spans="1:24" s="193" customFormat="1" ht="21.6" customHeight="1">
      <c r="A72" s="195"/>
      <c r="B72" s="529" t="s">
        <v>525</v>
      </c>
      <c r="C72" s="530"/>
      <c r="D72" s="530"/>
      <c r="E72" s="530"/>
      <c r="F72" s="246" t="str">
        <f t="shared" si="3"/>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22"/>
      <c r="V72" s="519" t="s">
        <v>526</v>
      </c>
      <c r="W72" s="515">
        <f>COUNTIF(W4:W69,"×")</f>
        <v>0</v>
      </c>
      <c r="X72" s="527"/>
    </row>
    <row r="73" spans="1:24" s="193" customFormat="1" ht="21.6" customHeight="1" thickBot="1">
      <c r="A73" s="195"/>
      <c r="B73" s="531" t="s">
        <v>527</v>
      </c>
      <c r="C73" s="532"/>
      <c r="D73" s="532"/>
      <c r="E73" s="532"/>
      <c r="F73" s="247" t="str">
        <f t="shared" si="3"/>
        <v>0件</v>
      </c>
      <c r="G73" s="216">
        <f t="shared" ref="G73:T73" si="6">COUNTIF(G4:G69,"●")+COUNTIF(G4:G69,"▲")+COUNTIF(G4:G69,"■")</f>
        <v>0</v>
      </c>
      <c r="H73" s="216">
        <f t="shared" si="6"/>
        <v>0</v>
      </c>
      <c r="I73" s="216">
        <f t="shared" si="6"/>
        <v>0</v>
      </c>
      <c r="J73" s="216">
        <f t="shared" si="6"/>
        <v>0</v>
      </c>
      <c r="K73" s="216">
        <f t="shared" si="6"/>
        <v>0</v>
      </c>
      <c r="L73" s="216">
        <f t="shared" si="6"/>
        <v>0</v>
      </c>
      <c r="M73" s="216">
        <f t="shared" si="6"/>
        <v>0</v>
      </c>
      <c r="N73" s="216">
        <f t="shared" si="6"/>
        <v>0</v>
      </c>
      <c r="O73" s="216">
        <f t="shared" si="6"/>
        <v>0</v>
      </c>
      <c r="P73" s="216">
        <f t="shared" si="6"/>
        <v>0</v>
      </c>
      <c r="Q73" s="216">
        <f t="shared" si="6"/>
        <v>0</v>
      </c>
      <c r="R73" s="216">
        <f t="shared" si="6"/>
        <v>0</v>
      </c>
      <c r="S73" s="216">
        <f t="shared" si="6"/>
        <v>0</v>
      </c>
      <c r="T73" s="216">
        <f t="shared" si="6"/>
        <v>0</v>
      </c>
      <c r="U73" s="523"/>
      <c r="V73" s="520"/>
      <c r="W73" s="516"/>
      <c r="X73" s="528"/>
    </row>
    <row r="76" spans="1:24">
      <c r="D76" s="195">
        <f>SUM($F$70+Win10対応_サーバ!$D$25)</f>
        <v>100</v>
      </c>
    </row>
    <row r="81" spans="14:14">
      <c r="N81" s="244"/>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89" activePane="bottomLeft" state="frozen"/>
      <selection pane="bottomLeft" activeCell="M46" sqref="M4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60"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47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332" t="s">
        <v>530</v>
      </c>
      <c r="D4" s="327"/>
      <c r="E4" s="386">
        <f>ROW()-3</f>
        <v>1</v>
      </c>
      <c r="F4" s="387" t="s">
        <v>531</v>
      </c>
      <c r="G4" s="388" t="s">
        <v>84</v>
      </c>
      <c r="H4" s="412" t="s">
        <v>71</v>
      </c>
      <c r="I4" s="413" t="s">
        <v>71</v>
      </c>
      <c r="J4" s="412" t="s">
        <v>71</v>
      </c>
      <c r="K4" s="412" t="s">
        <v>71</v>
      </c>
      <c r="L4" s="412" t="s">
        <v>71</v>
      </c>
      <c r="M4" s="412" t="s">
        <v>71</v>
      </c>
      <c r="N4" s="413" t="s">
        <v>71</v>
      </c>
      <c r="O4" s="413" t="s">
        <v>71</v>
      </c>
      <c r="P4" s="414" t="s">
        <v>71</v>
      </c>
      <c r="Q4" s="65"/>
      <c r="R4" s="51"/>
      <c r="S4" s="67"/>
      <c r="T4" s="324"/>
      <c r="U4" s="415" t="s">
        <v>532</v>
      </c>
    </row>
    <row r="5" spans="1:22" ht="28.15" customHeight="1">
      <c r="B5" s="122" t="s">
        <v>533</v>
      </c>
      <c r="C5" s="234" t="s">
        <v>534</v>
      </c>
      <c r="D5" s="229" t="s">
        <v>535</v>
      </c>
      <c r="E5" s="233">
        <f t="shared" ref="E5:E90" si="0">ROW()-3</f>
        <v>2</v>
      </c>
      <c r="F5" s="97" t="s">
        <v>536</v>
      </c>
      <c r="G5" s="91" t="s">
        <v>537</v>
      </c>
      <c r="H5" s="78" t="s">
        <v>72</v>
      </c>
      <c r="I5" s="48" t="s">
        <v>71</v>
      </c>
      <c r="J5" s="48" t="s">
        <v>71</v>
      </c>
      <c r="K5" s="48" t="s">
        <v>71</v>
      </c>
      <c r="L5" s="78" t="s">
        <v>72</v>
      </c>
      <c r="M5" s="78" t="s">
        <v>72</v>
      </c>
      <c r="N5" s="48" t="s">
        <v>71</v>
      </c>
      <c r="O5" s="48" t="s">
        <v>71</v>
      </c>
      <c r="P5" s="62" t="s">
        <v>71</v>
      </c>
      <c r="Q5" s="64"/>
      <c r="R5" s="49"/>
      <c r="S5" s="66"/>
      <c r="T5" s="85"/>
      <c r="U5" s="100"/>
    </row>
    <row r="6" spans="1:22" ht="28.15" customHeight="1">
      <c r="B6" s="122"/>
      <c r="C6" s="269" t="s">
        <v>538</v>
      </c>
      <c r="D6" s="229" t="s">
        <v>539</v>
      </c>
      <c r="E6" s="233">
        <f t="shared" si="0"/>
        <v>3</v>
      </c>
      <c r="F6" s="97" t="s">
        <v>540</v>
      </c>
      <c r="G6" s="91" t="s">
        <v>541</v>
      </c>
      <c r="H6" s="78" t="s">
        <v>72</v>
      </c>
      <c r="I6" s="48" t="s">
        <v>71</v>
      </c>
      <c r="J6" s="48" t="s">
        <v>71</v>
      </c>
      <c r="K6" s="48" t="s">
        <v>71</v>
      </c>
      <c r="L6" s="78" t="s">
        <v>72</v>
      </c>
      <c r="M6" s="78" t="s">
        <v>72</v>
      </c>
      <c r="N6" s="48" t="s">
        <v>71</v>
      </c>
      <c r="O6" s="48" t="s">
        <v>71</v>
      </c>
      <c r="P6" s="62" t="s">
        <v>71</v>
      </c>
      <c r="Q6" s="64"/>
      <c r="R6" s="49"/>
      <c r="S6" s="66"/>
      <c r="T6" s="85"/>
      <c r="U6" s="101" t="s">
        <v>542</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64"/>
      <c r="R7" s="49"/>
      <c r="S7" s="66"/>
      <c r="T7" s="85"/>
      <c r="U7" s="101"/>
    </row>
    <row r="8" spans="1:22" ht="26.45">
      <c r="B8" s="122"/>
      <c r="C8" s="313"/>
      <c r="D8" s="229" t="s">
        <v>545</v>
      </c>
      <c r="E8" s="233">
        <f t="shared" si="0"/>
        <v>5</v>
      </c>
      <c r="F8" s="97" t="s">
        <v>546</v>
      </c>
      <c r="G8" s="91" t="s">
        <v>541</v>
      </c>
      <c r="H8" s="78" t="s">
        <v>72</v>
      </c>
      <c r="I8" s="48" t="s">
        <v>71</v>
      </c>
      <c r="J8" s="48" t="s">
        <v>71</v>
      </c>
      <c r="K8" s="48" t="s">
        <v>71</v>
      </c>
      <c r="L8" s="78" t="s">
        <v>72</v>
      </c>
      <c r="M8" s="78" t="s">
        <v>72</v>
      </c>
      <c r="N8" s="48" t="s">
        <v>71</v>
      </c>
      <c r="O8" s="48" t="s">
        <v>71</v>
      </c>
      <c r="P8" s="62" t="s">
        <v>71</v>
      </c>
      <c r="Q8" s="64"/>
      <c r="R8" s="49"/>
      <c r="S8" s="66"/>
      <c r="T8" s="85"/>
      <c r="U8" s="101"/>
    </row>
    <row r="9" spans="1:22" ht="28.15" customHeight="1">
      <c r="B9" s="122"/>
      <c r="C9" s="123"/>
      <c r="D9" s="229" t="s">
        <v>547</v>
      </c>
      <c r="E9" s="233">
        <f t="shared" si="0"/>
        <v>6</v>
      </c>
      <c r="F9" s="97" t="s">
        <v>540</v>
      </c>
      <c r="G9" s="91" t="s">
        <v>541</v>
      </c>
      <c r="H9" s="78" t="s">
        <v>72</v>
      </c>
      <c r="I9" s="48" t="s">
        <v>71</v>
      </c>
      <c r="J9" s="48" t="s">
        <v>71</v>
      </c>
      <c r="K9" s="48" t="s">
        <v>71</v>
      </c>
      <c r="L9" s="78" t="s">
        <v>72</v>
      </c>
      <c r="M9" s="78" t="s">
        <v>72</v>
      </c>
      <c r="N9" s="48" t="s">
        <v>71</v>
      </c>
      <c r="O9" s="48" t="s">
        <v>71</v>
      </c>
      <c r="P9" s="62" t="s">
        <v>71</v>
      </c>
      <c r="Q9" s="64"/>
      <c r="R9" s="49"/>
      <c r="S9" s="66"/>
      <c r="T9" s="85"/>
      <c r="U9" s="101"/>
    </row>
    <row r="10" spans="1:22" ht="28.15" customHeight="1">
      <c r="B10" s="122"/>
      <c r="C10" s="312"/>
      <c r="D10" s="229" t="s">
        <v>548</v>
      </c>
      <c r="E10" s="233">
        <f t="shared" si="0"/>
        <v>7</v>
      </c>
      <c r="F10" s="97" t="s">
        <v>544</v>
      </c>
      <c r="G10" s="91" t="s">
        <v>541</v>
      </c>
      <c r="H10" s="78" t="s">
        <v>72</v>
      </c>
      <c r="I10" s="48" t="s">
        <v>71</v>
      </c>
      <c r="J10" s="48" t="s">
        <v>71</v>
      </c>
      <c r="K10" s="48" t="s">
        <v>71</v>
      </c>
      <c r="L10" s="78" t="s">
        <v>72</v>
      </c>
      <c r="M10" s="78" t="s">
        <v>72</v>
      </c>
      <c r="N10" s="48" t="s">
        <v>71</v>
      </c>
      <c r="O10" s="48" t="s">
        <v>71</v>
      </c>
      <c r="P10" s="62" t="s">
        <v>71</v>
      </c>
      <c r="Q10" s="64"/>
      <c r="R10" s="49"/>
      <c r="S10" s="66"/>
      <c r="T10" s="85"/>
      <c r="U10" s="100"/>
    </row>
    <row r="11" spans="1:22" ht="26.45">
      <c r="B11" s="122"/>
      <c r="C11" s="313"/>
      <c r="D11" s="229" t="s">
        <v>549</v>
      </c>
      <c r="E11" s="233">
        <f t="shared" si="0"/>
        <v>8</v>
      </c>
      <c r="F11" s="97" t="s">
        <v>546</v>
      </c>
      <c r="G11" s="91" t="s">
        <v>541</v>
      </c>
      <c r="H11" s="78" t="s">
        <v>72</v>
      </c>
      <c r="I11" s="48" t="s">
        <v>71</v>
      </c>
      <c r="J11" s="48" t="s">
        <v>71</v>
      </c>
      <c r="K11" s="48" t="s">
        <v>71</v>
      </c>
      <c r="L11" s="78" t="s">
        <v>72</v>
      </c>
      <c r="M11" s="78" t="s">
        <v>72</v>
      </c>
      <c r="N11" s="48" t="s">
        <v>71</v>
      </c>
      <c r="O11" s="48" t="s">
        <v>71</v>
      </c>
      <c r="P11" s="62" t="s">
        <v>71</v>
      </c>
      <c r="Q11" s="64"/>
      <c r="R11" s="49"/>
      <c r="S11" s="66"/>
      <c r="T11" s="85"/>
      <c r="U11" s="100"/>
    </row>
    <row r="12" spans="1:22" ht="28.15" customHeight="1">
      <c r="B12" s="122"/>
      <c r="C12" s="312"/>
      <c r="D12" s="229" t="s">
        <v>550</v>
      </c>
      <c r="E12" s="233">
        <f t="shared" si="0"/>
        <v>9</v>
      </c>
      <c r="F12" s="97" t="s">
        <v>540</v>
      </c>
      <c r="G12" s="91" t="s">
        <v>541</v>
      </c>
      <c r="H12" s="78" t="s">
        <v>72</v>
      </c>
      <c r="I12" s="48" t="s">
        <v>71</v>
      </c>
      <c r="J12" s="48" t="s">
        <v>71</v>
      </c>
      <c r="K12" s="48" t="s">
        <v>71</v>
      </c>
      <c r="L12" s="78" t="s">
        <v>72</v>
      </c>
      <c r="M12" s="78" t="s">
        <v>72</v>
      </c>
      <c r="N12" s="48" t="s">
        <v>71</v>
      </c>
      <c r="O12" s="48" t="s">
        <v>71</v>
      </c>
      <c r="P12" s="62" t="s">
        <v>71</v>
      </c>
      <c r="Q12" s="64"/>
      <c r="R12" s="49"/>
      <c r="S12" s="66"/>
      <c r="T12" s="85"/>
      <c r="U12" s="101"/>
    </row>
    <row r="13" spans="1:22" ht="26.45">
      <c r="B13" s="122"/>
      <c r="C13" s="313"/>
      <c r="D13" s="229" t="s">
        <v>551</v>
      </c>
      <c r="E13" s="233">
        <f t="shared" si="0"/>
        <v>10</v>
      </c>
      <c r="F13" s="97" t="s">
        <v>544</v>
      </c>
      <c r="G13" s="91" t="s">
        <v>541</v>
      </c>
      <c r="H13" s="78" t="s">
        <v>72</v>
      </c>
      <c r="I13" s="48" t="s">
        <v>71</v>
      </c>
      <c r="J13" s="48" t="s">
        <v>71</v>
      </c>
      <c r="K13" s="48" t="s">
        <v>71</v>
      </c>
      <c r="L13" s="78" t="s">
        <v>72</v>
      </c>
      <c r="M13" s="78" t="s">
        <v>72</v>
      </c>
      <c r="N13" s="48" t="s">
        <v>71</v>
      </c>
      <c r="O13" s="48" t="s">
        <v>71</v>
      </c>
      <c r="P13" s="62" t="s">
        <v>71</v>
      </c>
      <c r="Q13" s="64"/>
      <c r="R13" s="49"/>
      <c r="S13" s="66"/>
      <c r="T13" s="85"/>
      <c r="U13" s="100"/>
    </row>
    <row r="14" spans="1:22" ht="28.15" customHeight="1">
      <c r="B14" s="122"/>
      <c r="C14" s="123"/>
      <c r="D14" s="229" t="s">
        <v>552</v>
      </c>
      <c r="E14" s="233">
        <f t="shared" si="0"/>
        <v>11</v>
      </c>
      <c r="F14" s="97" t="s">
        <v>546</v>
      </c>
      <c r="G14" s="91" t="s">
        <v>541</v>
      </c>
      <c r="H14" s="78" t="s">
        <v>72</v>
      </c>
      <c r="I14" s="48" t="s">
        <v>71</v>
      </c>
      <c r="J14" s="48" t="s">
        <v>71</v>
      </c>
      <c r="K14" s="48" t="s">
        <v>71</v>
      </c>
      <c r="L14" s="78" t="s">
        <v>72</v>
      </c>
      <c r="M14" s="78" t="s">
        <v>72</v>
      </c>
      <c r="N14" s="48" t="s">
        <v>71</v>
      </c>
      <c r="O14" s="48" t="s">
        <v>71</v>
      </c>
      <c r="P14" s="62" t="s">
        <v>71</v>
      </c>
      <c r="Q14" s="64"/>
      <c r="R14" s="49"/>
      <c r="S14" s="66"/>
      <c r="T14" s="85"/>
      <c r="U14" s="100"/>
    </row>
    <row r="15" spans="1:22" ht="28.15" customHeight="1">
      <c r="B15" s="122"/>
      <c r="C15" s="124" t="s">
        <v>553</v>
      </c>
      <c r="D15" s="329" t="s">
        <v>554</v>
      </c>
      <c r="E15" s="94">
        <f t="shared" si="0"/>
        <v>12</v>
      </c>
      <c r="F15" s="95" t="s">
        <v>555</v>
      </c>
      <c r="G15" s="96" t="s">
        <v>556</v>
      </c>
      <c r="H15" s="50" t="s">
        <v>71</v>
      </c>
      <c r="I15" s="50" t="s">
        <v>71</v>
      </c>
      <c r="J15" s="50" t="s">
        <v>71</v>
      </c>
      <c r="K15" s="50" t="s">
        <v>71</v>
      </c>
      <c r="L15" s="50" t="s">
        <v>71</v>
      </c>
      <c r="M15" s="50" t="s">
        <v>71</v>
      </c>
      <c r="N15" s="50" t="s">
        <v>71</v>
      </c>
      <c r="O15" s="50" t="s">
        <v>71</v>
      </c>
      <c r="P15" s="63" t="s">
        <v>71</v>
      </c>
      <c r="Q15" s="65"/>
      <c r="R15" s="51"/>
      <c r="S15" s="67"/>
      <c r="T15" s="324"/>
      <c r="U15" s="328" t="s">
        <v>557</v>
      </c>
      <c r="V15" s="126"/>
    </row>
    <row r="16" spans="1:22" ht="28.15" customHeight="1">
      <c r="B16" s="122"/>
      <c r="C16" s="269"/>
      <c r="D16" s="234" t="s">
        <v>558</v>
      </c>
      <c r="E16" s="233">
        <f t="shared" si="0"/>
        <v>13</v>
      </c>
      <c r="F16" s="97" t="s">
        <v>559</v>
      </c>
      <c r="G16" s="91" t="s">
        <v>556</v>
      </c>
      <c r="H16" s="78" t="s">
        <v>72</v>
      </c>
      <c r="I16" s="48" t="s">
        <v>71</v>
      </c>
      <c r="J16" s="48" t="s">
        <v>71</v>
      </c>
      <c r="K16" s="48" t="s">
        <v>71</v>
      </c>
      <c r="L16" s="78" t="s">
        <v>72</v>
      </c>
      <c r="M16" s="78" t="s">
        <v>72</v>
      </c>
      <c r="N16" s="48" t="s">
        <v>71</v>
      </c>
      <c r="O16" s="48" t="s">
        <v>71</v>
      </c>
      <c r="P16" s="62" t="s">
        <v>71</v>
      </c>
      <c r="Q16" s="64"/>
      <c r="R16" s="49"/>
      <c r="S16" s="66"/>
      <c r="T16" s="85"/>
      <c r="U16" s="100"/>
    </row>
    <row r="17" spans="2:22" ht="28.9" customHeight="1">
      <c r="B17" s="122"/>
      <c r="C17" s="123"/>
      <c r="D17" s="234" t="s">
        <v>560</v>
      </c>
      <c r="E17" s="233">
        <f t="shared" si="0"/>
        <v>14</v>
      </c>
      <c r="F17" s="97" t="s">
        <v>555</v>
      </c>
      <c r="G17" s="91" t="s">
        <v>556</v>
      </c>
      <c r="H17" s="78" t="s">
        <v>72</v>
      </c>
      <c r="I17" s="48" t="s">
        <v>71</v>
      </c>
      <c r="J17" s="48" t="s">
        <v>71</v>
      </c>
      <c r="K17" s="48" t="s">
        <v>71</v>
      </c>
      <c r="L17" s="78" t="s">
        <v>72</v>
      </c>
      <c r="M17" s="78" t="s">
        <v>72</v>
      </c>
      <c r="N17" s="48" t="s">
        <v>71</v>
      </c>
      <c r="O17" s="48" t="s">
        <v>71</v>
      </c>
      <c r="P17" s="62" t="s">
        <v>71</v>
      </c>
      <c r="Q17" s="64"/>
      <c r="R17" s="49"/>
      <c r="S17" s="66"/>
      <c r="T17" s="85"/>
      <c r="U17" s="100"/>
    </row>
    <row r="18" spans="2:22" ht="28.15" customHeight="1">
      <c r="B18" s="122"/>
      <c r="C18" s="269"/>
      <c r="D18" s="269" t="s">
        <v>561</v>
      </c>
      <c r="E18" s="233">
        <f t="shared" si="0"/>
        <v>15</v>
      </c>
      <c r="F18" s="97" t="s">
        <v>562</v>
      </c>
      <c r="G18" s="91" t="s">
        <v>556</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15" customHeight="1">
      <c r="B19" s="122"/>
      <c r="C19" s="269"/>
      <c r="D19" s="234" t="s">
        <v>563</v>
      </c>
      <c r="E19" s="233">
        <f t="shared" si="0"/>
        <v>16</v>
      </c>
      <c r="F19" s="97" t="s">
        <v>564</v>
      </c>
      <c r="G19" s="91" t="s">
        <v>556</v>
      </c>
      <c r="H19" s="78" t="s">
        <v>72</v>
      </c>
      <c r="I19" s="48" t="s">
        <v>71</v>
      </c>
      <c r="J19" s="48" t="s">
        <v>71</v>
      </c>
      <c r="K19" s="48" t="s">
        <v>71</v>
      </c>
      <c r="L19" s="78" t="s">
        <v>72</v>
      </c>
      <c r="M19" s="78" t="s">
        <v>72</v>
      </c>
      <c r="N19" s="48" t="s">
        <v>71</v>
      </c>
      <c r="O19" s="48" t="s">
        <v>71</v>
      </c>
      <c r="P19" s="62" t="s">
        <v>71</v>
      </c>
      <c r="Q19" s="64"/>
      <c r="R19" s="49"/>
      <c r="S19" s="66"/>
      <c r="T19" s="85"/>
      <c r="U19" s="100"/>
    </row>
    <row r="20" spans="2:22" ht="28.9" customHeight="1">
      <c r="B20" s="122"/>
      <c r="C20" s="123"/>
      <c r="D20" s="234" t="s">
        <v>565</v>
      </c>
      <c r="E20" s="233">
        <f t="shared" si="0"/>
        <v>17</v>
      </c>
      <c r="F20" s="97" t="s">
        <v>562</v>
      </c>
      <c r="G20" s="91" t="s">
        <v>556</v>
      </c>
      <c r="H20" s="78" t="s">
        <v>72</v>
      </c>
      <c r="I20" s="48" t="s">
        <v>71</v>
      </c>
      <c r="J20" s="48" t="s">
        <v>71</v>
      </c>
      <c r="K20" s="48" t="s">
        <v>71</v>
      </c>
      <c r="L20" s="78" t="s">
        <v>72</v>
      </c>
      <c r="M20" s="78" t="s">
        <v>72</v>
      </c>
      <c r="N20" s="48" t="s">
        <v>71</v>
      </c>
      <c r="O20" s="48" t="s">
        <v>71</v>
      </c>
      <c r="P20" s="62" t="s">
        <v>71</v>
      </c>
      <c r="Q20" s="64"/>
      <c r="R20" s="49"/>
      <c r="S20" s="66"/>
      <c r="T20" s="85"/>
      <c r="U20" s="100"/>
    </row>
    <row r="21" spans="2:22" ht="28.15" customHeight="1">
      <c r="B21" s="122"/>
      <c r="C21" s="124" t="s">
        <v>566</v>
      </c>
      <c r="D21" s="269" t="s">
        <v>567</v>
      </c>
      <c r="E21" s="233">
        <f t="shared" si="0"/>
        <v>18</v>
      </c>
      <c r="F21" s="97" t="s">
        <v>568</v>
      </c>
      <c r="G21" s="91" t="s">
        <v>569</v>
      </c>
      <c r="H21" s="78" t="s">
        <v>72</v>
      </c>
      <c r="I21" s="48" t="s">
        <v>71</v>
      </c>
      <c r="J21" s="48" t="s">
        <v>71</v>
      </c>
      <c r="K21" s="48" t="s">
        <v>71</v>
      </c>
      <c r="L21" s="78" t="s">
        <v>72</v>
      </c>
      <c r="M21" s="78" t="s">
        <v>72</v>
      </c>
      <c r="N21" s="48" t="s">
        <v>71</v>
      </c>
      <c r="O21" s="48" t="s">
        <v>71</v>
      </c>
      <c r="P21" s="62" t="s">
        <v>71</v>
      </c>
      <c r="Q21" s="64"/>
      <c r="R21" s="49"/>
      <c r="S21" s="66"/>
      <c r="T21" s="85"/>
      <c r="U21" s="100"/>
    </row>
    <row r="22" spans="2:22" ht="28.15" customHeight="1">
      <c r="B22" s="122"/>
      <c r="C22" s="269"/>
      <c r="D22" s="269"/>
      <c r="E22" s="233">
        <f t="shared" si="0"/>
        <v>19</v>
      </c>
      <c r="F22" s="97" t="s">
        <v>570</v>
      </c>
      <c r="G22" s="91" t="s">
        <v>569</v>
      </c>
      <c r="H22" s="78" t="s">
        <v>72</v>
      </c>
      <c r="I22" s="48" t="s">
        <v>71</v>
      </c>
      <c r="J22" s="48" t="s">
        <v>71</v>
      </c>
      <c r="K22" s="48" t="s">
        <v>71</v>
      </c>
      <c r="L22" s="78" t="s">
        <v>72</v>
      </c>
      <c r="M22" s="78" t="s">
        <v>72</v>
      </c>
      <c r="N22" s="48" t="s">
        <v>71</v>
      </c>
      <c r="O22" s="48" t="s">
        <v>71</v>
      </c>
      <c r="P22" s="62" t="s">
        <v>71</v>
      </c>
      <c r="Q22" s="64"/>
      <c r="R22" s="49"/>
      <c r="S22" s="66"/>
      <c r="T22" s="85"/>
      <c r="U22" s="100"/>
    </row>
    <row r="23" spans="2:22" ht="28.15" customHeight="1">
      <c r="B23" s="122"/>
      <c r="C23" s="269"/>
      <c r="D23" s="229"/>
      <c r="E23" s="233">
        <f t="shared" si="0"/>
        <v>20</v>
      </c>
      <c r="F23" s="97" t="s">
        <v>571</v>
      </c>
      <c r="G23" s="91" t="s">
        <v>569</v>
      </c>
      <c r="H23" s="78" t="s">
        <v>72</v>
      </c>
      <c r="I23" s="48" t="s">
        <v>71</v>
      </c>
      <c r="J23" s="48" t="s">
        <v>71</v>
      </c>
      <c r="K23" s="48" t="s">
        <v>71</v>
      </c>
      <c r="L23" s="78" t="s">
        <v>72</v>
      </c>
      <c r="M23" s="78" t="s">
        <v>72</v>
      </c>
      <c r="N23" s="48" t="s">
        <v>71</v>
      </c>
      <c r="O23" s="48" t="s">
        <v>71</v>
      </c>
      <c r="P23" s="62" t="s">
        <v>71</v>
      </c>
      <c r="Q23" s="64"/>
      <c r="R23" s="49"/>
      <c r="S23" s="66"/>
      <c r="T23" s="85"/>
      <c r="U23" s="100"/>
    </row>
    <row r="24" spans="2:22" ht="28.15" customHeight="1">
      <c r="B24" s="122"/>
      <c r="C24" s="123"/>
      <c r="D24" s="269" t="s">
        <v>572</v>
      </c>
      <c r="E24" s="233">
        <f t="shared" si="0"/>
        <v>21</v>
      </c>
      <c r="F24" s="97" t="s">
        <v>573</v>
      </c>
      <c r="G24" s="91" t="s">
        <v>569</v>
      </c>
      <c r="H24" s="78" t="s">
        <v>72</v>
      </c>
      <c r="I24" s="48" t="s">
        <v>71</v>
      </c>
      <c r="J24" s="48" t="s">
        <v>71</v>
      </c>
      <c r="K24" s="48" t="s">
        <v>71</v>
      </c>
      <c r="L24" s="78" t="s">
        <v>72</v>
      </c>
      <c r="M24" s="78" t="s">
        <v>72</v>
      </c>
      <c r="N24" s="48" t="s">
        <v>71</v>
      </c>
      <c r="O24" s="48" t="s">
        <v>71</v>
      </c>
      <c r="P24" s="62" t="s">
        <v>71</v>
      </c>
      <c r="Q24" s="64"/>
      <c r="R24" s="49"/>
      <c r="S24" s="66"/>
      <c r="T24" s="85"/>
      <c r="U24" s="100"/>
    </row>
    <row r="25" spans="2:22" ht="28.15" customHeight="1">
      <c r="B25" s="122"/>
      <c r="C25" s="269"/>
      <c r="D25" s="269"/>
      <c r="E25" s="233">
        <f t="shared" si="0"/>
        <v>22</v>
      </c>
      <c r="F25" s="97" t="s">
        <v>574</v>
      </c>
      <c r="G25" s="91" t="s">
        <v>569</v>
      </c>
      <c r="H25" s="78" t="s">
        <v>72</v>
      </c>
      <c r="I25" s="48" t="s">
        <v>71</v>
      </c>
      <c r="J25" s="48" t="s">
        <v>71</v>
      </c>
      <c r="K25" s="48" t="s">
        <v>71</v>
      </c>
      <c r="L25" s="78" t="s">
        <v>72</v>
      </c>
      <c r="M25" s="78" t="s">
        <v>72</v>
      </c>
      <c r="N25" s="48" t="s">
        <v>71</v>
      </c>
      <c r="O25" s="48" t="s">
        <v>71</v>
      </c>
      <c r="P25" s="62" t="s">
        <v>71</v>
      </c>
      <c r="Q25" s="64"/>
      <c r="R25" s="49"/>
      <c r="S25" s="66"/>
      <c r="T25" s="85"/>
      <c r="U25" s="101" t="s">
        <v>575</v>
      </c>
    </row>
    <row r="26" spans="2:22" ht="28.15" customHeight="1">
      <c r="B26" s="122"/>
      <c r="C26" s="269"/>
      <c r="D26" s="269"/>
      <c r="E26" s="233">
        <f t="shared" si="0"/>
        <v>23</v>
      </c>
      <c r="F26" s="97" t="s">
        <v>576</v>
      </c>
      <c r="G26" s="91" t="s">
        <v>569</v>
      </c>
      <c r="H26" s="78" t="s">
        <v>72</v>
      </c>
      <c r="I26" s="48" t="s">
        <v>71</v>
      </c>
      <c r="J26" s="48" t="s">
        <v>71</v>
      </c>
      <c r="K26" s="48" t="s">
        <v>71</v>
      </c>
      <c r="L26" s="78" t="s">
        <v>72</v>
      </c>
      <c r="M26" s="78" t="s">
        <v>72</v>
      </c>
      <c r="N26" s="48" t="s">
        <v>71</v>
      </c>
      <c r="O26" s="48" t="s">
        <v>71</v>
      </c>
      <c r="P26" s="62" t="s">
        <v>71</v>
      </c>
      <c r="Q26" s="64"/>
      <c r="R26" s="49"/>
      <c r="S26" s="66"/>
      <c r="T26" s="85"/>
      <c r="U26" s="101"/>
    </row>
    <row r="27" spans="2:22" ht="28.15" customHeight="1">
      <c r="B27" s="125" t="s">
        <v>577</v>
      </c>
      <c r="C27" s="234" t="s">
        <v>534</v>
      </c>
      <c r="D27" s="234" t="s">
        <v>535</v>
      </c>
      <c r="E27" s="233">
        <f t="shared" si="0"/>
        <v>24</v>
      </c>
      <c r="F27" s="97" t="s">
        <v>536</v>
      </c>
      <c r="G27" s="91" t="s">
        <v>537</v>
      </c>
      <c r="H27" s="78" t="s">
        <v>72</v>
      </c>
      <c r="I27" s="48" t="s">
        <v>71</v>
      </c>
      <c r="J27" s="48" t="s">
        <v>71</v>
      </c>
      <c r="K27" s="48" t="s">
        <v>71</v>
      </c>
      <c r="L27" s="78" t="s">
        <v>72</v>
      </c>
      <c r="M27" s="78" t="s">
        <v>72</v>
      </c>
      <c r="N27" s="48" t="s">
        <v>71</v>
      </c>
      <c r="O27" s="48" t="s">
        <v>71</v>
      </c>
      <c r="P27" s="62" t="s">
        <v>71</v>
      </c>
      <c r="Q27" s="64"/>
      <c r="R27" s="49"/>
      <c r="S27" s="66"/>
      <c r="T27" s="85"/>
      <c r="U27" s="100"/>
    </row>
    <row r="28" spans="2:22" ht="28.15" customHeight="1">
      <c r="B28" s="122"/>
      <c r="C28" s="269" t="s">
        <v>538</v>
      </c>
      <c r="D28" s="327" t="s">
        <v>539</v>
      </c>
      <c r="E28" s="94">
        <f t="shared" si="0"/>
        <v>25</v>
      </c>
      <c r="F28" s="95" t="s">
        <v>540</v>
      </c>
      <c r="G28" s="96" t="s">
        <v>578</v>
      </c>
      <c r="H28" s="50" t="s">
        <v>71</v>
      </c>
      <c r="I28" s="50" t="s">
        <v>71</v>
      </c>
      <c r="J28" s="50" t="s">
        <v>71</v>
      </c>
      <c r="K28" s="50" t="s">
        <v>71</v>
      </c>
      <c r="L28" s="50" t="s">
        <v>71</v>
      </c>
      <c r="M28" s="50" t="s">
        <v>71</v>
      </c>
      <c r="N28" s="50" t="s">
        <v>71</v>
      </c>
      <c r="O28" s="50" t="s">
        <v>71</v>
      </c>
      <c r="P28" s="63" t="s">
        <v>71</v>
      </c>
      <c r="Q28" s="65"/>
      <c r="R28" s="51"/>
      <c r="S28" s="67"/>
      <c r="T28" s="324"/>
      <c r="U28" s="328" t="s">
        <v>579</v>
      </c>
    </row>
    <row r="29" spans="2:22" ht="28.15" customHeight="1">
      <c r="B29" s="122"/>
      <c r="C29" s="312"/>
      <c r="D29" s="337" t="s">
        <v>543</v>
      </c>
      <c r="E29" s="89">
        <f t="shared" si="0"/>
        <v>26</v>
      </c>
      <c r="F29" s="90" t="s">
        <v>544</v>
      </c>
      <c r="G29" s="91" t="s">
        <v>578</v>
      </c>
      <c r="H29" s="78" t="s">
        <v>72</v>
      </c>
      <c r="I29" s="48" t="s">
        <v>71</v>
      </c>
      <c r="J29" s="48" t="s">
        <v>71</v>
      </c>
      <c r="K29" s="48" t="s">
        <v>71</v>
      </c>
      <c r="L29" s="78" t="s">
        <v>72</v>
      </c>
      <c r="M29" s="78" t="s">
        <v>72</v>
      </c>
      <c r="N29" s="48" t="s">
        <v>71</v>
      </c>
      <c r="O29" s="48" t="s">
        <v>71</v>
      </c>
      <c r="P29" s="62" t="s">
        <v>71</v>
      </c>
      <c r="Q29" s="64"/>
      <c r="R29" s="49"/>
      <c r="S29" s="66"/>
      <c r="T29" s="85"/>
      <c r="U29" s="101"/>
    </row>
    <row r="30" spans="2:22" ht="26.45">
      <c r="B30" s="122"/>
      <c r="C30" s="313"/>
      <c r="D30" s="337" t="s">
        <v>545</v>
      </c>
      <c r="E30" s="89">
        <f t="shared" si="0"/>
        <v>27</v>
      </c>
      <c r="F30" s="90" t="s">
        <v>546</v>
      </c>
      <c r="G30" s="91" t="s">
        <v>578</v>
      </c>
      <c r="H30" s="78" t="s">
        <v>72</v>
      </c>
      <c r="I30" s="48" t="s">
        <v>71</v>
      </c>
      <c r="J30" s="48" t="s">
        <v>71</v>
      </c>
      <c r="K30" s="48" t="s">
        <v>71</v>
      </c>
      <c r="L30" s="78" t="s">
        <v>72</v>
      </c>
      <c r="M30" s="78" t="s">
        <v>72</v>
      </c>
      <c r="N30" s="48" t="s">
        <v>71</v>
      </c>
      <c r="O30" s="48" t="s">
        <v>71</v>
      </c>
      <c r="P30" s="62" t="s">
        <v>71</v>
      </c>
      <c r="Q30" s="64"/>
      <c r="R30" s="49"/>
      <c r="S30" s="66"/>
      <c r="T30" s="85"/>
      <c r="U30" s="344"/>
    </row>
    <row r="31" spans="2:22" ht="28.15" customHeight="1">
      <c r="B31" s="122"/>
      <c r="C31" s="123"/>
      <c r="D31" s="229" t="s">
        <v>547</v>
      </c>
      <c r="E31" s="233">
        <f t="shared" si="0"/>
        <v>28</v>
      </c>
      <c r="F31" s="97" t="s">
        <v>540</v>
      </c>
      <c r="G31" s="91" t="s">
        <v>578</v>
      </c>
      <c r="H31" s="78" t="s">
        <v>72</v>
      </c>
      <c r="I31" s="48" t="s">
        <v>71</v>
      </c>
      <c r="J31" s="48" t="s">
        <v>71</v>
      </c>
      <c r="K31" s="48" t="s">
        <v>71</v>
      </c>
      <c r="L31" s="78" t="s">
        <v>72</v>
      </c>
      <c r="M31" s="78" t="s">
        <v>72</v>
      </c>
      <c r="N31" s="48" t="s">
        <v>71</v>
      </c>
      <c r="O31" s="48" t="s">
        <v>71</v>
      </c>
      <c r="P31" s="62" t="s">
        <v>71</v>
      </c>
      <c r="Q31" s="64"/>
      <c r="R31" s="49"/>
      <c r="S31" s="66"/>
      <c r="T31" s="85"/>
      <c r="U31" s="101"/>
    </row>
    <row r="32" spans="2:22" ht="28.15" customHeight="1">
      <c r="B32" s="122"/>
      <c r="C32" s="312"/>
      <c r="D32" s="337" t="s">
        <v>548</v>
      </c>
      <c r="E32" s="89">
        <f t="shared" si="0"/>
        <v>29</v>
      </c>
      <c r="F32" s="90" t="s">
        <v>544</v>
      </c>
      <c r="G32" s="91" t="s">
        <v>578</v>
      </c>
      <c r="H32" s="78" t="s">
        <v>72</v>
      </c>
      <c r="I32" s="48" t="s">
        <v>71</v>
      </c>
      <c r="J32" s="48" t="s">
        <v>71</v>
      </c>
      <c r="K32" s="48" t="s">
        <v>71</v>
      </c>
      <c r="L32" s="78" t="s">
        <v>72</v>
      </c>
      <c r="M32" s="78" t="s">
        <v>72</v>
      </c>
      <c r="N32" s="48" t="s">
        <v>71</v>
      </c>
      <c r="O32" s="48" t="s">
        <v>71</v>
      </c>
      <c r="P32" s="62" t="s">
        <v>71</v>
      </c>
      <c r="Q32" s="64"/>
      <c r="R32" s="49"/>
      <c r="S32" s="66"/>
      <c r="T32" s="85"/>
      <c r="U32" s="344"/>
    </row>
    <row r="33" spans="2:22" ht="26.45">
      <c r="B33" s="122"/>
      <c r="C33" s="313"/>
      <c r="D33" s="337" t="s">
        <v>549</v>
      </c>
      <c r="E33" s="89">
        <f t="shared" si="0"/>
        <v>30</v>
      </c>
      <c r="F33" s="90" t="s">
        <v>546</v>
      </c>
      <c r="G33" s="91" t="s">
        <v>578</v>
      </c>
      <c r="H33" s="78" t="s">
        <v>72</v>
      </c>
      <c r="I33" s="48" t="s">
        <v>71</v>
      </c>
      <c r="J33" s="48" t="s">
        <v>71</v>
      </c>
      <c r="K33" s="48" t="s">
        <v>71</v>
      </c>
      <c r="L33" s="78" t="s">
        <v>72</v>
      </c>
      <c r="M33" s="78" t="s">
        <v>72</v>
      </c>
      <c r="N33" s="48" t="s">
        <v>71</v>
      </c>
      <c r="O33" s="48" t="s">
        <v>71</v>
      </c>
      <c r="P33" s="62" t="s">
        <v>71</v>
      </c>
      <c r="Q33" s="64"/>
      <c r="R33" s="49"/>
      <c r="S33" s="66"/>
      <c r="T33" s="85"/>
      <c r="U33" s="344"/>
    </row>
    <row r="34" spans="2:22" ht="28.15" customHeight="1">
      <c r="B34" s="122"/>
      <c r="C34" s="312"/>
      <c r="D34" s="229" t="s">
        <v>580</v>
      </c>
      <c r="E34" s="233">
        <f t="shared" si="0"/>
        <v>31</v>
      </c>
      <c r="F34" s="97" t="s">
        <v>540</v>
      </c>
      <c r="G34" s="91" t="s">
        <v>578</v>
      </c>
      <c r="H34" s="78" t="s">
        <v>72</v>
      </c>
      <c r="I34" s="48" t="s">
        <v>71</v>
      </c>
      <c r="J34" s="48" t="s">
        <v>71</v>
      </c>
      <c r="K34" s="48" t="s">
        <v>71</v>
      </c>
      <c r="L34" s="78" t="s">
        <v>72</v>
      </c>
      <c r="M34" s="78" t="s">
        <v>72</v>
      </c>
      <c r="N34" s="48" t="s">
        <v>71</v>
      </c>
      <c r="O34" s="48" t="s">
        <v>71</v>
      </c>
      <c r="P34" s="62" t="s">
        <v>71</v>
      </c>
      <c r="Q34" s="64"/>
      <c r="R34" s="49"/>
      <c r="S34" s="66"/>
      <c r="T34" s="85"/>
      <c r="U34" s="101"/>
    </row>
    <row r="35" spans="2:22" ht="26.45">
      <c r="B35" s="122"/>
      <c r="C35" s="313"/>
      <c r="D35" s="337" t="s">
        <v>551</v>
      </c>
      <c r="E35" s="89">
        <f t="shared" si="0"/>
        <v>32</v>
      </c>
      <c r="F35" s="90" t="s">
        <v>544</v>
      </c>
      <c r="G35" s="91" t="s">
        <v>578</v>
      </c>
      <c r="H35" s="78" t="s">
        <v>72</v>
      </c>
      <c r="I35" s="48" t="s">
        <v>71</v>
      </c>
      <c r="J35" s="48" t="s">
        <v>71</v>
      </c>
      <c r="K35" s="48" t="s">
        <v>71</v>
      </c>
      <c r="L35" s="78" t="s">
        <v>72</v>
      </c>
      <c r="M35" s="78" t="s">
        <v>72</v>
      </c>
      <c r="N35" s="48" t="s">
        <v>71</v>
      </c>
      <c r="O35" s="48" t="s">
        <v>71</v>
      </c>
      <c r="P35" s="62" t="s">
        <v>71</v>
      </c>
      <c r="Q35" s="64"/>
      <c r="R35" s="49"/>
      <c r="S35" s="66"/>
      <c r="T35" s="85"/>
      <c r="U35" s="344"/>
    </row>
    <row r="36" spans="2:22" ht="28.15" customHeight="1">
      <c r="B36" s="122"/>
      <c r="C36" s="123"/>
      <c r="D36" s="337" t="s">
        <v>552</v>
      </c>
      <c r="E36" s="89">
        <f t="shared" si="0"/>
        <v>33</v>
      </c>
      <c r="F36" s="90" t="s">
        <v>546</v>
      </c>
      <c r="G36" s="91" t="s">
        <v>578</v>
      </c>
      <c r="H36" s="78" t="s">
        <v>72</v>
      </c>
      <c r="I36" s="48" t="s">
        <v>71</v>
      </c>
      <c r="J36" s="48" t="s">
        <v>71</v>
      </c>
      <c r="K36" s="48" t="s">
        <v>71</v>
      </c>
      <c r="L36" s="78" t="s">
        <v>72</v>
      </c>
      <c r="M36" s="78" t="s">
        <v>72</v>
      </c>
      <c r="N36" s="48" t="s">
        <v>71</v>
      </c>
      <c r="O36" s="48" t="s">
        <v>71</v>
      </c>
      <c r="P36" s="62" t="s">
        <v>71</v>
      </c>
      <c r="Q36" s="64"/>
      <c r="R36" s="49"/>
      <c r="S36" s="66"/>
      <c r="T36" s="85"/>
      <c r="U36" s="344"/>
    </row>
    <row r="37" spans="2:22" ht="28.15" customHeight="1">
      <c r="B37" s="122"/>
      <c r="C37" s="124" t="s">
        <v>553</v>
      </c>
      <c r="D37" s="329" t="s">
        <v>554</v>
      </c>
      <c r="E37" s="94">
        <f t="shared" si="0"/>
        <v>34</v>
      </c>
      <c r="F37" s="95" t="s">
        <v>555</v>
      </c>
      <c r="G37" s="96" t="s">
        <v>581</v>
      </c>
      <c r="H37" s="50" t="s">
        <v>71</v>
      </c>
      <c r="I37" s="50" t="s">
        <v>71</v>
      </c>
      <c r="J37" s="50" t="s">
        <v>71</v>
      </c>
      <c r="K37" s="50" t="s">
        <v>71</v>
      </c>
      <c r="L37" s="50" t="s">
        <v>71</v>
      </c>
      <c r="M37" s="50" t="s">
        <v>71</v>
      </c>
      <c r="N37" s="50" t="s">
        <v>71</v>
      </c>
      <c r="O37" s="50" t="s">
        <v>71</v>
      </c>
      <c r="P37" s="63" t="s">
        <v>71</v>
      </c>
      <c r="Q37" s="65"/>
      <c r="R37" s="51"/>
      <c r="S37" s="67"/>
      <c r="T37" s="324"/>
      <c r="U37" s="328" t="s">
        <v>579</v>
      </c>
      <c r="V37" s="126"/>
    </row>
    <row r="38" spans="2:22" ht="26.45">
      <c r="B38" s="122"/>
      <c r="C38" s="269"/>
      <c r="D38" s="234" t="s">
        <v>558</v>
      </c>
      <c r="E38" s="233">
        <f t="shared" si="0"/>
        <v>35</v>
      </c>
      <c r="F38" s="97" t="s">
        <v>559</v>
      </c>
      <c r="G38" s="91" t="s">
        <v>581</v>
      </c>
      <c r="H38" s="78" t="s">
        <v>72</v>
      </c>
      <c r="I38" s="48" t="s">
        <v>71</v>
      </c>
      <c r="J38" s="48" t="s">
        <v>71</v>
      </c>
      <c r="K38" s="48" t="s">
        <v>71</v>
      </c>
      <c r="L38" s="78" t="s">
        <v>72</v>
      </c>
      <c r="M38" s="78" t="s">
        <v>72</v>
      </c>
      <c r="N38" s="48" t="s">
        <v>71</v>
      </c>
      <c r="O38" s="48" t="s">
        <v>71</v>
      </c>
      <c r="P38" s="62" t="s">
        <v>71</v>
      </c>
      <c r="Q38" s="64"/>
      <c r="R38" s="49"/>
      <c r="S38" s="66"/>
      <c r="T38" s="85"/>
      <c r="U38" s="101"/>
    </row>
    <row r="39" spans="2:22" ht="28.15" customHeight="1">
      <c r="B39" s="122"/>
      <c r="C39" s="269"/>
      <c r="D39" s="338" t="s">
        <v>561</v>
      </c>
      <c r="E39" s="89">
        <f t="shared" si="0"/>
        <v>36</v>
      </c>
      <c r="F39" s="90" t="s">
        <v>562</v>
      </c>
      <c r="G39" s="91" t="s">
        <v>581</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 customHeight="1">
      <c r="B40" s="122"/>
      <c r="C40" s="123"/>
      <c r="D40" s="234" t="s">
        <v>565</v>
      </c>
      <c r="E40" s="233">
        <f t="shared" si="0"/>
        <v>37</v>
      </c>
      <c r="F40" s="97" t="s">
        <v>562</v>
      </c>
      <c r="G40" s="91" t="s">
        <v>581</v>
      </c>
      <c r="H40" s="78" t="s">
        <v>72</v>
      </c>
      <c r="I40" s="48" t="s">
        <v>71</v>
      </c>
      <c r="J40" s="48" t="s">
        <v>71</v>
      </c>
      <c r="K40" s="48" t="s">
        <v>71</v>
      </c>
      <c r="L40" s="78" t="s">
        <v>72</v>
      </c>
      <c r="M40" s="78" t="s">
        <v>72</v>
      </c>
      <c r="N40" s="341" t="s">
        <v>71</v>
      </c>
      <c r="O40" s="341" t="s">
        <v>71</v>
      </c>
      <c r="P40" s="345" t="s">
        <v>71</v>
      </c>
      <c r="Q40" s="64"/>
      <c r="R40" s="49"/>
      <c r="S40" s="66"/>
      <c r="T40" s="85"/>
      <c r="U40" s="344"/>
    </row>
    <row r="41" spans="2:22" ht="28.9" customHeight="1">
      <c r="B41" s="122"/>
      <c r="C41" s="124" t="s">
        <v>566</v>
      </c>
      <c r="D41" s="269" t="s">
        <v>567</v>
      </c>
      <c r="E41" s="233">
        <f t="shared" si="0"/>
        <v>38</v>
      </c>
      <c r="F41" s="97" t="s">
        <v>568</v>
      </c>
      <c r="G41" s="91" t="s">
        <v>582</v>
      </c>
      <c r="H41" s="78" t="s">
        <v>72</v>
      </c>
      <c r="I41" s="48" t="s">
        <v>71</v>
      </c>
      <c r="J41" s="48" t="s">
        <v>71</v>
      </c>
      <c r="K41" s="48" t="s">
        <v>71</v>
      </c>
      <c r="L41" s="78" t="s">
        <v>72</v>
      </c>
      <c r="M41" s="78" t="s">
        <v>72</v>
      </c>
      <c r="N41" s="48" t="s">
        <v>71</v>
      </c>
      <c r="O41" s="48" t="s">
        <v>71</v>
      </c>
      <c r="P41" s="62" t="s">
        <v>71</v>
      </c>
      <c r="Q41" s="64"/>
      <c r="R41" s="49"/>
      <c r="S41" s="66"/>
      <c r="T41" s="85"/>
      <c r="U41" s="101"/>
    </row>
    <row r="42" spans="2:22" ht="28.15" customHeight="1">
      <c r="B42" s="122"/>
      <c r="C42" s="269"/>
      <c r="D42" s="269"/>
      <c r="E42" s="233">
        <f t="shared" si="0"/>
        <v>39</v>
      </c>
      <c r="F42" s="97" t="s">
        <v>570</v>
      </c>
      <c r="G42" s="91" t="s">
        <v>582</v>
      </c>
      <c r="H42" s="78" t="s">
        <v>72</v>
      </c>
      <c r="I42" s="48" t="s">
        <v>71</v>
      </c>
      <c r="J42" s="48" t="s">
        <v>71</v>
      </c>
      <c r="K42" s="48" t="s">
        <v>71</v>
      </c>
      <c r="L42" s="78" t="s">
        <v>72</v>
      </c>
      <c r="M42" s="78" t="s">
        <v>72</v>
      </c>
      <c r="N42" s="48" t="s">
        <v>71</v>
      </c>
      <c r="O42" s="48" t="s">
        <v>71</v>
      </c>
      <c r="P42" s="62" t="s">
        <v>71</v>
      </c>
      <c r="Q42" s="64"/>
      <c r="R42" s="49"/>
      <c r="S42" s="66"/>
      <c r="T42" s="85"/>
      <c r="U42" s="344" t="s">
        <v>583</v>
      </c>
    </row>
    <row r="43" spans="2:22" ht="28.15" customHeight="1">
      <c r="B43" s="122"/>
      <c r="C43" s="269"/>
      <c r="D43" s="229"/>
      <c r="E43" s="233">
        <f t="shared" si="0"/>
        <v>40</v>
      </c>
      <c r="F43" s="97" t="s">
        <v>571</v>
      </c>
      <c r="G43" s="91" t="s">
        <v>582</v>
      </c>
      <c r="H43" s="78" t="s">
        <v>72</v>
      </c>
      <c r="I43" s="48" t="s">
        <v>71</v>
      </c>
      <c r="J43" s="48" t="s">
        <v>71</v>
      </c>
      <c r="K43" s="48" t="s">
        <v>71</v>
      </c>
      <c r="L43" s="78" t="s">
        <v>72</v>
      </c>
      <c r="M43" s="78" t="s">
        <v>72</v>
      </c>
      <c r="N43" s="48" t="s">
        <v>71</v>
      </c>
      <c r="O43" s="48" t="s">
        <v>71</v>
      </c>
      <c r="P43" s="62" t="s">
        <v>71</v>
      </c>
      <c r="Q43" s="64"/>
      <c r="R43" s="49"/>
      <c r="S43" s="66"/>
      <c r="T43" s="85"/>
      <c r="U43" s="101"/>
    </row>
    <row r="44" spans="2:22" ht="28.15" customHeight="1">
      <c r="B44" s="122"/>
      <c r="C44" s="123"/>
      <c r="D44" s="338" t="s">
        <v>572</v>
      </c>
      <c r="E44" s="89">
        <f t="shared" si="0"/>
        <v>41</v>
      </c>
      <c r="F44" s="90" t="s">
        <v>573</v>
      </c>
      <c r="G44" s="91" t="s">
        <v>582</v>
      </c>
      <c r="H44" s="78" t="s">
        <v>72</v>
      </c>
      <c r="I44" s="48" t="s">
        <v>71</v>
      </c>
      <c r="J44" s="48" t="s">
        <v>71</v>
      </c>
      <c r="K44" s="48" t="s">
        <v>71</v>
      </c>
      <c r="L44" s="78" t="s">
        <v>72</v>
      </c>
      <c r="M44" s="78" t="s">
        <v>72</v>
      </c>
      <c r="N44" s="48" t="s">
        <v>71</v>
      </c>
      <c r="O44" s="48" t="s">
        <v>71</v>
      </c>
      <c r="P44" s="62" t="s">
        <v>71</v>
      </c>
      <c r="Q44" s="64"/>
      <c r="R44" s="49"/>
      <c r="S44" s="66"/>
      <c r="T44" s="85"/>
      <c r="U44" s="101"/>
    </row>
    <row r="45" spans="2:22" ht="28.15" customHeight="1">
      <c r="B45" s="122"/>
      <c r="C45" s="269"/>
      <c r="D45" s="269"/>
      <c r="E45" s="89">
        <f t="shared" si="0"/>
        <v>42</v>
      </c>
      <c r="F45" s="90" t="s">
        <v>584</v>
      </c>
      <c r="G45" s="91" t="s">
        <v>582</v>
      </c>
      <c r="H45" s="78" t="s">
        <v>72</v>
      </c>
      <c r="I45" s="48" t="s">
        <v>71</v>
      </c>
      <c r="J45" s="48" t="s">
        <v>71</v>
      </c>
      <c r="K45" s="48" t="s">
        <v>71</v>
      </c>
      <c r="L45" s="78" t="s">
        <v>72</v>
      </c>
      <c r="M45" s="78" t="s">
        <v>72</v>
      </c>
      <c r="N45" s="48" t="s">
        <v>71</v>
      </c>
      <c r="O45" s="48" t="s">
        <v>71</v>
      </c>
      <c r="P45" s="62" t="s">
        <v>71</v>
      </c>
      <c r="Q45" s="64"/>
      <c r="R45" s="49"/>
      <c r="S45" s="66"/>
      <c r="T45" s="85"/>
      <c r="U45" s="101"/>
    </row>
    <row r="46" spans="2:22" ht="28.15" customHeight="1">
      <c r="B46" s="122"/>
      <c r="C46" s="269"/>
      <c r="D46" s="269"/>
      <c r="E46" s="89">
        <f t="shared" si="0"/>
        <v>43</v>
      </c>
      <c r="F46" s="90" t="s">
        <v>576</v>
      </c>
      <c r="G46" s="91" t="s">
        <v>582</v>
      </c>
      <c r="H46" s="78" t="s">
        <v>72</v>
      </c>
      <c r="I46" s="48" t="s">
        <v>71</v>
      </c>
      <c r="J46" s="48" t="s">
        <v>71</v>
      </c>
      <c r="K46" s="48" t="s">
        <v>71</v>
      </c>
      <c r="L46" s="78" t="s">
        <v>72</v>
      </c>
      <c r="M46" s="78" t="s">
        <v>72</v>
      </c>
      <c r="N46" s="48" t="s">
        <v>71</v>
      </c>
      <c r="O46" s="48" t="s">
        <v>71</v>
      </c>
      <c r="P46" s="62" t="s">
        <v>71</v>
      </c>
      <c r="Q46" s="64"/>
      <c r="R46" s="49"/>
      <c r="S46" s="66"/>
      <c r="T46" s="85"/>
      <c r="U46" s="101"/>
    </row>
    <row r="47" spans="2:22" ht="28.15" customHeight="1">
      <c r="B47" s="125" t="s">
        <v>585</v>
      </c>
      <c r="C47" s="270" t="s">
        <v>530</v>
      </c>
      <c r="D47" s="235"/>
      <c r="E47" s="233">
        <f t="shared" si="0"/>
        <v>44</v>
      </c>
      <c r="F47" s="97" t="s">
        <v>586</v>
      </c>
      <c r="G47" s="91" t="s">
        <v>587</v>
      </c>
      <c r="H47" s="78" t="s">
        <v>72</v>
      </c>
      <c r="I47" s="48" t="s">
        <v>71</v>
      </c>
      <c r="J47" s="48" t="s">
        <v>71</v>
      </c>
      <c r="K47" s="48" t="s">
        <v>71</v>
      </c>
      <c r="L47" s="48" t="s">
        <v>71</v>
      </c>
      <c r="M47" s="48" t="s">
        <v>71</v>
      </c>
      <c r="N47" s="48" t="s">
        <v>71</v>
      </c>
      <c r="O47" s="78" t="s">
        <v>72</v>
      </c>
      <c r="P47" s="62" t="s">
        <v>71</v>
      </c>
      <c r="Q47" s="64"/>
      <c r="R47" s="49"/>
      <c r="S47" s="66"/>
      <c r="T47" s="85"/>
      <c r="U47" s="100"/>
    </row>
    <row r="48" spans="2:22" ht="28.15" customHeight="1">
      <c r="B48" s="122"/>
      <c r="C48" s="271" t="s">
        <v>588</v>
      </c>
      <c r="D48" s="235" t="s">
        <v>589</v>
      </c>
      <c r="E48" s="233">
        <f t="shared" si="0"/>
        <v>45</v>
      </c>
      <c r="F48" s="97" t="s">
        <v>536</v>
      </c>
      <c r="G48" s="91" t="s">
        <v>590</v>
      </c>
      <c r="H48" s="78" t="s">
        <v>72</v>
      </c>
      <c r="I48" s="48" t="s">
        <v>71</v>
      </c>
      <c r="J48" s="48" t="s">
        <v>71</v>
      </c>
      <c r="K48" s="48" t="s">
        <v>71</v>
      </c>
      <c r="L48" s="78" t="s">
        <v>72</v>
      </c>
      <c r="M48" s="78" t="s">
        <v>72</v>
      </c>
      <c r="N48" s="48" t="s">
        <v>71</v>
      </c>
      <c r="O48" s="78" t="s">
        <v>72</v>
      </c>
      <c r="P48" s="62" t="s">
        <v>71</v>
      </c>
      <c r="Q48" s="64"/>
      <c r="R48" s="49"/>
      <c r="S48" s="66"/>
      <c r="T48" s="85"/>
      <c r="U48" s="100"/>
    </row>
    <row r="49" spans="2:22" ht="28.15" customHeight="1">
      <c r="B49" s="122"/>
      <c r="C49" s="269"/>
      <c r="D49" s="232" t="s">
        <v>591</v>
      </c>
      <c r="E49" s="233">
        <f t="shared" si="0"/>
        <v>46</v>
      </c>
      <c r="F49" s="97" t="s">
        <v>592</v>
      </c>
      <c r="G49" s="91" t="s">
        <v>590</v>
      </c>
      <c r="H49" s="78" t="s">
        <v>72</v>
      </c>
      <c r="I49" s="48" t="s">
        <v>71</v>
      </c>
      <c r="J49" s="48" t="s">
        <v>71</v>
      </c>
      <c r="K49" s="48" t="s">
        <v>71</v>
      </c>
      <c r="L49" s="78" t="s">
        <v>72</v>
      </c>
      <c r="M49" s="78" t="s">
        <v>72</v>
      </c>
      <c r="N49" s="48" t="s">
        <v>71</v>
      </c>
      <c r="O49" s="78" t="s">
        <v>72</v>
      </c>
      <c r="P49" s="62" t="s">
        <v>71</v>
      </c>
      <c r="Q49" s="64"/>
      <c r="R49" s="49"/>
      <c r="S49" s="66"/>
      <c r="T49" s="85"/>
      <c r="U49" s="100"/>
    </row>
    <row r="50" spans="2:22" ht="28.15" customHeight="1">
      <c r="B50" s="122"/>
      <c r="C50" s="123"/>
      <c r="D50" s="232" t="s">
        <v>593</v>
      </c>
      <c r="E50" s="233">
        <f t="shared" si="0"/>
        <v>47</v>
      </c>
      <c r="F50" s="97" t="s">
        <v>594</v>
      </c>
      <c r="G50" s="91" t="s">
        <v>590</v>
      </c>
      <c r="H50" s="78" t="s">
        <v>72</v>
      </c>
      <c r="I50" s="48" t="s">
        <v>71</v>
      </c>
      <c r="J50" s="48" t="s">
        <v>71</v>
      </c>
      <c r="K50" s="48" t="s">
        <v>71</v>
      </c>
      <c r="L50" s="78" t="s">
        <v>72</v>
      </c>
      <c r="M50" s="78" t="s">
        <v>72</v>
      </c>
      <c r="N50" s="48" t="s">
        <v>71</v>
      </c>
      <c r="O50" s="78" t="s">
        <v>72</v>
      </c>
      <c r="P50" s="62" t="s">
        <v>71</v>
      </c>
      <c r="Q50" s="64"/>
      <c r="R50" s="49"/>
      <c r="S50" s="66"/>
      <c r="T50" s="85"/>
      <c r="U50" s="100"/>
    </row>
    <row r="51" spans="2:22" ht="28.15" customHeight="1">
      <c r="B51" s="122"/>
      <c r="C51" s="272" t="s">
        <v>595</v>
      </c>
      <c r="D51" s="235" t="s">
        <v>589</v>
      </c>
      <c r="E51" s="233">
        <f t="shared" si="0"/>
        <v>48</v>
      </c>
      <c r="F51" s="97" t="s">
        <v>536</v>
      </c>
      <c r="G51" s="91" t="s">
        <v>596</v>
      </c>
      <c r="H51" s="78" t="s">
        <v>72</v>
      </c>
      <c r="I51" s="48" t="s">
        <v>71</v>
      </c>
      <c r="J51" s="48" t="s">
        <v>71</v>
      </c>
      <c r="K51" s="48" t="s">
        <v>71</v>
      </c>
      <c r="L51" s="78" t="s">
        <v>72</v>
      </c>
      <c r="M51" s="78" t="s">
        <v>72</v>
      </c>
      <c r="N51" s="48" t="s">
        <v>71</v>
      </c>
      <c r="O51" s="78" t="s">
        <v>72</v>
      </c>
      <c r="P51" s="62" t="s">
        <v>71</v>
      </c>
      <c r="Q51" s="64"/>
      <c r="R51" s="49"/>
      <c r="S51" s="66"/>
      <c r="T51" s="85"/>
      <c r="U51" s="100"/>
    </row>
    <row r="52" spans="2:22" ht="28.15" customHeight="1">
      <c r="B52" s="122"/>
      <c r="C52" s="123"/>
      <c r="D52" s="232" t="s">
        <v>591</v>
      </c>
      <c r="E52" s="233">
        <f t="shared" si="0"/>
        <v>49</v>
      </c>
      <c r="F52" s="97" t="s">
        <v>592</v>
      </c>
      <c r="G52" s="91" t="s">
        <v>596</v>
      </c>
      <c r="H52" s="78" t="s">
        <v>72</v>
      </c>
      <c r="I52" s="48" t="s">
        <v>71</v>
      </c>
      <c r="J52" s="48" t="s">
        <v>71</v>
      </c>
      <c r="K52" s="48" t="s">
        <v>71</v>
      </c>
      <c r="L52" s="78" t="s">
        <v>72</v>
      </c>
      <c r="M52" s="78" t="s">
        <v>72</v>
      </c>
      <c r="N52" s="48" t="s">
        <v>71</v>
      </c>
      <c r="O52" s="78" t="s">
        <v>72</v>
      </c>
      <c r="P52" s="62" t="s">
        <v>71</v>
      </c>
      <c r="Q52" s="64"/>
      <c r="R52" s="49"/>
      <c r="S52" s="66"/>
      <c r="T52" s="85"/>
      <c r="U52" s="100"/>
    </row>
    <row r="53" spans="2:22" ht="28.15" customHeight="1">
      <c r="B53" s="122"/>
      <c r="C53" s="123"/>
      <c r="D53" s="232" t="s">
        <v>593</v>
      </c>
      <c r="E53" s="233">
        <f t="shared" si="0"/>
        <v>50</v>
      </c>
      <c r="F53" s="97" t="s">
        <v>594</v>
      </c>
      <c r="G53" s="91" t="s">
        <v>596</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15" customHeight="1">
      <c r="B54" s="122"/>
      <c r="C54" s="272" t="s">
        <v>597</v>
      </c>
      <c r="D54" s="235" t="s">
        <v>589</v>
      </c>
      <c r="E54" s="233">
        <f t="shared" si="0"/>
        <v>51</v>
      </c>
      <c r="F54" s="97" t="s">
        <v>536</v>
      </c>
      <c r="G54" s="91" t="s">
        <v>598</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15" customHeight="1">
      <c r="B55" s="122"/>
      <c r="C55" s="123"/>
      <c r="D55" s="232" t="s">
        <v>591</v>
      </c>
      <c r="E55" s="233">
        <f t="shared" si="0"/>
        <v>52</v>
      </c>
      <c r="F55" s="97" t="s">
        <v>592</v>
      </c>
      <c r="G55" s="91" t="s">
        <v>598</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15" customHeight="1">
      <c r="B56" s="122"/>
      <c r="C56" s="123"/>
      <c r="D56" s="232" t="s">
        <v>593</v>
      </c>
      <c r="E56" s="233">
        <f t="shared" si="0"/>
        <v>53</v>
      </c>
      <c r="F56" s="97" t="s">
        <v>594</v>
      </c>
      <c r="G56" s="91" t="s">
        <v>598</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15" customHeight="1">
      <c r="B57" s="122"/>
      <c r="C57" s="124" t="s">
        <v>271</v>
      </c>
      <c r="D57" s="235" t="s">
        <v>589</v>
      </c>
      <c r="E57" s="233">
        <f t="shared" si="0"/>
        <v>54</v>
      </c>
      <c r="F57" s="97" t="s">
        <v>536</v>
      </c>
      <c r="G57" s="91" t="s">
        <v>599</v>
      </c>
      <c r="H57" s="78" t="s">
        <v>72</v>
      </c>
      <c r="I57" s="48" t="s">
        <v>71</v>
      </c>
      <c r="J57" s="48" t="s">
        <v>71</v>
      </c>
      <c r="K57" s="48" t="s">
        <v>71</v>
      </c>
      <c r="L57" s="78" t="s">
        <v>72</v>
      </c>
      <c r="M57" s="78" t="s">
        <v>72</v>
      </c>
      <c r="N57" s="48" t="s">
        <v>71</v>
      </c>
      <c r="O57" s="78" t="s">
        <v>72</v>
      </c>
      <c r="P57" s="62" t="s">
        <v>71</v>
      </c>
      <c r="Q57" s="64"/>
      <c r="R57" s="49"/>
      <c r="S57" s="66"/>
      <c r="T57" s="85"/>
      <c r="U57" s="100"/>
    </row>
    <row r="58" spans="2:22" ht="28.15" customHeight="1">
      <c r="B58" s="122"/>
      <c r="C58" s="123"/>
      <c r="D58" s="232" t="s">
        <v>591</v>
      </c>
      <c r="E58" s="233">
        <f t="shared" si="0"/>
        <v>55</v>
      </c>
      <c r="F58" s="97" t="s">
        <v>592</v>
      </c>
      <c r="G58" s="91" t="s">
        <v>599</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15" customHeight="1">
      <c r="B59" s="122"/>
      <c r="C59" s="229"/>
      <c r="D59" s="232" t="s">
        <v>593</v>
      </c>
      <c r="E59" s="233">
        <f t="shared" si="0"/>
        <v>56</v>
      </c>
      <c r="F59" s="97" t="s">
        <v>594</v>
      </c>
      <c r="G59" s="91" t="s">
        <v>599</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15" customHeight="1">
      <c r="B60" s="122"/>
      <c r="C60" s="124" t="s">
        <v>600</v>
      </c>
      <c r="D60" s="329" t="s">
        <v>601</v>
      </c>
      <c r="E60" s="94">
        <f t="shared" si="0"/>
        <v>57</v>
      </c>
      <c r="F60" s="95" t="s">
        <v>602</v>
      </c>
      <c r="G60" s="96" t="s">
        <v>603</v>
      </c>
      <c r="H60" s="50" t="s">
        <v>71</v>
      </c>
      <c r="I60" s="50" t="s">
        <v>71</v>
      </c>
      <c r="J60" s="50" t="s">
        <v>71</v>
      </c>
      <c r="K60" s="50" t="s">
        <v>71</v>
      </c>
      <c r="L60" s="50" t="s">
        <v>71</v>
      </c>
      <c r="M60" s="50" t="s">
        <v>71</v>
      </c>
      <c r="N60" s="50" t="s">
        <v>71</v>
      </c>
      <c r="O60" s="50" t="s">
        <v>71</v>
      </c>
      <c r="P60" s="63" t="s">
        <v>71</v>
      </c>
      <c r="Q60" s="65"/>
      <c r="R60" s="51"/>
      <c r="S60" s="67"/>
      <c r="T60" s="324"/>
      <c r="U60" s="328" t="s">
        <v>604</v>
      </c>
      <c r="V60" s="126"/>
    </row>
    <row r="61" spans="2:22" ht="28.15" customHeight="1">
      <c r="B61" s="122"/>
      <c r="C61" s="269"/>
      <c r="D61" s="234" t="s">
        <v>605</v>
      </c>
      <c r="E61" s="233">
        <f t="shared" si="0"/>
        <v>58</v>
      </c>
      <c r="F61" s="97" t="s">
        <v>606</v>
      </c>
      <c r="G61" s="91" t="s">
        <v>603</v>
      </c>
      <c r="H61" s="78" t="s">
        <v>72</v>
      </c>
      <c r="I61" s="48" t="s">
        <v>71</v>
      </c>
      <c r="J61" s="48" t="s">
        <v>71</v>
      </c>
      <c r="K61" s="78" t="s">
        <v>72</v>
      </c>
      <c r="L61" s="78" t="s">
        <v>72</v>
      </c>
      <c r="M61" s="78" t="s">
        <v>72</v>
      </c>
      <c r="N61" s="48" t="s">
        <v>71</v>
      </c>
      <c r="O61" s="78" t="s">
        <v>72</v>
      </c>
      <c r="P61" s="62" t="s">
        <v>71</v>
      </c>
      <c r="Q61" s="64"/>
      <c r="R61" s="49"/>
      <c r="S61" s="66"/>
      <c r="T61" s="85"/>
      <c r="U61" s="100"/>
    </row>
    <row r="62" spans="2:22" ht="28.9" customHeight="1">
      <c r="B62" s="122"/>
      <c r="C62" s="123"/>
      <c r="D62" s="234" t="s">
        <v>607</v>
      </c>
      <c r="E62" s="233">
        <f t="shared" si="0"/>
        <v>59</v>
      </c>
      <c r="F62" s="97" t="s">
        <v>608</v>
      </c>
      <c r="G62" s="91" t="s">
        <v>609</v>
      </c>
      <c r="H62" s="78" t="s">
        <v>72</v>
      </c>
      <c r="I62" s="48" t="s">
        <v>71</v>
      </c>
      <c r="J62" s="48" t="s">
        <v>71</v>
      </c>
      <c r="K62" s="78" t="s">
        <v>72</v>
      </c>
      <c r="L62" s="78" t="s">
        <v>72</v>
      </c>
      <c r="M62" s="78" t="s">
        <v>72</v>
      </c>
      <c r="N62" s="48" t="s">
        <v>71</v>
      </c>
      <c r="O62" s="78" t="s">
        <v>72</v>
      </c>
      <c r="P62" s="62" t="s">
        <v>71</v>
      </c>
      <c r="Q62" s="64"/>
      <c r="R62" s="49"/>
      <c r="S62" s="66"/>
      <c r="T62" s="85"/>
      <c r="U62" s="100"/>
    </row>
    <row r="63" spans="2:22" ht="28.15" customHeight="1">
      <c r="B63" s="122"/>
      <c r="C63" s="124" t="s">
        <v>610</v>
      </c>
      <c r="D63" s="329" t="s">
        <v>530</v>
      </c>
      <c r="E63" s="94">
        <f t="shared" si="0"/>
        <v>60</v>
      </c>
      <c r="F63" s="95" t="s">
        <v>611</v>
      </c>
      <c r="G63" s="96" t="s">
        <v>612</v>
      </c>
      <c r="H63" s="79" t="s">
        <v>71</v>
      </c>
      <c r="I63" s="50" t="s">
        <v>71</v>
      </c>
      <c r="J63" s="50" t="s">
        <v>71</v>
      </c>
      <c r="K63" s="79" t="s">
        <v>71</v>
      </c>
      <c r="L63" s="79" t="s">
        <v>71</v>
      </c>
      <c r="M63" s="79" t="s">
        <v>71</v>
      </c>
      <c r="N63" s="50" t="s">
        <v>71</v>
      </c>
      <c r="O63" s="79" t="s">
        <v>71</v>
      </c>
      <c r="P63" s="63" t="s">
        <v>71</v>
      </c>
      <c r="Q63" s="65"/>
      <c r="R63" s="51"/>
      <c r="S63" s="67"/>
      <c r="T63" s="324"/>
      <c r="U63" s="328" t="s">
        <v>532</v>
      </c>
      <c r="V63" s="126"/>
    </row>
    <row r="64" spans="2:22" ht="28.15" customHeight="1">
      <c r="B64" s="122"/>
      <c r="C64" s="269"/>
      <c r="D64" s="272" t="s">
        <v>613</v>
      </c>
      <c r="E64" s="233">
        <f t="shared" si="0"/>
        <v>61</v>
      </c>
      <c r="F64" s="97" t="s">
        <v>592</v>
      </c>
      <c r="G64" s="91" t="s">
        <v>614</v>
      </c>
      <c r="H64" s="78" t="s">
        <v>72</v>
      </c>
      <c r="I64" s="48" t="s">
        <v>71</v>
      </c>
      <c r="J64" s="48" t="s">
        <v>71</v>
      </c>
      <c r="K64" s="78" t="s">
        <v>72</v>
      </c>
      <c r="L64" s="78" t="s">
        <v>72</v>
      </c>
      <c r="M64" s="78" t="s">
        <v>72</v>
      </c>
      <c r="N64" s="48" t="s">
        <v>71</v>
      </c>
      <c r="O64" s="78" t="s">
        <v>72</v>
      </c>
      <c r="P64" s="62" t="s">
        <v>71</v>
      </c>
      <c r="Q64" s="64"/>
      <c r="R64" s="49"/>
      <c r="S64" s="66"/>
      <c r="T64" s="85"/>
      <c r="U64" s="100"/>
    </row>
    <row r="65" spans="2:22" ht="28.9" customHeight="1">
      <c r="B65" s="122"/>
      <c r="C65" s="123"/>
      <c r="D65" s="229"/>
      <c r="E65" s="233">
        <f t="shared" si="0"/>
        <v>62</v>
      </c>
      <c r="F65" s="97" t="s">
        <v>536</v>
      </c>
      <c r="G65" s="91" t="s">
        <v>615</v>
      </c>
      <c r="H65" s="78" t="s">
        <v>72</v>
      </c>
      <c r="I65" s="48" t="s">
        <v>71</v>
      </c>
      <c r="J65" s="48" t="s">
        <v>71</v>
      </c>
      <c r="K65" s="78" t="s">
        <v>72</v>
      </c>
      <c r="L65" s="78" t="s">
        <v>72</v>
      </c>
      <c r="M65" s="78" t="s">
        <v>72</v>
      </c>
      <c r="N65" s="48" t="s">
        <v>71</v>
      </c>
      <c r="O65" s="78" t="s">
        <v>72</v>
      </c>
      <c r="P65" s="62" t="s">
        <v>71</v>
      </c>
      <c r="Q65" s="64"/>
      <c r="R65" s="49"/>
      <c r="S65" s="66"/>
      <c r="T65" s="85"/>
      <c r="U65" s="100"/>
    </row>
    <row r="66" spans="2:22" ht="28.15" customHeight="1">
      <c r="B66" s="125" t="s">
        <v>616</v>
      </c>
      <c r="C66" s="272" t="s">
        <v>617</v>
      </c>
      <c r="D66" s="236" t="s">
        <v>618</v>
      </c>
      <c r="E66" s="89">
        <f t="shared" si="0"/>
        <v>63</v>
      </c>
      <c r="F66" s="90" t="s">
        <v>619</v>
      </c>
      <c r="G66" s="91" t="s">
        <v>620</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50000000000003" customHeight="1">
      <c r="B67" s="273" t="s">
        <v>621</v>
      </c>
      <c r="C67" s="123"/>
      <c r="D67" s="88" t="s">
        <v>622</v>
      </c>
      <c r="E67" s="89">
        <f t="shared" si="0"/>
        <v>64</v>
      </c>
      <c r="F67" s="90" t="s">
        <v>623</v>
      </c>
      <c r="G67" s="91" t="s">
        <v>624</v>
      </c>
      <c r="H67" s="78" t="s">
        <v>72</v>
      </c>
      <c r="I67" s="48" t="s">
        <v>71</v>
      </c>
      <c r="J67" s="48" t="s">
        <v>71</v>
      </c>
      <c r="K67" s="78" t="s">
        <v>71</v>
      </c>
      <c r="L67" s="78" t="s">
        <v>72</v>
      </c>
      <c r="M67" s="78" t="s">
        <v>72</v>
      </c>
      <c r="N67" s="48" t="s">
        <v>71</v>
      </c>
      <c r="O67" s="48" t="s">
        <v>71</v>
      </c>
      <c r="P67" s="62" t="s">
        <v>71</v>
      </c>
      <c r="Q67" s="64"/>
      <c r="R67" s="49"/>
      <c r="S67" s="66"/>
      <c r="T67" s="85"/>
      <c r="U67" s="101" t="s">
        <v>625</v>
      </c>
    </row>
    <row r="68" spans="2:22" ht="28.15" customHeight="1">
      <c r="B68" s="273"/>
      <c r="C68" s="123"/>
      <c r="D68" s="93" t="s">
        <v>626</v>
      </c>
      <c r="E68" s="94">
        <f t="shared" si="0"/>
        <v>65</v>
      </c>
      <c r="F68" s="95" t="s">
        <v>627</v>
      </c>
      <c r="G68" s="96" t="s">
        <v>624</v>
      </c>
      <c r="H68" s="50" t="s">
        <v>71</v>
      </c>
      <c r="I68" s="50" t="s">
        <v>71</v>
      </c>
      <c r="J68" s="50" t="s">
        <v>71</v>
      </c>
      <c r="K68" s="50" t="s">
        <v>71</v>
      </c>
      <c r="L68" s="50" t="s">
        <v>71</v>
      </c>
      <c r="M68" s="50" t="s">
        <v>71</v>
      </c>
      <c r="N68" s="50" t="s">
        <v>71</v>
      </c>
      <c r="O68" s="50" t="s">
        <v>71</v>
      </c>
      <c r="P68" s="63" t="s">
        <v>71</v>
      </c>
      <c r="Q68" s="65"/>
      <c r="R68" s="51"/>
      <c r="S68" s="67"/>
      <c r="T68" s="324"/>
      <c r="U68" s="328" t="s">
        <v>532</v>
      </c>
    </row>
    <row r="69" spans="2:22" ht="28.15" customHeight="1">
      <c r="B69" s="273"/>
      <c r="C69" s="123"/>
      <c r="D69" s="88" t="s">
        <v>628</v>
      </c>
      <c r="E69" s="89">
        <f t="shared" si="0"/>
        <v>66</v>
      </c>
      <c r="F69" s="90" t="s">
        <v>629</v>
      </c>
      <c r="G69" s="91" t="s">
        <v>624</v>
      </c>
      <c r="H69" s="78" t="s">
        <v>72</v>
      </c>
      <c r="I69" s="48" t="s">
        <v>71</v>
      </c>
      <c r="J69" s="48" t="s">
        <v>71</v>
      </c>
      <c r="K69" s="78" t="s">
        <v>72</v>
      </c>
      <c r="L69" s="78" t="s">
        <v>72</v>
      </c>
      <c r="M69" s="78" t="s">
        <v>72</v>
      </c>
      <c r="N69" s="48" t="s">
        <v>71</v>
      </c>
      <c r="O69" s="48" t="s">
        <v>71</v>
      </c>
      <c r="P69" s="62" t="s">
        <v>71</v>
      </c>
      <c r="Q69" s="64"/>
      <c r="R69" s="49"/>
      <c r="S69" s="66"/>
      <c r="T69" s="85"/>
      <c r="U69" s="100"/>
    </row>
    <row r="70" spans="2:22" ht="28.15" customHeight="1">
      <c r="B70" s="122"/>
      <c r="C70" s="123"/>
      <c r="D70" s="88" t="s">
        <v>630</v>
      </c>
      <c r="E70" s="89">
        <f t="shared" si="0"/>
        <v>67</v>
      </c>
      <c r="F70" s="88" t="s">
        <v>631</v>
      </c>
      <c r="G70" s="91" t="s">
        <v>624</v>
      </c>
      <c r="H70" s="78" t="s">
        <v>72</v>
      </c>
      <c r="I70" s="48" t="s">
        <v>71</v>
      </c>
      <c r="J70" s="48" t="s">
        <v>71</v>
      </c>
      <c r="K70" s="78" t="s">
        <v>71</v>
      </c>
      <c r="L70" s="48" t="s">
        <v>71</v>
      </c>
      <c r="M70" s="48" t="s">
        <v>71</v>
      </c>
      <c r="N70" s="48" t="s">
        <v>71</v>
      </c>
      <c r="O70" s="48" t="s">
        <v>71</v>
      </c>
      <c r="P70" s="62" t="s">
        <v>71</v>
      </c>
      <c r="Q70" s="64"/>
      <c r="R70" s="49"/>
      <c r="S70" s="66"/>
      <c r="T70" s="85"/>
      <c r="U70" s="100"/>
    </row>
    <row r="71" spans="2:22" ht="28.15" customHeight="1">
      <c r="B71" s="122"/>
      <c r="C71" s="123"/>
      <c r="D71" s="88" t="s">
        <v>630</v>
      </c>
      <c r="E71" s="89">
        <f t="shared" si="0"/>
        <v>68</v>
      </c>
      <c r="F71" s="88" t="s">
        <v>632</v>
      </c>
      <c r="G71" s="91" t="s">
        <v>624</v>
      </c>
      <c r="H71" s="78" t="s">
        <v>72</v>
      </c>
      <c r="I71" s="48" t="s">
        <v>71</v>
      </c>
      <c r="J71" s="48" t="s">
        <v>71</v>
      </c>
      <c r="K71" s="78" t="s">
        <v>71</v>
      </c>
      <c r="L71" s="48" t="s">
        <v>71</v>
      </c>
      <c r="M71" s="48" t="s">
        <v>71</v>
      </c>
      <c r="N71" s="48" t="s">
        <v>71</v>
      </c>
      <c r="O71" s="48" t="s">
        <v>71</v>
      </c>
      <c r="P71" s="62" t="s">
        <v>71</v>
      </c>
      <c r="Q71" s="64"/>
      <c r="R71" s="49"/>
      <c r="S71" s="66"/>
      <c r="T71" s="85"/>
      <c r="U71" s="100"/>
    </row>
    <row r="72" spans="2:22" ht="28.15" customHeight="1">
      <c r="B72" s="122"/>
      <c r="C72" s="123"/>
      <c r="D72" s="88" t="s">
        <v>633</v>
      </c>
      <c r="E72" s="89">
        <f t="shared" si="0"/>
        <v>69</v>
      </c>
      <c r="F72" s="88" t="s">
        <v>634</v>
      </c>
      <c r="G72" s="91" t="s">
        <v>624</v>
      </c>
      <c r="H72" s="78" t="s">
        <v>72</v>
      </c>
      <c r="I72" s="48" t="s">
        <v>71</v>
      </c>
      <c r="J72" s="48" t="s">
        <v>71</v>
      </c>
      <c r="K72" s="78" t="s">
        <v>71</v>
      </c>
      <c r="L72" s="48" t="s">
        <v>71</v>
      </c>
      <c r="M72" s="48" t="s">
        <v>71</v>
      </c>
      <c r="N72" s="48" t="s">
        <v>71</v>
      </c>
      <c r="O72" s="48" t="s">
        <v>71</v>
      </c>
      <c r="P72" s="62" t="s">
        <v>71</v>
      </c>
      <c r="Q72" s="64"/>
      <c r="R72" s="49"/>
      <c r="S72" s="66"/>
      <c r="T72" s="85"/>
      <c r="U72" s="100"/>
    </row>
    <row r="73" spans="2:22" ht="28.15" customHeight="1">
      <c r="B73" s="122"/>
      <c r="C73" s="123"/>
      <c r="D73" s="88" t="s">
        <v>635</v>
      </c>
      <c r="E73" s="89">
        <f t="shared" si="0"/>
        <v>70</v>
      </c>
      <c r="F73" s="88" t="s">
        <v>636</v>
      </c>
      <c r="G73" s="91" t="s">
        <v>624</v>
      </c>
      <c r="H73" s="78" t="s">
        <v>72</v>
      </c>
      <c r="I73" s="48" t="s">
        <v>71</v>
      </c>
      <c r="J73" s="48" t="s">
        <v>71</v>
      </c>
      <c r="K73" s="78" t="s">
        <v>71</v>
      </c>
      <c r="L73" s="48" t="s">
        <v>71</v>
      </c>
      <c r="M73" s="48" t="s">
        <v>71</v>
      </c>
      <c r="N73" s="48" t="s">
        <v>71</v>
      </c>
      <c r="O73" s="48" t="s">
        <v>71</v>
      </c>
      <c r="P73" s="62" t="s">
        <v>71</v>
      </c>
      <c r="Q73" s="64"/>
      <c r="R73" s="49"/>
      <c r="S73" s="66"/>
      <c r="T73" s="85"/>
      <c r="U73" s="100" t="s">
        <v>637</v>
      </c>
    </row>
    <row r="74" spans="2:22" ht="28.15" customHeight="1">
      <c r="B74" s="122"/>
      <c r="C74" s="123"/>
      <c r="D74" s="93" t="s">
        <v>638</v>
      </c>
      <c r="E74" s="94">
        <f t="shared" si="0"/>
        <v>71</v>
      </c>
      <c r="F74" s="93" t="s">
        <v>277</v>
      </c>
      <c r="G74" s="96" t="s">
        <v>624</v>
      </c>
      <c r="H74" s="79" t="s">
        <v>71</v>
      </c>
      <c r="I74" s="50" t="s">
        <v>71</v>
      </c>
      <c r="J74" s="50" t="s">
        <v>71</v>
      </c>
      <c r="K74" s="79" t="s">
        <v>71</v>
      </c>
      <c r="L74" s="50" t="s">
        <v>71</v>
      </c>
      <c r="M74" s="50" t="s">
        <v>71</v>
      </c>
      <c r="N74" s="50" t="s">
        <v>71</v>
      </c>
      <c r="O74" s="50" t="s">
        <v>71</v>
      </c>
      <c r="P74" s="63" t="s">
        <v>71</v>
      </c>
      <c r="Q74" s="65"/>
      <c r="R74" s="51"/>
      <c r="S74" s="67"/>
      <c r="T74" s="324"/>
      <c r="U74" s="328" t="s">
        <v>532</v>
      </c>
    </row>
    <row r="75" spans="2:22" ht="28.15" customHeight="1">
      <c r="B75" s="122"/>
      <c r="C75" s="123"/>
      <c r="D75" s="93" t="s">
        <v>639</v>
      </c>
      <c r="E75" s="94">
        <f t="shared" si="0"/>
        <v>72</v>
      </c>
      <c r="F75" s="93" t="s">
        <v>280</v>
      </c>
      <c r="G75" s="96" t="s">
        <v>624</v>
      </c>
      <c r="H75" s="79" t="s">
        <v>71</v>
      </c>
      <c r="I75" s="50" t="s">
        <v>71</v>
      </c>
      <c r="J75" s="50" t="s">
        <v>71</v>
      </c>
      <c r="K75" s="79" t="s">
        <v>71</v>
      </c>
      <c r="L75" s="50" t="s">
        <v>71</v>
      </c>
      <c r="M75" s="50" t="s">
        <v>71</v>
      </c>
      <c r="N75" s="50" t="s">
        <v>71</v>
      </c>
      <c r="O75" s="50" t="s">
        <v>71</v>
      </c>
      <c r="P75" s="63" t="s">
        <v>71</v>
      </c>
      <c r="Q75" s="65"/>
      <c r="R75" s="51"/>
      <c r="S75" s="67"/>
      <c r="T75" s="324"/>
      <c r="U75" s="328" t="s">
        <v>532</v>
      </c>
    </row>
    <row r="76" spans="2:22" ht="28.15" customHeight="1">
      <c r="B76" s="122"/>
      <c r="C76" s="123"/>
      <c r="D76" s="93" t="s">
        <v>640</v>
      </c>
      <c r="E76" s="94">
        <f t="shared" si="0"/>
        <v>73</v>
      </c>
      <c r="F76" s="93" t="s">
        <v>283</v>
      </c>
      <c r="G76" s="96" t="s">
        <v>624</v>
      </c>
      <c r="H76" s="79" t="s">
        <v>71</v>
      </c>
      <c r="I76" s="50" t="s">
        <v>71</v>
      </c>
      <c r="J76" s="50" t="s">
        <v>71</v>
      </c>
      <c r="K76" s="79" t="s">
        <v>71</v>
      </c>
      <c r="L76" s="50" t="s">
        <v>71</v>
      </c>
      <c r="M76" s="50" t="s">
        <v>71</v>
      </c>
      <c r="N76" s="50" t="s">
        <v>71</v>
      </c>
      <c r="O76" s="50" t="s">
        <v>71</v>
      </c>
      <c r="P76" s="63" t="s">
        <v>71</v>
      </c>
      <c r="Q76" s="65"/>
      <c r="R76" s="51"/>
      <c r="S76" s="67"/>
      <c r="T76" s="324"/>
      <c r="U76" s="328" t="s">
        <v>532</v>
      </c>
    </row>
    <row r="77" spans="2:22" ht="28.15" customHeight="1">
      <c r="B77" s="122"/>
      <c r="C77" s="123"/>
      <c r="D77" s="93" t="s">
        <v>641</v>
      </c>
      <c r="E77" s="94">
        <f t="shared" si="0"/>
        <v>74</v>
      </c>
      <c r="F77" s="93" t="s">
        <v>285</v>
      </c>
      <c r="G77" s="96" t="s">
        <v>624</v>
      </c>
      <c r="H77" s="79" t="s">
        <v>71</v>
      </c>
      <c r="I77" s="50" t="s">
        <v>71</v>
      </c>
      <c r="J77" s="50" t="s">
        <v>71</v>
      </c>
      <c r="K77" s="79" t="s">
        <v>71</v>
      </c>
      <c r="L77" s="50" t="s">
        <v>71</v>
      </c>
      <c r="M77" s="50" t="s">
        <v>71</v>
      </c>
      <c r="N77" s="50" t="s">
        <v>71</v>
      </c>
      <c r="O77" s="50" t="s">
        <v>71</v>
      </c>
      <c r="P77" s="63" t="s">
        <v>71</v>
      </c>
      <c r="Q77" s="65"/>
      <c r="R77" s="51"/>
      <c r="S77" s="67"/>
      <c r="T77" s="324"/>
      <c r="U77" s="328" t="s">
        <v>532</v>
      </c>
    </row>
    <row r="78" spans="2:22" ht="28.15" customHeight="1">
      <c r="B78" s="122"/>
      <c r="C78" s="123"/>
      <c r="D78" s="93" t="s">
        <v>642</v>
      </c>
      <c r="E78" s="94">
        <f t="shared" si="0"/>
        <v>75</v>
      </c>
      <c r="F78" s="93" t="s">
        <v>643</v>
      </c>
      <c r="G78" s="96" t="s">
        <v>624</v>
      </c>
      <c r="H78" s="50" t="s">
        <v>71</v>
      </c>
      <c r="I78" s="50" t="s">
        <v>71</v>
      </c>
      <c r="J78" s="50" t="s">
        <v>71</v>
      </c>
      <c r="K78" s="50" t="s">
        <v>71</v>
      </c>
      <c r="L78" s="50" t="s">
        <v>71</v>
      </c>
      <c r="M78" s="50" t="s">
        <v>71</v>
      </c>
      <c r="N78" s="50" t="s">
        <v>71</v>
      </c>
      <c r="O78" s="50" t="s">
        <v>71</v>
      </c>
      <c r="P78" s="63" t="s">
        <v>71</v>
      </c>
      <c r="Q78" s="65"/>
      <c r="R78" s="51"/>
      <c r="S78" s="67"/>
      <c r="T78" s="324"/>
      <c r="U78" s="328" t="s">
        <v>532</v>
      </c>
    </row>
    <row r="79" spans="2:22" ht="28.15" customHeight="1">
      <c r="B79" s="122"/>
      <c r="C79" s="123"/>
      <c r="D79" s="88" t="s">
        <v>644</v>
      </c>
      <c r="E79" s="89">
        <f t="shared" si="0"/>
        <v>76</v>
      </c>
      <c r="F79" s="88" t="s">
        <v>645</v>
      </c>
      <c r="G79" s="91" t="s">
        <v>646</v>
      </c>
      <c r="H79" s="78" t="s">
        <v>71</v>
      </c>
      <c r="I79" s="48" t="s">
        <v>71</v>
      </c>
      <c r="J79" s="48" t="s">
        <v>71</v>
      </c>
      <c r="K79" s="78" t="s">
        <v>72</v>
      </c>
      <c r="L79" s="48" t="s">
        <v>71</v>
      </c>
      <c r="M79" s="48" t="s">
        <v>71</v>
      </c>
      <c r="N79" s="48" t="s">
        <v>71</v>
      </c>
      <c r="O79" s="48" t="s">
        <v>71</v>
      </c>
      <c r="P79" s="62" t="s">
        <v>71</v>
      </c>
      <c r="Q79" s="64"/>
      <c r="R79" s="49"/>
      <c r="S79" s="66"/>
      <c r="T79" s="85"/>
      <c r="U79" s="100"/>
    </row>
    <row r="80" spans="2:22" ht="28.15" customHeight="1">
      <c r="B80" s="125" t="s">
        <v>647</v>
      </c>
      <c r="C80" s="314" t="s">
        <v>648</v>
      </c>
      <c r="D80" s="88" t="s">
        <v>649</v>
      </c>
      <c r="E80" s="89">
        <f t="shared" si="0"/>
        <v>77</v>
      </c>
      <c r="F80" s="88"/>
      <c r="G80" s="91" t="s">
        <v>650</v>
      </c>
      <c r="H80" s="48" t="s">
        <v>71</v>
      </c>
      <c r="I80" s="48" t="s">
        <v>71</v>
      </c>
      <c r="J80" s="48" t="s">
        <v>71</v>
      </c>
      <c r="K80" s="78" t="s">
        <v>72</v>
      </c>
      <c r="L80" s="48" t="s">
        <v>71</v>
      </c>
      <c r="M80" s="48" t="s">
        <v>71</v>
      </c>
      <c r="N80" s="48" t="s">
        <v>71</v>
      </c>
      <c r="O80" s="48" t="s">
        <v>71</v>
      </c>
      <c r="P80" s="62" t="s">
        <v>71</v>
      </c>
      <c r="Q80" s="64"/>
      <c r="R80" s="49"/>
      <c r="S80" s="66"/>
      <c r="T80" s="85"/>
      <c r="U80" s="100" t="s">
        <v>651</v>
      </c>
    </row>
    <row r="81" spans="1:22" ht="28.15" customHeight="1">
      <c r="B81" s="315"/>
      <c r="C81" s="314" t="s">
        <v>652</v>
      </c>
      <c r="D81" s="88" t="s">
        <v>653</v>
      </c>
      <c r="E81" s="89">
        <f t="shared" si="0"/>
        <v>78</v>
      </c>
      <c r="F81" s="88"/>
      <c r="G81" s="91" t="s">
        <v>650</v>
      </c>
      <c r="H81" s="48" t="s">
        <v>71</v>
      </c>
      <c r="I81" s="48" t="s">
        <v>71</v>
      </c>
      <c r="J81" s="48" t="s">
        <v>71</v>
      </c>
      <c r="K81" s="78" t="s">
        <v>72</v>
      </c>
      <c r="L81" s="48" t="s">
        <v>71</v>
      </c>
      <c r="M81" s="48" t="s">
        <v>71</v>
      </c>
      <c r="N81" s="48" t="s">
        <v>71</v>
      </c>
      <c r="O81" s="48" t="s">
        <v>71</v>
      </c>
      <c r="P81" s="62" t="s">
        <v>71</v>
      </c>
      <c r="Q81" s="64"/>
      <c r="R81" s="49"/>
      <c r="S81" s="66"/>
      <c r="T81" s="85"/>
      <c r="U81" s="100" t="s">
        <v>654</v>
      </c>
    </row>
    <row r="82" spans="1:22" ht="28.15" customHeight="1">
      <c r="B82" s="278" t="s">
        <v>616</v>
      </c>
      <c r="C82" s="294" t="s">
        <v>617</v>
      </c>
      <c r="D82" s="280" t="s">
        <v>618</v>
      </c>
      <c r="E82" s="281">
        <f t="shared" si="0"/>
        <v>79</v>
      </c>
      <c r="F82" s="282" t="s">
        <v>619</v>
      </c>
      <c r="G82" s="283" t="s">
        <v>620</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c r="B83" s="291" t="s">
        <v>655</v>
      </c>
      <c r="C83" s="279"/>
      <c r="D83" s="292" t="s">
        <v>627</v>
      </c>
      <c r="E83" s="281">
        <f t="shared" si="0"/>
        <v>80</v>
      </c>
      <c r="F83" s="282" t="s">
        <v>627</v>
      </c>
      <c r="G83" s="283" t="s">
        <v>624</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15" customHeight="1">
      <c r="B84" s="293"/>
      <c r="C84" s="279"/>
      <c r="D84" s="292" t="s">
        <v>656</v>
      </c>
      <c r="E84" s="281">
        <f t="shared" si="0"/>
        <v>81</v>
      </c>
      <c r="F84" s="282" t="s">
        <v>657</v>
      </c>
      <c r="G84" s="283" t="s">
        <v>624</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15" customHeight="1">
      <c r="B85" s="293"/>
      <c r="C85" s="279"/>
      <c r="D85" s="292" t="s">
        <v>638</v>
      </c>
      <c r="E85" s="281">
        <f t="shared" si="0"/>
        <v>82</v>
      </c>
      <c r="F85" s="292" t="s">
        <v>277</v>
      </c>
      <c r="G85" s="283" t="s">
        <v>624</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15" customHeight="1">
      <c r="B86" s="293"/>
      <c r="C86" s="279"/>
      <c r="D86" s="292" t="s">
        <v>639</v>
      </c>
      <c r="E86" s="281">
        <f t="shared" si="0"/>
        <v>83</v>
      </c>
      <c r="F86" s="292" t="s">
        <v>280</v>
      </c>
      <c r="G86" s="283" t="s">
        <v>624</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15" customHeight="1">
      <c r="B87" s="293"/>
      <c r="C87" s="279"/>
      <c r="D87" s="292" t="s">
        <v>640</v>
      </c>
      <c r="E87" s="281">
        <f t="shared" si="0"/>
        <v>84</v>
      </c>
      <c r="F87" s="292" t="s">
        <v>283</v>
      </c>
      <c r="G87" s="283" t="s">
        <v>624</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 customHeight="1">
      <c r="B88" s="293"/>
      <c r="C88" s="279"/>
      <c r="D88" s="292" t="s">
        <v>641</v>
      </c>
      <c r="E88" s="281">
        <f t="shared" si="0"/>
        <v>85</v>
      </c>
      <c r="F88" s="292" t="s">
        <v>285</v>
      </c>
      <c r="G88" s="283" t="s">
        <v>624</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15" customHeight="1">
      <c r="B89" s="293"/>
      <c r="C89" s="279"/>
      <c r="D89" s="292" t="s">
        <v>658</v>
      </c>
      <c r="E89" s="281">
        <f t="shared" si="0"/>
        <v>86</v>
      </c>
      <c r="F89" s="292" t="s">
        <v>643</v>
      </c>
      <c r="G89" s="283" t="s">
        <v>624</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c r="B90" s="293"/>
      <c r="C90" s="279"/>
      <c r="D90" s="292" t="s">
        <v>659</v>
      </c>
      <c r="E90" s="281">
        <f t="shared" si="0"/>
        <v>87</v>
      </c>
      <c r="F90" s="292" t="s">
        <v>645</v>
      </c>
      <c r="G90" s="283" t="s">
        <v>624</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15" customHeight="1" thickBot="1">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c r="B92" s="511" t="s">
        <v>301</v>
      </c>
      <c r="C92" s="496"/>
      <c r="D92" s="496">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498" t="s">
        <v>303</v>
      </c>
      <c r="R92" s="498"/>
      <c r="S92" s="498"/>
      <c r="T92" s="161"/>
      <c r="U92" s="162"/>
    </row>
    <row r="93" spans="1:22" ht="18" customHeight="1">
      <c r="B93" s="512"/>
      <c r="C93" s="497"/>
      <c r="D93" s="497"/>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499"/>
      <c r="R93" s="499"/>
      <c r="S93" s="499"/>
      <c r="T93" s="71"/>
      <c r="U93" s="105"/>
    </row>
    <row r="94" spans="1:22" ht="18" customHeight="1">
      <c r="B94" s="51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0">
        <f>COUNTA(Q4:Q91)</f>
        <v>0</v>
      </c>
      <c r="R94" s="502">
        <f>COUNTA(R4:R91)</f>
        <v>0</v>
      </c>
      <c r="S94" s="504">
        <f>COUNTA(S4:S91)</f>
        <v>0</v>
      </c>
      <c r="T94" s="71"/>
      <c r="U94" s="105"/>
    </row>
    <row r="95" spans="1:22" ht="18" customHeight="1" thickBot="1">
      <c r="A95" s="118"/>
      <c r="B95" s="514"/>
      <c r="C95" s="495"/>
      <c r="D95" s="495"/>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1"/>
      <c r="R95" s="503"/>
      <c r="S95" s="505"/>
      <c r="T95" s="112"/>
      <c r="U95" s="113"/>
    </row>
    <row r="96" spans="1:22" ht="24" customHeight="1"/>
  </sheetData>
  <autoFilter ref="A1:V96" xr:uid="{5DFD11E2-2AF8-4CC8-8AE1-B9C69D9A1FC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zoomScale="85" zoomScaleNormal="70" zoomScaleSheetLayoutView="85" workbookViewId="0">
      <pane ySplit="3" topLeftCell="A69" activePane="bottomLeft" state="frozen"/>
      <selection pane="bottomLeft" activeCell="J36" sqref="J36"/>
      <selection activeCell="F18" sqref="F18"/>
    </sheetView>
  </sheetViews>
  <sheetFormatPr defaultColWidth="8.7109375" defaultRowHeight="13.15" outlineLevelRow="1"/>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20.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309</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hidden="1" customHeight="1" outlineLevel="1">
      <c r="B4" s="347" t="s">
        <v>529</v>
      </c>
      <c r="C4" s="332" t="s">
        <v>530</v>
      </c>
      <c r="D4" s="327"/>
      <c r="E4" s="386">
        <f>ROW()-3</f>
        <v>1</v>
      </c>
      <c r="F4" s="387" t="s">
        <v>531</v>
      </c>
      <c r="G4" s="388" t="s">
        <v>84</v>
      </c>
      <c r="H4" s="50" t="s">
        <v>71</v>
      </c>
      <c r="I4" s="50" t="s">
        <v>71</v>
      </c>
      <c r="J4" s="50" t="s">
        <v>71</v>
      </c>
      <c r="K4" s="50" t="s">
        <v>71</v>
      </c>
      <c r="L4" s="50" t="s">
        <v>71</v>
      </c>
      <c r="M4" s="50" t="s">
        <v>71</v>
      </c>
      <c r="N4" s="50" t="s">
        <v>71</v>
      </c>
      <c r="O4" s="50" t="s">
        <v>71</v>
      </c>
      <c r="P4" s="50" t="s">
        <v>71</v>
      </c>
      <c r="Q4" s="331"/>
      <c r="R4" s="381"/>
      <c r="S4" s="382"/>
      <c r="T4" s="324"/>
      <c r="U4" s="415" t="s">
        <v>660</v>
      </c>
    </row>
    <row r="5" spans="1:22" ht="28.15" hidden="1" customHeight="1" outlineLevel="1">
      <c r="B5" s="347" t="s">
        <v>533</v>
      </c>
      <c r="C5" s="330" t="s">
        <v>534</v>
      </c>
      <c r="D5" s="327" t="s">
        <v>535</v>
      </c>
      <c r="E5" s="94">
        <f t="shared" ref="E5:E54" si="0">ROW()-3</f>
        <v>2</v>
      </c>
      <c r="F5" s="95" t="s">
        <v>536</v>
      </c>
      <c r="G5" s="96" t="s">
        <v>537</v>
      </c>
      <c r="H5" s="50" t="s">
        <v>71</v>
      </c>
      <c r="I5" s="50" t="s">
        <v>71</v>
      </c>
      <c r="J5" s="50" t="s">
        <v>71</v>
      </c>
      <c r="K5" s="50" t="s">
        <v>71</v>
      </c>
      <c r="L5" s="50" t="s">
        <v>71</v>
      </c>
      <c r="M5" s="50" t="s">
        <v>71</v>
      </c>
      <c r="N5" s="50" t="s">
        <v>71</v>
      </c>
      <c r="O5" s="50" t="s">
        <v>71</v>
      </c>
      <c r="P5" s="50" t="s">
        <v>71</v>
      </c>
      <c r="Q5" s="65"/>
      <c r="R5" s="51"/>
      <c r="S5" s="67"/>
      <c r="T5" s="324"/>
      <c r="U5" s="102"/>
    </row>
    <row r="6" spans="1:22" ht="28.15" hidden="1" customHeight="1" outlineLevel="1">
      <c r="B6" s="347"/>
      <c r="C6" s="32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65"/>
      <c r="R6" s="51"/>
      <c r="S6" s="67"/>
      <c r="T6" s="324"/>
      <c r="U6" s="328" t="s">
        <v>661</v>
      </c>
    </row>
    <row r="7" spans="1:22" ht="28.15" hidden="1" customHeight="1" outlineLevel="1">
      <c r="B7" s="347"/>
      <c r="C7" s="383"/>
      <c r="D7" s="327" t="s">
        <v>543</v>
      </c>
      <c r="E7" s="94">
        <f t="shared" si="0"/>
        <v>4</v>
      </c>
      <c r="F7" s="95" t="s">
        <v>544</v>
      </c>
      <c r="G7" s="96" t="s">
        <v>541</v>
      </c>
      <c r="H7" s="50" t="s">
        <v>71</v>
      </c>
      <c r="I7" s="50" t="s">
        <v>71</v>
      </c>
      <c r="J7" s="50" t="s">
        <v>71</v>
      </c>
      <c r="K7" s="50" t="s">
        <v>71</v>
      </c>
      <c r="L7" s="50" t="s">
        <v>71</v>
      </c>
      <c r="M7" s="50" t="s">
        <v>71</v>
      </c>
      <c r="N7" s="50" t="s">
        <v>71</v>
      </c>
      <c r="O7" s="50" t="s">
        <v>71</v>
      </c>
      <c r="P7" s="50" t="s">
        <v>71</v>
      </c>
      <c r="Q7" s="65"/>
      <c r="R7" s="51"/>
      <c r="S7" s="67"/>
      <c r="T7" s="324"/>
      <c r="U7" s="328"/>
    </row>
    <row r="8" spans="1:22" ht="26.45" hidden="1" outlineLevel="1">
      <c r="B8" s="347"/>
      <c r="C8" s="384"/>
      <c r="D8" s="327" t="s">
        <v>549</v>
      </c>
      <c r="E8" s="94">
        <f t="shared" si="0"/>
        <v>5</v>
      </c>
      <c r="F8" s="95" t="s">
        <v>546</v>
      </c>
      <c r="G8" s="96" t="s">
        <v>541</v>
      </c>
      <c r="H8" s="50" t="s">
        <v>71</v>
      </c>
      <c r="I8" s="50" t="s">
        <v>71</v>
      </c>
      <c r="J8" s="50" t="s">
        <v>71</v>
      </c>
      <c r="K8" s="50" t="s">
        <v>71</v>
      </c>
      <c r="L8" s="50" t="s">
        <v>71</v>
      </c>
      <c r="M8" s="50" t="s">
        <v>71</v>
      </c>
      <c r="N8" s="50" t="s">
        <v>71</v>
      </c>
      <c r="O8" s="50" t="s">
        <v>71</v>
      </c>
      <c r="P8" s="50" t="s">
        <v>71</v>
      </c>
      <c r="Q8" s="65"/>
      <c r="R8" s="51"/>
      <c r="S8" s="67"/>
      <c r="T8" s="324"/>
      <c r="U8" s="385"/>
    </row>
    <row r="9" spans="1:22" ht="28.15" hidden="1" customHeight="1" outlineLevel="1">
      <c r="B9" s="347"/>
      <c r="C9" s="383"/>
      <c r="D9" s="327" t="s">
        <v>580</v>
      </c>
      <c r="E9" s="94">
        <f t="shared" si="0"/>
        <v>6</v>
      </c>
      <c r="F9" s="95" t="s">
        <v>540</v>
      </c>
      <c r="G9" s="96" t="s">
        <v>541</v>
      </c>
      <c r="H9" s="50" t="s">
        <v>71</v>
      </c>
      <c r="I9" s="50" t="s">
        <v>71</v>
      </c>
      <c r="J9" s="50" t="s">
        <v>71</v>
      </c>
      <c r="K9" s="50" t="s">
        <v>71</v>
      </c>
      <c r="L9" s="50" t="s">
        <v>71</v>
      </c>
      <c r="M9" s="50" t="s">
        <v>71</v>
      </c>
      <c r="N9" s="50" t="s">
        <v>71</v>
      </c>
      <c r="O9" s="50" t="s">
        <v>71</v>
      </c>
      <c r="P9" s="50" t="s">
        <v>71</v>
      </c>
      <c r="Q9" s="65"/>
      <c r="R9" s="51"/>
      <c r="S9" s="67"/>
      <c r="T9" s="324"/>
      <c r="U9" s="328"/>
    </row>
    <row r="10" spans="1:22" ht="28.15" hidden="1" customHeight="1" outlineLevel="1">
      <c r="B10" s="347"/>
      <c r="C10" s="332"/>
      <c r="D10" s="327" t="s">
        <v>552</v>
      </c>
      <c r="E10" s="94">
        <f t="shared" si="0"/>
        <v>7</v>
      </c>
      <c r="F10" s="95" t="s">
        <v>546</v>
      </c>
      <c r="G10" s="96" t="s">
        <v>541</v>
      </c>
      <c r="H10" s="50" t="s">
        <v>71</v>
      </c>
      <c r="I10" s="50" t="s">
        <v>71</v>
      </c>
      <c r="J10" s="50" t="s">
        <v>71</v>
      </c>
      <c r="K10" s="50" t="s">
        <v>71</v>
      </c>
      <c r="L10" s="50" t="s">
        <v>71</v>
      </c>
      <c r="M10" s="50" t="s">
        <v>71</v>
      </c>
      <c r="N10" s="50" t="s">
        <v>71</v>
      </c>
      <c r="O10" s="50" t="s">
        <v>71</v>
      </c>
      <c r="P10" s="50" t="s">
        <v>71</v>
      </c>
      <c r="Q10" s="65"/>
      <c r="R10" s="51"/>
      <c r="S10" s="67"/>
      <c r="T10" s="324"/>
      <c r="U10" s="385"/>
    </row>
    <row r="11" spans="1:22" ht="28.15" hidden="1" customHeight="1" outlineLevel="1">
      <c r="B11" s="347"/>
      <c r="C11" s="322"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50" t="s">
        <v>71</v>
      </c>
      <c r="Q11" s="65"/>
      <c r="R11" s="51"/>
      <c r="S11" s="67"/>
      <c r="T11" s="324"/>
      <c r="U11" s="328" t="s">
        <v>661</v>
      </c>
      <c r="V11" s="126"/>
    </row>
    <row r="12" spans="1:22" ht="28.15" hidden="1" customHeight="1" outlineLevel="1">
      <c r="B12" s="347"/>
      <c r="C12" s="329"/>
      <c r="D12" s="327" t="s">
        <v>543</v>
      </c>
      <c r="E12" s="94">
        <f t="shared" si="0"/>
        <v>9</v>
      </c>
      <c r="F12" s="95" t="s">
        <v>564</v>
      </c>
      <c r="G12" s="96" t="s">
        <v>556</v>
      </c>
      <c r="H12" s="50" t="s">
        <v>71</v>
      </c>
      <c r="I12" s="50" t="s">
        <v>71</v>
      </c>
      <c r="J12" s="50" t="s">
        <v>71</v>
      </c>
      <c r="K12" s="50" t="s">
        <v>71</v>
      </c>
      <c r="L12" s="50" t="s">
        <v>71</v>
      </c>
      <c r="M12" s="50" t="s">
        <v>71</v>
      </c>
      <c r="N12" s="50" t="s">
        <v>71</v>
      </c>
      <c r="O12" s="50" t="s">
        <v>71</v>
      </c>
      <c r="P12" s="50" t="s">
        <v>71</v>
      </c>
      <c r="Q12" s="65"/>
      <c r="R12" s="51"/>
      <c r="S12" s="67"/>
      <c r="T12" s="324"/>
      <c r="U12" s="102"/>
    </row>
    <row r="13" spans="1:22" ht="28.9" hidden="1" customHeight="1" outlineLevel="1">
      <c r="B13" s="347"/>
      <c r="C13" s="332"/>
      <c r="D13" s="327" t="s">
        <v>549</v>
      </c>
      <c r="E13" s="94">
        <f t="shared" si="0"/>
        <v>10</v>
      </c>
      <c r="F13" s="95" t="s">
        <v>562</v>
      </c>
      <c r="G13" s="96" t="s">
        <v>556</v>
      </c>
      <c r="H13" s="50" t="s">
        <v>71</v>
      </c>
      <c r="I13" s="50" t="s">
        <v>71</v>
      </c>
      <c r="J13" s="50" t="s">
        <v>71</v>
      </c>
      <c r="K13" s="50" t="s">
        <v>71</v>
      </c>
      <c r="L13" s="50" t="s">
        <v>71</v>
      </c>
      <c r="M13" s="50" t="s">
        <v>71</v>
      </c>
      <c r="N13" s="50" t="s">
        <v>71</v>
      </c>
      <c r="O13" s="50" t="s">
        <v>71</v>
      </c>
      <c r="P13" s="50" t="s">
        <v>71</v>
      </c>
      <c r="Q13" s="65"/>
      <c r="R13" s="51"/>
      <c r="S13" s="67"/>
      <c r="T13" s="324"/>
      <c r="U13" s="102"/>
    </row>
    <row r="14" spans="1:22" ht="28.15" hidden="1" customHeight="1" outlineLevel="1">
      <c r="B14" s="347"/>
      <c r="C14" s="329"/>
      <c r="D14" s="327" t="s">
        <v>580</v>
      </c>
      <c r="E14" s="94">
        <f t="shared" si="0"/>
        <v>11</v>
      </c>
      <c r="F14" s="95" t="s">
        <v>555</v>
      </c>
      <c r="G14" s="96" t="s">
        <v>556</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15" hidden="1" customHeight="1" outlineLevel="1">
      <c r="B15" s="347"/>
      <c r="C15" s="329"/>
      <c r="D15" s="327" t="s">
        <v>552</v>
      </c>
      <c r="E15" s="94">
        <f t="shared" si="0"/>
        <v>12</v>
      </c>
      <c r="F15" s="95" t="s">
        <v>562</v>
      </c>
      <c r="G15" s="96" t="s">
        <v>556</v>
      </c>
      <c r="H15" s="50" t="s">
        <v>71</v>
      </c>
      <c r="I15" s="50" t="s">
        <v>71</v>
      </c>
      <c r="J15" s="50" t="s">
        <v>71</v>
      </c>
      <c r="K15" s="50" t="s">
        <v>71</v>
      </c>
      <c r="L15" s="50" t="s">
        <v>71</v>
      </c>
      <c r="M15" s="50" t="s">
        <v>71</v>
      </c>
      <c r="N15" s="50" t="s">
        <v>71</v>
      </c>
      <c r="O15" s="50" t="s">
        <v>71</v>
      </c>
      <c r="P15" s="50" t="s">
        <v>71</v>
      </c>
      <c r="Q15" s="65"/>
      <c r="R15" s="51"/>
      <c r="S15" s="67"/>
      <c r="T15" s="324"/>
      <c r="U15" s="102"/>
    </row>
    <row r="16" spans="1:22" ht="28.15" hidden="1" customHeight="1" outlineLevel="1">
      <c r="B16" s="347"/>
      <c r="C16" s="322" t="s">
        <v>566</v>
      </c>
      <c r="D16" s="329" t="s">
        <v>567</v>
      </c>
      <c r="E16" s="94">
        <f t="shared" si="0"/>
        <v>13</v>
      </c>
      <c r="F16" s="95" t="s">
        <v>568</v>
      </c>
      <c r="G16" s="96" t="s">
        <v>569</v>
      </c>
      <c r="H16" s="50" t="s">
        <v>71</v>
      </c>
      <c r="I16" s="50" t="s">
        <v>71</v>
      </c>
      <c r="J16" s="50" t="s">
        <v>71</v>
      </c>
      <c r="K16" s="50" t="s">
        <v>71</v>
      </c>
      <c r="L16" s="50" t="s">
        <v>71</v>
      </c>
      <c r="M16" s="50" t="s">
        <v>71</v>
      </c>
      <c r="N16" s="50" t="s">
        <v>71</v>
      </c>
      <c r="O16" s="50" t="s">
        <v>71</v>
      </c>
      <c r="P16" s="50" t="s">
        <v>71</v>
      </c>
      <c r="Q16" s="65"/>
      <c r="R16" s="51"/>
      <c r="S16" s="67"/>
      <c r="T16" s="324"/>
      <c r="U16" s="102"/>
    </row>
    <row r="17" spans="2:22" ht="28.15" hidden="1" customHeight="1" outlineLevel="1">
      <c r="B17" s="347"/>
      <c r="C17" s="329"/>
      <c r="D17" s="329"/>
      <c r="E17" s="94">
        <f t="shared" si="0"/>
        <v>14</v>
      </c>
      <c r="F17" s="95" t="s">
        <v>570</v>
      </c>
      <c r="G17" s="96" t="s">
        <v>569</v>
      </c>
      <c r="H17" s="50" t="s">
        <v>71</v>
      </c>
      <c r="I17" s="50" t="s">
        <v>71</v>
      </c>
      <c r="J17" s="50" t="s">
        <v>71</v>
      </c>
      <c r="K17" s="50" t="s">
        <v>71</v>
      </c>
      <c r="L17" s="50" t="s">
        <v>71</v>
      </c>
      <c r="M17" s="50" t="s">
        <v>71</v>
      </c>
      <c r="N17" s="50" t="s">
        <v>71</v>
      </c>
      <c r="O17" s="50" t="s">
        <v>71</v>
      </c>
      <c r="P17" s="50" t="s">
        <v>71</v>
      </c>
      <c r="Q17" s="65"/>
      <c r="R17" s="51"/>
      <c r="S17" s="67"/>
      <c r="T17" s="324"/>
      <c r="U17" s="102"/>
    </row>
    <row r="18" spans="2:22" ht="28.15" hidden="1" customHeight="1" outlineLevel="1">
      <c r="B18" s="347"/>
      <c r="C18" s="329"/>
      <c r="D18" s="327"/>
      <c r="E18" s="94">
        <f t="shared" si="0"/>
        <v>15</v>
      </c>
      <c r="F18" s="95" t="s">
        <v>571</v>
      </c>
      <c r="G18" s="96" t="s">
        <v>569</v>
      </c>
      <c r="H18" s="50" t="s">
        <v>71</v>
      </c>
      <c r="I18" s="50" t="s">
        <v>71</v>
      </c>
      <c r="J18" s="50" t="s">
        <v>71</v>
      </c>
      <c r="K18" s="50" t="s">
        <v>71</v>
      </c>
      <c r="L18" s="50" t="s">
        <v>71</v>
      </c>
      <c r="M18" s="50" t="s">
        <v>71</v>
      </c>
      <c r="N18" s="50" t="s">
        <v>71</v>
      </c>
      <c r="O18" s="50" t="s">
        <v>71</v>
      </c>
      <c r="P18" s="50" t="s">
        <v>71</v>
      </c>
      <c r="Q18" s="65"/>
      <c r="R18" s="51"/>
      <c r="S18" s="67"/>
      <c r="T18" s="324"/>
      <c r="U18" s="328" t="s">
        <v>662</v>
      </c>
    </row>
    <row r="19" spans="2:22" ht="28.15" hidden="1" customHeight="1" outlineLevel="1">
      <c r="B19" s="347"/>
      <c r="C19" s="332"/>
      <c r="D19" s="329" t="s">
        <v>572</v>
      </c>
      <c r="E19" s="94">
        <f t="shared" si="0"/>
        <v>16</v>
      </c>
      <c r="F19" s="95" t="s">
        <v>573</v>
      </c>
      <c r="G19" s="96" t="s">
        <v>569</v>
      </c>
      <c r="H19" s="50" t="s">
        <v>71</v>
      </c>
      <c r="I19" s="50" t="s">
        <v>71</v>
      </c>
      <c r="J19" s="50" t="s">
        <v>71</v>
      </c>
      <c r="K19" s="50" t="s">
        <v>71</v>
      </c>
      <c r="L19" s="50" t="s">
        <v>71</v>
      </c>
      <c r="M19" s="50" t="s">
        <v>71</v>
      </c>
      <c r="N19" s="50" t="s">
        <v>71</v>
      </c>
      <c r="O19" s="50" t="s">
        <v>71</v>
      </c>
      <c r="P19" s="50" t="s">
        <v>71</v>
      </c>
      <c r="Q19" s="65"/>
      <c r="R19" s="51"/>
      <c r="S19" s="67"/>
      <c r="T19" s="324"/>
      <c r="U19" s="328"/>
    </row>
    <row r="20" spans="2:22" ht="28.15" hidden="1" customHeight="1" outlineLevel="1">
      <c r="B20" s="347"/>
      <c r="C20" s="329"/>
      <c r="D20" s="329"/>
      <c r="E20" s="94">
        <f t="shared" si="0"/>
        <v>17</v>
      </c>
      <c r="F20" s="95" t="s">
        <v>574</v>
      </c>
      <c r="G20" s="96" t="s">
        <v>569</v>
      </c>
      <c r="H20" s="50" t="s">
        <v>71</v>
      </c>
      <c r="I20" s="50" t="s">
        <v>71</v>
      </c>
      <c r="J20" s="50" t="s">
        <v>71</v>
      </c>
      <c r="K20" s="50" t="s">
        <v>71</v>
      </c>
      <c r="L20" s="50" t="s">
        <v>71</v>
      </c>
      <c r="M20" s="50" t="s">
        <v>71</v>
      </c>
      <c r="N20" s="50" t="s">
        <v>71</v>
      </c>
      <c r="O20" s="50" t="s">
        <v>71</v>
      </c>
      <c r="P20" s="50" t="s">
        <v>71</v>
      </c>
      <c r="Q20" s="65"/>
      <c r="R20" s="51"/>
      <c r="S20" s="67"/>
      <c r="T20" s="324"/>
      <c r="U20" s="328"/>
    </row>
    <row r="21" spans="2:22" ht="28.15" hidden="1" customHeight="1" outlineLevel="1">
      <c r="B21" s="347"/>
      <c r="C21" s="329"/>
      <c r="D21" s="329"/>
      <c r="E21" s="94">
        <f t="shared" si="0"/>
        <v>18</v>
      </c>
      <c r="F21" s="95" t="s">
        <v>576</v>
      </c>
      <c r="G21" s="96" t="s">
        <v>569</v>
      </c>
      <c r="H21" s="50" t="s">
        <v>71</v>
      </c>
      <c r="I21" s="50" t="s">
        <v>71</v>
      </c>
      <c r="J21" s="50" t="s">
        <v>71</v>
      </c>
      <c r="K21" s="50" t="s">
        <v>71</v>
      </c>
      <c r="L21" s="50" t="s">
        <v>71</v>
      </c>
      <c r="M21" s="50" t="s">
        <v>71</v>
      </c>
      <c r="N21" s="50" t="s">
        <v>71</v>
      </c>
      <c r="O21" s="50" t="s">
        <v>71</v>
      </c>
      <c r="P21" s="50" t="s">
        <v>71</v>
      </c>
      <c r="Q21" s="65"/>
      <c r="R21" s="51"/>
      <c r="S21" s="67"/>
      <c r="T21" s="324"/>
      <c r="U21" s="328" t="s">
        <v>662</v>
      </c>
    </row>
    <row r="22" spans="2:22" ht="28.15" hidden="1" customHeight="1" outlineLevel="1">
      <c r="B22" s="390" t="s">
        <v>577</v>
      </c>
      <c r="C22" s="330" t="s">
        <v>534</v>
      </c>
      <c r="D22" s="330" t="s">
        <v>535</v>
      </c>
      <c r="E22" s="94">
        <f t="shared" si="0"/>
        <v>19</v>
      </c>
      <c r="F22" s="95" t="s">
        <v>536</v>
      </c>
      <c r="G22" s="96" t="s">
        <v>537</v>
      </c>
      <c r="H22" s="50" t="s">
        <v>71</v>
      </c>
      <c r="I22" s="50" t="s">
        <v>71</v>
      </c>
      <c r="J22" s="50" t="s">
        <v>71</v>
      </c>
      <c r="K22" s="50" t="s">
        <v>71</v>
      </c>
      <c r="L22" s="50" t="s">
        <v>71</v>
      </c>
      <c r="M22" s="50" t="s">
        <v>71</v>
      </c>
      <c r="N22" s="50" t="s">
        <v>71</v>
      </c>
      <c r="O22" s="50" t="s">
        <v>71</v>
      </c>
      <c r="P22" s="50" t="s">
        <v>71</v>
      </c>
      <c r="Q22" s="65"/>
      <c r="R22" s="51"/>
      <c r="S22" s="67"/>
      <c r="T22" s="324"/>
      <c r="U22" s="102"/>
    </row>
    <row r="23" spans="2:22" ht="28.15" hidden="1" customHeight="1" outlineLevel="1">
      <c r="B23" s="347"/>
      <c r="C23" s="32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8.15" hidden="1" customHeight="1" outlineLevel="1">
      <c r="B24" s="347"/>
      <c r="C24" s="332"/>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row>
    <row r="25" spans="2:22" ht="26.45" hidden="1" outlineLevel="1">
      <c r="B25" s="347"/>
      <c r="C25" s="384"/>
      <c r="D25" s="327" t="s">
        <v>549</v>
      </c>
      <c r="E25" s="94">
        <f t="shared" si="0"/>
        <v>22</v>
      </c>
      <c r="F25" s="95" t="s">
        <v>546</v>
      </c>
      <c r="G25" s="96" t="s">
        <v>578</v>
      </c>
      <c r="H25" s="50" t="s">
        <v>71</v>
      </c>
      <c r="I25" s="50" t="s">
        <v>71</v>
      </c>
      <c r="J25" s="50" t="s">
        <v>71</v>
      </c>
      <c r="K25" s="50" t="s">
        <v>71</v>
      </c>
      <c r="L25" s="50" t="s">
        <v>71</v>
      </c>
      <c r="M25" s="50" t="s">
        <v>71</v>
      </c>
      <c r="N25" s="50" t="s">
        <v>71</v>
      </c>
      <c r="O25" s="50" t="s">
        <v>71</v>
      </c>
      <c r="P25" s="50" t="s">
        <v>71</v>
      </c>
      <c r="Q25" s="65"/>
      <c r="R25" s="51"/>
      <c r="S25" s="67"/>
      <c r="T25" s="324"/>
      <c r="U25" s="102"/>
    </row>
    <row r="26" spans="2:22" ht="28.15" hidden="1" customHeight="1" outlineLevel="1">
      <c r="B26" s="347"/>
      <c r="C26" s="383"/>
      <c r="D26" s="327" t="s">
        <v>580</v>
      </c>
      <c r="E26" s="94">
        <f t="shared" si="0"/>
        <v>23</v>
      </c>
      <c r="F26" s="95" t="s">
        <v>540</v>
      </c>
      <c r="G26" s="96" t="s">
        <v>578</v>
      </c>
      <c r="H26" s="50" t="s">
        <v>71</v>
      </c>
      <c r="I26" s="50" t="s">
        <v>71</v>
      </c>
      <c r="J26" s="50" t="s">
        <v>71</v>
      </c>
      <c r="K26" s="50" t="s">
        <v>71</v>
      </c>
      <c r="L26" s="50" t="s">
        <v>71</v>
      </c>
      <c r="M26" s="50" t="s">
        <v>71</v>
      </c>
      <c r="N26" s="50" t="s">
        <v>71</v>
      </c>
      <c r="O26" s="50" t="s">
        <v>71</v>
      </c>
      <c r="P26" s="50" t="s">
        <v>71</v>
      </c>
      <c r="Q26" s="65"/>
      <c r="R26" s="51"/>
      <c r="S26" s="67"/>
      <c r="T26" s="324"/>
      <c r="U26" s="328"/>
    </row>
    <row r="27" spans="2:22" ht="28.15" hidden="1" customHeight="1" outlineLevel="1">
      <c r="B27" s="347"/>
      <c r="C27" s="332"/>
      <c r="D27" s="327" t="s">
        <v>552</v>
      </c>
      <c r="E27" s="94">
        <f t="shared" si="0"/>
        <v>24</v>
      </c>
      <c r="F27" s="95" t="s">
        <v>546</v>
      </c>
      <c r="G27" s="96" t="s">
        <v>578</v>
      </c>
      <c r="H27" s="50" t="s">
        <v>71</v>
      </c>
      <c r="I27" s="50" t="s">
        <v>71</v>
      </c>
      <c r="J27" s="50" t="s">
        <v>71</v>
      </c>
      <c r="K27" s="50" t="s">
        <v>71</v>
      </c>
      <c r="L27" s="50" t="s">
        <v>71</v>
      </c>
      <c r="M27" s="50" t="s">
        <v>71</v>
      </c>
      <c r="N27" s="50" t="s">
        <v>71</v>
      </c>
      <c r="O27" s="50" t="s">
        <v>71</v>
      </c>
      <c r="P27" s="50" t="s">
        <v>71</v>
      </c>
      <c r="Q27" s="65"/>
      <c r="R27" s="51"/>
      <c r="S27" s="67"/>
      <c r="T27" s="324"/>
      <c r="U27" s="328"/>
    </row>
    <row r="28" spans="2:22" ht="28.15" hidden="1" customHeight="1" outlineLevel="1">
      <c r="B28" s="347"/>
      <c r="C28" s="322"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hidden="1" outlineLevel="1">
      <c r="B29" s="347"/>
      <c r="C29" s="32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65"/>
      <c r="R29" s="51"/>
      <c r="S29" s="67"/>
      <c r="T29" s="324"/>
      <c r="U29" s="328"/>
    </row>
    <row r="30" spans="2:22" ht="28.15" hidden="1" customHeight="1" outlineLevel="1">
      <c r="B30" s="347"/>
      <c r="C30" s="329"/>
      <c r="D30" s="329" t="s">
        <v>561</v>
      </c>
      <c r="E30" s="94">
        <f t="shared" si="0"/>
        <v>27</v>
      </c>
      <c r="F30" s="95" t="s">
        <v>562</v>
      </c>
      <c r="G30" s="96" t="s">
        <v>581</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 hidden="1" customHeight="1" outlineLevel="1">
      <c r="B31" s="347"/>
      <c r="C31" s="332"/>
      <c r="D31" s="330" t="s">
        <v>565</v>
      </c>
      <c r="E31" s="94">
        <f t="shared" si="0"/>
        <v>28</v>
      </c>
      <c r="F31" s="95" t="s">
        <v>562</v>
      </c>
      <c r="G31" s="96" t="s">
        <v>581</v>
      </c>
      <c r="H31" s="50" t="s">
        <v>71</v>
      </c>
      <c r="I31" s="50" t="s">
        <v>71</v>
      </c>
      <c r="J31" s="50" t="s">
        <v>71</v>
      </c>
      <c r="K31" s="50" t="s">
        <v>71</v>
      </c>
      <c r="L31" s="50" t="s">
        <v>71</v>
      </c>
      <c r="M31" s="50" t="s">
        <v>71</v>
      </c>
      <c r="N31" s="50" t="s">
        <v>71</v>
      </c>
      <c r="O31" s="50" t="s">
        <v>71</v>
      </c>
      <c r="P31" s="50" t="s">
        <v>71</v>
      </c>
      <c r="Q31" s="65"/>
      <c r="R31" s="51"/>
      <c r="S31" s="67"/>
      <c r="T31" s="324"/>
      <c r="U31" s="328"/>
    </row>
    <row r="32" spans="2:22" ht="28.15" hidden="1" customHeight="1" outlineLevel="1">
      <c r="B32" s="347"/>
      <c r="C32" s="322" t="s">
        <v>566</v>
      </c>
      <c r="D32" s="329" t="s">
        <v>567</v>
      </c>
      <c r="E32" s="94">
        <f t="shared" si="0"/>
        <v>29</v>
      </c>
      <c r="F32" s="95" t="s">
        <v>568</v>
      </c>
      <c r="G32" s="96" t="s">
        <v>582</v>
      </c>
      <c r="H32" s="50" t="s">
        <v>71</v>
      </c>
      <c r="I32" s="50" t="s">
        <v>71</v>
      </c>
      <c r="J32" s="50" t="s">
        <v>71</v>
      </c>
      <c r="K32" s="50" t="s">
        <v>71</v>
      </c>
      <c r="L32" s="50" t="s">
        <v>71</v>
      </c>
      <c r="M32" s="50" t="s">
        <v>71</v>
      </c>
      <c r="N32" s="50" t="s">
        <v>71</v>
      </c>
      <c r="O32" s="50" t="s">
        <v>71</v>
      </c>
      <c r="P32" s="50" t="s">
        <v>71</v>
      </c>
      <c r="Q32" s="65"/>
      <c r="R32" s="51"/>
      <c r="S32" s="67"/>
      <c r="T32" s="324"/>
      <c r="U32" s="328"/>
    </row>
    <row r="33" spans="2:22" ht="28.15" hidden="1" customHeight="1" outlineLevel="1">
      <c r="B33" s="347"/>
      <c r="C33" s="329"/>
      <c r="D33" s="329"/>
      <c r="E33" s="94">
        <f t="shared" si="0"/>
        <v>30</v>
      </c>
      <c r="F33" s="95" t="s">
        <v>570</v>
      </c>
      <c r="G33" s="96" t="s">
        <v>582</v>
      </c>
      <c r="H33" s="50" t="s">
        <v>71</v>
      </c>
      <c r="I33" s="50" t="s">
        <v>71</v>
      </c>
      <c r="J33" s="50" t="s">
        <v>71</v>
      </c>
      <c r="K33" s="50" t="s">
        <v>71</v>
      </c>
      <c r="L33" s="50" t="s">
        <v>71</v>
      </c>
      <c r="M33" s="50" t="s">
        <v>71</v>
      </c>
      <c r="N33" s="50" t="s">
        <v>71</v>
      </c>
      <c r="O33" s="50" t="s">
        <v>71</v>
      </c>
      <c r="P33" s="50" t="s">
        <v>71</v>
      </c>
      <c r="Q33" s="65"/>
      <c r="R33" s="51"/>
      <c r="S33" s="67"/>
      <c r="T33" s="324"/>
      <c r="U33" s="328"/>
    </row>
    <row r="34" spans="2:22" ht="26.45" hidden="1" outlineLevel="1">
      <c r="B34" s="347"/>
      <c r="C34" s="332"/>
      <c r="D34" s="389" t="s">
        <v>572</v>
      </c>
      <c r="E34" s="94">
        <f t="shared" si="0"/>
        <v>31</v>
      </c>
      <c r="F34" s="95" t="s">
        <v>574</v>
      </c>
      <c r="G34" s="96" t="s">
        <v>582</v>
      </c>
      <c r="H34" s="50" t="s">
        <v>71</v>
      </c>
      <c r="I34" s="50" t="s">
        <v>71</v>
      </c>
      <c r="J34" s="50" t="s">
        <v>71</v>
      </c>
      <c r="K34" s="50" t="s">
        <v>71</v>
      </c>
      <c r="L34" s="50" t="s">
        <v>71</v>
      </c>
      <c r="M34" s="50" t="s">
        <v>71</v>
      </c>
      <c r="N34" s="50" t="s">
        <v>71</v>
      </c>
      <c r="O34" s="50" t="s">
        <v>71</v>
      </c>
      <c r="P34" s="50" t="s">
        <v>71</v>
      </c>
      <c r="Q34" s="65"/>
      <c r="R34" s="51"/>
      <c r="S34" s="67"/>
      <c r="T34" s="324"/>
      <c r="U34" s="328" t="s">
        <v>663</v>
      </c>
    </row>
    <row r="35" spans="2:22" ht="28.15" hidden="1" customHeight="1" outlineLevel="1">
      <c r="B35" s="347"/>
      <c r="C35" s="329"/>
      <c r="D35" s="329"/>
      <c r="E35" s="94">
        <f t="shared" si="0"/>
        <v>32</v>
      </c>
      <c r="F35" s="95" t="s">
        <v>576</v>
      </c>
      <c r="G35" s="96" t="s">
        <v>582</v>
      </c>
      <c r="H35" s="50" t="s">
        <v>71</v>
      </c>
      <c r="I35" s="50" t="s">
        <v>71</v>
      </c>
      <c r="J35" s="50" t="s">
        <v>71</v>
      </c>
      <c r="K35" s="50" t="s">
        <v>71</v>
      </c>
      <c r="L35" s="50" t="s">
        <v>71</v>
      </c>
      <c r="M35" s="50" t="s">
        <v>71</v>
      </c>
      <c r="N35" s="50" t="s">
        <v>71</v>
      </c>
      <c r="O35" s="50" t="s">
        <v>71</v>
      </c>
      <c r="P35" s="63" t="s">
        <v>71</v>
      </c>
      <c r="Q35" s="65"/>
      <c r="R35" s="51"/>
      <c r="S35" s="67"/>
      <c r="T35" s="324"/>
      <c r="U35" s="328" t="s">
        <v>664</v>
      </c>
    </row>
    <row r="36" spans="2:22" ht="28.15" customHeight="1" collapsed="1">
      <c r="B36" s="125" t="s">
        <v>585</v>
      </c>
      <c r="C36" s="270" t="s">
        <v>530</v>
      </c>
      <c r="D36" s="235"/>
      <c r="E36" s="233">
        <f t="shared" si="0"/>
        <v>33</v>
      </c>
      <c r="F36" s="97" t="s">
        <v>586</v>
      </c>
      <c r="G36" s="91" t="s">
        <v>587</v>
      </c>
      <c r="H36" s="78" t="s">
        <v>72</v>
      </c>
      <c r="I36" s="48" t="s">
        <v>71</v>
      </c>
      <c r="J36" s="48" t="s">
        <v>71</v>
      </c>
      <c r="K36" s="78" t="s">
        <v>72</v>
      </c>
      <c r="L36" s="78" t="s">
        <v>72</v>
      </c>
      <c r="M36" s="78" t="s">
        <v>72</v>
      </c>
      <c r="N36" s="78" t="s">
        <v>71</v>
      </c>
      <c r="O36" s="78" t="s">
        <v>72</v>
      </c>
      <c r="P36" s="62" t="s">
        <v>71</v>
      </c>
      <c r="Q36" s="64"/>
      <c r="R36" s="49"/>
      <c r="S36" s="66"/>
      <c r="T36" s="85"/>
      <c r="U36" s="100"/>
    </row>
    <row r="37" spans="2:22" ht="28.15" customHeight="1">
      <c r="B37" s="122"/>
      <c r="C37" s="271" t="s">
        <v>588</v>
      </c>
      <c r="D37" s="333" t="s">
        <v>589</v>
      </c>
      <c r="E37" s="94">
        <f t="shared" si="0"/>
        <v>34</v>
      </c>
      <c r="F37" s="95" t="s">
        <v>536</v>
      </c>
      <c r="G37" s="96" t="s">
        <v>590</v>
      </c>
      <c r="H37" s="50" t="s">
        <v>71</v>
      </c>
      <c r="I37" s="50" t="s">
        <v>71</v>
      </c>
      <c r="J37" s="50" t="s">
        <v>71</v>
      </c>
      <c r="K37" s="50" t="s">
        <v>71</v>
      </c>
      <c r="L37" s="50" t="s">
        <v>71</v>
      </c>
      <c r="M37" s="50" t="s">
        <v>71</v>
      </c>
      <c r="N37" s="50" t="s">
        <v>71</v>
      </c>
      <c r="O37" s="50" t="s">
        <v>71</v>
      </c>
      <c r="P37" s="50" t="s">
        <v>71</v>
      </c>
      <c r="Q37" s="65"/>
      <c r="R37" s="51"/>
      <c r="S37" s="67"/>
      <c r="T37" s="324"/>
      <c r="U37" s="102"/>
    </row>
    <row r="38" spans="2:22" ht="28.15" customHeight="1">
      <c r="B38" s="122"/>
      <c r="C38" s="269"/>
      <c r="D38" s="232" t="s">
        <v>591</v>
      </c>
      <c r="E38" s="233">
        <f t="shared" si="0"/>
        <v>35</v>
      </c>
      <c r="F38" s="97" t="s">
        <v>592</v>
      </c>
      <c r="G38" s="91" t="s">
        <v>590</v>
      </c>
      <c r="H38" s="78" t="s">
        <v>72</v>
      </c>
      <c r="I38" s="48" t="s">
        <v>71</v>
      </c>
      <c r="J38" s="48" t="s">
        <v>71</v>
      </c>
      <c r="K38" s="78" t="s">
        <v>71</v>
      </c>
      <c r="L38" s="78" t="s">
        <v>72</v>
      </c>
      <c r="M38" s="78" t="s">
        <v>72</v>
      </c>
      <c r="N38" s="78" t="s">
        <v>71</v>
      </c>
      <c r="O38" s="78" t="s">
        <v>72</v>
      </c>
      <c r="P38" s="345" t="s">
        <v>71</v>
      </c>
      <c r="Q38" s="64"/>
      <c r="R38" s="49"/>
      <c r="S38" s="66"/>
      <c r="T38" s="85"/>
      <c r="U38" s="343"/>
    </row>
    <row r="39" spans="2:22" ht="28.15" customHeight="1">
      <c r="B39" s="122"/>
      <c r="C39" s="123"/>
      <c r="D39" s="232" t="s">
        <v>593</v>
      </c>
      <c r="E39" s="233">
        <f t="shared" si="0"/>
        <v>36</v>
      </c>
      <c r="F39" s="97" t="s">
        <v>594</v>
      </c>
      <c r="G39" s="91" t="s">
        <v>590</v>
      </c>
      <c r="H39" s="78" t="s">
        <v>72</v>
      </c>
      <c r="I39" s="48" t="s">
        <v>71</v>
      </c>
      <c r="J39" s="48" t="s">
        <v>71</v>
      </c>
      <c r="K39" s="78" t="s">
        <v>71</v>
      </c>
      <c r="L39" s="78" t="s">
        <v>72</v>
      </c>
      <c r="M39" s="78" t="s">
        <v>72</v>
      </c>
      <c r="N39" s="78" t="s">
        <v>71</v>
      </c>
      <c r="O39" s="78" t="s">
        <v>72</v>
      </c>
      <c r="P39" s="345" t="s">
        <v>71</v>
      </c>
      <c r="Q39" s="64"/>
      <c r="R39" s="49"/>
      <c r="S39" s="66"/>
      <c r="T39" s="85"/>
      <c r="U39" s="343"/>
    </row>
    <row r="40" spans="2:22" ht="28.15" customHeight="1">
      <c r="B40" s="122"/>
      <c r="C40" s="272" t="s">
        <v>595</v>
      </c>
      <c r="D40" s="333" t="s">
        <v>589</v>
      </c>
      <c r="E40" s="94">
        <f t="shared" si="0"/>
        <v>37</v>
      </c>
      <c r="F40" s="95" t="s">
        <v>536</v>
      </c>
      <c r="G40" s="96" t="s">
        <v>596</v>
      </c>
      <c r="H40" s="50" t="s">
        <v>71</v>
      </c>
      <c r="I40" s="50" t="s">
        <v>71</v>
      </c>
      <c r="J40" s="50" t="s">
        <v>71</v>
      </c>
      <c r="K40" s="50" t="s">
        <v>71</v>
      </c>
      <c r="L40" s="50" t="s">
        <v>71</v>
      </c>
      <c r="M40" s="50" t="s">
        <v>71</v>
      </c>
      <c r="N40" s="50" t="s">
        <v>71</v>
      </c>
      <c r="O40" s="50" t="s">
        <v>71</v>
      </c>
      <c r="P40" s="50" t="s">
        <v>71</v>
      </c>
      <c r="Q40" s="65"/>
      <c r="R40" s="51"/>
      <c r="S40" s="67"/>
      <c r="T40" s="324"/>
      <c r="U40" s="102"/>
    </row>
    <row r="41" spans="2:22" ht="28.15" customHeight="1">
      <c r="B41" s="122"/>
      <c r="C41" s="123"/>
      <c r="D41" s="232" t="s">
        <v>591</v>
      </c>
      <c r="E41" s="233">
        <f t="shared" si="0"/>
        <v>38</v>
      </c>
      <c r="F41" s="97" t="s">
        <v>592</v>
      </c>
      <c r="G41" s="91" t="s">
        <v>596</v>
      </c>
      <c r="H41" s="78" t="s">
        <v>72</v>
      </c>
      <c r="I41" s="48" t="s">
        <v>71</v>
      </c>
      <c r="J41" s="48" t="s">
        <v>71</v>
      </c>
      <c r="K41" s="78" t="s">
        <v>71</v>
      </c>
      <c r="L41" s="78" t="s">
        <v>72</v>
      </c>
      <c r="M41" s="78" t="s">
        <v>72</v>
      </c>
      <c r="N41" s="78" t="s">
        <v>71</v>
      </c>
      <c r="O41" s="78" t="s">
        <v>72</v>
      </c>
      <c r="P41" s="62" t="s">
        <v>71</v>
      </c>
      <c r="Q41" s="64"/>
      <c r="R41" s="49"/>
      <c r="S41" s="66"/>
      <c r="T41" s="85"/>
      <c r="U41" s="100"/>
    </row>
    <row r="42" spans="2:22" ht="28.15" customHeight="1">
      <c r="B42" s="122"/>
      <c r="C42" s="123"/>
      <c r="D42" s="232" t="s">
        <v>593</v>
      </c>
      <c r="E42" s="233">
        <f t="shared" si="0"/>
        <v>39</v>
      </c>
      <c r="F42" s="97" t="s">
        <v>594</v>
      </c>
      <c r="G42" s="91" t="s">
        <v>596</v>
      </c>
      <c r="H42" s="78" t="s">
        <v>72</v>
      </c>
      <c r="I42" s="48" t="s">
        <v>71</v>
      </c>
      <c r="J42" s="48" t="s">
        <v>71</v>
      </c>
      <c r="K42" s="78" t="s">
        <v>71</v>
      </c>
      <c r="L42" s="78" t="s">
        <v>72</v>
      </c>
      <c r="M42" s="78" t="s">
        <v>72</v>
      </c>
      <c r="N42" s="78" t="s">
        <v>71</v>
      </c>
      <c r="O42" s="78" t="s">
        <v>72</v>
      </c>
      <c r="P42" s="62" t="s">
        <v>71</v>
      </c>
      <c r="Q42" s="64"/>
      <c r="R42" s="49"/>
      <c r="S42" s="66"/>
      <c r="T42" s="85"/>
      <c r="U42" s="101"/>
      <c r="V42" s="126"/>
    </row>
    <row r="43" spans="2:22" ht="28.15" customHeight="1">
      <c r="B43" s="122"/>
      <c r="C43" s="272" t="s">
        <v>597</v>
      </c>
      <c r="D43" s="333" t="s">
        <v>589</v>
      </c>
      <c r="E43" s="94">
        <f t="shared" si="0"/>
        <v>40</v>
      </c>
      <c r="F43" s="95" t="s">
        <v>536</v>
      </c>
      <c r="G43" s="96" t="s">
        <v>598</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15" customHeight="1">
      <c r="B44" s="122"/>
      <c r="C44" s="123"/>
      <c r="D44" s="232" t="s">
        <v>591</v>
      </c>
      <c r="E44" s="233">
        <f t="shared" si="0"/>
        <v>41</v>
      </c>
      <c r="F44" s="97" t="s">
        <v>592</v>
      </c>
      <c r="G44" s="91" t="s">
        <v>598</v>
      </c>
      <c r="H44" s="78" t="s">
        <v>72</v>
      </c>
      <c r="I44" s="48" t="s">
        <v>71</v>
      </c>
      <c r="J44" s="48" t="s">
        <v>71</v>
      </c>
      <c r="K44" s="78" t="s">
        <v>71</v>
      </c>
      <c r="L44" s="78" t="s">
        <v>72</v>
      </c>
      <c r="M44" s="78" t="s">
        <v>72</v>
      </c>
      <c r="N44" s="78" t="s">
        <v>71</v>
      </c>
      <c r="O44" s="78" t="s">
        <v>72</v>
      </c>
      <c r="P44" s="62" t="s">
        <v>71</v>
      </c>
      <c r="Q44" s="64"/>
      <c r="R44" s="49"/>
      <c r="S44" s="66"/>
      <c r="T44" s="85"/>
      <c r="U44" s="101"/>
      <c r="V44" s="126"/>
    </row>
    <row r="45" spans="2:22" ht="28.15" customHeight="1">
      <c r="B45" s="122"/>
      <c r="C45" s="123"/>
      <c r="D45" s="232" t="s">
        <v>593</v>
      </c>
      <c r="E45" s="233">
        <f t="shared" si="0"/>
        <v>42</v>
      </c>
      <c r="F45" s="97" t="s">
        <v>594</v>
      </c>
      <c r="G45" s="91" t="s">
        <v>598</v>
      </c>
      <c r="H45" s="78" t="s">
        <v>72</v>
      </c>
      <c r="I45" s="48" t="s">
        <v>71</v>
      </c>
      <c r="J45" s="48" t="s">
        <v>71</v>
      </c>
      <c r="K45" s="78" t="s">
        <v>71</v>
      </c>
      <c r="L45" s="78" t="s">
        <v>72</v>
      </c>
      <c r="M45" s="78" t="s">
        <v>72</v>
      </c>
      <c r="N45" s="78" t="s">
        <v>71</v>
      </c>
      <c r="O45" s="78" t="s">
        <v>72</v>
      </c>
      <c r="P45" s="62" t="s">
        <v>71</v>
      </c>
      <c r="Q45" s="64"/>
      <c r="R45" s="49"/>
      <c r="S45" s="66"/>
      <c r="T45" s="85"/>
      <c r="U45" s="101"/>
      <c r="V45" s="126"/>
    </row>
    <row r="46" spans="2:22" ht="28.15" customHeight="1">
      <c r="B46" s="122"/>
      <c r="C46" s="322" t="s">
        <v>271</v>
      </c>
      <c r="D46" s="333" t="s">
        <v>589</v>
      </c>
      <c r="E46" s="94">
        <f t="shared" si="0"/>
        <v>43</v>
      </c>
      <c r="F46" s="95" t="s">
        <v>536</v>
      </c>
      <c r="G46" s="96" t="s">
        <v>598</v>
      </c>
      <c r="H46" s="50" t="s">
        <v>71</v>
      </c>
      <c r="I46" s="50" t="s">
        <v>71</v>
      </c>
      <c r="J46" s="50" t="s">
        <v>71</v>
      </c>
      <c r="K46" s="50" t="s">
        <v>71</v>
      </c>
      <c r="L46" s="50" t="s">
        <v>71</v>
      </c>
      <c r="M46" s="50" t="s">
        <v>71</v>
      </c>
      <c r="N46" s="50" t="s">
        <v>71</v>
      </c>
      <c r="O46" s="50" t="s">
        <v>71</v>
      </c>
      <c r="P46" s="63" t="s">
        <v>71</v>
      </c>
      <c r="Q46" s="65"/>
      <c r="R46" s="51"/>
      <c r="S46" s="67"/>
      <c r="T46" s="324"/>
      <c r="U46" s="328" t="s">
        <v>665</v>
      </c>
    </row>
    <row r="47" spans="2:22" ht="28.15" customHeight="1">
      <c r="B47" s="122"/>
      <c r="C47" s="332"/>
      <c r="D47" s="93" t="s">
        <v>591</v>
      </c>
      <c r="E47" s="94">
        <f t="shared" si="0"/>
        <v>44</v>
      </c>
      <c r="F47" s="95" t="s">
        <v>592</v>
      </c>
      <c r="G47" s="96" t="s">
        <v>599</v>
      </c>
      <c r="H47" s="50" t="s">
        <v>71</v>
      </c>
      <c r="I47" s="50" t="s">
        <v>71</v>
      </c>
      <c r="J47" s="50" t="s">
        <v>71</v>
      </c>
      <c r="K47" s="50" t="s">
        <v>71</v>
      </c>
      <c r="L47" s="50" t="s">
        <v>71</v>
      </c>
      <c r="M47" s="50" t="s">
        <v>71</v>
      </c>
      <c r="N47" s="50" t="s">
        <v>71</v>
      </c>
      <c r="O47" s="50" t="s">
        <v>71</v>
      </c>
      <c r="P47" s="63" t="s">
        <v>71</v>
      </c>
      <c r="Q47" s="65"/>
      <c r="R47" s="51"/>
      <c r="S47" s="67"/>
      <c r="T47" s="324"/>
      <c r="U47" s="328" t="s">
        <v>324</v>
      </c>
      <c r="V47" s="126"/>
    </row>
    <row r="48" spans="2:22" ht="28.15" customHeight="1">
      <c r="B48" s="122"/>
      <c r="C48" s="327"/>
      <c r="D48" s="93" t="s">
        <v>593</v>
      </c>
      <c r="E48" s="94">
        <f t="shared" si="0"/>
        <v>45</v>
      </c>
      <c r="F48" s="95" t="s">
        <v>594</v>
      </c>
      <c r="G48" s="96" t="s">
        <v>599</v>
      </c>
      <c r="H48" s="50" t="s">
        <v>71</v>
      </c>
      <c r="I48" s="50" t="s">
        <v>71</v>
      </c>
      <c r="J48" s="50" t="s">
        <v>71</v>
      </c>
      <c r="K48" s="50" t="s">
        <v>71</v>
      </c>
      <c r="L48" s="50" t="s">
        <v>71</v>
      </c>
      <c r="M48" s="50" t="s">
        <v>71</v>
      </c>
      <c r="N48" s="50" t="s">
        <v>71</v>
      </c>
      <c r="O48" s="50" t="s">
        <v>71</v>
      </c>
      <c r="P48" s="63" t="s">
        <v>71</v>
      </c>
      <c r="Q48" s="65"/>
      <c r="R48" s="51"/>
      <c r="S48" s="67"/>
      <c r="T48" s="324"/>
      <c r="U48" s="328" t="s">
        <v>324</v>
      </c>
      <c r="V48" s="126"/>
    </row>
    <row r="49" spans="2:22" ht="26.45">
      <c r="B49" s="122"/>
      <c r="C49" s="124" t="s">
        <v>600</v>
      </c>
      <c r="D49" s="269" t="s">
        <v>601</v>
      </c>
      <c r="E49" s="233">
        <f t="shared" si="0"/>
        <v>46</v>
      </c>
      <c r="F49" s="97" t="s">
        <v>602</v>
      </c>
      <c r="G49" s="91" t="s">
        <v>666</v>
      </c>
      <c r="H49" s="78" t="s">
        <v>72</v>
      </c>
      <c r="I49" s="48" t="s">
        <v>71</v>
      </c>
      <c r="J49" s="48" t="s">
        <v>71</v>
      </c>
      <c r="K49" s="78" t="s">
        <v>72</v>
      </c>
      <c r="L49" s="78" t="s">
        <v>72</v>
      </c>
      <c r="M49" s="78" t="s">
        <v>72</v>
      </c>
      <c r="N49" s="48" t="s">
        <v>71</v>
      </c>
      <c r="O49" s="78" t="s">
        <v>72</v>
      </c>
      <c r="P49" s="62" t="s">
        <v>71</v>
      </c>
      <c r="Q49" s="64"/>
      <c r="R49" s="49"/>
      <c r="S49" s="66"/>
      <c r="T49" s="85"/>
      <c r="U49" s="101" t="s">
        <v>667</v>
      </c>
      <c r="V49" s="126"/>
    </row>
    <row r="50" spans="2:22" ht="28.15" customHeight="1">
      <c r="B50" s="122"/>
      <c r="C50" s="269"/>
      <c r="D50" s="234" t="s">
        <v>605</v>
      </c>
      <c r="E50" s="233">
        <f t="shared" si="0"/>
        <v>47</v>
      </c>
      <c r="F50" s="97" t="s">
        <v>606</v>
      </c>
      <c r="G50" s="91" t="s">
        <v>603</v>
      </c>
      <c r="H50" s="78" t="s">
        <v>72</v>
      </c>
      <c r="I50" s="48" t="s">
        <v>71</v>
      </c>
      <c r="J50" s="48" t="s">
        <v>71</v>
      </c>
      <c r="K50" s="78" t="s">
        <v>72</v>
      </c>
      <c r="L50" s="78" t="s">
        <v>72</v>
      </c>
      <c r="M50" s="78" t="s">
        <v>72</v>
      </c>
      <c r="N50" s="48" t="s">
        <v>71</v>
      </c>
      <c r="O50" s="78" t="s">
        <v>72</v>
      </c>
      <c r="P50" s="62" t="s">
        <v>71</v>
      </c>
      <c r="Q50" s="64"/>
      <c r="R50" s="49"/>
      <c r="S50" s="66"/>
      <c r="T50" s="85"/>
      <c r="U50" s="100"/>
    </row>
    <row r="51" spans="2:22" ht="28.9" customHeight="1">
      <c r="B51" s="122"/>
      <c r="C51" s="123"/>
      <c r="D51" s="330" t="s">
        <v>607</v>
      </c>
      <c r="E51" s="94">
        <f t="shared" si="0"/>
        <v>48</v>
      </c>
      <c r="F51" s="95" t="s">
        <v>608</v>
      </c>
      <c r="G51" s="96" t="s">
        <v>609</v>
      </c>
      <c r="H51" s="50" t="s">
        <v>71</v>
      </c>
      <c r="I51" s="50" t="s">
        <v>71</v>
      </c>
      <c r="J51" s="50" t="s">
        <v>71</v>
      </c>
      <c r="K51" s="50" t="s">
        <v>71</v>
      </c>
      <c r="L51" s="50" t="s">
        <v>71</v>
      </c>
      <c r="M51" s="50" t="s">
        <v>71</v>
      </c>
      <c r="N51" s="50" t="s">
        <v>71</v>
      </c>
      <c r="O51" s="50" t="s">
        <v>71</v>
      </c>
      <c r="P51" s="50" t="s">
        <v>71</v>
      </c>
      <c r="Q51" s="65"/>
      <c r="R51" s="51"/>
      <c r="S51" s="67"/>
      <c r="T51" s="324"/>
      <c r="U51" s="102"/>
    </row>
    <row r="52" spans="2:22" ht="28.15" customHeight="1">
      <c r="B52" s="122"/>
      <c r="C52" s="124" t="s">
        <v>610</v>
      </c>
      <c r="D52" s="329" t="s">
        <v>530</v>
      </c>
      <c r="E52" s="94">
        <f t="shared" si="0"/>
        <v>49</v>
      </c>
      <c r="F52" s="95" t="s">
        <v>611</v>
      </c>
      <c r="G52" s="96" t="s">
        <v>612</v>
      </c>
      <c r="H52" s="79" t="s">
        <v>71</v>
      </c>
      <c r="I52" s="50" t="s">
        <v>71</v>
      </c>
      <c r="J52" s="50" t="s">
        <v>71</v>
      </c>
      <c r="K52" s="79" t="s">
        <v>71</v>
      </c>
      <c r="L52" s="79" t="s">
        <v>71</v>
      </c>
      <c r="M52" s="79" t="s">
        <v>71</v>
      </c>
      <c r="N52" s="50" t="s">
        <v>71</v>
      </c>
      <c r="O52" s="79" t="s">
        <v>71</v>
      </c>
      <c r="P52" s="63" t="s">
        <v>71</v>
      </c>
      <c r="Q52" s="65"/>
      <c r="R52" s="51"/>
      <c r="S52" s="67"/>
      <c r="T52" s="324"/>
      <c r="U52" s="328" t="s">
        <v>532</v>
      </c>
      <c r="V52" s="126"/>
    </row>
    <row r="53" spans="2:22" ht="28.15" customHeight="1">
      <c r="B53" s="122"/>
      <c r="C53" s="269"/>
      <c r="D53" s="272" t="s">
        <v>613</v>
      </c>
      <c r="E53" s="233">
        <f t="shared" si="0"/>
        <v>50</v>
      </c>
      <c r="F53" s="97" t="s">
        <v>592</v>
      </c>
      <c r="G53" s="91" t="s">
        <v>614</v>
      </c>
      <c r="H53" s="78" t="s">
        <v>72</v>
      </c>
      <c r="I53" s="48" t="s">
        <v>71</v>
      </c>
      <c r="J53" s="48" t="s">
        <v>71</v>
      </c>
      <c r="K53" s="78" t="s">
        <v>72</v>
      </c>
      <c r="L53" s="78" t="s">
        <v>72</v>
      </c>
      <c r="M53" s="78" t="s">
        <v>72</v>
      </c>
      <c r="N53" s="48" t="s">
        <v>71</v>
      </c>
      <c r="O53" s="78" t="s">
        <v>71</v>
      </c>
      <c r="P53" s="62" t="s">
        <v>71</v>
      </c>
      <c r="Q53" s="64"/>
      <c r="R53" s="49"/>
      <c r="S53" s="66"/>
      <c r="T53" s="85"/>
      <c r="U53" s="100"/>
    </row>
    <row r="54" spans="2:22" ht="28.9" customHeight="1">
      <c r="B54" s="122"/>
      <c r="C54" s="123"/>
      <c r="D54" s="229"/>
      <c r="E54" s="233">
        <f t="shared" si="0"/>
        <v>51</v>
      </c>
      <c r="F54" s="97" t="s">
        <v>536</v>
      </c>
      <c r="G54" s="91" t="s">
        <v>615</v>
      </c>
      <c r="H54" s="78" t="s">
        <v>72</v>
      </c>
      <c r="I54" s="48" t="s">
        <v>71</v>
      </c>
      <c r="J54" s="48" t="s">
        <v>71</v>
      </c>
      <c r="K54" s="78" t="s">
        <v>72</v>
      </c>
      <c r="L54" s="78" t="s">
        <v>72</v>
      </c>
      <c r="M54" s="78" t="s">
        <v>72</v>
      </c>
      <c r="N54" s="48" t="s">
        <v>71</v>
      </c>
      <c r="O54" s="78" t="s">
        <v>71</v>
      </c>
      <c r="P54" s="62" t="s">
        <v>71</v>
      </c>
      <c r="Q54" s="64"/>
      <c r="R54" s="49"/>
      <c r="S54" s="66"/>
      <c r="T54" s="85"/>
      <c r="U54" s="100" t="s">
        <v>668</v>
      </c>
    </row>
    <row r="55" spans="2:22" ht="28.15" customHeight="1">
      <c r="B55" s="278" t="s">
        <v>616</v>
      </c>
      <c r="C55" s="296" t="s">
        <v>617</v>
      </c>
      <c r="D55" s="280" t="s">
        <v>618</v>
      </c>
      <c r="E55" s="281">
        <f t="shared" ref="E55:E72" si="1">ROW()-3</f>
        <v>52</v>
      </c>
      <c r="F55" s="282" t="s">
        <v>619</v>
      </c>
      <c r="G55" s="283" t="s">
        <v>620</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15" customHeight="1">
      <c r="B56" s="291" t="s">
        <v>621</v>
      </c>
      <c r="C56" s="321"/>
      <c r="D56" s="292" t="s">
        <v>627</v>
      </c>
      <c r="E56" s="281">
        <f t="shared" si="1"/>
        <v>53</v>
      </c>
      <c r="F56" s="282" t="s">
        <v>627</v>
      </c>
      <c r="G56" s="283" t="s">
        <v>624</v>
      </c>
      <c r="H56" s="50" t="s">
        <v>71</v>
      </c>
      <c r="I56" s="50" t="s">
        <v>71</v>
      </c>
      <c r="J56" s="50" t="s">
        <v>71</v>
      </c>
      <c r="K56" s="50" t="s">
        <v>71</v>
      </c>
      <c r="L56" s="50" t="s">
        <v>71</v>
      </c>
      <c r="M56" s="50" t="s">
        <v>71</v>
      </c>
      <c r="N56" s="50" t="s">
        <v>71</v>
      </c>
      <c r="O56" s="50" t="s">
        <v>71</v>
      </c>
      <c r="P56" s="50" t="s">
        <v>71</v>
      </c>
      <c r="Q56" s="286"/>
      <c r="R56" s="287"/>
      <c r="S56" s="288"/>
      <c r="T56" s="289"/>
      <c r="U56" s="290"/>
    </row>
    <row r="57" spans="2:22" ht="28.15" customHeight="1">
      <c r="B57" s="293"/>
      <c r="C57" s="279"/>
      <c r="D57" s="292" t="s">
        <v>656</v>
      </c>
      <c r="E57" s="281">
        <f t="shared" si="1"/>
        <v>54</v>
      </c>
      <c r="F57" s="282" t="s">
        <v>657</v>
      </c>
      <c r="G57" s="283" t="s">
        <v>624</v>
      </c>
      <c r="H57" s="50" t="s">
        <v>71</v>
      </c>
      <c r="I57" s="50" t="s">
        <v>71</v>
      </c>
      <c r="J57" s="50" t="s">
        <v>71</v>
      </c>
      <c r="K57" s="50" t="s">
        <v>71</v>
      </c>
      <c r="L57" s="50" t="s">
        <v>71</v>
      </c>
      <c r="M57" s="50" t="s">
        <v>71</v>
      </c>
      <c r="N57" s="50" t="s">
        <v>71</v>
      </c>
      <c r="O57" s="50" t="s">
        <v>71</v>
      </c>
      <c r="P57" s="50" t="s">
        <v>71</v>
      </c>
      <c r="Q57" s="286"/>
      <c r="R57" s="287"/>
      <c r="S57" s="288"/>
      <c r="T57" s="289"/>
      <c r="U57" s="290"/>
    </row>
    <row r="58" spans="2:22" ht="28.15" customHeight="1">
      <c r="B58" s="293"/>
      <c r="C58" s="279"/>
      <c r="D58" s="292" t="s">
        <v>638</v>
      </c>
      <c r="E58" s="281">
        <f t="shared" si="1"/>
        <v>55</v>
      </c>
      <c r="F58" s="292" t="s">
        <v>277</v>
      </c>
      <c r="G58" s="283" t="s">
        <v>624</v>
      </c>
      <c r="H58" s="50" t="s">
        <v>71</v>
      </c>
      <c r="I58" s="50" t="s">
        <v>71</v>
      </c>
      <c r="J58" s="50" t="s">
        <v>71</v>
      </c>
      <c r="K58" s="50" t="s">
        <v>71</v>
      </c>
      <c r="L58" s="50" t="s">
        <v>71</v>
      </c>
      <c r="M58" s="50" t="s">
        <v>71</v>
      </c>
      <c r="N58" s="50" t="s">
        <v>71</v>
      </c>
      <c r="O58" s="50" t="s">
        <v>71</v>
      </c>
      <c r="P58" s="50" t="s">
        <v>71</v>
      </c>
      <c r="Q58" s="286"/>
      <c r="R58" s="287"/>
      <c r="S58" s="288"/>
      <c r="T58" s="289"/>
      <c r="U58" s="290"/>
    </row>
    <row r="59" spans="2:22" ht="28.15" customHeight="1">
      <c r="B59" s="293"/>
      <c r="C59" s="279"/>
      <c r="D59" s="292" t="s">
        <v>639</v>
      </c>
      <c r="E59" s="281">
        <f t="shared" si="1"/>
        <v>56</v>
      </c>
      <c r="F59" s="292" t="s">
        <v>280</v>
      </c>
      <c r="G59" s="283" t="s">
        <v>624</v>
      </c>
      <c r="H59" s="50" t="s">
        <v>71</v>
      </c>
      <c r="I59" s="50" t="s">
        <v>71</v>
      </c>
      <c r="J59" s="50" t="s">
        <v>71</v>
      </c>
      <c r="K59" s="50" t="s">
        <v>71</v>
      </c>
      <c r="L59" s="50" t="s">
        <v>71</v>
      </c>
      <c r="M59" s="50" t="s">
        <v>71</v>
      </c>
      <c r="N59" s="50" t="s">
        <v>71</v>
      </c>
      <c r="O59" s="50" t="s">
        <v>71</v>
      </c>
      <c r="P59" s="50" t="s">
        <v>71</v>
      </c>
      <c r="Q59" s="286"/>
      <c r="R59" s="287"/>
      <c r="S59" s="288"/>
      <c r="T59" s="289"/>
      <c r="U59" s="290"/>
    </row>
    <row r="60" spans="2:22" ht="28.15" customHeight="1">
      <c r="B60" s="293"/>
      <c r="C60" s="279"/>
      <c r="D60" s="292" t="s">
        <v>640</v>
      </c>
      <c r="E60" s="281">
        <f t="shared" si="1"/>
        <v>57</v>
      </c>
      <c r="F60" s="292" t="s">
        <v>283</v>
      </c>
      <c r="G60" s="283" t="s">
        <v>624</v>
      </c>
      <c r="H60" s="50" t="s">
        <v>71</v>
      </c>
      <c r="I60" s="50" t="s">
        <v>71</v>
      </c>
      <c r="J60" s="50" t="s">
        <v>71</v>
      </c>
      <c r="K60" s="50" t="s">
        <v>71</v>
      </c>
      <c r="L60" s="50" t="s">
        <v>71</v>
      </c>
      <c r="M60" s="50" t="s">
        <v>71</v>
      </c>
      <c r="N60" s="50" t="s">
        <v>71</v>
      </c>
      <c r="O60" s="50" t="s">
        <v>71</v>
      </c>
      <c r="P60" s="50" t="s">
        <v>71</v>
      </c>
      <c r="Q60" s="286"/>
      <c r="R60" s="287"/>
      <c r="S60" s="288"/>
      <c r="T60" s="289"/>
      <c r="U60" s="290"/>
    </row>
    <row r="61" spans="2:22" ht="28.15" customHeight="1">
      <c r="B61" s="293"/>
      <c r="C61" s="279"/>
      <c r="D61" s="292" t="s">
        <v>641</v>
      </c>
      <c r="E61" s="281">
        <f t="shared" si="1"/>
        <v>58</v>
      </c>
      <c r="F61" s="292" t="s">
        <v>285</v>
      </c>
      <c r="G61" s="283" t="s">
        <v>624</v>
      </c>
      <c r="H61" s="50" t="s">
        <v>71</v>
      </c>
      <c r="I61" s="50" t="s">
        <v>71</v>
      </c>
      <c r="J61" s="50" t="s">
        <v>71</v>
      </c>
      <c r="K61" s="50" t="s">
        <v>71</v>
      </c>
      <c r="L61" s="50" t="s">
        <v>71</v>
      </c>
      <c r="M61" s="50" t="s">
        <v>71</v>
      </c>
      <c r="N61" s="50" t="s">
        <v>71</v>
      </c>
      <c r="O61" s="50" t="s">
        <v>71</v>
      </c>
      <c r="P61" s="50" t="s">
        <v>71</v>
      </c>
      <c r="Q61" s="286"/>
      <c r="R61" s="287"/>
      <c r="S61" s="288"/>
      <c r="T61" s="289"/>
      <c r="U61" s="290"/>
    </row>
    <row r="62" spans="2:22" ht="28.15" customHeight="1">
      <c r="B62" s="293"/>
      <c r="C62" s="279"/>
      <c r="D62" s="292" t="s">
        <v>658</v>
      </c>
      <c r="E62" s="281">
        <f t="shared" si="1"/>
        <v>59</v>
      </c>
      <c r="F62" s="292" t="s">
        <v>643</v>
      </c>
      <c r="G62" s="283" t="s">
        <v>624</v>
      </c>
      <c r="H62" s="50" t="s">
        <v>71</v>
      </c>
      <c r="I62" s="50" t="s">
        <v>71</v>
      </c>
      <c r="J62" s="50" t="s">
        <v>71</v>
      </c>
      <c r="K62" s="50" t="s">
        <v>71</v>
      </c>
      <c r="L62" s="50" t="s">
        <v>71</v>
      </c>
      <c r="M62" s="50" t="s">
        <v>71</v>
      </c>
      <c r="N62" s="50" t="s">
        <v>71</v>
      </c>
      <c r="O62" s="50" t="s">
        <v>71</v>
      </c>
      <c r="P62" s="50" t="s">
        <v>71</v>
      </c>
      <c r="Q62" s="286"/>
      <c r="R62" s="287"/>
      <c r="S62" s="288"/>
      <c r="T62" s="289"/>
      <c r="U62" s="290"/>
    </row>
    <row r="63" spans="2:22" ht="28.15" customHeight="1">
      <c r="B63" s="293"/>
      <c r="C63" s="279"/>
      <c r="D63" s="292" t="s">
        <v>659</v>
      </c>
      <c r="E63" s="281">
        <f t="shared" si="1"/>
        <v>60</v>
      </c>
      <c r="F63" s="292" t="s">
        <v>645</v>
      </c>
      <c r="G63" s="283" t="s">
        <v>624</v>
      </c>
      <c r="H63" s="50" t="s">
        <v>71</v>
      </c>
      <c r="I63" s="50" t="s">
        <v>71</v>
      </c>
      <c r="J63" s="50" t="s">
        <v>71</v>
      </c>
      <c r="K63" s="50" t="s">
        <v>71</v>
      </c>
      <c r="L63" s="50" t="s">
        <v>71</v>
      </c>
      <c r="M63" s="50" t="s">
        <v>71</v>
      </c>
      <c r="N63" s="50" t="s">
        <v>71</v>
      </c>
      <c r="O63" s="50" t="s">
        <v>71</v>
      </c>
      <c r="P63" s="50" t="s">
        <v>71</v>
      </c>
      <c r="Q63" s="286"/>
      <c r="R63" s="287"/>
      <c r="S63" s="288"/>
      <c r="T63" s="289"/>
      <c r="U63" s="290"/>
    </row>
    <row r="64" spans="2:22" ht="28.15" customHeight="1">
      <c r="B64" s="278" t="s">
        <v>616</v>
      </c>
      <c r="C64" s="294" t="s">
        <v>617</v>
      </c>
      <c r="D64" s="280" t="s">
        <v>618</v>
      </c>
      <c r="E64" s="281">
        <f t="shared" si="1"/>
        <v>61</v>
      </c>
      <c r="F64" s="282" t="s">
        <v>619</v>
      </c>
      <c r="G64" s="283" t="s">
        <v>620</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c r="B65" s="291" t="s">
        <v>655</v>
      </c>
      <c r="C65" s="279"/>
      <c r="D65" s="292" t="s">
        <v>627</v>
      </c>
      <c r="E65" s="281">
        <f t="shared" si="1"/>
        <v>62</v>
      </c>
      <c r="F65" s="282" t="s">
        <v>627</v>
      </c>
      <c r="G65" s="283" t="s">
        <v>624</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15" customHeight="1">
      <c r="B66" s="293"/>
      <c r="C66" s="279"/>
      <c r="D66" s="292" t="s">
        <v>656</v>
      </c>
      <c r="E66" s="281">
        <f t="shared" si="1"/>
        <v>63</v>
      </c>
      <c r="F66" s="282" t="s">
        <v>657</v>
      </c>
      <c r="G66" s="283" t="s">
        <v>624</v>
      </c>
      <c r="H66" s="50" t="s">
        <v>71</v>
      </c>
      <c r="I66" s="50" t="s">
        <v>71</v>
      </c>
      <c r="J66" s="50" t="s">
        <v>71</v>
      </c>
      <c r="K66" s="50" t="s">
        <v>71</v>
      </c>
      <c r="L66" s="50" t="s">
        <v>71</v>
      </c>
      <c r="M66" s="50" t="s">
        <v>71</v>
      </c>
      <c r="N66" s="50" t="s">
        <v>71</v>
      </c>
      <c r="O66" s="50" t="s">
        <v>71</v>
      </c>
      <c r="P66" s="50" t="s">
        <v>71</v>
      </c>
      <c r="Q66" s="286"/>
      <c r="R66" s="287"/>
      <c r="S66" s="288"/>
      <c r="T66" s="289"/>
      <c r="U66" s="290"/>
    </row>
    <row r="67" spans="1:22" ht="28.15" customHeight="1">
      <c r="B67" s="293"/>
      <c r="C67" s="279"/>
      <c r="D67" s="292" t="s">
        <v>638</v>
      </c>
      <c r="E67" s="281">
        <f t="shared" si="1"/>
        <v>64</v>
      </c>
      <c r="F67" s="292" t="s">
        <v>277</v>
      </c>
      <c r="G67" s="283" t="s">
        <v>624</v>
      </c>
      <c r="H67" s="50" t="s">
        <v>71</v>
      </c>
      <c r="I67" s="50" t="s">
        <v>71</v>
      </c>
      <c r="J67" s="50" t="s">
        <v>71</v>
      </c>
      <c r="K67" s="50" t="s">
        <v>71</v>
      </c>
      <c r="L67" s="50" t="s">
        <v>71</v>
      </c>
      <c r="M67" s="50" t="s">
        <v>71</v>
      </c>
      <c r="N67" s="50" t="s">
        <v>71</v>
      </c>
      <c r="O67" s="50" t="s">
        <v>71</v>
      </c>
      <c r="P67" s="50" t="s">
        <v>71</v>
      </c>
      <c r="Q67" s="286"/>
      <c r="R67" s="287"/>
      <c r="S67" s="288"/>
      <c r="T67" s="289"/>
      <c r="U67" s="290"/>
    </row>
    <row r="68" spans="1:22" ht="28.15" customHeight="1">
      <c r="B68" s="293"/>
      <c r="C68" s="279"/>
      <c r="D68" s="292" t="s">
        <v>639</v>
      </c>
      <c r="E68" s="281">
        <f t="shared" si="1"/>
        <v>65</v>
      </c>
      <c r="F68" s="292" t="s">
        <v>280</v>
      </c>
      <c r="G68" s="283" t="s">
        <v>624</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15" customHeight="1">
      <c r="B69" s="293"/>
      <c r="C69" s="279"/>
      <c r="D69" s="292" t="s">
        <v>640</v>
      </c>
      <c r="E69" s="281">
        <f t="shared" si="1"/>
        <v>66</v>
      </c>
      <c r="F69" s="292" t="s">
        <v>283</v>
      </c>
      <c r="G69" s="283" t="s">
        <v>624</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 customHeight="1">
      <c r="B70" s="293"/>
      <c r="C70" s="279"/>
      <c r="D70" s="292" t="s">
        <v>641</v>
      </c>
      <c r="E70" s="281">
        <f t="shared" si="1"/>
        <v>67</v>
      </c>
      <c r="F70" s="292" t="s">
        <v>285</v>
      </c>
      <c r="G70" s="283" t="s">
        <v>624</v>
      </c>
      <c r="H70" s="50" t="s">
        <v>71</v>
      </c>
      <c r="I70" s="50" t="s">
        <v>71</v>
      </c>
      <c r="J70" s="50" t="s">
        <v>71</v>
      </c>
      <c r="K70" s="50" t="s">
        <v>71</v>
      </c>
      <c r="L70" s="50" t="s">
        <v>71</v>
      </c>
      <c r="M70" s="50" t="s">
        <v>71</v>
      </c>
      <c r="N70" s="50" t="s">
        <v>71</v>
      </c>
      <c r="O70" s="50" t="s">
        <v>71</v>
      </c>
      <c r="P70" s="50" t="s">
        <v>71</v>
      </c>
      <c r="Q70" s="286"/>
      <c r="R70" s="287"/>
      <c r="S70" s="288"/>
      <c r="T70" s="289"/>
      <c r="U70" s="295"/>
    </row>
    <row r="71" spans="1:22" ht="28.15" customHeight="1">
      <c r="B71" s="293"/>
      <c r="C71" s="279"/>
      <c r="D71" s="292" t="s">
        <v>658</v>
      </c>
      <c r="E71" s="281">
        <f t="shared" si="1"/>
        <v>68</v>
      </c>
      <c r="F71" s="292" t="s">
        <v>643</v>
      </c>
      <c r="G71" s="283" t="s">
        <v>624</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c r="B72" s="293"/>
      <c r="C72" s="279"/>
      <c r="D72" s="292" t="s">
        <v>659</v>
      </c>
      <c r="E72" s="281">
        <f t="shared" si="1"/>
        <v>69</v>
      </c>
      <c r="F72" s="292" t="s">
        <v>645</v>
      </c>
      <c r="G72" s="283" t="s">
        <v>624</v>
      </c>
      <c r="H72" s="50" t="s">
        <v>71</v>
      </c>
      <c r="I72" s="50" t="s">
        <v>71</v>
      </c>
      <c r="J72" s="50" t="s">
        <v>71</v>
      </c>
      <c r="K72" s="50" t="s">
        <v>71</v>
      </c>
      <c r="L72" s="50" t="s">
        <v>71</v>
      </c>
      <c r="M72" s="50" t="s">
        <v>71</v>
      </c>
      <c r="N72" s="50" t="s">
        <v>71</v>
      </c>
      <c r="O72" s="50" t="s">
        <v>71</v>
      </c>
      <c r="P72" s="50" t="s">
        <v>71</v>
      </c>
      <c r="Q72" s="286"/>
      <c r="R72" s="287"/>
      <c r="S72" s="288"/>
      <c r="T72" s="289"/>
      <c r="U72" s="290"/>
    </row>
    <row r="73" spans="1:22" ht="28.15" customHeight="1" thickBot="1">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c r="B74" s="511" t="s">
        <v>301</v>
      </c>
      <c r="C74" s="496"/>
      <c r="D74" s="496">
        <f>SUM(H76:P76)</f>
        <v>0</v>
      </c>
      <c r="E74" s="157"/>
      <c r="F74" s="158"/>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499"/>
      <c r="R75" s="499"/>
      <c r="S75" s="499"/>
      <c r="T75" s="71"/>
      <c r="U75" s="105"/>
    </row>
    <row r="76" spans="1:22" ht="18" customHeight="1">
      <c r="B76" s="513" t="s">
        <v>305</v>
      </c>
      <c r="C76" s="494"/>
      <c r="D76" s="494">
        <f>SUM(H77:P77)</f>
        <v>47</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2">
        <f>COUNTA(R4:R73)</f>
        <v>0</v>
      </c>
      <c r="S76" s="504">
        <f>COUNTA(S55:S73)</f>
        <v>0</v>
      </c>
      <c r="T76" s="71"/>
      <c r="U76" s="105"/>
    </row>
    <row r="77" spans="1:22" ht="18" customHeight="1" thickBot="1">
      <c r="A77" s="118"/>
      <c r="B77" s="514"/>
      <c r="C77" s="495"/>
      <c r="D77" s="495"/>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1"/>
      <c r="R77" s="503"/>
      <c r="S77" s="505"/>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zoomScale="80" zoomScaleNormal="70" zoomScaleSheetLayoutView="80" workbookViewId="0">
      <pane ySplit="3" topLeftCell="A70" activePane="bottomLeft" state="frozen"/>
      <selection pane="bottomLeft" activeCell="O16" sqref="O16"/>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42.140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334</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529</v>
      </c>
      <c r="C4" s="123" t="s">
        <v>530</v>
      </c>
      <c r="D4" s="229"/>
      <c r="E4" s="386">
        <f>ROW()-3</f>
        <v>1</v>
      </c>
      <c r="F4" s="387" t="s">
        <v>531</v>
      </c>
      <c r="G4" s="388" t="s">
        <v>84</v>
      </c>
      <c r="H4" s="413" t="s">
        <v>71</v>
      </c>
      <c r="I4" s="413" t="s">
        <v>71</v>
      </c>
      <c r="J4" s="413" t="s">
        <v>71</v>
      </c>
      <c r="K4" s="413" t="s">
        <v>71</v>
      </c>
      <c r="L4" s="413" t="s">
        <v>71</v>
      </c>
      <c r="M4" s="413" t="s">
        <v>71</v>
      </c>
      <c r="N4" s="413" t="s">
        <v>71</v>
      </c>
      <c r="O4" s="413" t="s">
        <v>71</v>
      </c>
      <c r="P4" s="413" t="s">
        <v>71</v>
      </c>
      <c r="Q4" s="65"/>
      <c r="R4" s="51"/>
      <c r="S4" s="67"/>
      <c r="T4" s="324"/>
      <c r="U4" s="415" t="s">
        <v>669</v>
      </c>
    </row>
    <row r="5" spans="1:22" ht="28.15" customHeight="1">
      <c r="B5" s="122" t="s">
        <v>533</v>
      </c>
      <c r="C5" s="234" t="s">
        <v>534</v>
      </c>
      <c r="D5" s="229" t="s">
        <v>535</v>
      </c>
      <c r="E5" s="233">
        <f t="shared" ref="E5:E54" si="0">ROW()-3</f>
        <v>2</v>
      </c>
      <c r="F5" s="97" t="s">
        <v>536</v>
      </c>
      <c r="G5" s="91" t="s">
        <v>537</v>
      </c>
      <c r="H5" s="48" t="s">
        <v>72</v>
      </c>
      <c r="I5" s="48" t="s">
        <v>71</v>
      </c>
      <c r="J5" s="48" t="s">
        <v>71</v>
      </c>
      <c r="K5" s="48" t="s">
        <v>72</v>
      </c>
      <c r="L5" s="48" t="s">
        <v>72</v>
      </c>
      <c r="M5" s="48" t="s">
        <v>72</v>
      </c>
      <c r="N5" s="48" t="s">
        <v>71</v>
      </c>
      <c r="O5" s="48" t="s">
        <v>71</v>
      </c>
      <c r="P5" s="48" t="s">
        <v>71</v>
      </c>
      <c r="Q5" s="64"/>
      <c r="R5" s="49"/>
      <c r="S5" s="66"/>
      <c r="T5" s="85"/>
      <c r="U5" s="100"/>
    </row>
    <row r="6" spans="1:22" ht="28.15" customHeight="1">
      <c r="B6" s="122"/>
      <c r="C6" s="269" t="s">
        <v>538</v>
      </c>
      <c r="D6" s="327" t="s">
        <v>539</v>
      </c>
      <c r="E6" s="94">
        <f t="shared" si="0"/>
        <v>3</v>
      </c>
      <c r="F6" s="95" t="s">
        <v>540</v>
      </c>
      <c r="G6" s="96" t="s">
        <v>541</v>
      </c>
      <c r="H6" s="50" t="s">
        <v>71</v>
      </c>
      <c r="I6" s="50" t="s">
        <v>71</v>
      </c>
      <c r="J6" s="50" t="s">
        <v>71</v>
      </c>
      <c r="K6" s="50" t="s">
        <v>71</v>
      </c>
      <c r="L6" s="50" t="s">
        <v>71</v>
      </c>
      <c r="M6" s="50" t="s">
        <v>71</v>
      </c>
      <c r="N6" s="50" t="s">
        <v>71</v>
      </c>
      <c r="O6" s="50" t="s">
        <v>71</v>
      </c>
      <c r="P6" s="50" t="s">
        <v>71</v>
      </c>
      <c r="Q6" s="331"/>
      <c r="R6" s="51"/>
      <c r="S6" s="67"/>
      <c r="T6" s="324"/>
      <c r="U6" s="328" t="s">
        <v>661</v>
      </c>
    </row>
    <row r="7" spans="1:22" ht="28.15" customHeight="1">
      <c r="B7" s="122"/>
      <c r="C7" s="312"/>
      <c r="D7" s="229" t="s">
        <v>543</v>
      </c>
      <c r="E7" s="233">
        <f t="shared" si="0"/>
        <v>4</v>
      </c>
      <c r="F7" s="97" t="s">
        <v>544</v>
      </c>
      <c r="G7" s="91" t="s">
        <v>541</v>
      </c>
      <c r="H7" s="48" t="s">
        <v>72</v>
      </c>
      <c r="I7" s="48" t="s">
        <v>71</v>
      </c>
      <c r="J7" s="48" t="s">
        <v>71</v>
      </c>
      <c r="K7" s="48" t="s">
        <v>71</v>
      </c>
      <c r="L7" s="48" t="s">
        <v>72</v>
      </c>
      <c r="M7" s="48" t="s">
        <v>72</v>
      </c>
      <c r="N7" s="48" t="s">
        <v>71</v>
      </c>
      <c r="O7" s="48" t="s">
        <v>71</v>
      </c>
      <c r="P7" s="48" t="s">
        <v>71</v>
      </c>
      <c r="Q7" s="64"/>
      <c r="R7" s="49"/>
      <c r="S7" s="66"/>
      <c r="T7" s="85"/>
      <c r="U7" s="101"/>
    </row>
    <row r="8" spans="1:22" ht="39.6">
      <c r="B8" s="122"/>
      <c r="C8" s="313"/>
      <c r="D8" s="229" t="s">
        <v>670</v>
      </c>
      <c r="E8" s="233">
        <f t="shared" si="0"/>
        <v>5</v>
      </c>
      <c r="F8" s="97" t="s">
        <v>546</v>
      </c>
      <c r="G8" s="91" t="s">
        <v>541</v>
      </c>
      <c r="H8" s="48" t="s">
        <v>72</v>
      </c>
      <c r="I8" s="48" t="s">
        <v>71</v>
      </c>
      <c r="J8" s="48" t="s">
        <v>71</v>
      </c>
      <c r="K8" s="48" t="s">
        <v>71</v>
      </c>
      <c r="L8" s="48" t="s">
        <v>72</v>
      </c>
      <c r="M8" s="48" t="s">
        <v>72</v>
      </c>
      <c r="N8" s="48" t="s">
        <v>71</v>
      </c>
      <c r="O8" s="48" t="s">
        <v>71</v>
      </c>
      <c r="P8" s="48" t="s">
        <v>71</v>
      </c>
      <c r="Q8" s="64"/>
      <c r="R8" s="49"/>
      <c r="S8" s="66"/>
      <c r="T8" s="85"/>
      <c r="U8" s="100"/>
    </row>
    <row r="9" spans="1:22" ht="28.15" customHeight="1">
      <c r="B9" s="122"/>
      <c r="C9" s="312"/>
      <c r="D9" s="229" t="s">
        <v>580</v>
      </c>
      <c r="E9" s="233">
        <f t="shared" si="0"/>
        <v>6</v>
      </c>
      <c r="F9" s="97" t="s">
        <v>540</v>
      </c>
      <c r="G9" s="91" t="s">
        <v>541</v>
      </c>
      <c r="H9" s="48" t="s">
        <v>72</v>
      </c>
      <c r="I9" s="48" t="s">
        <v>71</v>
      </c>
      <c r="J9" s="48" t="s">
        <v>71</v>
      </c>
      <c r="K9" s="48" t="s">
        <v>71</v>
      </c>
      <c r="L9" s="48" t="s">
        <v>72</v>
      </c>
      <c r="M9" s="48" t="s">
        <v>72</v>
      </c>
      <c r="N9" s="48" t="s">
        <v>71</v>
      </c>
      <c r="O9" s="48" t="s">
        <v>71</v>
      </c>
      <c r="P9" s="48" t="s">
        <v>71</v>
      </c>
      <c r="Q9" s="64"/>
      <c r="R9" s="49"/>
      <c r="S9" s="66"/>
      <c r="T9" s="85"/>
      <c r="U9" s="101" t="s">
        <v>671</v>
      </c>
    </row>
    <row r="10" spans="1:22" ht="28.15" customHeight="1">
      <c r="B10" s="122"/>
      <c r="C10" s="123"/>
      <c r="D10" s="229" t="s">
        <v>552</v>
      </c>
      <c r="E10" s="233">
        <f t="shared" si="0"/>
        <v>7</v>
      </c>
      <c r="F10" s="97" t="s">
        <v>546</v>
      </c>
      <c r="G10" s="91" t="s">
        <v>541</v>
      </c>
      <c r="H10" s="48" t="s">
        <v>72</v>
      </c>
      <c r="I10" s="48" t="s">
        <v>71</v>
      </c>
      <c r="J10" s="48" t="s">
        <v>71</v>
      </c>
      <c r="K10" s="48" t="s">
        <v>71</v>
      </c>
      <c r="L10" s="48" t="s">
        <v>72</v>
      </c>
      <c r="M10" s="48" t="s">
        <v>72</v>
      </c>
      <c r="N10" s="48" t="s">
        <v>71</v>
      </c>
      <c r="O10" s="48" t="s">
        <v>71</v>
      </c>
      <c r="P10" s="48" t="s">
        <v>71</v>
      </c>
      <c r="Q10" s="64"/>
      <c r="R10" s="49"/>
      <c r="S10" s="66"/>
      <c r="T10" s="85"/>
      <c r="U10" s="100"/>
    </row>
    <row r="11" spans="1:22" ht="28.15" customHeight="1">
      <c r="B11" s="122"/>
      <c r="C11" s="124" t="s">
        <v>553</v>
      </c>
      <c r="D11" s="327" t="s">
        <v>539</v>
      </c>
      <c r="E11" s="94">
        <f t="shared" si="0"/>
        <v>8</v>
      </c>
      <c r="F11" s="95" t="s">
        <v>555</v>
      </c>
      <c r="G11" s="96" t="s">
        <v>556</v>
      </c>
      <c r="H11" s="50" t="s">
        <v>71</v>
      </c>
      <c r="I11" s="50" t="s">
        <v>71</v>
      </c>
      <c r="J11" s="50" t="s">
        <v>71</v>
      </c>
      <c r="K11" s="50" t="s">
        <v>71</v>
      </c>
      <c r="L11" s="50" t="s">
        <v>71</v>
      </c>
      <c r="M11" s="50" t="s">
        <v>71</v>
      </c>
      <c r="N11" s="50" t="s">
        <v>71</v>
      </c>
      <c r="O11" s="50" t="s">
        <v>71</v>
      </c>
      <c r="P11" s="63" t="s">
        <v>71</v>
      </c>
      <c r="Q11" s="331"/>
      <c r="R11" s="51"/>
      <c r="S11" s="67"/>
      <c r="T11" s="324"/>
      <c r="U11" s="328" t="s">
        <v>661</v>
      </c>
      <c r="V11" s="126"/>
    </row>
    <row r="12" spans="1:22" ht="28.15" customHeight="1">
      <c r="B12" s="122"/>
      <c r="C12" s="269"/>
      <c r="D12" s="229" t="s">
        <v>543</v>
      </c>
      <c r="E12" s="233">
        <f t="shared" si="0"/>
        <v>9</v>
      </c>
      <c r="F12" s="97" t="s">
        <v>564</v>
      </c>
      <c r="G12" s="91" t="s">
        <v>556</v>
      </c>
      <c r="H12" s="48" t="s">
        <v>72</v>
      </c>
      <c r="I12" s="48" t="s">
        <v>71</v>
      </c>
      <c r="J12" s="48" t="s">
        <v>71</v>
      </c>
      <c r="K12" s="48" t="s">
        <v>71</v>
      </c>
      <c r="L12" s="48" t="s">
        <v>72</v>
      </c>
      <c r="M12" s="48" t="s">
        <v>72</v>
      </c>
      <c r="N12" s="48" t="s">
        <v>71</v>
      </c>
      <c r="O12" s="48" t="s">
        <v>71</v>
      </c>
      <c r="P12" s="48" t="s">
        <v>71</v>
      </c>
      <c r="Q12" s="64"/>
      <c r="R12" s="49"/>
      <c r="S12" s="66"/>
      <c r="T12" s="85"/>
      <c r="U12" s="100"/>
    </row>
    <row r="13" spans="1:22" ht="39.6">
      <c r="B13" s="122"/>
      <c r="C13" s="123"/>
      <c r="D13" s="229" t="s">
        <v>670</v>
      </c>
      <c r="E13" s="233">
        <f t="shared" si="0"/>
        <v>10</v>
      </c>
      <c r="F13" s="97" t="s">
        <v>562</v>
      </c>
      <c r="G13" s="91" t="s">
        <v>556</v>
      </c>
      <c r="H13" s="48" t="s">
        <v>72</v>
      </c>
      <c r="I13" s="48" t="s">
        <v>71</v>
      </c>
      <c r="J13" s="48" t="s">
        <v>71</v>
      </c>
      <c r="K13" s="48" t="s">
        <v>71</v>
      </c>
      <c r="L13" s="48" t="s">
        <v>72</v>
      </c>
      <c r="M13" s="48" t="s">
        <v>72</v>
      </c>
      <c r="N13" s="48" t="s">
        <v>71</v>
      </c>
      <c r="O13" s="48" t="s">
        <v>71</v>
      </c>
      <c r="P13" s="48" t="s">
        <v>71</v>
      </c>
      <c r="Q13" s="64"/>
      <c r="R13" s="49"/>
      <c r="S13" s="66"/>
      <c r="T13" s="85"/>
      <c r="U13" s="100"/>
    </row>
    <row r="14" spans="1:22" ht="28.15" customHeight="1">
      <c r="B14" s="122"/>
      <c r="C14" s="269"/>
      <c r="D14" s="229" t="s">
        <v>580</v>
      </c>
      <c r="E14" s="233">
        <f t="shared" si="0"/>
        <v>11</v>
      </c>
      <c r="F14" s="97" t="s">
        <v>555</v>
      </c>
      <c r="G14" s="91" t="s">
        <v>556</v>
      </c>
      <c r="H14" s="48" t="s">
        <v>72</v>
      </c>
      <c r="I14" s="48" t="s">
        <v>71</v>
      </c>
      <c r="J14" s="48" t="s">
        <v>71</v>
      </c>
      <c r="K14" s="48" t="s">
        <v>71</v>
      </c>
      <c r="L14" s="48" t="s">
        <v>72</v>
      </c>
      <c r="M14" s="48" t="s">
        <v>72</v>
      </c>
      <c r="N14" s="48" t="s">
        <v>71</v>
      </c>
      <c r="O14" s="48" t="s">
        <v>71</v>
      </c>
      <c r="P14" s="48" t="s">
        <v>71</v>
      </c>
      <c r="Q14" s="64"/>
      <c r="R14" s="49"/>
      <c r="S14" s="66"/>
      <c r="T14" s="85"/>
      <c r="U14" s="101"/>
      <c r="V14" s="126"/>
    </row>
    <row r="15" spans="1:22" ht="28.15" customHeight="1">
      <c r="B15" s="122"/>
      <c r="C15" s="269"/>
      <c r="D15" s="229" t="s">
        <v>552</v>
      </c>
      <c r="E15" s="233">
        <f t="shared" si="0"/>
        <v>12</v>
      </c>
      <c r="F15" s="97" t="s">
        <v>562</v>
      </c>
      <c r="G15" s="91" t="s">
        <v>556</v>
      </c>
      <c r="H15" s="48" t="s">
        <v>72</v>
      </c>
      <c r="I15" s="48" t="s">
        <v>71</v>
      </c>
      <c r="J15" s="48" t="s">
        <v>71</v>
      </c>
      <c r="K15" s="48" t="s">
        <v>71</v>
      </c>
      <c r="L15" s="48" t="s">
        <v>72</v>
      </c>
      <c r="M15" s="48" t="s">
        <v>72</v>
      </c>
      <c r="N15" s="48" t="s">
        <v>71</v>
      </c>
      <c r="O15" s="48" t="s">
        <v>71</v>
      </c>
      <c r="P15" s="48" t="s">
        <v>71</v>
      </c>
      <c r="Q15" s="64"/>
      <c r="R15" s="49"/>
      <c r="S15" s="66"/>
      <c r="T15" s="85"/>
      <c r="U15" s="100"/>
    </row>
    <row r="16" spans="1:22" ht="28.15" customHeight="1">
      <c r="B16" s="122"/>
      <c r="C16" s="124" t="s">
        <v>566</v>
      </c>
      <c r="D16" s="269" t="s">
        <v>567</v>
      </c>
      <c r="E16" s="233">
        <f t="shared" si="0"/>
        <v>13</v>
      </c>
      <c r="F16" s="97" t="s">
        <v>568</v>
      </c>
      <c r="G16" s="91" t="s">
        <v>569</v>
      </c>
      <c r="H16" s="48" t="s">
        <v>72</v>
      </c>
      <c r="I16" s="48" t="s">
        <v>71</v>
      </c>
      <c r="J16" s="48" t="s">
        <v>71</v>
      </c>
      <c r="K16" s="48" t="s">
        <v>71</v>
      </c>
      <c r="L16" s="48" t="s">
        <v>72</v>
      </c>
      <c r="M16" s="48" t="s">
        <v>72</v>
      </c>
      <c r="N16" s="48" t="s">
        <v>71</v>
      </c>
      <c r="O16" s="48" t="s">
        <v>71</v>
      </c>
      <c r="P16" s="48" t="s">
        <v>71</v>
      </c>
      <c r="Q16" s="64"/>
      <c r="R16" s="49"/>
      <c r="S16" s="66"/>
      <c r="T16" s="85"/>
      <c r="U16" s="100"/>
    </row>
    <row r="17" spans="2:22" ht="28.15" customHeight="1">
      <c r="B17" s="122"/>
      <c r="C17" s="269"/>
      <c r="D17" s="269"/>
      <c r="E17" s="233">
        <f t="shared" si="0"/>
        <v>14</v>
      </c>
      <c r="F17" s="97" t="s">
        <v>570</v>
      </c>
      <c r="G17" s="91" t="s">
        <v>569</v>
      </c>
      <c r="H17" s="48" t="s">
        <v>72</v>
      </c>
      <c r="I17" s="48" t="s">
        <v>71</v>
      </c>
      <c r="J17" s="48" t="s">
        <v>71</v>
      </c>
      <c r="K17" s="48" t="s">
        <v>71</v>
      </c>
      <c r="L17" s="48" t="s">
        <v>72</v>
      </c>
      <c r="M17" s="48" t="s">
        <v>72</v>
      </c>
      <c r="N17" s="48" t="s">
        <v>71</v>
      </c>
      <c r="O17" s="48" t="s">
        <v>71</v>
      </c>
      <c r="P17" s="48" t="s">
        <v>71</v>
      </c>
      <c r="Q17" s="64"/>
      <c r="R17" s="49"/>
      <c r="S17" s="66"/>
      <c r="T17" s="85"/>
      <c r="U17" s="100"/>
    </row>
    <row r="18" spans="2:22" ht="28.15" customHeight="1">
      <c r="B18" s="122"/>
      <c r="C18" s="269"/>
      <c r="D18" s="229"/>
      <c r="E18" s="233">
        <f t="shared" si="0"/>
        <v>15</v>
      </c>
      <c r="F18" s="97" t="s">
        <v>571</v>
      </c>
      <c r="G18" s="91" t="s">
        <v>569</v>
      </c>
      <c r="H18" s="48" t="s">
        <v>72</v>
      </c>
      <c r="I18" s="48" t="s">
        <v>71</v>
      </c>
      <c r="J18" s="48" t="s">
        <v>71</v>
      </c>
      <c r="K18" s="48" t="s">
        <v>71</v>
      </c>
      <c r="L18" s="48" t="s">
        <v>72</v>
      </c>
      <c r="M18" s="48" t="s">
        <v>72</v>
      </c>
      <c r="N18" s="48" t="s">
        <v>71</v>
      </c>
      <c r="O18" s="48" t="s">
        <v>71</v>
      </c>
      <c r="P18" s="48" t="s">
        <v>71</v>
      </c>
      <c r="Q18" s="64"/>
      <c r="R18" s="49"/>
      <c r="S18" s="66"/>
      <c r="T18" s="85"/>
      <c r="U18" s="100"/>
    </row>
    <row r="19" spans="2:22" ht="28.15" customHeight="1">
      <c r="B19" s="122"/>
      <c r="C19" s="123"/>
      <c r="D19" s="269" t="s">
        <v>572</v>
      </c>
      <c r="E19" s="233">
        <f t="shared" si="0"/>
        <v>16</v>
      </c>
      <c r="F19" s="97" t="s">
        <v>573</v>
      </c>
      <c r="G19" s="91" t="s">
        <v>569</v>
      </c>
      <c r="H19" s="48" t="s">
        <v>72</v>
      </c>
      <c r="I19" s="48" t="s">
        <v>71</v>
      </c>
      <c r="J19" s="48" t="s">
        <v>71</v>
      </c>
      <c r="K19" s="48" t="s">
        <v>71</v>
      </c>
      <c r="L19" s="48" t="s">
        <v>72</v>
      </c>
      <c r="M19" s="48" t="s">
        <v>72</v>
      </c>
      <c r="N19" s="48" t="s">
        <v>71</v>
      </c>
      <c r="O19" s="48" t="s">
        <v>71</v>
      </c>
      <c r="P19" s="48" t="s">
        <v>71</v>
      </c>
      <c r="Q19" s="64"/>
      <c r="R19" s="49"/>
      <c r="S19" s="66"/>
      <c r="T19" s="85"/>
      <c r="U19" s="100"/>
    </row>
    <row r="20" spans="2:22" ht="28.15" customHeight="1">
      <c r="B20" s="122"/>
      <c r="C20" s="269"/>
      <c r="D20" s="269"/>
      <c r="E20" s="233">
        <f t="shared" si="0"/>
        <v>17</v>
      </c>
      <c r="F20" s="97" t="s">
        <v>574</v>
      </c>
      <c r="G20" s="91" t="s">
        <v>569</v>
      </c>
      <c r="H20" s="48" t="s">
        <v>72</v>
      </c>
      <c r="I20" s="48" t="s">
        <v>71</v>
      </c>
      <c r="J20" s="48" t="s">
        <v>71</v>
      </c>
      <c r="K20" s="48" t="s">
        <v>71</v>
      </c>
      <c r="L20" s="48" t="s">
        <v>72</v>
      </c>
      <c r="M20" s="48" t="s">
        <v>72</v>
      </c>
      <c r="N20" s="48" t="s">
        <v>71</v>
      </c>
      <c r="O20" s="48" t="s">
        <v>71</v>
      </c>
      <c r="P20" s="48" t="s">
        <v>71</v>
      </c>
      <c r="Q20" s="64"/>
      <c r="R20" s="49"/>
      <c r="S20" s="66"/>
      <c r="T20" s="85"/>
      <c r="U20" s="101"/>
    </row>
    <row r="21" spans="2:22" ht="28.15" customHeight="1">
      <c r="B21" s="122"/>
      <c r="C21" s="269"/>
      <c r="D21" s="269"/>
      <c r="E21" s="233">
        <f t="shared" si="0"/>
        <v>18</v>
      </c>
      <c r="F21" s="97" t="s">
        <v>576</v>
      </c>
      <c r="G21" s="91" t="s">
        <v>569</v>
      </c>
      <c r="H21" s="48" t="s">
        <v>72</v>
      </c>
      <c r="I21" s="48" t="s">
        <v>71</v>
      </c>
      <c r="J21" s="48" t="s">
        <v>71</v>
      </c>
      <c r="K21" s="48" t="s">
        <v>71</v>
      </c>
      <c r="L21" s="48" t="s">
        <v>72</v>
      </c>
      <c r="M21" s="48" t="s">
        <v>72</v>
      </c>
      <c r="N21" s="48" t="s">
        <v>71</v>
      </c>
      <c r="O21" s="48" t="s">
        <v>71</v>
      </c>
      <c r="P21" s="48" t="s">
        <v>71</v>
      </c>
      <c r="Q21" s="64"/>
      <c r="R21" s="49"/>
      <c r="S21" s="66"/>
      <c r="T21" s="85"/>
      <c r="U21" s="101"/>
    </row>
    <row r="22" spans="2:22" ht="28.15" customHeight="1">
      <c r="B22" s="125" t="s">
        <v>577</v>
      </c>
      <c r="C22" s="234" t="s">
        <v>534</v>
      </c>
      <c r="D22" s="234" t="s">
        <v>535</v>
      </c>
      <c r="E22" s="233">
        <f t="shared" si="0"/>
        <v>19</v>
      </c>
      <c r="F22" s="97" t="s">
        <v>536</v>
      </c>
      <c r="G22" s="91" t="s">
        <v>537</v>
      </c>
      <c r="H22" s="48" t="s">
        <v>72</v>
      </c>
      <c r="I22" s="48" t="s">
        <v>71</v>
      </c>
      <c r="J22" s="48" t="s">
        <v>71</v>
      </c>
      <c r="K22" s="48" t="s">
        <v>71</v>
      </c>
      <c r="L22" s="48" t="s">
        <v>72</v>
      </c>
      <c r="M22" s="48" t="s">
        <v>72</v>
      </c>
      <c r="N22" s="48" t="s">
        <v>71</v>
      </c>
      <c r="O22" s="48" t="s">
        <v>71</v>
      </c>
      <c r="P22" s="48" t="s">
        <v>71</v>
      </c>
      <c r="Q22" s="64"/>
      <c r="R22" s="49"/>
      <c r="S22" s="66"/>
      <c r="T22" s="85"/>
      <c r="U22" s="343"/>
    </row>
    <row r="23" spans="2:22" ht="28.15" customHeight="1">
      <c r="B23" s="122"/>
      <c r="C23" s="269" t="s">
        <v>538</v>
      </c>
      <c r="D23" s="327" t="s">
        <v>539</v>
      </c>
      <c r="E23" s="94">
        <f t="shared" si="0"/>
        <v>20</v>
      </c>
      <c r="F23" s="95" t="s">
        <v>540</v>
      </c>
      <c r="G23" s="96" t="s">
        <v>578</v>
      </c>
      <c r="H23" s="50" t="s">
        <v>71</v>
      </c>
      <c r="I23" s="50" t="s">
        <v>71</v>
      </c>
      <c r="J23" s="50" t="s">
        <v>71</v>
      </c>
      <c r="K23" s="50" t="s">
        <v>71</v>
      </c>
      <c r="L23" s="50" t="s">
        <v>71</v>
      </c>
      <c r="M23" s="50" t="s">
        <v>71</v>
      </c>
      <c r="N23" s="50" t="s">
        <v>71</v>
      </c>
      <c r="O23" s="50" t="s">
        <v>71</v>
      </c>
      <c r="P23" s="50" t="s">
        <v>71</v>
      </c>
      <c r="Q23" s="65"/>
      <c r="R23" s="51"/>
      <c r="S23" s="67"/>
      <c r="T23" s="324"/>
      <c r="U23" s="328" t="s">
        <v>661</v>
      </c>
    </row>
    <row r="24" spans="2:22" ht="26.45">
      <c r="B24" s="122"/>
      <c r="C24" s="123"/>
      <c r="D24" s="327" t="s">
        <v>547</v>
      </c>
      <c r="E24" s="94">
        <f t="shared" si="0"/>
        <v>21</v>
      </c>
      <c r="F24" s="95" t="s">
        <v>540</v>
      </c>
      <c r="G24" s="96" t="s">
        <v>578</v>
      </c>
      <c r="H24" s="50" t="s">
        <v>71</v>
      </c>
      <c r="I24" s="50" t="s">
        <v>71</v>
      </c>
      <c r="J24" s="50" t="s">
        <v>71</v>
      </c>
      <c r="K24" s="50" t="s">
        <v>71</v>
      </c>
      <c r="L24" s="50" t="s">
        <v>71</v>
      </c>
      <c r="M24" s="50" t="s">
        <v>71</v>
      </c>
      <c r="N24" s="50" t="s">
        <v>71</v>
      </c>
      <c r="O24" s="50" t="s">
        <v>71</v>
      </c>
      <c r="P24" s="50" t="s">
        <v>71</v>
      </c>
      <c r="Q24" s="65"/>
      <c r="R24" s="51"/>
      <c r="S24" s="67"/>
      <c r="T24" s="324"/>
      <c r="U24" s="328" t="s">
        <v>672</v>
      </c>
    </row>
    <row r="25" spans="2:22" ht="26.45">
      <c r="B25" s="122"/>
      <c r="C25" s="313"/>
      <c r="D25" s="229" t="s">
        <v>549</v>
      </c>
      <c r="E25" s="233">
        <f t="shared" si="0"/>
        <v>22</v>
      </c>
      <c r="F25" s="97" t="s">
        <v>546</v>
      </c>
      <c r="G25" s="91" t="s">
        <v>578</v>
      </c>
      <c r="H25" s="48" t="s">
        <v>72</v>
      </c>
      <c r="I25" s="48" t="s">
        <v>71</v>
      </c>
      <c r="J25" s="48" t="s">
        <v>71</v>
      </c>
      <c r="K25" s="48" t="s">
        <v>71</v>
      </c>
      <c r="L25" s="48" t="s">
        <v>72</v>
      </c>
      <c r="M25" s="48" t="s">
        <v>72</v>
      </c>
      <c r="N25" s="48" t="s">
        <v>71</v>
      </c>
      <c r="O25" s="48" t="s">
        <v>71</v>
      </c>
      <c r="P25" s="48" t="s">
        <v>71</v>
      </c>
      <c r="Q25" s="64"/>
      <c r="R25" s="49"/>
      <c r="S25" s="66"/>
      <c r="T25" s="85"/>
      <c r="U25" s="344"/>
    </row>
    <row r="26" spans="2:22" ht="28.15" customHeight="1">
      <c r="B26" s="122"/>
      <c r="C26" s="312"/>
      <c r="D26" s="229" t="s">
        <v>580</v>
      </c>
      <c r="E26" s="233">
        <f t="shared" si="0"/>
        <v>23</v>
      </c>
      <c r="F26" s="97" t="s">
        <v>540</v>
      </c>
      <c r="G26" s="91" t="s">
        <v>578</v>
      </c>
      <c r="H26" s="48" t="s">
        <v>72</v>
      </c>
      <c r="I26" s="48" t="s">
        <v>71</v>
      </c>
      <c r="J26" s="48" t="s">
        <v>71</v>
      </c>
      <c r="K26" s="48" t="s">
        <v>71</v>
      </c>
      <c r="L26" s="48" t="s">
        <v>72</v>
      </c>
      <c r="M26" s="48" t="s">
        <v>72</v>
      </c>
      <c r="N26" s="48" t="s">
        <v>71</v>
      </c>
      <c r="O26" s="48" t="s">
        <v>71</v>
      </c>
      <c r="P26" s="48" t="s">
        <v>71</v>
      </c>
      <c r="Q26" s="64"/>
      <c r="R26" s="49"/>
      <c r="S26" s="66"/>
      <c r="T26" s="85"/>
      <c r="U26" s="101"/>
    </row>
    <row r="27" spans="2:22" ht="28.15" customHeight="1">
      <c r="B27" s="122"/>
      <c r="C27" s="123"/>
      <c r="D27" s="229" t="s">
        <v>552</v>
      </c>
      <c r="E27" s="233">
        <f t="shared" si="0"/>
        <v>24</v>
      </c>
      <c r="F27" s="97" t="s">
        <v>546</v>
      </c>
      <c r="G27" s="91" t="s">
        <v>578</v>
      </c>
      <c r="H27" s="48" t="s">
        <v>72</v>
      </c>
      <c r="I27" s="48" t="s">
        <v>71</v>
      </c>
      <c r="J27" s="48" t="s">
        <v>71</v>
      </c>
      <c r="K27" s="48" t="s">
        <v>71</v>
      </c>
      <c r="L27" s="48" t="s">
        <v>72</v>
      </c>
      <c r="M27" s="48" t="s">
        <v>72</v>
      </c>
      <c r="N27" s="48" t="s">
        <v>71</v>
      </c>
      <c r="O27" s="48" t="s">
        <v>71</v>
      </c>
      <c r="P27" s="48" t="s">
        <v>71</v>
      </c>
      <c r="Q27" s="64"/>
      <c r="R27" s="49"/>
      <c r="S27" s="66"/>
      <c r="T27" s="85"/>
      <c r="U27" s="344"/>
    </row>
    <row r="28" spans="2:22" ht="28.15" customHeight="1">
      <c r="B28" s="122"/>
      <c r="C28" s="124" t="s">
        <v>553</v>
      </c>
      <c r="D28" s="329" t="s">
        <v>554</v>
      </c>
      <c r="E28" s="94">
        <f t="shared" si="0"/>
        <v>25</v>
      </c>
      <c r="F28" s="95" t="s">
        <v>555</v>
      </c>
      <c r="G28" s="96" t="s">
        <v>581</v>
      </c>
      <c r="H28" s="50" t="s">
        <v>71</v>
      </c>
      <c r="I28" s="50" t="s">
        <v>71</v>
      </c>
      <c r="J28" s="50" t="s">
        <v>71</v>
      </c>
      <c r="K28" s="50" t="s">
        <v>71</v>
      </c>
      <c r="L28" s="50" t="s">
        <v>71</v>
      </c>
      <c r="M28" s="50" t="s">
        <v>71</v>
      </c>
      <c r="N28" s="50" t="s">
        <v>71</v>
      </c>
      <c r="O28" s="50" t="s">
        <v>71</v>
      </c>
      <c r="P28" s="50" t="s">
        <v>71</v>
      </c>
      <c r="Q28" s="65"/>
      <c r="R28" s="51"/>
      <c r="S28" s="67"/>
      <c r="T28" s="324"/>
      <c r="U28" s="328" t="s">
        <v>661</v>
      </c>
      <c r="V28" s="126"/>
    </row>
    <row r="29" spans="2:22" ht="26.45">
      <c r="B29" s="122"/>
      <c r="C29" s="269"/>
      <c r="D29" s="330" t="s">
        <v>558</v>
      </c>
      <c r="E29" s="94">
        <f t="shared" si="0"/>
        <v>26</v>
      </c>
      <c r="F29" s="95" t="s">
        <v>559</v>
      </c>
      <c r="G29" s="96" t="s">
        <v>581</v>
      </c>
      <c r="H29" s="50" t="s">
        <v>71</v>
      </c>
      <c r="I29" s="50" t="s">
        <v>71</v>
      </c>
      <c r="J29" s="50" t="s">
        <v>71</v>
      </c>
      <c r="K29" s="50" t="s">
        <v>71</v>
      </c>
      <c r="L29" s="50" t="s">
        <v>71</v>
      </c>
      <c r="M29" s="50" t="s">
        <v>71</v>
      </c>
      <c r="N29" s="50" t="s">
        <v>71</v>
      </c>
      <c r="O29" s="50" t="s">
        <v>71</v>
      </c>
      <c r="P29" s="50" t="s">
        <v>71</v>
      </c>
      <c r="Q29" s="331"/>
      <c r="R29" s="51"/>
      <c r="S29" s="67"/>
      <c r="T29" s="324"/>
      <c r="U29" s="328"/>
    </row>
    <row r="30" spans="2:22" ht="28.15" customHeight="1">
      <c r="B30" s="122"/>
      <c r="C30" s="269"/>
      <c r="D30" s="269" t="s">
        <v>561</v>
      </c>
      <c r="E30" s="233">
        <f t="shared" si="0"/>
        <v>27</v>
      </c>
      <c r="F30" s="97" t="s">
        <v>562</v>
      </c>
      <c r="G30" s="91" t="s">
        <v>581</v>
      </c>
      <c r="H30" s="48" t="s">
        <v>72</v>
      </c>
      <c r="I30" s="48" t="s">
        <v>71</v>
      </c>
      <c r="J30" s="48" t="s">
        <v>71</v>
      </c>
      <c r="K30" s="48" t="s">
        <v>71</v>
      </c>
      <c r="L30" s="48" t="s">
        <v>72</v>
      </c>
      <c r="M30" s="48" t="s">
        <v>72</v>
      </c>
      <c r="N30" s="48" t="s">
        <v>71</v>
      </c>
      <c r="O30" s="48" t="s">
        <v>71</v>
      </c>
      <c r="P30" s="48" t="s">
        <v>71</v>
      </c>
      <c r="Q30" s="64"/>
      <c r="R30" s="49"/>
      <c r="S30" s="66"/>
      <c r="T30" s="85"/>
      <c r="U30" s="344"/>
      <c r="V30" s="126"/>
    </row>
    <row r="31" spans="2:22" ht="28.9" customHeight="1">
      <c r="B31" s="122"/>
      <c r="C31" s="123"/>
      <c r="D31" s="234" t="s">
        <v>565</v>
      </c>
      <c r="E31" s="233">
        <f t="shared" si="0"/>
        <v>28</v>
      </c>
      <c r="F31" s="97" t="s">
        <v>562</v>
      </c>
      <c r="G31" s="91" t="s">
        <v>581</v>
      </c>
      <c r="H31" s="48" t="s">
        <v>72</v>
      </c>
      <c r="I31" s="48" t="s">
        <v>71</v>
      </c>
      <c r="J31" s="48" t="s">
        <v>71</v>
      </c>
      <c r="K31" s="48" t="s">
        <v>71</v>
      </c>
      <c r="L31" s="48" t="s">
        <v>72</v>
      </c>
      <c r="M31" s="48" t="s">
        <v>72</v>
      </c>
      <c r="N31" s="48" t="s">
        <v>71</v>
      </c>
      <c r="O31" s="48" t="s">
        <v>71</v>
      </c>
      <c r="P31" s="48" t="s">
        <v>71</v>
      </c>
      <c r="Q31" s="64"/>
      <c r="R31" s="49"/>
      <c r="S31" s="66"/>
      <c r="T31" s="85"/>
      <c r="U31" s="344"/>
    </row>
    <row r="32" spans="2:22" ht="28.15" customHeight="1">
      <c r="B32" s="122"/>
      <c r="C32" s="124" t="s">
        <v>566</v>
      </c>
      <c r="D32" s="269" t="s">
        <v>567</v>
      </c>
      <c r="E32" s="233">
        <f t="shared" si="0"/>
        <v>29</v>
      </c>
      <c r="F32" s="97" t="s">
        <v>568</v>
      </c>
      <c r="G32" s="91" t="s">
        <v>582</v>
      </c>
      <c r="H32" s="48" t="s">
        <v>72</v>
      </c>
      <c r="I32" s="48" t="s">
        <v>71</v>
      </c>
      <c r="J32" s="48" t="s">
        <v>71</v>
      </c>
      <c r="K32" s="48" t="s">
        <v>71</v>
      </c>
      <c r="L32" s="48" t="s">
        <v>72</v>
      </c>
      <c r="M32" s="48" t="s">
        <v>72</v>
      </c>
      <c r="N32" s="48" t="s">
        <v>71</v>
      </c>
      <c r="O32" s="48" t="s">
        <v>71</v>
      </c>
      <c r="P32" s="48" t="s">
        <v>71</v>
      </c>
      <c r="Q32" s="64"/>
      <c r="R32" s="49"/>
      <c r="S32" s="66"/>
      <c r="T32" s="85"/>
      <c r="U32" s="344"/>
    </row>
    <row r="33" spans="2:22" ht="28.15" customHeight="1">
      <c r="B33" s="122"/>
      <c r="C33" s="269"/>
      <c r="D33" s="269"/>
      <c r="E33" s="233">
        <f t="shared" si="0"/>
        <v>30</v>
      </c>
      <c r="F33" s="97" t="s">
        <v>570</v>
      </c>
      <c r="G33" s="91" t="s">
        <v>582</v>
      </c>
      <c r="H33" s="48" t="s">
        <v>72</v>
      </c>
      <c r="I33" s="48" t="s">
        <v>71</v>
      </c>
      <c r="J33" s="48" t="s">
        <v>71</v>
      </c>
      <c r="K33" s="48" t="s">
        <v>71</v>
      </c>
      <c r="L33" s="48" t="s">
        <v>72</v>
      </c>
      <c r="M33" s="48" t="s">
        <v>72</v>
      </c>
      <c r="N33" s="48" t="s">
        <v>71</v>
      </c>
      <c r="O33" s="48" t="s">
        <v>71</v>
      </c>
      <c r="P33" s="48" t="s">
        <v>71</v>
      </c>
      <c r="Q33" s="64"/>
      <c r="R33" s="49"/>
      <c r="S33" s="66"/>
      <c r="T33" s="85"/>
      <c r="U33" s="344"/>
    </row>
    <row r="34" spans="2:22" ht="28.15" customHeight="1">
      <c r="B34" s="122"/>
      <c r="C34" s="123"/>
      <c r="D34" s="272" t="s">
        <v>572</v>
      </c>
      <c r="E34" s="233">
        <f t="shared" si="0"/>
        <v>31</v>
      </c>
      <c r="F34" s="97" t="s">
        <v>574</v>
      </c>
      <c r="G34" s="91" t="s">
        <v>582</v>
      </c>
      <c r="H34" s="48" t="s">
        <v>72</v>
      </c>
      <c r="I34" s="48" t="s">
        <v>71</v>
      </c>
      <c r="J34" s="48" t="s">
        <v>71</v>
      </c>
      <c r="K34" s="48" t="s">
        <v>71</v>
      </c>
      <c r="L34" s="48" t="s">
        <v>72</v>
      </c>
      <c r="M34" s="48" t="s">
        <v>72</v>
      </c>
      <c r="N34" s="48" t="s">
        <v>71</v>
      </c>
      <c r="O34" s="48" t="s">
        <v>71</v>
      </c>
      <c r="P34" s="48" t="s">
        <v>71</v>
      </c>
      <c r="Q34" s="64"/>
      <c r="R34" s="49"/>
      <c r="S34" s="66"/>
      <c r="T34" s="85"/>
      <c r="U34" s="344"/>
    </row>
    <row r="35" spans="2:22" ht="28.15" customHeight="1">
      <c r="B35" s="122"/>
      <c r="C35" s="269"/>
      <c r="D35" s="269"/>
      <c r="E35" s="233">
        <f t="shared" si="0"/>
        <v>32</v>
      </c>
      <c r="F35" s="97" t="s">
        <v>576</v>
      </c>
      <c r="G35" s="91" t="s">
        <v>582</v>
      </c>
      <c r="H35" s="48" t="s">
        <v>72</v>
      </c>
      <c r="I35" s="48" t="s">
        <v>71</v>
      </c>
      <c r="J35" s="48" t="s">
        <v>71</v>
      </c>
      <c r="K35" s="48" t="s">
        <v>71</v>
      </c>
      <c r="L35" s="48" t="s">
        <v>72</v>
      </c>
      <c r="M35" s="48" t="s">
        <v>72</v>
      </c>
      <c r="N35" s="48" t="s">
        <v>71</v>
      </c>
      <c r="O35" s="48" t="s">
        <v>71</v>
      </c>
      <c r="P35" s="48" t="s">
        <v>71</v>
      </c>
      <c r="Q35" s="64"/>
      <c r="R35" s="49"/>
      <c r="S35" s="66"/>
      <c r="T35" s="85"/>
      <c r="U35" s="344"/>
    </row>
    <row r="36" spans="2:22" ht="28.15" customHeight="1">
      <c r="B36" s="125" t="s">
        <v>585</v>
      </c>
      <c r="C36" s="270" t="s">
        <v>530</v>
      </c>
      <c r="D36" s="235"/>
      <c r="E36" s="233">
        <f t="shared" si="0"/>
        <v>33</v>
      </c>
      <c r="F36" s="97" t="s">
        <v>586</v>
      </c>
      <c r="G36" s="91" t="s">
        <v>587</v>
      </c>
      <c r="H36" s="48" t="s">
        <v>72</v>
      </c>
      <c r="I36" s="48" t="s">
        <v>71</v>
      </c>
      <c r="J36" s="48" t="s">
        <v>71</v>
      </c>
      <c r="K36" s="48" t="s">
        <v>71</v>
      </c>
      <c r="L36" s="48" t="s">
        <v>71</v>
      </c>
      <c r="M36" s="48" t="s">
        <v>71</v>
      </c>
      <c r="N36" s="48" t="s">
        <v>71</v>
      </c>
      <c r="O36" s="48" t="s">
        <v>72</v>
      </c>
      <c r="P36" s="48" t="s">
        <v>71</v>
      </c>
      <c r="Q36" s="64"/>
      <c r="R36" s="49"/>
      <c r="S36" s="66"/>
      <c r="T36" s="85"/>
      <c r="U36" s="100"/>
    </row>
    <row r="37" spans="2:22" ht="28.15" customHeight="1">
      <c r="B37" s="122"/>
      <c r="C37" s="271" t="s">
        <v>588</v>
      </c>
      <c r="D37" s="235" t="s">
        <v>589</v>
      </c>
      <c r="E37" s="233">
        <f t="shared" si="0"/>
        <v>34</v>
      </c>
      <c r="F37" s="97" t="s">
        <v>536</v>
      </c>
      <c r="G37" s="91" t="s">
        <v>590</v>
      </c>
      <c r="H37" s="48" t="s">
        <v>72</v>
      </c>
      <c r="I37" s="48" t="s">
        <v>71</v>
      </c>
      <c r="J37" s="48" t="s">
        <v>71</v>
      </c>
      <c r="K37" s="48" t="s">
        <v>71</v>
      </c>
      <c r="L37" s="48" t="s">
        <v>72</v>
      </c>
      <c r="M37" s="48" t="s">
        <v>72</v>
      </c>
      <c r="N37" s="48" t="s">
        <v>71</v>
      </c>
      <c r="O37" s="48" t="s">
        <v>72</v>
      </c>
      <c r="P37" s="48" t="s">
        <v>71</v>
      </c>
      <c r="Q37" s="64"/>
      <c r="R37" s="49"/>
      <c r="S37" s="66"/>
      <c r="T37" s="85"/>
      <c r="U37" s="100"/>
    </row>
    <row r="38" spans="2:22" ht="28.15" customHeight="1">
      <c r="B38" s="122"/>
      <c r="C38" s="269"/>
      <c r="D38" s="232" t="s">
        <v>591</v>
      </c>
      <c r="E38" s="233">
        <f t="shared" si="0"/>
        <v>35</v>
      </c>
      <c r="F38" s="97" t="s">
        <v>592</v>
      </c>
      <c r="G38" s="91" t="s">
        <v>590</v>
      </c>
      <c r="H38" s="48" t="s">
        <v>72</v>
      </c>
      <c r="I38" s="48" t="s">
        <v>71</v>
      </c>
      <c r="J38" s="48" t="s">
        <v>71</v>
      </c>
      <c r="K38" s="48" t="s">
        <v>71</v>
      </c>
      <c r="L38" s="48" t="s">
        <v>72</v>
      </c>
      <c r="M38" s="48" t="s">
        <v>72</v>
      </c>
      <c r="N38" s="48" t="s">
        <v>71</v>
      </c>
      <c r="O38" s="48" t="s">
        <v>72</v>
      </c>
      <c r="P38" s="48" t="s">
        <v>71</v>
      </c>
      <c r="Q38" s="64"/>
      <c r="R38" s="49"/>
      <c r="S38" s="66"/>
      <c r="T38" s="85"/>
      <c r="U38" s="100"/>
    </row>
    <row r="39" spans="2:22" ht="28.15" customHeight="1">
      <c r="B39" s="122"/>
      <c r="C39" s="123"/>
      <c r="D39" s="232" t="s">
        <v>593</v>
      </c>
      <c r="E39" s="233">
        <f t="shared" si="0"/>
        <v>36</v>
      </c>
      <c r="F39" s="97" t="s">
        <v>594</v>
      </c>
      <c r="G39" s="91" t="s">
        <v>590</v>
      </c>
      <c r="H39" s="48" t="s">
        <v>72</v>
      </c>
      <c r="I39" s="48" t="s">
        <v>71</v>
      </c>
      <c r="J39" s="48" t="s">
        <v>71</v>
      </c>
      <c r="K39" s="48" t="s">
        <v>71</v>
      </c>
      <c r="L39" s="48" t="s">
        <v>72</v>
      </c>
      <c r="M39" s="48" t="s">
        <v>72</v>
      </c>
      <c r="N39" s="48" t="s">
        <v>71</v>
      </c>
      <c r="O39" s="48" t="s">
        <v>72</v>
      </c>
      <c r="P39" s="48" t="s">
        <v>71</v>
      </c>
      <c r="Q39" s="64"/>
      <c r="R39" s="49"/>
      <c r="S39" s="66"/>
      <c r="T39" s="85"/>
      <c r="U39" s="100" t="s">
        <v>673</v>
      </c>
    </row>
    <row r="40" spans="2:22" ht="28.15" customHeight="1">
      <c r="B40" s="122"/>
      <c r="C40" s="272" t="s">
        <v>595</v>
      </c>
      <c r="D40" s="235" t="s">
        <v>589</v>
      </c>
      <c r="E40" s="233">
        <f t="shared" si="0"/>
        <v>37</v>
      </c>
      <c r="F40" s="97" t="s">
        <v>536</v>
      </c>
      <c r="G40" s="91" t="s">
        <v>596</v>
      </c>
      <c r="H40" s="48" t="s">
        <v>72</v>
      </c>
      <c r="I40" s="48" t="s">
        <v>71</v>
      </c>
      <c r="J40" s="48" t="s">
        <v>71</v>
      </c>
      <c r="K40" s="48" t="s">
        <v>71</v>
      </c>
      <c r="L40" s="48" t="s">
        <v>72</v>
      </c>
      <c r="M40" s="48" t="s">
        <v>72</v>
      </c>
      <c r="N40" s="48" t="s">
        <v>71</v>
      </c>
      <c r="O40" s="48" t="s">
        <v>72</v>
      </c>
      <c r="P40" s="48" t="s">
        <v>71</v>
      </c>
      <c r="Q40" s="64"/>
      <c r="R40" s="49"/>
      <c r="S40" s="66"/>
      <c r="T40" s="85"/>
      <c r="U40" s="100"/>
    </row>
    <row r="41" spans="2:22" ht="28.15" customHeight="1">
      <c r="B41" s="122"/>
      <c r="C41" s="123"/>
      <c r="D41" s="232" t="s">
        <v>591</v>
      </c>
      <c r="E41" s="233">
        <f t="shared" si="0"/>
        <v>38</v>
      </c>
      <c r="F41" s="97" t="s">
        <v>592</v>
      </c>
      <c r="G41" s="91" t="s">
        <v>596</v>
      </c>
      <c r="H41" s="48" t="s">
        <v>72</v>
      </c>
      <c r="I41" s="48" t="s">
        <v>71</v>
      </c>
      <c r="J41" s="48" t="s">
        <v>71</v>
      </c>
      <c r="K41" s="48" t="s">
        <v>71</v>
      </c>
      <c r="L41" s="48" t="s">
        <v>72</v>
      </c>
      <c r="M41" s="48" t="s">
        <v>72</v>
      </c>
      <c r="N41" s="48" t="s">
        <v>71</v>
      </c>
      <c r="O41" s="48" t="s">
        <v>72</v>
      </c>
      <c r="P41" s="48" t="s">
        <v>71</v>
      </c>
      <c r="Q41" s="64"/>
      <c r="R41" s="49"/>
      <c r="S41" s="66"/>
      <c r="T41" s="85"/>
      <c r="U41" s="100"/>
    </row>
    <row r="42" spans="2:22" ht="28.15" customHeight="1">
      <c r="B42" s="122"/>
      <c r="C42" s="123"/>
      <c r="D42" s="232" t="s">
        <v>593</v>
      </c>
      <c r="E42" s="233">
        <f t="shared" si="0"/>
        <v>39</v>
      </c>
      <c r="F42" s="97" t="s">
        <v>594</v>
      </c>
      <c r="G42" s="91" t="s">
        <v>596</v>
      </c>
      <c r="H42" s="48" t="s">
        <v>72</v>
      </c>
      <c r="I42" s="48" t="s">
        <v>71</v>
      </c>
      <c r="J42" s="48" t="s">
        <v>71</v>
      </c>
      <c r="K42" s="48" t="s">
        <v>71</v>
      </c>
      <c r="L42" s="48" t="s">
        <v>72</v>
      </c>
      <c r="M42" s="48" t="s">
        <v>72</v>
      </c>
      <c r="N42" s="48" t="s">
        <v>71</v>
      </c>
      <c r="O42" s="48" t="s">
        <v>72</v>
      </c>
      <c r="P42" s="48" t="s">
        <v>71</v>
      </c>
      <c r="Q42" s="64"/>
      <c r="R42" s="49"/>
      <c r="S42" s="66"/>
      <c r="T42" s="85"/>
      <c r="U42" s="100" t="s">
        <v>673</v>
      </c>
      <c r="V42" s="126"/>
    </row>
    <row r="43" spans="2:22" ht="28.15" customHeight="1">
      <c r="B43" s="122"/>
      <c r="C43" s="272" t="s">
        <v>597</v>
      </c>
      <c r="D43" s="235" t="s">
        <v>589</v>
      </c>
      <c r="E43" s="233">
        <f t="shared" si="0"/>
        <v>40</v>
      </c>
      <c r="F43" s="97" t="s">
        <v>536</v>
      </c>
      <c r="G43" s="91" t="s">
        <v>598</v>
      </c>
      <c r="H43" s="48" t="s">
        <v>72</v>
      </c>
      <c r="I43" s="48" t="s">
        <v>71</v>
      </c>
      <c r="J43" s="48" t="s">
        <v>71</v>
      </c>
      <c r="K43" s="48" t="s">
        <v>71</v>
      </c>
      <c r="L43" s="48" t="s">
        <v>72</v>
      </c>
      <c r="M43" s="48" t="s">
        <v>72</v>
      </c>
      <c r="N43" s="48" t="s">
        <v>71</v>
      </c>
      <c r="O43" s="48" t="s">
        <v>72</v>
      </c>
      <c r="P43" s="48" t="s">
        <v>71</v>
      </c>
      <c r="Q43" s="64"/>
      <c r="R43" s="49"/>
      <c r="S43" s="66"/>
      <c r="T43" s="85"/>
      <c r="U43" s="101"/>
      <c r="V43" s="126"/>
    </row>
    <row r="44" spans="2:22" ht="28.15" customHeight="1">
      <c r="B44" s="122"/>
      <c r="C44" s="123"/>
      <c r="D44" s="232" t="s">
        <v>591</v>
      </c>
      <c r="E44" s="233">
        <f t="shared" si="0"/>
        <v>41</v>
      </c>
      <c r="F44" s="97" t="s">
        <v>592</v>
      </c>
      <c r="G44" s="91" t="s">
        <v>598</v>
      </c>
      <c r="H44" s="48" t="s">
        <v>72</v>
      </c>
      <c r="I44" s="48" t="s">
        <v>71</v>
      </c>
      <c r="J44" s="48" t="s">
        <v>71</v>
      </c>
      <c r="K44" s="48" t="s">
        <v>71</v>
      </c>
      <c r="L44" s="48" t="s">
        <v>72</v>
      </c>
      <c r="M44" s="48" t="s">
        <v>72</v>
      </c>
      <c r="N44" s="48" t="s">
        <v>71</v>
      </c>
      <c r="O44" s="48" t="s">
        <v>72</v>
      </c>
      <c r="P44" s="48" t="s">
        <v>71</v>
      </c>
      <c r="Q44" s="64"/>
      <c r="R44" s="49"/>
      <c r="S44" s="66"/>
      <c r="T44" s="85"/>
      <c r="U44" s="101"/>
      <c r="V44" s="126"/>
    </row>
    <row r="45" spans="2:22" ht="28.15" customHeight="1">
      <c r="B45" s="122"/>
      <c r="C45" s="123"/>
      <c r="D45" s="232" t="s">
        <v>593</v>
      </c>
      <c r="E45" s="233">
        <f t="shared" si="0"/>
        <v>42</v>
      </c>
      <c r="F45" s="97" t="s">
        <v>594</v>
      </c>
      <c r="G45" s="91" t="s">
        <v>598</v>
      </c>
      <c r="H45" s="48" t="s">
        <v>72</v>
      </c>
      <c r="I45" s="48" t="s">
        <v>71</v>
      </c>
      <c r="J45" s="48" t="s">
        <v>71</v>
      </c>
      <c r="K45" s="48" t="s">
        <v>71</v>
      </c>
      <c r="L45" s="48" t="s">
        <v>72</v>
      </c>
      <c r="M45" s="48" t="s">
        <v>72</v>
      </c>
      <c r="N45" s="48" t="s">
        <v>71</v>
      </c>
      <c r="O45" s="48" t="s">
        <v>72</v>
      </c>
      <c r="P45" s="48" t="s">
        <v>71</v>
      </c>
      <c r="Q45" s="64"/>
      <c r="R45" s="49"/>
      <c r="S45" s="66"/>
      <c r="T45" s="85"/>
      <c r="U45" s="100" t="s">
        <v>673</v>
      </c>
      <c r="V45" s="126"/>
    </row>
    <row r="46" spans="2:22" ht="28.15" customHeight="1">
      <c r="B46" s="122"/>
      <c r="C46" s="124" t="s">
        <v>271</v>
      </c>
      <c r="D46" s="235" t="s">
        <v>589</v>
      </c>
      <c r="E46" s="233">
        <f t="shared" si="0"/>
        <v>43</v>
      </c>
      <c r="F46" s="97" t="s">
        <v>536</v>
      </c>
      <c r="G46" s="91" t="s">
        <v>599</v>
      </c>
      <c r="H46" s="48" t="s">
        <v>72</v>
      </c>
      <c r="I46" s="48" t="s">
        <v>71</v>
      </c>
      <c r="J46" s="48" t="s">
        <v>71</v>
      </c>
      <c r="K46" s="48" t="s">
        <v>71</v>
      </c>
      <c r="L46" s="48" t="s">
        <v>72</v>
      </c>
      <c r="M46" s="48" t="s">
        <v>72</v>
      </c>
      <c r="N46" s="48" t="s">
        <v>71</v>
      </c>
      <c r="O46" s="48" t="s">
        <v>72</v>
      </c>
      <c r="P46" s="48" t="s">
        <v>71</v>
      </c>
      <c r="Q46" s="64"/>
      <c r="R46" s="49"/>
      <c r="S46" s="66"/>
      <c r="T46" s="85"/>
      <c r="U46" s="100"/>
    </row>
    <row r="47" spans="2:22" ht="28.15" customHeight="1">
      <c r="B47" s="122"/>
      <c r="C47" s="123"/>
      <c r="D47" s="232" t="s">
        <v>591</v>
      </c>
      <c r="E47" s="233">
        <f t="shared" si="0"/>
        <v>44</v>
      </c>
      <c r="F47" s="97" t="s">
        <v>592</v>
      </c>
      <c r="G47" s="91" t="s">
        <v>599</v>
      </c>
      <c r="H47" s="48" t="s">
        <v>72</v>
      </c>
      <c r="I47" s="48" t="s">
        <v>71</v>
      </c>
      <c r="J47" s="48" t="s">
        <v>71</v>
      </c>
      <c r="K47" s="48" t="s">
        <v>71</v>
      </c>
      <c r="L47" s="48" t="s">
        <v>72</v>
      </c>
      <c r="M47" s="48" t="s">
        <v>72</v>
      </c>
      <c r="N47" s="48" t="s">
        <v>71</v>
      </c>
      <c r="O47" s="48" t="s">
        <v>72</v>
      </c>
      <c r="P47" s="48" t="s">
        <v>71</v>
      </c>
      <c r="Q47" s="64"/>
      <c r="R47" s="49"/>
      <c r="S47" s="66"/>
      <c r="T47" s="85"/>
      <c r="U47" s="100"/>
      <c r="V47" s="126"/>
    </row>
    <row r="48" spans="2:22" ht="28.15" customHeight="1">
      <c r="B48" s="122"/>
      <c r="C48" s="229"/>
      <c r="D48" s="232" t="s">
        <v>593</v>
      </c>
      <c r="E48" s="233">
        <f t="shared" si="0"/>
        <v>45</v>
      </c>
      <c r="F48" s="97" t="s">
        <v>594</v>
      </c>
      <c r="G48" s="91" t="s">
        <v>599</v>
      </c>
      <c r="H48" s="48" t="s">
        <v>72</v>
      </c>
      <c r="I48" s="48" t="s">
        <v>71</v>
      </c>
      <c r="J48" s="48" t="s">
        <v>71</v>
      </c>
      <c r="K48" s="48" t="s">
        <v>71</v>
      </c>
      <c r="L48" s="48" t="s">
        <v>72</v>
      </c>
      <c r="M48" s="48" t="s">
        <v>72</v>
      </c>
      <c r="N48" s="48" t="s">
        <v>71</v>
      </c>
      <c r="O48" s="48" t="s">
        <v>72</v>
      </c>
      <c r="P48" s="48" t="s">
        <v>71</v>
      </c>
      <c r="Q48" s="64"/>
      <c r="R48" s="49"/>
      <c r="S48" s="66"/>
      <c r="T48" s="85"/>
      <c r="U48" s="100" t="s">
        <v>673</v>
      </c>
      <c r="V48" s="126"/>
    </row>
    <row r="49" spans="2:22" ht="28.15" customHeight="1">
      <c r="B49" s="122"/>
      <c r="C49" s="124" t="s">
        <v>600</v>
      </c>
      <c r="D49" s="329" t="s">
        <v>674</v>
      </c>
      <c r="E49" s="94">
        <f t="shared" si="0"/>
        <v>46</v>
      </c>
      <c r="F49" s="95" t="s">
        <v>602</v>
      </c>
      <c r="G49" s="96" t="s">
        <v>666</v>
      </c>
      <c r="H49" s="50" t="s">
        <v>71</v>
      </c>
      <c r="I49" s="50" t="s">
        <v>71</v>
      </c>
      <c r="J49" s="50" t="s">
        <v>71</v>
      </c>
      <c r="K49" s="50" t="s">
        <v>71</v>
      </c>
      <c r="L49" s="50" t="s">
        <v>71</v>
      </c>
      <c r="M49" s="50" t="s">
        <v>71</v>
      </c>
      <c r="N49" s="50" t="s">
        <v>71</v>
      </c>
      <c r="O49" s="50" t="s">
        <v>71</v>
      </c>
      <c r="P49" s="50" t="s">
        <v>71</v>
      </c>
      <c r="Q49" s="65"/>
      <c r="R49" s="51"/>
      <c r="S49" s="67"/>
      <c r="T49" s="324"/>
      <c r="U49" s="328" t="s">
        <v>669</v>
      </c>
      <c r="V49" s="126"/>
    </row>
    <row r="50" spans="2:22" ht="28.15" customHeight="1">
      <c r="B50" s="122"/>
      <c r="C50" s="269"/>
      <c r="D50" s="234" t="s">
        <v>675</v>
      </c>
      <c r="E50" s="233">
        <f t="shared" si="0"/>
        <v>47</v>
      </c>
      <c r="F50" s="97" t="s">
        <v>606</v>
      </c>
      <c r="G50" s="91" t="s">
        <v>603</v>
      </c>
      <c r="H50" s="48" t="s">
        <v>72</v>
      </c>
      <c r="I50" s="48" t="s">
        <v>71</v>
      </c>
      <c r="J50" s="48" t="s">
        <v>71</v>
      </c>
      <c r="K50" s="48" t="s">
        <v>72</v>
      </c>
      <c r="L50" s="48" t="s">
        <v>72</v>
      </c>
      <c r="M50" s="48" t="s">
        <v>72</v>
      </c>
      <c r="N50" s="48" t="s">
        <v>71</v>
      </c>
      <c r="O50" s="48" t="s">
        <v>72</v>
      </c>
      <c r="P50" s="48" t="s">
        <v>71</v>
      </c>
      <c r="Q50" s="64"/>
      <c r="R50" s="49"/>
      <c r="S50" s="66"/>
      <c r="T50" s="85"/>
      <c r="U50" s="100"/>
    </row>
    <row r="51" spans="2:22" ht="28.9" customHeight="1">
      <c r="B51" s="122"/>
      <c r="C51" s="123"/>
      <c r="D51" s="234" t="s">
        <v>676</v>
      </c>
      <c r="E51" s="233">
        <f t="shared" si="0"/>
        <v>48</v>
      </c>
      <c r="F51" s="97" t="s">
        <v>608</v>
      </c>
      <c r="G51" s="91" t="s">
        <v>609</v>
      </c>
      <c r="H51" s="48" t="s">
        <v>72</v>
      </c>
      <c r="I51" s="48" t="s">
        <v>71</v>
      </c>
      <c r="J51" s="48" t="s">
        <v>71</v>
      </c>
      <c r="K51" s="48" t="s">
        <v>72</v>
      </c>
      <c r="L51" s="48" t="s">
        <v>72</v>
      </c>
      <c r="M51" s="48" t="s">
        <v>72</v>
      </c>
      <c r="N51" s="48" t="s">
        <v>71</v>
      </c>
      <c r="O51" s="48" t="s">
        <v>72</v>
      </c>
      <c r="P51" s="48" t="s">
        <v>71</v>
      </c>
      <c r="Q51" s="64"/>
      <c r="R51" s="49"/>
      <c r="S51" s="66"/>
      <c r="T51" s="85"/>
      <c r="U51" s="100"/>
    </row>
    <row r="52" spans="2:22" ht="28.15" customHeight="1">
      <c r="B52" s="122"/>
      <c r="C52" s="124" t="s">
        <v>610</v>
      </c>
      <c r="D52" s="329" t="s">
        <v>530</v>
      </c>
      <c r="E52" s="94">
        <f t="shared" si="0"/>
        <v>49</v>
      </c>
      <c r="F52" s="95" t="s">
        <v>611</v>
      </c>
      <c r="G52" s="96" t="s">
        <v>612</v>
      </c>
      <c r="H52" s="50" t="s">
        <v>71</v>
      </c>
      <c r="I52" s="50" t="s">
        <v>71</v>
      </c>
      <c r="J52" s="50" t="s">
        <v>71</v>
      </c>
      <c r="K52" s="50" t="s">
        <v>71</v>
      </c>
      <c r="L52" s="50" t="s">
        <v>71</v>
      </c>
      <c r="M52" s="50" t="s">
        <v>71</v>
      </c>
      <c r="N52" s="50" t="s">
        <v>71</v>
      </c>
      <c r="O52" s="50" t="s">
        <v>71</v>
      </c>
      <c r="P52" s="50" t="s">
        <v>71</v>
      </c>
      <c r="Q52" s="65"/>
      <c r="R52" s="51"/>
      <c r="S52" s="67"/>
      <c r="T52" s="324"/>
      <c r="U52" s="328" t="s">
        <v>669</v>
      </c>
      <c r="V52" s="126"/>
    </row>
    <row r="53" spans="2:22" ht="28.15" customHeight="1">
      <c r="B53" s="122"/>
      <c r="C53" s="269"/>
      <c r="D53" s="272" t="s">
        <v>613</v>
      </c>
      <c r="E53" s="233">
        <f t="shared" si="0"/>
        <v>50</v>
      </c>
      <c r="F53" s="97" t="s">
        <v>592</v>
      </c>
      <c r="G53" s="91" t="s">
        <v>614</v>
      </c>
      <c r="H53" s="48" t="s">
        <v>72</v>
      </c>
      <c r="I53" s="48" t="s">
        <v>71</v>
      </c>
      <c r="J53" s="48" t="s">
        <v>71</v>
      </c>
      <c r="K53" s="48" t="s">
        <v>72</v>
      </c>
      <c r="L53" s="48" t="s">
        <v>72</v>
      </c>
      <c r="M53" s="48" t="s">
        <v>72</v>
      </c>
      <c r="N53" s="48" t="s">
        <v>71</v>
      </c>
      <c r="O53" s="48" t="s">
        <v>72</v>
      </c>
      <c r="P53" s="48" t="s">
        <v>71</v>
      </c>
      <c r="Q53" s="64"/>
      <c r="R53" s="49"/>
      <c r="S53" s="66"/>
      <c r="T53" s="85"/>
      <c r="U53" s="100"/>
    </row>
    <row r="54" spans="2:22" ht="28.9" customHeight="1">
      <c r="B54" s="122"/>
      <c r="C54" s="123"/>
      <c r="D54" s="229"/>
      <c r="E54" s="233">
        <f t="shared" si="0"/>
        <v>51</v>
      </c>
      <c r="F54" s="97" t="s">
        <v>536</v>
      </c>
      <c r="G54" s="91" t="s">
        <v>615</v>
      </c>
      <c r="H54" s="48" t="s">
        <v>72</v>
      </c>
      <c r="I54" s="48" t="s">
        <v>71</v>
      </c>
      <c r="J54" s="48" t="s">
        <v>71</v>
      </c>
      <c r="K54" s="48" t="s">
        <v>72</v>
      </c>
      <c r="L54" s="48" t="s">
        <v>72</v>
      </c>
      <c r="M54" s="48" t="s">
        <v>72</v>
      </c>
      <c r="N54" s="48" t="s">
        <v>71</v>
      </c>
      <c r="O54" s="48" t="s">
        <v>72</v>
      </c>
      <c r="P54" s="48" t="s">
        <v>71</v>
      </c>
      <c r="Q54" s="64"/>
      <c r="R54" s="49"/>
      <c r="S54" s="66"/>
      <c r="T54" s="85"/>
      <c r="U54" s="100"/>
    </row>
    <row r="55" spans="2:22" ht="28.15" customHeight="1">
      <c r="B55" s="278" t="s">
        <v>616</v>
      </c>
      <c r="C55" s="294" t="s">
        <v>617</v>
      </c>
      <c r="D55" s="280" t="s">
        <v>618</v>
      </c>
      <c r="E55" s="281">
        <f t="shared" ref="E55:E72" si="1">ROW()-3</f>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1"/>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1"/>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1"/>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1"/>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1"/>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1"/>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1"/>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1"/>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1"/>
        <v>61</v>
      </c>
      <c r="F64" s="90" t="s">
        <v>619</v>
      </c>
      <c r="G64" s="91" t="s">
        <v>620</v>
      </c>
      <c r="H64" s="78" t="s">
        <v>72</v>
      </c>
      <c r="I64" s="48" t="s">
        <v>71</v>
      </c>
      <c r="J64" s="48" t="s">
        <v>71</v>
      </c>
      <c r="K64" s="48" t="s">
        <v>71</v>
      </c>
      <c r="L64" s="78" t="s">
        <v>72</v>
      </c>
      <c r="M64" s="78" t="s">
        <v>72</v>
      </c>
      <c r="N64" s="48" t="s">
        <v>71</v>
      </c>
      <c r="O64" s="48" t="s">
        <v>71</v>
      </c>
      <c r="P64" s="62" t="s">
        <v>71</v>
      </c>
      <c r="Q64" s="64"/>
      <c r="R64" s="49"/>
      <c r="S64" s="66"/>
      <c r="T64" s="85"/>
      <c r="U64" s="100"/>
      <c r="V64" s="126"/>
    </row>
    <row r="65" spans="1:22" ht="48.6" customHeight="1">
      <c r="B65" s="273" t="s">
        <v>655</v>
      </c>
      <c r="C65" s="123"/>
      <c r="D65" s="88" t="s">
        <v>627</v>
      </c>
      <c r="E65" s="89">
        <f t="shared" si="1"/>
        <v>62</v>
      </c>
      <c r="F65" s="90" t="s">
        <v>627</v>
      </c>
      <c r="G65" s="91" t="s">
        <v>624</v>
      </c>
      <c r="H65" s="78" t="s">
        <v>72</v>
      </c>
      <c r="I65" s="48" t="s">
        <v>71</v>
      </c>
      <c r="J65" s="48" t="s">
        <v>71</v>
      </c>
      <c r="K65" s="48" t="s">
        <v>71</v>
      </c>
      <c r="L65" s="48" t="s">
        <v>71</v>
      </c>
      <c r="M65" s="48" t="s">
        <v>71</v>
      </c>
      <c r="N65" s="48" t="s">
        <v>71</v>
      </c>
      <c r="O65" s="48" t="s">
        <v>71</v>
      </c>
      <c r="P65" s="62" t="s">
        <v>71</v>
      </c>
      <c r="Q65" s="64"/>
      <c r="R65" s="49"/>
      <c r="S65" s="66"/>
      <c r="T65" s="85"/>
      <c r="U65" s="100"/>
      <c r="V65" s="126"/>
    </row>
    <row r="66" spans="1:22" ht="28.15" customHeight="1">
      <c r="B66" s="122"/>
      <c r="C66" s="123"/>
      <c r="D66" s="88" t="s">
        <v>656</v>
      </c>
      <c r="E66" s="89">
        <f t="shared" si="1"/>
        <v>63</v>
      </c>
      <c r="F66" s="90" t="s">
        <v>657</v>
      </c>
      <c r="G66" s="91" t="s">
        <v>624</v>
      </c>
      <c r="H66" s="78" t="s">
        <v>72</v>
      </c>
      <c r="I66" s="48" t="s">
        <v>71</v>
      </c>
      <c r="J66" s="48" t="s">
        <v>71</v>
      </c>
      <c r="K66" s="48" t="s">
        <v>71</v>
      </c>
      <c r="L66" s="78" t="s">
        <v>72</v>
      </c>
      <c r="M66" s="78" t="s">
        <v>72</v>
      </c>
      <c r="N66" s="48" t="s">
        <v>71</v>
      </c>
      <c r="O66" s="48" t="s">
        <v>71</v>
      </c>
      <c r="P66" s="62" t="s">
        <v>71</v>
      </c>
      <c r="Q66" s="64"/>
      <c r="R66" s="49"/>
      <c r="S66" s="66"/>
      <c r="T66" s="85"/>
      <c r="U66" s="100"/>
    </row>
    <row r="67" spans="1:22" ht="28.15" customHeight="1">
      <c r="B67" s="122"/>
      <c r="C67" s="123"/>
      <c r="D67" s="88" t="s">
        <v>638</v>
      </c>
      <c r="E67" s="89">
        <f t="shared" si="1"/>
        <v>64</v>
      </c>
      <c r="F67" s="88" t="s">
        <v>277</v>
      </c>
      <c r="G67" s="91" t="s">
        <v>624</v>
      </c>
      <c r="H67" s="78" t="s">
        <v>72</v>
      </c>
      <c r="I67" s="48" t="s">
        <v>71</v>
      </c>
      <c r="J67" s="48" t="s">
        <v>71</v>
      </c>
      <c r="K67" s="48" t="s">
        <v>71</v>
      </c>
      <c r="L67" s="48" t="s">
        <v>71</v>
      </c>
      <c r="M67" s="48" t="s">
        <v>71</v>
      </c>
      <c r="N67" s="48" t="s">
        <v>71</v>
      </c>
      <c r="O67" s="48" t="s">
        <v>71</v>
      </c>
      <c r="P67" s="62" t="s">
        <v>71</v>
      </c>
      <c r="Q67" s="64"/>
      <c r="R67" s="49"/>
      <c r="S67" s="66"/>
      <c r="T67" s="85"/>
      <c r="U67" s="100"/>
    </row>
    <row r="68" spans="1:22" ht="28.15" customHeight="1">
      <c r="B68" s="122"/>
      <c r="C68" s="123"/>
      <c r="D68" s="88" t="s">
        <v>639</v>
      </c>
      <c r="E68" s="89">
        <f t="shared" si="1"/>
        <v>65</v>
      </c>
      <c r="F68" s="88" t="s">
        <v>280</v>
      </c>
      <c r="G68" s="91" t="s">
        <v>624</v>
      </c>
      <c r="H68" s="78" t="s">
        <v>72</v>
      </c>
      <c r="I68" s="48" t="s">
        <v>71</v>
      </c>
      <c r="J68" s="48" t="s">
        <v>71</v>
      </c>
      <c r="K68" s="48" t="s">
        <v>71</v>
      </c>
      <c r="L68" s="48" t="s">
        <v>71</v>
      </c>
      <c r="M68" s="48" t="s">
        <v>71</v>
      </c>
      <c r="N68" s="48" t="s">
        <v>71</v>
      </c>
      <c r="O68" s="48" t="s">
        <v>71</v>
      </c>
      <c r="P68" s="62" t="s">
        <v>71</v>
      </c>
      <c r="Q68" s="64"/>
      <c r="R68" s="49"/>
      <c r="S68" s="66"/>
      <c r="T68" s="85"/>
      <c r="U68" s="100"/>
      <c r="V68" s="126"/>
    </row>
    <row r="69" spans="1:22" ht="28.15" customHeight="1">
      <c r="B69" s="122"/>
      <c r="C69" s="123"/>
      <c r="D69" s="88" t="s">
        <v>640</v>
      </c>
      <c r="E69" s="89">
        <f t="shared" si="1"/>
        <v>66</v>
      </c>
      <c r="F69" s="88" t="s">
        <v>283</v>
      </c>
      <c r="G69" s="91" t="s">
        <v>624</v>
      </c>
      <c r="H69" s="78" t="s">
        <v>72</v>
      </c>
      <c r="I69" s="48" t="s">
        <v>71</v>
      </c>
      <c r="J69" s="48" t="s">
        <v>71</v>
      </c>
      <c r="K69" s="48" t="s">
        <v>71</v>
      </c>
      <c r="L69" s="48" t="s">
        <v>71</v>
      </c>
      <c r="M69" s="48" t="s">
        <v>71</v>
      </c>
      <c r="N69" s="48" t="s">
        <v>71</v>
      </c>
      <c r="O69" s="48" t="s">
        <v>71</v>
      </c>
      <c r="P69" s="62" t="s">
        <v>71</v>
      </c>
      <c r="Q69" s="64"/>
      <c r="R69" s="49"/>
      <c r="S69" s="66"/>
      <c r="T69" s="85"/>
      <c r="U69" s="100"/>
      <c r="V69" s="126"/>
    </row>
    <row r="70" spans="1:22" ht="37.9" customHeight="1">
      <c r="B70" s="122"/>
      <c r="C70" s="123"/>
      <c r="D70" s="88" t="s">
        <v>641</v>
      </c>
      <c r="E70" s="89">
        <f t="shared" si="1"/>
        <v>67</v>
      </c>
      <c r="F70" s="88" t="s">
        <v>285</v>
      </c>
      <c r="G70" s="91" t="s">
        <v>624</v>
      </c>
      <c r="H70" s="78" t="s">
        <v>72</v>
      </c>
      <c r="I70" s="48" t="s">
        <v>71</v>
      </c>
      <c r="J70" s="48" t="s">
        <v>71</v>
      </c>
      <c r="K70" s="48" t="s">
        <v>71</v>
      </c>
      <c r="L70" s="48" t="s">
        <v>71</v>
      </c>
      <c r="M70" s="48" t="s">
        <v>71</v>
      </c>
      <c r="N70" s="48" t="s">
        <v>71</v>
      </c>
      <c r="O70" s="48" t="s">
        <v>71</v>
      </c>
      <c r="P70" s="62" t="s">
        <v>71</v>
      </c>
      <c r="Q70" s="64"/>
      <c r="R70" s="49"/>
      <c r="S70" s="66"/>
      <c r="T70" s="85"/>
      <c r="U70" s="101"/>
    </row>
    <row r="71" spans="1:22" ht="28.15" customHeight="1">
      <c r="B71" s="122"/>
      <c r="C71" s="123"/>
      <c r="D71" s="88" t="s">
        <v>658</v>
      </c>
      <c r="E71" s="89">
        <f t="shared" si="1"/>
        <v>68</v>
      </c>
      <c r="F71" s="88" t="s">
        <v>643</v>
      </c>
      <c r="G71" s="91" t="s">
        <v>624</v>
      </c>
      <c r="H71" s="78" t="s">
        <v>72</v>
      </c>
      <c r="I71" s="48" t="s">
        <v>71</v>
      </c>
      <c r="J71" s="48" t="s">
        <v>71</v>
      </c>
      <c r="K71" s="48" t="s">
        <v>71</v>
      </c>
      <c r="L71" s="48" t="s">
        <v>71</v>
      </c>
      <c r="M71" s="48" t="s">
        <v>71</v>
      </c>
      <c r="N71" s="48" t="s">
        <v>71</v>
      </c>
      <c r="O71" s="48" t="s">
        <v>71</v>
      </c>
      <c r="P71" s="62" t="s">
        <v>71</v>
      </c>
      <c r="Q71" s="64"/>
      <c r="R71" s="49"/>
      <c r="S71" s="66"/>
      <c r="T71" s="85"/>
      <c r="U71" s="100"/>
    </row>
    <row r="72" spans="1:22" ht="36" customHeight="1">
      <c r="B72" s="122"/>
      <c r="C72" s="123"/>
      <c r="D72" s="88" t="s">
        <v>659</v>
      </c>
      <c r="E72" s="89">
        <f t="shared" si="1"/>
        <v>69</v>
      </c>
      <c r="F72" s="88" t="s">
        <v>645</v>
      </c>
      <c r="G72" s="91" t="s">
        <v>646</v>
      </c>
      <c r="H72" s="48" t="s">
        <v>71</v>
      </c>
      <c r="I72" s="48" t="s">
        <v>71</v>
      </c>
      <c r="J72" s="48" t="s">
        <v>71</v>
      </c>
      <c r="K72" s="78" t="s">
        <v>72</v>
      </c>
      <c r="L72" s="48" t="s">
        <v>71</v>
      </c>
      <c r="M72" s="48" t="s">
        <v>71</v>
      </c>
      <c r="N72" s="48" t="s">
        <v>71</v>
      </c>
      <c r="O72" s="48" t="s">
        <v>71</v>
      </c>
      <c r="P72" s="62" t="s">
        <v>71</v>
      </c>
      <c r="Q72" s="64"/>
      <c r="R72" s="49"/>
      <c r="S72" s="66"/>
      <c r="T72" s="85"/>
      <c r="U72" s="100"/>
    </row>
    <row r="73" spans="1:22" ht="28.15" customHeight="1" thickBot="1">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c r="B74" s="511" t="s">
        <v>301</v>
      </c>
      <c r="C74" s="496"/>
      <c r="D74" s="496">
        <f>SUM(H76:P76)</f>
        <v>0</v>
      </c>
      <c r="E74" s="157"/>
      <c r="F74" s="417"/>
      <c r="G74" s="250" t="s">
        <v>302</v>
      </c>
      <c r="H74" s="160">
        <f t="shared" ref="H74:P74" si="2">COUNTIF(H4:H73,"●")+COUNTIF(H4:H73,"■")+COUNTIF(H4:H73,"OK")</f>
        <v>0</v>
      </c>
      <c r="I74" s="160">
        <f t="shared" si="2"/>
        <v>0</v>
      </c>
      <c r="J74" s="160">
        <f t="shared" si="2"/>
        <v>0</v>
      </c>
      <c r="K74" s="160">
        <f t="shared" si="2"/>
        <v>0</v>
      </c>
      <c r="L74" s="160">
        <f t="shared" si="2"/>
        <v>0</v>
      </c>
      <c r="M74" s="160">
        <f t="shared" si="2"/>
        <v>0</v>
      </c>
      <c r="N74" s="160">
        <f t="shared" si="2"/>
        <v>0</v>
      </c>
      <c r="O74" s="160">
        <f t="shared" si="2"/>
        <v>0</v>
      </c>
      <c r="P74" s="160">
        <f t="shared" si="2"/>
        <v>0</v>
      </c>
      <c r="Q74" s="498" t="s">
        <v>303</v>
      </c>
      <c r="R74" s="498"/>
      <c r="S74" s="498"/>
      <c r="T74" s="161"/>
      <c r="U74" s="162"/>
    </row>
    <row r="75" spans="1:22" ht="18" customHeight="1">
      <c r="B75" s="512"/>
      <c r="C75" s="497"/>
      <c r="D75" s="497"/>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499"/>
      <c r="R75" s="499"/>
      <c r="S75" s="499"/>
      <c r="T75" s="71"/>
      <c r="U75" s="105"/>
    </row>
    <row r="76" spans="1:22" ht="18" customHeight="1">
      <c r="B76" s="513" t="s">
        <v>305</v>
      </c>
      <c r="C76" s="494"/>
      <c r="D76" s="494">
        <f>SUM(H77:P77)</f>
        <v>159</v>
      </c>
      <c r="E76" s="45"/>
      <c r="F76" s="46"/>
      <c r="G76" s="251" t="s">
        <v>306</v>
      </c>
      <c r="H76" s="75">
        <f t="shared" ref="H76:P76" si="4">H74+H75</f>
        <v>0</v>
      </c>
      <c r="I76" s="76">
        <f t="shared" si="4"/>
        <v>0</v>
      </c>
      <c r="J76" s="76">
        <f t="shared" si="4"/>
        <v>0</v>
      </c>
      <c r="K76" s="76">
        <f t="shared" si="4"/>
        <v>0</v>
      </c>
      <c r="L76" s="76">
        <f t="shared" si="4"/>
        <v>0</v>
      </c>
      <c r="M76" s="76">
        <f t="shared" si="4"/>
        <v>0</v>
      </c>
      <c r="N76" s="76">
        <f t="shared" si="4"/>
        <v>0</v>
      </c>
      <c r="O76" s="76">
        <f t="shared" si="4"/>
        <v>0</v>
      </c>
      <c r="P76" s="77">
        <f t="shared" si="4"/>
        <v>0</v>
      </c>
      <c r="Q76" s="500">
        <f>COUNTA(Q4:Q73)</f>
        <v>0</v>
      </c>
      <c r="R76" s="500">
        <f>COUNTA(R4:R73)</f>
        <v>0</v>
      </c>
      <c r="S76" s="500">
        <f>COUNTA(S4:S73)</f>
        <v>0</v>
      </c>
      <c r="T76" s="71"/>
      <c r="U76" s="105"/>
    </row>
    <row r="77" spans="1:22" ht="18" customHeight="1" thickBot="1">
      <c r="A77" s="118"/>
      <c r="B77" s="514"/>
      <c r="C77" s="495"/>
      <c r="D77" s="495"/>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1"/>
      <c r="R77" s="501"/>
      <c r="S77" s="501"/>
      <c r="T77" s="112"/>
      <c r="U77" s="113"/>
    </row>
    <row r="78" spans="1:22" ht="24" customHeight="1"/>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74" activePane="bottomLeft" state="frozen"/>
      <selection pane="bottomLeft"/>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125" t="s">
        <v>616</v>
      </c>
      <c r="C64" s="272" t="s">
        <v>617</v>
      </c>
      <c r="D64" s="236" t="s">
        <v>618</v>
      </c>
      <c r="E64" s="89">
        <f t="shared" si="0"/>
        <v>61</v>
      </c>
      <c r="F64" s="90" t="s">
        <v>619</v>
      </c>
      <c r="G64" s="91" t="s">
        <v>620</v>
      </c>
      <c r="H64" s="78" t="s">
        <v>72</v>
      </c>
      <c r="I64" s="48" t="s">
        <v>336</v>
      </c>
      <c r="J64" s="48" t="s">
        <v>71</v>
      </c>
      <c r="K64" s="48" t="s">
        <v>71</v>
      </c>
      <c r="L64" s="78" t="s">
        <v>72</v>
      </c>
      <c r="M64" s="78" t="s">
        <v>72</v>
      </c>
      <c r="N64" s="48" t="s">
        <v>71</v>
      </c>
      <c r="O64" s="48" t="s">
        <v>71</v>
      </c>
      <c r="P64" s="62" t="s">
        <v>71</v>
      </c>
      <c r="Q64" s="83"/>
      <c r="R64" s="59"/>
      <c r="S64" s="84"/>
      <c r="T64" s="85"/>
      <c r="U64" s="100"/>
      <c r="V64" s="126"/>
    </row>
    <row r="65" spans="1:22" ht="48.6" customHeight="1">
      <c r="B65" s="273" t="s">
        <v>655</v>
      </c>
      <c r="C65" s="123"/>
      <c r="D65" s="88" t="s">
        <v>627</v>
      </c>
      <c r="E65" s="89">
        <f t="shared" si="0"/>
        <v>62</v>
      </c>
      <c r="F65" s="90" t="s">
        <v>627</v>
      </c>
      <c r="G65" s="91" t="s">
        <v>624</v>
      </c>
      <c r="H65" s="78" t="s">
        <v>72</v>
      </c>
      <c r="I65" s="48" t="s">
        <v>336</v>
      </c>
      <c r="J65" s="48" t="s">
        <v>71</v>
      </c>
      <c r="K65" s="48" t="s">
        <v>71</v>
      </c>
      <c r="L65" s="48" t="s">
        <v>71</v>
      </c>
      <c r="M65" s="48" t="s">
        <v>71</v>
      </c>
      <c r="N65" s="48" t="s">
        <v>71</v>
      </c>
      <c r="O65" s="48" t="s">
        <v>71</v>
      </c>
      <c r="P65" s="62" t="s">
        <v>71</v>
      </c>
      <c r="Q65" s="83"/>
      <c r="R65" s="59"/>
      <c r="S65" s="84"/>
      <c r="T65" s="85"/>
      <c r="U65" s="100"/>
      <c r="V65" s="126"/>
    </row>
    <row r="66" spans="1:22" ht="28.15" customHeight="1">
      <c r="B66" s="122"/>
      <c r="C66" s="123"/>
      <c r="D66" s="88" t="s">
        <v>656</v>
      </c>
      <c r="E66" s="89">
        <f t="shared" si="0"/>
        <v>63</v>
      </c>
      <c r="F66" s="90" t="s">
        <v>657</v>
      </c>
      <c r="G66" s="91" t="s">
        <v>624</v>
      </c>
      <c r="H66" s="78" t="s">
        <v>72</v>
      </c>
      <c r="I66" s="48" t="s">
        <v>336</v>
      </c>
      <c r="J66" s="48" t="s">
        <v>71</v>
      </c>
      <c r="K66" s="48" t="s">
        <v>71</v>
      </c>
      <c r="L66" s="78" t="s">
        <v>72</v>
      </c>
      <c r="M66" s="78" t="s">
        <v>72</v>
      </c>
      <c r="N66" s="48" t="s">
        <v>71</v>
      </c>
      <c r="O66" s="48" t="s">
        <v>71</v>
      </c>
      <c r="P66" s="62" t="s">
        <v>71</v>
      </c>
      <c r="Q66" s="83"/>
      <c r="R66" s="59"/>
      <c r="S66" s="84"/>
      <c r="T66" s="85"/>
      <c r="U66" s="100"/>
    </row>
    <row r="67" spans="1:22" ht="28.15" customHeight="1">
      <c r="B67" s="122"/>
      <c r="C67" s="123"/>
      <c r="D67" s="88" t="s">
        <v>638</v>
      </c>
      <c r="E67" s="89">
        <f t="shared" si="0"/>
        <v>64</v>
      </c>
      <c r="F67" s="88" t="s">
        <v>277</v>
      </c>
      <c r="G67" s="91" t="s">
        <v>624</v>
      </c>
      <c r="H67" s="78" t="s">
        <v>72</v>
      </c>
      <c r="I67" s="48" t="s">
        <v>336</v>
      </c>
      <c r="J67" s="48" t="s">
        <v>71</v>
      </c>
      <c r="K67" s="48" t="s">
        <v>71</v>
      </c>
      <c r="L67" s="78" t="s">
        <v>72</v>
      </c>
      <c r="M67" s="78" t="s">
        <v>72</v>
      </c>
      <c r="N67" s="48" t="s">
        <v>71</v>
      </c>
      <c r="O67" s="48" t="s">
        <v>71</v>
      </c>
      <c r="P67" s="62" t="s">
        <v>71</v>
      </c>
      <c r="Q67" s="83"/>
      <c r="R67" s="59"/>
      <c r="S67" s="84"/>
      <c r="T67" s="85"/>
      <c r="U67" s="100"/>
    </row>
    <row r="68" spans="1:22" ht="28.15" customHeight="1">
      <c r="B68" s="122"/>
      <c r="C68" s="123"/>
      <c r="D68" s="88" t="s">
        <v>639</v>
      </c>
      <c r="E68" s="89">
        <f t="shared" si="0"/>
        <v>65</v>
      </c>
      <c r="F68" s="88" t="s">
        <v>280</v>
      </c>
      <c r="G68" s="91" t="s">
        <v>624</v>
      </c>
      <c r="H68" s="78" t="s">
        <v>72</v>
      </c>
      <c r="I68" s="48" t="s">
        <v>336</v>
      </c>
      <c r="J68" s="48" t="s">
        <v>71</v>
      </c>
      <c r="K68" s="48" t="s">
        <v>71</v>
      </c>
      <c r="L68" s="78" t="s">
        <v>72</v>
      </c>
      <c r="M68" s="78" t="s">
        <v>72</v>
      </c>
      <c r="N68" s="48" t="s">
        <v>71</v>
      </c>
      <c r="O68" s="48" t="s">
        <v>71</v>
      </c>
      <c r="P68" s="62" t="s">
        <v>71</v>
      </c>
      <c r="Q68" s="83"/>
      <c r="R68" s="59"/>
      <c r="S68" s="84"/>
      <c r="T68" s="85"/>
      <c r="U68" s="100"/>
      <c r="V68" s="126"/>
    </row>
    <row r="69" spans="1:22" ht="28.15" customHeight="1">
      <c r="B69" s="122"/>
      <c r="C69" s="123"/>
      <c r="D69" s="88" t="s">
        <v>640</v>
      </c>
      <c r="E69" s="89">
        <f t="shared" ref="E69:E72" si="1">ROW()-3</f>
        <v>66</v>
      </c>
      <c r="F69" s="88" t="s">
        <v>283</v>
      </c>
      <c r="G69" s="91" t="s">
        <v>624</v>
      </c>
      <c r="H69" s="78" t="s">
        <v>72</v>
      </c>
      <c r="I69" s="48" t="s">
        <v>336</v>
      </c>
      <c r="J69" s="48" t="s">
        <v>71</v>
      </c>
      <c r="K69" s="48" t="s">
        <v>71</v>
      </c>
      <c r="L69" s="78" t="s">
        <v>72</v>
      </c>
      <c r="M69" s="78" t="s">
        <v>72</v>
      </c>
      <c r="N69" s="48" t="s">
        <v>71</v>
      </c>
      <c r="O69" s="48" t="s">
        <v>71</v>
      </c>
      <c r="P69" s="62" t="s">
        <v>71</v>
      </c>
      <c r="Q69" s="83"/>
      <c r="R69" s="59"/>
      <c r="S69" s="84"/>
      <c r="T69" s="85"/>
      <c r="U69" s="100"/>
      <c r="V69" s="126"/>
    </row>
    <row r="70" spans="1:22" ht="37.9" customHeight="1">
      <c r="B70" s="122"/>
      <c r="C70" s="123"/>
      <c r="D70" s="88" t="s">
        <v>641</v>
      </c>
      <c r="E70" s="89">
        <f t="shared" si="1"/>
        <v>67</v>
      </c>
      <c r="F70" s="88" t="s">
        <v>285</v>
      </c>
      <c r="G70" s="91" t="s">
        <v>624</v>
      </c>
      <c r="H70" s="78" t="s">
        <v>72</v>
      </c>
      <c r="I70" s="48" t="s">
        <v>336</v>
      </c>
      <c r="J70" s="48" t="s">
        <v>71</v>
      </c>
      <c r="K70" s="48" t="s">
        <v>71</v>
      </c>
      <c r="L70" s="48" t="s">
        <v>71</v>
      </c>
      <c r="M70" s="48" t="s">
        <v>71</v>
      </c>
      <c r="N70" s="48" t="s">
        <v>71</v>
      </c>
      <c r="O70" s="48" t="s">
        <v>71</v>
      </c>
      <c r="P70" s="62" t="s">
        <v>71</v>
      </c>
      <c r="Q70" s="83"/>
      <c r="R70" s="59"/>
      <c r="S70" s="84"/>
      <c r="T70" s="85"/>
      <c r="U70" s="101"/>
    </row>
    <row r="71" spans="1:22" ht="28.15" customHeight="1">
      <c r="B71" s="122"/>
      <c r="C71" s="123"/>
      <c r="D71" s="88" t="s">
        <v>658</v>
      </c>
      <c r="E71" s="89">
        <f t="shared" si="1"/>
        <v>68</v>
      </c>
      <c r="F71" s="88" t="s">
        <v>643</v>
      </c>
      <c r="G71" s="91" t="s">
        <v>624</v>
      </c>
      <c r="H71" s="78" t="s">
        <v>72</v>
      </c>
      <c r="I71" s="48" t="s">
        <v>336</v>
      </c>
      <c r="J71" s="48" t="s">
        <v>71</v>
      </c>
      <c r="K71" s="48" t="s">
        <v>71</v>
      </c>
      <c r="L71" s="78" t="s">
        <v>72</v>
      </c>
      <c r="M71" s="78" t="s">
        <v>72</v>
      </c>
      <c r="N71" s="48" t="s">
        <v>71</v>
      </c>
      <c r="O71" s="48" t="s">
        <v>71</v>
      </c>
      <c r="P71" s="62" t="s">
        <v>71</v>
      </c>
      <c r="Q71" s="83"/>
      <c r="R71" s="59"/>
      <c r="S71" s="84"/>
      <c r="T71" s="85"/>
      <c r="U71" s="100"/>
    </row>
    <row r="72" spans="1:22" ht="36" customHeight="1">
      <c r="B72" s="122"/>
      <c r="C72" s="123"/>
      <c r="D72" s="88" t="s">
        <v>659</v>
      </c>
      <c r="E72" s="89">
        <f t="shared" si="1"/>
        <v>69</v>
      </c>
      <c r="F72" s="88" t="s">
        <v>645</v>
      </c>
      <c r="G72" s="91" t="s">
        <v>646</v>
      </c>
      <c r="H72" s="48" t="s">
        <v>336</v>
      </c>
      <c r="I72" s="48" t="s">
        <v>336</v>
      </c>
      <c r="J72" s="48" t="s">
        <v>71</v>
      </c>
      <c r="K72" s="78" t="s">
        <v>72</v>
      </c>
      <c r="L72" s="48" t="s">
        <v>71</v>
      </c>
      <c r="M72" s="48" t="s">
        <v>71</v>
      </c>
      <c r="N72" s="48" t="s">
        <v>71</v>
      </c>
      <c r="O72" s="48" t="s">
        <v>71</v>
      </c>
      <c r="P72" s="62" t="s">
        <v>71</v>
      </c>
      <c r="Q72" s="83"/>
      <c r="R72" s="59"/>
      <c r="S72" s="84"/>
      <c r="T72" s="85"/>
      <c r="U72" s="100"/>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184</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pageSetUpPr fitToPage="1"/>
  </sheetPr>
  <dimension ref="A1:V79"/>
  <sheetViews>
    <sheetView view="pageBreakPreview" zoomScale="80" zoomScaleNormal="70" zoomScaleSheetLayoutView="80" workbookViewId="0">
      <pane ySplit="3" topLeftCell="A72" activePane="bottomLeft" state="frozen"/>
      <selection pane="bottomLeft" activeCell="U65" sqref="U65"/>
      <selection activeCell="D17" sqref="D17"/>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528</v>
      </c>
      <c r="E1" s="121"/>
    </row>
    <row r="2" spans="1:22" ht="24" customHeight="1">
      <c r="A2" s="118"/>
      <c r="B2" s="509" t="s">
        <v>43</v>
      </c>
      <c r="C2" s="492" t="s">
        <v>44</v>
      </c>
      <c r="D2" s="492" t="s">
        <v>45</v>
      </c>
      <c r="E2" s="485" t="s">
        <v>46</v>
      </c>
      <c r="F2" s="486"/>
      <c r="G2" s="487"/>
      <c r="H2" s="506" t="s">
        <v>677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93"/>
      <c r="U3" s="491"/>
    </row>
    <row r="4" spans="1:22" ht="28.15" customHeight="1">
      <c r="B4" s="122" t="s">
        <v>678</v>
      </c>
      <c r="C4" s="123" t="s">
        <v>530</v>
      </c>
      <c r="D4" s="229"/>
      <c r="E4" s="230">
        <f>ROW()-3</f>
        <v>1</v>
      </c>
      <c r="F4" s="231" t="s">
        <v>531</v>
      </c>
      <c r="G4" s="87" t="s">
        <v>84</v>
      </c>
      <c r="H4" s="78" t="s">
        <v>72</v>
      </c>
      <c r="I4" s="58" t="s">
        <v>71</v>
      </c>
      <c r="J4" s="78" t="s">
        <v>71</v>
      </c>
      <c r="K4" s="78" t="s">
        <v>72</v>
      </c>
      <c r="L4" s="78" t="s">
        <v>72</v>
      </c>
      <c r="M4" s="78" t="s">
        <v>72</v>
      </c>
      <c r="N4" s="58" t="s">
        <v>71</v>
      </c>
      <c r="O4" s="58" t="s">
        <v>71</v>
      </c>
      <c r="P4" s="82" t="s">
        <v>71</v>
      </c>
      <c r="Q4" s="83"/>
      <c r="R4" s="59"/>
      <c r="S4" s="84"/>
      <c r="T4" s="85"/>
      <c r="U4" s="99"/>
    </row>
    <row r="5" spans="1:22" ht="28.15" customHeight="1">
      <c r="B5" s="122" t="s">
        <v>533</v>
      </c>
      <c r="C5" s="234" t="s">
        <v>534</v>
      </c>
      <c r="D5" s="229" t="s">
        <v>535</v>
      </c>
      <c r="E5" s="233">
        <f t="shared" ref="E5:E68" si="0">ROW()-3</f>
        <v>2</v>
      </c>
      <c r="F5" s="97" t="s">
        <v>536</v>
      </c>
      <c r="G5" s="91" t="s">
        <v>537</v>
      </c>
      <c r="H5" s="78" t="s">
        <v>72</v>
      </c>
      <c r="I5" s="48" t="s">
        <v>71</v>
      </c>
      <c r="J5" s="48" t="s">
        <v>71</v>
      </c>
      <c r="K5" s="78" t="s">
        <v>72</v>
      </c>
      <c r="L5" s="78" t="s">
        <v>72</v>
      </c>
      <c r="M5" s="78" t="s">
        <v>72</v>
      </c>
      <c r="N5" s="78" t="s">
        <v>71</v>
      </c>
      <c r="O5" s="48" t="s">
        <v>71</v>
      </c>
      <c r="P5" s="62" t="s">
        <v>71</v>
      </c>
      <c r="Q5" s="83"/>
      <c r="R5" s="59"/>
      <c r="S5" s="84"/>
      <c r="T5" s="85"/>
      <c r="U5" s="100"/>
    </row>
    <row r="6" spans="1:22" ht="28.15" customHeight="1">
      <c r="B6" s="122"/>
      <c r="C6" s="269" t="s">
        <v>538</v>
      </c>
      <c r="D6" s="327" t="s">
        <v>539</v>
      </c>
      <c r="E6" s="94">
        <f t="shared" si="0"/>
        <v>3</v>
      </c>
      <c r="F6" s="95" t="s">
        <v>540</v>
      </c>
      <c r="G6" s="96" t="s">
        <v>541</v>
      </c>
      <c r="H6" s="63" t="s">
        <v>71</v>
      </c>
      <c r="I6" s="50" t="s">
        <v>71</v>
      </c>
      <c r="J6" s="50" t="s">
        <v>71</v>
      </c>
      <c r="K6" s="50" t="s">
        <v>71</v>
      </c>
      <c r="L6" s="50" t="s">
        <v>71</v>
      </c>
      <c r="M6" s="50" t="s">
        <v>71</v>
      </c>
      <c r="N6" s="50" t="s">
        <v>71</v>
      </c>
      <c r="O6" s="50" t="s">
        <v>71</v>
      </c>
      <c r="P6" s="63" t="s">
        <v>71</v>
      </c>
      <c r="Q6" s="65"/>
      <c r="R6" s="51"/>
      <c r="S6" s="67"/>
      <c r="T6" s="324"/>
      <c r="U6" s="328" t="s">
        <v>661</v>
      </c>
    </row>
    <row r="7" spans="1:22" ht="28.15" customHeight="1">
      <c r="B7" s="122"/>
      <c r="C7" s="312"/>
      <c r="D7" s="229" t="s">
        <v>543</v>
      </c>
      <c r="E7" s="233">
        <f t="shared" si="0"/>
        <v>4</v>
      </c>
      <c r="F7" s="97" t="s">
        <v>544</v>
      </c>
      <c r="G7" s="91" t="s">
        <v>541</v>
      </c>
      <c r="H7" s="78" t="s">
        <v>72</v>
      </c>
      <c r="I7" s="48" t="s">
        <v>71</v>
      </c>
      <c r="J7" s="48" t="s">
        <v>71</v>
      </c>
      <c r="K7" s="48" t="s">
        <v>71</v>
      </c>
      <c r="L7" s="78" t="s">
        <v>72</v>
      </c>
      <c r="M7" s="78" t="s">
        <v>72</v>
      </c>
      <c r="N7" s="48" t="s">
        <v>71</v>
      </c>
      <c r="O7" s="48" t="s">
        <v>71</v>
      </c>
      <c r="P7" s="62" t="s">
        <v>71</v>
      </c>
      <c r="Q7" s="83"/>
      <c r="R7" s="59"/>
      <c r="S7" s="84"/>
      <c r="T7" s="85"/>
      <c r="U7" s="101"/>
    </row>
    <row r="8" spans="1:22" ht="26.45">
      <c r="B8" s="122"/>
      <c r="C8" s="313"/>
      <c r="D8" s="229" t="s">
        <v>549</v>
      </c>
      <c r="E8" s="233">
        <f t="shared" si="0"/>
        <v>5</v>
      </c>
      <c r="F8" s="97" t="s">
        <v>546</v>
      </c>
      <c r="G8" s="91" t="s">
        <v>541</v>
      </c>
      <c r="H8" s="78" t="s">
        <v>72</v>
      </c>
      <c r="I8" s="48" t="s">
        <v>71</v>
      </c>
      <c r="J8" s="48" t="s">
        <v>71</v>
      </c>
      <c r="K8" s="48" t="s">
        <v>71</v>
      </c>
      <c r="L8" s="78" t="s">
        <v>72</v>
      </c>
      <c r="M8" s="78" t="s">
        <v>72</v>
      </c>
      <c r="N8" s="48" t="s">
        <v>71</v>
      </c>
      <c r="O8" s="48" t="s">
        <v>71</v>
      </c>
      <c r="P8" s="62" t="s">
        <v>71</v>
      </c>
      <c r="Q8" s="83"/>
      <c r="R8" s="59"/>
      <c r="S8" s="84"/>
      <c r="T8" s="85"/>
      <c r="U8" s="100"/>
    </row>
    <row r="9" spans="1:22" ht="28.15" customHeight="1">
      <c r="B9" s="122"/>
      <c r="C9" s="312"/>
      <c r="D9" s="229" t="s">
        <v>580</v>
      </c>
      <c r="E9" s="233">
        <f t="shared" si="0"/>
        <v>6</v>
      </c>
      <c r="F9" s="97" t="s">
        <v>540</v>
      </c>
      <c r="G9" s="91" t="s">
        <v>541</v>
      </c>
      <c r="H9" s="78" t="s">
        <v>72</v>
      </c>
      <c r="I9" s="48" t="s">
        <v>71</v>
      </c>
      <c r="J9" s="48" t="s">
        <v>71</v>
      </c>
      <c r="K9" s="48" t="s">
        <v>71</v>
      </c>
      <c r="L9" s="78" t="s">
        <v>72</v>
      </c>
      <c r="M9" s="78" t="s">
        <v>72</v>
      </c>
      <c r="N9" s="48" t="s">
        <v>71</v>
      </c>
      <c r="O9" s="48" t="s">
        <v>71</v>
      </c>
      <c r="P9" s="62" t="s">
        <v>71</v>
      </c>
      <c r="Q9" s="83"/>
      <c r="R9" s="59"/>
      <c r="S9" s="84"/>
      <c r="T9" s="85"/>
      <c r="U9" s="101" t="s">
        <v>671</v>
      </c>
    </row>
    <row r="10" spans="1:22" ht="28.15" customHeight="1">
      <c r="B10" s="122"/>
      <c r="C10" s="123"/>
      <c r="D10" s="229" t="s">
        <v>552</v>
      </c>
      <c r="E10" s="233">
        <f t="shared" si="0"/>
        <v>7</v>
      </c>
      <c r="F10" s="97" t="s">
        <v>546</v>
      </c>
      <c r="G10" s="91" t="s">
        <v>541</v>
      </c>
      <c r="H10" s="78" t="s">
        <v>72</v>
      </c>
      <c r="I10" s="48" t="s">
        <v>71</v>
      </c>
      <c r="J10" s="48" t="s">
        <v>71</v>
      </c>
      <c r="K10" s="48" t="s">
        <v>71</v>
      </c>
      <c r="L10" s="78" t="s">
        <v>72</v>
      </c>
      <c r="M10" s="78" t="s">
        <v>72</v>
      </c>
      <c r="N10" s="341" t="s">
        <v>71</v>
      </c>
      <c r="O10" s="341" t="s">
        <v>71</v>
      </c>
      <c r="P10" s="345" t="s">
        <v>71</v>
      </c>
      <c r="Q10" s="83"/>
      <c r="R10" s="59"/>
      <c r="S10" s="84"/>
      <c r="T10" s="85"/>
      <c r="U10" s="344"/>
    </row>
    <row r="11" spans="1:22" ht="28.15" customHeight="1">
      <c r="B11" s="122"/>
      <c r="C11" s="124" t="s">
        <v>553</v>
      </c>
      <c r="D11" s="327" t="s">
        <v>539</v>
      </c>
      <c r="E11" s="94">
        <f t="shared" si="0"/>
        <v>8</v>
      </c>
      <c r="F11" s="95" t="s">
        <v>555</v>
      </c>
      <c r="G11" s="96" t="s">
        <v>556</v>
      </c>
      <c r="H11" s="284" t="s">
        <v>71</v>
      </c>
      <c r="I11" s="284" t="s">
        <v>71</v>
      </c>
      <c r="J11" s="284" t="s">
        <v>71</v>
      </c>
      <c r="K11" s="284" t="s">
        <v>71</v>
      </c>
      <c r="L11" s="284" t="s">
        <v>71</v>
      </c>
      <c r="M11" s="284" t="s">
        <v>71</v>
      </c>
      <c r="N11" s="50" t="s">
        <v>71</v>
      </c>
      <c r="O11" s="50" t="s">
        <v>71</v>
      </c>
      <c r="P11" s="63" t="s">
        <v>71</v>
      </c>
      <c r="Q11" s="65"/>
      <c r="R11" s="51"/>
      <c r="S11" s="67"/>
      <c r="T11" s="324"/>
      <c r="U11" s="328" t="s">
        <v>661</v>
      </c>
      <c r="V11" s="126"/>
    </row>
    <row r="12" spans="1:22" ht="28.15" customHeight="1">
      <c r="B12" s="122"/>
      <c r="C12" s="269"/>
      <c r="D12" s="229" t="s">
        <v>543</v>
      </c>
      <c r="E12" s="233">
        <f t="shared" si="0"/>
        <v>9</v>
      </c>
      <c r="F12" s="97" t="s">
        <v>564</v>
      </c>
      <c r="G12" s="91" t="s">
        <v>556</v>
      </c>
      <c r="H12" s="78" t="s">
        <v>72</v>
      </c>
      <c r="I12" s="48" t="s">
        <v>71</v>
      </c>
      <c r="J12" s="48" t="s">
        <v>71</v>
      </c>
      <c r="K12" s="48" t="s">
        <v>71</v>
      </c>
      <c r="L12" s="78" t="s">
        <v>72</v>
      </c>
      <c r="M12" s="78" t="s">
        <v>72</v>
      </c>
      <c r="N12" s="48" t="s">
        <v>71</v>
      </c>
      <c r="O12" s="48" t="s">
        <v>71</v>
      </c>
      <c r="P12" s="62" t="s">
        <v>71</v>
      </c>
      <c r="Q12" s="83"/>
      <c r="R12" s="59"/>
      <c r="S12" s="84"/>
      <c r="T12" s="85"/>
      <c r="U12" s="100"/>
    </row>
    <row r="13" spans="1:22" ht="28.9" customHeight="1">
      <c r="B13" s="122"/>
      <c r="C13" s="123"/>
      <c r="D13" s="229" t="s">
        <v>549</v>
      </c>
      <c r="E13" s="233">
        <f t="shared" si="0"/>
        <v>10</v>
      </c>
      <c r="F13" s="97" t="s">
        <v>562</v>
      </c>
      <c r="G13" s="91" t="s">
        <v>556</v>
      </c>
      <c r="H13" s="78" t="s">
        <v>72</v>
      </c>
      <c r="I13" s="48" t="s">
        <v>71</v>
      </c>
      <c r="J13" s="48" t="s">
        <v>71</v>
      </c>
      <c r="K13" s="48" t="s">
        <v>71</v>
      </c>
      <c r="L13" s="78" t="s">
        <v>72</v>
      </c>
      <c r="M13" s="78" t="s">
        <v>72</v>
      </c>
      <c r="N13" s="48" t="s">
        <v>71</v>
      </c>
      <c r="O13" s="48" t="s">
        <v>71</v>
      </c>
      <c r="P13" s="62" t="s">
        <v>71</v>
      </c>
      <c r="Q13" s="83"/>
      <c r="R13" s="59"/>
      <c r="S13" s="84"/>
      <c r="T13" s="85"/>
      <c r="U13" s="100"/>
    </row>
    <row r="14" spans="1:22" ht="28.15" customHeight="1">
      <c r="B14" s="122"/>
      <c r="C14" s="269"/>
      <c r="D14" s="229" t="s">
        <v>580</v>
      </c>
      <c r="E14" s="233">
        <f t="shared" si="0"/>
        <v>11</v>
      </c>
      <c r="F14" s="97" t="s">
        <v>555</v>
      </c>
      <c r="G14" s="91" t="s">
        <v>556</v>
      </c>
      <c r="H14" s="78" t="s">
        <v>72</v>
      </c>
      <c r="I14" s="48" t="s">
        <v>71</v>
      </c>
      <c r="J14" s="48" t="s">
        <v>71</v>
      </c>
      <c r="K14" s="48" t="s">
        <v>71</v>
      </c>
      <c r="L14" s="78" t="s">
        <v>72</v>
      </c>
      <c r="M14" s="78" t="s">
        <v>72</v>
      </c>
      <c r="N14" s="48" t="s">
        <v>71</v>
      </c>
      <c r="O14" s="48" t="s">
        <v>71</v>
      </c>
      <c r="P14" s="62" t="s">
        <v>71</v>
      </c>
      <c r="Q14" s="83"/>
      <c r="R14" s="59"/>
      <c r="S14" s="84"/>
      <c r="T14" s="85"/>
      <c r="U14" s="101" t="s">
        <v>679</v>
      </c>
      <c r="V14" s="126"/>
    </row>
    <row r="15" spans="1:22" ht="28.15" customHeight="1">
      <c r="B15" s="122"/>
      <c r="C15" s="269"/>
      <c r="D15" s="229" t="s">
        <v>552</v>
      </c>
      <c r="E15" s="233">
        <f t="shared" si="0"/>
        <v>12</v>
      </c>
      <c r="F15" s="97" t="s">
        <v>562</v>
      </c>
      <c r="G15" s="91" t="s">
        <v>556</v>
      </c>
      <c r="H15" s="78" t="s">
        <v>72</v>
      </c>
      <c r="I15" s="48" t="s">
        <v>71</v>
      </c>
      <c r="J15" s="48" t="s">
        <v>71</v>
      </c>
      <c r="K15" s="48" t="s">
        <v>71</v>
      </c>
      <c r="L15" s="78" t="s">
        <v>72</v>
      </c>
      <c r="M15" s="78" t="s">
        <v>72</v>
      </c>
      <c r="N15" s="48" t="s">
        <v>71</v>
      </c>
      <c r="O15" s="48" t="s">
        <v>71</v>
      </c>
      <c r="P15" s="62" t="s">
        <v>71</v>
      </c>
      <c r="Q15" s="83"/>
      <c r="R15" s="59"/>
      <c r="S15" s="84"/>
      <c r="T15" s="85"/>
      <c r="U15" s="100"/>
    </row>
    <row r="16" spans="1:22" ht="28.15" customHeight="1">
      <c r="B16" s="122"/>
      <c r="C16" s="124" t="s">
        <v>566</v>
      </c>
      <c r="D16" s="269" t="s">
        <v>567</v>
      </c>
      <c r="E16" s="233">
        <f t="shared" si="0"/>
        <v>13</v>
      </c>
      <c r="F16" s="97" t="s">
        <v>568</v>
      </c>
      <c r="G16" s="91" t="s">
        <v>569</v>
      </c>
      <c r="H16" s="78" t="s">
        <v>72</v>
      </c>
      <c r="I16" s="48" t="s">
        <v>71</v>
      </c>
      <c r="J16" s="48" t="s">
        <v>71</v>
      </c>
      <c r="K16" s="48" t="s">
        <v>71</v>
      </c>
      <c r="L16" s="78" t="s">
        <v>72</v>
      </c>
      <c r="M16" s="78" t="s">
        <v>72</v>
      </c>
      <c r="N16" s="48" t="s">
        <v>71</v>
      </c>
      <c r="O16" s="48" t="s">
        <v>71</v>
      </c>
      <c r="P16" s="62" t="s">
        <v>71</v>
      </c>
      <c r="Q16" s="83"/>
      <c r="R16" s="59"/>
      <c r="S16" s="84"/>
      <c r="T16" s="85"/>
      <c r="U16" s="101"/>
    </row>
    <row r="17" spans="2:22" ht="28.15" customHeight="1">
      <c r="B17" s="122"/>
      <c r="C17" s="269"/>
      <c r="D17" s="269"/>
      <c r="E17" s="233">
        <f t="shared" si="0"/>
        <v>14</v>
      </c>
      <c r="F17" s="97" t="s">
        <v>570</v>
      </c>
      <c r="G17" s="91" t="s">
        <v>569</v>
      </c>
      <c r="H17" s="78" t="s">
        <v>72</v>
      </c>
      <c r="I17" s="48" t="s">
        <v>71</v>
      </c>
      <c r="J17" s="48" t="s">
        <v>71</v>
      </c>
      <c r="K17" s="48" t="s">
        <v>71</v>
      </c>
      <c r="L17" s="78" t="s">
        <v>72</v>
      </c>
      <c r="M17" s="78" t="s">
        <v>72</v>
      </c>
      <c r="N17" s="48" t="s">
        <v>71</v>
      </c>
      <c r="O17" s="48" t="s">
        <v>71</v>
      </c>
      <c r="P17" s="62" t="s">
        <v>71</v>
      </c>
      <c r="Q17" s="83"/>
      <c r="R17" s="59"/>
      <c r="S17" s="84"/>
      <c r="T17" s="85"/>
      <c r="U17" s="101"/>
    </row>
    <row r="18" spans="2:22" ht="28.15" customHeight="1">
      <c r="B18" s="122"/>
      <c r="C18" s="269"/>
      <c r="D18" s="229"/>
      <c r="E18" s="233">
        <f t="shared" si="0"/>
        <v>15</v>
      </c>
      <c r="F18" s="97" t="s">
        <v>571</v>
      </c>
      <c r="G18" s="91" t="s">
        <v>569</v>
      </c>
      <c r="H18" s="78" t="s">
        <v>72</v>
      </c>
      <c r="I18" s="48" t="s">
        <v>71</v>
      </c>
      <c r="J18" s="48" t="s">
        <v>71</v>
      </c>
      <c r="K18" s="48" t="s">
        <v>71</v>
      </c>
      <c r="L18" s="78" t="s">
        <v>72</v>
      </c>
      <c r="M18" s="78" t="s">
        <v>72</v>
      </c>
      <c r="N18" s="48" t="s">
        <v>71</v>
      </c>
      <c r="O18" s="48" t="s">
        <v>71</v>
      </c>
      <c r="P18" s="62" t="s">
        <v>71</v>
      </c>
      <c r="Q18" s="83"/>
      <c r="R18" s="59"/>
      <c r="S18" s="84"/>
      <c r="T18" s="85"/>
      <c r="U18" s="101"/>
    </row>
    <row r="19" spans="2:22" ht="28.15" customHeight="1">
      <c r="B19" s="122"/>
      <c r="C19" s="123"/>
      <c r="D19" s="269" t="s">
        <v>572</v>
      </c>
      <c r="E19" s="233">
        <f t="shared" si="0"/>
        <v>16</v>
      </c>
      <c r="F19" s="97" t="s">
        <v>573</v>
      </c>
      <c r="G19" s="91" t="s">
        <v>569</v>
      </c>
      <c r="H19" s="78" t="s">
        <v>72</v>
      </c>
      <c r="I19" s="48" t="s">
        <v>71</v>
      </c>
      <c r="J19" s="48" t="s">
        <v>71</v>
      </c>
      <c r="K19" s="48" t="s">
        <v>71</v>
      </c>
      <c r="L19" s="78" t="s">
        <v>72</v>
      </c>
      <c r="M19" s="78" t="s">
        <v>72</v>
      </c>
      <c r="N19" s="48" t="s">
        <v>71</v>
      </c>
      <c r="O19" s="48" t="s">
        <v>71</v>
      </c>
      <c r="P19" s="62" t="s">
        <v>71</v>
      </c>
      <c r="Q19" s="83"/>
      <c r="R19" s="59"/>
      <c r="S19" s="84"/>
      <c r="T19" s="85"/>
      <c r="U19" s="100"/>
    </row>
    <row r="20" spans="2:22" ht="28.15" customHeight="1">
      <c r="B20" s="122"/>
      <c r="C20" s="269"/>
      <c r="D20" s="269"/>
      <c r="E20" s="233">
        <f t="shared" si="0"/>
        <v>17</v>
      </c>
      <c r="F20" s="97" t="s">
        <v>574</v>
      </c>
      <c r="G20" s="91" t="s">
        <v>569</v>
      </c>
      <c r="H20" s="78" t="s">
        <v>72</v>
      </c>
      <c r="I20" s="48" t="s">
        <v>71</v>
      </c>
      <c r="J20" s="48" t="s">
        <v>71</v>
      </c>
      <c r="K20" s="48" t="s">
        <v>71</v>
      </c>
      <c r="L20" s="78" t="s">
        <v>72</v>
      </c>
      <c r="M20" s="78" t="s">
        <v>72</v>
      </c>
      <c r="N20" s="48" t="s">
        <v>71</v>
      </c>
      <c r="O20" s="48" t="s">
        <v>71</v>
      </c>
      <c r="P20" s="62" t="s">
        <v>71</v>
      </c>
      <c r="Q20" s="83"/>
      <c r="R20" s="59"/>
      <c r="S20" s="84"/>
      <c r="T20" s="85"/>
      <c r="U20" s="101"/>
    </row>
    <row r="21" spans="2:22" ht="28.15" customHeight="1">
      <c r="B21" s="122"/>
      <c r="C21" s="269"/>
      <c r="D21" s="269"/>
      <c r="E21" s="233">
        <f t="shared" si="0"/>
        <v>18</v>
      </c>
      <c r="F21" s="97" t="s">
        <v>576</v>
      </c>
      <c r="G21" s="91" t="s">
        <v>569</v>
      </c>
      <c r="H21" s="78" t="s">
        <v>72</v>
      </c>
      <c r="I21" s="48" t="s">
        <v>71</v>
      </c>
      <c r="J21" s="48" t="s">
        <v>71</v>
      </c>
      <c r="K21" s="48" t="s">
        <v>71</v>
      </c>
      <c r="L21" s="78" t="s">
        <v>72</v>
      </c>
      <c r="M21" s="78" t="s">
        <v>72</v>
      </c>
      <c r="N21" s="48" t="s">
        <v>71</v>
      </c>
      <c r="O21" s="48" t="s">
        <v>71</v>
      </c>
      <c r="P21" s="62" t="s">
        <v>71</v>
      </c>
      <c r="Q21" s="83"/>
      <c r="R21" s="59"/>
      <c r="S21" s="84"/>
      <c r="T21" s="85"/>
      <c r="U21" s="101"/>
    </row>
    <row r="22" spans="2:22" ht="28.15" customHeight="1">
      <c r="B22" s="125" t="s">
        <v>577</v>
      </c>
      <c r="C22" s="234" t="s">
        <v>534</v>
      </c>
      <c r="D22" s="234" t="s">
        <v>535</v>
      </c>
      <c r="E22" s="233">
        <f t="shared" si="0"/>
        <v>19</v>
      </c>
      <c r="F22" s="97" t="s">
        <v>536</v>
      </c>
      <c r="G22" s="91" t="s">
        <v>537</v>
      </c>
      <c r="H22" s="78" t="s">
        <v>72</v>
      </c>
      <c r="I22" s="48" t="s">
        <v>71</v>
      </c>
      <c r="J22" s="48" t="s">
        <v>71</v>
      </c>
      <c r="K22" s="78" t="s">
        <v>72</v>
      </c>
      <c r="L22" s="78" t="s">
        <v>72</v>
      </c>
      <c r="M22" s="78" t="s">
        <v>72</v>
      </c>
      <c r="N22" s="48" t="s">
        <v>71</v>
      </c>
      <c r="O22" s="48" t="s">
        <v>71</v>
      </c>
      <c r="P22" s="62" t="s">
        <v>71</v>
      </c>
      <c r="Q22" s="83"/>
      <c r="R22" s="59"/>
      <c r="S22" s="84"/>
      <c r="T22" s="85"/>
      <c r="U22" s="100"/>
    </row>
    <row r="23" spans="2:22" ht="28.15" customHeight="1">
      <c r="B23" s="122"/>
      <c r="C23" s="269" t="s">
        <v>538</v>
      </c>
      <c r="D23" s="327" t="s">
        <v>539</v>
      </c>
      <c r="E23" s="94">
        <f t="shared" si="0"/>
        <v>20</v>
      </c>
      <c r="F23" s="95" t="s">
        <v>540</v>
      </c>
      <c r="G23" s="96" t="s">
        <v>578</v>
      </c>
      <c r="H23" s="284" t="s">
        <v>336</v>
      </c>
      <c r="I23" s="284" t="s">
        <v>336</v>
      </c>
      <c r="J23" s="284" t="s">
        <v>71</v>
      </c>
      <c r="K23" s="284" t="s">
        <v>336</v>
      </c>
      <c r="L23" s="284" t="s">
        <v>336</v>
      </c>
      <c r="M23" s="284" t="s">
        <v>336</v>
      </c>
      <c r="N23" s="50" t="s">
        <v>71</v>
      </c>
      <c r="O23" s="50" t="s">
        <v>71</v>
      </c>
      <c r="P23" s="63" t="s">
        <v>71</v>
      </c>
      <c r="Q23" s="65"/>
      <c r="R23" s="51"/>
      <c r="S23" s="67"/>
      <c r="T23" s="324"/>
      <c r="U23" s="328" t="s">
        <v>661</v>
      </c>
    </row>
    <row r="24" spans="2:22" ht="28.15" customHeight="1">
      <c r="B24" s="122"/>
      <c r="C24" s="123"/>
      <c r="D24" s="327" t="s">
        <v>547</v>
      </c>
      <c r="E24" s="94">
        <f t="shared" si="0"/>
        <v>21</v>
      </c>
      <c r="F24" s="95" t="s">
        <v>540</v>
      </c>
      <c r="G24" s="96" t="s">
        <v>578</v>
      </c>
      <c r="H24" s="79" t="s">
        <v>336</v>
      </c>
      <c r="I24" s="50" t="s">
        <v>336</v>
      </c>
      <c r="J24" s="50" t="s">
        <v>71</v>
      </c>
      <c r="K24" s="79" t="s">
        <v>336</v>
      </c>
      <c r="L24" s="79" t="s">
        <v>336</v>
      </c>
      <c r="M24" s="79" t="s">
        <v>336</v>
      </c>
      <c r="N24" s="50" t="s">
        <v>71</v>
      </c>
      <c r="O24" s="50" t="s">
        <v>71</v>
      </c>
      <c r="P24" s="63" t="s">
        <v>71</v>
      </c>
      <c r="Q24" s="331"/>
      <c r="R24" s="381"/>
      <c r="S24" s="382"/>
      <c r="T24" s="324"/>
      <c r="U24" s="328" t="s">
        <v>680</v>
      </c>
    </row>
    <row r="25" spans="2:22" ht="26.45">
      <c r="B25" s="122"/>
      <c r="C25" s="123"/>
      <c r="D25" s="229" t="s">
        <v>549</v>
      </c>
      <c r="E25" s="233">
        <f t="shared" si="0"/>
        <v>22</v>
      </c>
      <c r="F25" s="97" t="s">
        <v>546</v>
      </c>
      <c r="G25" s="91" t="s">
        <v>578</v>
      </c>
      <c r="H25" s="78" t="s">
        <v>72</v>
      </c>
      <c r="I25" s="48" t="s">
        <v>71</v>
      </c>
      <c r="J25" s="48" t="s">
        <v>71</v>
      </c>
      <c r="K25" s="48" t="s">
        <v>71</v>
      </c>
      <c r="L25" s="78" t="s">
        <v>72</v>
      </c>
      <c r="M25" s="78" t="s">
        <v>72</v>
      </c>
      <c r="N25" s="48" t="s">
        <v>71</v>
      </c>
      <c r="O25" s="48" t="s">
        <v>71</v>
      </c>
      <c r="P25" s="62" t="s">
        <v>71</v>
      </c>
      <c r="Q25" s="83"/>
      <c r="R25" s="59"/>
      <c r="S25" s="84"/>
      <c r="T25" s="85"/>
      <c r="U25" s="344"/>
    </row>
    <row r="26" spans="2:22" ht="28.15" customHeight="1">
      <c r="B26" s="122"/>
      <c r="C26" s="123"/>
      <c r="D26" s="229" t="s">
        <v>580</v>
      </c>
      <c r="E26" s="233">
        <f t="shared" si="0"/>
        <v>23</v>
      </c>
      <c r="F26" s="97" t="s">
        <v>540</v>
      </c>
      <c r="G26" s="91" t="s">
        <v>578</v>
      </c>
      <c r="H26" s="78" t="s">
        <v>72</v>
      </c>
      <c r="I26" s="48" t="s">
        <v>71</v>
      </c>
      <c r="J26" s="48" t="s">
        <v>71</v>
      </c>
      <c r="K26" s="48" t="s">
        <v>71</v>
      </c>
      <c r="L26" s="78" t="s">
        <v>72</v>
      </c>
      <c r="M26" s="78" t="s">
        <v>72</v>
      </c>
      <c r="N26" s="48" t="s">
        <v>71</v>
      </c>
      <c r="O26" s="48" t="s">
        <v>71</v>
      </c>
      <c r="P26" s="62" t="s">
        <v>71</v>
      </c>
      <c r="Q26" s="83"/>
      <c r="R26" s="59"/>
      <c r="S26" s="84"/>
      <c r="T26" s="85"/>
      <c r="U26" s="101"/>
    </row>
    <row r="27" spans="2:22" ht="28.15" customHeight="1">
      <c r="B27" s="122"/>
      <c r="C27" s="123"/>
      <c r="D27" s="229" t="s">
        <v>552</v>
      </c>
      <c r="E27" s="233">
        <f t="shared" si="0"/>
        <v>24</v>
      </c>
      <c r="F27" s="97" t="s">
        <v>546</v>
      </c>
      <c r="G27" s="91" t="s">
        <v>578</v>
      </c>
      <c r="H27" s="78" t="s">
        <v>72</v>
      </c>
      <c r="I27" s="48" t="s">
        <v>71</v>
      </c>
      <c r="J27" s="48" t="s">
        <v>71</v>
      </c>
      <c r="K27" s="48" t="s">
        <v>71</v>
      </c>
      <c r="L27" s="78" t="s">
        <v>72</v>
      </c>
      <c r="M27" s="78" t="s">
        <v>72</v>
      </c>
      <c r="N27" s="48" t="s">
        <v>71</v>
      </c>
      <c r="O27" s="48" t="s">
        <v>71</v>
      </c>
      <c r="P27" s="62" t="s">
        <v>71</v>
      </c>
      <c r="Q27" s="83"/>
      <c r="R27" s="59"/>
      <c r="S27" s="84"/>
      <c r="T27" s="85"/>
      <c r="U27" s="344"/>
    </row>
    <row r="28" spans="2:22" ht="28.15" customHeight="1">
      <c r="B28" s="122"/>
      <c r="C28" s="124" t="s">
        <v>553</v>
      </c>
      <c r="D28" s="329" t="s">
        <v>554</v>
      </c>
      <c r="E28" s="94">
        <f t="shared" si="0"/>
        <v>25</v>
      </c>
      <c r="F28" s="95" t="s">
        <v>555</v>
      </c>
      <c r="G28" s="96" t="s">
        <v>581</v>
      </c>
      <c r="H28" s="79" t="s">
        <v>336</v>
      </c>
      <c r="I28" s="50" t="s">
        <v>336</v>
      </c>
      <c r="J28" s="50" t="s">
        <v>71</v>
      </c>
      <c r="K28" s="50" t="s">
        <v>71</v>
      </c>
      <c r="L28" s="50" t="s">
        <v>71</v>
      </c>
      <c r="M28" s="50" t="s">
        <v>71</v>
      </c>
      <c r="N28" s="50" t="s">
        <v>71</v>
      </c>
      <c r="O28" s="50" t="s">
        <v>71</v>
      </c>
      <c r="P28" s="63" t="s">
        <v>71</v>
      </c>
      <c r="Q28" s="65"/>
      <c r="R28" s="51"/>
      <c r="S28" s="67"/>
      <c r="T28" s="324"/>
      <c r="U28" s="328" t="s">
        <v>661</v>
      </c>
      <c r="V28" s="126"/>
    </row>
    <row r="29" spans="2:22" ht="26.45">
      <c r="B29" s="122"/>
      <c r="C29" s="269"/>
      <c r="D29" s="330" t="s">
        <v>558</v>
      </c>
      <c r="E29" s="94">
        <f t="shared" si="0"/>
        <v>26</v>
      </c>
      <c r="F29" s="95" t="s">
        <v>559</v>
      </c>
      <c r="G29" s="96" t="s">
        <v>581</v>
      </c>
      <c r="H29" s="50" t="s">
        <v>336</v>
      </c>
      <c r="I29" s="50" t="s">
        <v>336</v>
      </c>
      <c r="J29" s="50" t="s">
        <v>336</v>
      </c>
      <c r="K29" s="50" t="s">
        <v>336</v>
      </c>
      <c r="L29" s="50" t="s">
        <v>336</v>
      </c>
      <c r="M29" s="50" t="s">
        <v>336</v>
      </c>
      <c r="N29" s="50" t="s">
        <v>71</v>
      </c>
      <c r="O29" s="50" t="s">
        <v>71</v>
      </c>
      <c r="P29" s="63" t="s">
        <v>71</v>
      </c>
      <c r="Q29" s="331"/>
      <c r="R29" s="381"/>
      <c r="S29" s="382"/>
      <c r="T29" s="324"/>
      <c r="U29" s="328" t="s">
        <v>680</v>
      </c>
    </row>
    <row r="30" spans="2:22" ht="28.15" customHeight="1">
      <c r="B30" s="122"/>
      <c r="C30" s="269"/>
      <c r="D30" s="234" t="s">
        <v>561</v>
      </c>
      <c r="E30" s="233">
        <f t="shared" si="0"/>
        <v>27</v>
      </c>
      <c r="F30" s="97" t="s">
        <v>562</v>
      </c>
      <c r="G30" s="91" t="s">
        <v>581</v>
      </c>
      <c r="H30" s="78" t="s">
        <v>72</v>
      </c>
      <c r="I30" s="48" t="s">
        <v>71</v>
      </c>
      <c r="J30" s="48" t="s">
        <v>71</v>
      </c>
      <c r="K30" s="48" t="s">
        <v>71</v>
      </c>
      <c r="L30" s="78" t="s">
        <v>72</v>
      </c>
      <c r="M30" s="78" t="s">
        <v>72</v>
      </c>
      <c r="N30" s="48" t="s">
        <v>71</v>
      </c>
      <c r="O30" s="48" t="s">
        <v>71</v>
      </c>
      <c r="P30" s="62" t="s">
        <v>71</v>
      </c>
      <c r="Q30" s="83"/>
      <c r="R30" s="59"/>
      <c r="S30" s="84"/>
      <c r="T30" s="85"/>
      <c r="U30" s="101"/>
      <c r="V30" s="126"/>
    </row>
    <row r="31" spans="2:22" ht="28.9" customHeight="1">
      <c r="B31" s="122"/>
      <c r="C31" s="123"/>
      <c r="D31" s="234" t="s">
        <v>565</v>
      </c>
      <c r="E31" s="233">
        <f t="shared" si="0"/>
        <v>28</v>
      </c>
      <c r="F31" s="97" t="s">
        <v>562</v>
      </c>
      <c r="G31" s="91" t="s">
        <v>581</v>
      </c>
      <c r="H31" s="78" t="s">
        <v>72</v>
      </c>
      <c r="I31" s="48" t="s">
        <v>71</v>
      </c>
      <c r="J31" s="48" t="s">
        <v>71</v>
      </c>
      <c r="K31" s="48" t="s">
        <v>71</v>
      </c>
      <c r="L31" s="78" t="s">
        <v>72</v>
      </c>
      <c r="M31" s="78" t="s">
        <v>72</v>
      </c>
      <c r="N31" s="48" t="s">
        <v>71</v>
      </c>
      <c r="O31" s="48" t="s">
        <v>71</v>
      </c>
      <c r="P31" s="62" t="s">
        <v>71</v>
      </c>
      <c r="Q31" s="83"/>
      <c r="R31" s="59"/>
      <c r="S31" s="84"/>
      <c r="T31" s="85"/>
      <c r="U31" s="344"/>
    </row>
    <row r="32" spans="2:22" ht="28.15" customHeight="1">
      <c r="B32" s="122"/>
      <c r="C32" s="124" t="s">
        <v>566</v>
      </c>
      <c r="D32" s="269" t="s">
        <v>567</v>
      </c>
      <c r="E32" s="233">
        <f t="shared" si="0"/>
        <v>29</v>
      </c>
      <c r="F32" s="97" t="s">
        <v>568</v>
      </c>
      <c r="G32" s="91" t="s">
        <v>582</v>
      </c>
      <c r="H32" s="78" t="s">
        <v>72</v>
      </c>
      <c r="I32" s="48" t="s">
        <v>71</v>
      </c>
      <c r="J32" s="48" t="s">
        <v>71</v>
      </c>
      <c r="K32" s="48" t="s">
        <v>71</v>
      </c>
      <c r="L32" s="78" t="s">
        <v>72</v>
      </c>
      <c r="M32" s="78" t="s">
        <v>72</v>
      </c>
      <c r="N32" s="48" t="s">
        <v>71</v>
      </c>
      <c r="O32" s="48" t="s">
        <v>71</v>
      </c>
      <c r="P32" s="62" t="s">
        <v>71</v>
      </c>
      <c r="Q32" s="83"/>
      <c r="R32" s="59"/>
      <c r="S32" s="84"/>
      <c r="T32" s="85"/>
      <c r="U32" s="344"/>
    </row>
    <row r="33" spans="2:22" ht="28.15" customHeight="1">
      <c r="B33" s="122"/>
      <c r="C33" s="269"/>
      <c r="D33" s="269"/>
      <c r="E33" s="233">
        <f t="shared" si="0"/>
        <v>30</v>
      </c>
      <c r="F33" s="97" t="s">
        <v>570</v>
      </c>
      <c r="G33" s="91" t="s">
        <v>582</v>
      </c>
      <c r="H33" s="78" t="s">
        <v>72</v>
      </c>
      <c r="I33" s="48" t="s">
        <v>71</v>
      </c>
      <c r="J33" s="48" t="s">
        <v>71</v>
      </c>
      <c r="K33" s="48" t="s">
        <v>71</v>
      </c>
      <c r="L33" s="78" t="s">
        <v>72</v>
      </c>
      <c r="M33" s="78" t="s">
        <v>72</v>
      </c>
      <c r="N33" s="48" t="s">
        <v>71</v>
      </c>
      <c r="O33" s="48" t="s">
        <v>71</v>
      </c>
      <c r="P33" s="62" t="s">
        <v>71</v>
      </c>
      <c r="Q33" s="83"/>
      <c r="R33" s="59"/>
      <c r="S33" s="84"/>
      <c r="T33" s="85"/>
      <c r="U33" s="344"/>
    </row>
    <row r="34" spans="2:22" ht="28.15" customHeight="1">
      <c r="B34" s="122"/>
      <c r="C34" s="123"/>
      <c r="D34" s="272" t="s">
        <v>572</v>
      </c>
      <c r="E34" s="233">
        <f t="shared" si="0"/>
        <v>31</v>
      </c>
      <c r="F34" s="97" t="s">
        <v>574</v>
      </c>
      <c r="G34" s="91" t="s">
        <v>582</v>
      </c>
      <c r="H34" s="78" t="s">
        <v>72</v>
      </c>
      <c r="I34" s="48" t="s">
        <v>71</v>
      </c>
      <c r="J34" s="48" t="s">
        <v>71</v>
      </c>
      <c r="K34" s="48" t="s">
        <v>71</v>
      </c>
      <c r="L34" s="78" t="s">
        <v>72</v>
      </c>
      <c r="M34" s="78" t="s">
        <v>72</v>
      </c>
      <c r="N34" s="48" t="s">
        <v>71</v>
      </c>
      <c r="O34" s="48" t="s">
        <v>71</v>
      </c>
      <c r="P34" s="62" t="s">
        <v>71</v>
      </c>
      <c r="Q34" s="83"/>
      <c r="R34" s="59"/>
      <c r="S34" s="84"/>
      <c r="T34" s="85"/>
      <c r="U34" s="344"/>
    </row>
    <row r="35" spans="2:22" ht="28.15" customHeight="1">
      <c r="B35" s="122"/>
      <c r="C35" s="269"/>
      <c r="D35" s="269"/>
      <c r="E35" s="233">
        <f t="shared" si="0"/>
        <v>32</v>
      </c>
      <c r="F35" s="97" t="s">
        <v>576</v>
      </c>
      <c r="G35" s="91" t="s">
        <v>582</v>
      </c>
      <c r="H35" s="78" t="s">
        <v>72</v>
      </c>
      <c r="I35" s="48" t="s">
        <v>71</v>
      </c>
      <c r="J35" s="48" t="s">
        <v>71</v>
      </c>
      <c r="K35" s="48" t="s">
        <v>71</v>
      </c>
      <c r="L35" s="78" t="s">
        <v>72</v>
      </c>
      <c r="M35" s="78" t="s">
        <v>72</v>
      </c>
      <c r="N35" s="48" t="s">
        <v>71</v>
      </c>
      <c r="O35" s="48" t="s">
        <v>71</v>
      </c>
      <c r="P35" s="62" t="s">
        <v>71</v>
      </c>
      <c r="Q35" s="83"/>
      <c r="R35" s="59"/>
      <c r="S35" s="84"/>
      <c r="T35" s="85"/>
      <c r="U35" s="100"/>
    </row>
    <row r="36" spans="2:22" ht="28.15" customHeight="1">
      <c r="B36" s="125" t="s">
        <v>585</v>
      </c>
      <c r="C36" s="270" t="s">
        <v>530</v>
      </c>
      <c r="D36" s="235"/>
      <c r="E36" s="233">
        <f t="shared" si="0"/>
        <v>33</v>
      </c>
      <c r="F36" s="97" t="s">
        <v>586</v>
      </c>
      <c r="G36" s="91" t="s">
        <v>587</v>
      </c>
      <c r="H36" s="78" t="s">
        <v>72</v>
      </c>
      <c r="I36" s="48" t="s">
        <v>71</v>
      </c>
      <c r="J36" s="48" t="s">
        <v>71</v>
      </c>
      <c r="K36" s="48" t="s">
        <v>71</v>
      </c>
      <c r="L36" s="48" t="s">
        <v>71</v>
      </c>
      <c r="M36" s="48" t="s">
        <v>71</v>
      </c>
      <c r="N36" s="48" t="s">
        <v>71</v>
      </c>
      <c r="O36" s="78" t="s">
        <v>72</v>
      </c>
      <c r="P36" s="62" t="s">
        <v>71</v>
      </c>
      <c r="Q36" s="83"/>
      <c r="R36" s="59"/>
      <c r="S36" s="84"/>
      <c r="T36" s="85"/>
      <c r="U36" s="100"/>
    </row>
    <row r="37" spans="2:22" ht="28.15" customHeight="1">
      <c r="B37" s="122"/>
      <c r="C37" s="271" t="s">
        <v>588</v>
      </c>
      <c r="D37" s="235" t="s">
        <v>589</v>
      </c>
      <c r="E37" s="233">
        <f t="shared" si="0"/>
        <v>34</v>
      </c>
      <c r="F37" s="97" t="s">
        <v>536</v>
      </c>
      <c r="G37" s="91" t="s">
        <v>590</v>
      </c>
      <c r="H37" s="78" t="s">
        <v>72</v>
      </c>
      <c r="I37" s="48" t="s">
        <v>71</v>
      </c>
      <c r="J37" s="48" t="s">
        <v>71</v>
      </c>
      <c r="K37" s="48" t="s">
        <v>71</v>
      </c>
      <c r="L37" s="78" t="s">
        <v>72</v>
      </c>
      <c r="M37" s="78" t="s">
        <v>72</v>
      </c>
      <c r="N37" s="48" t="s">
        <v>71</v>
      </c>
      <c r="O37" s="78" t="s">
        <v>72</v>
      </c>
      <c r="P37" s="62" t="s">
        <v>71</v>
      </c>
      <c r="Q37" s="83"/>
      <c r="R37" s="59"/>
      <c r="S37" s="84"/>
      <c r="T37" s="85"/>
      <c r="U37" s="100"/>
    </row>
    <row r="38" spans="2:22" ht="28.15" customHeight="1">
      <c r="B38" s="122"/>
      <c r="C38" s="269"/>
      <c r="D38" s="232" t="s">
        <v>591</v>
      </c>
      <c r="E38" s="233">
        <f t="shared" si="0"/>
        <v>35</v>
      </c>
      <c r="F38" s="97" t="s">
        <v>592</v>
      </c>
      <c r="G38" s="91" t="s">
        <v>590</v>
      </c>
      <c r="H38" s="78" t="s">
        <v>72</v>
      </c>
      <c r="I38" s="48" t="s">
        <v>71</v>
      </c>
      <c r="J38" s="48" t="s">
        <v>71</v>
      </c>
      <c r="K38" s="48" t="s">
        <v>71</v>
      </c>
      <c r="L38" s="78" t="s">
        <v>72</v>
      </c>
      <c r="M38" s="78" t="s">
        <v>72</v>
      </c>
      <c r="N38" s="48" t="s">
        <v>71</v>
      </c>
      <c r="O38" s="78" t="s">
        <v>72</v>
      </c>
      <c r="P38" s="62" t="s">
        <v>71</v>
      </c>
      <c r="Q38" s="83"/>
      <c r="R38" s="59"/>
      <c r="S38" s="84"/>
      <c r="T38" s="85"/>
      <c r="U38" s="100"/>
    </row>
    <row r="39" spans="2:22" ht="28.15" customHeight="1">
      <c r="B39" s="122"/>
      <c r="C39" s="123"/>
      <c r="D39" s="232" t="s">
        <v>593</v>
      </c>
      <c r="E39" s="233">
        <f t="shared" si="0"/>
        <v>36</v>
      </c>
      <c r="F39" s="97" t="s">
        <v>594</v>
      </c>
      <c r="G39" s="91" t="s">
        <v>590</v>
      </c>
      <c r="H39" s="78" t="s">
        <v>72</v>
      </c>
      <c r="I39" s="48" t="s">
        <v>71</v>
      </c>
      <c r="J39" s="48" t="s">
        <v>71</v>
      </c>
      <c r="K39" s="48" t="s">
        <v>71</v>
      </c>
      <c r="L39" s="78" t="s">
        <v>72</v>
      </c>
      <c r="M39" s="78" t="s">
        <v>72</v>
      </c>
      <c r="N39" s="48" t="s">
        <v>71</v>
      </c>
      <c r="O39" s="78" t="s">
        <v>72</v>
      </c>
      <c r="P39" s="62" t="s">
        <v>71</v>
      </c>
      <c r="Q39" s="83"/>
      <c r="R39" s="59"/>
      <c r="S39" s="84"/>
      <c r="T39" s="85"/>
      <c r="U39" s="100" t="s">
        <v>681</v>
      </c>
    </row>
    <row r="40" spans="2:22" ht="28.15" customHeight="1">
      <c r="B40" s="122"/>
      <c r="C40" s="272" t="s">
        <v>595</v>
      </c>
      <c r="D40" s="235" t="s">
        <v>589</v>
      </c>
      <c r="E40" s="233">
        <f t="shared" si="0"/>
        <v>37</v>
      </c>
      <c r="F40" s="97" t="s">
        <v>536</v>
      </c>
      <c r="G40" s="91" t="s">
        <v>596</v>
      </c>
      <c r="H40" s="78" t="s">
        <v>72</v>
      </c>
      <c r="I40" s="48" t="s">
        <v>71</v>
      </c>
      <c r="J40" s="48" t="s">
        <v>71</v>
      </c>
      <c r="K40" s="48" t="s">
        <v>71</v>
      </c>
      <c r="L40" s="78" t="s">
        <v>72</v>
      </c>
      <c r="M40" s="78" t="s">
        <v>72</v>
      </c>
      <c r="N40" s="48" t="s">
        <v>71</v>
      </c>
      <c r="O40" s="78" t="s">
        <v>72</v>
      </c>
      <c r="P40" s="62" t="s">
        <v>71</v>
      </c>
      <c r="Q40" s="83"/>
      <c r="R40" s="59"/>
      <c r="S40" s="84"/>
      <c r="T40" s="85"/>
      <c r="U40" s="100"/>
    </row>
    <row r="41" spans="2:22" ht="28.15" customHeight="1">
      <c r="B41" s="122"/>
      <c r="C41" s="123"/>
      <c r="D41" s="232" t="s">
        <v>591</v>
      </c>
      <c r="E41" s="233">
        <f t="shared" si="0"/>
        <v>38</v>
      </c>
      <c r="F41" s="97" t="s">
        <v>592</v>
      </c>
      <c r="G41" s="91" t="s">
        <v>596</v>
      </c>
      <c r="H41" s="78" t="s">
        <v>72</v>
      </c>
      <c r="I41" s="48" t="s">
        <v>71</v>
      </c>
      <c r="J41" s="48" t="s">
        <v>71</v>
      </c>
      <c r="K41" s="48" t="s">
        <v>71</v>
      </c>
      <c r="L41" s="78" t="s">
        <v>72</v>
      </c>
      <c r="M41" s="78" t="s">
        <v>72</v>
      </c>
      <c r="N41" s="48" t="s">
        <v>71</v>
      </c>
      <c r="O41" s="78" t="s">
        <v>72</v>
      </c>
      <c r="P41" s="62" t="s">
        <v>71</v>
      </c>
      <c r="Q41" s="83"/>
      <c r="R41" s="59"/>
      <c r="S41" s="84"/>
      <c r="T41" s="85"/>
      <c r="U41" s="100"/>
    </row>
    <row r="42" spans="2:22" ht="28.15" customHeight="1">
      <c r="B42" s="122"/>
      <c r="C42" s="123"/>
      <c r="D42" s="232" t="s">
        <v>593</v>
      </c>
      <c r="E42" s="233">
        <f t="shared" si="0"/>
        <v>39</v>
      </c>
      <c r="F42" s="97" t="s">
        <v>594</v>
      </c>
      <c r="G42" s="91" t="s">
        <v>596</v>
      </c>
      <c r="H42" s="78" t="s">
        <v>72</v>
      </c>
      <c r="I42" s="48" t="s">
        <v>71</v>
      </c>
      <c r="J42" s="48" t="s">
        <v>71</v>
      </c>
      <c r="K42" s="48" t="s">
        <v>71</v>
      </c>
      <c r="L42" s="78" t="s">
        <v>72</v>
      </c>
      <c r="M42" s="78" t="s">
        <v>72</v>
      </c>
      <c r="N42" s="48" t="s">
        <v>71</v>
      </c>
      <c r="O42" s="78" t="s">
        <v>72</v>
      </c>
      <c r="P42" s="62" t="s">
        <v>71</v>
      </c>
      <c r="Q42" s="83"/>
      <c r="R42" s="59"/>
      <c r="S42" s="84"/>
      <c r="T42" s="85"/>
      <c r="U42" s="100" t="s">
        <v>681</v>
      </c>
      <c r="V42" s="126"/>
    </row>
    <row r="43" spans="2:22" ht="28.15" customHeight="1">
      <c r="B43" s="122"/>
      <c r="C43" s="272" t="s">
        <v>597</v>
      </c>
      <c r="D43" s="235" t="s">
        <v>589</v>
      </c>
      <c r="E43" s="233">
        <f t="shared" si="0"/>
        <v>40</v>
      </c>
      <c r="F43" s="97" t="s">
        <v>536</v>
      </c>
      <c r="G43" s="91" t="s">
        <v>598</v>
      </c>
      <c r="H43" s="78" t="s">
        <v>72</v>
      </c>
      <c r="I43" s="48" t="s">
        <v>71</v>
      </c>
      <c r="J43" s="48" t="s">
        <v>71</v>
      </c>
      <c r="K43" s="48" t="s">
        <v>71</v>
      </c>
      <c r="L43" s="78" t="s">
        <v>72</v>
      </c>
      <c r="M43" s="78" t="s">
        <v>72</v>
      </c>
      <c r="N43" s="48" t="s">
        <v>71</v>
      </c>
      <c r="O43" s="78" t="s">
        <v>72</v>
      </c>
      <c r="P43" s="62" t="s">
        <v>71</v>
      </c>
      <c r="Q43" s="83"/>
      <c r="R43" s="59"/>
      <c r="S43" s="84"/>
      <c r="T43" s="85"/>
      <c r="U43" s="101"/>
      <c r="V43" s="126"/>
    </row>
    <row r="44" spans="2:22" ht="28.15" customHeight="1">
      <c r="B44" s="122"/>
      <c r="C44" s="123"/>
      <c r="D44" s="232" t="s">
        <v>591</v>
      </c>
      <c r="E44" s="233">
        <f t="shared" si="0"/>
        <v>41</v>
      </c>
      <c r="F44" s="97" t="s">
        <v>592</v>
      </c>
      <c r="G44" s="91" t="s">
        <v>598</v>
      </c>
      <c r="H44" s="78" t="s">
        <v>72</v>
      </c>
      <c r="I44" s="48" t="s">
        <v>71</v>
      </c>
      <c r="J44" s="48" t="s">
        <v>71</v>
      </c>
      <c r="K44" s="48" t="s">
        <v>71</v>
      </c>
      <c r="L44" s="78" t="s">
        <v>72</v>
      </c>
      <c r="M44" s="78" t="s">
        <v>72</v>
      </c>
      <c r="N44" s="48" t="s">
        <v>71</v>
      </c>
      <c r="O44" s="78" t="s">
        <v>72</v>
      </c>
      <c r="P44" s="62" t="s">
        <v>71</v>
      </c>
      <c r="Q44" s="83"/>
      <c r="R44" s="59"/>
      <c r="S44" s="84"/>
      <c r="T44" s="85"/>
      <c r="U44" s="101"/>
      <c r="V44" s="126"/>
    </row>
    <row r="45" spans="2:22" ht="28.15" customHeight="1">
      <c r="B45" s="122"/>
      <c r="C45" s="123"/>
      <c r="D45" s="232" t="s">
        <v>593</v>
      </c>
      <c r="E45" s="233">
        <f t="shared" si="0"/>
        <v>42</v>
      </c>
      <c r="F45" s="97" t="s">
        <v>594</v>
      </c>
      <c r="G45" s="91" t="s">
        <v>598</v>
      </c>
      <c r="H45" s="78" t="s">
        <v>72</v>
      </c>
      <c r="I45" s="48" t="s">
        <v>71</v>
      </c>
      <c r="J45" s="48" t="s">
        <v>71</v>
      </c>
      <c r="K45" s="48" t="s">
        <v>71</v>
      </c>
      <c r="L45" s="78" t="s">
        <v>72</v>
      </c>
      <c r="M45" s="78" t="s">
        <v>72</v>
      </c>
      <c r="N45" s="48" t="s">
        <v>71</v>
      </c>
      <c r="O45" s="78" t="s">
        <v>72</v>
      </c>
      <c r="P45" s="62" t="s">
        <v>71</v>
      </c>
      <c r="Q45" s="83"/>
      <c r="R45" s="59"/>
      <c r="S45" s="84"/>
      <c r="T45" s="85"/>
      <c r="U45" s="101"/>
      <c r="V45" s="126"/>
    </row>
    <row r="46" spans="2:22" ht="28.15" customHeight="1">
      <c r="B46" s="122"/>
      <c r="C46" s="124" t="s">
        <v>271</v>
      </c>
      <c r="D46" s="235" t="s">
        <v>589</v>
      </c>
      <c r="E46" s="233">
        <f t="shared" si="0"/>
        <v>43</v>
      </c>
      <c r="F46" s="97" t="s">
        <v>536</v>
      </c>
      <c r="G46" s="91" t="s">
        <v>599</v>
      </c>
      <c r="H46" s="78" t="s">
        <v>72</v>
      </c>
      <c r="I46" s="48" t="s">
        <v>71</v>
      </c>
      <c r="J46" s="48" t="s">
        <v>71</v>
      </c>
      <c r="K46" s="48" t="s">
        <v>71</v>
      </c>
      <c r="L46" s="78" t="s">
        <v>72</v>
      </c>
      <c r="M46" s="78" t="s">
        <v>72</v>
      </c>
      <c r="N46" s="48" t="s">
        <v>71</v>
      </c>
      <c r="O46" s="78" t="s">
        <v>72</v>
      </c>
      <c r="P46" s="62" t="s">
        <v>71</v>
      </c>
      <c r="Q46" s="83"/>
      <c r="R46" s="59"/>
      <c r="S46" s="84"/>
      <c r="T46" s="85"/>
      <c r="U46" s="100"/>
    </row>
    <row r="47" spans="2:22" ht="28.15" customHeight="1">
      <c r="B47" s="122"/>
      <c r="C47" s="123"/>
      <c r="D47" s="232" t="s">
        <v>591</v>
      </c>
      <c r="E47" s="233">
        <f t="shared" si="0"/>
        <v>44</v>
      </c>
      <c r="F47" s="97" t="s">
        <v>592</v>
      </c>
      <c r="G47" s="91" t="s">
        <v>599</v>
      </c>
      <c r="H47" s="78" t="s">
        <v>72</v>
      </c>
      <c r="I47" s="48" t="s">
        <v>71</v>
      </c>
      <c r="J47" s="48" t="s">
        <v>71</v>
      </c>
      <c r="K47" s="48" t="s">
        <v>71</v>
      </c>
      <c r="L47" s="78" t="s">
        <v>72</v>
      </c>
      <c r="M47" s="78" t="s">
        <v>72</v>
      </c>
      <c r="N47" s="48" t="s">
        <v>71</v>
      </c>
      <c r="O47" s="78" t="s">
        <v>72</v>
      </c>
      <c r="P47" s="62" t="s">
        <v>71</v>
      </c>
      <c r="Q47" s="83"/>
      <c r="R47" s="59"/>
      <c r="S47" s="84"/>
      <c r="T47" s="85"/>
      <c r="U47" s="100"/>
      <c r="V47" s="126"/>
    </row>
    <row r="48" spans="2:22" ht="28.15" customHeight="1">
      <c r="B48" s="122"/>
      <c r="C48" s="229"/>
      <c r="D48" s="232" t="s">
        <v>593</v>
      </c>
      <c r="E48" s="233">
        <f t="shared" si="0"/>
        <v>45</v>
      </c>
      <c r="F48" s="97" t="s">
        <v>594</v>
      </c>
      <c r="G48" s="91" t="s">
        <v>599</v>
      </c>
      <c r="H48" s="78" t="s">
        <v>72</v>
      </c>
      <c r="I48" s="48" t="s">
        <v>71</v>
      </c>
      <c r="J48" s="48" t="s">
        <v>71</v>
      </c>
      <c r="K48" s="48" t="s">
        <v>71</v>
      </c>
      <c r="L48" s="78" t="s">
        <v>72</v>
      </c>
      <c r="M48" s="78" t="s">
        <v>72</v>
      </c>
      <c r="N48" s="48" t="s">
        <v>71</v>
      </c>
      <c r="O48" s="78" t="s">
        <v>72</v>
      </c>
      <c r="P48" s="62" t="s">
        <v>71</v>
      </c>
      <c r="Q48" s="83"/>
      <c r="R48" s="59"/>
      <c r="S48" s="84"/>
      <c r="T48" s="85"/>
      <c r="U48" s="100"/>
      <c r="V48" s="126"/>
    </row>
    <row r="49" spans="2:22" ht="28.15" customHeight="1">
      <c r="B49" s="122"/>
      <c r="C49" s="124" t="s">
        <v>600</v>
      </c>
      <c r="D49" s="269" t="s">
        <v>601</v>
      </c>
      <c r="E49" s="233">
        <f t="shared" si="0"/>
        <v>46</v>
      </c>
      <c r="F49" s="97" t="s">
        <v>602</v>
      </c>
      <c r="G49" s="91" t="s">
        <v>666</v>
      </c>
      <c r="H49" s="78" t="s">
        <v>72</v>
      </c>
      <c r="I49" s="48" t="s">
        <v>336</v>
      </c>
      <c r="J49" s="48" t="s">
        <v>71</v>
      </c>
      <c r="K49" s="78" t="s">
        <v>72</v>
      </c>
      <c r="L49" s="78" t="s">
        <v>72</v>
      </c>
      <c r="M49" s="78" t="s">
        <v>72</v>
      </c>
      <c r="N49" s="48" t="s">
        <v>71</v>
      </c>
      <c r="O49" s="78" t="s">
        <v>72</v>
      </c>
      <c r="P49" s="62" t="s">
        <v>71</v>
      </c>
      <c r="Q49" s="83"/>
      <c r="R49" s="59"/>
      <c r="S49" s="84"/>
      <c r="T49" s="85"/>
      <c r="U49" s="101"/>
      <c r="V49" s="126"/>
    </row>
    <row r="50" spans="2:22" ht="28.15" customHeight="1">
      <c r="B50" s="122"/>
      <c r="C50" s="269"/>
      <c r="D50" s="234" t="s">
        <v>605</v>
      </c>
      <c r="E50" s="233">
        <f t="shared" si="0"/>
        <v>47</v>
      </c>
      <c r="F50" s="97" t="s">
        <v>606</v>
      </c>
      <c r="G50" s="91" t="s">
        <v>603</v>
      </c>
      <c r="H50" s="78" t="s">
        <v>72</v>
      </c>
      <c r="I50" s="48" t="s">
        <v>336</v>
      </c>
      <c r="J50" s="48" t="s">
        <v>71</v>
      </c>
      <c r="K50" s="78" t="s">
        <v>72</v>
      </c>
      <c r="L50" s="78" t="s">
        <v>72</v>
      </c>
      <c r="M50" s="78" t="s">
        <v>72</v>
      </c>
      <c r="N50" s="48" t="s">
        <v>71</v>
      </c>
      <c r="O50" s="78" t="s">
        <v>72</v>
      </c>
      <c r="P50" s="62" t="s">
        <v>71</v>
      </c>
      <c r="Q50" s="83"/>
      <c r="R50" s="59"/>
      <c r="S50" s="84"/>
      <c r="T50" s="85"/>
      <c r="U50" s="101"/>
    </row>
    <row r="51" spans="2:22" ht="28.9" customHeight="1">
      <c r="B51" s="122"/>
      <c r="C51" s="123"/>
      <c r="D51" s="234" t="s">
        <v>607</v>
      </c>
      <c r="E51" s="233">
        <f t="shared" si="0"/>
        <v>48</v>
      </c>
      <c r="F51" s="97" t="s">
        <v>608</v>
      </c>
      <c r="G51" s="91" t="s">
        <v>609</v>
      </c>
      <c r="H51" s="78" t="s">
        <v>72</v>
      </c>
      <c r="I51" s="48" t="s">
        <v>336</v>
      </c>
      <c r="J51" s="48" t="s">
        <v>71</v>
      </c>
      <c r="K51" s="78" t="s">
        <v>72</v>
      </c>
      <c r="L51" s="78" t="s">
        <v>72</v>
      </c>
      <c r="M51" s="78" t="s">
        <v>72</v>
      </c>
      <c r="N51" s="48" t="s">
        <v>71</v>
      </c>
      <c r="O51" s="78" t="s">
        <v>72</v>
      </c>
      <c r="P51" s="62" t="s">
        <v>71</v>
      </c>
      <c r="Q51" s="83"/>
      <c r="R51" s="59"/>
      <c r="S51" s="84"/>
      <c r="T51" s="85"/>
      <c r="U51" s="101"/>
    </row>
    <row r="52" spans="2:22" ht="28.15" customHeight="1">
      <c r="B52" s="122"/>
      <c r="C52" s="124" t="s">
        <v>610</v>
      </c>
      <c r="D52" s="269" t="s">
        <v>530</v>
      </c>
      <c r="E52" s="233">
        <f t="shared" si="0"/>
        <v>49</v>
      </c>
      <c r="F52" s="97" t="s">
        <v>611</v>
      </c>
      <c r="G52" s="91" t="s">
        <v>612</v>
      </c>
      <c r="H52" s="78" t="s">
        <v>72</v>
      </c>
      <c r="I52" s="48" t="s">
        <v>336</v>
      </c>
      <c r="J52" s="48" t="s">
        <v>71</v>
      </c>
      <c r="K52" s="78" t="s">
        <v>72</v>
      </c>
      <c r="L52" s="78" t="s">
        <v>72</v>
      </c>
      <c r="M52" s="78" t="s">
        <v>72</v>
      </c>
      <c r="N52" s="48" t="s">
        <v>71</v>
      </c>
      <c r="O52" s="78" t="s">
        <v>72</v>
      </c>
      <c r="P52" s="62" t="s">
        <v>71</v>
      </c>
      <c r="Q52" s="83"/>
      <c r="R52" s="59"/>
      <c r="S52" s="84"/>
      <c r="T52" s="85"/>
      <c r="U52" s="101"/>
      <c r="V52" s="126"/>
    </row>
    <row r="53" spans="2:22" ht="28.15" customHeight="1">
      <c r="B53" s="122"/>
      <c r="C53" s="269"/>
      <c r="D53" s="272" t="s">
        <v>613</v>
      </c>
      <c r="E53" s="233">
        <f t="shared" si="0"/>
        <v>50</v>
      </c>
      <c r="F53" s="97" t="s">
        <v>592</v>
      </c>
      <c r="G53" s="91" t="s">
        <v>614</v>
      </c>
      <c r="H53" s="78" t="s">
        <v>72</v>
      </c>
      <c r="I53" s="48" t="s">
        <v>336</v>
      </c>
      <c r="J53" s="48" t="s">
        <v>71</v>
      </c>
      <c r="K53" s="78" t="s">
        <v>72</v>
      </c>
      <c r="L53" s="78" t="s">
        <v>72</v>
      </c>
      <c r="M53" s="78" t="s">
        <v>72</v>
      </c>
      <c r="N53" s="48" t="s">
        <v>71</v>
      </c>
      <c r="O53" s="78" t="s">
        <v>72</v>
      </c>
      <c r="P53" s="62" t="s">
        <v>71</v>
      </c>
      <c r="Q53" s="83"/>
      <c r="R53" s="59"/>
      <c r="S53" s="84"/>
      <c r="T53" s="85"/>
      <c r="U53" s="100"/>
    </row>
    <row r="54" spans="2:22" ht="28.9" customHeight="1">
      <c r="B54" s="122"/>
      <c r="C54" s="123"/>
      <c r="D54" s="229"/>
      <c r="E54" s="233">
        <f t="shared" si="0"/>
        <v>51</v>
      </c>
      <c r="F54" s="97" t="s">
        <v>536</v>
      </c>
      <c r="G54" s="91" t="s">
        <v>615</v>
      </c>
      <c r="H54" s="78" t="s">
        <v>72</v>
      </c>
      <c r="I54" s="48" t="s">
        <v>336</v>
      </c>
      <c r="J54" s="48" t="s">
        <v>71</v>
      </c>
      <c r="K54" s="78" t="s">
        <v>72</v>
      </c>
      <c r="L54" s="78" t="s">
        <v>72</v>
      </c>
      <c r="M54" s="78" t="s">
        <v>72</v>
      </c>
      <c r="N54" s="48" t="s">
        <v>71</v>
      </c>
      <c r="O54" s="78" t="s">
        <v>72</v>
      </c>
      <c r="P54" s="62" t="s">
        <v>71</v>
      </c>
      <c r="Q54" s="83"/>
      <c r="R54" s="59"/>
      <c r="S54" s="84"/>
      <c r="T54" s="85"/>
      <c r="U54" s="100"/>
    </row>
    <row r="55" spans="2:22" ht="28.15" customHeight="1">
      <c r="B55" s="278" t="s">
        <v>616</v>
      </c>
      <c r="C55" s="294" t="s">
        <v>617</v>
      </c>
      <c r="D55" s="280" t="s">
        <v>618</v>
      </c>
      <c r="E55" s="281">
        <f t="shared" si="0"/>
        <v>52</v>
      </c>
      <c r="F55" s="282" t="s">
        <v>619</v>
      </c>
      <c r="G55" s="283" t="s">
        <v>620</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15" customHeight="1">
      <c r="B56" s="291" t="s">
        <v>621</v>
      </c>
      <c r="C56" s="279"/>
      <c r="D56" s="292" t="s">
        <v>627</v>
      </c>
      <c r="E56" s="281">
        <f t="shared" si="0"/>
        <v>53</v>
      </c>
      <c r="F56" s="282" t="s">
        <v>627</v>
      </c>
      <c r="G56" s="283" t="s">
        <v>624</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15" customHeight="1">
      <c r="B57" s="293"/>
      <c r="C57" s="279"/>
      <c r="D57" s="292" t="s">
        <v>656</v>
      </c>
      <c r="E57" s="281">
        <f t="shared" si="0"/>
        <v>54</v>
      </c>
      <c r="F57" s="282" t="s">
        <v>657</v>
      </c>
      <c r="G57" s="283" t="s">
        <v>624</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15" customHeight="1">
      <c r="B58" s="293"/>
      <c r="C58" s="279"/>
      <c r="D58" s="292" t="s">
        <v>638</v>
      </c>
      <c r="E58" s="281">
        <f t="shared" si="0"/>
        <v>55</v>
      </c>
      <c r="F58" s="292" t="s">
        <v>277</v>
      </c>
      <c r="G58" s="283" t="s">
        <v>624</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15" customHeight="1">
      <c r="B59" s="293"/>
      <c r="C59" s="279"/>
      <c r="D59" s="292" t="s">
        <v>639</v>
      </c>
      <c r="E59" s="281">
        <f t="shared" si="0"/>
        <v>56</v>
      </c>
      <c r="F59" s="292" t="s">
        <v>280</v>
      </c>
      <c r="G59" s="283" t="s">
        <v>624</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15" customHeight="1">
      <c r="B60" s="293"/>
      <c r="C60" s="279"/>
      <c r="D60" s="292" t="s">
        <v>640</v>
      </c>
      <c r="E60" s="281">
        <f t="shared" si="0"/>
        <v>57</v>
      </c>
      <c r="F60" s="292" t="s">
        <v>283</v>
      </c>
      <c r="G60" s="283" t="s">
        <v>624</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15" customHeight="1">
      <c r="B61" s="293"/>
      <c r="C61" s="279"/>
      <c r="D61" s="292" t="s">
        <v>641</v>
      </c>
      <c r="E61" s="281">
        <f t="shared" si="0"/>
        <v>58</v>
      </c>
      <c r="F61" s="292" t="s">
        <v>285</v>
      </c>
      <c r="G61" s="283" t="s">
        <v>624</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15" customHeight="1">
      <c r="B62" s="293"/>
      <c r="C62" s="279"/>
      <c r="D62" s="292" t="s">
        <v>658</v>
      </c>
      <c r="E62" s="281">
        <f t="shared" si="0"/>
        <v>59</v>
      </c>
      <c r="F62" s="292" t="s">
        <v>643</v>
      </c>
      <c r="G62" s="283" t="s">
        <v>624</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15" customHeight="1">
      <c r="B63" s="293"/>
      <c r="C63" s="279"/>
      <c r="D63" s="292" t="s">
        <v>659</v>
      </c>
      <c r="E63" s="281">
        <f t="shared" si="0"/>
        <v>60</v>
      </c>
      <c r="F63" s="292" t="s">
        <v>645</v>
      </c>
      <c r="G63" s="283" t="s">
        <v>646</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15" customHeight="1">
      <c r="B64" s="390" t="s">
        <v>616</v>
      </c>
      <c r="C64" s="389" t="s">
        <v>617</v>
      </c>
      <c r="D64" s="334" t="s">
        <v>618</v>
      </c>
      <c r="E64" s="94">
        <f t="shared" si="0"/>
        <v>61</v>
      </c>
      <c r="F64" s="95" t="s">
        <v>619</v>
      </c>
      <c r="G64" s="96" t="s">
        <v>620</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c r="B65" s="420" t="s">
        <v>655</v>
      </c>
      <c r="C65" s="332"/>
      <c r="D65" s="93" t="s">
        <v>627</v>
      </c>
      <c r="E65" s="94">
        <f t="shared" si="0"/>
        <v>62</v>
      </c>
      <c r="F65" s="95" t="s">
        <v>627</v>
      </c>
      <c r="G65" s="96" t="s">
        <v>624</v>
      </c>
      <c r="H65" s="79" t="s">
        <v>71</v>
      </c>
      <c r="I65" s="50" t="s">
        <v>336</v>
      </c>
      <c r="J65" s="50" t="s">
        <v>71</v>
      </c>
      <c r="K65" s="50" t="s">
        <v>71</v>
      </c>
      <c r="L65" s="50" t="s">
        <v>71</v>
      </c>
      <c r="M65" s="50" t="s">
        <v>71</v>
      </c>
      <c r="N65" s="50" t="s">
        <v>71</v>
      </c>
      <c r="O65" s="50" t="s">
        <v>71</v>
      </c>
      <c r="P65" s="63" t="s">
        <v>71</v>
      </c>
      <c r="Q65" s="331"/>
      <c r="R65" s="381"/>
      <c r="S65" s="382"/>
      <c r="T65" s="324"/>
      <c r="U65" s="102"/>
      <c r="V65" s="126"/>
    </row>
    <row r="66" spans="1:22" ht="28.15" customHeight="1">
      <c r="B66" s="347"/>
      <c r="C66" s="332"/>
      <c r="D66" s="93" t="s">
        <v>656</v>
      </c>
      <c r="E66" s="94">
        <f t="shared" si="0"/>
        <v>63</v>
      </c>
      <c r="F66" s="95" t="s">
        <v>657</v>
      </c>
      <c r="G66" s="96" t="s">
        <v>624</v>
      </c>
      <c r="H66" s="79" t="s">
        <v>71</v>
      </c>
      <c r="I66" s="50" t="s">
        <v>71</v>
      </c>
      <c r="J66" s="50" t="s">
        <v>71</v>
      </c>
      <c r="K66" s="50" t="s">
        <v>71</v>
      </c>
      <c r="L66" s="79" t="s">
        <v>71</v>
      </c>
      <c r="M66" s="79" t="s">
        <v>71</v>
      </c>
      <c r="N66" s="50" t="s">
        <v>71</v>
      </c>
      <c r="O66" s="50" t="s">
        <v>71</v>
      </c>
      <c r="P66" s="63" t="s">
        <v>71</v>
      </c>
      <c r="Q66" s="331"/>
      <c r="R66" s="381"/>
      <c r="S66" s="382"/>
      <c r="T66" s="324"/>
      <c r="U66" s="102"/>
    </row>
    <row r="67" spans="1:22" ht="28.15" customHeight="1">
      <c r="B67" s="347"/>
      <c r="C67" s="332"/>
      <c r="D67" s="93" t="s">
        <v>638</v>
      </c>
      <c r="E67" s="94">
        <f t="shared" si="0"/>
        <v>64</v>
      </c>
      <c r="F67" s="93" t="s">
        <v>277</v>
      </c>
      <c r="G67" s="96" t="s">
        <v>624</v>
      </c>
      <c r="H67" s="79" t="s">
        <v>71</v>
      </c>
      <c r="I67" s="50" t="s">
        <v>71</v>
      </c>
      <c r="J67" s="50" t="s">
        <v>71</v>
      </c>
      <c r="K67" s="50" t="s">
        <v>71</v>
      </c>
      <c r="L67" s="79" t="s">
        <v>71</v>
      </c>
      <c r="M67" s="79" t="s">
        <v>71</v>
      </c>
      <c r="N67" s="50" t="s">
        <v>71</v>
      </c>
      <c r="O67" s="50" t="s">
        <v>71</v>
      </c>
      <c r="P67" s="63" t="s">
        <v>71</v>
      </c>
      <c r="Q67" s="331"/>
      <c r="R67" s="381"/>
      <c r="S67" s="382"/>
      <c r="T67" s="324"/>
      <c r="U67" s="102"/>
    </row>
    <row r="68" spans="1:22" ht="28.15" customHeight="1">
      <c r="B68" s="347"/>
      <c r="C68" s="332"/>
      <c r="D68" s="93" t="s">
        <v>639</v>
      </c>
      <c r="E68" s="94">
        <f t="shared" si="0"/>
        <v>65</v>
      </c>
      <c r="F68" s="93" t="s">
        <v>280</v>
      </c>
      <c r="G68" s="96" t="s">
        <v>624</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15" customHeight="1">
      <c r="B69" s="347"/>
      <c r="C69" s="332"/>
      <c r="D69" s="93" t="s">
        <v>640</v>
      </c>
      <c r="E69" s="94">
        <f t="shared" ref="E69:E72" si="1">ROW()-3</f>
        <v>66</v>
      </c>
      <c r="F69" s="93" t="s">
        <v>283</v>
      </c>
      <c r="G69" s="96" t="s">
        <v>624</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 customHeight="1">
      <c r="B70" s="347"/>
      <c r="C70" s="332"/>
      <c r="D70" s="93" t="s">
        <v>641</v>
      </c>
      <c r="E70" s="94">
        <f t="shared" si="1"/>
        <v>67</v>
      </c>
      <c r="F70" s="93" t="s">
        <v>285</v>
      </c>
      <c r="G70" s="96" t="s">
        <v>624</v>
      </c>
      <c r="H70" s="79" t="s">
        <v>71</v>
      </c>
      <c r="I70" s="50" t="s">
        <v>71</v>
      </c>
      <c r="J70" s="50" t="s">
        <v>71</v>
      </c>
      <c r="K70" s="50" t="s">
        <v>71</v>
      </c>
      <c r="L70" s="50" t="s">
        <v>71</v>
      </c>
      <c r="M70" s="50" t="s">
        <v>71</v>
      </c>
      <c r="N70" s="50" t="s">
        <v>71</v>
      </c>
      <c r="O70" s="50" t="s">
        <v>71</v>
      </c>
      <c r="P70" s="63" t="s">
        <v>71</v>
      </c>
      <c r="Q70" s="331"/>
      <c r="R70" s="381"/>
      <c r="S70" s="382"/>
      <c r="T70" s="324"/>
      <c r="U70" s="328"/>
    </row>
    <row r="71" spans="1:22" ht="28.15" customHeight="1">
      <c r="B71" s="347"/>
      <c r="C71" s="332"/>
      <c r="D71" s="93" t="s">
        <v>658</v>
      </c>
      <c r="E71" s="94">
        <f t="shared" si="1"/>
        <v>68</v>
      </c>
      <c r="F71" s="93" t="s">
        <v>643</v>
      </c>
      <c r="G71" s="96" t="s">
        <v>624</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c r="B72" s="347"/>
      <c r="C72" s="332"/>
      <c r="D72" s="93" t="s">
        <v>659</v>
      </c>
      <c r="E72" s="94">
        <f t="shared" si="1"/>
        <v>69</v>
      </c>
      <c r="F72" s="93" t="s">
        <v>645</v>
      </c>
      <c r="G72" s="96" t="s">
        <v>646</v>
      </c>
      <c r="H72" s="50" t="s">
        <v>71</v>
      </c>
      <c r="I72" s="50" t="s">
        <v>71</v>
      </c>
      <c r="J72" s="50" t="s">
        <v>71</v>
      </c>
      <c r="K72" s="79" t="s">
        <v>71</v>
      </c>
      <c r="L72" s="50" t="s">
        <v>71</v>
      </c>
      <c r="M72" s="50" t="s">
        <v>71</v>
      </c>
      <c r="N72" s="50" t="s">
        <v>71</v>
      </c>
      <c r="O72" s="50" t="s">
        <v>71</v>
      </c>
      <c r="P72" s="63" t="s">
        <v>71</v>
      </c>
      <c r="Q72" s="331"/>
      <c r="R72" s="381"/>
      <c r="S72" s="382"/>
      <c r="T72" s="324"/>
      <c r="U72" s="102"/>
    </row>
    <row r="73" spans="1:22" ht="28.15" customHeight="1">
      <c r="B73" s="125" t="s">
        <v>682</v>
      </c>
      <c r="C73" s="124" t="s">
        <v>683</v>
      </c>
      <c r="D73" s="88"/>
      <c r="E73" s="89"/>
      <c r="F73" s="90" t="s">
        <v>684</v>
      </c>
      <c r="G73" s="91" t="s">
        <v>685</v>
      </c>
      <c r="H73" s="78" t="s">
        <v>72</v>
      </c>
      <c r="I73" s="48" t="s">
        <v>336</v>
      </c>
      <c r="J73" s="48" t="s">
        <v>71</v>
      </c>
      <c r="K73" s="78" t="s">
        <v>72</v>
      </c>
      <c r="L73" s="48" t="s">
        <v>71</v>
      </c>
      <c r="M73" s="48" t="s">
        <v>71</v>
      </c>
      <c r="N73" s="47" t="s">
        <v>71</v>
      </c>
      <c r="O73" s="47" t="s">
        <v>71</v>
      </c>
      <c r="P73" s="62" t="s">
        <v>71</v>
      </c>
      <c r="Q73" s="83"/>
      <c r="R73" s="59"/>
      <c r="S73" s="84"/>
      <c r="T73" s="85"/>
      <c r="U73" s="100"/>
    </row>
    <row r="74" spans="1:22" ht="28.15" customHeight="1" thickBot="1">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c r="B75" s="511" t="s">
        <v>301</v>
      </c>
      <c r="C75" s="496"/>
      <c r="D75" s="496">
        <f>SUM(H77:P77)</f>
        <v>0</v>
      </c>
      <c r="E75" s="157"/>
      <c r="F75" s="158"/>
      <c r="G75" s="250" t="s">
        <v>302</v>
      </c>
      <c r="H75" s="160">
        <f>COUNTIF(H4:H74,"●")+COUNTIF(H4:H74,"■")+COUNTIF(H4:H74,"OK")</f>
        <v>0</v>
      </c>
      <c r="I75" s="160">
        <f t="shared" ref="I75:P75" si="2">COUNTIF(I4:I74,"●")+COUNTIF(I4:I74,"■")+COUNTIF(I4:I74,"OK")</f>
        <v>0</v>
      </c>
      <c r="J75" s="160">
        <f t="shared" si="2"/>
        <v>0</v>
      </c>
      <c r="K75" s="160">
        <f t="shared" si="2"/>
        <v>0</v>
      </c>
      <c r="L75" s="160">
        <f t="shared" si="2"/>
        <v>0</v>
      </c>
      <c r="M75" s="160">
        <f t="shared" si="2"/>
        <v>0</v>
      </c>
      <c r="N75" s="160">
        <f t="shared" si="2"/>
        <v>0</v>
      </c>
      <c r="O75" s="160">
        <f t="shared" si="2"/>
        <v>0</v>
      </c>
      <c r="P75" s="160">
        <f t="shared" si="2"/>
        <v>0</v>
      </c>
      <c r="Q75" s="498" t="s">
        <v>303</v>
      </c>
      <c r="R75" s="498"/>
      <c r="S75" s="498"/>
      <c r="T75" s="161"/>
      <c r="U75" s="162"/>
    </row>
    <row r="76" spans="1:22" ht="18" customHeight="1">
      <c r="B76" s="512"/>
      <c r="C76" s="497"/>
      <c r="D76" s="497"/>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499"/>
      <c r="R76" s="499"/>
      <c r="S76" s="499"/>
      <c r="T76" s="71"/>
      <c r="U76" s="105"/>
    </row>
    <row r="77" spans="1:22" ht="18" customHeight="1">
      <c r="B77" s="513" t="s">
        <v>305</v>
      </c>
      <c r="C77" s="494"/>
      <c r="D77" s="494">
        <f>SUM(H78:P78)</f>
        <v>163</v>
      </c>
      <c r="E77" s="45"/>
      <c r="F77" s="46"/>
      <c r="G77" s="251" t="s">
        <v>306</v>
      </c>
      <c r="H77" s="75">
        <f t="shared" ref="H77:P77" si="4">H75+H76</f>
        <v>0</v>
      </c>
      <c r="I77" s="76">
        <f t="shared" si="4"/>
        <v>0</v>
      </c>
      <c r="J77" s="76">
        <f t="shared" si="4"/>
        <v>0</v>
      </c>
      <c r="K77" s="76">
        <f t="shared" si="4"/>
        <v>0</v>
      </c>
      <c r="L77" s="76">
        <f t="shared" si="4"/>
        <v>0</v>
      </c>
      <c r="M77" s="76">
        <f t="shared" si="4"/>
        <v>0</v>
      </c>
      <c r="N77" s="76">
        <f t="shared" si="4"/>
        <v>0</v>
      </c>
      <c r="O77" s="76">
        <f t="shared" si="4"/>
        <v>0</v>
      </c>
      <c r="P77" s="77">
        <f t="shared" si="4"/>
        <v>0</v>
      </c>
      <c r="Q77" s="500">
        <f>COUNTA(Q4:Q74)</f>
        <v>0</v>
      </c>
      <c r="R77" s="502">
        <f>COUNTA(R4:R74)</f>
        <v>0</v>
      </c>
      <c r="S77" s="504">
        <f>COUNTA(S4:S74)</f>
        <v>0</v>
      </c>
      <c r="T77" s="71"/>
      <c r="U77" s="105"/>
    </row>
    <row r="78" spans="1:22" ht="18" customHeight="1" thickBot="1">
      <c r="A78" s="118"/>
      <c r="B78" s="514"/>
      <c r="C78" s="495"/>
      <c r="D78" s="495"/>
      <c r="E78" s="106"/>
      <c r="F78" s="107"/>
      <c r="G78" s="252" t="s">
        <v>307</v>
      </c>
      <c r="H78" s="109">
        <f>COUNTBLANK(H4:H74)+H77+COUNTIF(H4:H74,"□")</f>
        <v>46</v>
      </c>
      <c r="I78" s="109">
        <f t="shared" ref="I78:P78" si="5">COUNTBLANK(I4:I74)+I77+COUNTIF(I4:I74,"□")</f>
        <v>0</v>
      </c>
      <c r="J78" s="109">
        <f t="shared" si="5"/>
        <v>0</v>
      </c>
      <c r="K78" s="109">
        <f t="shared" si="5"/>
        <v>10</v>
      </c>
      <c r="L78" s="109">
        <f t="shared" si="5"/>
        <v>44</v>
      </c>
      <c r="M78" s="109">
        <f t="shared" si="5"/>
        <v>44</v>
      </c>
      <c r="N78" s="109">
        <f t="shared" si="5"/>
        <v>0</v>
      </c>
      <c r="O78" s="109">
        <f t="shared" si="5"/>
        <v>19</v>
      </c>
      <c r="P78" s="109">
        <f t="shared" si="5"/>
        <v>0</v>
      </c>
      <c r="Q78" s="501"/>
      <c r="R78" s="503"/>
      <c r="S78" s="505"/>
      <c r="T78" s="112"/>
      <c r="U78" s="113"/>
    </row>
    <row r="79" spans="1:22" ht="24" customHeight="1"/>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F19" sqref="F19"/>
    </sheetView>
  </sheetViews>
  <sheetFormatPr defaultColWidth="8.7109375" defaultRowHeight="13.15"/>
  <cols>
    <col min="1" max="1" width="3.140625" style="60" customWidth="1"/>
    <col min="2" max="2" width="14.85546875" style="60" customWidth="1"/>
    <col min="3" max="3" width="16.28515625" style="60" bestFit="1" customWidth="1"/>
    <col min="4" max="4" width="24.28515625" style="60" bestFit="1" customWidth="1"/>
    <col min="5" max="5" width="3.85546875" style="60" customWidth="1"/>
    <col min="6" max="6" width="37.85546875" style="60" customWidth="1"/>
    <col min="7" max="7" width="61.5703125" style="60" customWidth="1"/>
    <col min="8" max="16" width="5.7109375" style="119" customWidth="1"/>
    <col min="17" max="19" width="5.5703125" style="119" customWidth="1"/>
    <col min="20" max="20" width="6" style="119" customWidth="1"/>
    <col min="21" max="21" width="53.28515625" style="120" bestFit="1" customWidth="1"/>
    <col min="22" max="22" width="5" style="120" customWidth="1"/>
    <col min="23" max="16384" width="8.7109375" style="120"/>
  </cols>
  <sheetData>
    <row r="1" spans="1:22" ht="20.45" thickBot="1">
      <c r="B1" s="121" t="s">
        <v>686</v>
      </c>
      <c r="E1" s="121"/>
    </row>
    <row r="2" spans="1:22" ht="24" customHeight="1">
      <c r="A2" s="118"/>
      <c r="B2" s="509" t="s">
        <v>43</v>
      </c>
      <c r="C2" s="492" t="s">
        <v>44</v>
      </c>
      <c r="D2" s="492" t="s">
        <v>45</v>
      </c>
      <c r="E2" s="485" t="s">
        <v>46</v>
      </c>
      <c r="F2" s="486"/>
      <c r="G2" s="487"/>
      <c r="H2" s="506" t="s">
        <v>687</v>
      </c>
      <c r="I2" s="507"/>
      <c r="J2" s="507"/>
      <c r="K2" s="507"/>
      <c r="L2" s="507"/>
      <c r="M2" s="507"/>
      <c r="N2" s="507"/>
      <c r="O2" s="507"/>
      <c r="P2" s="508"/>
      <c r="Q2" s="488" t="s">
        <v>48</v>
      </c>
      <c r="R2" s="489"/>
      <c r="S2" s="489"/>
      <c r="T2" s="492" t="s">
        <v>49</v>
      </c>
      <c r="U2" s="490" t="s">
        <v>50</v>
      </c>
    </row>
    <row r="3" spans="1:22" ht="27" thickBot="1">
      <c r="A3" s="118"/>
      <c r="B3" s="510"/>
      <c r="C3" s="493"/>
      <c r="D3" s="493"/>
      <c r="E3" s="114" t="s">
        <v>51</v>
      </c>
      <c r="F3" s="249" t="s">
        <v>688</v>
      </c>
      <c r="G3" s="115" t="s">
        <v>53</v>
      </c>
      <c r="H3" s="127" t="s">
        <v>54</v>
      </c>
      <c r="I3" s="128" t="s">
        <v>55</v>
      </c>
      <c r="J3" s="129" t="s">
        <v>57</v>
      </c>
      <c r="K3" s="129" t="s">
        <v>689</v>
      </c>
      <c r="L3" s="129" t="s">
        <v>690</v>
      </c>
      <c r="M3" s="129" t="s">
        <v>691</v>
      </c>
      <c r="N3" s="274" t="s">
        <v>336</v>
      </c>
      <c r="O3" s="275" t="s">
        <v>336</v>
      </c>
      <c r="P3" s="276" t="s">
        <v>336</v>
      </c>
      <c r="Q3" s="114" t="s">
        <v>63</v>
      </c>
      <c r="R3" s="116" t="s">
        <v>64</v>
      </c>
      <c r="S3" s="117" t="s">
        <v>65</v>
      </c>
      <c r="T3" s="493"/>
      <c r="U3" s="491"/>
    </row>
    <row r="4" spans="1:22" ht="28.15" customHeight="1">
      <c r="B4" s="122" t="s">
        <v>692</v>
      </c>
      <c r="C4" s="123" t="s">
        <v>693</v>
      </c>
      <c r="D4" s="229" t="s">
        <v>694</v>
      </c>
      <c r="E4" s="230">
        <f>ROW()-3</f>
        <v>1</v>
      </c>
      <c r="F4" s="231" t="s">
        <v>695</v>
      </c>
      <c r="G4" s="87" t="s">
        <v>696</v>
      </c>
      <c r="H4" s="81" t="s">
        <v>72</v>
      </c>
      <c r="I4" s="48" t="s">
        <v>71</v>
      </c>
      <c r="J4" s="81" t="s">
        <v>72</v>
      </c>
      <c r="K4" s="58" t="s">
        <v>336</v>
      </c>
      <c r="L4" s="58" t="s">
        <v>336</v>
      </c>
      <c r="M4" s="58" t="s">
        <v>336</v>
      </c>
      <c r="N4" s="58" t="s">
        <v>71</v>
      </c>
      <c r="O4" s="58" t="s">
        <v>71</v>
      </c>
      <c r="P4" s="82" t="s">
        <v>71</v>
      </c>
      <c r="Q4" s="83"/>
      <c r="R4" s="59"/>
      <c r="S4" s="84"/>
      <c r="T4" s="85"/>
      <c r="U4" s="99"/>
    </row>
    <row r="5" spans="1:22" ht="28.15" customHeight="1">
      <c r="B5" s="122"/>
      <c r="C5" s="269"/>
      <c r="D5" s="269" t="s">
        <v>697</v>
      </c>
      <c r="E5" s="233">
        <f t="shared" ref="E5:E19" si="0">ROW()-3</f>
        <v>2</v>
      </c>
      <c r="F5" s="97" t="s">
        <v>698</v>
      </c>
      <c r="G5" s="91" t="s">
        <v>699</v>
      </c>
      <c r="H5" s="81" t="s">
        <v>72</v>
      </c>
      <c r="I5" s="48" t="s">
        <v>71</v>
      </c>
      <c r="J5" s="81" t="s">
        <v>72</v>
      </c>
      <c r="K5" s="48" t="s">
        <v>71</v>
      </c>
      <c r="L5" s="48" t="s">
        <v>71</v>
      </c>
      <c r="M5" s="48" t="s">
        <v>71</v>
      </c>
      <c r="N5" s="48" t="s">
        <v>71</v>
      </c>
      <c r="O5" s="48" t="s">
        <v>71</v>
      </c>
      <c r="P5" s="62" t="s">
        <v>71</v>
      </c>
      <c r="Q5" s="83"/>
      <c r="R5" s="59"/>
      <c r="S5" s="84"/>
      <c r="T5" s="85"/>
      <c r="U5" s="100"/>
    </row>
    <row r="6" spans="1:22" ht="28.15" customHeight="1">
      <c r="B6" s="122"/>
      <c r="C6" s="269"/>
      <c r="D6" s="269"/>
      <c r="E6" s="233">
        <f t="shared" si="0"/>
        <v>3</v>
      </c>
      <c r="F6" s="97" t="s">
        <v>700</v>
      </c>
      <c r="G6" s="91" t="s">
        <v>701</v>
      </c>
      <c r="H6" s="81" t="s">
        <v>72</v>
      </c>
      <c r="I6" s="48" t="s">
        <v>71</v>
      </c>
      <c r="J6" s="81" t="s">
        <v>72</v>
      </c>
      <c r="K6" s="48" t="s">
        <v>71</v>
      </c>
      <c r="L6" s="48" t="s">
        <v>71</v>
      </c>
      <c r="M6" s="48" t="s">
        <v>71</v>
      </c>
      <c r="N6" s="48" t="s">
        <v>336</v>
      </c>
      <c r="O6" s="48" t="s">
        <v>71</v>
      </c>
      <c r="P6" s="62" t="s">
        <v>71</v>
      </c>
      <c r="Q6" s="83"/>
      <c r="R6" s="59"/>
      <c r="S6" s="84"/>
      <c r="T6" s="85"/>
      <c r="U6" s="101"/>
    </row>
    <row r="7" spans="1:22" ht="28.15" customHeight="1">
      <c r="B7" s="122"/>
      <c r="C7" s="269"/>
      <c r="D7" s="229"/>
      <c r="E7" s="233">
        <f t="shared" si="0"/>
        <v>4</v>
      </c>
      <c r="F7" s="97" t="s">
        <v>702</v>
      </c>
      <c r="G7" s="91" t="s">
        <v>703</v>
      </c>
      <c r="H7" s="81" t="s">
        <v>72</v>
      </c>
      <c r="I7" s="48" t="s">
        <v>71</v>
      </c>
      <c r="J7" s="81" t="s">
        <v>72</v>
      </c>
      <c r="K7" s="48" t="s">
        <v>71</v>
      </c>
      <c r="L7" s="48" t="s">
        <v>71</v>
      </c>
      <c r="M7" s="48" t="s">
        <v>71</v>
      </c>
      <c r="N7" s="48" t="s">
        <v>336</v>
      </c>
      <c r="O7" s="48" t="s">
        <v>71</v>
      </c>
      <c r="P7" s="62" t="s">
        <v>71</v>
      </c>
      <c r="Q7" s="83"/>
      <c r="R7" s="59"/>
      <c r="S7" s="84"/>
      <c r="T7" s="85"/>
      <c r="U7" s="101"/>
    </row>
    <row r="8" spans="1:22" ht="28.15" customHeight="1">
      <c r="B8" s="122"/>
      <c r="C8" s="269"/>
      <c r="D8" s="269" t="s">
        <v>704</v>
      </c>
      <c r="E8" s="233">
        <f t="shared" si="0"/>
        <v>5</v>
      </c>
      <c r="F8" s="97" t="s">
        <v>705</v>
      </c>
      <c r="G8" s="91" t="s">
        <v>699</v>
      </c>
      <c r="H8" s="81" t="s">
        <v>72</v>
      </c>
      <c r="I8" s="48" t="s">
        <v>71</v>
      </c>
      <c r="J8" s="81" t="s">
        <v>72</v>
      </c>
      <c r="K8" s="48" t="s">
        <v>71</v>
      </c>
      <c r="L8" s="48" t="s">
        <v>71</v>
      </c>
      <c r="M8" s="48" t="s">
        <v>71</v>
      </c>
      <c r="N8" s="48" t="s">
        <v>71</v>
      </c>
      <c r="O8" s="48" t="s">
        <v>71</v>
      </c>
      <c r="P8" s="62" t="s">
        <v>71</v>
      </c>
      <c r="Q8" s="83"/>
      <c r="R8" s="59"/>
      <c r="S8" s="84"/>
      <c r="T8" s="85"/>
      <c r="U8" s="101"/>
    </row>
    <row r="9" spans="1:22" ht="28.15" customHeight="1">
      <c r="B9" s="122"/>
      <c r="C9" s="269"/>
      <c r="D9" s="269"/>
      <c r="E9" s="233">
        <f t="shared" si="0"/>
        <v>6</v>
      </c>
      <c r="F9" s="97" t="s">
        <v>700</v>
      </c>
      <c r="G9" s="91" t="s">
        <v>701</v>
      </c>
      <c r="H9" s="81" t="s">
        <v>72</v>
      </c>
      <c r="I9" s="48" t="s">
        <v>71</v>
      </c>
      <c r="J9" s="81" t="s">
        <v>72</v>
      </c>
      <c r="K9" s="48" t="s">
        <v>71</v>
      </c>
      <c r="L9" s="48" t="s">
        <v>71</v>
      </c>
      <c r="M9" s="48" t="s">
        <v>71</v>
      </c>
      <c r="N9" s="48" t="s">
        <v>71</v>
      </c>
      <c r="O9" s="48" t="s">
        <v>71</v>
      </c>
      <c r="P9" s="62" t="s">
        <v>71</v>
      </c>
      <c r="Q9" s="83"/>
      <c r="R9" s="59"/>
      <c r="S9" s="84"/>
      <c r="T9" s="85"/>
      <c r="U9" s="100"/>
    </row>
    <row r="10" spans="1:22" ht="28.15" customHeight="1">
      <c r="B10" s="122"/>
      <c r="C10" s="269"/>
      <c r="D10" s="229"/>
      <c r="E10" s="233">
        <f t="shared" si="0"/>
        <v>7</v>
      </c>
      <c r="F10" s="97" t="s">
        <v>702</v>
      </c>
      <c r="G10" s="91" t="s">
        <v>703</v>
      </c>
      <c r="H10" s="81" t="s">
        <v>72</v>
      </c>
      <c r="I10" s="48" t="s">
        <v>71</v>
      </c>
      <c r="J10" s="81" t="s">
        <v>72</v>
      </c>
      <c r="K10" s="48" t="s">
        <v>71</v>
      </c>
      <c r="L10" s="48" t="s">
        <v>71</v>
      </c>
      <c r="M10" s="48" t="s">
        <v>71</v>
      </c>
      <c r="N10" s="48" t="s">
        <v>336</v>
      </c>
      <c r="O10" s="48" t="s">
        <v>71</v>
      </c>
      <c r="P10" s="62" t="s">
        <v>71</v>
      </c>
      <c r="Q10" s="83"/>
      <c r="R10" s="59"/>
      <c r="S10" s="84"/>
      <c r="T10" s="85"/>
      <c r="U10" s="101"/>
    </row>
    <row r="11" spans="1:22" ht="28.15" customHeight="1">
      <c r="B11" s="122"/>
      <c r="C11" s="269"/>
      <c r="D11" s="269" t="s">
        <v>706</v>
      </c>
      <c r="E11" s="233">
        <f t="shared" si="0"/>
        <v>8</v>
      </c>
      <c r="F11" s="97" t="s">
        <v>707</v>
      </c>
      <c r="G11" s="91" t="s">
        <v>699</v>
      </c>
      <c r="H11" s="81" t="s">
        <v>72</v>
      </c>
      <c r="I11" s="48" t="s">
        <v>71</v>
      </c>
      <c r="J11" s="81" t="s">
        <v>72</v>
      </c>
      <c r="K11" s="48" t="s">
        <v>71</v>
      </c>
      <c r="L11" s="48" t="s">
        <v>71</v>
      </c>
      <c r="M11" s="48" t="s">
        <v>71</v>
      </c>
      <c r="N11" s="48" t="s">
        <v>71</v>
      </c>
      <c r="O11" s="48" t="s">
        <v>71</v>
      </c>
      <c r="P11" s="62" t="s">
        <v>71</v>
      </c>
      <c r="Q11" s="83"/>
      <c r="R11" s="59"/>
      <c r="S11" s="84"/>
      <c r="T11" s="85"/>
      <c r="U11" s="101"/>
    </row>
    <row r="12" spans="1:22" ht="28.15" customHeight="1">
      <c r="B12" s="122"/>
      <c r="C12" s="268"/>
      <c r="D12" s="269"/>
      <c r="E12" s="233">
        <f t="shared" si="0"/>
        <v>9</v>
      </c>
      <c r="F12" s="97" t="s">
        <v>700</v>
      </c>
      <c r="G12" s="91" t="s">
        <v>701</v>
      </c>
      <c r="H12" s="81" t="s">
        <v>72</v>
      </c>
      <c r="I12" s="48" t="s">
        <v>71</v>
      </c>
      <c r="J12" s="81" t="s">
        <v>72</v>
      </c>
      <c r="K12" s="48" t="s">
        <v>71</v>
      </c>
      <c r="L12" s="48" t="s">
        <v>71</v>
      </c>
      <c r="M12" s="48" t="s">
        <v>71</v>
      </c>
      <c r="N12" s="48" t="s">
        <v>71</v>
      </c>
      <c r="O12" s="48" t="s">
        <v>71</v>
      </c>
      <c r="P12" s="62" t="s">
        <v>71</v>
      </c>
      <c r="Q12" s="83"/>
      <c r="R12" s="59"/>
      <c r="S12" s="84"/>
      <c r="T12" s="85"/>
      <c r="U12" s="101"/>
      <c r="V12" s="126"/>
    </row>
    <row r="13" spans="1:22" ht="28.15" customHeight="1">
      <c r="B13" s="122"/>
      <c r="C13" s="269"/>
      <c r="D13" s="229"/>
      <c r="E13" s="233">
        <f t="shared" si="0"/>
        <v>10</v>
      </c>
      <c r="F13" s="97" t="s">
        <v>702</v>
      </c>
      <c r="G13" s="91" t="s">
        <v>703</v>
      </c>
      <c r="H13" s="81" t="s">
        <v>72</v>
      </c>
      <c r="I13" s="48" t="s">
        <v>71</v>
      </c>
      <c r="J13" s="81" t="s">
        <v>72</v>
      </c>
      <c r="K13" s="48" t="s">
        <v>71</v>
      </c>
      <c r="L13" s="48" t="s">
        <v>71</v>
      </c>
      <c r="M13" s="48" t="s">
        <v>71</v>
      </c>
      <c r="N13" s="48" t="s">
        <v>336</v>
      </c>
      <c r="O13" s="48" t="s">
        <v>71</v>
      </c>
      <c r="P13" s="62" t="s">
        <v>71</v>
      </c>
      <c r="Q13" s="83"/>
      <c r="R13" s="59"/>
      <c r="S13" s="84"/>
      <c r="T13" s="85"/>
      <c r="U13" s="101"/>
    </row>
    <row r="14" spans="1:22" ht="28.15" customHeight="1">
      <c r="B14" s="122"/>
      <c r="C14" s="269"/>
      <c r="D14" s="269" t="s">
        <v>708</v>
      </c>
      <c r="E14" s="233">
        <f t="shared" si="0"/>
        <v>11</v>
      </c>
      <c r="F14" s="97" t="s">
        <v>709</v>
      </c>
      <c r="G14" s="91" t="s">
        <v>699</v>
      </c>
      <c r="H14" s="81" t="s">
        <v>72</v>
      </c>
      <c r="I14" s="48" t="s">
        <v>71</v>
      </c>
      <c r="J14" s="81" t="s">
        <v>72</v>
      </c>
      <c r="K14" s="48" t="s">
        <v>71</v>
      </c>
      <c r="L14" s="48" t="s">
        <v>71</v>
      </c>
      <c r="M14" s="48" t="s">
        <v>71</v>
      </c>
      <c r="N14" s="48" t="s">
        <v>71</v>
      </c>
      <c r="O14" s="48" t="s">
        <v>71</v>
      </c>
      <c r="P14" s="62" t="s">
        <v>71</v>
      </c>
      <c r="Q14" s="83"/>
      <c r="R14" s="59"/>
      <c r="S14" s="84"/>
      <c r="T14" s="85"/>
      <c r="U14" s="101"/>
    </row>
    <row r="15" spans="1:22" ht="28.15" customHeight="1">
      <c r="B15" s="122"/>
      <c r="C15" s="268"/>
      <c r="D15" s="269"/>
      <c r="E15" s="233">
        <f t="shared" si="0"/>
        <v>12</v>
      </c>
      <c r="F15" s="97" t="s">
        <v>700</v>
      </c>
      <c r="G15" s="91" t="s">
        <v>701</v>
      </c>
      <c r="H15" s="81" t="s">
        <v>72</v>
      </c>
      <c r="I15" s="48" t="s">
        <v>71</v>
      </c>
      <c r="J15" s="81" t="s">
        <v>72</v>
      </c>
      <c r="K15" s="48" t="s">
        <v>71</v>
      </c>
      <c r="L15" s="48" t="s">
        <v>71</v>
      </c>
      <c r="M15" s="48" t="s">
        <v>71</v>
      </c>
      <c r="N15" s="48" t="s">
        <v>71</v>
      </c>
      <c r="O15" s="48" t="s">
        <v>71</v>
      </c>
      <c r="P15" s="62" t="s">
        <v>71</v>
      </c>
      <c r="Q15" s="83"/>
      <c r="R15" s="59"/>
      <c r="S15" s="84"/>
      <c r="T15" s="85"/>
      <c r="U15" s="101"/>
      <c r="V15" s="126"/>
    </row>
    <row r="16" spans="1:22" ht="28.15" customHeight="1">
      <c r="B16" s="122"/>
      <c r="C16" s="269"/>
      <c r="D16" s="229"/>
      <c r="E16" s="233">
        <f t="shared" si="0"/>
        <v>13</v>
      </c>
      <c r="F16" s="97" t="s">
        <v>702</v>
      </c>
      <c r="G16" s="91" t="s">
        <v>703</v>
      </c>
      <c r="H16" s="81" t="s">
        <v>72</v>
      </c>
      <c r="I16" s="48" t="s">
        <v>71</v>
      </c>
      <c r="J16" s="81" t="s">
        <v>72</v>
      </c>
      <c r="K16" s="48" t="s">
        <v>71</v>
      </c>
      <c r="L16" s="48" t="s">
        <v>71</v>
      </c>
      <c r="M16" s="48" t="s">
        <v>71</v>
      </c>
      <c r="N16" s="48" t="s">
        <v>336</v>
      </c>
      <c r="O16" s="48" t="s">
        <v>71</v>
      </c>
      <c r="P16" s="62" t="s">
        <v>71</v>
      </c>
      <c r="Q16" s="83"/>
      <c r="R16" s="59"/>
      <c r="S16" s="84"/>
      <c r="T16" s="85"/>
      <c r="U16" s="101"/>
    </row>
    <row r="17" spans="1:22" ht="28.15" customHeight="1">
      <c r="B17" s="122"/>
      <c r="C17" s="269"/>
      <c r="D17" s="269" t="s">
        <v>710</v>
      </c>
      <c r="E17" s="233">
        <f t="shared" si="0"/>
        <v>14</v>
      </c>
      <c r="F17" s="97" t="s">
        <v>709</v>
      </c>
      <c r="G17" s="91" t="s">
        <v>699</v>
      </c>
      <c r="H17" s="81" t="s">
        <v>72</v>
      </c>
      <c r="I17" s="48" t="s">
        <v>71</v>
      </c>
      <c r="J17" s="81" t="s">
        <v>72</v>
      </c>
      <c r="K17" s="48" t="s">
        <v>71</v>
      </c>
      <c r="L17" s="48" t="s">
        <v>71</v>
      </c>
      <c r="M17" s="48" t="s">
        <v>71</v>
      </c>
      <c r="N17" s="48" t="s">
        <v>71</v>
      </c>
      <c r="O17" s="48" t="s">
        <v>71</v>
      </c>
      <c r="P17" s="62" t="s">
        <v>71</v>
      </c>
      <c r="Q17" s="83"/>
      <c r="R17" s="59"/>
      <c r="S17" s="84"/>
      <c r="T17" s="85"/>
      <c r="U17" s="101"/>
    </row>
    <row r="18" spans="1:22" ht="28.15" customHeight="1">
      <c r="B18" s="122"/>
      <c r="C18" s="268"/>
      <c r="D18" s="269"/>
      <c r="E18" s="233">
        <f t="shared" si="0"/>
        <v>15</v>
      </c>
      <c r="F18" s="97" t="s">
        <v>700</v>
      </c>
      <c r="G18" s="91" t="s">
        <v>701</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15" customHeight="1">
      <c r="B19" s="122"/>
      <c r="C19" s="269"/>
      <c r="D19" s="229"/>
      <c r="E19" s="233">
        <f t="shared" si="0"/>
        <v>16</v>
      </c>
      <c r="F19" s="97" t="s">
        <v>702</v>
      </c>
      <c r="G19" s="91" t="s">
        <v>703</v>
      </c>
      <c r="H19" s="81" t="s">
        <v>72</v>
      </c>
      <c r="I19" s="48" t="s">
        <v>71</v>
      </c>
      <c r="J19" s="81" t="s">
        <v>72</v>
      </c>
      <c r="K19" s="48" t="s">
        <v>71</v>
      </c>
      <c r="L19" s="48" t="s">
        <v>71</v>
      </c>
      <c r="M19" s="48" t="s">
        <v>71</v>
      </c>
      <c r="N19" s="48" t="s">
        <v>336</v>
      </c>
      <c r="O19" s="48" t="s">
        <v>71</v>
      </c>
      <c r="P19" s="62" t="s">
        <v>71</v>
      </c>
      <c r="Q19" s="83"/>
      <c r="R19" s="59"/>
      <c r="S19" s="84"/>
      <c r="T19" s="85"/>
      <c r="U19" s="101"/>
    </row>
    <row r="20" spans="1:22" ht="28.15" customHeight="1">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15" customHeight="1">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15" customHeight="1" thickBot="1">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c r="B23" s="511" t="s">
        <v>301</v>
      </c>
      <c r="C23" s="496"/>
      <c r="D23" s="496">
        <f>SUM(H25:P25)</f>
        <v>0</v>
      </c>
      <c r="E23" s="157"/>
      <c r="F23" s="158"/>
      <c r="G23" s="250" t="s">
        <v>302</v>
      </c>
      <c r="H23" s="160">
        <f>COUNTIF(H4:H22,"●")+COUNTIF(H4:H22,"■")+COUNTIF(H4:H22,"OK")</f>
        <v>0</v>
      </c>
      <c r="I23" s="160">
        <f t="shared" ref="I23:P23" si="1">COUNTIF(I4:I22,"●")+COUNTIF(I4:I22,"■")+COUNTIF(I4:I22,"OK")</f>
        <v>0</v>
      </c>
      <c r="J23" s="160">
        <f t="shared" si="1"/>
        <v>0</v>
      </c>
      <c r="K23" s="160">
        <f t="shared" si="1"/>
        <v>0</v>
      </c>
      <c r="L23" s="160">
        <f t="shared" si="1"/>
        <v>0</v>
      </c>
      <c r="M23" s="160">
        <f t="shared" si="1"/>
        <v>0</v>
      </c>
      <c r="N23" s="160">
        <f t="shared" si="1"/>
        <v>0</v>
      </c>
      <c r="O23" s="160">
        <f t="shared" si="1"/>
        <v>0</v>
      </c>
      <c r="P23" s="160">
        <f t="shared" si="1"/>
        <v>0</v>
      </c>
      <c r="Q23" s="498" t="s">
        <v>303</v>
      </c>
      <c r="R23" s="498"/>
      <c r="S23" s="498"/>
      <c r="T23" s="161"/>
      <c r="U23" s="162"/>
    </row>
    <row r="24" spans="1:22" ht="18" customHeight="1">
      <c r="B24" s="512"/>
      <c r="C24" s="497"/>
      <c r="D24" s="497"/>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499"/>
      <c r="R24" s="499"/>
      <c r="S24" s="499"/>
      <c r="T24" s="71"/>
      <c r="U24" s="105"/>
    </row>
    <row r="25" spans="1:22" ht="18" customHeight="1">
      <c r="B25" s="513" t="s">
        <v>305</v>
      </c>
      <c r="C25" s="494"/>
      <c r="D25" s="494">
        <f>SUM(H26:P26)</f>
        <v>32</v>
      </c>
      <c r="E25" s="45"/>
      <c r="F25" s="46"/>
      <c r="G25" s="251" t="s">
        <v>306</v>
      </c>
      <c r="H25" s="75">
        <f t="shared" ref="H25:P25" si="3">H23+H24</f>
        <v>0</v>
      </c>
      <c r="I25" s="76">
        <f t="shared" si="3"/>
        <v>0</v>
      </c>
      <c r="J25" s="76">
        <f t="shared" si="3"/>
        <v>0</v>
      </c>
      <c r="K25" s="76">
        <f t="shared" si="3"/>
        <v>0</v>
      </c>
      <c r="L25" s="76">
        <f t="shared" si="3"/>
        <v>0</v>
      </c>
      <c r="M25" s="76">
        <f t="shared" si="3"/>
        <v>0</v>
      </c>
      <c r="N25" s="76">
        <f t="shared" si="3"/>
        <v>0</v>
      </c>
      <c r="O25" s="76">
        <f t="shared" si="3"/>
        <v>0</v>
      </c>
      <c r="P25" s="77">
        <f t="shared" si="3"/>
        <v>0</v>
      </c>
      <c r="Q25" s="500">
        <f>COUNTA(Q4:Q22)</f>
        <v>0</v>
      </c>
      <c r="R25" s="502">
        <f>COUNTA(R4:R22)</f>
        <v>0</v>
      </c>
      <c r="S25" s="504">
        <f>COUNTA(S4:S22)</f>
        <v>0</v>
      </c>
      <c r="T25" s="71"/>
      <c r="U25" s="105"/>
    </row>
    <row r="26" spans="1:22" ht="18" customHeight="1" thickBot="1">
      <c r="A26" s="118"/>
      <c r="B26" s="514"/>
      <c r="C26" s="495"/>
      <c r="D26" s="495"/>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1"/>
      <c r="R26" s="503"/>
      <c r="S26" s="505"/>
      <c r="T26" s="112"/>
      <c r="U26" s="113"/>
    </row>
    <row r="27" spans="1:22" ht="24" customHeight="1"/>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heetViews>
  <sheetFormatPr defaultRowHeight="13.15"/>
  <cols>
    <col min="9" max="9" width="12.85546875" bestFit="1" customWidth="1"/>
  </cols>
  <sheetData>
    <row r="1" spans="2:9">
      <c r="B1" t="s">
        <v>711</v>
      </c>
      <c r="I1" t="s">
        <v>712</v>
      </c>
    </row>
    <row r="2" spans="2:9">
      <c r="B2">
        <v>2899999999994</v>
      </c>
      <c r="I2">
        <v>2818208658799</v>
      </c>
    </row>
    <row r="17" spans="2:2">
      <c r="B17" t="s">
        <v>713</v>
      </c>
    </row>
  </sheetData>
  <phoneticPr fontId="23"/>
  <pageMargins left="0.7" right="0.7" top="0.75" bottom="0.75" header="0.3" footer="0.3"/>
  <drawing r:id="rId1"/>
  <legacyDrawing r:id="rId2"/>
  <controls>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6</xdr:col>
                <xdr:colOff>350520</xdr:colOff>
                <xdr:row>10</xdr:row>
                <xdr:rowOff>7620</xdr:rowOff>
              </to>
            </anchor>
          </controlPr>
        </control>
      </mc:Choice>
      <mc:Fallback>
        <control shapeId="13313" r:id="rId5" name="BarCodeCtrl1"/>
      </mc:Fallback>
    </mc:AlternateContent>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13</xdr:col>
                <xdr:colOff>533400</xdr:colOff>
                <xdr:row>9</xdr:row>
                <xdr:rowOff>160020</xdr:rowOff>
              </to>
            </anchor>
          </controlPr>
        </control>
      </mc:Choice>
      <mc:Fallback>
        <control shapeId="13314" r:id="rId3" name="BarCodeCtrl2"/>
      </mc:Fallback>
    </mc:AlternateContent>
    <mc:AlternateContent xmlns:mc="http://schemas.openxmlformats.org/markup-compatibility/2006">
      <mc:Choice Requires="x14">
        <control shapeId="13315" r:id="rId7" name="BarCodeCtrl3">
          <controlPr defaultSize="0" autoLine="0" r:id="rId8">
            <anchor moveWithCells="1">
              <from>
                <xdr:col>0</xdr:col>
                <xdr:colOff>350520</xdr:colOff>
                <xdr:row>17</xdr:row>
                <xdr:rowOff>83820</xdr:rowOff>
              </from>
              <to>
                <xdr:col>8</xdr:col>
                <xdr:colOff>594360</xdr:colOff>
                <xdr:row>23</xdr:row>
                <xdr:rowOff>129540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7109375" defaultRowHeight="15"/>
  <cols>
    <col min="1" max="1" width="3.140625" style="163" customWidth="1"/>
    <col min="2" max="2" width="12.85546875" style="163" customWidth="1"/>
    <col min="3" max="4" width="14.140625" style="163" bestFit="1" customWidth="1"/>
    <col min="5" max="5" width="4.28515625" style="163" customWidth="1"/>
    <col min="6" max="6" width="22.7109375" style="163" customWidth="1"/>
    <col min="7" max="7" width="21.28515625" style="163" bestFit="1" customWidth="1"/>
    <col min="8" max="8" width="11.85546875" style="163" customWidth="1"/>
    <col min="9" max="9" width="53.28515625" style="163" bestFit="1" customWidth="1"/>
    <col min="10" max="10" width="63.7109375" style="163" bestFit="1" customWidth="1"/>
    <col min="11" max="12" width="4.7109375" style="165" customWidth="1"/>
    <col min="13" max="13" width="5.28515625" style="165" customWidth="1"/>
    <col min="14" max="19" width="4.7109375" style="165" customWidth="1"/>
    <col min="20" max="22" width="4.28515625" style="165" customWidth="1"/>
    <col min="23" max="23" width="6" style="165" customWidth="1"/>
    <col min="24" max="24" width="28.85546875" style="166" customWidth="1"/>
    <col min="25" max="25" width="4.7109375" style="166" customWidth="1"/>
    <col min="26" max="16384" width="8.7109375" style="166"/>
  </cols>
  <sheetData>
    <row r="1" spans="1:24" s="120" customFormat="1" ht="20.45" thickBot="1">
      <c r="A1" s="60"/>
      <c r="B1" s="121" t="s">
        <v>714</v>
      </c>
      <c r="C1" s="121"/>
      <c r="D1" s="60"/>
      <c r="E1" s="60"/>
      <c r="F1" s="119"/>
      <c r="G1" s="119"/>
      <c r="H1" s="119"/>
      <c r="I1" s="119"/>
      <c r="J1" s="119"/>
      <c r="K1" s="119"/>
      <c r="L1" s="119"/>
      <c r="M1" s="119"/>
      <c r="N1" s="119"/>
      <c r="O1" s="119"/>
      <c r="P1" s="119"/>
      <c r="Q1" s="119"/>
      <c r="R1" s="119"/>
      <c r="S1" s="119"/>
    </row>
    <row r="2" spans="1:24" s="120" customFormat="1" ht="24.6" customHeight="1">
      <c r="A2" s="118"/>
      <c r="B2" s="509" t="s">
        <v>43</v>
      </c>
      <c r="C2" s="492" t="s">
        <v>44</v>
      </c>
      <c r="D2" s="492" t="s">
        <v>45</v>
      </c>
      <c r="E2" s="489" t="s">
        <v>46</v>
      </c>
      <c r="F2" s="489"/>
      <c r="G2" s="489"/>
      <c r="H2" s="489"/>
      <c r="I2" s="489"/>
      <c r="J2" s="550"/>
      <c r="K2" s="553" t="s">
        <v>715</v>
      </c>
      <c r="L2" s="554"/>
      <c r="M2" s="554"/>
      <c r="N2" s="554"/>
      <c r="O2" s="554"/>
      <c r="P2" s="554"/>
      <c r="Q2" s="554"/>
      <c r="R2" s="554"/>
      <c r="S2" s="554"/>
      <c r="T2" s="488" t="s">
        <v>48</v>
      </c>
      <c r="U2" s="489"/>
      <c r="V2" s="550"/>
      <c r="W2" s="492" t="s">
        <v>49</v>
      </c>
      <c r="X2" s="490" t="s">
        <v>50</v>
      </c>
    </row>
    <row r="3" spans="1:24" s="120" customFormat="1" ht="27" thickBot="1">
      <c r="A3" s="118"/>
      <c r="B3" s="510"/>
      <c r="C3" s="493"/>
      <c r="D3" s="493"/>
      <c r="E3" s="264" t="s">
        <v>51</v>
      </c>
      <c r="F3" s="551" t="s">
        <v>716</v>
      </c>
      <c r="G3" s="552"/>
      <c r="H3" s="551" t="s">
        <v>717</v>
      </c>
      <c r="I3" s="552"/>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93"/>
      <c r="X3" s="491"/>
    </row>
    <row r="4" spans="1:24" ht="79.150000000000006">
      <c r="B4" s="184" t="s">
        <v>718</v>
      </c>
      <c r="C4" s="183" t="s">
        <v>719</v>
      </c>
      <c r="D4" s="185" t="s">
        <v>720</v>
      </c>
      <c r="E4" s="254">
        <f>ROW()-3</f>
        <v>1</v>
      </c>
      <c r="F4" s="255" t="s">
        <v>721</v>
      </c>
      <c r="G4" s="256" t="s">
        <v>722</v>
      </c>
      <c r="H4" s="256" t="s">
        <v>723</v>
      </c>
      <c r="I4" s="257"/>
      <c r="J4" s="258" t="s">
        <v>724</v>
      </c>
      <c r="K4" s="81" t="s">
        <v>72</v>
      </c>
      <c r="L4" s="58" t="s">
        <v>71</v>
      </c>
      <c r="M4" s="58" t="s">
        <v>71</v>
      </c>
      <c r="N4" s="57" t="s">
        <v>72</v>
      </c>
      <c r="O4" s="58" t="s">
        <v>71</v>
      </c>
      <c r="P4" s="58" t="s">
        <v>71</v>
      </c>
      <c r="Q4" s="57" t="s">
        <v>72</v>
      </c>
      <c r="R4" s="58" t="s">
        <v>71</v>
      </c>
      <c r="S4" s="259" t="s">
        <v>71</v>
      </c>
      <c r="T4" s="260"/>
      <c r="U4" s="59"/>
      <c r="V4" s="261"/>
      <c r="W4" s="262"/>
      <c r="X4" s="263"/>
    </row>
    <row r="5" spans="1:24" ht="79.150000000000006">
      <c r="B5" s="184"/>
      <c r="C5" s="183"/>
      <c r="D5" s="187"/>
      <c r="E5" s="188">
        <f t="shared" ref="E5:E72" si="0">ROW()-3</f>
        <v>2</v>
      </c>
      <c r="F5" s="174"/>
      <c r="G5" s="175"/>
      <c r="H5" s="175" t="s">
        <v>725</v>
      </c>
      <c r="I5" s="176" t="s">
        <v>726</v>
      </c>
      <c r="J5" s="177" t="s">
        <v>727</v>
      </c>
      <c r="K5" s="61" t="s">
        <v>72</v>
      </c>
      <c r="L5" s="48" t="s">
        <v>71</v>
      </c>
      <c r="M5" s="48" t="s">
        <v>71</v>
      </c>
      <c r="N5" s="47" t="s">
        <v>72</v>
      </c>
      <c r="O5" s="48" t="s">
        <v>71</v>
      </c>
      <c r="P5" s="48" t="s">
        <v>71</v>
      </c>
      <c r="Q5" s="47" t="s">
        <v>72</v>
      </c>
      <c r="R5" s="48" t="s">
        <v>71</v>
      </c>
      <c r="S5" s="178" t="s">
        <v>71</v>
      </c>
      <c r="T5" s="260"/>
      <c r="U5" s="49"/>
      <c r="V5" s="253"/>
      <c r="W5" s="262"/>
      <c r="X5" s="179"/>
    </row>
    <row r="6" spans="1:24" ht="92.45">
      <c r="B6" s="184"/>
      <c r="C6" s="183"/>
      <c r="D6" s="187"/>
      <c r="E6" s="188">
        <f t="shared" si="0"/>
        <v>3</v>
      </c>
      <c r="F6" s="174"/>
      <c r="G6" s="175"/>
      <c r="H6" s="175" t="s">
        <v>725</v>
      </c>
      <c r="I6" s="176" t="s">
        <v>728</v>
      </c>
      <c r="J6" s="258" t="s">
        <v>729</v>
      </c>
      <c r="K6" s="47" t="s">
        <v>72</v>
      </c>
      <c r="L6" s="48" t="s">
        <v>71</v>
      </c>
      <c r="M6" s="48" t="s">
        <v>71</v>
      </c>
      <c r="N6" s="47" t="s">
        <v>72</v>
      </c>
      <c r="O6" s="48" t="s">
        <v>71</v>
      </c>
      <c r="P6" s="48" t="s">
        <v>71</v>
      </c>
      <c r="Q6" s="47" t="s">
        <v>72</v>
      </c>
      <c r="R6" s="48" t="s">
        <v>71</v>
      </c>
      <c r="S6" s="178" t="s">
        <v>71</v>
      </c>
      <c r="T6" s="260"/>
      <c r="U6" s="49"/>
      <c r="V6" s="253"/>
      <c r="W6" s="262"/>
      <c r="X6" s="179"/>
    </row>
    <row r="7" spans="1:24" ht="52.9">
      <c r="B7" s="184"/>
      <c r="C7" s="183"/>
      <c r="D7" s="187"/>
      <c r="E7" s="188">
        <f t="shared" si="0"/>
        <v>4</v>
      </c>
      <c r="F7" s="174"/>
      <c r="G7" s="175"/>
      <c r="H7" s="175" t="s">
        <v>723</v>
      </c>
      <c r="I7" s="176" t="s">
        <v>730</v>
      </c>
      <c r="J7" s="177" t="s">
        <v>731</v>
      </c>
      <c r="K7" s="47" t="s">
        <v>72</v>
      </c>
      <c r="L7" s="48" t="s">
        <v>71</v>
      </c>
      <c r="M7" s="48" t="s">
        <v>71</v>
      </c>
      <c r="N7" s="47" t="s">
        <v>72</v>
      </c>
      <c r="O7" s="48" t="s">
        <v>71</v>
      </c>
      <c r="P7" s="48" t="s">
        <v>71</v>
      </c>
      <c r="Q7" s="47" t="s">
        <v>72</v>
      </c>
      <c r="R7" s="48" t="s">
        <v>71</v>
      </c>
      <c r="S7" s="178" t="s">
        <v>71</v>
      </c>
      <c r="T7" s="260"/>
      <c r="U7" s="49"/>
      <c r="V7" s="253"/>
      <c r="W7" s="262"/>
      <c r="X7" s="179"/>
    </row>
    <row r="8" spans="1:24" ht="92.45">
      <c r="B8" s="184"/>
      <c r="C8" s="183"/>
      <c r="D8" s="187"/>
      <c r="E8" s="188">
        <f t="shared" si="0"/>
        <v>5</v>
      </c>
      <c r="F8" s="174"/>
      <c r="G8" s="175"/>
      <c r="H8" s="175" t="s">
        <v>723</v>
      </c>
      <c r="I8" s="176" t="s">
        <v>732</v>
      </c>
      <c r="J8" s="177" t="s">
        <v>733</v>
      </c>
      <c r="K8" s="47" t="s">
        <v>72</v>
      </c>
      <c r="L8" s="48" t="s">
        <v>71</v>
      </c>
      <c r="M8" s="48" t="s">
        <v>71</v>
      </c>
      <c r="N8" s="47" t="s">
        <v>72</v>
      </c>
      <c r="O8" s="48" t="s">
        <v>71</v>
      </c>
      <c r="P8" s="48" t="s">
        <v>71</v>
      </c>
      <c r="Q8" s="47" t="s">
        <v>72</v>
      </c>
      <c r="R8" s="48" t="s">
        <v>71</v>
      </c>
      <c r="S8" s="178" t="s">
        <v>71</v>
      </c>
      <c r="T8" s="260"/>
      <c r="U8" s="49"/>
      <c r="V8" s="253"/>
      <c r="W8" s="262"/>
      <c r="X8" s="179"/>
    </row>
    <row r="9" spans="1:24" ht="66">
      <c r="B9" s="184"/>
      <c r="C9" s="183"/>
      <c r="D9" s="187"/>
      <c r="E9" s="188">
        <f t="shared" si="0"/>
        <v>6</v>
      </c>
      <c r="F9" s="174"/>
      <c r="G9" s="175"/>
      <c r="H9" s="175" t="s">
        <v>725</v>
      </c>
      <c r="I9" s="176" t="s">
        <v>734</v>
      </c>
      <c r="J9" s="177" t="s">
        <v>735</v>
      </c>
      <c r="K9" s="47" t="s">
        <v>72</v>
      </c>
      <c r="L9" s="48" t="s">
        <v>71</v>
      </c>
      <c r="M9" s="48" t="s">
        <v>71</v>
      </c>
      <c r="N9" s="47" t="s">
        <v>72</v>
      </c>
      <c r="O9" s="47" t="s">
        <v>72</v>
      </c>
      <c r="P9" s="47" t="s">
        <v>72</v>
      </c>
      <c r="Q9" s="47" t="s">
        <v>72</v>
      </c>
      <c r="R9" s="48" t="s">
        <v>71</v>
      </c>
      <c r="S9" s="178" t="s">
        <v>71</v>
      </c>
      <c r="T9" s="260"/>
      <c r="U9" s="49"/>
      <c r="V9" s="253"/>
      <c r="W9" s="262"/>
      <c r="X9" s="179"/>
    </row>
    <row r="10" spans="1:24" ht="66">
      <c r="B10" s="184"/>
      <c r="C10" s="183"/>
      <c r="D10" s="187"/>
      <c r="E10" s="188">
        <f t="shared" si="0"/>
        <v>7</v>
      </c>
      <c r="F10" s="174"/>
      <c r="G10" s="175"/>
      <c r="H10" s="175" t="s">
        <v>725</v>
      </c>
      <c r="I10" s="176" t="s">
        <v>736</v>
      </c>
      <c r="J10" s="177" t="s">
        <v>737</v>
      </c>
      <c r="K10" s="47" t="s">
        <v>72</v>
      </c>
      <c r="L10" s="48" t="s">
        <v>71</v>
      </c>
      <c r="M10" s="48" t="s">
        <v>71</v>
      </c>
      <c r="N10" s="47" t="s">
        <v>72</v>
      </c>
      <c r="O10" s="47" t="s">
        <v>72</v>
      </c>
      <c r="P10" s="47" t="s">
        <v>72</v>
      </c>
      <c r="Q10" s="47" t="s">
        <v>72</v>
      </c>
      <c r="R10" s="48" t="s">
        <v>71</v>
      </c>
      <c r="S10" s="178" t="s">
        <v>71</v>
      </c>
      <c r="T10" s="260"/>
      <c r="U10" s="49"/>
      <c r="V10" s="253"/>
      <c r="W10" s="262"/>
      <c r="X10" s="179"/>
    </row>
    <row r="11" spans="1:24" ht="52.9">
      <c r="B11" s="184"/>
      <c r="C11" s="183"/>
      <c r="D11" s="187"/>
      <c r="E11" s="188">
        <f t="shared" si="0"/>
        <v>8</v>
      </c>
      <c r="F11" s="174"/>
      <c r="G11" s="175"/>
      <c r="H11" s="175" t="s">
        <v>723</v>
      </c>
      <c r="I11" s="176" t="s">
        <v>738</v>
      </c>
      <c r="J11" s="177" t="s">
        <v>739</v>
      </c>
      <c r="K11" s="47" t="s">
        <v>72</v>
      </c>
      <c r="L11" s="48" t="s">
        <v>71</v>
      </c>
      <c r="M11" s="48" t="s">
        <v>71</v>
      </c>
      <c r="N11" s="47" t="s">
        <v>72</v>
      </c>
      <c r="O11" s="48" t="s">
        <v>71</v>
      </c>
      <c r="P11" s="48" t="s">
        <v>71</v>
      </c>
      <c r="Q11" s="47" t="s">
        <v>72</v>
      </c>
      <c r="R11" s="48" t="s">
        <v>71</v>
      </c>
      <c r="S11" s="178" t="s">
        <v>71</v>
      </c>
      <c r="T11" s="260"/>
      <c r="U11" s="49"/>
      <c r="V11" s="253"/>
      <c r="W11" s="262"/>
      <c r="X11" s="179"/>
    </row>
    <row r="12" spans="1:24" ht="66">
      <c r="B12" s="184"/>
      <c r="C12" s="183"/>
      <c r="D12" s="185"/>
      <c r="E12" s="188">
        <f t="shared" si="0"/>
        <v>9</v>
      </c>
      <c r="F12" s="255" t="s">
        <v>721</v>
      </c>
      <c r="G12" s="256" t="s">
        <v>740</v>
      </c>
      <c r="H12" s="256" t="s">
        <v>723</v>
      </c>
      <c r="I12" s="257"/>
      <c r="J12" s="258" t="s">
        <v>741</v>
      </c>
      <c r="K12" s="47" t="s">
        <v>72</v>
      </c>
      <c r="L12" s="48" t="s">
        <v>71</v>
      </c>
      <c r="M12" s="48" t="s">
        <v>71</v>
      </c>
      <c r="N12" s="47" t="s">
        <v>72</v>
      </c>
      <c r="O12" s="58" t="s">
        <v>71</v>
      </c>
      <c r="P12" s="58" t="s">
        <v>71</v>
      </c>
      <c r="Q12" s="58" t="s">
        <v>71</v>
      </c>
      <c r="R12" s="58" t="s">
        <v>71</v>
      </c>
      <c r="S12" s="259" t="s">
        <v>71</v>
      </c>
      <c r="T12" s="260"/>
      <c r="U12" s="59"/>
      <c r="V12" s="261"/>
      <c r="W12" s="262"/>
      <c r="X12" s="179"/>
    </row>
    <row r="13" spans="1:24" ht="79.150000000000006">
      <c r="B13" s="184"/>
      <c r="C13" s="183"/>
      <c r="D13" s="187"/>
      <c r="E13" s="188">
        <f t="shared" si="0"/>
        <v>10</v>
      </c>
      <c r="F13" s="174"/>
      <c r="G13" s="175"/>
      <c r="H13" s="175" t="s">
        <v>725</v>
      </c>
      <c r="I13" s="176" t="s">
        <v>726</v>
      </c>
      <c r="J13" s="177" t="s">
        <v>727</v>
      </c>
      <c r="K13" s="47" t="s">
        <v>72</v>
      </c>
      <c r="L13" s="48" t="s">
        <v>71</v>
      </c>
      <c r="M13" s="48" t="s">
        <v>71</v>
      </c>
      <c r="N13" s="47" t="s">
        <v>72</v>
      </c>
      <c r="O13" s="48" t="s">
        <v>71</v>
      </c>
      <c r="P13" s="48" t="s">
        <v>71</v>
      </c>
      <c r="Q13" s="47" t="s">
        <v>72</v>
      </c>
      <c r="R13" s="48" t="s">
        <v>71</v>
      </c>
      <c r="S13" s="178" t="s">
        <v>71</v>
      </c>
      <c r="T13" s="260"/>
      <c r="U13" s="59"/>
      <c r="V13" s="261"/>
      <c r="W13" s="262"/>
      <c r="X13" s="179"/>
    </row>
    <row r="14" spans="1:24" ht="66">
      <c r="B14" s="184"/>
      <c r="C14" s="183"/>
      <c r="D14" s="187"/>
      <c r="E14" s="188">
        <f t="shared" si="0"/>
        <v>11</v>
      </c>
      <c r="F14" s="174"/>
      <c r="G14" s="175"/>
      <c r="H14" s="175" t="s">
        <v>725</v>
      </c>
      <c r="I14" s="176" t="s">
        <v>728</v>
      </c>
      <c r="J14" s="258" t="s">
        <v>742</v>
      </c>
      <c r="K14" s="47" t="s">
        <v>72</v>
      </c>
      <c r="L14" s="48" t="s">
        <v>71</v>
      </c>
      <c r="M14" s="48" t="s">
        <v>71</v>
      </c>
      <c r="N14" s="47" t="s">
        <v>72</v>
      </c>
      <c r="O14" s="48" t="s">
        <v>71</v>
      </c>
      <c r="P14" s="48" t="s">
        <v>71</v>
      </c>
      <c r="Q14" s="48" t="s">
        <v>71</v>
      </c>
      <c r="R14" s="48" t="s">
        <v>71</v>
      </c>
      <c r="S14" s="178" t="s">
        <v>71</v>
      </c>
      <c r="T14" s="260"/>
      <c r="U14" s="59"/>
      <c r="V14" s="261"/>
      <c r="W14" s="262"/>
      <c r="X14" s="179"/>
    </row>
    <row r="15" spans="1:24" ht="79.150000000000006">
      <c r="B15" s="184"/>
      <c r="C15" s="183"/>
      <c r="D15" s="187"/>
      <c r="E15" s="188">
        <f t="shared" si="0"/>
        <v>12</v>
      </c>
      <c r="F15" s="174"/>
      <c r="G15" s="175"/>
      <c r="H15" s="175" t="s">
        <v>725</v>
      </c>
      <c r="I15" s="176" t="s">
        <v>743</v>
      </c>
      <c r="J15" s="177" t="s">
        <v>744</v>
      </c>
      <c r="K15" s="47" t="s">
        <v>72</v>
      </c>
      <c r="L15" s="48" t="s">
        <v>71</v>
      </c>
      <c r="M15" s="48" t="s">
        <v>71</v>
      </c>
      <c r="N15" s="47" t="s">
        <v>72</v>
      </c>
      <c r="O15" s="48" t="s">
        <v>71</v>
      </c>
      <c r="P15" s="48" t="s">
        <v>71</v>
      </c>
      <c r="Q15" s="48" t="s">
        <v>336</v>
      </c>
      <c r="R15" s="48" t="s">
        <v>71</v>
      </c>
      <c r="S15" s="178" t="s">
        <v>71</v>
      </c>
      <c r="T15" s="260"/>
      <c r="U15" s="59"/>
      <c r="V15" s="261"/>
      <c r="W15" s="262"/>
      <c r="X15" s="179"/>
    </row>
    <row r="16" spans="1:24" ht="92.45">
      <c r="B16" s="184"/>
      <c r="C16" s="183"/>
      <c r="D16" s="187"/>
      <c r="E16" s="188">
        <f t="shared" si="0"/>
        <v>13</v>
      </c>
      <c r="F16" s="174"/>
      <c r="G16" s="175"/>
      <c r="H16" s="256" t="s">
        <v>723</v>
      </c>
      <c r="I16" s="176" t="s">
        <v>745</v>
      </c>
      <c r="J16" s="258" t="s">
        <v>729</v>
      </c>
      <c r="K16" s="47" t="s">
        <v>72</v>
      </c>
      <c r="L16" s="48" t="s">
        <v>71</v>
      </c>
      <c r="M16" s="48" t="s">
        <v>71</v>
      </c>
      <c r="N16" s="47" t="s">
        <v>72</v>
      </c>
      <c r="O16" s="48" t="s">
        <v>71</v>
      </c>
      <c r="P16" s="48" t="s">
        <v>71</v>
      </c>
      <c r="Q16" s="47" t="s">
        <v>72</v>
      </c>
      <c r="R16" s="48" t="s">
        <v>71</v>
      </c>
      <c r="S16" s="178" t="s">
        <v>71</v>
      </c>
      <c r="T16" s="260"/>
      <c r="U16" s="59"/>
      <c r="V16" s="261"/>
      <c r="W16" s="262"/>
      <c r="X16" s="179"/>
    </row>
    <row r="17" spans="2:24" ht="79.150000000000006">
      <c r="B17" s="184"/>
      <c r="C17" s="183"/>
      <c r="D17" s="187"/>
      <c r="E17" s="188">
        <f t="shared" si="0"/>
        <v>14</v>
      </c>
      <c r="F17" s="174"/>
      <c r="G17" s="175"/>
      <c r="H17" s="175" t="s">
        <v>725</v>
      </c>
      <c r="I17" s="176" t="s">
        <v>746</v>
      </c>
      <c r="J17" s="177" t="s">
        <v>727</v>
      </c>
      <c r="K17" s="47" t="s">
        <v>72</v>
      </c>
      <c r="L17" s="48" t="s">
        <v>71</v>
      </c>
      <c r="M17" s="48" t="s">
        <v>71</v>
      </c>
      <c r="N17" s="47" t="s">
        <v>72</v>
      </c>
      <c r="O17" s="48" t="s">
        <v>71</v>
      </c>
      <c r="P17" s="48" t="s">
        <v>71</v>
      </c>
      <c r="Q17" s="47" t="s">
        <v>72</v>
      </c>
      <c r="R17" s="48" t="s">
        <v>71</v>
      </c>
      <c r="S17" s="178" t="s">
        <v>71</v>
      </c>
      <c r="T17" s="260"/>
      <c r="U17" s="59"/>
      <c r="V17" s="261"/>
      <c r="W17" s="262"/>
      <c r="X17" s="179"/>
    </row>
    <row r="18" spans="2:24" ht="92.45">
      <c r="B18" s="184"/>
      <c r="C18" s="183"/>
      <c r="D18" s="187"/>
      <c r="E18" s="188">
        <f t="shared" si="0"/>
        <v>15</v>
      </c>
      <c r="F18" s="174"/>
      <c r="G18" s="175"/>
      <c r="H18" s="175" t="s">
        <v>725</v>
      </c>
      <c r="I18" s="176" t="s">
        <v>728</v>
      </c>
      <c r="J18" s="258" t="s">
        <v>729</v>
      </c>
      <c r="K18" s="47" t="s">
        <v>72</v>
      </c>
      <c r="L18" s="48" t="s">
        <v>71</v>
      </c>
      <c r="M18" s="48" t="s">
        <v>71</v>
      </c>
      <c r="N18" s="47" t="s">
        <v>72</v>
      </c>
      <c r="O18" s="48" t="s">
        <v>71</v>
      </c>
      <c r="P18" s="48" t="s">
        <v>71</v>
      </c>
      <c r="Q18" s="47" t="s">
        <v>72</v>
      </c>
      <c r="R18" s="48" t="s">
        <v>71</v>
      </c>
      <c r="S18" s="178" t="s">
        <v>71</v>
      </c>
      <c r="T18" s="260"/>
      <c r="U18" s="59"/>
      <c r="V18" s="261"/>
      <c r="W18" s="262"/>
      <c r="X18" s="179"/>
    </row>
    <row r="19" spans="2:24" ht="52.9">
      <c r="B19" s="184"/>
      <c r="C19" s="183"/>
      <c r="D19" s="187"/>
      <c r="E19" s="188">
        <f t="shared" si="0"/>
        <v>16</v>
      </c>
      <c r="F19" s="174"/>
      <c r="G19" s="175"/>
      <c r="H19" s="175" t="s">
        <v>723</v>
      </c>
      <c r="I19" s="176" t="s">
        <v>730</v>
      </c>
      <c r="J19" s="177" t="s">
        <v>731</v>
      </c>
      <c r="K19" s="47" t="s">
        <v>72</v>
      </c>
      <c r="L19" s="48" t="s">
        <v>71</v>
      </c>
      <c r="M19" s="48" t="s">
        <v>71</v>
      </c>
      <c r="N19" s="47" t="s">
        <v>72</v>
      </c>
      <c r="O19" s="48" t="s">
        <v>71</v>
      </c>
      <c r="P19" s="48" t="s">
        <v>71</v>
      </c>
      <c r="Q19" s="47" t="s">
        <v>72</v>
      </c>
      <c r="R19" s="48" t="s">
        <v>71</v>
      </c>
      <c r="S19" s="178" t="s">
        <v>71</v>
      </c>
      <c r="T19" s="260"/>
      <c r="U19" s="49"/>
      <c r="V19" s="253"/>
      <c r="W19" s="262"/>
      <c r="X19" s="179"/>
    </row>
    <row r="20" spans="2:24" ht="92.45">
      <c r="B20" s="184"/>
      <c r="C20" s="183"/>
      <c r="D20" s="187"/>
      <c r="E20" s="188">
        <f t="shared" si="0"/>
        <v>17</v>
      </c>
      <c r="F20" s="174"/>
      <c r="G20" s="175"/>
      <c r="H20" s="175" t="s">
        <v>723</v>
      </c>
      <c r="I20" s="176" t="s">
        <v>732</v>
      </c>
      <c r="J20" s="177" t="s">
        <v>747</v>
      </c>
      <c r="K20" s="47" t="s">
        <v>72</v>
      </c>
      <c r="L20" s="48" t="s">
        <v>71</v>
      </c>
      <c r="M20" s="48" t="s">
        <v>71</v>
      </c>
      <c r="N20" s="47" t="s">
        <v>72</v>
      </c>
      <c r="O20" s="48" t="s">
        <v>71</v>
      </c>
      <c r="P20" s="48" t="s">
        <v>71</v>
      </c>
      <c r="Q20" s="47" t="s">
        <v>72</v>
      </c>
      <c r="R20" s="48" t="s">
        <v>71</v>
      </c>
      <c r="S20" s="178" t="s">
        <v>71</v>
      </c>
      <c r="T20" s="260"/>
      <c r="U20" s="49"/>
      <c r="V20" s="253"/>
      <c r="W20" s="262"/>
      <c r="X20" s="179"/>
    </row>
    <row r="21" spans="2:24" ht="66">
      <c r="B21" s="184"/>
      <c r="C21" s="183"/>
      <c r="D21" s="187"/>
      <c r="E21" s="188">
        <f t="shared" si="0"/>
        <v>18</v>
      </c>
      <c r="F21" s="174"/>
      <c r="G21" s="175"/>
      <c r="H21" s="175" t="s">
        <v>725</v>
      </c>
      <c r="I21" s="176" t="s">
        <v>734</v>
      </c>
      <c r="J21" s="177" t="s">
        <v>735</v>
      </c>
      <c r="K21" s="47" t="s">
        <v>72</v>
      </c>
      <c r="L21" s="48" t="s">
        <v>71</v>
      </c>
      <c r="M21" s="48" t="s">
        <v>71</v>
      </c>
      <c r="N21" s="47" t="s">
        <v>72</v>
      </c>
      <c r="O21" s="47" t="s">
        <v>72</v>
      </c>
      <c r="P21" s="47" t="s">
        <v>72</v>
      </c>
      <c r="Q21" s="47" t="s">
        <v>72</v>
      </c>
      <c r="R21" s="48" t="s">
        <v>71</v>
      </c>
      <c r="S21" s="178" t="s">
        <v>71</v>
      </c>
      <c r="T21" s="260"/>
      <c r="U21" s="49"/>
      <c r="V21" s="253"/>
      <c r="W21" s="262"/>
      <c r="X21" s="179"/>
    </row>
    <row r="22" spans="2:24" ht="66">
      <c r="B22" s="184"/>
      <c r="C22" s="183"/>
      <c r="D22" s="187"/>
      <c r="E22" s="188">
        <f t="shared" si="0"/>
        <v>19</v>
      </c>
      <c r="F22" s="174"/>
      <c r="G22" s="175"/>
      <c r="H22" s="175" t="s">
        <v>725</v>
      </c>
      <c r="I22" s="176" t="s">
        <v>736</v>
      </c>
      <c r="J22" s="177" t="s">
        <v>737</v>
      </c>
      <c r="K22" s="47" t="s">
        <v>72</v>
      </c>
      <c r="L22" s="48" t="s">
        <v>71</v>
      </c>
      <c r="M22" s="48" t="s">
        <v>71</v>
      </c>
      <c r="N22" s="47" t="s">
        <v>72</v>
      </c>
      <c r="O22" s="47" t="s">
        <v>72</v>
      </c>
      <c r="P22" s="47" t="s">
        <v>72</v>
      </c>
      <c r="Q22" s="47" t="s">
        <v>72</v>
      </c>
      <c r="R22" s="48" t="s">
        <v>71</v>
      </c>
      <c r="S22" s="178" t="s">
        <v>71</v>
      </c>
      <c r="T22" s="260"/>
      <c r="U22" s="49"/>
      <c r="V22" s="253"/>
      <c r="W22" s="262"/>
      <c r="X22" s="179"/>
    </row>
    <row r="23" spans="2:24" ht="52.9">
      <c r="B23" s="184"/>
      <c r="C23" s="183"/>
      <c r="D23" s="187"/>
      <c r="E23" s="188">
        <f t="shared" si="0"/>
        <v>20</v>
      </c>
      <c r="F23" s="174"/>
      <c r="G23" s="175"/>
      <c r="H23" s="175" t="s">
        <v>723</v>
      </c>
      <c r="I23" s="176" t="s">
        <v>738</v>
      </c>
      <c r="J23" s="177" t="s">
        <v>739</v>
      </c>
      <c r="K23" s="47" t="s">
        <v>72</v>
      </c>
      <c r="L23" s="48" t="s">
        <v>71</v>
      </c>
      <c r="M23" s="48" t="s">
        <v>71</v>
      </c>
      <c r="N23" s="47" t="s">
        <v>72</v>
      </c>
      <c r="O23" s="48" t="s">
        <v>71</v>
      </c>
      <c r="P23" s="48" t="s">
        <v>71</v>
      </c>
      <c r="Q23" s="47" t="s">
        <v>72</v>
      </c>
      <c r="R23" s="48" t="s">
        <v>71</v>
      </c>
      <c r="S23" s="178" t="s">
        <v>71</v>
      </c>
      <c r="T23" s="260"/>
      <c r="U23" s="49"/>
      <c r="V23" s="253"/>
      <c r="W23" s="262"/>
      <c r="X23" s="179"/>
    </row>
    <row r="24" spans="2:24" ht="92.45">
      <c r="B24" s="184"/>
      <c r="C24" s="183"/>
      <c r="D24" s="190" t="s">
        <v>748</v>
      </c>
      <c r="E24" s="188">
        <f t="shared" si="0"/>
        <v>21</v>
      </c>
      <c r="F24" s="255" t="s">
        <v>721</v>
      </c>
      <c r="G24" s="256" t="s">
        <v>722</v>
      </c>
      <c r="H24" s="256" t="s">
        <v>723</v>
      </c>
      <c r="I24" s="257"/>
      <c r="J24" s="258" t="s">
        <v>729</v>
      </c>
      <c r="K24" s="47" t="s">
        <v>72</v>
      </c>
      <c r="L24" s="48" t="s">
        <v>71</v>
      </c>
      <c r="M24" s="48" t="s">
        <v>71</v>
      </c>
      <c r="N24" s="47" t="s">
        <v>72</v>
      </c>
      <c r="O24" s="48" t="s">
        <v>71</v>
      </c>
      <c r="P24" s="48" t="s">
        <v>71</v>
      </c>
      <c r="Q24" s="47" t="s">
        <v>72</v>
      </c>
      <c r="R24" s="58" t="s">
        <v>71</v>
      </c>
      <c r="S24" s="259" t="s">
        <v>71</v>
      </c>
      <c r="T24" s="260"/>
      <c r="U24" s="59"/>
      <c r="V24" s="261"/>
      <c r="W24" s="262"/>
      <c r="X24" s="179"/>
    </row>
    <row r="25" spans="2:24" ht="79.150000000000006">
      <c r="B25" s="184"/>
      <c r="C25" s="183"/>
      <c r="D25" s="187"/>
      <c r="E25" s="188">
        <f t="shared" si="0"/>
        <v>22</v>
      </c>
      <c r="F25" s="174"/>
      <c r="G25" s="175"/>
      <c r="H25" s="175" t="s">
        <v>725</v>
      </c>
      <c r="I25" s="176" t="s">
        <v>726</v>
      </c>
      <c r="J25" s="177" t="s">
        <v>727</v>
      </c>
      <c r="K25" s="47" t="s">
        <v>72</v>
      </c>
      <c r="L25" s="48" t="s">
        <v>71</v>
      </c>
      <c r="M25" s="48" t="s">
        <v>71</v>
      </c>
      <c r="N25" s="47" t="s">
        <v>72</v>
      </c>
      <c r="O25" s="48" t="s">
        <v>71</v>
      </c>
      <c r="P25" s="48" t="s">
        <v>71</v>
      </c>
      <c r="Q25" s="47" t="s">
        <v>72</v>
      </c>
      <c r="R25" s="48" t="s">
        <v>71</v>
      </c>
      <c r="S25" s="178" t="s">
        <v>71</v>
      </c>
      <c r="T25" s="260"/>
      <c r="U25" s="49"/>
      <c r="V25" s="253"/>
      <c r="W25" s="262"/>
      <c r="X25" s="179"/>
    </row>
    <row r="26" spans="2:24" ht="92.45">
      <c r="B26" s="184"/>
      <c r="C26" s="183"/>
      <c r="D26" s="187"/>
      <c r="E26" s="188">
        <f t="shared" si="0"/>
        <v>23</v>
      </c>
      <c r="F26" s="174"/>
      <c r="G26" s="175"/>
      <c r="H26" s="175" t="s">
        <v>725</v>
      </c>
      <c r="I26" s="176" t="s">
        <v>728</v>
      </c>
      <c r="J26" s="258" t="s">
        <v>729</v>
      </c>
      <c r="K26" s="47" t="s">
        <v>72</v>
      </c>
      <c r="L26" s="48" t="s">
        <v>71</v>
      </c>
      <c r="M26" s="48" t="s">
        <v>71</v>
      </c>
      <c r="N26" s="47" t="s">
        <v>72</v>
      </c>
      <c r="O26" s="48" t="s">
        <v>71</v>
      </c>
      <c r="P26" s="48" t="s">
        <v>71</v>
      </c>
      <c r="Q26" s="47" t="s">
        <v>72</v>
      </c>
      <c r="R26" s="48" t="s">
        <v>71</v>
      </c>
      <c r="S26" s="178" t="s">
        <v>71</v>
      </c>
      <c r="T26" s="260"/>
      <c r="U26" s="49"/>
      <c r="V26" s="253"/>
      <c r="W26" s="262"/>
      <c r="X26" s="179"/>
    </row>
    <row r="27" spans="2:24" ht="52.9">
      <c r="B27" s="184"/>
      <c r="C27" s="183"/>
      <c r="D27" s="187"/>
      <c r="E27" s="188">
        <f t="shared" si="0"/>
        <v>24</v>
      </c>
      <c r="F27" s="174"/>
      <c r="G27" s="175"/>
      <c r="H27" s="175" t="s">
        <v>723</v>
      </c>
      <c r="I27" s="176" t="s">
        <v>749</v>
      </c>
      <c r="J27" s="177" t="s">
        <v>750</v>
      </c>
      <c r="K27" s="47" t="s">
        <v>72</v>
      </c>
      <c r="L27" s="48" t="s">
        <v>71</v>
      </c>
      <c r="M27" s="48" t="s">
        <v>71</v>
      </c>
      <c r="N27" s="47" t="s">
        <v>72</v>
      </c>
      <c r="O27" s="48" t="s">
        <v>71</v>
      </c>
      <c r="P27" s="48" t="s">
        <v>71</v>
      </c>
      <c r="Q27" s="47" t="s">
        <v>72</v>
      </c>
      <c r="R27" s="48" t="s">
        <v>71</v>
      </c>
      <c r="S27" s="178" t="s">
        <v>71</v>
      </c>
      <c r="T27" s="260"/>
      <c r="U27" s="49"/>
      <c r="V27" s="253"/>
      <c r="W27" s="262"/>
      <c r="X27" s="179"/>
    </row>
    <row r="28" spans="2:24" ht="66">
      <c r="B28" s="184"/>
      <c r="C28" s="183"/>
      <c r="D28" s="187"/>
      <c r="E28" s="188">
        <f t="shared" si="0"/>
        <v>25</v>
      </c>
      <c r="F28" s="174"/>
      <c r="G28" s="175"/>
      <c r="H28" s="175" t="s">
        <v>751</v>
      </c>
      <c r="I28" s="176" t="s">
        <v>752</v>
      </c>
      <c r="J28" s="177" t="s">
        <v>753</v>
      </c>
      <c r="K28" s="47" t="s">
        <v>72</v>
      </c>
      <c r="L28" s="48" t="s">
        <v>71</v>
      </c>
      <c r="M28" s="48" t="s">
        <v>71</v>
      </c>
      <c r="N28" s="47" t="s">
        <v>72</v>
      </c>
      <c r="O28" s="48" t="s">
        <v>71</v>
      </c>
      <c r="P28" s="48" t="s">
        <v>71</v>
      </c>
      <c r="Q28" s="47" t="s">
        <v>72</v>
      </c>
      <c r="R28" s="48" t="s">
        <v>71</v>
      </c>
      <c r="S28" s="178" t="s">
        <v>71</v>
      </c>
      <c r="T28" s="260"/>
      <c r="U28" s="49"/>
      <c r="V28" s="253"/>
      <c r="W28" s="262"/>
      <c r="X28" s="179"/>
    </row>
    <row r="29" spans="2:24" ht="52.9">
      <c r="B29" s="184"/>
      <c r="C29" s="183"/>
      <c r="D29" s="187"/>
      <c r="E29" s="188">
        <f t="shared" si="0"/>
        <v>26</v>
      </c>
      <c r="F29" s="174"/>
      <c r="G29" s="175"/>
      <c r="H29" s="175" t="s">
        <v>751</v>
      </c>
      <c r="I29" s="176" t="s">
        <v>754</v>
      </c>
      <c r="J29" s="177" t="s">
        <v>755</v>
      </c>
      <c r="K29" s="47" t="s">
        <v>72</v>
      </c>
      <c r="L29" s="48" t="s">
        <v>71</v>
      </c>
      <c r="M29" s="48" t="s">
        <v>71</v>
      </c>
      <c r="N29" s="47" t="s">
        <v>72</v>
      </c>
      <c r="O29" s="48" t="s">
        <v>71</v>
      </c>
      <c r="P29" s="48" t="s">
        <v>71</v>
      </c>
      <c r="Q29" s="48" t="s">
        <v>71</v>
      </c>
      <c r="R29" s="48" t="s">
        <v>71</v>
      </c>
      <c r="S29" s="178" t="s">
        <v>71</v>
      </c>
      <c r="T29" s="260"/>
      <c r="U29" s="49"/>
      <c r="V29" s="253"/>
      <c r="W29" s="262"/>
      <c r="X29" s="179"/>
    </row>
    <row r="30" spans="2:24" ht="79.150000000000006">
      <c r="B30" s="184"/>
      <c r="C30" s="183"/>
      <c r="D30" s="187"/>
      <c r="E30" s="188">
        <f t="shared" si="0"/>
        <v>27</v>
      </c>
      <c r="F30" s="174"/>
      <c r="G30" s="175"/>
      <c r="H30" s="175" t="s">
        <v>751</v>
      </c>
      <c r="I30" s="176" t="s">
        <v>756</v>
      </c>
      <c r="J30" s="258" t="s">
        <v>757</v>
      </c>
      <c r="K30" s="47" t="s">
        <v>72</v>
      </c>
      <c r="L30" s="48" t="s">
        <v>71</v>
      </c>
      <c r="M30" s="48" t="s">
        <v>71</v>
      </c>
      <c r="N30" s="47" t="s">
        <v>72</v>
      </c>
      <c r="O30" s="48" t="s">
        <v>71</v>
      </c>
      <c r="P30" s="48" t="s">
        <v>71</v>
      </c>
      <c r="Q30" s="47" t="s">
        <v>72</v>
      </c>
      <c r="R30" s="48" t="s">
        <v>71</v>
      </c>
      <c r="S30" s="178" t="s">
        <v>71</v>
      </c>
      <c r="T30" s="260"/>
      <c r="U30" s="49"/>
      <c r="V30" s="253"/>
      <c r="W30" s="262"/>
      <c r="X30" s="179"/>
    </row>
    <row r="31" spans="2:24" ht="52.9">
      <c r="B31" s="184"/>
      <c r="C31" s="183"/>
      <c r="D31" s="187"/>
      <c r="E31" s="188">
        <f t="shared" si="0"/>
        <v>28</v>
      </c>
      <c r="F31" s="174"/>
      <c r="G31" s="175"/>
      <c r="H31" s="175" t="s">
        <v>723</v>
      </c>
      <c r="I31" s="176" t="s">
        <v>758</v>
      </c>
      <c r="J31" s="177" t="s">
        <v>750</v>
      </c>
      <c r="K31" s="47" t="s">
        <v>72</v>
      </c>
      <c r="L31" s="48" t="s">
        <v>71</v>
      </c>
      <c r="M31" s="48" t="s">
        <v>71</v>
      </c>
      <c r="N31" s="47" t="s">
        <v>72</v>
      </c>
      <c r="O31" s="48" t="s">
        <v>71</v>
      </c>
      <c r="P31" s="48" t="s">
        <v>71</v>
      </c>
      <c r="Q31" s="47" t="s">
        <v>72</v>
      </c>
      <c r="R31" s="48" t="s">
        <v>71</v>
      </c>
      <c r="S31" s="178" t="s">
        <v>71</v>
      </c>
      <c r="T31" s="260"/>
      <c r="U31" s="49"/>
      <c r="V31" s="253"/>
      <c r="W31" s="262"/>
      <c r="X31" s="179"/>
    </row>
    <row r="32" spans="2:24" ht="92.45">
      <c r="B32" s="184"/>
      <c r="C32" s="183"/>
      <c r="D32" s="187"/>
      <c r="E32" s="188">
        <f t="shared" si="0"/>
        <v>29</v>
      </c>
      <c r="F32" s="174"/>
      <c r="G32" s="175"/>
      <c r="H32" s="175" t="s">
        <v>723</v>
      </c>
      <c r="I32" s="176" t="s">
        <v>759</v>
      </c>
      <c r="J32" s="177" t="s">
        <v>747</v>
      </c>
      <c r="K32" s="47" t="s">
        <v>72</v>
      </c>
      <c r="L32" s="48" t="s">
        <v>71</v>
      </c>
      <c r="M32" s="48" t="s">
        <v>71</v>
      </c>
      <c r="N32" s="47" t="s">
        <v>72</v>
      </c>
      <c r="O32" s="48" t="s">
        <v>71</v>
      </c>
      <c r="P32" s="48" t="s">
        <v>71</v>
      </c>
      <c r="Q32" s="47" t="s">
        <v>72</v>
      </c>
      <c r="R32" s="48" t="s">
        <v>71</v>
      </c>
      <c r="S32" s="178" t="s">
        <v>71</v>
      </c>
      <c r="T32" s="260"/>
      <c r="U32" s="49"/>
      <c r="V32" s="253"/>
      <c r="W32" s="262"/>
      <c r="X32" s="179"/>
    </row>
    <row r="33" spans="2:24" ht="66">
      <c r="B33" s="184"/>
      <c r="C33" s="183"/>
      <c r="D33" s="187"/>
      <c r="E33" s="188">
        <f t="shared" si="0"/>
        <v>30</v>
      </c>
      <c r="F33" s="174"/>
      <c r="G33" s="175"/>
      <c r="H33" s="175" t="s">
        <v>725</v>
      </c>
      <c r="I33" s="176" t="s">
        <v>760</v>
      </c>
      <c r="J33" s="177" t="s">
        <v>735</v>
      </c>
      <c r="K33" s="47" t="s">
        <v>72</v>
      </c>
      <c r="L33" s="48" t="s">
        <v>71</v>
      </c>
      <c r="M33" s="48" t="s">
        <v>71</v>
      </c>
      <c r="N33" s="47" t="s">
        <v>72</v>
      </c>
      <c r="O33" s="48" t="s">
        <v>71</v>
      </c>
      <c r="P33" s="48" t="s">
        <v>71</v>
      </c>
      <c r="Q33" s="47" t="s">
        <v>72</v>
      </c>
      <c r="R33" s="48" t="s">
        <v>71</v>
      </c>
      <c r="S33" s="178" t="s">
        <v>71</v>
      </c>
      <c r="T33" s="260"/>
      <c r="U33" s="49"/>
      <c r="V33" s="253"/>
      <c r="W33" s="262"/>
      <c r="X33" s="179"/>
    </row>
    <row r="34" spans="2:24" ht="92.45">
      <c r="B34" s="184"/>
      <c r="C34" s="190" t="s">
        <v>761</v>
      </c>
      <c r="D34" s="190" t="s">
        <v>720</v>
      </c>
      <c r="E34" s="254">
        <f>ROW()-3</f>
        <v>31</v>
      </c>
      <c r="F34" s="255" t="s">
        <v>721</v>
      </c>
      <c r="G34" s="256" t="s">
        <v>762</v>
      </c>
      <c r="H34" s="256" t="s">
        <v>723</v>
      </c>
      <c r="I34" s="257"/>
      <c r="J34" s="258" t="s">
        <v>729</v>
      </c>
      <c r="K34" s="47" t="s">
        <v>72</v>
      </c>
      <c r="L34" s="48" t="s">
        <v>71</v>
      </c>
      <c r="M34" s="48" t="s">
        <v>71</v>
      </c>
      <c r="N34" s="47" t="s">
        <v>72</v>
      </c>
      <c r="O34" s="48" t="s">
        <v>71</v>
      </c>
      <c r="P34" s="48" t="s">
        <v>71</v>
      </c>
      <c r="Q34" s="47" t="s">
        <v>72</v>
      </c>
      <c r="R34" s="58" t="s">
        <v>71</v>
      </c>
      <c r="S34" s="259" t="s">
        <v>71</v>
      </c>
      <c r="T34" s="260"/>
      <c r="U34" s="59"/>
      <c r="V34" s="261"/>
      <c r="W34" s="262"/>
      <c r="X34" s="263"/>
    </row>
    <row r="35" spans="2:24" ht="79.150000000000006">
      <c r="B35" s="184"/>
      <c r="C35" s="183"/>
      <c r="D35" s="187"/>
      <c r="E35" s="188">
        <f t="shared" si="0"/>
        <v>32</v>
      </c>
      <c r="F35" s="174"/>
      <c r="G35" s="175"/>
      <c r="H35" s="175" t="s">
        <v>725</v>
      </c>
      <c r="I35" s="176" t="s">
        <v>726</v>
      </c>
      <c r="J35" s="177" t="s">
        <v>727</v>
      </c>
      <c r="K35" s="47" t="s">
        <v>72</v>
      </c>
      <c r="L35" s="48" t="s">
        <v>71</v>
      </c>
      <c r="M35" s="48" t="s">
        <v>71</v>
      </c>
      <c r="N35" s="47" t="s">
        <v>72</v>
      </c>
      <c r="O35" s="48" t="s">
        <v>71</v>
      </c>
      <c r="P35" s="48" t="s">
        <v>71</v>
      </c>
      <c r="Q35" s="47" t="s">
        <v>72</v>
      </c>
      <c r="R35" s="48" t="s">
        <v>71</v>
      </c>
      <c r="S35" s="178" t="s">
        <v>71</v>
      </c>
      <c r="T35" s="260"/>
      <c r="U35" s="49"/>
      <c r="V35" s="253"/>
      <c r="W35" s="262"/>
      <c r="X35" s="179"/>
    </row>
    <row r="36" spans="2:24" ht="92.45">
      <c r="B36" s="184"/>
      <c r="C36" s="183"/>
      <c r="D36" s="187"/>
      <c r="E36" s="188">
        <f t="shared" si="0"/>
        <v>33</v>
      </c>
      <c r="F36" s="174"/>
      <c r="G36" s="175"/>
      <c r="H36" s="175" t="s">
        <v>725</v>
      </c>
      <c r="I36" s="176" t="s">
        <v>728</v>
      </c>
      <c r="J36" s="258" t="s">
        <v>729</v>
      </c>
      <c r="K36" s="47" t="s">
        <v>72</v>
      </c>
      <c r="L36" s="48" t="s">
        <v>71</v>
      </c>
      <c r="M36" s="48" t="s">
        <v>71</v>
      </c>
      <c r="N36" s="47" t="s">
        <v>72</v>
      </c>
      <c r="O36" s="48" t="s">
        <v>71</v>
      </c>
      <c r="P36" s="48" t="s">
        <v>71</v>
      </c>
      <c r="Q36" s="47" t="s">
        <v>72</v>
      </c>
      <c r="R36" s="48" t="s">
        <v>71</v>
      </c>
      <c r="S36" s="178" t="s">
        <v>71</v>
      </c>
      <c r="T36" s="260"/>
      <c r="U36" s="49"/>
      <c r="V36" s="253"/>
      <c r="W36" s="262"/>
      <c r="X36" s="179"/>
    </row>
    <row r="37" spans="2:24" ht="52.9">
      <c r="B37" s="184"/>
      <c r="C37" s="183"/>
      <c r="D37" s="187"/>
      <c r="E37" s="188">
        <f t="shared" si="0"/>
        <v>34</v>
      </c>
      <c r="F37" s="174"/>
      <c r="G37" s="175"/>
      <c r="H37" s="175" t="s">
        <v>723</v>
      </c>
      <c r="I37" s="176" t="s">
        <v>763</v>
      </c>
      <c r="J37" s="177" t="s">
        <v>731</v>
      </c>
      <c r="K37" s="47" t="s">
        <v>72</v>
      </c>
      <c r="L37" s="48" t="s">
        <v>71</v>
      </c>
      <c r="M37" s="48" t="s">
        <v>71</v>
      </c>
      <c r="N37" s="47" t="s">
        <v>72</v>
      </c>
      <c r="O37" s="48" t="s">
        <v>71</v>
      </c>
      <c r="P37" s="48" t="s">
        <v>71</v>
      </c>
      <c r="Q37" s="47" t="s">
        <v>72</v>
      </c>
      <c r="R37" s="48" t="s">
        <v>71</v>
      </c>
      <c r="S37" s="178" t="s">
        <v>71</v>
      </c>
      <c r="T37" s="260"/>
      <c r="U37" s="49"/>
      <c r="V37" s="253"/>
      <c r="W37" s="180"/>
      <c r="X37" s="179"/>
    </row>
    <row r="38" spans="2:24" ht="52.9">
      <c r="B38" s="184"/>
      <c r="C38" s="183"/>
      <c r="D38" s="187"/>
      <c r="E38" s="188">
        <f t="shared" si="0"/>
        <v>35</v>
      </c>
      <c r="F38" s="174"/>
      <c r="G38" s="175"/>
      <c r="H38" s="175" t="s">
        <v>723</v>
      </c>
      <c r="I38" s="176"/>
      <c r="J38" s="177" t="s">
        <v>764</v>
      </c>
      <c r="K38" s="47" t="s">
        <v>72</v>
      </c>
      <c r="L38" s="48" t="s">
        <v>71</v>
      </c>
      <c r="M38" s="48" t="s">
        <v>71</v>
      </c>
      <c r="N38" s="47" t="s">
        <v>72</v>
      </c>
      <c r="O38" s="48" t="s">
        <v>71</v>
      </c>
      <c r="P38" s="48" t="s">
        <v>71</v>
      </c>
      <c r="Q38" s="48" t="s">
        <v>71</v>
      </c>
      <c r="R38" s="48" t="s">
        <v>71</v>
      </c>
      <c r="S38" s="178" t="s">
        <v>71</v>
      </c>
      <c r="T38" s="260"/>
      <c r="U38" s="49"/>
      <c r="V38" s="253"/>
      <c r="W38" s="180"/>
      <c r="X38" s="179"/>
    </row>
    <row r="39" spans="2:24" ht="92.45">
      <c r="B39" s="184"/>
      <c r="C39" s="183"/>
      <c r="D39" s="187"/>
      <c r="E39" s="188">
        <f t="shared" si="0"/>
        <v>36</v>
      </c>
      <c r="F39" s="174"/>
      <c r="G39" s="175"/>
      <c r="H39" s="175" t="s">
        <v>723</v>
      </c>
      <c r="I39" s="176" t="s">
        <v>732</v>
      </c>
      <c r="J39" s="177" t="s">
        <v>747</v>
      </c>
      <c r="K39" s="47" t="s">
        <v>72</v>
      </c>
      <c r="L39" s="48" t="s">
        <v>71</v>
      </c>
      <c r="M39" s="48" t="s">
        <v>71</v>
      </c>
      <c r="N39" s="47" t="s">
        <v>72</v>
      </c>
      <c r="O39" s="48" t="s">
        <v>71</v>
      </c>
      <c r="P39" s="48" t="s">
        <v>71</v>
      </c>
      <c r="Q39" s="47" t="s">
        <v>72</v>
      </c>
      <c r="R39" s="48" t="s">
        <v>71</v>
      </c>
      <c r="S39" s="178" t="s">
        <v>71</v>
      </c>
      <c r="T39" s="260"/>
      <c r="U39" s="49"/>
      <c r="V39" s="253"/>
      <c r="W39" s="180"/>
      <c r="X39" s="179"/>
    </row>
    <row r="40" spans="2:24" ht="66">
      <c r="B40" s="184"/>
      <c r="C40" s="183"/>
      <c r="D40" s="187"/>
      <c r="E40" s="188">
        <f t="shared" si="0"/>
        <v>37</v>
      </c>
      <c r="F40" s="174"/>
      <c r="G40" s="175"/>
      <c r="H40" s="175" t="s">
        <v>725</v>
      </c>
      <c r="I40" s="176" t="s">
        <v>734</v>
      </c>
      <c r="J40" s="177" t="s">
        <v>735</v>
      </c>
      <c r="K40" s="47" t="s">
        <v>72</v>
      </c>
      <c r="L40" s="48" t="s">
        <v>71</v>
      </c>
      <c r="M40" s="48" t="s">
        <v>71</v>
      </c>
      <c r="N40" s="47" t="s">
        <v>72</v>
      </c>
      <c r="O40" s="47" t="s">
        <v>72</v>
      </c>
      <c r="P40" s="47" t="s">
        <v>72</v>
      </c>
      <c r="Q40" s="47" t="s">
        <v>72</v>
      </c>
      <c r="R40" s="48" t="s">
        <v>71</v>
      </c>
      <c r="S40" s="178" t="s">
        <v>71</v>
      </c>
      <c r="T40" s="260"/>
      <c r="U40" s="49"/>
      <c r="V40" s="253"/>
      <c r="W40" s="180"/>
      <c r="X40" s="179"/>
    </row>
    <row r="41" spans="2:24" ht="66">
      <c r="B41" s="184"/>
      <c r="C41" s="183"/>
      <c r="D41" s="187"/>
      <c r="E41" s="188">
        <f t="shared" si="0"/>
        <v>38</v>
      </c>
      <c r="F41" s="174"/>
      <c r="G41" s="175"/>
      <c r="H41" s="175" t="s">
        <v>725</v>
      </c>
      <c r="I41" s="176" t="s">
        <v>736</v>
      </c>
      <c r="J41" s="177" t="s">
        <v>737</v>
      </c>
      <c r="K41" s="47" t="s">
        <v>72</v>
      </c>
      <c r="L41" s="48" t="s">
        <v>71</v>
      </c>
      <c r="M41" s="48" t="s">
        <v>71</v>
      </c>
      <c r="N41" s="47" t="s">
        <v>72</v>
      </c>
      <c r="O41" s="47" t="s">
        <v>72</v>
      </c>
      <c r="P41" s="47" t="s">
        <v>72</v>
      </c>
      <c r="Q41" s="47" t="s">
        <v>72</v>
      </c>
      <c r="R41" s="48" t="s">
        <v>71</v>
      </c>
      <c r="S41" s="178" t="s">
        <v>71</v>
      </c>
      <c r="T41" s="260"/>
      <c r="U41" s="49"/>
      <c r="V41" s="253"/>
      <c r="W41" s="180"/>
      <c r="X41" s="179"/>
    </row>
    <row r="42" spans="2:24" ht="52.9">
      <c r="B42" s="184"/>
      <c r="C42" s="183"/>
      <c r="D42" s="187"/>
      <c r="E42" s="188">
        <f t="shared" si="0"/>
        <v>39</v>
      </c>
      <c r="F42" s="174"/>
      <c r="G42" s="175"/>
      <c r="H42" s="175" t="s">
        <v>723</v>
      </c>
      <c r="I42" s="176" t="s">
        <v>738</v>
      </c>
      <c r="J42" s="177" t="s">
        <v>739</v>
      </c>
      <c r="K42" s="47" t="s">
        <v>72</v>
      </c>
      <c r="L42" s="48" t="s">
        <v>71</v>
      </c>
      <c r="M42" s="48" t="s">
        <v>71</v>
      </c>
      <c r="N42" s="47" t="s">
        <v>72</v>
      </c>
      <c r="O42" s="48" t="s">
        <v>71</v>
      </c>
      <c r="P42" s="48" t="s">
        <v>71</v>
      </c>
      <c r="Q42" s="47" t="s">
        <v>72</v>
      </c>
      <c r="R42" s="48" t="s">
        <v>71</v>
      </c>
      <c r="S42" s="178" t="s">
        <v>71</v>
      </c>
      <c r="T42" s="260"/>
      <c r="U42" s="49"/>
      <c r="V42" s="253"/>
      <c r="W42" s="180"/>
      <c r="X42" s="179"/>
    </row>
    <row r="43" spans="2:24" ht="92.45">
      <c r="B43" s="184"/>
      <c r="C43" s="183"/>
      <c r="D43" s="185"/>
      <c r="E43" s="188">
        <f t="shared" si="0"/>
        <v>40</v>
      </c>
      <c r="F43" s="255" t="s">
        <v>721</v>
      </c>
      <c r="G43" s="256" t="s">
        <v>765</v>
      </c>
      <c r="H43" s="256" t="s">
        <v>723</v>
      </c>
      <c r="I43" s="257"/>
      <c r="J43" s="258" t="s">
        <v>729</v>
      </c>
      <c r="K43" s="47" t="s">
        <v>72</v>
      </c>
      <c r="L43" s="48" t="s">
        <v>71</v>
      </c>
      <c r="M43" s="48" t="s">
        <v>71</v>
      </c>
      <c r="N43" s="47" t="s">
        <v>72</v>
      </c>
      <c r="O43" s="58" t="s">
        <v>71</v>
      </c>
      <c r="P43" s="58" t="s">
        <v>71</v>
      </c>
      <c r="Q43" s="58" t="s">
        <v>71</v>
      </c>
      <c r="R43" s="58" t="s">
        <v>71</v>
      </c>
      <c r="S43" s="259" t="s">
        <v>71</v>
      </c>
      <c r="T43" s="260"/>
      <c r="U43" s="49"/>
      <c r="V43" s="253"/>
      <c r="W43" s="180"/>
      <c r="X43" s="179"/>
    </row>
    <row r="44" spans="2:24" ht="79.150000000000006">
      <c r="B44" s="184"/>
      <c r="C44" s="183"/>
      <c r="D44" s="187"/>
      <c r="E44" s="188">
        <f t="shared" si="0"/>
        <v>41</v>
      </c>
      <c r="F44" s="174"/>
      <c r="G44" s="175"/>
      <c r="H44" s="175" t="s">
        <v>725</v>
      </c>
      <c r="I44" s="176" t="s">
        <v>726</v>
      </c>
      <c r="J44" s="177" t="s">
        <v>727</v>
      </c>
      <c r="K44" s="47" t="s">
        <v>72</v>
      </c>
      <c r="L44" s="48" t="s">
        <v>71</v>
      </c>
      <c r="M44" s="48" t="s">
        <v>71</v>
      </c>
      <c r="N44" s="47" t="s">
        <v>72</v>
      </c>
      <c r="O44" s="48" t="s">
        <v>71</v>
      </c>
      <c r="P44" s="48" t="s">
        <v>71</v>
      </c>
      <c r="Q44" s="47" t="s">
        <v>72</v>
      </c>
      <c r="R44" s="48" t="s">
        <v>71</v>
      </c>
      <c r="S44" s="178" t="s">
        <v>71</v>
      </c>
      <c r="T44" s="260"/>
      <c r="U44" s="49"/>
      <c r="V44" s="253"/>
      <c r="W44" s="180"/>
      <c r="X44" s="179"/>
    </row>
    <row r="45" spans="2:24" ht="92.45">
      <c r="B45" s="184"/>
      <c r="C45" s="183"/>
      <c r="D45" s="187"/>
      <c r="E45" s="188">
        <f t="shared" si="0"/>
        <v>42</v>
      </c>
      <c r="F45" s="174"/>
      <c r="G45" s="175"/>
      <c r="H45" s="175" t="s">
        <v>725</v>
      </c>
      <c r="I45" s="176" t="s">
        <v>728</v>
      </c>
      <c r="J45" s="258" t="s">
        <v>729</v>
      </c>
      <c r="K45" s="47" t="s">
        <v>72</v>
      </c>
      <c r="L45" s="48" t="s">
        <v>71</v>
      </c>
      <c r="M45" s="48" t="s">
        <v>71</v>
      </c>
      <c r="N45" s="47" t="s">
        <v>72</v>
      </c>
      <c r="O45" s="48" t="s">
        <v>71</v>
      </c>
      <c r="P45" s="48" t="s">
        <v>71</v>
      </c>
      <c r="Q45" s="47" t="s">
        <v>72</v>
      </c>
      <c r="R45" s="48" t="s">
        <v>71</v>
      </c>
      <c r="S45" s="178" t="s">
        <v>71</v>
      </c>
      <c r="T45" s="260"/>
      <c r="U45" s="49"/>
      <c r="V45" s="253"/>
      <c r="W45" s="180"/>
      <c r="X45" s="179"/>
    </row>
    <row r="46" spans="2:24" ht="79.150000000000006">
      <c r="B46" s="184"/>
      <c r="C46" s="183"/>
      <c r="D46" s="187"/>
      <c r="E46" s="188">
        <f t="shared" si="0"/>
        <v>43</v>
      </c>
      <c r="F46" s="174"/>
      <c r="G46" s="175"/>
      <c r="H46" s="175" t="s">
        <v>725</v>
      </c>
      <c r="I46" s="176" t="s">
        <v>743</v>
      </c>
      <c r="J46" s="177" t="s">
        <v>766</v>
      </c>
      <c r="K46" s="47" t="s">
        <v>72</v>
      </c>
      <c r="L46" s="48" t="s">
        <v>71</v>
      </c>
      <c r="M46" s="48" t="s">
        <v>71</v>
      </c>
      <c r="N46" s="47" t="s">
        <v>72</v>
      </c>
      <c r="O46" s="48" t="s">
        <v>71</v>
      </c>
      <c r="P46" s="48" t="s">
        <v>71</v>
      </c>
      <c r="Q46" s="48" t="s">
        <v>336</v>
      </c>
      <c r="R46" s="48" t="s">
        <v>71</v>
      </c>
      <c r="S46" s="178" t="s">
        <v>71</v>
      </c>
      <c r="T46" s="260"/>
      <c r="U46" s="49"/>
      <c r="V46" s="253"/>
      <c r="W46" s="180"/>
      <c r="X46" s="179"/>
    </row>
    <row r="47" spans="2:24" ht="92.45">
      <c r="B47" s="184"/>
      <c r="C47" s="183"/>
      <c r="D47" s="187"/>
      <c r="E47" s="188">
        <f t="shared" si="0"/>
        <v>44</v>
      </c>
      <c r="F47" s="174"/>
      <c r="G47" s="175"/>
      <c r="H47" s="256" t="s">
        <v>723</v>
      </c>
      <c r="I47" s="176" t="s">
        <v>767</v>
      </c>
      <c r="J47" s="258" t="s">
        <v>729</v>
      </c>
      <c r="K47" s="47" t="s">
        <v>72</v>
      </c>
      <c r="L47" s="48" t="s">
        <v>71</v>
      </c>
      <c r="M47" s="48" t="s">
        <v>71</v>
      </c>
      <c r="N47" s="47" t="s">
        <v>72</v>
      </c>
      <c r="O47" s="48" t="s">
        <v>71</v>
      </c>
      <c r="P47" s="48" t="s">
        <v>71</v>
      </c>
      <c r="Q47" s="47" t="s">
        <v>72</v>
      </c>
      <c r="R47" s="48" t="s">
        <v>71</v>
      </c>
      <c r="S47" s="178" t="s">
        <v>71</v>
      </c>
      <c r="T47" s="260"/>
      <c r="U47" s="49"/>
      <c r="V47" s="253"/>
      <c r="W47" s="180"/>
      <c r="X47" s="179"/>
    </row>
    <row r="48" spans="2:24" ht="79.150000000000006">
      <c r="B48" s="184"/>
      <c r="C48" s="183"/>
      <c r="D48" s="187"/>
      <c r="E48" s="188">
        <f t="shared" si="0"/>
        <v>45</v>
      </c>
      <c r="F48" s="174"/>
      <c r="G48" s="175"/>
      <c r="H48" s="175" t="s">
        <v>725</v>
      </c>
      <c r="I48" s="176" t="s">
        <v>746</v>
      </c>
      <c r="J48" s="177" t="s">
        <v>727</v>
      </c>
      <c r="K48" s="47" t="s">
        <v>72</v>
      </c>
      <c r="L48" s="48" t="s">
        <v>71</v>
      </c>
      <c r="M48" s="48" t="s">
        <v>71</v>
      </c>
      <c r="N48" s="47" t="s">
        <v>72</v>
      </c>
      <c r="O48" s="48" t="s">
        <v>71</v>
      </c>
      <c r="P48" s="48" t="s">
        <v>71</v>
      </c>
      <c r="Q48" s="47" t="s">
        <v>72</v>
      </c>
      <c r="R48" s="48" t="s">
        <v>71</v>
      </c>
      <c r="S48" s="178" t="s">
        <v>71</v>
      </c>
      <c r="T48" s="260"/>
      <c r="U48" s="49"/>
      <c r="V48" s="253"/>
      <c r="W48" s="180"/>
      <c r="X48" s="179"/>
    </row>
    <row r="49" spans="2:24" ht="92.45">
      <c r="B49" s="184"/>
      <c r="C49" s="183"/>
      <c r="D49" s="187"/>
      <c r="E49" s="188">
        <f t="shared" si="0"/>
        <v>46</v>
      </c>
      <c r="F49" s="174"/>
      <c r="G49" s="175"/>
      <c r="H49" s="175" t="s">
        <v>725</v>
      </c>
      <c r="I49" s="176" t="s">
        <v>728</v>
      </c>
      <c r="J49" s="258" t="s">
        <v>729</v>
      </c>
      <c r="K49" s="47" t="s">
        <v>72</v>
      </c>
      <c r="L49" s="48" t="s">
        <v>71</v>
      </c>
      <c r="M49" s="48" t="s">
        <v>71</v>
      </c>
      <c r="N49" s="47" t="s">
        <v>72</v>
      </c>
      <c r="O49" s="48" t="s">
        <v>71</v>
      </c>
      <c r="P49" s="48" t="s">
        <v>71</v>
      </c>
      <c r="Q49" s="47" t="s">
        <v>72</v>
      </c>
      <c r="R49" s="48" t="s">
        <v>71</v>
      </c>
      <c r="S49" s="178" t="s">
        <v>71</v>
      </c>
      <c r="T49" s="260"/>
      <c r="U49" s="49"/>
      <c r="V49" s="253"/>
      <c r="W49" s="180"/>
      <c r="X49" s="179"/>
    </row>
    <row r="50" spans="2:24" ht="52.9">
      <c r="B50" s="184"/>
      <c r="C50" s="183"/>
      <c r="D50" s="187"/>
      <c r="E50" s="188">
        <f t="shared" si="0"/>
        <v>47</v>
      </c>
      <c r="F50" s="174"/>
      <c r="G50" s="175"/>
      <c r="H50" s="175" t="s">
        <v>723</v>
      </c>
      <c r="I50" s="176" t="s">
        <v>763</v>
      </c>
      <c r="J50" s="177" t="s">
        <v>731</v>
      </c>
      <c r="K50" s="47" t="s">
        <v>72</v>
      </c>
      <c r="L50" s="48" t="s">
        <v>71</v>
      </c>
      <c r="M50" s="48" t="s">
        <v>71</v>
      </c>
      <c r="N50" s="47" t="s">
        <v>72</v>
      </c>
      <c r="O50" s="48" t="s">
        <v>71</v>
      </c>
      <c r="P50" s="48" t="s">
        <v>71</v>
      </c>
      <c r="Q50" s="47" t="s">
        <v>72</v>
      </c>
      <c r="R50" s="48" t="s">
        <v>71</v>
      </c>
      <c r="S50" s="178" t="s">
        <v>71</v>
      </c>
      <c r="T50" s="260"/>
      <c r="U50" s="49"/>
      <c r="V50" s="253"/>
      <c r="W50" s="180"/>
      <c r="X50" s="179"/>
    </row>
    <row r="51" spans="2:24" ht="52.9">
      <c r="B51" s="184"/>
      <c r="C51" s="183"/>
      <c r="D51" s="187"/>
      <c r="E51" s="188">
        <f t="shared" si="0"/>
        <v>48</v>
      </c>
      <c r="F51" s="174"/>
      <c r="G51" s="175"/>
      <c r="H51" s="175" t="s">
        <v>723</v>
      </c>
      <c r="I51" s="176"/>
      <c r="J51" s="177" t="s">
        <v>764</v>
      </c>
      <c r="K51" s="47" t="s">
        <v>72</v>
      </c>
      <c r="L51" s="48" t="s">
        <v>71</v>
      </c>
      <c r="M51" s="48" t="s">
        <v>71</v>
      </c>
      <c r="N51" s="47" t="s">
        <v>72</v>
      </c>
      <c r="O51" s="48" t="s">
        <v>71</v>
      </c>
      <c r="P51" s="48" t="s">
        <v>71</v>
      </c>
      <c r="Q51" s="48" t="s">
        <v>71</v>
      </c>
      <c r="R51" s="48" t="s">
        <v>71</v>
      </c>
      <c r="S51" s="178" t="s">
        <v>71</v>
      </c>
      <c r="T51" s="260"/>
      <c r="U51" s="49"/>
      <c r="V51" s="253"/>
      <c r="W51" s="180"/>
      <c r="X51" s="179"/>
    </row>
    <row r="52" spans="2:24" ht="92.45">
      <c r="B52" s="184"/>
      <c r="C52" s="183"/>
      <c r="D52" s="187"/>
      <c r="E52" s="188">
        <f t="shared" si="0"/>
        <v>49</v>
      </c>
      <c r="F52" s="174"/>
      <c r="G52" s="175"/>
      <c r="H52" s="175" t="s">
        <v>723</v>
      </c>
      <c r="I52" s="176" t="s">
        <v>732</v>
      </c>
      <c r="J52" s="177" t="s">
        <v>747</v>
      </c>
      <c r="K52" s="47" t="s">
        <v>72</v>
      </c>
      <c r="L52" s="48" t="s">
        <v>71</v>
      </c>
      <c r="M52" s="48" t="s">
        <v>71</v>
      </c>
      <c r="N52" s="47" t="s">
        <v>72</v>
      </c>
      <c r="O52" s="48" t="s">
        <v>71</v>
      </c>
      <c r="P52" s="48" t="s">
        <v>71</v>
      </c>
      <c r="Q52" s="47" t="s">
        <v>72</v>
      </c>
      <c r="R52" s="48" t="s">
        <v>71</v>
      </c>
      <c r="S52" s="178" t="s">
        <v>71</v>
      </c>
      <c r="T52" s="260"/>
      <c r="U52" s="49"/>
      <c r="V52" s="253"/>
      <c r="W52" s="180"/>
      <c r="X52" s="179"/>
    </row>
    <row r="53" spans="2:24" ht="66">
      <c r="B53" s="184"/>
      <c r="C53" s="183"/>
      <c r="D53" s="187"/>
      <c r="E53" s="188">
        <f t="shared" si="0"/>
        <v>50</v>
      </c>
      <c r="F53" s="174"/>
      <c r="G53" s="175"/>
      <c r="H53" s="175" t="s">
        <v>725</v>
      </c>
      <c r="I53" s="176" t="s">
        <v>734</v>
      </c>
      <c r="J53" s="177" t="s">
        <v>735</v>
      </c>
      <c r="K53" s="47" t="s">
        <v>72</v>
      </c>
      <c r="L53" s="48" t="s">
        <v>71</v>
      </c>
      <c r="M53" s="48" t="s">
        <v>71</v>
      </c>
      <c r="N53" s="47" t="s">
        <v>72</v>
      </c>
      <c r="O53" s="47" t="s">
        <v>72</v>
      </c>
      <c r="P53" s="47" t="s">
        <v>72</v>
      </c>
      <c r="Q53" s="47" t="s">
        <v>72</v>
      </c>
      <c r="R53" s="48" t="s">
        <v>71</v>
      </c>
      <c r="S53" s="178" t="s">
        <v>71</v>
      </c>
      <c r="T53" s="260"/>
      <c r="U53" s="49"/>
      <c r="V53" s="253"/>
      <c r="W53" s="180"/>
      <c r="X53" s="179"/>
    </row>
    <row r="54" spans="2:24" ht="66">
      <c r="B54" s="184"/>
      <c r="C54" s="183"/>
      <c r="D54" s="187"/>
      <c r="E54" s="188">
        <f t="shared" si="0"/>
        <v>51</v>
      </c>
      <c r="F54" s="174"/>
      <c r="G54" s="175"/>
      <c r="H54" s="175" t="s">
        <v>725</v>
      </c>
      <c r="I54" s="176" t="s">
        <v>768</v>
      </c>
      <c r="J54" s="177" t="s">
        <v>737</v>
      </c>
      <c r="K54" s="47" t="s">
        <v>72</v>
      </c>
      <c r="L54" s="48" t="s">
        <v>71</v>
      </c>
      <c r="M54" s="48" t="s">
        <v>71</v>
      </c>
      <c r="N54" s="47" t="s">
        <v>72</v>
      </c>
      <c r="O54" s="47" t="s">
        <v>72</v>
      </c>
      <c r="P54" s="47" t="s">
        <v>72</v>
      </c>
      <c r="Q54" s="47" t="s">
        <v>72</v>
      </c>
      <c r="R54" s="48" t="s">
        <v>71</v>
      </c>
      <c r="S54" s="178" t="s">
        <v>71</v>
      </c>
      <c r="T54" s="260"/>
      <c r="U54" s="49"/>
      <c r="V54" s="253"/>
      <c r="W54" s="180"/>
      <c r="X54" s="179"/>
    </row>
    <row r="55" spans="2:24" ht="52.9">
      <c r="B55" s="184"/>
      <c r="C55" s="183"/>
      <c r="D55" s="187"/>
      <c r="E55" s="188">
        <f t="shared" si="0"/>
        <v>52</v>
      </c>
      <c r="F55" s="174"/>
      <c r="G55" s="175"/>
      <c r="H55" s="175" t="s">
        <v>723</v>
      </c>
      <c r="I55" s="176" t="s">
        <v>738</v>
      </c>
      <c r="J55" s="177" t="s">
        <v>739</v>
      </c>
      <c r="K55" s="47" t="s">
        <v>72</v>
      </c>
      <c r="L55" s="48" t="s">
        <v>71</v>
      </c>
      <c r="M55" s="48" t="s">
        <v>71</v>
      </c>
      <c r="N55" s="47" t="s">
        <v>72</v>
      </c>
      <c r="O55" s="48" t="s">
        <v>71</v>
      </c>
      <c r="P55" s="48" t="s">
        <v>71</v>
      </c>
      <c r="Q55" s="47" t="s">
        <v>72</v>
      </c>
      <c r="R55" s="48" t="s">
        <v>71</v>
      </c>
      <c r="S55" s="178" t="s">
        <v>71</v>
      </c>
      <c r="T55" s="260"/>
      <c r="U55" s="49"/>
      <c r="V55" s="253"/>
      <c r="W55" s="180"/>
      <c r="X55" s="179"/>
    </row>
    <row r="56" spans="2:24" ht="92.45">
      <c r="B56" s="184"/>
      <c r="C56" s="183"/>
      <c r="D56" s="190" t="s">
        <v>748</v>
      </c>
      <c r="E56" s="188">
        <f t="shared" si="0"/>
        <v>53</v>
      </c>
      <c r="F56" s="255" t="s">
        <v>721</v>
      </c>
      <c r="G56" s="256" t="s">
        <v>769</v>
      </c>
      <c r="H56" s="256" t="s">
        <v>723</v>
      </c>
      <c r="I56" s="257"/>
      <c r="J56" s="258" t="s">
        <v>729</v>
      </c>
      <c r="K56" s="47" t="s">
        <v>72</v>
      </c>
      <c r="L56" s="48" t="s">
        <v>71</v>
      </c>
      <c r="M56" s="48" t="s">
        <v>71</v>
      </c>
      <c r="N56" s="47" t="s">
        <v>72</v>
      </c>
      <c r="O56" s="48" t="s">
        <v>71</v>
      </c>
      <c r="P56" s="48" t="s">
        <v>71</v>
      </c>
      <c r="Q56" s="47" t="s">
        <v>72</v>
      </c>
      <c r="R56" s="58" t="s">
        <v>71</v>
      </c>
      <c r="S56" s="259" t="s">
        <v>71</v>
      </c>
      <c r="T56" s="260"/>
      <c r="U56" s="49"/>
      <c r="V56" s="253"/>
      <c r="W56" s="262"/>
      <c r="X56" s="179"/>
    </row>
    <row r="57" spans="2:24" ht="79.150000000000006">
      <c r="B57" s="184"/>
      <c r="C57" s="183"/>
      <c r="D57" s="187"/>
      <c r="E57" s="188">
        <f t="shared" si="0"/>
        <v>54</v>
      </c>
      <c r="F57" s="174"/>
      <c r="G57" s="175"/>
      <c r="H57" s="175" t="s">
        <v>725</v>
      </c>
      <c r="I57" s="176" t="s">
        <v>726</v>
      </c>
      <c r="J57" s="177" t="s">
        <v>727</v>
      </c>
      <c r="K57" s="47" t="s">
        <v>72</v>
      </c>
      <c r="L57" s="48" t="s">
        <v>71</v>
      </c>
      <c r="M57" s="48" t="s">
        <v>71</v>
      </c>
      <c r="N57" s="47" t="s">
        <v>72</v>
      </c>
      <c r="O57" s="48" t="s">
        <v>71</v>
      </c>
      <c r="P57" s="48" t="s">
        <v>71</v>
      </c>
      <c r="Q57" s="47" t="s">
        <v>72</v>
      </c>
      <c r="R57" s="48" t="s">
        <v>71</v>
      </c>
      <c r="S57" s="178" t="s">
        <v>71</v>
      </c>
      <c r="T57" s="260"/>
      <c r="U57" s="49"/>
      <c r="V57" s="253"/>
      <c r="W57" s="262"/>
      <c r="X57" s="179"/>
    </row>
    <row r="58" spans="2:24" ht="92.45">
      <c r="B58" s="184"/>
      <c r="C58" s="183"/>
      <c r="D58" s="187"/>
      <c r="E58" s="188">
        <f t="shared" si="0"/>
        <v>55</v>
      </c>
      <c r="F58" s="174"/>
      <c r="G58" s="175"/>
      <c r="H58" s="175" t="s">
        <v>725</v>
      </c>
      <c r="I58" s="176" t="s">
        <v>728</v>
      </c>
      <c r="J58" s="258" t="s">
        <v>729</v>
      </c>
      <c r="K58" s="47" t="s">
        <v>72</v>
      </c>
      <c r="L58" s="48" t="s">
        <v>71</v>
      </c>
      <c r="M58" s="48" t="s">
        <v>71</v>
      </c>
      <c r="N58" s="47" t="s">
        <v>72</v>
      </c>
      <c r="O58" s="48" t="s">
        <v>71</v>
      </c>
      <c r="P58" s="48" t="s">
        <v>71</v>
      </c>
      <c r="Q58" s="47" t="s">
        <v>72</v>
      </c>
      <c r="R58" s="48" t="s">
        <v>71</v>
      </c>
      <c r="S58" s="178" t="s">
        <v>71</v>
      </c>
      <c r="T58" s="260"/>
      <c r="U58" s="49"/>
      <c r="V58" s="253"/>
      <c r="W58" s="262"/>
      <c r="X58" s="179"/>
    </row>
    <row r="59" spans="2:24" ht="52.9">
      <c r="B59" s="184"/>
      <c r="C59" s="183"/>
      <c r="D59" s="187"/>
      <c r="E59" s="188">
        <f t="shared" si="0"/>
        <v>56</v>
      </c>
      <c r="F59" s="174"/>
      <c r="G59" s="175"/>
      <c r="H59" s="175" t="s">
        <v>723</v>
      </c>
      <c r="I59" s="176" t="s">
        <v>749</v>
      </c>
      <c r="J59" s="177" t="s">
        <v>750</v>
      </c>
      <c r="K59" s="47" t="s">
        <v>72</v>
      </c>
      <c r="L59" s="48" t="s">
        <v>71</v>
      </c>
      <c r="M59" s="48" t="s">
        <v>71</v>
      </c>
      <c r="N59" s="47" t="s">
        <v>72</v>
      </c>
      <c r="O59" s="48" t="s">
        <v>71</v>
      </c>
      <c r="P59" s="48" t="s">
        <v>71</v>
      </c>
      <c r="Q59" s="47" t="s">
        <v>72</v>
      </c>
      <c r="R59" s="48" t="s">
        <v>71</v>
      </c>
      <c r="S59" s="178" t="s">
        <v>71</v>
      </c>
      <c r="T59" s="260"/>
      <c r="U59" s="49"/>
      <c r="V59" s="253"/>
      <c r="W59" s="180"/>
      <c r="X59" s="179"/>
    </row>
    <row r="60" spans="2:24" ht="52.9">
      <c r="B60" s="184"/>
      <c r="C60" s="183"/>
      <c r="D60" s="187"/>
      <c r="E60" s="188">
        <f t="shared" si="0"/>
        <v>57</v>
      </c>
      <c r="F60" s="174"/>
      <c r="G60" s="175"/>
      <c r="H60" s="175" t="s">
        <v>723</v>
      </c>
      <c r="I60" s="176"/>
      <c r="J60" s="177" t="s">
        <v>770</v>
      </c>
      <c r="K60" s="47" t="s">
        <v>72</v>
      </c>
      <c r="L60" s="48" t="s">
        <v>71</v>
      </c>
      <c r="M60" s="48" t="s">
        <v>71</v>
      </c>
      <c r="N60" s="47" t="s">
        <v>72</v>
      </c>
      <c r="O60" s="48" t="s">
        <v>71</v>
      </c>
      <c r="P60" s="48" t="s">
        <v>71</v>
      </c>
      <c r="Q60" s="47" t="s">
        <v>72</v>
      </c>
      <c r="R60" s="48" t="s">
        <v>71</v>
      </c>
      <c r="S60" s="178" t="s">
        <v>71</v>
      </c>
      <c r="T60" s="260"/>
      <c r="U60" s="49"/>
      <c r="V60" s="253"/>
      <c r="W60" s="180"/>
      <c r="X60" s="179"/>
    </row>
    <row r="61" spans="2:24" ht="92.45">
      <c r="B61" s="184"/>
      <c r="C61" s="183"/>
      <c r="D61" s="187"/>
      <c r="E61" s="188">
        <f t="shared" si="0"/>
        <v>58</v>
      </c>
      <c r="F61" s="174"/>
      <c r="G61" s="175"/>
      <c r="H61" s="175" t="s">
        <v>723</v>
      </c>
      <c r="I61" s="176" t="s">
        <v>771</v>
      </c>
      <c r="J61" s="177" t="s">
        <v>747</v>
      </c>
      <c r="K61" s="47" t="s">
        <v>72</v>
      </c>
      <c r="L61" s="48" t="s">
        <v>71</v>
      </c>
      <c r="M61" s="48" t="s">
        <v>71</v>
      </c>
      <c r="N61" s="47" t="s">
        <v>72</v>
      </c>
      <c r="O61" s="48" t="s">
        <v>71</v>
      </c>
      <c r="P61" s="48" t="s">
        <v>71</v>
      </c>
      <c r="Q61" s="47" t="s">
        <v>72</v>
      </c>
      <c r="R61" s="48" t="s">
        <v>71</v>
      </c>
      <c r="S61" s="178" t="s">
        <v>71</v>
      </c>
      <c r="T61" s="260"/>
      <c r="U61" s="49"/>
      <c r="V61" s="253"/>
      <c r="W61" s="180"/>
      <c r="X61" s="179"/>
    </row>
    <row r="62" spans="2:24" ht="66">
      <c r="B62" s="184"/>
      <c r="C62" s="183"/>
      <c r="D62" s="187"/>
      <c r="E62" s="188">
        <f t="shared" si="0"/>
        <v>59</v>
      </c>
      <c r="F62" s="174"/>
      <c r="G62" s="175"/>
      <c r="H62" s="175" t="s">
        <v>725</v>
      </c>
      <c r="I62" s="176" t="s">
        <v>760</v>
      </c>
      <c r="J62" s="177" t="s">
        <v>735</v>
      </c>
      <c r="K62" s="47" t="s">
        <v>72</v>
      </c>
      <c r="L62" s="48" t="s">
        <v>71</v>
      </c>
      <c r="M62" s="48" t="s">
        <v>71</v>
      </c>
      <c r="N62" s="47" t="s">
        <v>72</v>
      </c>
      <c r="O62" s="47" t="s">
        <v>72</v>
      </c>
      <c r="P62" s="47" t="s">
        <v>72</v>
      </c>
      <c r="Q62" s="47" t="s">
        <v>72</v>
      </c>
      <c r="R62" s="48" t="s">
        <v>71</v>
      </c>
      <c r="S62" s="178" t="s">
        <v>71</v>
      </c>
      <c r="T62" s="260"/>
      <c r="U62" s="49"/>
      <c r="V62" s="253"/>
      <c r="W62" s="180"/>
      <c r="X62" s="179"/>
    </row>
    <row r="63" spans="2:24" ht="79.150000000000006">
      <c r="B63" s="189" t="s">
        <v>772</v>
      </c>
      <c r="C63" s="190" t="s">
        <v>719</v>
      </c>
      <c r="D63" s="190" t="s">
        <v>720</v>
      </c>
      <c r="E63" s="254">
        <f>ROW()-3</f>
        <v>60</v>
      </c>
      <c r="F63" s="255" t="s">
        <v>773</v>
      </c>
      <c r="G63" s="256" t="s">
        <v>722</v>
      </c>
      <c r="H63" s="256" t="s">
        <v>723</v>
      </c>
      <c r="I63" s="257"/>
      <c r="J63" s="258" t="s">
        <v>757</v>
      </c>
      <c r="K63" s="47" t="s">
        <v>72</v>
      </c>
      <c r="L63" s="48" t="s">
        <v>71</v>
      </c>
      <c r="M63" s="48" t="s">
        <v>71</v>
      </c>
      <c r="N63" s="47" t="s">
        <v>72</v>
      </c>
      <c r="O63" s="48" t="s">
        <v>71</v>
      </c>
      <c r="P63" s="48" t="s">
        <v>71</v>
      </c>
      <c r="Q63" s="47" t="s">
        <v>72</v>
      </c>
      <c r="R63" s="58" t="s">
        <v>71</v>
      </c>
      <c r="S63" s="259" t="s">
        <v>71</v>
      </c>
      <c r="T63" s="260"/>
      <c r="U63" s="49"/>
      <c r="V63" s="253"/>
      <c r="W63" s="180"/>
      <c r="X63" s="263"/>
    </row>
    <row r="64" spans="2:24" ht="79.150000000000006">
      <c r="B64" s="184"/>
      <c r="C64" s="183"/>
      <c r="D64" s="187"/>
      <c r="E64" s="188">
        <f t="shared" si="0"/>
        <v>61</v>
      </c>
      <c r="F64" s="174"/>
      <c r="G64" s="175"/>
      <c r="H64" s="175" t="s">
        <v>725</v>
      </c>
      <c r="I64" s="176" t="s">
        <v>726</v>
      </c>
      <c r="J64" s="177" t="s">
        <v>727</v>
      </c>
      <c r="K64" s="47" t="s">
        <v>72</v>
      </c>
      <c r="L64" s="48" t="s">
        <v>71</v>
      </c>
      <c r="M64" s="48" t="s">
        <v>71</v>
      </c>
      <c r="N64" s="47" t="s">
        <v>72</v>
      </c>
      <c r="O64" s="48" t="s">
        <v>71</v>
      </c>
      <c r="P64" s="48" t="s">
        <v>71</v>
      </c>
      <c r="Q64" s="47" t="s">
        <v>72</v>
      </c>
      <c r="R64" s="48" t="s">
        <v>71</v>
      </c>
      <c r="S64" s="178" t="s">
        <v>71</v>
      </c>
      <c r="T64" s="260"/>
      <c r="U64" s="49"/>
      <c r="V64" s="253"/>
      <c r="W64" s="180"/>
      <c r="X64" s="179"/>
    </row>
    <row r="65" spans="2:24" ht="79.150000000000006">
      <c r="B65" s="184"/>
      <c r="C65" s="183"/>
      <c r="D65" s="187"/>
      <c r="E65" s="188">
        <f t="shared" si="0"/>
        <v>62</v>
      </c>
      <c r="F65" s="174"/>
      <c r="G65" s="175"/>
      <c r="H65" s="175" t="s">
        <v>725</v>
      </c>
      <c r="I65" s="176" t="s">
        <v>728</v>
      </c>
      <c r="J65" s="258" t="s">
        <v>757</v>
      </c>
      <c r="K65" s="47" t="s">
        <v>72</v>
      </c>
      <c r="L65" s="48" t="s">
        <v>71</v>
      </c>
      <c r="M65" s="48" t="s">
        <v>71</v>
      </c>
      <c r="N65" s="47" t="s">
        <v>72</v>
      </c>
      <c r="O65" s="48" t="s">
        <v>71</v>
      </c>
      <c r="P65" s="48" t="s">
        <v>71</v>
      </c>
      <c r="Q65" s="47" t="s">
        <v>72</v>
      </c>
      <c r="R65" s="48" t="s">
        <v>71</v>
      </c>
      <c r="S65" s="178" t="s">
        <v>71</v>
      </c>
      <c r="T65" s="260"/>
      <c r="U65" s="49"/>
      <c r="V65" s="253"/>
      <c r="W65" s="180"/>
      <c r="X65" s="179"/>
    </row>
    <row r="66" spans="2:24" ht="52.9">
      <c r="B66" s="184"/>
      <c r="C66" s="183"/>
      <c r="D66" s="187"/>
      <c r="E66" s="188">
        <f t="shared" si="0"/>
        <v>63</v>
      </c>
      <c r="F66" s="174"/>
      <c r="G66" s="175"/>
      <c r="H66" s="175" t="s">
        <v>723</v>
      </c>
      <c r="I66" s="176" t="s">
        <v>774</v>
      </c>
      <c r="J66" s="177" t="s">
        <v>731</v>
      </c>
      <c r="K66" s="47" t="s">
        <v>72</v>
      </c>
      <c r="L66" s="48" t="s">
        <v>71</v>
      </c>
      <c r="M66" s="48" t="s">
        <v>71</v>
      </c>
      <c r="N66" s="47" t="s">
        <v>72</v>
      </c>
      <c r="O66" s="48" t="s">
        <v>71</v>
      </c>
      <c r="P66" s="48" t="s">
        <v>71</v>
      </c>
      <c r="Q66" s="47" t="s">
        <v>72</v>
      </c>
      <c r="R66" s="48" t="s">
        <v>71</v>
      </c>
      <c r="S66" s="178" t="s">
        <v>71</v>
      </c>
      <c r="T66" s="260"/>
      <c r="U66" s="49"/>
      <c r="V66" s="253"/>
      <c r="W66" s="180"/>
      <c r="X66" s="179"/>
    </row>
    <row r="67" spans="2:24" ht="92.45">
      <c r="B67" s="184"/>
      <c r="C67" s="183"/>
      <c r="D67" s="187"/>
      <c r="E67" s="188">
        <f t="shared" si="0"/>
        <v>64</v>
      </c>
      <c r="F67" s="174"/>
      <c r="G67" s="175"/>
      <c r="H67" s="175" t="s">
        <v>723</v>
      </c>
      <c r="I67" s="176" t="s">
        <v>732</v>
      </c>
      <c r="J67" s="177" t="s">
        <v>747</v>
      </c>
      <c r="K67" s="47" t="s">
        <v>72</v>
      </c>
      <c r="L67" s="48" t="s">
        <v>71</v>
      </c>
      <c r="M67" s="48" t="s">
        <v>71</v>
      </c>
      <c r="N67" s="47" t="s">
        <v>72</v>
      </c>
      <c r="O67" s="48" t="s">
        <v>71</v>
      </c>
      <c r="P67" s="48" t="s">
        <v>71</v>
      </c>
      <c r="Q67" s="47" t="s">
        <v>72</v>
      </c>
      <c r="R67" s="48" t="s">
        <v>71</v>
      </c>
      <c r="S67" s="178" t="s">
        <v>71</v>
      </c>
      <c r="T67" s="260"/>
      <c r="U67" s="49"/>
      <c r="V67" s="253"/>
      <c r="W67" s="180"/>
      <c r="X67" s="179"/>
    </row>
    <row r="68" spans="2:24" ht="66">
      <c r="B68" s="184"/>
      <c r="C68" s="183"/>
      <c r="D68" s="187"/>
      <c r="E68" s="188">
        <f t="shared" si="0"/>
        <v>65</v>
      </c>
      <c r="F68" s="174"/>
      <c r="G68" s="175"/>
      <c r="H68" s="175" t="s">
        <v>725</v>
      </c>
      <c r="I68" s="176" t="s">
        <v>734</v>
      </c>
      <c r="J68" s="177" t="s">
        <v>735</v>
      </c>
      <c r="K68" s="47" t="s">
        <v>72</v>
      </c>
      <c r="L68" s="48" t="s">
        <v>71</v>
      </c>
      <c r="M68" s="48" t="s">
        <v>71</v>
      </c>
      <c r="N68" s="47" t="s">
        <v>72</v>
      </c>
      <c r="O68" s="47" t="s">
        <v>72</v>
      </c>
      <c r="P68" s="47" t="s">
        <v>72</v>
      </c>
      <c r="Q68" s="47" t="s">
        <v>72</v>
      </c>
      <c r="R68" s="48" t="s">
        <v>71</v>
      </c>
      <c r="S68" s="178" t="s">
        <v>71</v>
      </c>
      <c r="T68" s="260"/>
      <c r="U68" s="49"/>
      <c r="V68" s="253"/>
      <c r="W68" s="180"/>
      <c r="X68" s="179"/>
    </row>
    <row r="69" spans="2:24" ht="66">
      <c r="B69" s="184"/>
      <c r="C69" s="183"/>
      <c r="D69" s="187"/>
      <c r="E69" s="188">
        <f t="shared" si="0"/>
        <v>66</v>
      </c>
      <c r="F69" s="174"/>
      <c r="G69" s="175"/>
      <c r="H69" s="175" t="s">
        <v>725</v>
      </c>
      <c r="I69" s="176" t="s">
        <v>736</v>
      </c>
      <c r="J69" s="177" t="s">
        <v>737</v>
      </c>
      <c r="K69" s="47" t="s">
        <v>72</v>
      </c>
      <c r="L69" s="48" t="s">
        <v>71</v>
      </c>
      <c r="M69" s="48" t="s">
        <v>71</v>
      </c>
      <c r="N69" s="47" t="s">
        <v>72</v>
      </c>
      <c r="O69" s="47" t="s">
        <v>72</v>
      </c>
      <c r="P69" s="47" t="s">
        <v>72</v>
      </c>
      <c r="Q69" s="47" t="s">
        <v>72</v>
      </c>
      <c r="R69" s="48" t="s">
        <v>71</v>
      </c>
      <c r="S69" s="178" t="s">
        <v>71</v>
      </c>
      <c r="T69" s="260"/>
      <c r="U69" s="49"/>
      <c r="V69" s="253"/>
      <c r="W69" s="180"/>
      <c r="X69" s="179"/>
    </row>
    <row r="70" spans="2:24" ht="52.9">
      <c r="B70" s="184"/>
      <c r="C70" s="183"/>
      <c r="D70" s="187"/>
      <c r="E70" s="188">
        <f t="shared" si="0"/>
        <v>67</v>
      </c>
      <c r="F70" s="174"/>
      <c r="G70" s="175"/>
      <c r="H70" s="175" t="s">
        <v>723</v>
      </c>
      <c r="I70" s="176" t="s">
        <v>738</v>
      </c>
      <c r="J70" s="177" t="s">
        <v>739</v>
      </c>
      <c r="K70" s="47" t="s">
        <v>72</v>
      </c>
      <c r="L70" s="48" t="s">
        <v>71</v>
      </c>
      <c r="M70" s="48" t="s">
        <v>71</v>
      </c>
      <c r="N70" s="47" t="s">
        <v>72</v>
      </c>
      <c r="O70" s="48" t="s">
        <v>71</v>
      </c>
      <c r="P70" s="48" t="s">
        <v>71</v>
      </c>
      <c r="Q70" s="47" t="s">
        <v>72</v>
      </c>
      <c r="R70" s="48" t="s">
        <v>71</v>
      </c>
      <c r="S70" s="178" t="s">
        <v>71</v>
      </c>
      <c r="T70" s="260"/>
      <c r="U70" s="49"/>
      <c r="V70" s="253"/>
      <c r="W70" s="180"/>
      <c r="X70" s="179"/>
    </row>
    <row r="71" spans="2:24" ht="79.150000000000006">
      <c r="B71" s="184"/>
      <c r="C71" s="183"/>
      <c r="D71" s="190" t="s">
        <v>748</v>
      </c>
      <c r="E71" s="188">
        <f t="shared" si="0"/>
        <v>68</v>
      </c>
      <c r="F71" s="255" t="s">
        <v>773</v>
      </c>
      <c r="G71" s="256" t="s">
        <v>722</v>
      </c>
      <c r="H71" s="256" t="s">
        <v>723</v>
      </c>
      <c r="I71" s="257"/>
      <c r="J71" s="258" t="s">
        <v>757</v>
      </c>
      <c r="K71" s="47" t="s">
        <v>72</v>
      </c>
      <c r="L71" s="48" t="s">
        <v>71</v>
      </c>
      <c r="M71" s="48" t="s">
        <v>71</v>
      </c>
      <c r="N71" s="47" t="s">
        <v>72</v>
      </c>
      <c r="O71" s="48" t="s">
        <v>71</v>
      </c>
      <c r="P71" s="48" t="s">
        <v>71</v>
      </c>
      <c r="Q71" s="47" t="s">
        <v>72</v>
      </c>
      <c r="R71" s="58" t="s">
        <v>71</v>
      </c>
      <c r="S71" s="259" t="s">
        <v>71</v>
      </c>
      <c r="T71" s="260"/>
      <c r="U71" s="49"/>
      <c r="V71" s="253"/>
      <c r="W71" s="180"/>
      <c r="X71" s="179"/>
    </row>
    <row r="72" spans="2:24" ht="79.150000000000006">
      <c r="B72" s="184"/>
      <c r="C72" s="183"/>
      <c r="D72" s="187"/>
      <c r="E72" s="188">
        <f t="shared" si="0"/>
        <v>69</v>
      </c>
      <c r="F72" s="174"/>
      <c r="G72" s="175"/>
      <c r="H72" s="175" t="s">
        <v>725</v>
      </c>
      <c r="I72" s="176" t="s">
        <v>726</v>
      </c>
      <c r="J72" s="177" t="s">
        <v>727</v>
      </c>
      <c r="K72" s="47" t="s">
        <v>72</v>
      </c>
      <c r="L72" s="48" t="s">
        <v>71</v>
      </c>
      <c r="M72" s="48" t="s">
        <v>71</v>
      </c>
      <c r="N72" s="47" t="s">
        <v>72</v>
      </c>
      <c r="O72" s="48" t="s">
        <v>71</v>
      </c>
      <c r="P72" s="48" t="s">
        <v>71</v>
      </c>
      <c r="Q72" s="47" t="s">
        <v>72</v>
      </c>
      <c r="R72" s="48" t="s">
        <v>71</v>
      </c>
      <c r="S72" s="178" t="s">
        <v>71</v>
      </c>
      <c r="T72" s="260"/>
      <c r="U72" s="49"/>
      <c r="V72" s="253"/>
      <c r="W72" s="180"/>
      <c r="X72" s="179"/>
    </row>
    <row r="73" spans="2:24" ht="79.150000000000006">
      <c r="B73" s="184"/>
      <c r="C73" s="183"/>
      <c r="D73" s="187"/>
      <c r="E73" s="188">
        <f t="shared" ref="E73:E76" si="1">ROW()-3</f>
        <v>70</v>
      </c>
      <c r="F73" s="174"/>
      <c r="G73" s="175"/>
      <c r="H73" s="175" t="s">
        <v>725</v>
      </c>
      <c r="I73" s="176" t="s">
        <v>728</v>
      </c>
      <c r="J73" s="258" t="s">
        <v>757</v>
      </c>
      <c r="K73" s="47" t="s">
        <v>72</v>
      </c>
      <c r="L73" s="48" t="s">
        <v>71</v>
      </c>
      <c r="M73" s="48" t="s">
        <v>71</v>
      </c>
      <c r="N73" s="47" t="s">
        <v>72</v>
      </c>
      <c r="O73" s="48" t="s">
        <v>71</v>
      </c>
      <c r="P73" s="48" t="s">
        <v>71</v>
      </c>
      <c r="Q73" s="47" t="s">
        <v>72</v>
      </c>
      <c r="R73" s="48" t="s">
        <v>71</v>
      </c>
      <c r="S73" s="178" t="s">
        <v>71</v>
      </c>
      <c r="T73" s="260"/>
      <c r="U73" s="49"/>
      <c r="V73" s="253"/>
      <c r="W73" s="180"/>
      <c r="X73" s="179"/>
    </row>
    <row r="74" spans="2:24" ht="52.9">
      <c r="B74" s="184"/>
      <c r="C74" s="183"/>
      <c r="D74" s="187"/>
      <c r="E74" s="188">
        <f t="shared" si="1"/>
        <v>71</v>
      </c>
      <c r="F74" s="174"/>
      <c r="G74" s="175"/>
      <c r="H74" s="175" t="s">
        <v>723</v>
      </c>
      <c r="I74" s="176" t="s">
        <v>758</v>
      </c>
      <c r="J74" s="177" t="s">
        <v>750</v>
      </c>
      <c r="K74" s="47" t="s">
        <v>72</v>
      </c>
      <c r="L74" s="48" t="s">
        <v>71</v>
      </c>
      <c r="M74" s="48" t="s">
        <v>71</v>
      </c>
      <c r="N74" s="47" t="s">
        <v>72</v>
      </c>
      <c r="O74" s="48" t="s">
        <v>71</v>
      </c>
      <c r="P74" s="48" t="s">
        <v>71</v>
      </c>
      <c r="Q74" s="47" t="s">
        <v>72</v>
      </c>
      <c r="R74" s="48" t="s">
        <v>71</v>
      </c>
      <c r="S74" s="178" t="s">
        <v>71</v>
      </c>
      <c r="T74" s="260"/>
      <c r="U74" s="49"/>
      <c r="V74" s="253"/>
      <c r="W74" s="180"/>
      <c r="X74" s="179"/>
    </row>
    <row r="75" spans="2:24" ht="92.45">
      <c r="B75" s="184"/>
      <c r="C75" s="183"/>
      <c r="D75" s="187"/>
      <c r="E75" s="188">
        <f t="shared" si="1"/>
        <v>72</v>
      </c>
      <c r="F75" s="174"/>
      <c r="G75" s="175"/>
      <c r="H75" s="175" t="s">
        <v>723</v>
      </c>
      <c r="I75" s="176" t="s">
        <v>771</v>
      </c>
      <c r="J75" s="177" t="s">
        <v>747</v>
      </c>
      <c r="K75" s="47" t="s">
        <v>72</v>
      </c>
      <c r="L75" s="48" t="s">
        <v>71</v>
      </c>
      <c r="M75" s="48" t="s">
        <v>71</v>
      </c>
      <c r="N75" s="47" t="s">
        <v>72</v>
      </c>
      <c r="O75" s="48" t="s">
        <v>71</v>
      </c>
      <c r="P75" s="48" t="s">
        <v>71</v>
      </c>
      <c r="Q75" s="47" t="s">
        <v>72</v>
      </c>
      <c r="R75" s="48" t="s">
        <v>71</v>
      </c>
      <c r="S75" s="178" t="s">
        <v>71</v>
      </c>
      <c r="T75" s="260"/>
      <c r="U75" s="49"/>
      <c r="V75" s="253"/>
      <c r="W75" s="180"/>
      <c r="X75" s="179"/>
    </row>
    <row r="76" spans="2:24" ht="66">
      <c r="B76" s="184"/>
      <c r="C76" s="183"/>
      <c r="D76" s="187"/>
      <c r="E76" s="188">
        <f t="shared" si="1"/>
        <v>73</v>
      </c>
      <c r="F76" s="174"/>
      <c r="G76" s="175"/>
      <c r="H76" s="175" t="s">
        <v>725</v>
      </c>
      <c r="I76" s="176" t="s">
        <v>760</v>
      </c>
      <c r="J76" s="177" t="s">
        <v>735</v>
      </c>
      <c r="K76" s="47" t="s">
        <v>72</v>
      </c>
      <c r="L76" s="48" t="s">
        <v>71</v>
      </c>
      <c r="M76" s="48" t="s">
        <v>71</v>
      </c>
      <c r="N76" s="47" t="s">
        <v>72</v>
      </c>
      <c r="O76" s="47" t="s">
        <v>72</v>
      </c>
      <c r="P76" s="47" t="s">
        <v>72</v>
      </c>
      <c r="Q76" s="47" t="s">
        <v>72</v>
      </c>
      <c r="R76" s="48" t="s">
        <v>71</v>
      </c>
      <c r="S76" s="178" t="s">
        <v>71</v>
      </c>
      <c r="T76" s="260"/>
      <c r="U76" s="49"/>
      <c r="V76" s="253"/>
      <c r="W76" s="180"/>
      <c r="X76" s="179"/>
    </row>
    <row r="77" spans="2:24" ht="79.150000000000006">
      <c r="B77" s="184"/>
      <c r="C77" s="190" t="s">
        <v>761</v>
      </c>
      <c r="D77" s="190" t="s">
        <v>720</v>
      </c>
      <c r="E77" s="254">
        <f>ROW()-3</f>
        <v>74</v>
      </c>
      <c r="F77" s="255" t="s">
        <v>773</v>
      </c>
      <c r="G77" s="256" t="s">
        <v>762</v>
      </c>
      <c r="H77" s="256" t="s">
        <v>723</v>
      </c>
      <c r="I77" s="257"/>
      <c r="J77" s="258" t="s">
        <v>757</v>
      </c>
      <c r="K77" s="47" t="s">
        <v>72</v>
      </c>
      <c r="L77" s="48" t="s">
        <v>71</v>
      </c>
      <c r="M77" s="48" t="s">
        <v>71</v>
      </c>
      <c r="N77" s="47" t="s">
        <v>72</v>
      </c>
      <c r="O77" s="48" t="s">
        <v>71</v>
      </c>
      <c r="P77" s="48" t="s">
        <v>71</v>
      </c>
      <c r="Q77" s="47" t="s">
        <v>72</v>
      </c>
      <c r="R77" s="58" t="s">
        <v>71</v>
      </c>
      <c r="S77" s="259" t="s">
        <v>71</v>
      </c>
      <c r="T77" s="260"/>
      <c r="U77" s="49"/>
      <c r="V77" s="253"/>
      <c r="W77" s="180"/>
      <c r="X77" s="263"/>
    </row>
    <row r="78" spans="2:24" ht="79.150000000000006">
      <c r="B78" s="184"/>
      <c r="C78" s="183"/>
      <c r="D78" s="187"/>
      <c r="E78" s="188">
        <f t="shared" ref="E78:E92" si="2">ROW()-3</f>
        <v>75</v>
      </c>
      <c r="F78" s="174"/>
      <c r="G78" s="175"/>
      <c r="H78" s="175" t="s">
        <v>725</v>
      </c>
      <c r="I78" s="176" t="s">
        <v>726</v>
      </c>
      <c r="J78" s="177" t="s">
        <v>727</v>
      </c>
      <c r="K78" s="47" t="s">
        <v>72</v>
      </c>
      <c r="L78" s="48" t="s">
        <v>71</v>
      </c>
      <c r="M78" s="48" t="s">
        <v>71</v>
      </c>
      <c r="N78" s="47" t="s">
        <v>72</v>
      </c>
      <c r="O78" s="48" t="s">
        <v>71</v>
      </c>
      <c r="P78" s="48" t="s">
        <v>71</v>
      </c>
      <c r="Q78" s="47" t="s">
        <v>72</v>
      </c>
      <c r="R78" s="48" t="s">
        <v>71</v>
      </c>
      <c r="S78" s="178" t="s">
        <v>71</v>
      </c>
      <c r="T78" s="260"/>
      <c r="U78" s="49"/>
      <c r="V78" s="253"/>
      <c r="W78" s="180"/>
      <c r="X78" s="179"/>
    </row>
    <row r="79" spans="2:24" ht="79.150000000000006">
      <c r="B79" s="184"/>
      <c r="C79" s="183"/>
      <c r="D79" s="187"/>
      <c r="E79" s="188">
        <f t="shared" si="2"/>
        <v>76</v>
      </c>
      <c r="F79" s="174"/>
      <c r="G79" s="175"/>
      <c r="H79" s="175" t="s">
        <v>725</v>
      </c>
      <c r="I79" s="176" t="s">
        <v>728</v>
      </c>
      <c r="J79" s="258" t="s">
        <v>757</v>
      </c>
      <c r="K79" s="47" t="s">
        <v>72</v>
      </c>
      <c r="L79" s="48" t="s">
        <v>71</v>
      </c>
      <c r="M79" s="48" t="s">
        <v>71</v>
      </c>
      <c r="N79" s="47" t="s">
        <v>72</v>
      </c>
      <c r="O79" s="48" t="s">
        <v>71</v>
      </c>
      <c r="P79" s="48" t="s">
        <v>71</v>
      </c>
      <c r="Q79" s="47" t="s">
        <v>72</v>
      </c>
      <c r="R79" s="48" t="s">
        <v>71</v>
      </c>
      <c r="S79" s="178" t="s">
        <v>71</v>
      </c>
      <c r="T79" s="260"/>
      <c r="U79" s="49"/>
      <c r="V79" s="253"/>
      <c r="W79" s="180"/>
      <c r="X79" s="179"/>
    </row>
    <row r="80" spans="2:24" ht="52.9">
      <c r="B80" s="184"/>
      <c r="C80" s="183"/>
      <c r="D80" s="187"/>
      <c r="E80" s="188">
        <f t="shared" si="2"/>
        <v>77</v>
      </c>
      <c r="F80" s="174"/>
      <c r="G80" s="175"/>
      <c r="H80" s="175" t="s">
        <v>723</v>
      </c>
      <c r="I80" s="176" t="s">
        <v>774</v>
      </c>
      <c r="J80" s="177" t="s">
        <v>731</v>
      </c>
      <c r="K80" s="47" t="s">
        <v>72</v>
      </c>
      <c r="L80" s="48" t="s">
        <v>71</v>
      </c>
      <c r="M80" s="48" t="s">
        <v>71</v>
      </c>
      <c r="N80" s="47" t="s">
        <v>72</v>
      </c>
      <c r="O80" s="48" t="s">
        <v>71</v>
      </c>
      <c r="P80" s="48" t="s">
        <v>71</v>
      </c>
      <c r="Q80" s="47" t="s">
        <v>72</v>
      </c>
      <c r="R80" s="48" t="s">
        <v>71</v>
      </c>
      <c r="S80" s="178" t="s">
        <v>71</v>
      </c>
      <c r="T80" s="260"/>
      <c r="U80" s="49"/>
      <c r="V80" s="253"/>
      <c r="W80" s="180"/>
      <c r="X80" s="179"/>
    </row>
    <row r="81" spans="2:24" ht="52.9">
      <c r="B81" s="184"/>
      <c r="C81" s="183"/>
      <c r="D81" s="187"/>
      <c r="E81" s="188">
        <f t="shared" si="2"/>
        <v>78</v>
      </c>
      <c r="F81" s="174"/>
      <c r="G81" s="175"/>
      <c r="H81" s="175" t="s">
        <v>723</v>
      </c>
      <c r="I81" s="176"/>
      <c r="J81" s="177" t="s">
        <v>764</v>
      </c>
      <c r="K81" s="47" t="s">
        <v>72</v>
      </c>
      <c r="L81" s="48" t="s">
        <v>71</v>
      </c>
      <c r="M81" s="48" t="s">
        <v>71</v>
      </c>
      <c r="N81" s="47" t="s">
        <v>72</v>
      </c>
      <c r="O81" s="48" t="s">
        <v>71</v>
      </c>
      <c r="P81" s="48" t="s">
        <v>71</v>
      </c>
      <c r="Q81" s="47" t="s">
        <v>72</v>
      </c>
      <c r="R81" s="48" t="s">
        <v>71</v>
      </c>
      <c r="S81" s="178" t="s">
        <v>71</v>
      </c>
      <c r="T81" s="260"/>
      <c r="U81" s="49"/>
      <c r="V81" s="253"/>
      <c r="W81" s="180"/>
      <c r="X81" s="179"/>
    </row>
    <row r="82" spans="2:24" ht="92.45">
      <c r="B82" s="184"/>
      <c r="C82" s="183"/>
      <c r="D82" s="187"/>
      <c r="E82" s="188">
        <f t="shared" si="2"/>
        <v>79</v>
      </c>
      <c r="F82" s="174"/>
      <c r="G82" s="175"/>
      <c r="H82" s="175" t="s">
        <v>723</v>
      </c>
      <c r="I82" s="176" t="s">
        <v>732</v>
      </c>
      <c r="J82" s="177" t="s">
        <v>747</v>
      </c>
      <c r="K82" s="47" t="s">
        <v>72</v>
      </c>
      <c r="L82" s="48" t="s">
        <v>71</v>
      </c>
      <c r="M82" s="48" t="s">
        <v>71</v>
      </c>
      <c r="N82" s="47" t="s">
        <v>72</v>
      </c>
      <c r="O82" s="48" t="s">
        <v>71</v>
      </c>
      <c r="P82" s="48" t="s">
        <v>71</v>
      </c>
      <c r="Q82" s="47" t="s">
        <v>72</v>
      </c>
      <c r="R82" s="48" t="s">
        <v>71</v>
      </c>
      <c r="S82" s="178" t="s">
        <v>71</v>
      </c>
      <c r="T82" s="260"/>
      <c r="U82" s="49"/>
      <c r="V82" s="253"/>
      <c r="W82" s="180"/>
      <c r="X82" s="179"/>
    </row>
    <row r="83" spans="2:24" ht="66">
      <c r="B83" s="184"/>
      <c r="C83" s="183"/>
      <c r="D83" s="187"/>
      <c r="E83" s="188">
        <f t="shared" si="2"/>
        <v>80</v>
      </c>
      <c r="F83" s="174"/>
      <c r="G83" s="175"/>
      <c r="H83" s="175" t="s">
        <v>725</v>
      </c>
      <c r="I83" s="176" t="s">
        <v>734</v>
      </c>
      <c r="J83" s="177" t="s">
        <v>735</v>
      </c>
      <c r="K83" s="47" t="s">
        <v>72</v>
      </c>
      <c r="L83" s="48" t="s">
        <v>71</v>
      </c>
      <c r="M83" s="48" t="s">
        <v>71</v>
      </c>
      <c r="N83" s="47" t="s">
        <v>72</v>
      </c>
      <c r="O83" s="47" t="s">
        <v>72</v>
      </c>
      <c r="P83" s="47" t="s">
        <v>72</v>
      </c>
      <c r="Q83" s="47" t="s">
        <v>72</v>
      </c>
      <c r="R83" s="48" t="s">
        <v>71</v>
      </c>
      <c r="S83" s="178" t="s">
        <v>71</v>
      </c>
      <c r="T83" s="260"/>
      <c r="U83" s="49"/>
      <c r="V83" s="253"/>
      <c r="W83" s="180"/>
      <c r="X83" s="179"/>
    </row>
    <row r="84" spans="2:24" ht="66">
      <c r="B84" s="184"/>
      <c r="C84" s="183"/>
      <c r="D84" s="187"/>
      <c r="E84" s="188">
        <f t="shared" si="2"/>
        <v>81</v>
      </c>
      <c r="F84" s="174"/>
      <c r="G84" s="175"/>
      <c r="H84" s="175" t="s">
        <v>725</v>
      </c>
      <c r="I84" s="176" t="s">
        <v>736</v>
      </c>
      <c r="J84" s="177" t="s">
        <v>737</v>
      </c>
      <c r="K84" s="47" t="s">
        <v>72</v>
      </c>
      <c r="L84" s="48" t="s">
        <v>71</v>
      </c>
      <c r="M84" s="48" t="s">
        <v>71</v>
      </c>
      <c r="N84" s="47" t="s">
        <v>72</v>
      </c>
      <c r="O84" s="47" t="s">
        <v>72</v>
      </c>
      <c r="P84" s="47" t="s">
        <v>72</v>
      </c>
      <c r="Q84" s="47" t="s">
        <v>72</v>
      </c>
      <c r="R84" s="48" t="s">
        <v>71</v>
      </c>
      <c r="S84" s="178" t="s">
        <v>71</v>
      </c>
      <c r="T84" s="260"/>
      <c r="U84" s="49"/>
      <c r="V84" s="253"/>
      <c r="W84" s="180"/>
      <c r="X84" s="179"/>
    </row>
    <row r="85" spans="2:24" ht="52.9">
      <c r="B85" s="184"/>
      <c r="C85" s="183"/>
      <c r="D85" s="187"/>
      <c r="E85" s="188">
        <f t="shared" si="2"/>
        <v>82</v>
      </c>
      <c r="F85" s="174"/>
      <c r="G85" s="175"/>
      <c r="H85" s="175" t="s">
        <v>723</v>
      </c>
      <c r="I85" s="176" t="s">
        <v>738</v>
      </c>
      <c r="J85" s="177" t="s">
        <v>739</v>
      </c>
      <c r="K85" s="47" t="s">
        <v>72</v>
      </c>
      <c r="L85" s="48" t="s">
        <v>71</v>
      </c>
      <c r="M85" s="48" t="s">
        <v>71</v>
      </c>
      <c r="N85" s="47" t="s">
        <v>72</v>
      </c>
      <c r="O85" s="48" t="s">
        <v>71</v>
      </c>
      <c r="P85" s="48" t="s">
        <v>71</v>
      </c>
      <c r="Q85" s="47" t="s">
        <v>72</v>
      </c>
      <c r="R85" s="48" t="s">
        <v>71</v>
      </c>
      <c r="S85" s="178" t="s">
        <v>71</v>
      </c>
      <c r="T85" s="260"/>
      <c r="U85" s="49"/>
      <c r="V85" s="253"/>
      <c r="W85" s="180"/>
      <c r="X85" s="179"/>
    </row>
    <row r="86" spans="2:24" ht="79.150000000000006">
      <c r="B86" s="184"/>
      <c r="C86" s="183"/>
      <c r="D86" s="190" t="s">
        <v>748</v>
      </c>
      <c r="E86" s="188">
        <f t="shared" si="2"/>
        <v>83</v>
      </c>
      <c r="F86" s="255" t="s">
        <v>773</v>
      </c>
      <c r="G86" s="256" t="s">
        <v>769</v>
      </c>
      <c r="H86" s="256" t="s">
        <v>723</v>
      </c>
      <c r="I86" s="257"/>
      <c r="J86" s="258" t="s">
        <v>757</v>
      </c>
      <c r="K86" s="47" t="s">
        <v>72</v>
      </c>
      <c r="L86" s="48" t="s">
        <v>71</v>
      </c>
      <c r="M86" s="48" t="s">
        <v>71</v>
      </c>
      <c r="N86" s="47" t="s">
        <v>72</v>
      </c>
      <c r="O86" s="48" t="s">
        <v>71</v>
      </c>
      <c r="P86" s="48" t="s">
        <v>71</v>
      </c>
      <c r="Q86" s="47" t="s">
        <v>72</v>
      </c>
      <c r="R86" s="58" t="s">
        <v>71</v>
      </c>
      <c r="S86" s="259" t="s">
        <v>71</v>
      </c>
      <c r="T86" s="260"/>
      <c r="U86" s="49"/>
      <c r="V86" s="253"/>
      <c r="W86" s="180"/>
      <c r="X86" s="179"/>
    </row>
    <row r="87" spans="2:24" ht="79.150000000000006">
      <c r="B87" s="184"/>
      <c r="C87" s="183"/>
      <c r="D87" s="187"/>
      <c r="E87" s="188">
        <f t="shared" si="2"/>
        <v>84</v>
      </c>
      <c r="F87" s="174"/>
      <c r="G87" s="175"/>
      <c r="H87" s="175" t="s">
        <v>725</v>
      </c>
      <c r="I87" s="176" t="s">
        <v>726</v>
      </c>
      <c r="J87" s="177" t="s">
        <v>727</v>
      </c>
      <c r="K87" s="47" t="s">
        <v>72</v>
      </c>
      <c r="L87" s="48" t="s">
        <v>71</v>
      </c>
      <c r="M87" s="48" t="s">
        <v>71</v>
      </c>
      <c r="N87" s="47" t="s">
        <v>72</v>
      </c>
      <c r="O87" s="48" t="s">
        <v>71</v>
      </c>
      <c r="P87" s="48" t="s">
        <v>71</v>
      </c>
      <c r="Q87" s="47" t="s">
        <v>72</v>
      </c>
      <c r="R87" s="48" t="s">
        <v>71</v>
      </c>
      <c r="S87" s="178" t="s">
        <v>71</v>
      </c>
      <c r="T87" s="260"/>
      <c r="U87" s="49"/>
      <c r="V87" s="253"/>
      <c r="W87" s="180"/>
      <c r="X87" s="179"/>
    </row>
    <row r="88" spans="2:24" ht="79.150000000000006">
      <c r="B88" s="184"/>
      <c r="C88" s="183"/>
      <c r="D88" s="187"/>
      <c r="E88" s="188">
        <f t="shared" si="2"/>
        <v>85</v>
      </c>
      <c r="F88" s="174"/>
      <c r="G88" s="175"/>
      <c r="H88" s="175" t="s">
        <v>725</v>
      </c>
      <c r="I88" s="176" t="s">
        <v>728</v>
      </c>
      <c r="J88" s="258" t="s">
        <v>757</v>
      </c>
      <c r="K88" s="47" t="s">
        <v>72</v>
      </c>
      <c r="L88" s="48" t="s">
        <v>71</v>
      </c>
      <c r="M88" s="48" t="s">
        <v>71</v>
      </c>
      <c r="N88" s="47" t="s">
        <v>72</v>
      </c>
      <c r="O88" s="48" t="s">
        <v>71</v>
      </c>
      <c r="P88" s="48" t="s">
        <v>71</v>
      </c>
      <c r="Q88" s="47" t="s">
        <v>72</v>
      </c>
      <c r="R88" s="48" t="s">
        <v>71</v>
      </c>
      <c r="S88" s="178" t="s">
        <v>71</v>
      </c>
      <c r="T88" s="260"/>
      <c r="U88" s="49"/>
      <c r="V88" s="253"/>
      <c r="W88" s="180"/>
      <c r="X88" s="179"/>
    </row>
    <row r="89" spans="2:24" ht="52.9">
      <c r="B89" s="184"/>
      <c r="C89" s="183"/>
      <c r="D89" s="187"/>
      <c r="E89" s="188">
        <f t="shared" si="2"/>
        <v>86</v>
      </c>
      <c r="F89" s="336"/>
      <c r="G89" s="175"/>
      <c r="H89" s="175" t="s">
        <v>723</v>
      </c>
      <c r="I89" s="176" t="s">
        <v>758</v>
      </c>
      <c r="J89" s="177" t="s">
        <v>750</v>
      </c>
      <c r="K89" s="47" t="s">
        <v>72</v>
      </c>
      <c r="L89" s="48" t="s">
        <v>71</v>
      </c>
      <c r="M89" s="48" t="s">
        <v>71</v>
      </c>
      <c r="N89" s="47" t="s">
        <v>72</v>
      </c>
      <c r="O89" s="48" t="s">
        <v>71</v>
      </c>
      <c r="P89" s="48" t="s">
        <v>71</v>
      </c>
      <c r="Q89" s="47" t="s">
        <v>72</v>
      </c>
      <c r="R89" s="48" t="s">
        <v>71</v>
      </c>
      <c r="S89" s="178" t="s">
        <v>71</v>
      </c>
      <c r="T89" s="260"/>
      <c r="U89" s="49"/>
      <c r="V89" s="253"/>
      <c r="W89" s="180"/>
      <c r="X89" s="179"/>
    </row>
    <row r="90" spans="2:24" ht="52.9">
      <c r="B90" s="184"/>
      <c r="C90" s="183"/>
      <c r="D90" s="187"/>
      <c r="E90" s="188">
        <f t="shared" si="2"/>
        <v>87</v>
      </c>
      <c r="F90" s="174"/>
      <c r="G90" s="175"/>
      <c r="H90" s="175" t="s">
        <v>723</v>
      </c>
      <c r="I90" s="176"/>
      <c r="J90" s="177" t="s">
        <v>770</v>
      </c>
      <c r="K90" s="47" t="s">
        <v>72</v>
      </c>
      <c r="L90" s="48" t="s">
        <v>71</v>
      </c>
      <c r="M90" s="48" t="s">
        <v>71</v>
      </c>
      <c r="N90" s="47" t="s">
        <v>72</v>
      </c>
      <c r="O90" s="48" t="s">
        <v>71</v>
      </c>
      <c r="P90" s="48" t="s">
        <v>71</v>
      </c>
      <c r="Q90" s="47" t="s">
        <v>72</v>
      </c>
      <c r="R90" s="48" t="s">
        <v>71</v>
      </c>
      <c r="S90" s="178" t="s">
        <v>71</v>
      </c>
      <c r="T90" s="260"/>
      <c r="U90" s="49"/>
      <c r="V90" s="253"/>
      <c r="W90" s="180"/>
      <c r="X90" s="179"/>
    </row>
    <row r="91" spans="2:24" ht="92.45">
      <c r="B91" s="184"/>
      <c r="C91" s="183"/>
      <c r="D91" s="187"/>
      <c r="E91" s="188">
        <f t="shared" si="2"/>
        <v>88</v>
      </c>
      <c r="F91" s="174"/>
      <c r="G91" s="175"/>
      <c r="H91" s="175" t="s">
        <v>723</v>
      </c>
      <c r="I91" s="176" t="s">
        <v>771</v>
      </c>
      <c r="J91" s="177" t="s">
        <v>747</v>
      </c>
      <c r="K91" s="47" t="s">
        <v>72</v>
      </c>
      <c r="L91" s="48" t="s">
        <v>71</v>
      </c>
      <c r="M91" s="48" t="s">
        <v>71</v>
      </c>
      <c r="N91" s="47" t="s">
        <v>72</v>
      </c>
      <c r="O91" s="48" t="s">
        <v>71</v>
      </c>
      <c r="P91" s="48" t="s">
        <v>71</v>
      </c>
      <c r="Q91" s="47" t="s">
        <v>72</v>
      </c>
      <c r="R91" s="48" t="s">
        <v>71</v>
      </c>
      <c r="S91" s="178" t="s">
        <v>71</v>
      </c>
      <c r="T91" s="260"/>
      <c r="U91" s="49"/>
      <c r="V91" s="253"/>
      <c r="W91" s="180"/>
      <c r="X91" s="179"/>
    </row>
    <row r="92" spans="2:24" ht="66">
      <c r="B92" s="184"/>
      <c r="C92" s="183"/>
      <c r="D92" s="187"/>
      <c r="E92" s="188">
        <f t="shared" si="2"/>
        <v>89</v>
      </c>
      <c r="F92" s="174"/>
      <c r="G92" s="175"/>
      <c r="H92" s="175" t="s">
        <v>725</v>
      </c>
      <c r="I92" s="176" t="s">
        <v>760</v>
      </c>
      <c r="J92" s="177" t="s">
        <v>735</v>
      </c>
      <c r="K92" s="47" t="s">
        <v>72</v>
      </c>
      <c r="L92" s="48" t="s">
        <v>71</v>
      </c>
      <c r="M92" s="48" t="s">
        <v>71</v>
      </c>
      <c r="N92" s="47" t="s">
        <v>72</v>
      </c>
      <c r="O92" s="47" t="s">
        <v>72</v>
      </c>
      <c r="P92" s="47" t="s">
        <v>72</v>
      </c>
      <c r="Q92" s="47" t="s">
        <v>72</v>
      </c>
      <c r="R92" s="48" t="s">
        <v>71</v>
      </c>
      <c r="S92" s="178" t="s">
        <v>71</v>
      </c>
      <c r="T92" s="260"/>
      <c r="U92" s="49"/>
      <c r="V92" s="253"/>
      <c r="W92" s="180"/>
      <c r="X92" s="179"/>
    </row>
    <row r="93" spans="2:24" ht="79.150000000000006">
      <c r="B93" s="189" t="s">
        <v>775</v>
      </c>
      <c r="C93" s="190" t="s">
        <v>719</v>
      </c>
      <c r="D93" s="190" t="s">
        <v>720</v>
      </c>
      <c r="E93" s="254">
        <f>ROW()-3</f>
        <v>90</v>
      </c>
      <c r="F93" s="255" t="s">
        <v>776</v>
      </c>
      <c r="G93" s="256" t="s">
        <v>722</v>
      </c>
      <c r="H93" s="256" t="s">
        <v>723</v>
      </c>
      <c r="I93" s="257"/>
      <c r="J93" s="258" t="s">
        <v>757</v>
      </c>
      <c r="K93" s="47" t="s">
        <v>72</v>
      </c>
      <c r="L93" s="48" t="s">
        <v>71</v>
      </c>
      <c r="M93" s="48" t="s">
        <v>71</v>
      </c>
      <c r="N93" s="47" t="s">
        <v>72</v>
      </c>
      <c r="O93" s="48" t="s">
        <v>71</v>
      </c>
      <c r="P93" s="48" t="s">
        <v>71</v>
      </c>
      <c r="Q93" s="47" t="s">
        <v>72</v>
      </c>
      <c r="R93" s="58" t="s">
        <v>71</v>
      </c>
      <c r="S93" s="259" t="s">
        <v>71</v>
      </c>
      <c r="T93" s="260"/>
      <c r="U93" s="49"/>
      <c r="V93" s="253"/>
      <c r="W93" s="180"/>
      <c r="X93" s="263"/>
    </row>
    <row r="94" spans="2:24" ht="79.150000000000006">
      <c r="B94" s="184"/>
      <c r="C94" s="183"/>
      <c r="D94" s="187"/>
      <c r="E94" s="188">
        <f t="shared" ref="E94:E106" si="3">ROW()-3</f>
        <v>91</v>
      </c>
      <c r="F94" s="174"/>
      <c r="G94" s="175"/>
      <c r="H94" s="175" t="s">
        <v>725</v>
      </c>
      <c r="I94" s="176" t="s">
        <v>726</v>
      </c>
      <c r="J94" s="177" t="s">
        <v>727</v>
      </c>
      <c r="K94" s="47" t="s">
        <v>72</v>
      </c>
      <c r="L94" s="48" t="s">
        <v>71</v>
      </c>
      <c r="M94" s="48" t="s">
        <v>71</v>
      </c>
      <c r="N94" s="47" t="s">
        <v>72</v>
      </c>
      <c r="O94" s="48" t="s">
        <v>71</v>
      </c>
      <c r="P94" s="48" t="s">
        <v>71</v>
      </c>
      <c r="Q94" s="47" t="s">
        <v>72</v>
      </c>
      <c r="R94" s="48" t="s">
        <v>71</v>
      </c>
      <c r="S94" s="178" t="s">
        <v>71</v>
      </c>
      <c r="T94" s="260"/>
      <c r="U94" s="49"/>
      <c r="V94" s="253"/>
      <c r="W94" s="180"/>
      <c r="X94" s="179"/>
    </row>
    <row r="95" spans="2:24" ht="79.150000000000006">
      <c r="B95" s="184"/>
      <c r="C95" s="183"/>
      <c r="D95" s="187"/>
      <c r="E95" s="188">
        <f t="shared" si="3"/>
        <v>92</v>
      </c>
      <c r="F95" s="174"/>
      <c r="G95" s="175"/>
      <c r="H95" s="175" t="s">
        <v>725</v>
      </c>
      <c r="I95" s="176" t="s">
        <v>728</v>
      </c>
      <c r="J95" s="258" t="s">
        <v>757</v>
      </c>
      <c r="K95" s="47" t="s">
        <v>72</v>
      </c>
      <c r="L95" s="48" t="s">
        <v>71</v>
      </c>
      <c r="M95" s="48" t="s">
        <v>71</v>
      </c>
      <c r="N95" s="47" t="s">
        <v>72</v>
      </c>
      <c r="O95" s="48" t="s">
        <v>71</v>
      </c>
      <c r="P95" s="48" t="s">
        <v>71</v>
      </c>
      <c r="Q95" s="47" t="s">
        <v>72</v>
      </c>
      <c r="R95" s="48" t="s">
        <v>71</v>
      </c>
      <c r="S95" s="178" t="s">
        <v>71</v>
      </c>
      <c r="T95" s="260"/>
      <c r="U95" s="49"/>
      <c r="V95" s="253"/>
      <c r="W95" s="180"/>
      <c r="X95" s="179"/>
    </row>
    <row r="96" spans="2:24" ht="52.9">
      <c r="B96" s="184"/>
      <c r="C96" s="183"/>
      <c r="D96" s="187"/>
      <c r="E96" s="188">
        <f t="shared" si="3"/>
        <v>93</v>
      </c>
      <c r="F96" s="174"/>
      <c r="G96" s="175"/>
      <c r="H96" s="175" t="s">
        <v>723</v>
      </c>
      <c r="I96" s="176" t="s">
        <v>774</v>
      </c>
      <c r="J96" s="177" t="s">
        <v>731</v>
      </c>
      <c r="K96" s="47" t="s">
        <v>72</v>
      </c>
      <c r="L96" s="48" t="s">
        <v>71</v>
      </c>
      <c r="M96" s="48" t="s">
        <v>71</v>
      </c>
      <c r="N96" s="47" t="s">
        <v>72</v>
      </c>
      <c r="O96" s="48" t="s">
        <v>71</v>
      </c>
      <c r="P96" s="48" t="s">
        <v>71</v>
      </c>
      <c r="Q96" s="47" t="s">
        <v>72</v>
      </c>
      <c r="R96" s="48" t="s">
        <v>71</v>
      </c>
      <c r="S96" s="178" t="s">
        <v>71</v>
      </c>
      <c r="T96" s="260"/>
      <c r="U96" s="49"/>
      <c r="V96" s="253"/>
      <c r="W96" s="180"/>
      <c r="X96" s="179"/>
    </row>
    <row r="97" spans="2:24" ht="92.45">
      <c r="B97" s="184"/>
      <c r="C97" s="183"/>
      <c r="D97" s="187"/>
      <c r="E97" s="188">
        <f t="shared" si="3"/>
        <v>94</v>
      </c>
      <c r="F97" s="174"/>
      <c r="G97" s="175"/>
      <c r="H97" s="175" t="s">
        <v>723</v>
      </c>
      <c r="I97" s="176" t="s">
        <v>732</v>
      </c>
      <c r="J97" s="177" t="s">
        <v>747</v>
      </c>
      <c r="K97" s="47" t="s">
        <v>72</v>
      </c>
      <c r="L97" s="48" t="s">
        <v>71</v>
      </c>
      <c r="M97" s="48" t="s">
        <v>71</v>
      </c>
      <c r="N97" s="47" t="s">
        <v>72</v>
      </c>
      <c r="O97" s="48" t="s">
        <v>71</v>
      </c>
      <c r="P97" s="48" t="s">
        <v>71</v>
      </c>
      <c r="Q97" s="47" t="s">
        <v>72</v>
      </c>
      <c r="R97" s="48" t="s">
        <v>71</v>
      </c>
      <c r="S97" s="178" t="s">
        <v>71</v>
      </c>
      <c r="T97" s="260"/>
      <c r="U97" s="49"/>
      <c r="V97" s="253"/>
      <c r="W97" s="180"/>
      <c r="X97" s="179"/>
    </row>
    <row r="98" spans="2:24" ht="66">
      <c r="B98" s="184"/>
      <c r="C98" s="183"/>
      <c r="D98" s="187"/>
      <c r="E98" s="188">
        <f t="shared" si="3"/>
        <v>95</v>
      </c>
      <c r="F98" s="174"/>
      <c r="G98" s="175"/>
      <c r="H98" s="175" t="s">
        <v>725</v>
      </c>
      <c r="I98" s="176" t="s">
        <v>734</v>
      </c>
      <c r="J98" s="177" t="s">
        <v>735</v>
      </c>
      <c r="K98" s="47" t="s">
        <v>72</v>
      </c>
      <c r="L98" s="48" t="s">
        <v>71</v>
      </c>
      <c r="M98" s="48" t="s">
        <v>71</v>
      </c>
      <c r="N98" s="47" t="s">
        <v>72</v>
      </c>
      <c r="O98" s="47" t="s">
        <v>72</v>
      </c>
      <c r="P98" s="47" t="s">
        <v>72</v>
      </c>
      <c r="Q98" s="47" t="s">
        <v>72</v>
      </c>
      <c r="R98" s="48" t="s">
        <v>71</v>
      </c>
      <c r="S98" s="178" t="s">
        <v>71</v>
      </c>
      <c r="T98" s="260"/>
      <c r="U98" s="49"/>
      <c r="V98" s="253"/>
      <c r="W98" s="180"/>
      <c r="X98" s="179"/>
    </row>
    <row r="99" spans="2:24" ht="66">
      <c r="B99" s="184"/>
      <c r="C99" s="183"/>
      <c r="D99" s="187"/>
      <c r="E99" s="188">
        <f t="shared" si="3"/>
        <v>96</v>
      </c>
      <c r="F99" s="174"/>
      <c r="G99" s="175"/>
      <c r="H99" s="175" t="s">
        <v>725</v>
      </c>
      <c r="I99" s="176" t="s">
        <v>736</v>
      </c>
      <c r="J99" s="177" t="s">
        <v>737</v>
      </c>
      <c r="K99" s="47" t="s">
        <v>72</v>
      </c>
      <c r="L99" s="48" t="s">
        <v>71</v>
      </c>
      <c r="M99" s="48" t="s">
        <v>71</v>
      </c>
      <c r="N99" s="47" t="s">
        <v>72</v>
      </c>
      <c r="O99" s="47" t="s">
        <v>72</v>
      </c>
      <c r="P99" s="47" t="s">
        <v>72</v>
      </c>
      <c r="Q99" s="47" t="s">
        <v>72</v>
      </c>
      <c r="R99" s="48" t="s">
        <v>71</v>
      </c>
      <c r="S99" s="178" t="s">
        <v>71</v>
      </c>
      <c r="T99" s="260"/>
      <c r="U99" s="49"/>
      <c r="V99" s="253"/>
      <c r="W99" s="180"/>
      <c r="X99" s="179"/>
    </row>
    <row r="100" spans="2:24" ht="52.9">
      <c r="B100" s="184"/>
      <c r="C100" s="183"/>
      <c r="D100" s="187"/>
      <c r="E100" s="188">
        <f t="shared" si="3"/>
        <v>97</v>
      </c>
      <c r="F100" s="174"/>
      <c r="G100" s="175"/>
      <c r="H100" s="175" t="s">
        <v>723</v>
      </c>
      <c r="I100" s="176" t="s">
        <v>738</v>
      </c>
      <c r="J100" s="177" t="s">
        <v>739</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150000000000006">
      <c r="B101" s="184"/>
      <c r="C101" s="183"/>
      <c r="D101" s="190" t="s">
        <v>748</v>
      </c>
      <c r="E101" s="188">
        <f t="shared" si="3"/>
        <v>98</v>
      </c>
      <c r="F101" s="255" t="s">
        <v>777</v>
      </c>
      <c r="G101" s="256" t="s">
        <v>722</v>
      </c>
      <c r="H101" s="256" t="s">
        <v>723</v>
      </c>
      <c r="I101" s="257"/>
      <c r="J101" s="258" t="s">
        <v>757</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150000000000006">
      <c r="B102" s="184"/>
      <c r="C102" s="183"/>
      <c r="D102" s="187"/>
      <c r="E102" s="188">
        <f t="shared" si="3"/>
        <v>99</v>
      </c>
      <c r="F102" s="174"/>
      <c r="G102" s="175"/>
      <c r="H102" s="175" t="s">
        <v>725</v>
      </c>
      <c r="I102" s="176" t="s">
        <v>726</v>
      </c>
      <c r="J102" s="177" t="s">
        <v>727</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150000000000006">
      <c r="B103" s="184"/>
      <c r="C103" s="183"/>
      <c r="D103" s="187"/>
      <c r="E103" s="188">
        <f t="shared" si="3"/>
        <v>100</v>
      </c>
      <c r="F103" s="174"/>
      <c r="G103" s="175"/>
      <c r="H103" s="175" t="s">
        <v>725</v>
      </c>
      <c r="I103" s="176" t="s">
        <v>728</v>
      </c>
      <c r="J103" s="258" t="s">
        <v>757</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9">
      <c r="B104" s="184"/>
      <c r="C104" s="183"/>
      <c r="D104" s="187"/>
      <c r="E104" s="188">
        <f t="shared" si="3"/>
        <v>101</v>
      </c>
      <c r="F104" s="174"/>
      <c r="G104" s="175"/>
      <c r="H104" s="175" t="s">
        <v>723</v>
      </c>
      <c r="I104" s="176" t="s">
        <v>758</v>
      </c>
      <c r="J104" s="177" t="s">
        <v>750</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5">
      <c r="B105" s="184"/>
      <c r="C105" s="183"/>
      <c r="D105" s="187"/>
      <c r="E105" s="188">
        <f t="shared" si="3"/>
        <v>102</v>
      </c>
      <c r="F105" s="174"/>
      <c r="G105" s="175"/>
      <c r="H105" s="175" t="s">
        <v>723</v>
      </c>
      <c r="I105" s="176" t="s">
        <v>771</v>
      </c>
      <c r="J105" s="177" t="s">
        <v>747</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c r="B106" s="184"/>
      <c r="C106" s="183"/>
      <c r="D106" s="187"/>
      <c r="E106" s="188">
        <f t="shared" si="3"/>
        <v>103</v>
      </c>
      <c r="F106" s="174"/>
      <c r="G106" s="175"/>
      <c r="H106" s="175" t="s">
        <v>725</v>
      </c>
      <c r="I106" s="176" t="s">
        <v>760</v>
      </c>
      <c r="J106" s="177" t="s">
        <v>735</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150000000000006">
      <c r="B107" s="184"/>
      <c r="C107" s="190" t="s">
        <v>761</v>
      </c>
      <c r="D107" s="190" t="s">
        <v>720</v>
      </c>
      <c r="E107" s="254">
        <f>ROW()-3</f>
        <v>104</v>
      </c>
      <c r="F107" s="255" t="s">
        <v>777</v>
      </c>
      <c r="G107" s="256" t="s">
        <v>762</v>
      </c>
      <c r="H107" s="256" t="s">
        <v>723</v>
      </c>
      <c r="I107" s="257"/>
      <c r="J107" s="258" t="s">
        <v>757</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150000000000006">
      <c r="B108" s="184"/>
      <c r="C108" s="183"/>
      <c r="D108" s="187"/>
      <c r="E108" s="188">
        <f t="shared" ref="E108:E122" si="4">ROW()-3</f>
        <v>105</v>
      </c>
      <c r="F108" s="174"/>
      <c r="G108" s="175"/>
      <c r="H108" s="175" t="s">
        <v>725</v>
      </c>
      <c r="I108" s="176" t="s">
        <v>726</v>
      </c>
      <c r="J108" s="177" t="s">
        <v>727</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150000000000006">
      <c r="B109" s="184"/>
      <c r="C109" s="183"/>
      <c r="D109" s="187"/>
      <c r="E109" s="188">
        <f t="shared" si="4"/>
        <v>106</v>
      </c>
      <c r="F109" s="174"/>
      <c r="G109" s="175"/>
      <c r="H109" s="175" t="s">
        <v>725</v>
      </c>
      <c r="I109" s="176" t="s">
        <v>728</v>
      </c>
      <c r="J109" s="258" t="s">
        <v>757</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9">
      <c r="B110" s="184"/>
      <c r="C110" s="183"/>
      <c r="D110" s="187"/>
      <c r="E110" s="188">
        <f t="shared" si="4"/>
        <v>107</v>
      </c>
      <c r="F110" s="174"/>
      <c r="G110" s="175"/>
      <c r="H110" s="175" t="s">
        <v>723</v>
      </c>
      <c r="I110" s="176" t="s">
        <v>774</v>
      </c>
      <c r="J110" s="177" t="s">
        <v>731</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9">
      <c r="B111" s="184"/>
      <c r="C111" s="183"/>
      <c r="D111" s="187"/>
      <c r="E111" s="188">
        <f t="shared" si="4"/>
        <v>108</v>
      </c>
      <c r="F111" s="174"/>
      <c r="G111" s="175"/>
      <c r="H111" s="175" t="s">
        <v>723</v>
      </c>
      <c r="I111" s="176"/>
      <c r="J111" s="177" t="s">
        <v>764</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5">
      <c r="B112" s="184"/>
      <c r="C112" s="183"/>
      <c r="D112" s="187"/>
      <c r="E112" s="188">
        <f t="shared" si="4"/>
        <v>109</v>
      </c>
      <c r="F112" s="174"/>
      <c r="G112" s="175"/>
      <c r="H112" s="175" t="s">
        <v>723</v>
      </c>
      <c r="I112" s="176" t="s">
        <v>732</v>
      </c>
      <c r="J112" s="177" t="s">
        <v>747</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c r="B113" s="184"/>
      <c r="C113" s="183"/>
      <c r="D113" s="187"/>
      <c r="E113" s="188">
        <f t="shared" si="4"/>
        <v>110</v>
      </c>
      <c r="F113" s="174"/>
      <c r="G113" s="175"/>
      <c r="H113" s="175" t="s">
        <v>725</v>
      </c>
      <c r="I113" s="176" t="s">
        <v>734</v>
      </c>
      <c r="J113" s="177" t="s">
        <v>735</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c r="B114" s="184"/>
      <c r="C114" s="183"/>
      <c r="D114" s="187"/>
      <c r="E114" s="188">
        <f t="shared" si="4"/>
        <v>111</v>
      </c>
      <c r="F114" s="174"/>
      <c r="G114" s="175"/>
      <c r="H114" s="175" t="s">
        <v>725</v>
      </c>
      <c r="I114" s="176" t="s">
        <v>736</v>
      </c>
      <c r="J114" s="177" t="s">
        <v>737</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9">
      <c r="B115" s="184"/>
      <c r="C115" s="183"/>
      <c r="D115" s="187"/>
      <c r="E115" s="188">
        <f t="shared" si="4"/>
        <v>112</v>
      </c>
      <c r="F115" s="174"/>
      <c r="G115" s="175"/>
      <c r="H115" s="175" t="s">
        <v>723</v>
      </c>
      <c r="I115" s="176" t="s">
        <v>738</v>
      </c>
      <c r="J115" s="177" t="s">
        <v>739</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150000000000006">
      <c r="B116" s="184"/>
      <c r="C116" s="183"/>
      <c r="D116" s="190" t="s">
        <v>748</v>
      </c>
      <c r="E116" s="188">
        <f t="shared" si="4"/>
        <v>113</v>
      </c>
      <c r="F116" s="255" t="s">
        <v>777</v>
      </c>
      <c r="G116" s="256" t="s">
        <v>769</v>
      </c>
      <c r="H116" s="256" t="s">
        <v>723</v>
      </c>
      <c r="I116" s="257"/>
      <c r="J116" s="258" t="s">
        <v>757</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150000000000006">
      <c r="B117" s="184"/>
      <c r="C117" s="183"/>
      <c r="D117" s="187"/>
      <c r="E117" s="188">
        <f t="shared" si="4"/>
        <v>114</v>
      </c>
      <c r="F117" s="174"/>
      <c r="G117" s="175"/>
      <c r="H117" s="175" t="s">
        <v>725</v>
      </c>
      <c r="I117" s="176" t="s">
        <v>726</v>
      </c>
      <c r="J117" s="177" t="s">
        <v>727</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150000000000006">
      <c r="B118" s="184"/>
      <c r="C118" s="183"/>
      <c r="D118" s="187"/>
      <c r="E118" s="188">
        <f t="shared" si="4"/>
        <v>115</v>
      </c>
      <c r="F118" s="174"/>
      <c r="G118" s="175"/>
      <c r="H118" s="175" t="s">
        <v>725</v>
      </c>
      <c r="I118" s="176" t="s">
        <v>728</v>
      </c>
      <c r="J118" s="258" t="s">
        <v>757</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9">
      <c r="B119" s="184"/>
      <c r="C119" s="183"/>
      <c r="D119" s="187"/>
      <c r="E119" s="188">
        <f t="shared" si="4"/>
        <v>116</v>
      </c>
      <c r="F119" s="174"/>
      <c r="G119" s="175"/>
      <c r="H119" s="175" t="s">
        <v>723</v>
      </c>
      <c r="I119" s="176" t="s">
        <v>758</v>
      </c>
      <c r="J119" s="177" t="s">
        <v>750</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9">
      <c r="B120" s="184"/>
      <c r="C120" s="183"/>
      <c r="D120" s="187"/>
      <c r="E120" s="188">
        <f t="shared" si="4"/>
        <v>117</v>
      </c>
      <c r="F120" s="174"/>
      <c r="G120" s="175"/>
      <c r="H120" s="175" t="s">
        <v>723</v>
      </c>
      <c r="I120" s="176"/>
      <c r="J120" s="177" t="s">
        <v>770</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5">
      <c r="B121" s="184"/>
      <c r="C121" s="183"/>
      <c r="D121" s="187"/>
      <c r="E121" s="188">
        <f t="shared" si="4"/>
        <v>118</v>
      </c>
      <c r="F121" s="174"/>
      <c r="G121" s="175"/>
      <c r="H121" s="175" t="s">
        <v>723</v>
      </c>
      <c r="I121" s="176" t="s">
        <v>771</v>
      </c>
      <c r="J121" s="177" t="s">
        <v>747</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c r="B122" s="184"/>
      <c r="C122" s="183"/>
      <c r="D122" s="187"/>
      <c r="E122" s="188">
        <f t="shared" si="4"/>
        <v>119</v>
      </c>
      <c r="F122" s="174"/>
      <c r="G122" s="175"/>
      <c r="H122" s="175" t="s">
        <v>725</v>
      </c>
      <c r="I122" s="176" t="s">
        <v>760</v>
      </c>
      <c r="J122" s="177" t="s">
        <v>735</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c r="B123" s="369" t="s">
        <v>718</v>
      </c>
      <c r="C123" s="181" t="s">
        <v>778</v>
      </c>
      <c r="D123" s="181" t="s">
        <v>779</v>
      </c>
      <c r="E123" s="370">
        <f t="shared" ref="E123:E127" si="5">ROW()-3</f>
        <v>120</v>
      </c>
      <c r="F123" s="174" t="s">
        <v>780</v>
      </c>
      <c r="G123" s="175" t="s">
        <v>781</v>
      </c>
      <c r="H123" s="175"/>
      <c r="I123" s="176"/>
      <c r="J123" s="177" t="s">
        <v>782</v>
      </c>
      <c r="K123" s="47" t="s">
        <v>72</v>
      </c>
      <c r="L123" s="48" t="s">
        <v>71</v>
      </c>
      <c r="M123" s="48" t="s">
        <v>71</v>
      </c>
      <c r="N123" s="47" t="s">
        <v>72</v>
      </c>
      <c r="O123" s="47" t="s">
        <v>72</v>
      </c>
      <c r="P123" s="47" t="s">
        <v>72</v>
      </c>
      <c r="Q123" s="341" t="s">
        <v>71</v>
      </c>
      <c r="R123" s="341" t="s">
        <v>71</v>
      </c>
      <c r="S123" s="371" t="s">
        <v>71</v>
      </c>
      <c r="T123" s="372"/>
      <c r="U123" s="342"/>
      <c r="V123" s="373"/>
      <c r="W123" s="374"/>
      <c r="X123" s="375" t="s">
        <v>783</v>
      </c>
      <c r="Y123" s="167"/>
    </row>
    <row r="124" spans="2:25" ht="66">
      <c r="B124" s="182"/>
      <c r="C124" s="181" t="s">
        <v>784</v>
      </c>
      <c r="D124" s="186" t="s">
        <v>785</v>
      </c>
      <c r="E124" s="188">
        <f t="shared" si="5"/>
        <v>121</v>
      </c>
      <c r="F124" s="174" t="s">
        <v>780</v>
      </c>
      <c r="G124" s="175" t="s">
        <v>786</v>
      </c>
      <c r="H124" s="175"/>
      <c r="I124" s="176"/>
      <c r="J124" s="177" t="s">
        <v>782</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c r="B125" s="369" t="s">
        <v>787</v>
      </c>
      <c r="C125" s="181" t="s">
        <v>778</v>
      </c>
      <c r="D125" s="181" t="s">
        <v>779</v>
      </c>
      <c r="E125" s="370">
        <f t="shared" si="5"/>
        <v>122</v>
      </c>
      <c r="F125" s="174" t="s">
        <v>773</v>
      </c>
      <c r="G125" s="175" t="s">
        <v>781</v>
      </c>
      <c r="H125" s="175"/>
      <c r="I125" s="176"/>
      <c r="J125" s="177" t="s">
        <v>782</v>
      </c>
      <c r="K125" s="47" t="s">
        <v>72</v>
      </c>
      <c r="L125" s="48" t="s">
        <v>71</v>
      </c>
      <c r="M125" s="48" t="s">
        <v>71</v>
      </c>
      <c r="N125" s="47" t="s">
        <v>72</v>
      </c>
      <c r="O125" s="47" t="s">
        <v>72</v>
      </c>
      <c r="P125" s="47" t="s">
        <v>72</v>
      </c>
      <c r="Q125" s="341" t="s">
        <v>71</v>
      </c>
      <c r="R125" s="341" t="s">
        <v>71</v>
      </c>
      <c r="S125" s="371" t="s">
        <v>71</v>
      </c>
      <c r="T125" s="372"/>
      <c r="U125" s="342"/>
      <c r="V125" s="373"/>
      <c r="W125" s="374"/>
      <c r="X125" s="375" t="s">
        <v>783</v>
      </c>
      <c r="Y125" s="167"/>
    </row>
    <row r="126" spans="2:25" ht="66">
      <c r="B126" s="182"/>
      <c r="C126" s="181" t="s">
        <v>784</v>
      </c>
      <c r="D126" s="186" t="s">
        <v>785</v>
      </c>
      <c r="E126" s="188">
        <f t="shared" si="5"/>
        <v>123</v>
      </c>
      <c r="F126" s="174" t="s">
        <v>773</v>
      </c>
      <c r="G126" s="175" t="s">
        <v>786</v>
      </c>
      <c r="H126" s="175"/>
      <c r="I126" s="176"/>
      <c r="J126" s="177" t="s">
        <v>782</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c r="B127" s="182" t="s">
        <v>788</v>
      </c>
      <c r="C127" s="181" t="s">
        <v>788</v>
      </c>
      <c r="D127" s="186" t="s">
        <v>788</v>
      </c>
      <c r="E127" s="188">
        <f t="shared" si="5"/>
        <v>124</v>
      </c>
      <c r="F127" s="174" t="s">
        <v>789</v>
      </c>
      <c r="G127" s="175"/>
      <c r="H127" s="175"/>
      <c r="I127" s="176"/>
      <c r="J127" s="177" t="s">
        <v>790</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c r="B128" s="511" t="s">
        <v>301</v>
      </c>
      <c r="C128" s="496"/>
      <c r="D128" s="496">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498" t="s">
        <v>303</v>
      </c>
      <c r="U128" s="498"/>
      <c r="V128" s="498"/>
      <c r="W128" s="161"/>
      <c r="X128" s="162"/>
    </row>
    <row r="129" spans="1:24" ht="21.6" customHeight="1">
      <c r="B129" s="512"/>
      <c r="C129" s="497"/>
      <c r="D129" s="497"/>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499"/>
      <c r="U129" s="499"/>
      <c r="V129" s="499"/>
      <c r="W129" s="71"/>
      <c r="X129" s="105"/>
    </row>
    <row r="130" spans="1:24" ht="21.6" customHeight="1">
      <c r="B130" s="555" t="s">
        <v>305</v>
      </c>
      <c r="C130" s="556"/>
      <c r="D130" s="556">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0">
        <f>COUNTA(T4:T127)</f>
        <v>0</v>
      </c>
      <c r="U130" s="502">
        <f>COUNTA(U4:U127)</f>
        <v>0</v>
      </c>
      <c r="V130" s="504">
        <f>COUNTA(V4:V127)</f>
        <v>0</v>
      </c>
      <c r="W130" s="71"/>
      <c r="X130" s="105"/>
    </row>
    <row r="131" spans="1:24" ht="21.6" customHeight="1" thickBot="1">
      <c r="A131" s="164"/>
      <c r="B131" s="514"/>
      <c r="C131" s="495"/>
      <c r="D131" s="495"/>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1"/>
      <c r="U131" s="503"/>
      <c r="V131" s="505"/>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file>

<file path=customXml/itemProps2.xml><?xml version="1.0" encoding="utf-8"?>
<ds:datastoreItem xmlns:ds="http://schemas.openxmlformats.org/officeDocument/2006/customXml" ds:itemID="{2BD2307C-6D24-411B-9E08-0622EC888910}"/>
</file>

<file path=customXml/itemProps3.xml><?xml version="1.0" encoding="utf-8"?>
<ds:datastoreItem xmlns:ds="http://schemas.openxmlformats.org/officeDocument/2006/customXml" ds:itemID="{11813EC1-AF78-451B-8E1D-E30692695D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kiyohara</cp:lastModifiedBy>
  <cp:revision/>
  <dcterms:created xsi:type="dcterms:W3CDTF">1998-07-21T06:12:02Z</dcterms:created>
  <dcterms:modified xsi:type="dcterms:W3CDTF">2024-12-30T13:20:45Z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