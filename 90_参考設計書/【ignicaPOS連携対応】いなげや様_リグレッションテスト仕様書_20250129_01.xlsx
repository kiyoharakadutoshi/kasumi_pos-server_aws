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741" documentId="13_ncr:1_{46397EEA-9EE9-4AC1-A92D-DB0EEF65A2F4}" xr6:coauthVersionLast="47" xr6:coauthVersionMax="47" xr10:uidLastSave="{02FC53C2-1E08-4DC3-A041-16947D669BA7}"/>
  <bookViews>
    <workbookView xWindow="-108" yWindow="-108" windowWidth="23256" windowHeight="14016" tabRatio="803" firstSheet="3" activeTab="4"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<sst xmlns="http://schemas.openxmlformats.org/spreadsheetml/2006/main" count="10850" uniqueCount="868">
  <si>
    <t>　</t>
  </si>
  <si>
    <t>確認日</t>
  </si>
  <si>
    <t>備考</t>
  </si>
  <si>
    <t>NO</t>
  </si>
  <si>
    <t>確認項目</t>
  </si>
  <si>
    <t>システムテスト仕様書兼完了報告書</t>
  </si>
  <si>
    <t>帳票</t>
    <rPh sb="0" eb="2">
      <t>チョウヒョウ</t>
    </rPh>
    <phoneticPr fontId="4"/>
  </si>
  <si>
    <t>担当者</t>
    <rPh sb="0" eb="2">
      <t>タントウ</t>
    </rPh>
    <rPh sb="2" eb="3">
      <t>シャ</t>
    </rPh>
    <phoneticPr fontId="4"/>
  </si>
  <si>
    <t>運用</t>
    <rPh sb="0" eb="2">
      <t>ウンヨウ</t>
    </rPh>
    <phoneticPr fontId="4"/>
  </si>
  <si>
    <t>店舗状態管理</t>
    <rPh sb="0" eb="2">
      <t>テンポ</t>
    </rPh>
    <rPh sb="2" eb="4">
      <t>ジョウタイ</t>
    </rPh>
    <rPh sb="4" eb="6">
      <t>カンリ</t>
    </rPh>
    <phoneticPr fontId="4"/>
  </si>
  <si>
    <t>設定・照会</t>
    <rPh sb="0" eb="2">
      <t>セッテイ</t>
    </rPh>
    <rPh sb="3" eb="5">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</si>
  <si>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</si>
  <si>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担当者マスタ設定</t>
    <rPh sb="0" eb="3">
      <t>タントウシャ</t>
    </rPh>
    <rPh sb="6" eb="8">
      <t>セッテイ</t>
    </rPh>
    <phoneticPr fontId="4"/>
  </si>
  <si>
    <t>カレンダ情報マスタ設定</t>
    <rPh sb="4" eb="6">
      <t>ジョウホウ</t>
    </rPh>
    <rPh sb="9" eb="11">
      <t>セッテイ</t>
    </rPh>
    <phoneticPr fontId="4"/>
  </si>
  <si>
    <t>担当者マスタ出力</t>
    <rPh sb="0" eb="3">
      <t>タントウシャ</t>
    </rPh>
    <rPh sb="6" eb="8">
      <t>シュツリョク</t>
    </rPh>
    <phoneticPr fontId="4"/>
  </si>
  <si>
    <t>電子多項目設定</t>
    <rPh sb="0" eb="2">
      <t>デンシ</t>
    </rPh>
    <rPh sb="2" eb="3">
      <t>タ</t>
    </rPh>
    <rPh sb="3" eb="5">
      <t>コウモク</t>
    </rPh>
    <rPh sb="5" eb="7">
      <t>セッテイ</t>
    </rPh>
    <phoneticPr fontId="4"/>
  </si>
  <si>
    <t>システム設定検索</t>
    <rPh sb="4" eb="6">
      <t>セッテイ</t>
    </rPh>
    <rPh sb="6" eb="8">
      <t>ケンサク</t>
    </rPh>
    <phoneticPr fontId="4"/>
  </si>
  <si>
    <t>保守</t>
    <rPh sb="0" eb="2">
      <t>ホシュ</t>
    </rPh>
    <phoneticPr fontId="4"/>
  </si>
  <si>
    <t>画面</t>
    <rPh sb="0" eb="2">
      <t>ガメン</t>
    </rPh>
    <phoneticPr fontId="4"/>
  </si>
  <si>
    <t>定休日の設定ができること</t>
    <rPh sb="0" eb="3">
      <t>テイキュウビ</t>
    </rPh>
    <rPh sb="4" eb="6">
      <t>セッテイ</t>
    </rPh>
    <phoneticPr fontId="4"/>
  </si>
  <si>
    <t>自動値引設定</t>
    <rPh sb="0" eb="2">
      <t>ジドウ</t>
    </rPh>
    <rPh sb="2" eb="4">
      <t>ネビ</t>
    </rPh>
    <rPh sb="4" eb="6">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</si>
  <si>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</si>
  <si>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営業中メンテナンス</t>
    <rPh sb="0" eb="3">
      <t>エイギョウチュウ</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</si>
  <si>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</si>
  <si>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売上登録した内容が正しく集計されていること</t>
    <rPh sb="0" eb="2">
      <t>ウリアゲ</t>
    </rPh>
    <rPh sb="2" eb="4">
      <t>トウロク</t>
    </rPh>
    <rPh sb="6" eb="8">
      <t>ナイヨウ</t>
    </rPh>
    <rPh sb="9" eb="10">
      <t>タダ</t>
    </rPh>
    <rPh sb="12" eb="14">
      <t>シュウケイ</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</si>
  <si>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</si>
  <si>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</si>
  <si>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</si>
  <si>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</si>
  <si>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任意のキーワードで、システム設定の検索ができること</t>
    <rPh sb="0" eb="2">
      <t>ニンイ</t>
    </rPh>
    <rPh sb="14" eb="16">
      <t>セッテイ</t>
    </rPh>
    <rPh sb="17" eb="19">
      <t>ケンサク</t>
    </rPh>
    <phoneticPr fontId="4"/>
  </si>
  <si>
    <t>システム名</t>
  </si>
  <si>
    <t>業務名</t>
  </si>
  <si>
    <t>TeamStore/M　POSシステム</t>
    <phoneticPr fontId="21"/>
  </si>
  <si>
    <t>リグレッションテスト</t>
    <phoneticPr fontId="21"/>
  </si>
  <si>
    <t>TeamStore/M</t>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</si>
  <si>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</si>
  <si>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</si>
  <si>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</si>
  <si>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</si>
  <si>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</si>
  <si>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TeamStore/M</t>
    <phoneticPr fontId="3"/>
  </si>
  <si>
    <t>イベントログ</t>
    <phoneticPr fontId="4"/>
  </si>
  <si>
    <t>Runlog</t>
    <phoneticPr fontId="4"/>
  </si>
  <si>
    <t>Runlogにエラーが出力されていないこと</t>
    <rPh sb="11" eb="13">
      <t>シュツリョク</t>
    </rPh>
    <phoneticPr fontId="4"/>
  </si>
  <si>
    <t>リモメン</t>
    <phoneticPr fontId="4"/>
  </si>
  <si>
    <t>適用確認</t>
    <rPh sb="0" eb="2">
      <t>テキヨウ</t>
    </rPh>
    <rPh sb="2" eb="4">
      <t>カクニン</t>
    </rPh>
    <phoneticPr fontId="4"/>
  </si>
  <si>
    <t>PTFLOG</t>
    <phoneticPr fontId="4"/>
  </si>
  <si>
    <t>PTFLOG2</t>
    <phoneticPr fontId="4"/>
  </si>
  <si>
    <t>PTFLOGを開き、エラーが出力されていないこと</t>
    <rPh sb="7" eb="8">
      <t>ヒラ</t>
    </rPh>
    <rPh sb="14" eb="16">
      <t>シュツリョク</t>
    </rPh>
    <phoneticPr fontId="4"/>
  </si>
  <si>
    <t>フル版　確認件数（○＋△＋□）</t>
    <rPh sb="2" eb="3">
      <t>バン</t>
    </rPh>
    <rPh sb="4" eb="6">
      <t>カクニン</t>
    </rPh>
    <rPh sb="6" eb="8">
      <t>ケンスウ</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</si>
  <si>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</si>
  <si>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</si>
  <si>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開店</t>
    <rPh sb="0" eb="2">
      <t>カイテン</t>
    </rPh>
    <phoneticPr fontId="4"/>
  </si>
  <si>
    <t>超簡易版　確認件数（○＋△）</t>
    <rPh sb="0" eb="1">
      <t>チョウ</t>
    </rPh>
    <rPh sb="1" eb="3">
      <t>カンイ</t>
    </rPh>
    <rPh sb="3" eb="4">
      <t>バン</t>
    </rPh>
    <rPh sb="5" eb="7">
      <t>カクニン</t>
    </rPh>
    <rPh sb="7" eb="9">
      <t>ケンスウ</t>
    </rPh>
    <phoneticPr fontId="4"/>
  </si>
  <si>
    <t>集計</t>
    <rPh sb="0" eb="2">
      <t>シュウケイ</t>
    </rPh>
    <phoneticPr fontId="4"/>
  </si>
  <si>
    <t>翌日の開店処理</t>
    <rPh sb="0" eb="2">
      <t>ヨクジツ</t>
    </rPh>
    <rPh sb="3" eb="5">
      <t>カイテン</t>
    </rPh>
    <rPh sb="5" eb="7">
      <t>ショリ</t>
    </rPh>
    <phoneticPr fontId="4"/>
  </si>
  <si>
    <t>Restore</t>
    <phoneticPr fontId="4"/>
  </si>
  <si>
    <t>PTF戻しを行えること</t>
    <rPh sb="3" eb="4">
      <t>モド</t>
    </rPh>
    <rPh sb="6" eb="7">
      <t>オコナ</t>
    </rPh>
    <phoneticPr fontId="4"/>
  </si>
  <si>
    <t>PTF戻し</t>
    <rPh sb="3" eb="4">
      <t>モド</t>
    </rPh>
    <phoneticPr fontId="4"/>
  </si>
  <si>
    <t>　</t>
    <phoneticPr fontId="4"/>
  </si>
  <si>
    <t>テキスト出力ができること</t>
    <rPh sb="4" eb="6">
      <t>シュツリョク</t>
    </rPh>
    <phoneticPr fontId="4"/>
  </si>
  <si>
    <t>富士通株式会社</t>
    <rPh sb="3" eb="7">
      <t>カブシキガイシャ</t>
    </rPh>
    <phoneticPr fontId="3"/>
  </si>
  <si>
    <t>釣銭機在高レポート</t>
    <rPh sb="0" eb="3">
      <t>ツリセンキ</t>
    </rPh>
    <rPh sb="3" eb="4">
      <t>ア</t>
    </rPh>
    <rPh sb="4" eb="5">
      <t>タカ</t>
    </rPh>
    <phoneticPr fontId="4"/>
  </si>
  <si>
    <t>釣銭機レポート</t>
    <rPh sb="0" eb="3">
      <t>ツリセンキ</t>
    </rPh>
    <phoneticPr fontId="4"/>
  </si>
  <si>
    <t>釣銭機在高内容が表示されること</t>
    <rPh sb="0" eb="3">
      <t>ツリセンキ</t>
    </rPh>
    <rPh sb="3" eb="4">
      <t>ア</t>
    </rPh>
    <rPh sb="4" eb="5">
      <t>ダカ</t>
    </rPh>
    <rPh sb="5" eb="7">
      <t>ナイヨウ</t>
    </rPh>
    <rPh sb="8" eb="10">
      <t>ヒョウジ</t>
    </rPh>
    <phoneticPr fontId="4"/>
  </si>
  <si>
    <t>「あふれ」列が存在すること（最右列）</t>
    <rPh sb="5" eb="6">
      <t>レツ</t>
    </rPh>
    <rPh sb="7" eb="9">
      <t>ソンザイ</t>
    </rPh>
    <rPh sb="14" eb="15">
      <t>モット</t>
    </rPh>
    <rPh sb="15" eb="16">
      <t>ミギ</t>
    </rPh>
    <rPh sb="16" eb="17">
      <t>レツ</t>
    </rPh>
    <phoneticPr fontId="4"/>
  </si>
  <si>
    <t>全項目数：</t>
  </si>
  <si>
    <t>全ﾃｽﾄ項目数：</t>
  </si>
  <si>
    <t>消化項目数：</t>
  </si>
  <si>
    <t>合計</t>
  </si>
  <si>
    <t>消化ﾃｽﾄ項目数：</t>
  </si>
  <si>
    <t>PS画面の確認</t>
    <rPh sb="2" eb="4">
      <t>ガメン</t>
    </rPh>
    <rPh sb="5" eb="7">
      <t>カクニン</t>
    </rPh>
    <phoneticPr fontId="23"/>
  </si>
  <si>
    <t>【PS操作】
なし</t>
    <rPh sb="3" eb="5">
      <t>ソウサ</t>
    </rPh>
    <phoneticPr fontId="23"/>
  </si>
  <si>
    <t>【SS操作】
会員宣言なし</t>
    <rPh sb="3" eb="5">
      <t>ソウサ</t>
    </rPh>
    <rPh sb="7" eb="9">
      <t>カイイン</t>
    </rPh>
    <rPh sb="9" eb="11">
      <t>センゲン</t>
    </rPh>
    <phoneticPr fontId="23"/>
  </si>
  <si>
    <t>ボタン選択</t>
    <rPh sb="3" eb="5">
      <t>センタク</t>
    </rPh>
    <phoneticPr fontId="23"/>
  </si>
  <si>
    <t>備考</t>
    <rPh sb="0" eb="2">
      <t>ビコウ</t>
    </rPh>
    <phoneticPr fontId="23"/>
  </si>
  <si>
    <t>担当</t>
  </si>
  <si>
    <t>NG</t>
  </si>
  <si>
    <t>OK</t>
  </si>
  <si>
    <t>小型
LCD</t>
    <rPh sb="0" eb="2">
      <t>コガタ</t>
    </rPh>
    <phoneticPr fontId="25"/>
  </si>
  <si>
    <t>ﾛｸﾞ</t>
  </si>
  <si>
    <t>音声</t>
    <rPh sb="0" eb="2">
      <t>オンセイ</t>
    </rPh>
    <phoneticPr fontId="23"/>
  </si>
  <si>
    <t>ｼﾞｬｰﾅﾙ</t>
  </si>
  <si>
    <t>ﾚｼｰﾄ</t>
  </si>
  <si>
    <t>画面</t>
    <rPh sb="0" eb="2">
      <t>ガメン</t>
    </rPh>
    <phoneticPr fontId="23"/>
  </si>
  <si>
    <t>ｶｽﾀﾏ</t>
  </si>
  <si>
    <t>DB</t>
  </si>
  <si>
    <t>動作</t>
    <rPh sb="0" eb="2">
      <t>ドウサ</t>
    </rPh>
    <phoneticPr fontId="24"/>
  </si>
  <si>
    <t>結果</t>
  </si>
  <si>
    <t>PS操作</t>
    <rPh sb="2" eb="4">
      <t>ソウサ</t>
    </rPh>
    <phoneticPr fontId="23"/>
  </si>
  <si>
    <t>SS操作</t>
    <rPh sb="2" eb="4">
      <t>ソウサ</t>
    </rPh>
    <phoneticPr fontId="23"/>
  </si>
  <si>
    <t>No</t>
  </si>
  <si>
    <t>POS</t>
    <phoneticPr fontId="23"/>
  </si>
  <si>
    <t>中分類</t>
    <rPh sb="0" eb="1">
      <t>チュウ</t>
    </rPh>
    <rPh sb="1" eb="3">
      <t>ブンルイ</t>
    </rPh>
    <phoneticPr fontId="23"/>
  </si>
  <si>
    <t>大分類</t>
    <rPh sb="0" eb="3">
      <t>ダイブンルイ</t>
    </rPh>
    <phoneticPr fontId="23"/>
  </si>
  <si>
    <t>POS操作</t>
    <rPh sb="3" eb="5">
      <t>ソウサ</t>
    </rPh>
    <phoneticPr fontId="23"/>
  </si>
  <si>
    <t>リモメン</t>
  </si>
  <si>
    <t>PTFLOG</t>
  </si>
  <si>
    <t>PTFLOG2</t>
  </si>
  <si>
    <t>PTFLOGを開き、エラーが出力されていないこと</t>
    <phoneticPr fontId="23"/>
  </si>
  <si>
    <t>開局</t>
    <rPh sb="0" eb="2">
      <t>カイキョク</t>
    </rPh>
    <phoneticPr fontId="17"/>
  </si>
  <si>
    <t>正常に開局されること</t>
    <rPh sb="0" eb="2">
      <t>セイジョウ</t>
    </rPh>
    <rPh sb="3" eb="5">
      <t>カイキョク</t>
    </rPh>
    <phoneticPr fontId="17"/>
  </si>
  <si>
    <t>売上</t>
    <phoneticPr fontId="23"/>
  </si>
  <si>
    <t>部門入力</t>
    <rPh sb="0" eb="2">
      <t>ブモン</t>
    </rPh>
    <rPh sb="2" eb="4">
      <t>ニュウリョク</t>
    </rPh>
    <phoneticPr fontId="17"/>
  </si>
  <si>
    <t>フル部門キー登録</t>
    <rPh sb="2" eb="4">
      <t>ブモン</t>
    </rPh>
    <rPh sb="6" eb="8">
      <t>トウロク</t>
    </rPh>
    <phoneticPr fontId="17"/>
  </si>
  <si>
    <t>特売</t>
    <rPh sb="0" eb="2">
      <t>トクバイ</t>
    </rPh>
    <phoneticPr fontId="17"/>
  </si>
  <si>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</si>
  <si>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正常に売上登録できること</t>
    <rPh sb="0" eb="2">
      <t>セイジョウ</t>
    </rPh>
    <rPh sb="3" eb="5">
      <t>ウリアゲ</t>
    </rPh>
    <rPh sb="5" eb="7">
      <t>トウロク</t>
    </rPh>
    <phoneticPr fontId="17"/>
  </si>
  <si>
    <t>保留</t>
    <rPh sb="0" eb="2">
      <t>ホリュウ</t>
    </rPh>
    <phoneticPr fontId="17"/>
  </si>
  <si>
    <t>復元</t>
    <rPh sb="0" eb="2">
      <t>フクゲン</t>
    </rPh>
    <phoneticPr fontId="17"/>
  </si>
  <si>
    <t>通番修正</t>
    <rPh sb="0" eb="1">
      <t>ツウ</t>
    </rPh>
    <rPh sb="1" eb="2">
      <t>バン</t>
    </rPh>
    <rPh sb="2" eb="4">
      <t>シュウセイ</t>
    </rPh>
    <phoneticPr fontId="17"/>
  </si>
  <si>
    <t>乗算登録</t>
    <rPh sb="0" eb="2">
      <t>ジョウザン</t>
    </rPh>
    <rPh sb="2" eb="4">
      <t>トウロク</t>
    </rPh>
    <phoneticPr fontId="17"/>
  </si>
  <si>
    <t>値引操作</t>
    <rPh sb="0" eb="2">
      <t>ネビキ</t>
    </rPh>
    <rPh sb="2" eb="4">
      <t>ソウサ</t>
    </rPh>
    <phoneticPr fontId="17"/>
  </si>
  <si>
    <t>訂正</t>
    <rPh sb="0" eb="2">
      <t>テイセイ</t>
    </rPh>
    <phoneticPr fontId="17"/>
  </si>
  <si>
    <t>現外券</t>
    <rPh sb="0" eb="1">
      <t>ゲン</t>
    </rPh>
    <rPh sb="1" eb="2">
      <t>ガイ</t>
    </rPh>
    <rPh sb="2" eb="3">
      <t>ケン</t>
    </rPh>
    <phoneticPr fontId="17"/>
  </si>
  <si>
    <t>再登録</t>
    <rPh sb="0" eb="3">
      <t>サイトウロク</t>
    </rPh>
    <phoneticPr fontId="17"/>
  </si>
  <si>
    <t>正常に取引を保留できること</t>
    <rPh sb="0" eb="2">
      <t>セイジョウ</t>
    </rPh>
    <rPh sb="3" eb="5">
      <t>トリヒキ</t>
    </rPh>
    <rPh sb="6" eb="8">
      <t>ホリュウ</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</si>
  <si>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</si>
  <si>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正常に動作することを確認</t>
    <rPh sb="0" eb="2">
      <t>セイジョウ</t>
    </rPh>
    <rPh sb="3" eb="5">
      <t>ドウサ</t>
    </rPh>
    <rPh sb="10" eb="12">
      <t>カクニン</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</si>
  <si>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</si>
  <si>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</si>
  <si>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売価変更が正しくできること</t>
    <rPh sb="0" eb="2">
      <t>バイカ</t>
    </rPh>
    <rPh sb="2" eb="4">
      <t>ヘンコウ</t>
    </rPh>
    <rPh sb="5" eb="6">
      <t>タダ</t>
    </rPh>
    <phoneticPr fontId="17"/>
  </si>
  <si>
    <t>指定訂正／直前訂正が正しくできること</t>
    <rPh sb="0" eb="2">
      <t>シテイ</t>
    </rPh>
    <rPh sb="2" eb="4">
      <t>テイセイ</t>
    </rPh>
    <rPh sb="5" eb="7">
      <t>チョクゼン</t>
    </rPh>
    <rPh sb="7" eb="9">
      <t>テイセイ</t>
    </rPh>
    <rPh sb="10" eb="11">
      <t>タダ</t>
    </rPh>
    <phoneticPr fontId="17"/>
  </si>
  <si>
    <t>現外券での支払い登録が正常にできること</t>
    <rPh sb="0" eb="1">
      <t>ゲン</t>
    </rPh>
    <rPh sb="1" eb="2">
      <t>ソト</t>
    </rPh>
    <rPh sb="2" eb="3">
      <t>ケン</t>
    </rPh>
    <rPh sb="5" eb="7">
      <t>シハラ</t>
    </rPh>
    <rPh sb="8" eb="10">
      <t>トウロク</t>
    </rPh>
    <rPh sb="11" eb="13">
      <t>セイジョウ</t>
    </rPh>
    <phoneticPr fontId="17"/>
  </si>
  <si>
    <t>再登録後、再度商品登録できること</t>
    <rPh sb="0" eb="3">
      <t>サイトウロク</t>
    </rPh>
    <rPh sb="3" eb="4">
      <t>ゴ</t>
    </rPh>
    <rPh sb="5" eb="7">
      <t>サイド</t>
    </rPh>
    <rPh sb="7" eb="9">
      <t>ショウヒン</t>
    </rPh>
    <rPh sb="9" eb="11">
      <t>トウロク</t>
    </rPh>
    <phoneticPr fontId="17"/>
  </si>
  <si>
    <t>デバイス</t>
    <phoneticPr fontId="23"/>
  </si>
  <si>
    <t>固定スキャナ</t>
    <rPh sb="0" eb="2">
      <t>コテイ</t>
    </rPh>
    <phoneticPr fontId="17"/>
  </si>
  <si>
    <t>タッチスキャナ</t>
  </si>
  <si>
    <t>メインキー</t>
  </si>
  <si>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</si>
  <si>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</si>
  <si>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</si>
  <si>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</si>
  <si>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商品登録できること</t>
    <rPh sb="0" eb="2">
      <t>ショウヒン</t>
    </rPh>
    <rPh sb="2" eb="4">
      <t>トウロク</t>
    </rPh>
    <phoneticPr fontId="17"/>
  </si>
  <si>
    <t>登録できること</t>
    <rPh sb="0" eb="2">
      <t>トウロク</t>
    </rPh>
    <phoneticPr fontId="17"/>
  </si>
  <si>
    <t>バーコード</t>
    <phoneticPr fontId="23"/>
  </si>
  <si>
    <t>JANコード　13桁/8桁</t>
    <rPh sb="9" eb="10">
      <t>ケタ</t>
    </rPh>
    <rPh sb="12" eb="13">
      <t>ケタ</t>
    </rPh>
    <phoneticPr fontId="17"/>
  </si>
  <si>
    <t>新雑誌コード（18桁）</t>
    <rPh sb="0" eb="1">
      <t>シン</t>
    </rPh>
    <rPh sb="1" eb="3">
      <t>ザッシ</t>
    </rPh>
    <rPh sb="9" eb="10">
      <t>ケタ</t>
    </rPh>
    <phoneticPr fontId="17"/>
  </si>
  <si>
    <t>書籍コード</t>
    <rPh sb="0" eb="2">
      <t>ショセキ</t>
    </rPh>
    <phoneticPr fontId="17"/>
  </si>
  <si>
    <t>登録できること（491021104117300314）</t>
    <rPh sb="0" eb="2">
      <t>トウロク</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</si>
  <si>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</si>
  <si>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</si>
  <si>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</si>
  <si>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</si>
  <si>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クレジット</t>
  </si>
  <si>
    <t>Edy</t>
    <phoneticPr fontId="23"/>
  </si>
  <si>
    <t>Edy支払が行えること</t>
    <phoneticPr fontId="23"/>
  </si>
  <si>
    <t>その他</t>
    <phoneticPr fontId="23"/>
  </si>
  <si>
    <t>ジャーナル照会</t>
    <rPh sb="5" eb="7">
      <t>ショウカイ</t>
    </rPh>
    <phoneticPr fontId="17"/>
  </si>
  <si>
    <t>取引の照会ができること</t>
    <rPh sb="0" eb="2">
      <t>トリヒキ</t>
    </rPh>
    <rPh sb="3" eb="5">
      <t>ショウカイ</t>
    </rPh>
    <phoneticPr fontId="17"/>
  </si>
  <si>
    <t>入／出金</t>
    <phoneticPr fontId="23"/>
  </si>
  <si>
    <t>入金</t>
    <rPh sb="0" eb="2">
      <t>ニュウキン</t>
    </rPh>
    <phoneticPr fontId="17"/>
  </si>
  <si>
    <t>出金</t>
    <rPh sb="0" eb="2">
      <t>シュッキン</t>
    </rPh>
    <phoneticPr fontId="17"/>
  </si>
  <si>
    <t>釣銭機出金</t>
    <rPh sb="0" eb="2">
      <t>ツリセン</t>
    </rPh>
    <rPh sb="2" eb="3">
      <t>キ</t>
    </rPh>
    <rPh sb="3" eb="5">
      <t>シュッキン</t>
    </rPh>
    <phoneticPr fontId="17"/>
  </si>
  <si>
    <t>釣銭機両替</t>
    <rPh sb="0" eb="2">
      <t>ツリセン</t>
    </rPh>
    <rPh sb="2" eb="3">
      <t>キ</t>
    </rPh>
    <rPh sb="3" eb="5">
      <t>リョウガエ</t>
    </rPh>
    <phoneticPr fontId="17"/>
  </si>
  <si>
    <t>釣銭補充</t>
    <rPh sb="0" eb="2">
      <t>ツリセン</t>
    </rPh>
    <rPh sb="2" eb="4">
      <t>ホジュウ</t>
    </rPh>
    <phoneticPr fontId="17"/>
  </si>
  <si>
    <t>釣銭追加</t>
    <rPh sb="0" eb="2">
      <t>ツリセン</t>
    </rPh>
    <rPh sb="2" eb="4">
      <t>ツイカ</t>
    </rPh>
    <phoneticPr fontId="17"/>
  </si>
  <si>
    <t>棒金ドロア追加</t>
    <rPh sb="0" eb="2">
      <t>ボウキン</t>
    </rPh>
    <rPh sb="5" eb="7">
      <t>ツイカ</t>
    </rPh>
    <phoneticPr fontId="17"/>
  </si>
  <si>
    <t>釣銭機出金が正常に終了すること</t>
    <rPh sb="0" eb="2">
      <t>ツリセン</t>
    </rPh>
    <rPh sb="2" eb="3">
      <t>キ</t>
    </rPh>
    <rPh sb="3" eb="5">
      <t>シュッキン</t>
    </rPh>
    <rPh sb="6" eb="8">
      <t>セイジョウ</t>
    </rPh>
    <rPh sb="9" eb="11">
      <t>シュウリョウ</t>
    </rPh>
    <phoneticPr fontId="17"/>
  </si>
  <si>
    <t>釣銭機両替が正常に終了すること</t>
    <rPh sb="0" eb="2">
      <t>ツリセン</t>
    </rPh>
    <rPh sb="2" eb="3">
      <t>キ</t>
    </rPh>
    <rPh sb="3" eb="5">
      <t>リョウガエ</t>
    </rPh>
    <rPh sb="6" eb="8">
      <t>セイジョウ</t>
    </rPh>
    <rPh sb="9" eb="11">
      <t>シュウリョウ</t>
    </rPh>
    <phoneticPr fontId="17"/>
  </si>
  <si>
    <t>正常動作すること</t>
    <rPh sb="0" eb="2">
      <t>セイジョウ</t>
    </rPh>
    <rPh sb="2" eb="4">
      <t>ドウサ</t>
    </rPh>
    <phoneticPr fontId="17"/>
  </si>
  <si>
    <t>ポイント</t>
    <phoneticPr fontId="23"/>
  </si>
  <si>
    <t>オフライン</t>
  </si>
  <si>
    <t>オフラインポイントデータ</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</si>
  <si>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</si>
  <si>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</si>
  <si>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マイナス</t>
  </si>
  <si>
    <t>練習モード</t>
    <rPh sb="0" eb="2">
      <t>レンシュウ</t>
    </rPh>
    <phoneticPr fontId="17"/>
  </si>
  <si>
    <t>電子ジャーナル</t>
    <rPh sb="0" eb="2">
      <t>デンシ</t>
    </rPh>
    <phoneticPr fontId="17"/>
  </si>
  <si>
    <t>通番取消</t>
    <rPh sb="0" eb="4">
      <t>ツウバントリケシ</t>
    </rPh>
    <phoneticPr fontId="17"/>
  </si>
  <si>
    <t>テストスキャン</t>
  </si>
  <si>
    <t>通常売上</t>
    <rPh sb="0" eb="2">
      <t>ツウジョウ</t>
    </rPh>
    <rPh sb="2" eb="4">
      <t>ウリアゲ</t>
    </rPh>
    <phoneticPr fontId="17"/>
  </si>
  <si>
    <t>取引別</t>
    <rPh sb="0" eb="2">
      <t>トリヒキ</t>
    </rPh>
    <rPh sb="2" eb="3">
      <t>ベツ</t>
    </rPh>
    <phoneticPr fontId="17"/>
  </si>
  <si>
    <t>商品階層別</t>
    <rPh sb="0" eb="2">
      <t>ショウヒン</t>
    </rPh>
    <rPh sb="2" eb="5">
      <t>カイソウベツ</t>
    </rPh>
    <phoneticPr fontId="17"/>
  </si>
  <si>
    <t>担当者別</t>
    <rPh sb="0" eb="3">
      <t>タントウシャ</t>
    </rPh>
    <rPh sb="3" eb="4">
      <t>ベツ</t>
    </rPh>
    <phoneticPr fontId="17"/>
  </si>
  <si>
    <t>客層別</t>
    <rPh sb="0" eb="2">
      <t>キャクソウ</t>
    </rPh>
    <rPh sb="2" eb="3">
      <t>ベツ</t>
    </rPh>
    <phoneticPr fontId="17"/>
  </si>
  <si>
    <t>商品階層別時間帯</t>
    <rPh sb="0" eb="2">
      <t>ショウヒン</t>
    </rPh>
    <rPh sb="2" eb="5">
      <t>カイソウベツ</t>
    </rPh>
    <rPh sb="5" eb="8">
      <t>ジカンタイ</t>
    </rPh>
    <phoneticPr fontId="17"/>
  </si>
  <si>
    <t>全点検レシート</t>
    <rPh sb="0" eb="1">
      <t>ゼン</t>
    </rPh>
    <rPh sb="1" eb="3">
      <t>テンケン</t>
    </rPh>
    <phoneticPr fontId="17"/>
  </si>
  <si>
    <t>在高点検レシート</t>
    <rPh sb="0" eb="1">
      <t>ア</t>
    </rPh>
    <rPh sb="1" eb="2">
      <t>ダカ</t>
    </rPh>
    <rPh sb="2" eb="4">
      <t>テンケン</t>
    </rPh>
    <phoneticPr fontId="17"/>
  </si>
  <si>
    <t>担当者別時間帯</t>
    <rPh sb="0" eb="3">
      <t>タントウシャ</t>
    </rPh>
    <rPh sb="3" eb="4">
      <t>ベツ</t>
    </rPh>
    <rPh sb="4" eb="7">
      <t>ジカンタイ</t>
    </rPh>
    <phoneticPr fontId="17"/>
  </si>
  <si>
    <t>全点検</t>
    <rPh sb="0" eb="1">
      <t>ゼン</t>
    </rPh>
    <rPh sb="1" eb="3">
      <t>テンケン</t>
    </rPh>
    <phoneticPr fontId="17"/>
  </si>
  <si>
    <t>在高点検</t>
    <rPh sb="0" eb="1">
      <t>ア</t>
    </rPh>
    <rPh sb="1" eb="2">
      <t>ダカ</t>
    </rPh>
    <rPh sb="2" eb="4">
      <t>テンケン</t>
    </rPh>
    <phoneticPr fontId="17"/>
  </si>
  <si>
    <t>印字開始</t>
    <rPh sb="0" eb="2">
      <t>インジ</t>
    </rPh>
    <rPh sb="2" eb="4">
      <t>カイシ</t>
    </rPh>
    <phoneticPr fontId="17"/>
  </si>
  <si>
    <t>正常に動作すること（ﾏｲﾅｽ集計する/しないはシステム設定）</t>
    <rPh sb="0" eb="2">
      <t>セイジョウ</t>
    </rPh>
    <rPh sb="3" eb="5">
      <t>ドウサ</t>
    </rPh>
    <rPh sb="14" eb="16">
      <t>シュウケイ</t>
    </rPh>
    <rPh sb="27" eb="29">
      <t>セッテイ</t>
    </rPh>
    <phoneticPr fontId="17"/>
  </si>
  <si>
    <t>正常に動作すること（印字は？マーク。集計されない）</t>
    <rPh sb="0" eb="2">
      <t>セイジョウ</t>
    </rPh>
    <rPh sb="3" eb="5">
      <t>ドウサ</t>
    </rPh>
    <rPh sb="10" eb="12">
      <t>インジ</t>
    </rPh>
    <rPh sb="18" eb="20">
      <t>シュウケイ</t>
    </rPh>
    <phoneticPr fontId="17"/>
  </si>
  <si>
    <t>上記テストでの売上登録が集計されていること</t>
    <rPh sb="0" eb="2">
      <t>ジョウキ</t>
    </rPh>
    <rPh sb="7" eb="9">
      <t>ウリアゲ</t>
    </rPh>
    <rPh sb="9" eb="11">
      <t>トウロク</t>
    </rPh>
    <rPh sb="12" eb="14">
      <t>シュウケイ</t>
    </rPh>
    <phoneticPr fontId="17"/>
  </si>
  <si>
    <t>正常に動作することを確認</t>
  </si>
  <si>
    <t>正常に動作することを確認する</t>
    <rPh sb="0" eb="2">
      <t>セイジョウ</t>
    </rPh>
    <rPh sb="3" eb="5">
      <t>ドウサ</t>
    </rPh>
    <rPh sb="10" eb="12">
      <t>カクニン</t>
    </rPh>
    <phoneticPr fontId="17"/>
  </si>
  <si>
    <t>精算</t>
    <rPh sb="0" eb="2">
      <t>セイサン</t>
    </rPh>
    <phoneticPr fontId="17"/>
  </si>
  <si>
    <t>全回収</t>
    <rPh sb="0" eb="1">
      <t>ゼン</t>
    </rPh>
    <rPh sb="1" eb="3">
      <t>カイシュウ</t>
    </rPh>
    <phoneticPr fontId="17"/>
  </si>
  <si>
    <t>紙幣途中回収（移動）</t>
    <rPh sb="0" eb="2">
      <t>シヘイ</t>
    </rPh>
    <rPh sb="2" eb="4">
      <t>トチュウ</t>
    </rPh>
    <rPh sb="4" eb="6">
      <t>カイシュウ</t>
    </rPh>
    <rPh sb="7" eb="9">
      <t>イドウ</t>
    </rPh>
    <phoneticPr fontId="17"/>
  </si>
  <si>
    <t>硬貨途中回収</t>
    <rPh sb="0" eb="2">
      <t>コウカ</t>
    </rPh>
    <rPh sb="2" eb="4">
      <t>トチュウ</t>
    </rPh>
    <rPh sb="4" eb="6">
      <t>カイシュウ</t>
    </rPh>
    <phoneticPr fontId="17"/>
  </si>
  <si>
    <t>ボックス回収</t>
    <rPh sb="4" eb="6">
      <t>カイシュウ</t>
    </rPh>
    <phoneticPr fontId="17"/>
  </si>
  <si>
    <t>あふれ金収納庫移動</t>
    <rPh sb="3" eb="4">
      <t>キン</t>
    </rPh>
    <rPh sb="4" eb="6">
      <t>シュウノウ</t>
    </rPh>
    <rPh sb="6" eb="7">
      <t>コ</t>
    </rPh>
    <rPh sb="7" eb="9">
      <t>イドウ</t>
    </rPh>
    <phoneticPr fontId="17"/>
  </si>
  <si>
    <t>精算業務</t>
    <rPh sb="0" eb="2">
      <t>セイサン</t>
    </rPh>
    <rPh sb="2" eb="4">
      <t>ギョウム</t>
    </rPh>
    <phoneticPr fontId="17"/>
  </si>
  <si>
    <t>棒金ドロア</t>
    <rPh sb="0" eb="2">
      <t>ボウキン</t>
    </rPh>
    <phoneticPr fontId="17"/>
  </si>
  <si>
    <t>正しく動作することを確認</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</si>
  <si>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</si>
  <si>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</si>
  <si>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</si>
  <si>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</si>
  <si>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</si>
  <si>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Runlog</t>
  </si>
  <si>
    <t>Runlogにエラーが出力されていないこと</t>
    <rPh sb="11" eb="13">
      <t>シュツリョク</t>
    </rPh>
    <phoneticPr fontId="17"/>
  </si>
  <si>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</si>
  <si>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レシート</t>
    <phoneticPr fontId="23"/>
  </si>
  <si>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</si>
  <si>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ポイント計算
（レシート確認）</t>
    <rPh sb="4" eb="6">
      <t>ケイサン</t>
    </rPh>
    <rPh sb="12" eb="14">
      <t>カクニン</t>
    </rPh>
    <phoneticPr fontId="17"/>
  </si>
  <si>
    <t>ポイント更新
（レシート確認）</t>
    <rPh sb="4" eb="6">
      <t>コウシン</t>
    </rPh>
    <phoneticPr fontId="17"/>
  </si>
  <si>
    <t>「今回ポイント　**p」が表示されること</t>
    <phoneticPr fontId="23"/>
  </si>
  <si>
    <t>「現在ポイント　**p」が表示されること</t>
    <phoneticPr fontId="23"/>
  </si>
  <si>
    <t>「今回ポイント　**p」が表示されること</t>
    <phoneticPr fontId="23"/>
  </si>
  <si>
    <t>今回ポイント、現在ポイントのみ表示されること</t>
    <rPh sb="0" eb="2">
      <t>コンカイ</t>
    </rPh>
    <phoneticPr fontId="23"/>
  </si>
  <si>
    <t>新規作成</t>
    <rPh sb="0" eb="2">
      <t>シンキ</t>
    </rPh>
    <rPh sb="2" eb="4">
      <t>サクセイ</t>
    </rPh>
    <phoneticPr fontId="21"/>
  </si>
  <si>
    <t>改版履歴</t>
    <rPh sb="0" eb="2">
      <t>カイハン</t>
    </rPh>
    <rPh sb="2" eb="4">
      <t>リレキ</t>
    </rPh>
    <phoneticPr fontId="21"/>
  </si>
  <si>
    <t>富士通</t>
    <rPh sb="0" eb="3">
      <t>フジツウ</t>
    </rPh>
    <phoneticPr fontId="21"/>
  </si>
  <si>
    <t>支払ができること</t>
    <rPh sb="0" eb="2">
      <t>シハラ</t>
    </rPh>
    <phoneticPr fontId="17"/>
  </si>
  <si>
    <t>システム管理⇒設定・照会⇒店舗管理（設定）</t>
    <rPh sb="4" eb="6">
      <t>カンリ</t>
    </rPh>
    <rPh sb="7" eb="9">
      <t>セッテイ</t>
    </rPh>
    <rPh sb="10" eb="12">
      <t>ショウカイ</t>
    </rPh>
    <rPh sb="13" eb="15">
      <t>テンポ</t>
    </rPh>
    <rPh sb="15" eb="17">
      <t>カンリ</t>
    </rPh>
    <rPh sb="18" eb="20">
      <t>セッテイ</t>
    </rPh>
    <phoneticPr fontId="4"/>
  </si>
  <si>
    <t>担当者マスタ設定が出力されればOK</t>
    <rPh sb="0" eb="3">
      <t>タントウシャ</t>
    </rPh>
    <rPh sb="6" eb="8">
      <t>セッテイ</t>
    </rPh>
    <rPh sb="9" eb="11">
      <t>シュツリョク</t>
    </rPh>
    <phoneticPr fontId="4"/>
  </si>
  <si>
    <t>店舗⇒釣銭機レポート</t>
    <rPh sb="0" eb="2">
      <t>テンポ</t>
    </rPh>
    <rPh sb="3" eb="6">
      <t>ツリセンキ</t>
    </rPh>
    <phoneticPr fontId="4"/>
  </si>
  <si>
    <t>UPCは輸入されたワインのバーコード、タバコ（ケント）</t>
    <rPh sb="4" eb="6">
      <t>ユニュウ</t>
    </rPh>
    <phoneticPr fontId="23"/>
  </si>
  <si>
    <t>商品券（支払い一覧にて選択）</t>
    <rPh sb="0" eb="3">
      <t>ショウヒンケン</t>
    </rPh>
    <rPh sb="4" eb="6">
      <t>シハラ</t>
    </rPh>
    <rPh sb="7" eb="9">
      <t>イチラン</t>
    </rPh>
    <rPh sb="11" eb="13">
      <t>センタク</t>
    </rPh>
    <phoneticPr fontId="23"/>
  </si>
  <si>
    <t>NONPLUで束になっているバーコードを使う</t>
    <rPh sb="7" eb="8">
      <t>タバ</t>
    </rPh>
    <rPh sb="20" eb="21">
      <t>ツカ</t>
    </rPh>
    <phoneticPr fontId="23"/>
  </si>
  <si>
    <t>通番修正のバーコード</t>
    <rPh sb="0" eb="2">
      <t>ツウバン</t>
    </rPh>
    <rPh sb="2" eb="4">
      <t>シュウセイ</t>
    </rPh>
    <phoneticPr fontId="23"/>
  </si>
  <si>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</si>
  <si>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RT-500の場合、BOXがでてくるので鍵で開けてとる</t>
    <rPh sb="7" eb="9">
      <t>バアイ</t>
    </rPh>
    <rPh sb="20" eb="21">
      <t>カギ</t>
    </rPh>
    <rPh sb="22" eb="23">
      <t>ア</t>
    </rPh>
    <phoneticPr fontId="23"/>
  </si>
  <si>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</si>
  <si>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部門実績フラッシュ(速報)</t>
    <rPh sb="0" eb="2">
      <t>ブモン</t>
    </rPh>
    <rPh sb="2" eb="4">
      <t>ジッセキ</t>
    </rPh>
    <rPh sb="10" eb="12">
      <t>ソクホウ</t>
    </rPh>
    <phoneticPr fontId="4"/>
  </si>
  <si>
    <t>テスト項目</t>
    <rPh sb="3" eb="5">
      <t>コウモク</t>
    </rPh>
    <phoneticPr fontId="23"/>
  </si>
  <si>
    <t>修正
OK</t>
    <phoneticPr fontId="23"/>
  </si>
  <si>
    <t>チェック日付</t>
    <phoneticPr fontId="23"/>
  </si>
  <si>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</si>
  <si>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</si>
  <si>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バーコード価格
特売（割引設定）</t>
    <rPh sb="5" eb="7">
      <t>カカク</t>
    </rPh>
    <rPh sb="8" eb="10">
      <t>トクバイ</t>
    </rPh>
    <rPh sb="11" eb="13">
      <t>ワリビキ</t>
    </rPh>
    <rPh sb="13" eb="15">
      <t>セッテイ</t>
    </rPh>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</si>
  <si>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</si>
  <si>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小分類</t>
    <rPh sb="0" eb="3">
      <t>ショウブンルイ</t>
    </rPh>
    <phoneticPr fontId="23"/>
  </si>
  <si>
    <t>OPキー</t>
  </si>
  <si>
    <t>キーPLU</t>
  </si>
  <si>
    <t>MSR2（カードリーダ）</t>
  </si>
  <si>
    <t>1段値引バーコード（CODE128）</t>
    <rPh sb="1" eb="2">
      <t>ダン</t>
    </rPh>
    <rPh sb="2" eb="4">
      <t>ネビキ</t>
    </rPh>
    <phoneticPr fontId="17"/>
  </si>
  <si>
    <t>UPC　A/E</t>
    <phoneticPr fontId="23"/>
  </si>
  <si>
    <t>ITF（14桁）</t>
    <rPh sb="6" eb="7">
      <t>ケタ</t>
    </rPh>
    <phoneticPr fontId="17"/>
  </si>
  <si>
    <t>イベントログ（アプリケーション、セキュリティ、システム）にエラーが「一切」出力されていないこと</t>
    <rPh sb="34" eb="36">
      <t>イッサイ</t>
    </rPh>
    <rPh sb="37" eb="39">
      <t>シュツリョク</t>
    </rPh>
    <phoneticPr fontId="17"/>
  </si>
  <si>
    <t>1人2人制</t>
    <rPh sb="1" eb="2">
      <t>リ</t>
    </rPh>
    <rPh sb="3" eb="5">
      <t>ニンセイ</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</si>
  <si>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</si>
  <si>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2人制</t>
  </si>
  <si>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</si>
  <si>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NONPLU</t>
  </si>
  <si>
    <t>Xモード</t>
  </si>
  <si>
    <t>Xモード　商品階層別</t>
    <rPh sb="5" eb="7">
      <t>ショウヒン</t>
    </rPh>
    <rPh sb="7" eb="9">
      <t>カイソウ</t>
    </rPh>
    <rPh sb="9" eb="10">
      <t>ベツ</t>
    </rPh>
    <phoneticPr fontId="23"/>
  </si>
  <si>
    <t>Xモード　担当者別</t>
  </si>
  <si>
    <t>Xモード　客層別</t>
  </si>
  <si>
    <t>Xモード　商品階層別時間帯</t>
  </si>
  <si>
    <t>Xモード　全点検レシート</t>
  </si>
  <si>
    <t>Xモード　在高点検レシート</t>
  </si>
  <si>
    <t>Xモード　取引別</t>
  </si>
  <si>
    <t>Xモード　担当者別時間帯</t>
  </si>
  <si>
    <t>Xモード　全点検</t>
  </si>
  <si>
    <t>Xモード　在高点検</t>
  </si>
  <si>
    <t>Xモード　</t>
  </si>
  <si>
    <t>Xモード　レシート印字</t>
  </si>
  <si>
    <t>Xモード　テストスキャン</t>
  </si>
  <si>
    <t>Xモード　印字開始</t>
  </si>
  <si>
    <t>Zモード</t>
  </si>
  <si>
    <t>正しく動作することを確認
※RT-500のみ</t>
    <rPh sb="0" eb="1">
      <t>タダ</t>
    </rPh>
    <rPh sb="3" eb="5">
      <t>ドウサ</t>
    </rPh>
    <rPh sb="10" eb="12">
      <t>カクニン</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</si>
  <si>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</si>
  <si>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</si>
  <si>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</si>
  <si>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</si>
  <si>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カードの読取できないこと</t>
    <rPh sb="4" eb="6">
      <t>ヨミトリ</t>
    </rPh>
    <phoneticPr fontId="17"/>
  </si>
  <si>
    <t>カードの読取できないこと（電子多項目横）</t>
    <rPh sb="4" eb="6">
      <t>ヨミトリ</t>
    </rPh>
    <rPh sb="13" eb="15">
      <t>デンシ</t>
    </rPh>
    <rPh sb="15" eb="16">
      <t>タ</t>
    </rPh>
    <rPh sb="16" eb="18">
      <t>コウモク</t>
    </rPh>
    <rPh sb="18" eb="19">
      <t>ヨコ</t>
    </rPh>
    <phoneticPr fontId="17"/>
  </si>
  <si>
    <t>Edyは検証環境で使用不可</t>
    <rPh sb="4" eb="6">
      <t>ケンショウ</t>
    </rPh>
    <rPh sb="6" eb="8">
      <t>カンキョウ</t>
    </rPh>
    <rPh sb="9" eb="11">
      <t>シヨウ</t>
    </rPh>
    <rPh sb="11" eb="13">
      <t>フカ</t>
    </rPh>
    <phoneticPr fontId="23"/>
  </si>
  <si>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</si>
  <si>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ドロアがオープンすること
※RT-200→自動オープン
※RT-500→手動オープン</t>
    <rPh sb="21" eb="23">
      <t>ジドウ</t>
    </rPh>
    <rPh sb="36" eb="38">
      <t>シュドウ</t>
    </rPh>
    <phoneticPr fontId="17"/>
  </si>
  <si>
    <t>NG数：</t>
    <phoneticPr fontId="23"/>
  </si>
  <si>
    <t>OK数：</t>
    <phoneticPr fontId="23"/>
  </si>
  <si>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</si>
  <si>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</si>
  <si>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</si>
  <si>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CTKYLOG2</t>
    <phoneticPr fontId="23"/>
  </si>
  <si>
    <t>CTKYLOGを開き、エラーが出力されていないこと</t>
    <rPh sb="8" eb="9">
      <t>ヒラ</t>
    </rPh>
    <rPh sb="15" eb="17">
      <t>シュツリョク</t>
    </rPh>
    <phoneticPr fontId="3"/>
  </si>
  <si>
    <t>CTKYLOG2を開き、エラーが出力されていないこと</t>
    <rPh sb="9" eb="10">
      <t>ヒラ</t>
    </rPh>
    <phoneticPr fontId="17"/>
  </si>
  <si>
    <t>MSR（カードリーダ）</t>
    <phoneticPr fontId="23"/>
  </si>
  <si>
    <t>SPS</t>
    <phoneticPr fontId="23"/>
  </si>
  <si>
    <t>【PS操作】
支払ー現金</t>
    <rPh sb="3" eb="5">
      <t>ソウサ</t>
    </rPh>
    <rPh sb="7" eb="9">
      <t>シハライ</t>
    </rPh>
    <rPh sb="10" eb="12">
      <t>ゲンキン</t>
    </rPh>
    <phoneticPr fontId="23"/>
  </si>
  <si>
    <t>【SS操作】
商品券ー無し</t>
    <rPh sb="3" eb="5">
      <t>ソウサ</t>
    </rPh>
    <rPh sb="7" eb="9">
      <t>ショウヒン</t>
    </rPh>
    <rPh sb="9" eb="10">
      <t>ケン</t>
    </rPh>
    <rPh sb="11" eb="12">
      <t>ナシ</t>
    </rPh>
    <phoneticPr fontId="23"/>
  </si>
  <si>
    <t>【PS操作】
支払ークレジット</t>
    <rPh sb="3" eb="5">
      <t>ソウサ</t>
    </rPh>
    <rPh sb="7" eb="9">
      <t>シハライ</t>
    </rPh>
    <phoneticPr fontId="23"/>
  </si>
  <si>
    <t>【SS操作】
商品券ー無し
支払ークレジット</t>
    <rPh sb="3" eb="5">
      <t>ソウサ</t>
    </rPh>
    <rPh sb="7" eb="9">
      <t>ショウヒン</t>
    </rPh>
    <rPh sb="9" eb="10">
      <t>ケン</t>
    </rPh>
    <rPh sb="11" eb="12">
      <t>ナシ</t>
    </rPh>
    <phoneticPr fontId="23"/>
  </si>
  <si>
    <t>【SS操作】
商品券ー有り
支払ー商品券のみ</t>
    <rPh sb="3" eb="5">
      <t>ソウサ</t>
    </rPh>
    <rPh sb="7" eb="9">
      <t>ショウヒン</t>
    </rPh>
    <rPh sb="9" eb="10">
      <t>ケン</t>
    </rPh>
    <rPh sb="11" eb="12">
      <t>ア</t>
    </rPh>
    <rPh sb="17" eb="20">
      <t>ショウヒンケン</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</si>
  <si>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</si>
  <si>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</si>
  <si>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【SS操作】
会員宣言ー有り
（クラブカード)</t>
    <rPh sb="3" eb="5">
      <t>ソウサ</t>
    </rPh>
    <rPh sb="7" eb="9">
      <t>カイイン</t>
    </rPh>
    <rPh sb="9" eb="11">
      <t>センゲン</t>
    </rPh>
    <rPh sb="12" eb="13">
      <t>ア</t>
    </rPh>
    <phoneticPr fontId="23"/>
  </si>
  <si>
    <t>【SS操作】
会員宣言ー有り
（Vカード）</t>
    <rPh sb="3" eb="5">
      <t>ソウサ</t>
    </rPh>
    <rPh sb="7" eb="9">
      <t>カイイン</t>
    </rPh>
    <rPh sb="9" eb="11">
      <t>センゲン</t>
    </rPh>
    <rPh sb="12" eb="13">
      <t>ア</t>
    </rPh>
    <phoneticPr fontId="23"/>
  </si>
  <si>
    <t>ー</t>
  </si>
  <si>
    <t xml:space="preserve">タイトルー「お支払方法を選んでください」の画面で、
【係員呼出】をタッチ
</t>
    <rPh sb="21" eb="23">
      <t>ガメン</t>
    </rPh>
    <phoneticPr fontId="23"/>
  </si>
  <si>
    <t>レイアウト変更</t>
    <rPh sb="5" eb="7">
      <t>ヘンコウ</t>
    </rPh>
    <phoneticPr fontId="21"/>
  </si>
  <si>
    <t>更新日：</t>
    <phoneticPr fontId="4"/>
  </si>
  <si>
    <t>いなげや様 サーバ　リグレッションテスト仕様書</t>
    <phoneticPr fontId="4"/>
  </si>
  <si>
    <t>いなげや様 セルフペイメント　リグレッションテスト仕様書　</t>
    <rPh sb="4" eb="5">
      <t>サマ</t>
    </rPh>
    <rPh sb="25" eb="28">
      <t>シヨウショ</t>
    </rPh>
    <phoneticPr fontId="23"/>
  </si>
  <si>
    <t>いなげや様 パッケージ　リグレッションテスト仕様書　</t>
    <rPh sb="4" eb="5">
      <t>サマ</t>
    </rPh>
    <rPh sb="22" eb="25">
      <t>シヨウショ</t>
    </rPh>
    <phoneticPr fontId="23"/>
  </si>
  <si>
    <t>ｶｽﾀﾏ
ﾃﾞｨｽ
ﾌﾟﾚｲ</t>
    <phoneticPr fontId="4"/>
  </si>
  <si>
    <t>多項目
ｵﾍﾟﾚｰﾀ</t>
    <phoneticPr fontId="4"/>
  </si>
  <si>
    <t>多項目
ｶｽﾀﾏ</t>
    <phoneticPr fontId="4"/>
  </si>
  <si>
    <t>ｼﾞｬｰﾅﾙ</t>
    <phoneticPr fontId="4"/>
  </si>
  <si>
    <t>ﾚｼｰﾄ</t>
    <phoneticPr fontId="4"/>
  </si>
  <si>
    <t>ﾄﾞﾛｱ</t>
    <phoneticPr fontId="4"/>
  </si>
  <si>
    <t>ﾚﾎﾟｰﾄ</t>
    <phoneticPr fontId="4"/>
  </si>
  <si>
    <t>KB操作</t>
    <phoneticPr fontId="4"/>
  </si>
  <si>
    <t>ﾌｧﾝｸｼｮﾝ
操作</t>
    <phoneticPr fontId="4"/>
  </si>
  <si>
    <t>ﾌｧｲﾙ
ﾚｲｱｳﾄ</t>
    <phoneticPr fontId="4"/>
  </si>
  <si>
    <t>ﾛｸﾞ</t>
    <phoneticPr fontId="4"/>
  </si>
  <si>
    <t>大分類</t>
    <rPh sb="1" eb="3">
      <t>ブンルイ</t>
    </rPh>
    <phoneticPr fontId="4"/>
  </si>
  <si>
    <t>中分類</t>
    <rPh sb="1" eb="3">
      <t>ブンルイ</t>
    </rPh>
    <phoneticPr fontId="4"/>
  </si>
  <si>
    <t>小分類</t>
    <rPh sb="1" eb="3">
      <t>ブンルイ</t>
    </rPh>
    <phoneticPr fontId="4"/>
  </si>
  <si>
    <t>超超簡易版　確認件数（○）</t>
    <rPh sb="0" eb="1">
      <t>チョウ</t>
    </rPh>
    <rPh sb="1" eb="2">
      <t>チョウ</t>
    </rPh>
    <rPh sb="2" eb="4">
      <t>カンイ</t>
    </rPh>
    <rPh sb="4" eb="5">
      <t>バン</t>
    </rPh>
    <rPh sb="6" eb="8">
      <t>カクニン</t>
    </rPh>
    <rPh sb="8" eb="10">
      <t>ケンスウ</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</si>
  <si>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</si>
  <si>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</si>
  <si>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</si>
  <si>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</si>
  <si>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担当者の新規登録ができ、POSに反映すること</t>
    <rPh sb="0" eb="3">
      <t>タントウシャ</t>
    </rPh>
    <rPh sb="4" eb="6">
      <t>シンキ</t>
    </rPh>
    <rPh sb="6" eb="8">
      <t>トウロク</t>
    </rPh>
    <rPh sb="16" eb="18">
      <t>ハンエイ</t>
    </rPh>
    <phoneticPr fontId="4"/>
  </si>
  <si>
    <t>新規で単品の登録ができ、POSに反映すること</t>
    <rPh sb="0" eb="2">
      <t>シンキ</t>
    </rPh>
    <rPh sb="3" eb="5">
      <t>タンピン</t>
    </rPh>
    <rPh sb="6" eb="8">
      <t>トウロク</t>
    </rPh>
    <rPh sb="16" eb="18">
      <t>ハンエイ</t>
    </rPh>
    <phoneticPr fontId="4"/>
  </si>
  <si>
    <t>マークダウンの設定操作が可能であり、POSに反映すること</t>
    <rPh sb="7" eb="9">
      <t>セッテイ</t>
    </rPh>
    <rPh sb="9" eb="11">
      <t>ソウサ</t>
    </rPh>
    <rPh sb="12" eb="14">
      <t>カノウ</t>
    </rPh>
    <rPh sb="22" eb="24">
      <t>ハンエイ</t>
    </rPh>
    <phoneticPr fontId="4"/>
  </si>
  <si>
    <t>特売の設定ができ、POSに反映すること</t>
    <rPh sb="0" eb="2">
      <t>トクバイ</t>
    </rPh>
    <rPh sb="3" eb="5">
      <t>セッテイ</t>
    </rPh>
    <rPh sb="13" eb="15">
      <t>ハンエイ</t>
    </rPh>
    <phoneticPr fontId="4"/>
  </si>
  <si>
    <t>バンドル設定ができ、POSに反映すること</t>
    <rPh sb="4" eb="6">
      <t>セッテイ</t>
    </rPh>
    <rPh sb="14" eb="16">
      <t>ハンエイ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</si>
  <si>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</si>
  <si>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電子多項目の設定ができ、POSに反映すること</t>
    <rPh sb="0" eb="2">
      <t>デンシ</t>
    </rPh>
    <rPh sb="2" eb="3">
      <t>タ</t>
    </rPh>
    <rPh sb="3" eb="5">
      <t>コウモク</t>
    </rPh>
    <rPh sb="6" eb="8">
      <t>セッテイ</t>
    </rPh>
    <rPh sb="16" eb="18">
      <t>ハンエイ</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</si>
  <si>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</si>
  <si>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お知らせメッセージの設定変更ができ、POSに反映すること</t>
    <rPh sb="1" eb="2">
      <t>シ</t>
    </rPh>
    <rPh sb="10" eb="12">
      <t>セッテイ</t>
    </rPh>
    <rPh sb="12" eb="14">
      <t>ヘンコウ</t>
    </rPh>
    <rPh sb="22" eb="24">
      <t>ハンエイ</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</si>
  <si>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</si>
  <si>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</si>
  <si>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</si>
  <si>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テスト項目</t>
    <phoneticPr fontId="4"/>
  </si>
  <si>
    <t>ポイント修正</t>
    <rPh sb="4" eb="6">
      <t>シュウセイ</t>
    </rPh>
    <phoneticPr fontId="17"/>
  </si>
  <si>
    <t>ポイント修正</t>
    <rPh sb="4" eb="6">
      <t>シュウセイ</t>
    </rPh>
    <phoneticPr fontId="23"/>
  </si>
  <si>
    <t>正常開局</t>
    <rPh sb="0" eb="2">
      <t>セイジョウ</t>
    </rPh>
    <rPh sb="2" eb="4">
      <t>カイキョク</t>
    </rPh>
    <phoneticPr fontId="23"/>
  </si>
  <si>
    <t>キーレイアウト</t>
    <phoneticPr fontId="23"/>
  </si>
  <si>
    <t>さんにち割引</t>
    <rPh sb="4" eb="6">
      <t>ワリビキ</t>
    </rPh>
    <phoneticPr fontId="23"/>
  </si>
  <si>
    <t>レシート印字</t>
    <rPh sb="4" eb="6">
      <t>インジ</t>
    </rPh>
    <phoneticPr fontId="17"/>
  </si>
  <si>
    <t>正常動作確認</t>
    <rPh sb="0" eb="2">
      <t>セイジョウ</t>
    </rPh>
    <rPh sb="2" eb="4">
      <t>ドウサ</t>
    </rPh>
    <rPh sb="4" eb="6">
      <t>カクニン</t>
    </rPh>
    <phoneticPr fontId="23"/>
  </si>
  <si>
    <t>エラー出力確認</t>
    <rPh sb="3" eb="5">
      <t>シュツリョク</t>
    </rPh>
    <rPh sb="5" eb="7">
      <t>カクニン</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</si>
  <si>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</si>
  <si>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</si>
  <si>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レシート印字（クレジット）</t>
    <rPh sb="4" eb="6">
      <t>インジ</t>
    </rPh>
    <phoneticPr fontId="17"/>
  </si>
  <si>
    <t>カードの読み込みができること（ＩＣあり・ＩＣなし）</t>
    <rPh sb="4" eb="5">
      <t>ヨ</t>
    </rPh>
    <rPh sb="6" eb="7">
      <t>コ</t>
    </rPh>
    <phoneticPr fontId="23"/>
  </si>
  <si>
    <t>ポイント計算
（判定）</t>
    <rPh sb="4" eb="6">
      <t>ケイサン</t>
    </rPh>
    <rPh sb="8" eb="10">
      <t>ハンテイ</t>
    </rPh>
    <phoneticPr fontId="17"/>
  </si>
  <si>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</si>
  <si>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</si>
  <si>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クレジット</t>
    <phoneticPr fontId="23"/>
  </si>
  <si>
    <t>支払時にクレジット宣言後カードを挿入し、
POSのガイダンスが「小計を押してください」に
なる直前にクリア押下</t>
    <phoneticPr fontId="23"/>
  </si>
  <si>
    <t>アプリケーションエラーが表示されPOSが落ちないこと。</t>
    <phoneticPr fontId="23"/>
  </si>
  <si>
    <t>【その他】</t>
    <rPh sb="3" eb="4">
      <t>タ</t>
    </rPh>
    <phoneticPr fontId="23"/>
  </si>
  <si>
    <t>【SS】
取引別点検レシートが出力されること。</t>
    <rPh sb="5" eb="7">
      <t>トリヒキ</t>
    </rPh>
    <rPh sb="7" eb="8">
      <t>ベツ</t>
    </rPh>
    <rPh sb="8" eb="10">
      <t>テンケン</t>
    </rPh>
    <rPh sb="15" eb="17">
      <t>シュツリョク</t>
    </rPh>
    <phoneticPr fontId="23"/>
  </si>
  <si>
    <t>出力先：C:\ESL\1\DATA\xxx000yyyymmddhhmmssESLDATA.txt</t>
    <rPh sb="0" eb="2">
      <t>シュツリョク</t>
    </rPh>
    <rPh sb="2" eb="3">
      <t>サキ</t>
    </rPh>
    <phoneticPr fontId="4"/>
  </si>
  <si>
    <t>商品階層自動値引実行中商品にて、
ESL連携ファイル出力コードが"000005"となっていること</t>
    <rPh sb="8" eb="11">
      <t>ジッコウチュウ</t>
    </rPh>
    <rPh sb="11" eb="13">
      <t>ショウヒン</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</si>
  <si>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</si>
  <si>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標準PTFベースアップ項目追記</t>
    <rPh sb="0" eb="2">
      <t>ヒョウジュン</t>
    </rPh>
    <rPh sb="11" eb="13">
      <t>コウモク</t>
    </rPh>
    <rPh sb="13" eb="15">
      <t>ツイキ</t>
    </rPh>
    <phoneticPr fontId="21"/>
  </si>
  <si>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</si>
  <si>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商品JANコードを入力しPLUボタン</t>
    <rPh sb="0" eb="2">
      <t>ショウヒン</t>
    </rPh>
    <rPh sb="9" eb="11">
      <t>ニュウリョク</t>
    </rPh>
    <phoneticPr fontId="23"/>
  </si>
  <si>
    <t>動作すること</t>
    <rPh sb="0" eb="2">
      <t>ドウサ</t>
    </rPh>
    <phoneticPr fontId="17"/>
  </si>
  <si>
    <t>クレジット払いができること</t>
    <rPh sb="5" eb="6">
      <t>バラ</t>
    </rPh>
    <phoneticPr fontId="23"/>
  </si>
  <si>
    <t>Suica</t>
    <phoneticPr fontId="23"/>
  </si>
  <si>
    <t>Suica支払が行えること</t>
    <phoneticPr fontId="23"/>
  </si>
  <si>
    <t>IC決済端末</t>
    <rPh sb="2" eb="4">
      <t>ケッサイ</t>
    </rPh>
    <rPh sb="4" eb="6">
      <t>タンマツ</t>
    </rPh>
    <phoneticPr fontId="17"/>
  </si>
  <si>
    <t>Vカード会員宣言ができること</t>
    <rPh sb="4" eb="6">
      <t>カイイン</t>
    </rPh>
    <rPh sb="6" eb="8">
      <t>センゲン</t>
    </rPh>
    <phoneticPr fontId="23"/>
  </si>
  <si>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</si>
  <si>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</si>
  <si>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レポート/オンライン</t>
    <phoneticPr fontId="23"/>
  </si>
  <si>
    <t>レポート/オフライン</t>
    <phoneticPr fontId="23"/>
  </si>
  <si>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</si>
  <si>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ingfan会員バーコード</t>
    <rPh sb="6" eb="8">
      <t>カイイン</t>
    </rPh>
    <phoneticPr fontId="17"/>
  </si>
  <si>
    <t>入力エラーとなること</t>
    <rPh sb="0" eb="2">
      <t>ニュウリョク</t>
    </rPh>
    <phoneticPr fontId="17"/>
  </si>
  <si>
    <t>読取りできないこと</t>
    <rPh sb="0" eb="2">
      <t>ヨミトリ</t>
    </rPh>
    <phoneticPr fontId="17"/>
  </si>
  <si>
    <t>項目精査実施</t>
    <rPh sb="0" eb="2">
      <t>コウモク</t>
    </rPh>
    <rPh sb="2" eb="4">
      <t>セイサ</t>
    </rPh>
    <rPh sb="4" eb="6">
      <t>ジッシ</t>
    </rPh>
    <phoneticPr fontId="21"/>
  </si>
  <si>
    <t>NON－PLUコード</t>
    <phoneticPr fontId="17"/>
  </si>
  <si>
    <t>Esc+Ctrlボタン押下後、イベントビューアを開き、
「システム」のイベントログを開く。</t>
    <rPh sb="11" eb="13">
      <t>オウカ</t>
    </rPh>
    <rPh sb="13" eb="14">
      <t>ゴ</t>
    </rPh>
    <rPh sb="24" eb="25">
      <t>ヒラ</t>
    </rPh>
    <rPh sb="42" eb="43">
      <t>ヒラ</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</si>
  <si>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</si>
  <si>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ログ確認
対象POS　C:\GSFD直下</t>
    <rPh sb="2" eb="4">
      <t>カクニン</t>
    </rPh>
    <phoneticPr fontId="23"/>
  </si>
  <si>
    <t>ログ確認
対象POS　C:\CTKY直下</t>
    <rPh sb="2" eb="4">
      <t>カクニン</t>
    </rPh>
    <phoneticPr fontId="23"/>
  </si>
  <si>
    <t>動作確認
部門コード　クラスボタン</t>
    <rPh sb="0" eb="2">
      <t>ドウサ</t>
    </rPh>
    <rPh sb="2" eb="4">
      <t>カクニン</t>
    </rPh>
    <phoneticPr fontId="23"/>
  </si>
  <si>
    <t>読取エラーを想定し、会員識別外のバーコード
2899999999994</t>
    <rPh sb="0" eb="2">
      <t>ヨミトリ</t>
    </rPh>
    <rPh sb="6" eb="8">
      <t>ソウテイ</t>
    </rPh>
    <rPh sb="10" eb="12">
      <t>カイイン</t>
    </rPh>
    <rPh sb="12" eb="14">
      <t>シキベツ</t>
    </rPh>
    <rPh sb="14" eb="15">
      <t>ガイ</t>
    </rPh>
    <phoneticPr fontId="23"/>
  </si>
  <si>
    <t>読取エラーを想定し、
チェックデジット不一致のバーコード
2818208658799</t>
    <rPh sb="0" eb="2">
      <t>ヨミトリ</t>
    </rPh>
    <rPh sb="6" eb="8">
      <t>ソウテイ</t>
    </rPh>
    <rPh sb="19" eb="22">
      <t>フイッチ</t>
    </rPh>
    <phoneticPr fontId="23"/>
  </si>
  <si>
    <t>対象POS　C:\GSTR\RAFT\log直下</t>
    <phoneticPr fontId="17"/>
  </si>
  <si>
    <t>預合計
→PS指定（ボタンタッチ）</t>
    <rPh sb="7" eb="9">
      <t>シテイ</t>
    </rPh>
    <phoneticPr fontId="23"/>
  </si>
  <si>
    <t xml:space="preserve">現金を投入。
</t>
    <phoneticPr fontId="23"/>
  </si>
  <si>
    <t>【係員呼出】をタッチ。</t>
    <phoneticPr fontId="23"/>
  </si>
  <si>
    <t xml:space="preserve">「お支払方法を選んでください」画面で【現金】を選択。
</t>
    <rPh sb="15" eb="17">
      <t>ガメン</t>
    </rPh>
    <rPh sb="23" eb="25">
      <t>センタク</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</si>
  <si>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</si>
  <si>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【呼出取消】をタッチ。</t>
    <phoneticPr fontId="23"/>
  </si>
  <si>
    <t>【係員呼出】をタッチ。</t>
    <phoneticPr fontId="23"/>
  </si>
  <si>
    <t>ー</t>
    <phoneticPr fontId="23"/>
  </si>
  <si>
    <t>タイトルー「お支払い」の画面で、
ご精算券のQRコードをスキャン。</t>
    <rPh sb="7" eb="9">
      <t>シハラ</t>
    </rPh>
    <rPh sb="12" eb="14">
      <t>ガメン</t>
    </rPh>
    <rPh sb="18" eb="20">
      <t>セイサン</t>
    </rPh>
    <rPh sb="20" eb="21">
      <t>ケン</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</si>
  <si>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</si>
  <si>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決済端末で「ICカードをお取りください」表示後にカードを抜き取り。
</t>
    <rPh sb="9" eb="11">
      <t>ソウニュウ</t>
    </rPh>
    <rPh sb="11" eb="12">
      <t>ゴ</t>
    </rPh>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</si>
  <si>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</si>
  <si>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</si>
  <si>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預合計
→商品券登録　★
→【ご精算券】タッチ</t>
    <rPh sb="16" eb="18">
      <t>セイサン</t>
    </rPh>
    <rPh sb="18" eb="19">
      <t>ケン</t>
    </rPh>
    <phoneticPr fontId="23"/>
  </si>
  <si>
    <t>預合計
→商品券登録　★
→PS指定（ボタンタッチ）</t>
    <rPh sb="16" eb="18">
      <t>シテイ</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</si>
  <si>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</si>
  <si>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</si>
  <si>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</si>
  <si>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</si>
  <si>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</si>
  <si>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</si>
  <si>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</si>
  <si>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 xml:space="preserve">クレジットカードを挿入後、すぐにカード抜き取り。
</t>
    <rPh sb="9" eb="11">
      <t>ソウニュウ</t>
    </rPh>
    <rPh sb="11" eb="12">
      <t>ゴ</t>
    </rPh>
    <phoneticPr fontId="23"/>
  </si>
  <si>
    <t xml:space="preserve">アテンダントコードスキャン。
</t>
    <phoneticPr fontId="23"/>
  </si>
  <si>
    <t>【OK】をタッチ。</t>
    <phoneticPr fontId="23"/>
  </si>
  <si>
    <t>エラーの確認</t>
    <rPh sb="4" eb="6">
      <t>カクニン</t>
    </rPh>
    <phoneticPr fontId="23"/>
  </si>
  <si>
    <t>PTFLOG2を開き、エラーが出力されていないこと</t>
    <phoneticPr fontId="4"/>
  </si>
  <si>
    <t>外付け適用</t>
    <rPh sb="0" eb="1">
      <t>ソト</t>
    </rPh>
    <rPh sb="1" eb="2">
      <t>ヅ</t>
    </rPh>
    <rPh sb="3" eb="5">
      <t>テキヨウ</t>
    </rPh>
    <phoneticPr fontId="4"/>
  </si>
  <si>
    <t>CTKYLOG</t>
    <phoneticPr fontId="4"/>
  </si>
  <si>
    <t>CTKYLOG2</t>
    <phoneticPr fontId="4"/>
  </si>
  <si>
    <t>CTKYLOGを開き、エラーが出力されていないこと</t>
    <rPh sb="8" eb="9">
      <t>ヒラ</t>
    </rPh>
    <rPh sb="15" eb="17">
      <t>シュツリョク</t>
    </rPh>
    <phoneticPr fontId="4"/>
  </si>
  <si>
    <t>CTKYLOG2を開き、エラーが出力されていないこと</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</si>
  <si>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</si>
  <si>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POS稼動状況確認</t>
    <rPh sb="3" eb="5">
      <t>カドウ</t>
    </rPh>
    <rPh sb="5" eb="7">
      <t>ジョウキョウ</t>
    </rPh>
    <rPh sb="7" eb="9">
      <t>カクニン</t>
    </rPh>
    <phoneticPr fontId="4"/>
  </si>
  <si>
    <t>店舗</t>
    <rPh sb="0" eb="2">
      <t>テンポ</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</si>
  <si>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</si>
  <si>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 xml:space="preserve"> システム管理</t>
    <phoneticPr fontId="4"/>
  </si>
  <si>
    <t>各種リスト出力</t>
    <rPh sb="0" eb="2">
      <t>カクシュ</t>
    </rPh>
    <rPh sb="5" eb="7">
      <t>シュツリョク</t>
    </rPh>
    <phoneticPr fontId="4"/>
  </si>
  <si>
    <t>商品管理
単品設定</t>
    <rPh sb="0" eb="2">
      <t>ショウヒン</t>
    </rPh>
    <rPh sb="2" eb="4">
      <t>カンリ</t>
    </rPh>
    <rPh sb="5" eb="7">
      <t>タンピン</t>
    </rPh>
    <rPh sb="7" eb="9">
      <t>セッテイ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</si>
  <si>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</si>
  <si>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</si>
  <si>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</si>
  <si>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売変</t>
    <rPh sb="0" eb="2">
      <t>バイヘン</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</si>
  <si>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</si>
  <si>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特売単品</t>
    <rPh sb="0" eb="2">
      <t>ヤマヅ</t>
    </rPh>
    <rPh sb="3" eb="5">
      <t>キカク</t>
    </rPh>
    <rPh sb="5" eb="7">
      <t>セッテイ</t>
    </rPh>
    <rPh sb="8" eb="10">
      <t>トクバイ</t>
    </rPh>
    <rPh sb="10" eb="12">
      <t>タンピン</t>
    </rPh>
    <phoneticPr fontId="4"/>
  </si>
  <si>
    <t>山積・企画設定
組合せグループ</t>
    <rPh sb="0" eb="2">
      <t>ヤマヅ</t>
    </rPh>
    <rPh sb="3" eb="5">
      <t>キカク</t>
    </rPh>
    <rPh sb="5" eb="7">
      <t>セッテイ</t>
    </rPh>
    <rPh sb="8" eb="9">
      <t>ク</t>
    </rPh>
    <rPh sb="9" eb="10">
      <t>ア</t>
    </rPh>
    <phoneticPr fontId="4"/>
  </si>
  <si>
    <t>青果・単品グループ設定</t>
    <rPh sb="0" eb="2">
      <t>セイカ</t>
    </rPh>
    <rPh sb="3" eb="5">
      <t>タンピン</t>
    </rPh>
    <rPh sb="9" eb="11">
      <t>セッテイ</t>
    </rPh>
    <phoneticPr fontId="4"/>
  </si>
  <si>
    <t>お知らせメッセージメンテナンス</t>
    <rPh sb="1" eb="2">
      <t>シ</t>
    </rPh>
    <phoneticPr fontId="4"/>
  </si>
  <si>
    <t>電子ジャーナル照会</t>
    <rPh sb="7" eb="9">
      <t>ショウカイ</t>
    </rPh>
    <phoneticPr fontId="4"/>
  </si>
  <si>
    <t>店舗</t>
    <rPh sb="0" eb="2">
      <t>テンポ</t>
    </rPh>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</si>
  <si>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</si>
  <si>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</si>
  <si>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</si>
  <si>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</si>
  <si>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</si>
  <si>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電子ジャーナル照会
(F11)ﾃｷｽﾄ</t>
    <rPh sb="7" eb="9">
      <t>ショウカイ</t>
    </rPh>
    <phoneticPr fontId="4"/>
  </si>
  <si>
    <t>電子ジャーナル照会
(F3)詳細</t>
    <rPh sb="7" eb="9">
      <t>ショウカイ</t>
    </rPh>
    <rPh sb="14" eb="16">
      <t>ショウサイ</t>
    </rPh>
    <phoneticPr fontId="4"/>
  </si>
  <si>
    <t>売上速報</t>
    <rPh sb="0" eb="2">
      <t>ウリアゲ</t>
    </rPh>
    <rPh sb="2" eb="4">
      <t>ソクホウ</t>
    </rPh>
    <phoneticPr fontId="4"/>
  </si>
  <si>
    <t>システム管理</t>
    <rPh sb="4" eb="6">
      <t>カンリ</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</si>
  <si>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</si>
  <si>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</si>
  <si>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時間帯別速報（当日分）
POS別時間帯別速報</t>
    <rPh sb="15" eb="16">
      <t>ベツ</t>
    </rPh>
    <rPh sb="16" eb="18">
      <t>ジカン</t>
    </rPh>
    <rPh sb="18" eb="19">
      <t>タイ</t>
    </rPh>
    <rPh sb="19" eb="20">
      <t>ベツ</t>
    </rPh>
    <rPh sb="20" eb="22">
      <t>ソクホウ</t>
    </rPh>
    <phoneticPr fontId="4"/>
  </si>
  <si>
    <t>商品階層別
商品階層別日報</t>
    <rPh sb="6" eb="8">
      <t>ショウヒン</t>
    </rPh>
    <rPh sb="8" eb="10">
      <t>カイソウ</t>
    </rPh>
    <rPh sb="10" eb="11">
      <t>ベツ</t>
    </rPh>
    <rPh sb="11" eb="13">
      <t>ニッポウ</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</si>
  <si>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</si>
  <si>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</si>
  <si>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</si>
  <si>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</si>
  <si>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</si>
  <si>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</si>
  <si>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</si>
  <si>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キーレイアウト設定</t>
    <phoneticPr fontId="4"/>
  </si>
  <si>
    <t>システム管理</t>
    <rPh sb="4" eb="6">
      <t>カンリ</t>
    </rPh>
    <phoneticPr fontId="4"/>
  </si>
  <si>
    <t>システム設定</t>
    <rPh sb="4" eb="6">
      <t>セッテイ</t>
    </rPh>
    <phoneticPr fontId="4"/>
  </si>
  <si>
    <t>閉店保守
強制精算</t>
    <rPh sb="5" eb="7">
      <t>キョウセイ</t>
    </rPh>
    <rPh sb="7" eb="9">
      <t>セイサン</t>
    </rPh>
    <phoneticPr fontId="4"/>
  </si>
  <si>
    <t>〇</t>
    <phoneticPr fontId="4"/>
  </si>
  <si>
    <t>ログ確認</t>
    <rPh sb="2" eb="4">
      <t>カクニン</t>
    </rPh>
    <phoneticPr fontId="4"/>
  </si>
  <si>
    <t>ESL</t>
    <phoneticPr fontId="4"/>
  </si>
  <si>
    <t>ESLログ</t>
    <phoneticPr fontId="4"/>
  </si>
  <si>
    <t>結果</t>
    <rPh sb="0" eb="2">
      <t>ケッカ</t>
    </rPh>
    <phoneticPr fontId="4"/>
  </si>
  <si>
    <t>×</t>
    <phoneticPr fontId="4"/>
  </si>
  <si>
    <t>結果
件数</t>
    <rPh sb="0" eb="2">
      <t>ケッカ</t>
    </rPh>
    <rPh sb="3" eb="5">
      <t>ケンスウ</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</si>
  <si>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</si>
  <si>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</si>
  <si>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</si>
  <si>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とくし丸リグレッションシート作成</t>
    <rPh sb="3" eb="4">
      <t>マル</t>
    </rPh>
    <rPh sb="14" eb="16">
      <t>サクセイ</t>
    </rPh>
    <phoneticPr fontId="21"/>
  </si>
  <si>
    <t>リグレッション（定型確認）</t>
    <rPh sb="8" eb="10">
      <t>テイケイ</t>
    </rPh>
    <rPh sb="10" eb="12">
      <t>カクニン</t>
    </rPh>
    <phoneticPr fontId="3"/>
  </si>
  <si>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</si>
  <si>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ミックス販売設定ができ、POSに反映すること</t>
    <rPh sb="4" eb="6">
      <t>ハンバイ</t>
    </rPh>
    <rPh sb="6" eb="8">
      <t>セッテイ</t>
    </rPh>
    <rPh sb="16" eb="18">
      <t>ハンエイ</t>
    </rPh>
    <phoneticPr fontId="4"/>
  </si>
  <si>
    <t>同一商品複数個で値引</t>
    <rPh sb="0" eb="2">
      <t>ドウイツ</t>
    </rPh>
    <rPh sb="2" eb="4">
      <t>ショウヒン</t>
    </rPh>
    <rPh sb="4" eb="7">
      <t>フクスウコ</t>
    </rPh>
    <rPh sb="8" eb="10">
      <t>ネビキ</t>
    </rPh>
    <phoneticPr fontId="4"/>
  </si>
  <si>
    <t>不同商品複数個で値引</t>
    <rPh sb="0" eb="2">
      <t>フドウ</t>
    </rPh>
    <rPh sb="2" eb="4">
      <t>ショウヒン</t>
    </rPh>
    <rPh sb="4" eb="6">
      <t>フクスウ</t>
    </rPh>
    <rPh sb="8" eb="10">
      <t>ネビキ</t>
    </rPh>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</si>
  <si>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</si>
  <si>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</si>
  <si>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</si>
  <si>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</si>
  <si>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</si>
  <si>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</si>
  <si>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</si>
  <si>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【PS】
タイトルー「決済端末で操作してください」
音声ー「決済端末で操作してください」
</t>
    <rPh sb="11" eb="13">
      <t>ケッサイ</t>
    </rPh>
    <rPh sb="13" eb="15">
      <t>タンマツ</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</si>
  <si>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</si>
  <si>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 xml:space="preserve">【PS】
以下画面が表示されていること。
ポップアップー「ICカード読み取りエラーが発生しました。」
</t>
    <rPh sb="34" eb="35">
      <t>ヨ</t>
    </rPh>
    <rPh sb="36" eb="37">
      <t>ト</t>
    </rPh>
    <rPh sb="42" eb="44">
      <t>ハッセイ</t>
    </rPh>
    <phoneticPr fontId="23"/>
  </si>
  <si>
    <t>決済端末</t>
    <rPh sb="0" eb="2">
      <t>ケッサイ</t>
    </rPh>
    <rPh sb="2" eb="4">
      <t>タンマツ</t>
    </rPh>
    <phoneticPr fontId="4"/>
  </si>
  <si>
    <t>支払い操作</t>
    <rPh sb="0" eb="2">
      <t>シハラ</t>
    </rPh>
    <rPh sb="3" eb="5">
      <t>ソウサ</t>
    </rPh>
    <phoneticPr fontId="23"/>
  </si>
  <si>
    <t>開局</t>
    <rPh sb="0" eb="2">
      <t>カイキョク</t>
    </rPh>
    <phoneticPr fontId="23"/>
  </si>
  <si>
    <t>会員番号登録</t>
    <rPh sb="0" eb="2">
      <t>カイイン</t>
    </rPh>
    <rPh sb="2" eb="4">
      <t>バンゴウ</t>
    </rPh>
    <rPh sb="4" eb="6">
      <t>トウロク</t>
    </rPh>
    <phoneticPr fontId="23"/>
  </si>
  <si>
    <t>Vカード</t>
    <phoneticPr fontId="17"/>
  </si>
  <si>
    <t>通番取消</t>
    <rPh sb="0" eb="2">
      <t>ツウバン</t>
    </rPh>
    <rPh sb="2" eb="4">
      <t>トリケシ</t>
    </rPh>
    <phoneticPr fontId="23"/>
  </si>
  <si>
    <t>通番修正</t>
    <rPh sb="0" eb="2">
      <t>ツウバン</t>
    </rPh>
    <rPh sb="2" eb="4">
      <t>シュウセイ</t>
    </rPh>
    <phoneticPr fontId="23"/>
  </si>
  <si>
    <t>開局処理</t>
    <rPh sb="0" eb="2">
      <t>カイキョク</t>
    </rPh>
    <rPh sb="2" eb="4">
      <t>ショリ</t>
    </rPh>
    <phoneticPr fontId="23"/>
  </si>
  <si>
    <t>正常に開局されること。決済端末が待機画面になること。</t>
    <rPh sb="11" eb="15">
      <t>ケッサイタンマツ</t>
    </rPh>
    <rPh sb="16" eb="18">
      <t>タイキ</t>
    </rPh>
    <rPh sb="18" eb="20">
      <t>ガメン</t>
    </rPh>
    <phoneticPr fontId="23"/>
  </si>
  <si>
    <t>Vカードで会員登録</t>
    <rPh sb="5" eb="7">
      <t>カイイン</t>
    </rPh>
    <rPh sb="7" eb="9">
      <t>トウロク</t>
    </rPh>
    <phoneticPr fontId="23"/>
  </si>
  <si>
    <t>VカードをICで読み込み</t>
    <rPh sb="8" eb="9">
      <t>ヨ</t>
    </rPh>
    <rPh sb="10" eb="11">
      <t>コ</t>
    </rPh>
    <phoneticPr fontId="23"/>
  </si>
  <si>
    <t>正常に会員登録できること</t>
    <rPh sb="3" eb="5">
      <t>カイイン</t>
    </rPh>
    <phoneticPr fontId="17"/>
  </si>
  <si>
    <t>元取引がVカード支払い</t>
    <rPh sb="0" eb="1">
      <t>モト</t>
    </rPh>
    <rPh sb="1" eb="3">
      <t>トリヒキ</t>
    </rPh>
    <rPh sb="8" eb="10">
      <t>シハラ</t>
    </rPh>
    <phoneticPr fontId="17"/>
  </si>
  <si>
    <t>元取引と同じVカードをICで読み込み</t>
    <rPh sb="0" eb="1">
      <t>モト</t>
    </rPh>
    <rPh sb="1" eb="3">
      <t>トリヒキ</t>
    </rPh>
    <rPh sb="4" eb="5">
      <t>オナ</t>
    </rPh>
    <rPh sb="14" eb="15">
      <t>ヨ</t>
    </rPh>
    <rPh sb="16" eb="17">
      <t>コ</t>
    </rPh>
    <phoneticPr fontId="23"/>
  </si>
  <si>
    <t>元取引と同じVカードをMSRで読み込み</t>
    <rPh sb="0" eb="1">
      <t>モト</t>
    </rPh>
    <rPh sb="1" eb="3">
      <t>トリヒキ</t>
    </rPh>
    <rPh sb="4" eb="5">
      <t>オナ</t>
    </rPh>
    <rPh sb="15" eb="16">
      <t>ヨ</t>
    </rPh>
    <rPh sb="17" eb="18">
      <t>コ</t>
    </rPh>
    <phoneticPr fontId="23"/>
  </si>
  <si>
    <t>正常に支払いが完了し売上登録できること</t>
    <rPh sb="3" eb="5">
      <t>シハラ</t>
    </rPh>
    <rPh sb="7" eb="9">
      <t>カンリョウ</t>
    </rPh>
    <phoneticPr fontId="17"/>
  </si>
  <si>
    <t>正常に取消処理が完了すること</t>
    <rPh sb="3" eb="5">
      <t>トリケシ</t>
    </rPh>
    <rPh sb="5" eb="7">
      <t>ショリ</t>
    </rPh>
    <rPh sb="8" eb="10">
      <t>カンリョウ</t>
    </rPh>
    <phoneticPr fontId="17"/>
  </si>
  <si>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</si>
  <si>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Satisfa</t>
    <phoneticPr fontId="23"/>
  </si>
  <si>
    <t>会員番号登録</t>
    <phoneticPr fontId="23"/>
  </si>
  <si>
    <t>Vカード</t>
    <phoneticPr fontId="23"/>
  </si>
  <si>
    <t>手入力</t>
    <rPh sb="0" eb="3">
      <t>テニュウリョク</t>
    </rPh>
    <phoneticPr fontId="17"/>
  </si>
  <si>
    <t>ingfan会員バーコードで会員登録</t>
    <rPh sb="14" eb="16">
      <t>カイイン</t>
    </rPh>
    <rPh sb="16" eb="18">
      <t>トウロク</t>
    </rPh>
    <phoneticPr fontId="23"/>
  </si>
  <si>
    <t>ingfanカード</t>
    <phoneticPr fontId="17"/>
  </si>
  <si>
    <t>手入力で会員登録</t>
    <rPh sb="0" eb="3">
      <t>テニュウリョク</t>
    </rPh>
    <rPh sb="4" eb="6">
      <t>カイイン</t>
    </rPh>
    <rPh sb="6" eb="8">
      <t>トウロク</t>
    </rPh>
    <phoneticPr fontId="23"/>
  </si>
  <si>
    <t>正常に会員登録できること。現在ポイントが正しく表示されること</t>
    <rPh sb="3" eb="5">
      <t>カイイン</t>
    </rPh>
    <rPh sb="13" eb="15">
      <t>ゲンザイ</t>
    </rPh>
    <rPh sb="20" eb="21">
      <t>タダ</t>
    </rPh>
    <rPh sb="23" eb="25">
      <t>ヒョウジ</t>
    </rPh>
    <phoneticPr fontId="17"/>
  </si>
  <si>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</si>
  <si>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</si>
  <si>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</si>
  <si>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</si>
  <si>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</si>
  <si>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自動釣銭釣札機</t>
    <rPh sb="0" eb="7">
      <t>ジドウツリセンツリサツキ</t>
    </rPh>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</si>
  <si>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</si>
  <si>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</si>
  <si>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</si>
  <si>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預り金処理</t>
    <phoneticPr fontId="23"/>
  </si>
  <si>
    <t>POS連携</t>
    <rPh sb="3" eb="5">
      <t>レンケイ</t>
    </rPh>
    <phoneticPr fontId="23"/>
  </si>
  <si>
    <t>出金処理</t>
    <rPh sb="0" eb="2">
      <t>シュッキン</t>
    </rPh>
    <rPh sb="2" eb="4">
      <t>ショリ</t>
    </rPh>
    <phoneticPr fontId="23"/>
  </si>
  <si>
    <t>入金処理（Xモード）</t>
    <rPh sb="0" eb="2">
      <t>ニュウキン</t>
    </rPh>
    <rPh sb="2" eb="4">
      <t>ショリ</t>
    </rPh>
    <phoneticPr fontId="23"/>
  </si>
  <si>
    <t>出金処理（Zモード）</t>
    <rPh sb="0" eb="2">
      <t>シュッキン</t>
    </rPh>
    <rPh sb="2" eb="4">
      <t>ショリ</t>
    </rPh>
    <phoneticPr fontId="23"/>
  </si>
  <si>
    <t>在高点検</t>
    <rPh sb="0" eb="1">
      <t>ザイ</t>
    </rPh>
    <rPh sb="1" eb="2">
      <t>タカ</t>
    </rPh>
    <rPh sb="2" eb="4">
      <t>テンケン</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</si>
  <si>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</si>
  <si>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</si>
  <si>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</si>
  <si>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あふれ金収納庫移動</t>
    <rPh sb="3" eb="4">
      <t>キン</t>
    </rPh>
    <rPh sb="4" eb="7">
      <t>シュウノウコ</t>
    </rPh>
    <rPh sb="7" eb="9">
      <t>イドウ</t>
    </rPh>
    <phoneticPr fontId="23"/>
  </si>
  <si>
    <t>正常に処理が完了すること。</t>
    <rPh sb="0" eb="2">
      <t>セイジョウ</t>
    </rPh>
    <rPh sb="3" eb="5">
      <t>ショリ</t>
    </rPh>
    <rPh sb="6" eb="8">
      <t>カンリョウ</t>
    </rPh>
    <phoneticPr fontId="23"/>
  </si>
  <si>
    <t>（PS / RT-380）</t>
    <phoneticPr fontId="23"/>
  </si>
  <si>
    <t>全回収</t>
    <rPh sb="0" eb="1">
      <t>ゼン</t>
    </rPh>
    <rPh sb="1" eb="3">
      <t>カイシュウ</t>
    </rPh>
    <phoneticPr fontId="23"/>
  </si>
  <si>
    <t>在高点検（Xモード）</t>
    <rPh sb="0" eb="2">
      <t>ザイタカ</t>
    </rPh>
    <rPh sb="2" eb="4">
      <t>テンケン</t>
    </rPh>
    <phoneticPr fontId="23"/>
  </si>
  <si>
    <t>全回収（Zモード）</t>
    <rPh sb="0" eb="1">
      <t>ゼン</t>
    </rPh>
    <rPh sb="1" eb="3">
      <t>カイシュウ</t>
    </rPh>
    <phoneticPr fontId="23"/>
  </si>
  <si>
    <t>紙幣途中回収（移動）（Zモード）</t>
    <rPh sb="0" eb="2">
      <t>シヘイ</t>
    </rPh>
    <rPh sb="2" eb="4">
      <t>トチュウ</t>
    </rPh>
    <rPh sb="4" eb="6">
      <t>カイシュウ</t>
    </rPh>
    <rPh sb="7" eb="9">
      <t>イドウ</t>
    </rPh>
    <phoneticPr fontId="23"/>
  </si>
  <si>
    <t>硬貨途中回収（Zモード）</t>
    <rPh sb="0" eb="2">
      <t>コウカ</t>
    </rPh>
    <rPh sb="2" eb="4">
      <t>トチュウ</t>
    </rPh>
    <rPh sb="4" eb="6">
      <t>カイシュウ</t>
    </rPh>
    <phoneticPr fontId="23"/>
  </si>
  <si>
    <t>ボックス回収（Zモード）</t>
    <rPh sb="4" eb="6">
      <t>カイシュウ</t>
    </rPh>
    <phoneticPr fontId="23"/>
  </si>
  <si>
    <t>あふれ金収納庫移動（Zモード）</t>
    <rPh sb="3" eb="4">
      <t>キン</t>
    </rPh>
    <rPh sb="4" eb="7">
      <t>シュウノウコ</t>
    </rPh>
    <rPh sb="7" eb="9">
      <t>イドウ</t>
    </rPh>
    <phoneticPr fontId="23"/>
  </si>
  <si>
    <t>POS開局時にエラーが発生しないこと</t>
    <rPh sb="3" eb="5">
      <t>カイキョク</t>
    </rPh>
    <rPh sb="5" eb="6">
      <t>トキ</t>
    </rPh>
    <rPh sb="11" eb="13">
      <t>ハッセイ</t>
    </rPh>
    <phoneticPr fontId="17"/>
  </si>
  <si>
    <t>開局処理</t>
    <rPh sb="0" eb="4">
      <t>カイキョクショリ</t>
    </rPh>
    <phoneticPr fontId="23"/>
  </si>
  <si>
    <t>いなげや様 Win10対応（POSサーバ）　リグレッションテスト仕様書　</t>
    <rPh sb="4" eb="5">
      <t>サマ</t>
    </rPh>
    <rPh sb="11" eb="13">
      <t>タイオウ</t>
    </rPh>
    <rPh sb="32" eb="35">
      <t>シヨウショ</t>
    </rPh>
    <phoneticPr fontId="23"/>
  </si>
  <si>
    <t>デバイス設定</t>
    <rPh sb="4" eb="6">
      <t>セッテイ</t>
    </rPh>
    <phoneticPr fontId="4"/>
  </si>
  <si>
    <t>デバイス設定ツール</t>
    <rPh sb="4" eb="6">
      <t>セッテイ</t>
    </rPh>
    <phoneticPr fontId="23"/>
  </si>
  <si>
    <t>ツール起動</t>
    <rPh sb="3" eb="5">
      <t>キドウ</t>
    </rPh>
    <phoneticPr fontId="23"/>
  </si>
  <si>
    <t>サーバ操作</t>
    <rPh sb="3" eb="5">
      <t>ソウサ</t>
    </rPh>
    <phoneticPr fontId="23"/>
  </si>
  <si>
    <t>レーンPOS用設定</t>
    <rPh sb="6" eb="7">
      <t>ヨウ</t>
    </rPh>
    <rPh sb="7" eb="9">
      <t>セッテイ</t>
    </rPh>
    <phoneticPr fontId="17"/>
  </si>
  <si>
    <t>ツールが正常に起動されること</t>
    <rPh sb="7" eb="9">
      <t>キドウ</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</si>
  <si>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</si>
  <si>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</si>
  <si>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</si>
  <si>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SS用設定</t>
    <rPh sb="2" eb="3">
      <t>ヨウ</t>
    </rPh>
    <rPh sb="3" eb="5">
      <t>セッテイ</t>
    </rPh>
    <phoneticPr fontId="17"/>
  </si>
  <si>
    <t>PS用設定</t>
    <rPh sb="2" eb="3">
      <t>ヨウ</t>
    </rPh>
    <rPh sb="3" eb="5">
      <t>セッテイ</t>
    </rPh>
    <phoneticPr fontId="17"/>
  </si>
  <si>
    <t>デバイスグループにPSのグループを設定</t>
    <rPh sb="17" eb="19">
      <t>セッテイ</t>
    </rPh>
    <phoneticPr fontId="23"/>
  </si>
  <si>
    <t>デバイスグループにSSのグループを設定</t>
    <rPh sb="17" eb="19">
      <t>セッテイ</t>
    </rPh>
    <phoneticPr fontId="23"/>
  </si>
  <si>
    <t>デバイスグループにレーンPOSのグループを設定</t>
    <rPh sb="21" eb="23">
      <t>セッテイ</t>
    </rPh>
    <phoneticPr fontId="23"/>
  </si>
  <si>
    <t>サーバ</t>
    <phoneticPr fontId="23"/>
  </si>
  <si>
    <t>帳票</t>
    <rPh sb="0" eb="2">
      <t>チョウヒョウ</t>
    </rPh>
    <phoneticPr fontId="23"/>
  </si>
  <si>
    <t>電子ｼﾞｬｰﾅﾙ</t>
    <rPh sb="0" eb="2">
      <t>デンシ</t>
    </rPh>
    <phoneticPr fontId="23"/>
  </si>
  <si>
    <t>ログ</t>
    <phoneticPr fontId="23"/>
  </si>
  <si>
    <t>ー</t>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</si>
  <si>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</si>
  <si>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</si>
  <si>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C:\GSFD\TOOL\デバイス\TP7000M240
GSFDDvcSelect_TP7000M240.exe を実行</t>
    <rPh sb="59" eb="61">
      <t>ジッコウ</t>
    </rPh>
    <phoneticPr fontId="23"/>
  </si>
  <si>
    <t>PS</t>
    <phoneticPr fontId="23"/>
  </si>
  <si>
    <t>SS</t>
    <phoneticPr fontId="23"/>
  </si>
  <si>
    <t>練習モード</t>
    <rPh sb="0" eb="2">
      <t>レンシュウ</t>
    </rPh>
    <phoneticPr fontId="23"/>
  </si>
  <si>
    <t>（通常操作）</t>
    <rPh sb="1" eb="3">
      <t>ツウジョウ</t>
    </rPh>
    <rPh sb="3" eb="5">
      <t>ソウサ</t>
    </rPh>
    <phoneticPr fontId="23"/>
  </si>
  <si>
    <t>メニュー比較</t>
    <rPh sb="4" eb="6">
      <t>ヒカク</t>
    </rPh>
    <phoneticPr fontId="23"/>
  </si>
  <si>
    <t>Xモード</t>
    <phoneticPr fontId="23"/>
  </si>
  <si>
    <t>Zモード</t>
    <phoneticPr fontId="23"/>
  </si>
  <si>
    <t>Win7POSとWin10POSを比較</t>
    <rPh sb="17" eb="19">
      <t>ヒカク</t>
    </rPh>
    <phoneticPr fontId="23"/>
  </si>
  <si>
    <t>Win7POSとWin10POSを比較</t>
    <phoneticPr fontId="23"/>
  </si>
  <si>
    <t>メニューが正しく表示されること</t>
    <rPh sb="5" eb="6">
      <t>タダ</t>
    </rPh>
    <rPh sb="8" eb="10">
      <t>ヒョウジ</t>
    </rPh>
    <phoneticPr fontId="23"/>
  </si>
  <si>
    <t>会員宣言：なし
Vカード支払い（IC）</t>
    <rPh sb="0" eb="2">
      <t>カイイン</t>
    </rPh>
    <rPh sb="2" eb="4">
      <t>センゲン</t>
    </rPh>
    <rPh sb="12" eb="14">
      <t>シハラ</t>
    </rPh>
    <phoneticPr fontId="17"/>
  </si>
  <si>
    <t>会員宣言：なし
他クレ支払い（IC）</t>
    <rPh sb="0" eb="2">
      <t>カイイン</t>
    </rPh>
    <rPh sb="2" eb="4">
      <t>センゲン</t>
    </rPh>
    <rPh sb="8" eb="9">
      <t>ホカ</t>
    </rPh>
    <rPh sb="11" eb="13">
      <t>シハラ</t>
    </rPh>
    <phoneticPr fontId="17"/>
  </si>
  <si>
    <t>会員宣言：なし
他クレ支払い（MSR）</t>
    <rPh sb="0" eb="2">
      <t>カイイン</t>
    </rPh>
    <rPh sb="2" eb="4">
      <t>センゲン</t>
    </rPh>
    <rPh sb="8" eb="9">
      <t>ホカ</t>
    </rPh>
    <rPh sb="11" eb="13">
      <t>シハラ</t>
    </rPh>
    <phoneticPr fontId="17"/>
  </si>
  <si>
    <t>会員宣言：Vカード
Vカード支払い（IC）</t>
    <rPh sb="0" eb="2">
      <t>カイイン</t>
    </rPh>
    <rPh sb="2" eb="4">
      <t>センゲン</t>
    </rPh>
    <rPh sb="14" eb="16">
      <t>シハラ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</si>
  <si>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</si>
  <si>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</si>
  <si>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</si>
  <si>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</si>
  <si>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</si>
  <si>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他クレカードをMSRで読み込み</t>
    <rPh sb="0" eb="1">
      <t>ホカ</t>
    </rPh>
    <rPh sb="11" eb="12">
      <t>ヨ</t>
    </rPh>
    <rPh sb="13" eb="14">
      <t>コ</t>
    </rPh>
    <phoneticPr fontId="23"/>
  </si>
  <si>
    <t>他クレカードをICで読み込み</t>
    <rPh sb="0" eb="1">
      <t>ホカ</t>
    </rPh>
    <rPh sb="10" eb="11">
      <t>ヨ</t>
    </rPh>
    <rPh sb="12" eb="13">
      <t>コ</t>
    </rPh>
    <phoneticPr fontId="23"/>
  </si>
  <si>
    <t>元取引：会員宣言なし
Vカード支払い</t>
    <rPh sb="0" eb="1">
      <t>モト</t>
    </rPh>
    <rPh sb="1" eb="3">
      <t>トリヒキ</t>
    </rPh>
    <rPh sb="4" eb="8">
      <t>カイインセンゲン</t>
    </rPh>
    <rPh sb="15" eb="17">
      <t>シハラ</t>
    </rPh>
    <phoneticPr fontId="17"/>
  </si>
  <si>
    <t>元取引：ingカードで会員宣言
Vカード支払い</t>
    <rPh sb="0" eb="1">
      <t>モト</t>
    </rPh>
    <rPh sb="1" eb="3">
      <t>トリヒキ</t>
    </rPh>
    <rPh sb="11" eb="15">
      <t>カイインセンゲン</t>
    </rPh>
    <rPh sb="20" eb="22">
      <t>シハラ</t>
    </rPh>
    <phoneticPr fontId="17"/>
  </si>
  <si>
    <t>元取引：Vカードで会員宣言
Vカード支払い</t>
    <rPh sb="0" eb="1">
      <t>モト</t>
    </rPh>
    <rPh sb="1" eb="3">
      <t>トリヒキ</t>
    </rPh>
    <rPh sb="9" eb="13">
      <t>カイインセンゲン</t>
    </rPh>
    <rPh sb="18" eb="20">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</si>
  <si>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</si>
  <si>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元取引と同じ他クレカードをMSRで読み込み</t>
    <rPh sb="0" eb="1">
      <t>モト</t>
    </rPh>
    <rPh sb="1" eb="3">
      <t>トリヒキ</t>
    </rPh>
    <rPh sb="4" eb="5">
      <t>オナ</t>
    </rPh>
    <rPh sb="6" eb="7">
      <t>ホカ</t>
    </rPh>
    <rPh sb="17" eb="18">
      <t>ヨ</t>
    </rPh>
    <rPh sb="19" eb="20">
      <t>コ</t>
    </rPh>
    <phoneticPr fontId="23"/>
  </si>
  <si>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</si>
  <si>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</si>
  <si>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</si>
  <si>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元取引：会員宣言なし
他クレ支払い</t>
    <rPh sb="0" eb="1">
      <t>モト</t>
    </rPh>
    <rPh sb="1" eb="3">
      <t>トリヒキ</t>
    </rPh>
    <rPh sb="4" eb="8">
      <t>カイインセンゲン</t>
    </rPh>
    <rPh sb="11" eb="12">
      <t>ホカ</t>
    </rPh>
    <rPh sb="14" eb="16">
      <t>シハラ</t>
    </rPh>
    <phoneticPr fontId="17"/>
  </si>
  <si>
    <t>元取引がingカードで会員宣言
他クレ支払い</t>
    <rPh sb="0" eb="1">
      <t>モト</t>
    </rPh>
    <rPh sb="1" eb="3">
      <t>トリヒキ</t>
    </rPh>
    <rPh sb="11" eb="15">
      <t>カイインセンゲン</t>
    </rPh>
    <rPh sb="16" eb="17">
      <t>ホカ</t>
    </rPh>
    <rPh sb="19" eb="21">
      <t>シハラ</t>
    </rPh>
    <phoneticPr fontId="17"/>
  </si>
  <si>
    <t>元取引がVカードで会員宣言
他クレ支払い</t>
    <rPh sb="0" eb="1">
      <t>モト</t>
    </rPh>
    <rPh sb="1" eb="3">
      <t>トリヒキ</t>
    </rPh>
    <rPh sb="9" eb="13">
      <t>カイインセンゲン</t>
    </rPh>
    <rPh sb="14" eb="15">
      <t>ホカ</t>
    </rPh>
    <rPh sb="17" eb="19">
      <t>シハラ</t>
    </rPh>
    <phoneticPr fontId="17"/>
  </si>
  <si>
    <t>元取引が他クレ支払い</t>
    <rPh sb="0" eb="1">
      <t>モト</t>
    </rPh>
    <rPh sb="1" eb="3">
      <t>トリヒキ</t>
    </rPh>
    <rPh sb="4" eb="5">
      <t>ホカ</t>
    </rPh>
    <rPh sb="7" eb="9">
      <t>シハラ</t>
    </rPh>
    <phoneticPr fontId="17"/>
  </si>
  <si>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</si>
  <si>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</si>
  <si>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</si>
  <si>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練習：正常に支払いが完了し売上登録できること</t>
    <rPh sb="0" eb="2">
      <t>レンシュウ</t>
    </rPh>
    <rPh sb="6" eb="8">
      <t>シハラ</t>
    </rPh>
    <rPh sb="10" eb="12">
      <t>カンリョウ</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</si>
  <si>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</si>
  <si>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</si>
  <si>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レジマイナス</t>
    <phoneticPr fontId="23"/>
  </si>
  <si>
    <t xml:space="preserve">会員宣言なし
</t>
    <rPh sb="0" eb="4">
      <t>カイインセンゲン</t>
    </rPh>
    <phoneticPr fontId="17"/>
  </si>
  <si>
    <t xml:space="preserve">ingカードで会員宣言
</t>
    <rPh sb="7" eb="11">
      <t>カイインセンゲン</t>
    </rPh>
    <phoneticPr fontId="17"/>
  </si>
  <si>
    <t xml:space="preserve">Vカードで会員宣言
</t>
    <rPh sb="5" eb="9">
      <t>カイインセンゲン</t>
    </rPh>
    <phoneticPr fontId="17"/>
  </si>
  <si>
    <t>正常にマイナス処理が完了すること（現在ポイントが減算されること）</t>
    <rPh sb="7" eb="9">
      <t>ショリ</t>
    </rPh>
    <rPh sb="10" eb="12">
      <t>カンリョウ</t>
    </rPh>
    <rPh sb="17" eb="19">
      <t>ゲンザイ</t>
    </rPh>
    <rPh sb="24" eb="26">
      <t>ゲンザン</t>
    </rPh>
    <phoneticPr fontId="17"/>
  </si>
  <si>
    <t>会員宣言しない</t>
    <rPh sb="0" eb="4">
      <t>カイインセンゲン</t>
    </rPh>
    <phoneticPr fontId="23"/>
  </si>
  <si>
    <t>ingfan会員バーコードで会員宣言</t>
    <rPh sb="14" eb="16">
      <t>カイイン</t>
    </rPh>
    <rPh sb="16" eb="18">
      <t>センゲン</t>
    </rPh>
    <phoneticPr fontId="23"/>
  </si>
  <si>
    <t>Vカードで会員宣言</t>
    <rPh sb="5" eb="7">
      <t>カイイン</t>
    </rPh>
    <rPh sb="7" eb="9">
      <t>センゲン</t>
    </rPh>
    <phoneticPr fontId="23"/>
  </si>
  <si>
    <t>さんにち割</t>
    <rPh sb="4" eb="5">
      <t>ワリ</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</si>
  <si>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</si>
  <si>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「さんにち割引」が表示されていること
対象日付が表示されていること</t>
    <phoneticPr fontId="23"/>
  </si>
  <si>
    <t>開局</t>
    <rPh sb="0" eb="2">
      <t>カイキョク</t>
    </rPh>
    <phoneticPr fontId="23"/>
  </si>
  <si>
    <t>開局レシートを確認</t>
    <rPh sb="0" eb="2">
      <t>カイキョク</t>
    </rPh>
    <rPh sb="7" eb="9">
      <t>カクニン</t>
    </rPh>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</si>
  <si>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</si>
  <si>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</si>
  <si>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</si>
  <si>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あふれ金収納庫移動</t>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</si>
  <si>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</si>
  <si>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在高点検レシート（Xモード）</t>
    <rPh sb="0" eb="1">
      <t>ザイ</t>
    </rPh>
    <rPh sb="1" eb="2">
      <t>タカ</t>
    </rPh>
    <rPh sb="2" eb="4">
      <t>テンケン</t>
    </rPh>
    <phoneticPr fontId="23"/>
  </si>
  <si>
    <t>入金</t>
    <rPh sb="0" eb="2">
      <t>ニュウキン</t>
    </rPh>
    <phoneticPr fontId="23"/>
  </si>
  <si>
    <t>在高点検レシート出力（Xモード）</t>
    <rPh sb="0" eb="2">
      <t>ザイタカ</t>
    </rPh>
    <rPh sb="2" eb="4">
      <t>テンケン</t>
    </rPh>
    <rPh sb="8" eb="10">
      <t>シュツリョク</t>
    </rPh>
    <phoneticPr fontId="23"/>
  </si>
  <si>
    <t>お客様両替</t>
    <rPh sb="1" eb="3">
      <t>キャクサマ</t>
    </rPh>
    <rPh sb="3" eb="5">
      <t>リョウガエ</t>
    </rPh>
    <phoneticPr fontId="23"/>
  </si>
  <si>
    <t>釣銭機接続・切離し</t>
    <rPh sb="0" eb="3">
      <t>ツリセンキ</t>
    </rPh>
    <rPh sb="3" eb="5">
      <t>セツゾク</t>
    </rPh>
    <rPh sb="6" eb="8">
      <t>キリハナ</t>
    </rPh>
    <phoneticPr fontId="23"/>
  </si>
  <si>
    <t>お客様両替（Xモード）</t>
    <rPh sb="1" eb="2">
      <t>キャク</t>
    </rPh>
    <rPh sb="2" eb="3">
      <t>サマ</t>
    </rPh>
    <rPh sb="3" eb="5">
      <t>リョウガエ</t>
    </rPh>
    <phoneticPr fontId="23"/>
  </si>
  <si>
    <t>釣銭機接続・切離し（Xモード）</t>
    <rPh sb="0" eb="3">
      <t>ツリセンキ</t>
    </rPh>
    <rPh sb="3" eb="5">
      <t>セツゾク</t>
    </rPh>
    <rPh sb="6" eb="8">
      <t>キリハナ</t>
    </rPh>
    <phoneticPr fontId="23"/>
  </si>
  <si>
    <t>計数機能モード切替</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</si>
  <si>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</si>
  <si>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釣銭機接続・切離し（Xモード：釣銭機メニュー）</t>
    <rPh sb="0" eb="3">
      <t>ツリセンキ</t>
    </rPh>
    <rPh sb="3" eb="5">
      <t>セツゾク</t>
    </rPh>
    <rPh sb="6" eb="8">
      <t>キリハナ</t>
    </rPh>
    <rPh sb="15" eb="18">
      <t>ツリセンキ</t>
    </rPh>
    <phoneticPr fontId="23"/>
  </si>
  <si>
    <t>計数機能モード切替（Xモード：釣銭機メニュー）</t>
    <rPh sb="0" eb="2">
      <t>ケイスウ</t>
    </rPh>
    <rPh sb="2" eb="4">
      <t>キノウ</t>
    </rPh>
    <rPh sb="7" eb="9">
      <t>キリカエ</t>
    </rPh>
    <phoneticPr fontId="23"/>
  </si>
  <si>
    <t>釣銭在高確認（Xモード：釣銭機メニュー）</t>
    <rPh sb="0" eb="2">
      <t>ツリセン</t>
    </rPh>
    <rPh sb="2" eb="3">
      <t>ザイ</t>
    </rPh>
    <rPh sb="3" eb="4">
      <t>タカ</t>
    </rPh>
    <rPh sb="4" eb="6">
      <t>カクニン</t>
    </rPh>
    <phoneticPr fontId="23"/>
  </si>
  <si>
    <t>出金</t>
    <rPh sb="0" eb="2">
      <t>シュッキン</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</si>
  <si>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</si>
  <si>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 xml:space="preserve">  GCSBG　Retail事業本部　リテールチェーン事業部</t>
    <rPh sb="14" eb="16">
      <t>ジギョウ</t>
    </rPh>
    <rPh sb="16" eb="18">
      <t>ホンブ</t>
    </rPh>
    <rPh sb="27" eb="29">
      <t>ジギョウ</t>
    </rPh>
    <rPh sb="29" eb="30">
      <t>ブ</t>
    </rPh>
    <phoneticPr fontId="3"/>
  </si>
  <si>
    <t>ー</t>
    <phoneticPr fontId="17"/>
  </si>
  <si>
    <t>2人制運用なし</t>
    <rPh sb="0" eb="3">
      <t>ニニンセイ</t>
    </rPh>
    <rPh sb="3" eb="5">
      <t>ウンヨウ</t>
    </rPh>
    <phoneticPr fontId="23"/>
  </si>
  <si>
    <t>MSR設置なし</t>
    <rPh sb="3" eb="5">
      <t>セッチ</t>
    </rPh>
    <phoneticPr fontId="23"/>
  </si>
  <si>
    <t>釣銭機接続なし</t>
    <rPh sb="0" eb="3">
      <t>ツリセンキ</t>
    </rPh>
    <rPh sb="3" eb="5">
      <t>セツゾク</t>
    </rPh>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</si>
  <si>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</si>
  <si>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</si>
  <si>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</si>
  <si>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SSでポイント修正の運用なし</t>
    <rPh sb="7" eb="9">
      <t>シュウセイ</t>
    </rPh>
    <rPh sb="10" eb="12">
      <t>ウンヨウ</t>
    </rPh>
    <phoneticPr fontId="23"/>
  </si>
  <si>
    <t>エラー内容確認要</t>
    <rPh sb="3" eb="5">
      <t>ナイヨウ</t>
    </rPh>
    <rPh sb="5" eb="7">
      <t>カクニン</t>
    </rPh>
    <rPh sb="7" eb="8">
      <t>ヨウ</t>
    </rPh>
    <phoneticPr fontId="17"/>
  </si>
  <si>
    <t>いなげや様 Win10対応（POS/SS/PS/CS）　リグレッションテスト仕様書　</t>
    <rPh sb="4" eb="5">
      <t>サマ</t>
    </rPh>
    <rPh sb="11" eb="13">
      <t>タイオウ</t>
    </rPh>
    <rPh sb="38" eb="41">
      <t>シヨウショ</t>
    </rPh>
    <phoneticPr fontId="23"/>
  </si>
  <si>
    <t>CS</t>
    <phoneticPr fontId="23"/>
  </si>
  <si>
    <t>デバイスグループにCSのグループを設定</t>
    <rPh sb="17" eb="19">
      <t>セッテイ</t>
    </rPh>
    <phoneticPr fontId="23"/>
  </si>
  <si>
    <t>CS用設定（釣銭機あり）</t>
    <rPh sb="2" eb="3">
      <t>ヨウ</t>
    </rPh>
    <rPh sb="3" eb="5">
      <t>セッテイ</t>
    </rPh>
    <rPh sb="6" eb="9">
      <t>ツリセンキ</t>
    </rPh>
    <phoneticPr fontId="17"/>
  </si>
  <si>
    <t>CS用設定（キャッシュレス）</t>
    <rPh sb="2" eb="3">
      <t>ヨウ</t>
    </rPh>
    <rPh sb="3" eb="5">
      <t>セッテイ</t>
    </rPh>
    <phoneticPr fontId="17"/>
  </si>
  <si>
    <t>フルセルフ</t>
    <phoneticPr fontId="4"/>
  </si>
  <si>
    <t>Windows10対応シート作成</t>
    <rPh sb="9" eb="11">
      <t>タイオウ</t>
    </rPh>
    <rPh sb="14" eb="16">
      <t>サクセイ</t>
    </rPh>
    <phoneticPr fontId="21"/>
  </si>
  <si>
    <t>フルセルフシート作成</t>
    <rPh sb="8" eb="10">
      <t>サクセイ</t>
    </rPh>
    <phoneticPr fontId="21"/>
  </si>
  <si>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</si>
  <si>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</si>
  <si>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正常にマイナス処理が完了すること</t>
    <rPh sb="7" eb="9">
      <t>ショリ</t>
    </rPh>
    <rPh sb="10" eb="12">
      <t>カンリョウ</t>
    </rPh>
    <phoneticPr fontId="17"/>
  </si>
  <si>
    <t>運用で未使用</t>
    <rPh sb="0" eb="2">
      <t>ウンヨウ</t>
    </rPh>
    <rPh sb="3" eb="4">
      <t>ミ</t>
    </rPh>
    <rPh sb="4" eb="6">
      <t>シヨウ</t>
    </rPh>
    <phoneticPr fontId="17"/>
  </si>
  <si>
    <t>ー</t>
    <phoneticPr fontId="17"/>
  </si>
  <si>
    <t>MSR部がハード的に埋め込まれている</t>
    <rPh sb="3" eb="4">
      <t>ブ</t>
    </rPh>
    <rPh sb="8" eb="9">
      <t>テキ</t>
    </rPh>
    <rPh sb="10" eb="11">
      <t>ウ</t>
    </rPh>
    <rPh sb="12" eb="13">
      <t>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</si>
  <si>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</si>
  <si>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ー</t>
    <phoneticPr fontId="17"/>
  </si>
  <si>
    <t>固定スキャナ無し</t>
    <rPh sb="0" eb="2">
      <t>コテイ</t>
    </rPh>
    <rPh sb="6" eb="7">
      <t>ナシ</t>
    </rPh>
    <phoneticPr fontId="17"/>
  </si>
  <si>
    <t>電子多項目無し</t>
    <rPh sb="0" eb="2">
      <t>デンシ</t>
    </rPh>
    <rPh sb="2" eb="3">
      <t>オオ</t>
    </rPh>
    <rPh sb="3" eb="5">
      <t>コウモク</t>
    </rPh>
    <rPh sb="5" eb="6">
      <t>ナシ</t>
    </rPh>
    <phoneticPr fontId="17"/>
  </si>
  <si>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</si>
  <si>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</si>
  <si>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</si>
  <si>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</si>
  <si>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</si>
  <si>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</si>
  <si>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</si>
  <si>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</si>
  <si>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</si>
  <si>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</si>
  <si>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</si>
  <si>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</si>
  <si>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</si>
  <si>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</si>
  <si>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</si>
  <si>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ー</t>
    <phoneticPr fontId="23"/>
  </si>
  <si>
    <t>ー</t>
    <phoneticPr fontId="23"/>
  </si>
  <si>
    <t>通番バーコードがスキャナで読めないため実施不可</t>
    <rPh sb="0" eb="2">
      <t>ツウバン</t>
    </rPh>
    <rPh sb="13" eb="14">
      <t>ヨ</t>
    </rPh>
    <rPh sb="19" eb="21">
      <t>ジッシ</t>
    </rPh>
    <rPh sb="21" eb="23">
      <t>フカ</t>
    </rPh>
    <phoneticPr fontId="23"/>
  </si>
  <si>
    <t>'ー</t>
    <phoneticPr fontId="23"/>
  </si>
  <si>
    <t>ー</t>
    <phoneticPr fontId="23"/>
  </si>
  <si>
    <t>売上登録できないこと</t>
    <rPh sb="0" eb="2">
      <t>ウリアゲ</t>
    </rPh>
    <rPh sb="2" eb="4">
      <t>トウロク</t>
    </rPh>
    <phoneticPr fontId="23"/>
  </si>
  <si>
    <t>会員宣言必要</t>
    <rPh sb="0" eb="4">
      <t>カイインセンゲン</t>
    </rPh>
    <rPh sb="4" eb="6">
      <t>ヒツヨウ</t>
    </rPh>
    <phoneticPr fontId="23"/>
  </si>
  <si>
    <t>会員宣言なしVカード支払不可</t>
    <rPh sb="0" eb="4">
      <t>カイインセンゲン</t>
    </rPh>
    <rPh sb="10" eb="12">
      <t>シハライ</t>
    </rPh>
    <rPh sb="12" eb="14">
      <t>フカ</t>
    </rPh>
    <phoneticPr fontId="23"/>
  </si>
  <si>
    <t>〃</t>
    <phoneticPr fontId="23"/>
  </si>
  <si>
    <t>会員宣言無の場合ポイント減産なし</t>
    <rPh sb="0" eb="4">
      <t>カイインセンゲン</t>
    </rPh>
    <rPh sb="4" eb="5">
      <t>ナ</t>
    </rPh>
    <rPh sb="6" eb="8">
      <t>バアイ</t>
    </rPh>
    <rPh sb="12" eb="14">
      <t>ゲンサン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</si>
  <si>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</si>
  <si>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</si>
  <si>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タッチスキャナのみ読取可</t>
    <rPh sb="9" eb="11">
      <t>ヨミトリ</t>
    </rPh>
    <rPh sb="11" eb="12">
      <t>カ</t>
    </rPh>
    <phoneticPr fontId="23"/>
  </si>
  <si>
    <t>会員宣言ない場合Vカード支払不可</t>
    <phoneticPr fontId="23"/>
  </si>
  <si>
    <t>SS現金支払不可</t>
    <rPh sb="2" eb="4">
      <t>ゲンキン</t>
    </rPh>
    <rPh sb="4" eb="6">
      <t>シハライ</t>
    </rPh>
    <rPh sb="6" eb="8">
      <t>フカ</t>
    </rPh>
    <phoneticPr fontId="23"/>
  </si>
  <si>
    <t>SS現金支払不可</t>
    <rPh sb="2" eb="4">
      <t>ゲンキン</t>
    </rPh>
    <rPh sb="4" eb="8">
      <t>シハライフカ</t>
    </rPh>
    <phoneticPr fontId="23"/>
  </si>
  <si>
    <t>SSポイント修正ボタンなし</t>
    <rPh sb="6" eb="8">
      <t>シュウセイ</t>
    </rPh>
    <phoneticPr fontId="23"/>
  </si>
  <si>
    <t>ペイメントモードではfanカード宣言Ｖカード支払不可</t>
    <rPh sb="16" eb="18">
      <t>センゲン</t>
    </rPh>
    <rPh sb="22" eb="26">
      <t>シハライフカ</t>
    </rPh>
    <phoneticPr fontId="23"/>
  </si>
  <si>
    <t>PSタッチスキャナ接続なし</t>
    <rPh sb="9" eb="11">
      <t>セツゾク</t>
    </rPh>
    <phoneticPr fontId="23"/>
  </si>
  <si>
    <t>保留・復元キーなし</t>
    <rPh sb="0" eb="2">
      <t>ホリュウ</t>
    </rPh>
    <rPh sb="3" eb="5">
      <t>フクゲン</t>
    </rPh>
    <phoneticPr fontId="23"/>
  </si>
  <si>
    <t>回収ボタンで実施</t>
    <rPh sb="0" eb="2">
      <t>カイシュウ</t>
    </rPh>
    <rPh sb="6" eb="8">
      <t>ジッシ</t>
    </rPh>
    <phoneticPr fontId="17"/>
  </si>
  <si>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</si>
  <si>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</si>
  <si>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</si>
  <si>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</si>
  <si>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</si>
  <si>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クレジットカードを挿入後、
決済端末で「カードをお取りください」表示後にカードを抜き取り。
</t>
    <rPh sb="9" eb="11">
      <t>ソウニュウ</t>
    </rPh>
    <rPh sb="11" eb="12">
      <t>ゴ</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</si>
  <si>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</si>
  <si>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Xモードにて
「取引別点検レシート」押下
「F2（印刷）」押下</t>
    <rPh sb="18" eb="20">
      <t>オウカ</t>
    </rPh>
    <rPh sb="25" eb="27">
      <t>インサツ</t>
    </rPh>
    <rPh sb="29" eb="31">
      <t>オウカ</t>
    </rPh>
    <phoneticPr fontId="23"/>
  </si>
  <si>
    <t>カメラスキャナでは不可</t>
    <rPh sb="9" eb="11">
      <t>フカ</t>
    </rPh>
    <phoneticPr fontId="23"/>
  </si>
  <si>
    <t>SS決済端末有の場合のみ</t>
    <rPh sb="2" eb="6">
      <t>ケッサイタンマツ</t>
    </rPh>
    <rPh sb="6" eb="7">
      <t>アリ</t>
    </rPh>
    <rPh sb="8" eb="10">
      <t>バアイ</t>
    </rPh>
    <phoneticPr fontId="23"/>
  </si>
  <si>
    <t>エラー内容要確認</t>
    <rPh sb="3" eb="5">
      <t>ナイヨウ</t>
    </rPh>
    <rPh sb="5" eb="8">
      <t>ヨウカクニン</t>
    </rPh>
    <phoneticPr fontId="23"/>
  </si>
  <si>
    <t>エラー内容要確認</t>
    <rPh sb="3" eb="5">
      <t>ナイヨウ</t>
    </rPh>
    <rPh sb="5" eb="8">
      <t>ヨウカクニン</t>
    </rPh>
    <phoneticPr fontId="17"/>
  </si>
  <si>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</si>
  <si>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RT-300の場合、BOXがでてくるので鍵で開けてとる</t>
    <rPh sb="7" eb="9">
      <t>バアイ</t>
    </rPh>
    <rPh sb="20" eb="21">
      <t>カギ</t>
    </rPh>
    <rPh sb="22" eb="23">
      <t>ア</t>
    </rPh>
    <phoneticPr fontId="23"/>
  </si>
  <si>
    <t>SSVで確認</t>
    <rPh sb="4" eb="6">
      <t>カクニン</t>
    </rPh>
    <phoneticPr fontId="23"/>
  </si>
  <si>
    <t>運用未使用</t>
    <rPh sb="0" eb="2">
      <t>ウンヨウ</t>
    </rPh>
    <rPh sb="2" eb="3">
      <t>ミ</t>
    </rPh>
    <rPh sb="3" eb="5">
      <t>シヨウ</t>
    </rPh>
    <phoneticPr fontId="17"/>
  </si>
  <si>
    <t>□</t>
  </si>
  <si>
    <t>消化件数（○＋△＋□）</t>
    <rPh sb="0" eb="2">
      <t>ショウカ</t>
    </rPh>
    <rPh sb="2" eb="4">
      <t>ケンスウ</t>
    </rPh>
    <phoneticPr fontId="4"/>
  </si>
  <si>
    <t>会員宣言：ingカード（固定ｶﾒﾗｽｷｬﾅ）
他クレ支払い（MSR）</t>
    <rPh sb="0" eb="2">
      <t>カイイン</t>
    </rPh>
    <rPh sb="2" eb="4">
      <t>センゲン</t>
    </rPh>
    <rPh sb="12" eb="14">
      <t>コテイ</t>
    </rPh>
    <rPh sb="23" eb="24">
      <t>ホカ</t>
    </rPh>
    <rPh sb="26" eb="28">
      <t>シハラ</t>
    </rPh>
    <phoneticPr fontId="17"/>
  </si>
  <si>
    <t>蒲田環境VカードIC支払不可、VカードMS支払</t>
    <rPh sb="0" eb="2">
      <t>カマタ</t>
    </rPh>
    <rPh sb="2" eb="4">
      <t>カンキョウ</t>
    </rPh>
    <rPh sb="10" eb="12">
      <t>シハライ</t>
    </rPh>
    <rPh sb="12" eb="14">
      <t>フカ</t>
    </rPh>
    <rPh sb="21" eb="23">
      <t>シハライ</t>
    </rPh>
    <phoneticPr fontId="23"/>
  </si>
  <si>
    <t>練習モードは会員宣言するとVカード扱いになる</t>
    <rPh sb="0" eb="2">
      <t>レンシュウ</t>
    </rPh>
    <rPh sb="6" eb="10">
      <t>カイインセンゲン</t>
    </rPh>
    <rPh sb="17" eb="18">
      <t>アツカ</t>
    </rPh>
    <phoneticPr fontId="23"/>
  </si>
  <si>
    <t>蒲田環境のVカードはIC支払はできないがIC取消は可</t>
    <rPh sb="0" eb="2">
      <t>カマタ</t>
    </rPh>
    <rPh sb="2" eb="4">
      <t>カンキョウ</t>
    </rPh>
    <rPh sb="12" eb="14">
      <t>シハライ</t>
    </rPh>
    <rPh sb="22" eb="24">
      <t>トリケシ</t>
    </rPh>
    <rPh sb="25" eb="26">
      <t>カ</t>
    </rPh>
    <phoneticPr fontId="23"/>
  </si>
  <si>
    <t>カードの読取できないこと</t>
    <rPh sb="4" eb="6">
      <t>ヨミトリ</t>
    </rPh>
    <phoneticPr fontId="23"/>
  </si>
  <si>
    <t>カードの読取できないこと（電子多項目横）</t>
    <rPh sb="4" eb="6">
      <t>ヨミトリ</t>
    </rPh>
    <rPh sb="13" eb="15">
      <t>デンシ</t>
    </rPh>
    <rPh sb="15" eb="16">
      <t>タ</t>
    </rPh>
    <rPh sb="16" eb="18">
      <t>コウモク</t>
    </rPh>
    <rPh sb="18" eb="19">
      <t>ヨコ</t>
    </rPh>
    <phoneticPr fontId="23"/>
  </si>
  <si>
    <t>〃</t>
    <phoneticPr fontId="17"/>
  </si>
  <si>
    <t>バーコードなし</t>
    <phoneticPr fontId="17"/>
  </si>
  <si>
    <t>決済端末接続なし</t>
    <rPh sb="0" eb="4">
      <t>ケッサイタンマツ</t>
    </rPh>
    <rPh sb="4" eb="6">
      <t>セツゾク</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</si>
  <si>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</si>
  <si>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バーコードなし</t>
    <phoneticPr fontId="23"/>
  </si>
  <si>
    <t>ドロアは自動オープンしない</t>
    <rPh sb="4" eb="6">
      <t>ジドウ</t>
    </rPh>
    <phoneticPr fontId="23"/>
  </si>
  <si>
    <t>担当者マスタ登録</t>
    <rPh sb="0" eb="3">
      <t>タントウシャ</t>
    </rPh>
    <rPh sb="6" eb="8">
      <t>トウロク</t>
    </rPh>
    <phoneticPr fontId="23"/>
  </si>
  <si>
    <t>ing会員（チェックデジット誤）</t>
    <rPh sb="3" eb="5">
      <t>カイイン</t>
    </rPh>
    <rPh sb="14" eb="15">
      <t>アヤマ</t>
    </rPh>
    <phoneticPr fontId="23"/>
  </si>
  <si>
    <t>ing会員（読取不可）</t>
    <rPh sb="3" eb="5">
      <t>カイイン</t>
    </rPh>
    <rPh sb="6" eb="8">
      <t>ヨミトリ</t>
    </rPh>
    <rPh sb="8" eb="10">
      <t>フカ</t>
    </rPh>
    <phoneticPr fontId="23"/>
  </si>
  <si>
    <t>売上登録不可</t>
    <rPh sb="0" eb="4">
      <t>ウリアゲトウロク</t>
    </rPh>
    <rPh sb="4" eb="6">
      <t>フカ</t>
    </rPh>
    <phoneticPr fontId="23"/>
  </si>
  <si>
    <t>釣銭在高確認⇒釣銭残高確認</t>
    <rPh sb="0" eb="2">
      <t>ツリセン</t>
    </rPh>
    <rPh sb="2" eb="4">
      <t>アリダカ</t>
    </rPh>
    <rPh sb="4" eb="6">
      <t>カクニン</t>
    </rPh>
    <rPh sb="7" eb="11">
      <t>ツリセンザンダカ</t>
    </rPh>
    <rPh sb="11" eb="13">
      <t>カクニン</t>
    </rPh>
    <phoneticPr fontId="23"/>
  </si>
  <si>
    <t>決済端末関連の変更点以外一致</t>
    <rPh sb="0" eb="4">
      <t>ケッサイタンマツ</t>
    </rPh>
    <rPh sb="4" eb="6">
      <t>カンレン</t>
    </rPh>
    <rPh sb="7" eb="10">
      <t>ヘンコウテン</t>
    </rPh>
    <rPh sb="10" eb="12">
      <t>イガイ</t>
    </rPh>
    <rPh sb="12" eb="14">
      <t>イッチ</t>
    </rPh>
    <phoneticPr fontId="23"/>
  </si>
  <si>
    <t>データ活用</t>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</si>
  <si>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</si>
  <si>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</si>
  <si>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決済端末未接続のため、Vカード支払不可</t>
    <rPh sb="0" eb="4">
      <t>ケッサイタンマツ</t>
    </rPh>
    <rPh sb="4" eb="7">
      <t>ミセツゾク</t>
    </rPh>
    <rPh sb="15" eb="17">
      <t>シハライ</t>
    </rPh>
    <rPh sb="17" eb="19">
      <t>フカ</t>
    </rPh>
    <phoneticPr fontId="23"/>
  </si>
  <si>
    <t>パッケージ系</t>
    <phoneticPr fontId="23"/>
  </si>
  <si>
    <t>パッケージ系 (SS)</t>
    <phoneticPr fontId="23"/>
  </si>
  <si>
    <t>SPS系</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</si>
  <si>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</si>
  <si>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</si>
  <si>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</si>
  <si>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</si>
  <si>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</si>
  <si>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</si>
  <si>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</si>
  <si>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予定項目数</t>
    <rPh sb="0" eb="2">
      <t>ヨテイ</t>
    </rPh>
    <rPh sb="2" eb="4">
      <t>コウモク</t>
    </rPh>
    <rPh sb="4" eb="5">
      <t>スウ</t>
    </rPh>
    <phoneticPr fontId="23"/>
  </si>
  <si>
    <t>実績項目数</t>
    <rPh sb="0" eb="2">
      <t>ジッセキ</t>
    </rPh>
    <rPh sb="2" eb="4">
      <t>コウモク</t>
    </rPh>
    <rPh sb="4" eb="5">
      <t>スウ</t>
    </rPh>
    <phoneticPr fontId="23"/>
  </si>
  <si>
    <t>完了率</t>
    <rPh sb="0" eb="2">
      <t>カンリョウ</t>
    </rPh>
    <rPh sb="2" eb="3">
      <t>リツ</t>
    </rPh>
    <phoneticPr fontId="23"/>
  </si>
  <si>
    <t>???</t>
    <phoneticPr fontId="23"/>
  </si>
  <si>
    <t>合計</t>
    <rPh sb="0" eb="2">
      <t>ゴウケイ</t>
    </rPh>
    <phoneticPr fontId="23"/>
  </si>
  <si>
    <t>残項目数</t>
    <rPh sb="0" eb="1">
      <t>ザン</t>
    </rPh>
    <rPh sb="1" eb="3">
      <t>コウモク</t>
    </rPh>
    <rPh sb="3" eb="4">
      <t>スウ</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</si>
  <si>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</si>
  <si>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</si>
  <si>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</si>
  <si>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</si>
  <si>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</si>
  <si>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</si>
  <si>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POSモード手入力可</t>
    <rPh sb="6" eb="9">
      <t>テニュウリョク</t>
    </rPh>
    <rPh sb="9" eb="10">
      <t>カ</t>
    </rPh>
    <phoneticPr fontId="23"/>
  </si>
  <si>
    <t>○</t>
  </si>
  <si>
    <t>クレジットレシートのクレジット会社名が正しく印字されること</t>
    <phoneticPr fontId="23"/>
  </si>
  <si>
    <t>クレジットレシートのクレジット会社名印字が正しく印字されること</t>
    <phoneticPr fontId="23"/>
  </si>
  <si>
    <t>6y</t>
    <phoneticPr fontId="23"/>
  </si>
  <si>
    <t>「あふれ金収納庫移動」以外一致</t>
    <rPh sb="4" eb="5">
      <t>キン</t>
    </rPh>
    <rPh sb="5" eb="8">
      <t>シュウノウコ</t>
    </rPh>
    <rPh sb="8" eb="10">
      <t>イドウ</t>
    </rPh>
    <rPh sb="11" eb="13">
      <t>イガイ</t>
    </rPh>
    <rPh sb="13" eb="15">
      <t>イッチ</t>
    </rPh>
    <phoneticPr fontId="23"/>
  </si>
  <si>
    <t>交通系電子マネー項目追加</t>
    <rPh sb="0" eb="3">
      <t>コウツウケイ</t>
    </rPh>
    <rPh sb="3" eb="5">
      <t>デンシ</t>
    </rPh>
    <rPh sb="8" eb="10">
      <t>コウモク</t>
    </rPh>
    <rPh sb="10" eb="12">
      <t>ツイカ</t>
    </rPh>
    <phoneticPr fontId="21"/>
  </si>
  <si>
    <t>第１．７版　２０２４年９月１３日</t>
    <phoneticPr fontId="3"/>
  </si>
  <si>
    <t>△</t>
  </si>
  <si>
    <t>パッケージ系にて実施</t>
    <rPh sb="5" eb="6">
      <t>ケイ</t>
    </rPh>
    <rPh sb="8" eb="10">
      <t>ジッシ</t>
    </rPh>
    <phoneticPr fontId="23"/>
  </si>
  <si>
    <t>会員宣言：Vカード
Vカード支払い（IC）</t>
    <rPh sb="0" eb="2">
      <t>カイイン</t>
    </rPh>
    <rPh sb="2" eb="4">
      <t>センゲン</t>
    </rPh>
    <rPh sb="14" eb="16">
      <t>シハラ</t>
    </rPh>
    <rPh sb="15" eb="16">
      <t>バラ</t>
    </rPh>
    <phoneticPr fontId="17"/>
  </si>
  <si>
    <t>現金支払ができること</t>
    <rPh sb="0" eb="2">
      <t>ゲンキン</t>
    </rPh>
    <rPh sb="2" eb="4">
      <t>シハラ</t>
    </rPh>
    <phoneticPr fontId="17"/>
  </si>
  <si>
    <t>現金支払い</t>
    <rPh sb="0" eb="2">
      <t>ゲンキン</t>
    </rPh>
    <rPh sb="2" eb="4">
      <t>シハラ</t>
    </rPh>
    <phoneticPr fontId="17"/>
  </si>
  <si>
    <t>目標：246</t>
    <rPh sb="0" eb="2">
      <t>モクヒョウ</t>
    </rPh>
    <phoneticPr fontId="17"/>
  </si>
  <si>
    <t>Win10対応で実施</t>
    <rPh sb="5" eb="7">
      <t>タイオウ</t>
    </rPh>
    <rPh sb="8" eb="10">
      <t>ジッシ</t>
    </rPh>
    <phoneticPr fontId="17"/>
  </si>
  <si>
    <t>現在</t>
    <rPh sb="0" eb="2">
      <t>ゲンザイ</t>
    </rPh>
    <phoneticPr fontId="23"/>
  </si>
  <si>
    <t>目標</t>
    <rPh sb="0" eb="2">
      <t>モクヒョウ</t>
    </rPh>
    <phoneticPr fontId="23"/>
  </si>
  <si>
    <t>Win10対応_SSで実施</t>
    <rPh sb="5" eb="7">
      <t>タイオウ</t>
    </rPh>
    <rPh sb="11" eb="13">
      <t>ジッシ</t>
    </rPh>
    <phoneticPr fontId="23"/>
  </si>
  <si>
    <t>決済端末未接続</t>
    <rPh sb="0" eb="4">
      <t>ケッサイタンマツ</t>
    </rPh>
    <rPh sb="4" eb="7">
      <t>ミセツゾク</t>
    </rPh>
    <phoneticPr fontId="23"/>
  </si>
  <si>
    <t>決済端末未接続</t>
    <rPh sb="0" eb="2">
      <t>ケッサイ</t>
    </rPh>
    <rPh sb="2" eb="4">
      <t>タンマツ</t>
    </rPh>
    <rPh sb="4" eb="7">
      <t>ミセツゾク</t>
    </rPh>
    <phoneticPr fontId="23"/>
  </si>
  <si>
    <t>新旧で391
パッケージ系×2+
Win10対応で400</t>
    <rPh sb="0" eb="2">
      <t>シンキュウ</t>
    </rPh>
    <rPh sb="12" eb="13">
      <t>ケイ</t>
    </rPh>
    <rPh sb="22" eb="24">
      <t>タイオウ</t>
    </rPh>
    <phoneticPr fontId="23"/>
  </si>
  <si>
    <t>正常に開局されること。決済端末が待機画面になること。</t>
    <rPh sb="0" eb="2">
      <t>セイジョウ</t>
    </rPh>
    <rPh sb="3" eb="5">
      <t>カイキョク</t>
    </rPh>
    <phoneticPr fontId="17"/>
  </si>
  <si>
    <t>パッケージ系(PS)で実施</t>
    <rPh sb="5" eb="6">
      <t>ケイ</t>
    </rPh>
    <rPh sb="11" eb="13">
      <t>ジッシ</t>
    </rPh>
    <phoneticPr fontId="23"/>
  </si>
  <si>
    <t>会員宣言なし</t>
    <rPh sb="0" eb="4">
      <t>カイインセンゲン</t>
    </rPh>
    <phoneticPr fontId="17"/>
  </si>
  <si>
    <t>ingカードで会員宣言</t>
    <rPh sb="7" eb="11">
      <t>カイインセンゲン</t>
    </rPh>
    <phoneticPr fontId="17"/>
  </si>
  <si>
    <t>Vカードで会員宣言</t>
    <rPh sb="5" eb="9">
      <t>カイインセンゲン</t>
    </rPh>
    <phoneticPr fontId="17"/>
  </si>
  <si>
    <t>Win10対応(PS)で実施</t>
    <rPh sb="5" eb="7">
      <t>タイオウ</t>
    </rPh>
    <rPh sb="12" eb="14">
      <t>ジッシ</t>
    </rPh>
    <phoneticPr fontId="23"/>
  </si>
  <si>
    <t>マニュアル値引ボタンなし</t>
    <rPh sb="5" eb="7">
      <t>ネビキ</t>
    </rPh>
    <phoneticPr fontId="23"/>
  </si>
  <si>
    <t>ポイントカードに印字されているバーコード</t>
    <rPh sb="8" eb="10">
      <t>インジ</t>
    </rPh>
    <phoneticPr fontId="23"/>
  </si>
  <si>
    <t>速報（当日分）
POS別速報</t>
    <rPh sb="0" eb="2">
      <t>ソクホウ</t>
    </rPh>
    <rPh sb="3" eb="5">
      <t>トウジツ</t>
    </rPh>
    <rPh sb="5" eb="6">
      <t>ブン</t>
    </rPh>
    <rPh sb="11" eb="12">
      <t>ベツ</t>
    </rPh>
    <rPh sb="12" eb="14">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</si>
  <si>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</si>
  <si>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</si>
  <si>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</si>
  <si>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</si>
  <si>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</si>
  <si>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</si>
  <si>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商品階層別
商品階層別月報</t>
    <rPh sb="6" eb="8">
      <t>ショウヒン</t>
    </rPh>
    <rPh sb="8" eb="10">
      <t>カイソウ</t>
    </rPh>
    <rPh sb="10" eb="11">
      <t>ベツ</t>
    </rPh>
    <rPh sb="11" eb="13">
      <t>ゲッポウ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</si>
  <si>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</si>
  <si>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</si>
  <si>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</si>
  <si>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</si>
  <si>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t>
    <phoneticPr fontId="23"/>
  </si>
  <si>
    <t>■</t>
    <phoneticPr fontId="23"/>
  </si>
  <si>
    <t>#0320</t>
    <phoneticPr fontId="23"/>
  </si>
  <si>
    <t>下田</t>
    <rPh sb="0" eb="2">
      <t>シモダ</t>
    </rPh>
    <phoneticPr fontId="23"/>
  </si>
  <si>
    <t>#6016</t>
    <phoneticPr fontId="23"/>
  </si>
  <si>
    <t>#6017</t>
    <phoneticPr fontId="23"/>
  </si>
  <si>
    <t>#0321</t>
    <phoneticPr fontId="23"/>
  </si>
  <si>
    <t>#0325</t>
    <phoneticPr fontId="23"/>
  </si>
  <si>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</si>
  <si>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</si>
  <si>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#6019</t>
    <phoneticPr fontId="23"/>
  </si>
  <si>
    <t>#6020</t>
    <phoneticPr fontId="23"/>
  </si>
  <si>
    <t>立川にMSRを持って行ったため実施不可</t>
    <rPh sb="0" eb="2">
      <t>タチカワ</t>
    </rPh>
    <rPh sb="7" eb="8">
      <t>モ</t>
    </rPh>
    <rPh sb="10" eb="11">
      <t>イ</t>
    </rPh>
    <rPh sb="15" eb="19">
      <t>ジッシフカ</t>
    </rPh>
    <phoneticPr fontId="23"/>
  </si>
  <si>
    <t>#6022</t>
    <phoneticPr fontId="23"/>
  </si>
  <si>
    <t>#6025（元#6019)</t>
    <rPh sb="6" eb="7">
      <t>モト</t>
    </rPh>
    <phoneticPr fontId="23"/>
  </si>
  <si>
    <t>#6024（元6022)</t>
    <rPh sb="6" eb="7">
      <t>モト</t>
    </rPh>
    <phoneticPr fontId="23"/>
  </si>
  <si>
    <t>●</t>
    <phoneticPr fontId="4"/>
  </si>
  <si>
    <t>■</t>
    <phoneticPr fontId="4"/>
  </si>
  <si>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</si>
  <si>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</si>
  <si>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</si>
  <si>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</si>
  <si>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</si>
  <si>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#0319</t>
    <phoneticPr fontId="23"/>
  </si>
  <si>
    <t>#6044←#6043（元#6042)</t>
    <rPh sb="12" eb="13">
      <t>モト</t>
    </rPh>
    <phoneticPr fontId="23"/>
  </si>
  <si>
    <t>#6053</t>
    <phoneticPr fontId="23"/>
  </si>
  <si>
    <t>#6055←#6054（元#6053)</t>
    <rPh sb="12" eb="13">
      <t>モト</t>
    </rPh>
    <phoneticPr fontId="23"/>
  </si>
  <si>
    <t>下田</t>
    <rPh sb="0" eb="2">
      <t>シモダ</t>
    </rPh>
    <phoneticPr fontId="4"/>
  </si>
  <si>
    <t>#6058←#6057（元#6056)</t>
    <rPh sb="12" eb="13">
      <t>モト</t>
    </rPh>
    <phoneticPr fontId="23"/>
  </si>
  <si>
    <t>#6061←#6060（元#6059)</t>
    <rPh sb="12" eb="13">
      <t>モト</t>
    </rPh>
    <phoneticPr fontId="23"/>
  </si>
  <si>
    <t>#6064←#6063（元#6062)</t>
    <rPh sb="12" eb="13">
      <t>モト</t>
    </rPh>
    <phoneticPr fontId="23"/>
  </si>
  <si>
    <t>○</t>
    <phoneticPr fontId="4"/>
  </si>
  <si>
    <t>#6068</t>
    <phoneticPr fontId="23"/>
  </si>
  <si>
    <t>POSモード手入力可#6069</t>
    <rPh sb="6" eb="9">
      <t>テニュウリョク</t>
    </rPh>
    <rPh sb="9" eb="10">
      <t>カ</t>
    </rPh>
    <phoneticPr fontId="23"/>
  </si>
  <si>
    <t>#0671</t>
    <phoneticPr fontId="23"/>
  </si>
  <si>
    <t>#6072</t>
    <phoneticPr fontId="23"/>
  </si>
  <si>
    <t>POSモード手入力可#6073</t>
    <rPh sb="6" eb="9">
      <t>テニュウリョク</t>
    </rPh>
    <rPh sb="9" eb="10">
      <t>カ</t>
    </rPh>
    <phoneticPr fontId="23"/>
  </si>
  <si>
    <t>#6077</t>
    <phoneticPr fontId="23"/>
  </si>
  <si>
    <t>#6078</t>
    <phoneticPr fontId="23"/>
  </si>
  <si>
    <t>#6079</t>
    <phoneticPr fontId="23"/>
  </si>
  <si>
    <t>#6080</t>
    <phoneticPr fontId="23"/>
  </si>
  <si>
    <t>POSモード手入力可#6081</t>
    <rPh sb="6" eb="9">
      <t>テニュウリョク</t>
    </rPh>
    <rPh sb="9" eb="10">
      <t>カ</t>
    </rPh>
    <phoneticPr fontId="23"/>
  </si>
  <si>
    <t>▲</t>
    <phoneticPr fontId="4"/>
  </si>
  <si>
    <t>#0361</t>
    <phoneticPr fontId="23"/>
  </si>
  <si>
    <t>#6082</t>
    <phoneticPr fontId="23"/>
  </si>
  <si>
    <t>#0362</t>
    <phoneticPr fontId="23"/>
  </si>
  <si>
    <t>#6083</t>
    <phoneticPr fontId="23"/>
  </si>
  <si>
    <t>#0363</t>
    <phoneticPr fontId="23"/>
  </si>
  <si>
    <t>#6085</t>
    <phoneticPr fontId="23"/>
  </si>
  <si>
    <t>#6086</t>
    <phoneticPr fontId="23"/>
  </si>
  <si>
    <t>手入力で確認#0366</t>
    <rPh sb="0" eb="3">
      <t>テニュウリョク</t>
    </rPh>
    <rPh sb="4" eb="6">
      <t>カクニン</t>
    </rPh>
    <phoneticPr fontId="23"/>
  </si>
  <si>
    <t>#6088</t>
    <phoneticPr fontId="23"/>
  </si>
  <si>
    <t>#6089</t>
    <phoneticPr fontId="23"/>
  </si>
  <si>
    <t>#6090</t>
    <phoneticPr fontId="23"/>
  </si>
  <si>
    <t>#6092</t>
    <phoneticPr fontId="23"/>
  </si>
  <si>
    <t>#6093</t>
    <phoneticPr fontId="23"/>
  </si>
  <si>
    <t>#6094</t>
    <phoneticPr fontId="23"/>
  </si>
  <si>
    <t>#0375</t>
    <phoneticPr fontId="23"/>
  </si>
  <si>
    <t>#0377 #0378</t>
    <phoneticPr fontId="23"/>
  </si>
  <si>
    <t>#0383</t>
    <phoneticPr fontId="23"/>
  </si>
  <si>
    <t>#0388</t>
    <phoneticPr fontId="23"/>
  </si>
  <si>
    <t>#0391←#0390(元#0389)</t>
    <rPh sb="12" eb="13">
      <t>モト</t>
    </rPh>
    <phoneticPr fontId="23"/>
  </si>
  <si>
    <t>#0393(元#0392)</t>
    <rPh sb="6" eb="7">
      <t>モト</t>
    </rPh>
    <phoneticPr fontId="23"/>
  </si>
  <si>
    <t>#0396</t>
    <phoneticPr fontId="23"/>
  </si>
  <si>
    <t>#0389を印刷</t>
    <rPh sb="6" eb="8">
      <t>インサツ</t>
    </rPh>
    <phoneticPr fontId="23"/>
  </si>
  <si>
    <t>#0403</t>
    <phoneticPr fontId="23"/>
  </si>
  <si>
    <t>#0405</t>
    <phoneticPr fontId="23"/>
  </si>
  <si>
    <t>#0408</t>
    <phoneticPr fontId="23"/>
  </si>
  <si>
    <r>
      <t>オフライン警告印字あり</t>
    </r>
    <r>
      <rPr>
        <sz val="8"/>
        <color theme="1"/>
        <rFont val="游ゴシック"/>
        <family val="3"/>
        <charset val="128"/>
        <scheme val="minor"/>
      </rPr>
      <t>#0409</t>
    </r>
    <rPh sb="5" eb="7">
      <t>ケイコク</t>
    </rPh>
    <rPh sb="7" eb="9">
      <t>インジ</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</si>
</sst>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624">
    <xf numFmtId="0" fontId="0" fillId="0" borderId="0" xfId="0"/>
    <xf numFmtId="0" fontId="1" fillId="0" borderId="0" xfId="19"/>
    <xf numFmtId="0" fontId="1" fillId="0" borderId="0" xfId="19" applyBorder="1"/>
    <xf numFmtId="14" fontId="1" fillId="0" borderId="0" xfId="19" applyNumberFormat="1"/>
    <xf numFmtId="0" fontId="12" fillId="0" borderId="0" xfId="19" applyFont="1"/>
    <xf numFmtId="0" fontId="13" fillId="0" borderId="0" xfId="19" applyFont="1" applyBorder="1" applyAlignment="1">
      <alignment horizontal="center"/>
    </xf>
    <xf numFmtId="0" fontId="26" fillId="4" borderId="0" xfId="21" applyNumberFormat="1" applyFont="1" applyFill="1" applyBorder="1" applyAlignment="1">
      <alignment vertical="center"/>
    </xf>
    <xf numFmtId="49" fontId="26" fillId="4" borderId="0" xfId="21" applyNumberFormat="1" applyFont="1" applyFill="1" applyBorder="1" applyAlignment="1">
      <alignment vertical="center"/>
    </xf>
    <xf numFmtId="0" fontId="26" fillId="0" borderId="0" xfId="21" applyNumberFormat="1" applyFont="1" applyFill="1" applyBorder="1" applyAlignment="1">
      <alignment vertical="center"/>
    </xf>
    <xf numFmtId="0" fontId="26" fillId="4" borderId="16" xfId="21" applyNumberFormat="1" applyFont="1" applyFill="1" applyBorder="1" applyAlignment="1">
      <alignment vertical="center"/>
    </xf>
    <xf numFmtId="0" fontId="26" fillId="4" borderId="17" xfId="21" applyNumberFormat="1" applyFont="1" applyFill="1" applyBorder="1" applyAlignment="1">
      <alignment vertical="center"/>
    </xf>
    <xf numFmtId="0" fontId="26" fillId="4" borderId="18" xfId="21" applyNumberFormat="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NumberFormat="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NumberFormat="1" applyFont="1" applyFill="1" applyBorder="1" applyAlignment="1">
      <alignment vertical="center"/>
    </xf>
    <xf numFmtId="0" fontId="26" fillId="4" borderId="22" xfId="21" applyNumberFormat="1" applyFont="1" applyFill="1" applyBorder="1" applyAlignment="1">
      <alignment horizontal="left" vertical="center"/>
    </xf>
    <xf numFmtId="0" fontId="27" fillId="4" borderId="0" xfId="21" applyNumberFormat="1" applyFont="1" applyFill="1" applyBorder="1" applyAlignment="1">
      <alignment vertical="center"/>
    </xf>
    <xf numFmtId="0" fontId="26" fillId="4" borderId="23" xfId="21" applyNumberFormat="1" applyFont="1" applyFill="1" applyBorder="1" applyAlignment="1">
      <alignment vertical="center"/>
    </xf>
    <xf numFmtId="0" fontId="26" fillId="4" borderId="22" xfId="21" applyNumberFormat="1" applyFont="1" applyFill="1" applyBorder="1" applyAlignment="1">
      <alignment vertical="center"/>
    </xf>
    <xf numFmtId="0" fontId="26" fillId="0" borderId="22" xfId="21" applyNumberFormat="1" applyFont="1" applyFill="1" applyBorder="1" applyAlignment="1">
      <alignment vertical="center"/>
    </xf>
    <xf numFmtId="0" fontId="26" fillId="0" borderId="23" xfId="21" applyNumberFormat="1" applyFont="1" applyFill="1" applyBorder="1" applyAlignment="1">
      <alignment horizontal="left" vertical="center"/>
    </xf>
    <xf numFmtId="0" fontId="26" fillId="4" borderId="23" xfId="21" applyNumberFormat="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NumberFormat="1" applyFont="1" applyFill="1" applyBorder="1" applyAlignment="1">
      <alignment horizontal="left" vertical="center"/>
    </xf>
    <xf numFmtId="0" fontId="26" fillId="4" borderId="24" xfId="21" applyNumberFormat="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NumberFormat="1" applyFont="1" applyFill="1" applyBorder="1" applyAlignment="1">
      <alignment vertical="center"/>
    </xf>
    <xf numFmtId="0" fontId="26" fillId="4" borderId="26" xfId="21" applyNumberFormat="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NumberFormat="1" applyFont="1" applyFill="1" applyBorder="1" applyAlignment="1">
      <alignment horizontal="center" vertical="center"/>
    </xf>
    <xf numFmtId="0" fontId="26" fillId="4" borderId="26" xfId="21" applyNumberFormat="1" applyFont="1" applyFill="1" applyBorder="1" applyAlignment="1">
      <alignment horizontal="center" vertical="center"/>
    </xf>
    <xf numFmtId="14" fontId="26" fillId="4" borderId="0" xfId="21" applyNumberFormat="1" applyFont="1" applyFill="1" applyBorder="1" applyAlignment="1">
      <alignment vertical="center"/>
    </xf>
    <xf numFmtId="0" fontId="26" fillId="4" borderId="0" xfId="17" applyFont="1" applyFill="1" applyBorder="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NumberFormat="1" applyFont="1" applyFill="1" applyBorder="1" applyAlignment="1">
      <alignment vertical="center"/>
    </xf>
    <xf numFmtId="0" fontId="26" fillId="4" borderId="0" xfId="21" applyNumberFormat="1" applyFont="1" applyFill="1" applyBorder="1" applyAlignment="1">
      <alignment horizontal="left" vertical="center"/>
    </xf>
    <xf numFmtId="0" fontId="26" fillId="0" borderId="0" xfId="21" applyNumberFormat="1" applyFont="1" applyFill="1" applyBorder="1" applyAlignment="1">
      <alignment horizontal="left" vertical="center"/>
    </xf>
    <xf numFmtId="49" fontId="26" fillId="0" borderId="0" xfId="21" applyNumberFormat="1" applyFont="1" applyFill="1" applyBorder="1" applyAlignment="1">
      <alignment horizontal="left" vertical="center"/>
    </xf>
    <xf numFmtId="49" fontId="26" fillId="0" borderId="0" xfId="21" applyNumberFormat="1" applyFont="1" applyFill="1" applyBorder="1" applyAlignment="1">
      <alignment vertical="center"/>
    </xf>
    <xf numFmtId="0" fontId="26" fillId="0" borderId="0" xfId="21" applyFont="1" applyFill="1" applyBorder="1" applyAlignment="1">
      <alignment vertical="center"/>
    </xf>
    <xf numFmtId="0" fontId="26" fillId="0" borderId="0" xfId="21" applyFont="1" applyFill="1" applyBorder="1" applyAlignment="1">
      <alignment horizontal="left" vertical="center"/>
    </xf>
    <xf numFmtId="20" fontId="26" fillId="0" borderId="0" xfId="21" applyNumberFormat="1" applyFont="1" applyFill="1" applyBorder="1" applyAlignment="1">
      <alignment vertical="center"/>
    </xf>
    <xf numFmtId="49" fontId="26" fillId="0" borderId="0" xfId="21" applyNumberFormat="1" applyFont="1" applyFill="1" applyBorder="1"/>
    <xf numFmtId="0" fontId="26" fillId="0" borderId="0" xfId="21" applyFont="1" applyFill="1" applyBorder="1"/>
    <xf numFmtId="0" fontId="26" fillId="0" borderId="0" xfId="21" applyFont="1" applyFill="1" applyBorder="1" applyAlignment="1">
      <alignment horizontal="left"/>
    </xf>
    <xf numFmtId="0" fontId="26" fillId="0" borderId="0" xfId="21" applyFont="1" applyFill="1" applyBorder="1" applyAlignment="1">
      <alignment horizontal="centerContinuous"/>
    </xf>
    <xf numFmtId="0" fontId="32" fillId="7" borderId="0" xfId="16" applyFont="1" applyFill="1" applyBorder="1" applyAlignment="1">
      <alignment vertical="top" wrapText="1"/>
    </xf>
    <xf numFmtId="0" fontId="33" fillId="7" borderId="0" xfId="16" applyFont="1" applyFill="1" applyBorder="1" applyAlignment="1">
      <alignment vertical="top" wrapText="1"/>
    </xf>
    <xf numFmtId="0" fontId="33" fillId="0" borderId="31" xfId="16" applyFont="1" applyFill="1" applyBorder="1" applyAlignment="1">
      <alignment horizontal="center" vertical="center" wrapText="1"/>
    </xf>
    <xf numFmtId="0" fontId="33" fillId="0" borderId="31" xfId="16" quotePrefix="1" applyFont="1" applyFill="1" applyBorder="1" applyAlignment="1">
      <alignment horizontal="center" vertical="center" wrapText="1"/>
    </xf>
    <xf numFmtId="176" fontId="33" fillId="0" borderId="31" xfId="16" applyNumberFormat="1" applyFont="1" applyFill="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Fill="1" applyBorder="1" applyAlignment="1">
      <alignment horizontal="center" vertical="center" wrapText="1"/>
    </xf>
    <xf numFmtId="0" fontId="33" fillId="0" borderId="32" xfId="16" quotePrefix="1" applyFont="1" applyFill="1" applyBorder="1" applyAlignment="1">
      <alignment horizontal="center" vertical="center" wrapText="1"/>
    </xf>
    <xf numFmtId="176" fontId="33" fillId="0" borderId="32" xfId="16" applyNumberFormat="1" applyFont="1" applyFill="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Fill="1" applyBorder="1" applyAlignment="1">
      <alignment horizontal="center" vertical="center" wrapText="1"/>
    </xf>
    <xf numFmtId="0" fontId="33" fillId="0" borderId="35" xfId="16" quotePrefix="1" applyFont="1" applyFill="1" applyBorder="1" applyAlignment="1">
      <alignment horizontal="center" vertical="center" wrapText="1"/>
    </xf>
    <xf numFmtId="176" fontId="33" fillId="0" borderId="35" xfId="16" applyNumberFormat="1" applyFont="1" applyFill="1" applyBorder="1" applyAlignment="1">
      <alignment horizontal="center" vertical="center" wrapText="1"/>
    </xf>
    <xf numFmtId="0" fontId="33" fillId="10" borderId="0" xfId="16" applyFont="1" applyFill="1" applyBorder="1" applyAlignment="1">
      <alignment vertical="top" wrapText="1"/>
    </xf>
    <xf numFmtId="0" fontId="33" fillId="0" borderId="37" xfId="16" applyFont="1" applyFill="1" applyBorder="1" applyAlignment="1">
      <alignment horizontal="center" vertical="center" wrapText="1"/>
    </xf>
    <xf numFmtId="0" fontId="33" fillId="0" borderId="38" xfId="16" quotePrefix="1" applyFont="1" applyFill="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Fill="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Fill="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Fill="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Fill="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Fill="1" applyBorder="1" applyAlignment="1">
      <alignment horizontal="center" vertical="center" wrapText="1"/>
    </xf>
    <xf numFmtId="176" fontId="33" fillId="0" borderId="43" xfId="16" applyNumberFormat="1" applyFont="1" applyFill="1" applyBorder="1" applyAlignment="1">
      <alignment horizontal="center" vertical="center" wrapText="1"/>
    </xf>
    <xf numFmtId="176" fontId="33" fillId="0" borderId="41" xfId="16" applyNumberFormat="1" applyFont="1" applyFill="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Fill="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Fill="1" applyBorder="1" applyAlignment="1">
      <alignment horizontal="center" vertical="center" wrapText="1"/>
    </xf>
    <xf numFmtId="0" fontId="33" fillId="0" borderId="46" xfId="16" applyFont="1" applyFill="1" applyBorder="1" applyAlignment="1">
      <alignment horizontal="center" vertical="center" wrapText="1"/>
    </xf>
    <xf numFmtId="0" fontId="33" fillId="0" borderId="47" xfId="16" quotePrefix="1" applyFont="1" applyFill="1" applyBorder="1" applyAlignment="1">
      <alignment horizontal="center" vertical="center" wrapText="1"/>
    </xf>
    <xf numFmtId="176" fontId="33" fillId="0" borderId="48" xfId="16" applyNumberFormat="1" applyFont="1" applyFill="1" applyBorder="1" applyAlignment="1">
      <alignment horizontal="center" vertical="center" wrapText="1"/>
    </xf>
    <xf numFmtId="176" fontId="33" fillId="0" borderId="49" xfId="16" applyNumberFormat="1" applyFont="1" applyFill="1" applyBorder="1" applyAlignment="1">
      <alignment horizontal="center" vertical="center" wrapText="1"/>
    </xf>
    <xf numFmtId="0" fontId="33" fillId="0" borderId="50" xfId="16" applyFont="1" applyFill="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Fill="1" applyBorder="1" applyAlignment="1">
      <alignment vertical="center" shrinkToFit="1"/>
    </xf>
    <xf numFmtId="0" fontId="33" fillId="0" borderId="36" xfId="16" applyFont="1" applyFill="1" applyBorder="1" applyAlignment="1">
      <alignment vertical="center" wrapText="1"/>
    </xf>
    <xf numFmtId="0" fontId="33" fillId="0" borderId="31" xfId="16" applyFont="1" applyFill="1" applyBorder="1" applyAlignment="1">
      <alignment vertical="center" wrapText="1"/>
    </xf>
    <xf numFmtId="0" fontId="33" fillId="8" borderId="54" xfId="16" applyFont="1" applyFill="1" applyBorder="1" applyAlignment="1">
      <alignment vertical="center" wrapText="1"/>
    </xf>
    <xf numFmtId="0" fontId="33" fillId="0" borderId="54" xfId="16" applyFont="1" applyFill="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Fill="1" applyBorder="1" applyAlignment="1">
      <alignment horizontal="left" vertical="center" wrapText="1"/>
    </xf>
    <xf numFmtId="0" fontId="33" fillId="0" borderId="65" xfId="16" applyFont="1" applyFill="1" applyBorder="1" applyAlignment="1">
      <alignment horizontal="left" vertical="center" wrapText="1"/>
    </xf>
    <xf numFmtId="0" fontId="35" fillId="0" borderId="65" xfId="16" applyFont="1" applyFill="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Fill="1" applyBorder="1" applyAlignment="1">
      <alignment horizontal="left" vertical="center" wrapText="1"/>
    </xf>
    <xf numFmtId="0" fontId="33" fillId="0" borderId="66" xfId="16" applyFont="1" applyFill="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3" fillId="10" borderId="0" xfId="16" applyFont="1" applyFill="1" applyAlignment="1">
      <alignment vertical="top"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applyAlignment="1"/>
    <xf numFmtId="0" fontId="1" fillId="10" borderId="8" xfId="19" applyFont="1" applyFill="1" applyBorder="1" applyAlignment="1"/>
    <xf numFmtId="0" fontId="1" fillId="10" borderId="9" xfId="19" applyFont="1" applyFill="1" applyBorder="1" applyAlignment="1"/>
    <xf numFmtId="0" fontId="1" fillId="10" borderId="6" xfId="19" applyFont="1" applyFill="1" applyBorder="1"/>
    <xf numFmtId="0" fontId="1" fillId="10" borderId="0" xfId="19" applyFill="1" applyBorder="1"/>
    <xf numFmtId="0" fontId="1" fillId="10" borderId="5" xfId="19" applyFill="1" applyBorder="1"/>
    <xf numFmtId="0" fontId="1" fillId="10" borderId="6" xfId="19" applyFill="1" applyBorder="1"/>
    <xf numFmtId="0" fontId="14" fillId="10" borderId="0" xfId="19" applyNumberFormat="1" applyFont="1" applyFill="1" applyBorder="1" applyAlignment="1">
      <alignment horizontal="center"/>
    </xf>
    <xf numFmtId="0" fontId="2" fillId="10" borderId="0" xfId="19" applyFont="1" applyFill="1" applyAlignment="1"/>
    <xf numFmtId="0" fontId="26" fillId="10" borderId="0" xfId="21" applyNumberFormat="1" applyFont="1" applyFill="1" applyBorder="1" applyAlignment="1">
      <alignment vertical="center"/>
    </xf>
    <xf numFmtId="0" fontId="29" fillId="10" borderId="0" xfId="21" applyNumberFormat="1" applyFont="1" applyFill="1" applyBorder="1" applyAlignment="1">
      <alignment horizontal="center" vertical="center"/>
    </xf>
    <xf numFmtId="49" fontId="29" fillId="10" borderId="0" xfId="21" applyNumberFormat="1" applyFont="1" applyFill="1" applyBorder="1" applyAlignment="1">
      <alignment horizontal="center" vertical="center"/>
    </xf>
    <xf numFmtId="0" fontId="29" fillId="10" borderId="0" xfId="21" applyNumberFormat="1" applyFont="1" applyFill="1" applyBorder="1" applyAlignment="1">
      <alignment horizontal="left" vertical="center"/>
    </xf>
    <xf numFmtId="0" fontId="26" fillId="10" borderId="0" xfId="21" applyNumberFormat="1" applyFont="1" applyFill="1" applyBorder="1" applyAlignment="1">
      <alignment horizontal="center" vertical="center"/>
    </xf>
    <xf numFmtId="49" fontId="26" fillId="10" borderId="0" xfId="21" applyNumberFormat="1" applyFont="1" applyFill="1" applyBorder="1" applyAlignment="1">
      <alignment vertical="center"/>
    </xf>
    <xf numFmtId="0" fontId="26" fillId="10" borderId="0" xfId="21" applyNumberFormat="1" applyFont="1" applyFill="1" applyBorder="1" applyAlignment="1">
      <alignment horizontal="left" vertical="center"/>
    </xf>
    <xf numFmtId="49" fontId="26" fillId="10" borderId="0" xfId="21" applyNumberFormat="1" applyFont="1" applyFill="1" applyBorder="1" applyAlignment="1">
      <alignment horizontal="left" vertical="center"/>
    </xf>
    <xf numFmtId="0" fontId="26" fillId="10" borderId="0" xfId="21" quotePrefix="1" applyNumberFormat="1" applyFont="1" applyFill="1" applyBorder="1" applyAlignment="1">
      <alignment horizontal="left" vertical="center"/>
    </xf>
    <xf numFmtId="20" fontId="26" fillId="10" borderId="0" xfId="21" applyNumberFormat="1" applyFont="1" applyFill="1" applyBorder="1" applyAlignment="1">
      <alignment horizontal="left" vertical="center"/>
    </xf>
    <xf numFmtId="49" fontId="26" fillId="10" borderId="0" xfId="21" applyNumberFormat="1" applyFont="1" applyFill="1" applyBorder="1" applyAlignment="1">
      <alignment horizontal="center" vertical="center"/>
    </xf>
    <xf numFmtId="0" fontId="26" fillId="10" borderId="0" xfId="21" quotePrefix="1" applyNumberFormat="1" applyFont="1" applyFill="1" applyBorder="1" applyAlignment="1">
      <alignment vertical="center"/>
    </xf>
    <xf numFmtId="0" fontId="28" fillId="10" borderId="0" xfId="21" applyNumberFormat="1" applyFont="1" applyFill="1" applyBorder="1" applyAlignment="1">
      <alignment horizontal="left" vertical="center"/>
    </xf>
    <xf numFmtId="0" fontId="28" fillId="10" borderId="0" xfId="21" applyNumberFormat="1" applyFont="1" applyFill="1" applyBorder="1" applyAlignment="1">
      <alignment vertical="center"/>
    </xf>
    <xf numFmtId="0" fontId="33" fillId="0" borderId="89" xfId="16" applyFont="1" applyFill="1" applyBorder="1" applyAlignment="1">
      <alignment vertical="center" shrinkToFit="1"/>
    </xf>
    <xf numFmtId="0" fontId="33" fillId="0" borderId="43" xfId="16" applyFont="1" applyFill="1" applyBorder="1" applyAlignment="1">
      <alignment vertical="center" wrapText="1"/>
    </xf>
    <xf numFmtId="0" fontId="33" fillId="0" borderId="32" xfId="16" applyFont="1" applyFill="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26" fillId="4" borderId="20" xfId="21" applyNumberFormat="1" applyFont="1" applyFill="1" applyBorder="1" applyAlignment="1">
      <alignment horizontal="center" vertical="center"/>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10" borderId="0" xfId="16" applyFont="1" applyFill="1" applyBorder="1" applyAlignment="1">
      <alignment vertical="top" wrapText="1"/>
    </xf>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Border="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Fill="1" applyBorder="1" applyAlignment="1">
      <alignment horizontal="center" vertical="center" wrapText="1"/>
    </xf>
    <xf numFmtId="0" fontId="33" fillId="0" borderId="95" xfId="16" applyFont="1" applyFill="1" applyBorder="1" applyAlignment="1">
      <alignment horizontal="center" vertical="center" wrapText="1"/>
    </xf>
    <xf numFmtId="0" fontId="33" fillId="0" borderId="54" xfId="16" applyFont="1" applyFill="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Fill="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0" fontId="33" fillId="0" borderId="0" xfId="18" applyFont="1" applyBorder="1"/>
    <xf numFmtId="0" fontId="33" fillId="0" borderId="0" xfId="18" applyFont="1" applyFill="1"/>
    <xf numFmtId="56" fontId="33" fillId="0" borderId="0" xfId="18" applyNumberFormat="1" applyFont="1" applyFill="1"/>
    <xf numFmtId="0" fontId="33" fillId="10" borderId="0" xfId="18" applyFont="1" applyFill="1"/>
    <xf numFmtId="0" fontId="33" fillId="10" borderId="0" xfId="0" applyFont="1" applyFill="1" applyBorder="1" applyProtection="1"/>
    <xf numFmtId="0" fontId="33" fillId="10" borderId="0" xfId="18" applyNumberFormat="1" applyFont="1" applyFill="1" applyBorder="1" applyAlignment="1" applyProtection="1">
      <alignment vertical="center"/>
    </xf>
    <xf numFmtId="0" fontId="33" fillId="10" borderId="0" xfId="18" applyNumberFormat="1" applyFont="1" applyFill="1" applyBorder="1" applyAlignment="1">
      <alignment vertical="center"/>
    </xf>
    <xf numFmtId="0" fontId="33" fillId="10" borderId="0" xfId="18" applyFont="1" applyFill="1" applyBorder="1" applyAlignment="1" applyProtection="1">
      <alignment horizontal="center" vertical="center"/>
    </xf>
    <xf numFmtId="0" fontId="32" fillId="10" borderId="0" xfId="18" applyFont="1" applyFill="1" applyBorder="1" applyAlignment="1" applyProtection="1">
      <alignment vertical="center"/>
    </xf>
    <xf numFmtId="0" fontId="38" fillId="10" borderId="0" xfId="18" applyFont="1" applyFill="1" applyBorder="1" applyAlignment="1" applyProtection="1">
      <alignment vertical="center"/>
    </xf>
    <xf numFmtId="0" fontId="38" fillId="10" borderId="0" xfId="18" applyFont="1" applyFill="1" applyBorder="1" applyAlignment="1" applyProtection="1">
      <alignment horizontal="left" vertical="center"/>
    </xf>
    <xf numFmtId="0" fontId="32" fillId="11" borderId="45" xfId="18" applyFont="1" applyFill="1" applyBorder="1" applyAlignment="1" applyProtection="1">
      <alignment horizontal="center" vertical="center"/>
    </xf>
    <xf numFmtId="0" fontId="32" fillId="11" borderId="32" xfId="18" applyFont="1" applyFill="1" applyBorder="1" applyAlignment="1" applyProtection="1">
      <alignment horizontal="center" vertical="center" wrapText="1"/>
    </xf>
    <xf numFmtId="0" fontId="32" fillId="11" borderId="32" xfId="18" applyFont="1" applyFill="1" applyBorder="1" applyAlignment="1" applyProtection="1">
      <alignment horizontal="center" vertical="center"/>
    </xf>
    <xf numFmtId="0" fontId="32" fillId="11" borderId="41" xfId="18" applyFont="1" applyFill="1" applyBorder="1" applyAlignment="1" applyProtection="1">
      <alignment horizontal="center" vertical="center"/>
    </xf>
    <xf numFmtId="0" fontId="33" fillId="0" borderId="31" xfId="0" applyNumberFormat="1" applyFont="1" applyFill="1" applyBorder="1" applyAlignment="1" applyProtection="1">
      <alignment vertical="center" wrapText="1"/>
    </xf>
    <xf numFmtId="0" fontId="33" fillId="0" borderId="31" xfId="18" applyFont="1" applyFill="1" applyBorder="1" applyAlignment="1">
      <alignment vertical="center" wrapText="1"/>
    </xf>
    <xf numFmtId="0" fontId="33" fillId="0" borderId="57" xfId="0" applyFont="1" applyFill="1" applyBorder="1" applyAlignment="1" applyProtection="1">
      <alignment vertical="center" wrapText="1"/>
    </xf>
    <xf numFmtId="0" fontId="33" fillId="0" borderId="39" xfId="0" applyFont="1" applyFill="1" applyBorder="1" applyAlignment="1" applyProtection="1">
      <alignment vertical="center" wrapText="1"/>
    </xf>
    <xf numFmtId="0" fontId="33" fillId="0" borderId="39" xfId="0" applyNumberFormat="1" applyFont="1" applyFill="1" applyBorder="1" applyAlignment="1" applyProtection="1">
      <alignment vertical="center" wrapText="1"/>
    </xf>
    <xf numFmtId="0" fontId="33" fillId="10" borderId="39" xfId="0" applyFont="1" applyFill="1" applyBorder="1" applyAlignment="1" applyProtection="1">
      <alignment vertical="center" wrapText="1"/>
    </xf>
    <xf numFmtId="0" fontId="33" fillId="0" borderId="39" xfId="18" applyFont="1" applyFill="1" applyBorder="1" applyAlignment="1">
      <alignment vertical="center" wrapText="1"/>
    </xf>
    <xf numFmtId="181" fontId="33" fillId="0" borderId="94" xfId="18" applyNumberFormat="1" applyFont="1" applyFill="1" applyBorder="1" applyAlignment="1" applyProtection="1">
      <alignment horizontal="center" vertical="center"/>
    </xf>
    <xf numFmtId="181" fontId="33" fillId="0" borderId="54" xfId="18" applyNumberFormat="1" applyFont="1" applyFill="1" applyBorder="1" applyAlignment="1" applyProtection="1">
      <alignment horizontal="center" vertical="center"/>
    </xf>
    <xf numFmtId="0" fontId="33" fillId="0" borderId="55" xfId="18" applyFont="1" applyFill="1" applyBorder="1"/>
    <xf numFmtId="0" fontId="33" fillId="0" borderId="37" xfId="18" applyFont="1" applyFill="1" applyBorder="1"/>
    <xf numFmtId="0" fontId="33" fillId="0" borderId="101" xfId="18" applyFont="1" applyFill="1" applyBorder="1"/>
    <xf numFmtId="14" fontId="33" fillId="0" borderId="61" xfId="18" applyNumberFormat="1" applyFont="1" applyFill="1" applyBorder="1" applyAlignment="1" applyProtection="1">
      <alignment horizontal="center" vertical="center"/>
    </xf>
    <xf numFmtId="14" fontId="33" fillId="0" borderId="52" xfId="18" applyNumberFormat="1" applyFont="1" applyFill="1" applyBorder="1" applyAlignment="1" applyProtection="1">
      <alignment horizontal="center" vertical="center"/>
    </xf>
    <xf numFmtId="0" fontId="33" fillId="0" borderId="99" xfId="18" applyFont="1" applyFill="1" applyBorder="1" applyAlignment="1" applyProtection="1">
      <alignment vertical="center" wrapText="1"/>
    </xf>
    <xf numFmtId="0" fontId="33" fillId="0" borderId="95" xfId="18" applyFont="1" applyFill="1" applyBorder="1" applyAlignment="1" applyProtection="1">
      <alignment vertical="center" wrapText="1"/>
    </xf>
    <xf numFmtId="0" fontId="33" fillId="0" borderId="95" xfId="18" applyFont="1" applyFill="1" applyBorder="1" applyAlignment="1" applyProtection="1">
      <alignment vertical="center"/>
    </xf>
    <xf numFmtId="0" fontId="33" fillId="10" borderId="95" xfId="18" applyFont="1" applyFill="1" applyBorder="1" applyAlignment="1" applyProtection="1">
      <alignment vertical="center" wrapText="1"/>
    </xf>
    <xf numFmtId="0" fontId="39" fillId="0" borderId="95" xfId="18" applyFont="1" applyFill="1" applyBorder="1" applyAlignment="1" applyProtection="1">
      <alignment vertical="center" wrapText="1"/>
    </xf>
    <xf numFmtId="14" fontId="33" fillId="0" borderId="54" xfId="18" applyNumberFormat="1" applyFont="1" applyFill="1" applyBorder="1" applyAlignment="1" applyProtection="1">
      <alignment horizontal="center" vertical="center"/>
    </xf>
    <xf numFmtId="0" fontId="33" fillId="8" borderId="94" xfId="0" applyFont="1" applyFill="1" applyBorder="1" applyAlignment="1" applyProtection="1">
      <alignment vertical="center" wrapText="1"/>
    </xf>
    <xf numFmtId="0" fontId="33" fillId="8" borderId="54" xfId="0" applyFont="1" applyFill="1" applyBorder="1" applyAlignment="1" applyProtection="1">
      <alignment vertical="center" wrapText="1"/>
    </xf>
    <xf numFmtId="0" fontId="26" fillId="4" borderId="20" xfId="21" applyNumberFormat="1" applyFont="1" applyFill="1" applyBorder="1" applyAlignment="1">
      <alignment horizontal="center" vertical="center"/>
    </xf>
    <xf numFmtId="0" fontId="33" fillId="0" borderId="100" xfId="0" applyFont="1" applyFill="1" applyBorder="1" applyAlignment="1">
      <alignment vertical="center"/>
    </xf>
    <xf numFmtId="0" fontId="33" fillId="0" borderId="103" xfId="0" applyFont="1" applyFill="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pplyProtection="1">
      <alignment vertical="center" wrapText="1"/>
    </xf>
    <xf numFmtId="0" fontId="33" fillId="10" borderId="31" xfId="0" applyNumberFormat="1" applyFont="1" applyFill="1" applyBorder="1" applyAlignment="1" applyProtection="1">
      <alignment vertical="center" wrapText="1"/>
    </xf>
    <xf numFmtId="0" fontId="39" fillId="10" borderId="95" xfId="18" applyFont="1" applyFill="1" applyBorder="1" applyAlignment="1" applyProtection="1">
      <alignment vertical="center"/>
    </xf>
    <xf numFmtId="0" fontId="33" fillId="0" borderId="56" xfId="0" applyFont="1" applyFill="1" applyBorder="1" applyAlignment="1" applyProtection="1">
      <alignment vertical="center" wrapText="1"/>
    </xf>
    <xf numFmtId="0" fontId="26" fillId="4" borderId="20" xfId="21" applyNumberFormat="1" applyFont="1" applyFill="1" applyBorder="1" applyAlignment="1">
      <alignment horizontal="center" vertical="center"/>
    </xf>
    <xf numFmtId="0" fontId="33" fillId="0" borderId="53" xfId="16" applyFont="1" applyFill="1" applyBorder="1" applyAlignment="1">
      <alignment vertical="center" shrinkToFit="1"/>
    </xf>
    <xf numFmtId="0" fontId="33" fillId="10" borderId="0" xfId="0" applyFont="1" applyFill="1"/>
    <xf numFmtId="0" fontId="33" fillId="10" borderId="0" xfId="18" applyFont="1" applyFill="1" applyBorder="1"/>
    <xf numFmtId="0" fontId="33" fillId="10" borderId="0" xfId="18" applyFont="1" applyFill="1" applyBorder="1" applyAlignment="1">
      <alignment horizontal="center"/>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39" xfId="0" applyNumberFormat="1" applyFont="1" applyFill="1" applyBorder="1" applyAlignment="1" applyProtection="1">
      <alignment vertical="center" wrapText="1"/>
    </xf>
    <xf numFmtId="0" fontId="33" fillId="10" borderId="95" xfId="18" applyFont="1" applyFill="1" applyBorder="1" applyAlignment="1" applyProtection="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Fill="1" applyBorder="1" applyAlignment="1">
      <alignment horizontal="center" vertical="center" wrapText="1"/>
    </xf>
    <xf numFmtId="0" fontId="33" fillId="0" borderId="48" xfId="16" applyFont="1" applyFill="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Fill="1" applyBorder="1" applyAlignment="1">
      <alignment horizontal="center" vertical="center" wrapText="1"/>
    </xf>
    <xf numFmtId="176" fontId="30" fillId="0" borderId="48" xfId="16" applyNumberFormat="1" applyFont="1" applyFill="1" applyBorder="1" applyAlignment="1">
      <alignment horizontal="center" vertical="center" wrapText="1"/>
    </xf>
    <xf numFmtId="176" fontId="33" fillId="0" borderId="47" xfId="16" applyNumberFormat="1" applyFont="1" applyFill="1" applyBorder="1" applyAlignment="1">
      <alignment horizontal="center" vertical="center" wrapText="1"/>
    </xf>
    <xf numFmtId="0" fontId="33" fillId="0" borderId="53" xfId="16" applyFont="1" applyFill="1" applyBorder="1" applyAlignment="1">
      <alignment horizontal="center" vertical="center" wrapText="1"/>
    </xf>
    <xf numFmtId="0" fontId="33" fillId="0" borderId="112" xfId="16" applyFont="1" applyFill="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pplyProtection="1">
      <alignment vertical="center" wrapText="1"/>
    </xf>
    <xf numFmtId="0" fontId="33" fillId="0" borderId="31" xfId="0" applyFont="1" applyFill="1" applyBorder="1" applyAlignment="1" applyProtection="1">
      <alignment vertical="center" wrapText="1"/>
    </xf>
    <xf numFmtId="0" fontId="36" fillId="7" borderId="75"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6" fillId="7" borderId="75" xfId="16" applyFont="1" applyFill="1" applyBorder="1" applyAlignment="1">
      <alignment horizontal="center" vertical="center" wrapText="1"/>
    </xf>
    <xf numFmtId="0" fontId="33" fillId="13" borderId="0" xfId="16" applyFont="1" applyFill="1"/>
    <xf numFmtId="0" fontId="33" fillId="0" borderId="0" xfId="16" applyFont="1" applyFill="1" applyAlignment="1">
      <alignment vertical="top" wrapText="1"/>
    </xf>
    <xf numFmtId="0" fontId="33" fillId="0" borderId="30" xfId="16" applyFont="1" applyFill="1" applyBorder="1" applyAlignment="1">
      <alignment vertical="center" wrapText="1"/>
    </xf>
    <xf numFmtId="0" fontId="33" fillId="0" borderId="86" xfId="16" applyFont="1" applyFill="1" applyBorder="1" applyAlignment="1">
      <alignment vertical="center" wrapText="1" shrinkToFit="1"/>
    </xf>
    <xf numFmtId="0" fontId="35" fillId="0" borderId="0" xfId="16" applyFont="1" applyFill="1"/>
    <xf numFmtId="0" fontId="33" fillId="12" borderId="114" xfId="16" applyFont="1" applyFill="1" applyBorder="1" applyAlignment="1">
      <alignment vertical="center" wrapText="1" shrinkToFit="1"/>
    </xf>
    <xf numFmtId="0" fontId="26" fillId="4" borderId="20" xfId="21" applyNumberFormat="1" applyFont="1" applyFill="1" applyBorder="1" applyAlignment="1">
      <alignment horizontal="center" vertical="center"/>
    </xf>
    <xf numFmtId="0" fontId="36" fillId="7" borderId="75" xfId="16" applyFont="1" applyFill="1" applyBorder="1" applyAlignment="1">
      <alignment horizontal="center" vertical="center" wrapTex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0" borderId="46" xfId="16" applyFont="1" applyBorder="1" applyAlignment="1">
      <alignment horizontal="center" vertical="center" wrapText="1"/>
    </xf>
    <xf numFmtId="0" fontId="33" fillId="0" borderId="35" xfId="16" quotePrefix="1" applyFont="1" applyBorder="1" applyAlignment="1">
      <alignment horizontal="center" vertical="center" wrapText="1"/>
    </xf>
    <xf numFmtId="0" fontId="33" fillId="0" borderId="35" xfId="16" applyFont="1" applyBorder="1" applyAlignment="1">
      <alignment horizontal="center" vertical="center" wrapText="1"/>
    </xf>
    <xf numFmtId="0" fontId="33" fillId="0" borderId="37" xfId="16" quotePrefix="1" applyFont="1" applyBorder="1" applyAlignment="1">
      <alignment horizontal="center" vertical="center" wrapText="1"/>
    </xf>
    <xf numFmtId="0" fontId="33" fillId="0" borderId="47" xfId="16" quotePrefix="1" applyFont="1" applyBorder="1" applyAlignment="1">
      <alignment horizontal="center" vertical="center" wrapText="1"/>
    </xf>
    <xf numFmtId="0" fontId="33" fillId="0" borderId="50" xfId="16" applyFont="1" applyBorder="1" applyAlignment="1">
      <alignment horizontal="center" vertical="center" wrapText="1"/>
    </xf>
    <xf numFmtId="0" fontId="33" fillId="0" borderId="64" xfId="16" applyFont="1" applyBorder="1" applyAlignment="1">
      <alignment horizontal="left" vertical="center" wrapText="1"/>
    </xf>
    <xf numFmtId="0" fontId="33" fillId="0" borderId="31" xfId="16" quotePrefix="1" applyFont="1" applyBorder="1" applyAlignment="1">
      <alignment horizontal="center" vertical="center" wrapText="1"/>
    </xf>
    <xf numFmtId="0" fontId="33" fillId="0" borderId="38"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176" fontId="33" fillId="0" borderId="39" xfId="16" applyNumberFormat="1" applyFont="1" applyBorder="1" applyAlignment="1">
      <alignment horizontal="center" vertical="center" wrapText="1"/>
    </xf>
    <xf numFmtId="0" fontId="33" fillId="0" borderId="65" xfId="16" applyFont="1" applyBorder="1" applyAlignment="1">
      <alignment horizontal="left" vertical="center" wrapText="1"/>
    </xf>
    <xf numFmtId="0" fontId="33" fillId="9" borderId="50" xfId="16"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0" fontId="35" fillId="0" borderId="65" xfId="16" applyFont="1" applyBorder="1" applyAlignment="1">
      <alignment horizontal="left" vertical="center" wrapText="1"/>
    </xf>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3" fillId="0" borderId="0" xfId="16" applyFont="1"/>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5" fillId="0" borderId="0" xfId="16" applyFont="1"/>
    <xf numFmtId="0" fontId="33" fillId="0" borderId="54" xfId="16" applyFont="1" applyBorder="1" applyAlignment="1">
      <alignment vertical="center" wrapText="1" shrinkToFit="1"/>
    </xf>
    <xf numFmtId="0" fontId="33" fillId="0" borderId="53" xfId="16" applyFont="1" applyBorder="1" applyAlignment="1">
      <alignment vertical="center" shrinkToFit="1"/>
    </xf>
    <xf numFmtId="0" fontId="33" fillId="0" borderId="37" xfId="16" applyFont="1" applyBorder="1" applyAlignment="1">
      <alignment horizontal="center" vertical="center" wrapText="1"/>
    </xf>
    <xf numFmtId="0" fontId="37" fillId="0" borderId="65" xfId="16" applyFont="1" applyBorder="1" applyAlignment="1">
      <alignment horizontal="left" vertical="center" wrapText="1"/>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0" borderId="45" xfId="16" applyFont="1" applyBorder="1" applyAlignment="1">
      <alignment horizontal="center" vertical="center" wrapText="1"/>
    </xf>
    <xf numFmtId="0" fontId="33" fillId="0" borderId="32" xfId="16" quotePrefix="1" applyFont="1" applyBorder="1" applyAlignment="1">
      <alignment horizontal="center" vertical="center" wrapText="1"/>
    </xf>
    <xf numFmtId="0" fontId="33" fillId="0" borderId="32" xfId="16" applyFont="1" applyBorder="1" applyAlignment="1">
      <alignment horizontal="center" vertical="center" wrapText="1"/>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32"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3" fillId="0" borderId="42" xfId="16" applyFont="1" applyBorder="1" applyAlignment="1">
      <alignment horizontal="center" vertical="center" wrapText="1"/>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0" xfId="16" applyFont="1" applyFill="1"/>
    <xf numFmtId="0" fontId="33" fillId="0" borderId="28" xfId="16" applyFont="1" applyFill="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Fill="1" applyBorder="1" applyAlignment="1">
      <alignment vertical="center" wrapText="1" shrinkToFit="1"/>
    </xf>
    <xf numFmtId="0" fontId="33" fillId="0" borderId="28" xfId="16" applyFont="1" applyFill="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NumberFormat="1" applyFont="1" applyFill="1" applyBorder="1" applyAlignment="1" applyProtection="1">
      <alignment vertical="center" wrapText="1"/>
    </xf>
    <xf numFmtId="0" fontId="33" fillId="9" borderId="39" xfId="0" applyFont="1" applyFill="1" applyBorder="1" applyAlignment="1" applyProtection="1">
      <alignment vertical="center" wrapText="1"/>
    </xf>
    <xf numFmtId="0" fontId="33" fillId="9" borderId="54" xfId="0" applyFont="1" applyFill="1" applyBorder="1" applyAlignment="1" applyProtection="1">
      <alignment vertical="center" wrapText="1"/>
    </xf>
    <xf numFmtId="181" fontId="33" fillId="9" borderId="54" xfId="18" applyNumberFormat="1" applyFont="1" applyFill="1" applyBorder="1" applyAlignment="1" applyProtection="1">
      <alignment horizontal="center" vertical="center"/>
    </xf>
    <xf numFmtId="14" fontId="33" fillId="9" borderId="52" xfId="18" applyNumberFormat="1" applyFont="1" applyFill="1" applyBorder="1" applyAlignment="1" applyProtection="1">
      <alignment horizontal="center" vertical="center"/>
    </xf>
    <xf numFmtId="56" fontId="33" fillId="9" borderId="54" xfId="18" applyNumberFormat="1" applyFont="1" applyFill="1" applyBorder="1" applyAlignment="1" applyProtection="1">
      <alignment horizontal="center" vertical="center"/>
    </xf>
    <xf numFmtId="0" fontId="33" fillId="9" borderId="95" xfId="18" applyFont="1" applyFill="1" applyBorder="1" applyAlignment="1" applyProtection="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0" fontId="33" fillId="9" borderId="31" xfId="0" applyFont="1" applyFill="1" applyBorder="1" applyAlignment="1" applyProtection="1">
      <alignment vertical="center" wrapText="1"/>
    </xf>
    <xf numFmtId="181" fontId="33" fillId="9" borderId="54" xfId="18" quotePrefix="1" applyNumberFormat="1" applyFont="1" applyFill="1" applyBorder="1" applyAlignment="1" applyProtection="1">
      <alignment horizontal="center" vertical="center"/>
    </xf>
    <xf numFmtId="14" fontId="33" fillId="9" borderId="52" xfId="18" quotePrefix="1" applyNumberFormat="1" applyFont="1" applyFill="1" applyBorder="1" applyAlignment="1" applyProtection="1">
      <alignment horizontal="center" vertical="center"/>
    </xf>
    <xf numFmtId="0" fontId="39" fillId="9" borderId="95" xfId="18" applyFont="1" applyFill="1" applyBorder="1" applyAlignment="1" applyProtection="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pplyProtection="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Fill="1" applyBorder="1"/>
    <xf numFmtId="182" fontId="0" fillId="0" borderId="121" xfId="0" applyNumberFormat="1" applyFill="1" applyBorder="1"/>
    <xf numFmtId="9" fontId="0" fillId="0" borderId="121" xfId="0" applyNumberFormat="1" applyFill="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5" fillId="8" borderId="54" xfId="16" applyFont="1" applyFill="1" applyBorder="1" applyAlignment="1">
      <alignment vertical="center" wrapText="1"/>
    </xf>
    <xf numFmtId="0" fontId="36" fillId="7" borderId="75" xfId="16" applyFont="1" applyFill="1" applyBorder="1" applyAlignment="1">
      <alignment horizontal="center" vertical="center" wrapText="1"/>
    </xf>
    <xf numFmtId="0" fontId="33" fillId="9" borderId="30" xfId="16" applyFont="1" applyFill="1" applyBorder="1" applyAlignment="1">
      <alignment vertical="top" wrapText="1"/>
    </xf>
    <xf numFmtId="0" fontId="13" fillId="10" borderId="6" xfId="19" applyFont="1" applyFill="1" applyBorder="1" applyAlignment="1">
      <alignment horizontal="center"/>
    </xf>
    <xf numFmtId="0" fontId="13" fillId="10" borderId="0" xfId="19" applyFont="1" applyFill="1" applyBorder="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NumberFormat="1" applyFont="1" applyFill="1" applyBorder="1" applyAlignment="1">
      <alignment horizontal="center"/>
    </xf>
    <xf numFmtId="0" fontId="14" fillId="10" borderId="12" xfId="19" applyNumberFormat="1"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NumberFormat="1" applyFont="1" applyFill="1" applyBorder="1" applyAlignment="1">
      <alignment horizontal="center" vertical="center"/>
    </xf>
    <xf numFmtId="0" fontId="26" fillId="4" borderId="17" xfId="21" applyNumberFormat="1" applyFont="1" applyFill="1" applyBorder="1" applyAlignment="1">
      <alignment horizontal="center" vertical="center"/>
    </xf>
    <xf numFmtId="0" fontId="26" fillId="4" borderId="18" xfId="21" applyNumberFormat="1" applyFont="1" applyFill="1" applyBorder="1" applyAlignment="1">
      <alignment horizontal="center" vertical="center"/>
    </xf>
    <xf numFmtId="0" fontId="26" fillId="4" borderId="27" xfId="21" applyNumberFormat="1" applyFont="1" applyFill="1" applyBorder="1" applyAlignment="1">
      <alignment horizontal="center" vertical="center"/>
    </xf>
    <xf numFmtId="0" fontId="26" fillId="4" borderId="20" xfId="21" applyNumberFormat="1" applyFont="1" applyFill="1" applyBorder="1" applyAlignment="1">
      <alignment horizontal="center" vertical="center"/>
    </xf>
    <xf numFmtId="0" fontId="26" fillId="4" borderId="21" xfId="21" applyNumberFormat="1" applyFont="1" applyFill="1" applyBorder="1" applyAlignment="1">
      <alignment horizontal="center" vertical="center"/>
    </xf>
    <xf numFmtId="14" fontId="26" fillId="10" borderId="0" xfId="21" applyNumberFormat="1" applyFont="1" applyFill="1" applyBorder="1" applyAlignment="1">
      <alignment horizontal="center" vertical="center"/>
    </xf>
    <xf numFmtId="0" fontId="26" fillId="10" borderId="0" xfId="21" applyNumberFormat="1" applyFont="1" applyFill="1" applyBorder="1" applyAlignment="1">
      <alignment horizontal="left" vertical="center"/>
    </xf>
    <xf numFmtId="0" fontId="26" fillId="6" borderId="25" xfId="21" applyNumberFormat="1" applyFont="1" applyFill="1" applyBorder="1" applyAlignment="1">
      <alignment horizontal="center" vertical="center"/>
    </xf>
    <xf numFmtId="0" fontId="26" fillId="6" borderId="17" xfId="21" applyNumberFormat="1" applyFont="1" applyFill="1" applyBorder="1" applyAlignment="1">
      <alignment horizontal="center" vertical="center"/>
    </xf>
    <xf numFmtId="0" fontId="26" fillId="6" borderId="18" xfId="21" applyNumberFormat="1" applyFont="1" applyFill="1" applyBorder="1" applyAlignment="1">
      <alignment horizontal="center" vertical="center"/>
    </xf>
    <xf numFmtId="0" fontId="26" fillId="6" borderId="27" xfId="21" applyNumberFormat="1" applyFont="1" applyFill="1" applyBorder="1" applyAlignment="1">
      <alignment horizontal="center" vertical="center"/>
    </xf>
    <xf numFmtId="0" fontId="26" fillId="6" borderId="20" xfId="21" applyNumberFormat="1" applyFont="1" applyFill="1" applyBorder="1" applyAlignment="1">
      <alignment horizontal="center" vertical="center"/>
    </xf>
    <xf numFmtId="0" fontId="26" fillId="6" borderId="21" xfId="21" applyNumberFormat="1" applyFont="1" applyFill="1" applyBorder="1" applyAlignment="1">
      <alignment horizontal="center" vertical="center"/>
    </xf>
    <xf numFmtId="0" fontId="26" fillId="6" borderId="16" xfId="21" applyNumberFormat="1" applyFont="1" applyFill="1" applyBorder="1" applyAlignment="1">
      <alignment horizontal="center" vertical="center"/>
    </xf>
    <xf numFmtId="0" fontId="26" fillId="6" borderId="24" xfId="21" applyNumberFormat="1" applyFont="1" applyFill="1" applyBorder="1" applyAlignment="1">
      <alignment horizontal="center" vertical="center"/>
    </xf>
    <xf numFmtId="0" fontId="26" fillId="6" borderId="19" xfId="21" applyNumberFormat="1" applyFont="1" applyFill="1" applyBorder="1" applyAlignment="1">
      <alignment horizontal="center" vertical="center"/>
    </xf>
    <xf numFmtId="0" fontId="26" fillId="6" borderId="26" xfId="21" applyNumberFormat="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0" fontId="26" fillId="10" borderId="0" xfId="21" applyNumberFormat="1" applyFont="1" applyFill="1" applyBorder="1" applyAlignment="1">
      <alignment horizontal="center" vertical="center"/>
    </xf>
    <xf numFmtId="179" fontId="26" fillId="10" borderId="0" xfId="21" applyNumberFormat="1" applyFont="1" applyFill="1" applyBorder="1" applyAlignment="1">
      <alignment horizontal="center" vertical="center"/>
    </xf>
    <xf numFmtId="0" fontId="26" fillId="0" borderId="16" xfId="21" applyNumberFormat="1" applyFont="1" applyFill="1" applyBorder="1" applyAlignment="1">
      <alignment horizontal="center" vertical="center"/>
    </xf>
    <xf numFmtId="0" fontId="26" fillId="0" borderId="17" xfId="21" applyNumberFormat="1" applyFont="1" applyFill="1" applyBorder="1" applyAlignment="1">
      <alignment horizontal="center" vertical="center"/>
    </xf>
    <xf numFmtId="0" fontId="26" fillId="0" borderId="18" xfId="21" applyNumberFormat="1" applyFont="1" applyFill="1" applyBorder="1" applyAlignment="1">
      <alignment horizontal="center" vertical="center"/>
    </xf>
    <xf numFmtId="0" fontId="26" fillId="0" borderId="19" xfId="21" applyNumberFormat="1" applyFont="1" applyFill="1" applyBorder="1" applyAlignment="1">
      <alignment horizontal="center" vertical="center"/>
    </xf>
    <xf numFmtId="0" fontId="26" fillId="0" borderId="20" xfId="21" applyNumberFormat="1" applyFont="1" applyFill="1" applyBorder="1" applyAlignment="1">
      <alignment horizontal="center" vertical="center"/>
    </xf>
    <xf numFmtId="0" fontId="26" fillId="0" borderId="21" xfId="21" applyNumberFormat="1" applyFont="1" applyFill="1" applyBorder="1" applyAlignment="1">
      <alignment horizontal="center" vertical="center"/>
    </xf>
    <xf numFmtId="0" fontId="26" fillId="5" borderId="15" xfId="21" applyNumberFormat="1" applyFont="1" applyFill="1" applyBorder="1" applyAlignment="1">
      <alignment horizontal="center" vertical="center"/>
    </xf>
    <xf numFmtId="0" fontId="26" fillId="5" borderId="2" xfId="21" applyNumberFormat="1" applyFont="1" applyFill="1" applyBorder="1" applyAlignment="1">
      <alignment horizontal="center" vertical="center"/>
    </xf>
    <xf numFmtId="0" fontId="26" fillId="0" borderId="15" xfId="21" applyNumberFormat="1" applyFont="1" applyFill="1" applyBorder="1" applyAlignment="1">
      <alignment horizontal="center" vertical="center"/>
    </xf>
    <xf numFmtId="0" fontId="26" fillId="0" borderId="2" xfId="21" applyNumberFormat="1" applyFont="1" applyFill="1" applyBorder="1" applyAlignment="1">
      <alignment horizontal="center" vertical="center"/>
    </xf>
    <xf numFmtId="0" fontId="26" fillId="5" borderId="7" xfId="21" applyNumberFormat="1" applyFont="1" applyFill="1" applyBorder="1" applyAlignment="1">
      <alignment horizontal="center" vertical="center"/>
    </xf>
    <xf numFmtId="0" fontId="26" fillId="5" borderId="8" xfId="21" applyNumberFormat="1" applyFont="1" applyFill="1" applyBorder="1" applyAlignment="1">
      <alignment horizontal="center" vertical="center"/>
    </xf>
    <xf numFmtId="0" fontId="26" fillId="5" borderId="9" xfId="21" applyNumberFormat="1" applyFont="1" applyFill="1" applyBorder="1" applyAlignment="1">
      <alignment horizontal="center" vertical="center"/>
    </xf>
    <xf numFmtId="0" fontId="26" fillId="5" borderId="13" xfId="21" applyNumberFormat="1" applyFont="1" applyFill="1" applyBorder="1" applyAlignment="1">
      <alignment horizontal="center" vertical="center"/>
    </xf>
    <xf numFmtId="0" fontId="26" fillId="5" borderId="14" xfId="21" applyNumberFormat="1" applyFont="1" applyFill="1" applyBorder="1" applyAlignment="1">
      <alignment horizontal="center" vertical="center"/>
    </xf>
    <xf numFmtId="0" fontId="26" fillId="0" borderId="13" xfId="21" applyNumberFormat="1" applyFont="1" applyFill="1" applyBorder="1" applyAlignment="1">
      <alignment horizontal="center" vertical="center"/>
    </xf>
    <xf numFmtId="0" fontId="26" fillId="0" borderId="14" xfId="21" applyNumberFormat="1" applyFont="1" applyFill="1" applyBorder="1" applyAlignment="1">
      <alignment horizontal="center" vertical="center"/>
    </xf>
    <xf numFmtId="0" fontId="26" fillId="5" borderId="10" xfId="21" applyNumberFormat="1" applyFont="1" applyFill="1" applyBorder="1" applyAlignment="1">
      <alignment horizontal="center" vertical="center"/>
    </xf>
    <xf numFmtId="0" fontId="26" fillId="5" borderId="11" xfId="21" applyNumberFormat="1" applyFont="1" applyFill="1" applyBorder="1" applyAlignment="1">
      <alignment horizontal="center" vertical="center"/>
    </xf>
    <xf numFmtId="0" fontId="26" fillId="5" borderId="12" xfId="21"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29" xfId="16" applyFont="1" applyFill="1" applyBorder="1" applyAlignment="1">
      <alignment horizontal="right"/>
    </xf>
    <xf numFmtId="0" fontId="36" fillId="7" borderId="67" xfId="16" applyFont="1" applyFill="1" applyBorder="1" applyAlignment="1">
      <alignment horizontal="right"/>
    </xf>
    <xf numFmtId="0" fontId="36" fillId="7" borderId="33" xfId="16" applyFont="1" applyFill="1" applyBorder="1" applyAlignment="1">
      <alignment horizontal="right"/>
    </xf>
    <xf numFmtId="0" fontId="36" fillId="7" borderId="69" xfId="16" applyFont="1" applyFill="1" applyBorder="1" applyAlignment="1">
      <alignment horizontal="right"/>
    </xf>
    <xf numFmtId="0" fontId="36" fillId="7" borderId="51" xfId="16" applyFont="1" applyFill="1" applyBorder="1" applyAlignment="1">
      <alignment horizontal="right"/>
    </xf>
    <xf numFmtId="0" fontId="36" fillId="7" borderId="70" xfId="16" applyFont="1" applyFill="1" applyBorder="1" applyAlignment="1">
      <alignment horizontal="right"/>
    </xf>
    <xf numFmtId="0" fontId="36" fillId="7" borderId="71" xfId="16" applyFont="1" applyFill="1" applyBorder="1" applyAlignment="1">
      <alignment horizontal="right"/>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pplyProtection="1">
      <alignment horizontal="center" vertical="center"/>
    </xf>
    <xf numFmtId="0" fontId="36" fillId="11" borderId="89" xfId="0" applyFont="1" applyFill="1" applyBorder="1" applyAlignment="1" applyProtection="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pplyProtection="1">
      <alignment horizontal="center" vertical="center"/>
    </xf>
    <xf numFmtId="0" fontId="36" fillId="11" borderId="107" xfId="18" applyFont="1" applyFill="1" applyBorder="1" applyAlignment="1" applyProtection="1">
      <alignment horizontal="center" vertical="center"/>
    </xf>
    <xf numFmtId="0" fontId="36" fillId="11" borderId="108" xfId="18" applyFont="1" applyFill="1" applyBorder="1" applyAlignment="1" applyProtection="1">
      <alignment horizontal="center" vertical="center"/>
    </xf>
    <xf numFmtId="0" fontId="36" fillId="11" borderId="78" xfId="18" applyFont="1" applyFill="1" applyBorder="1" applyAlignment="1" applyProtection="1">
      <alignment horizontal="center" vertical="center"/>
    </xf>
    <xf numFmtId="0" fontId="36" fillId="11" borderId="109" xfId="18" applyFont="1" applyFill="1" applyBorder="1" applyAlignment="1" applyProtection="1">
      <alignment horizontal="center" vertical="center"/>
    </xf>
    <xf numFmtId="0" fontId="36" fillId="11" borderId="110" xfId="18" applyFont="1" applyFill="1" applyBorder="1" applyAlignment="1" applyProtection="1">
      <alignment horizontal="center" vertical="center"/>
    </xf>
    <xf numFmtId="0" fontId="36" fillId="11" borderId="55" xfId="18" applyFont="1" applyFill="1" applyBorder="1" applyAlignment="1" applyProtection="1">
      <alignment horizontal="center" vertical="center"/>
    </xf>
    <xf numFmtId="0" fontId="36" fillId="11" borderId="56" xfId="18" applyFont="1" applyFill="1" applyBorder="1" applyAlignment="1" applyProtection="1">
      <alignment horizontal="center" vertical="center"/>
    </xf>
    <xf numFmtId="0" fontId="36" fillId="11" borderId="57" xfId="18" applyFont="1" applyFill="1" applyBorder="1" applyAlignment="1" applyProtection="1">
      <alignment horizontal="center" vertical="center"/>
    </xf>
    <xf numFmtId="0" fontId="42" fillId="0" borderId="109" xfId="18" applyFont="1" applyFill="1" applyBorder="1" applyAlignment="1">
      <alignment horizontal="right"/>
    </xf>
    <xf numFmtId="0" fontId="42" fillId="0" borderId="47" xfId="18" applyFont="1" applyFill="1" applyBorder="1" applyAlignment="1">
      <alignment horizontal="right"/>
    </xf>
    <xf numFmtId="0" fontId="42" fillId="0" borderId="44" xfId="18" applyFont="1" applyFill="1" applyBorder="1" applyAlignment="1">
      <alignment horizontal="right"/>
    </xf>
    <xf numFmtId="0" fontId="42" fillId="0" borderId="110" xfId="18" applyFont="1" applyFill="1" applyBorder="1" applyAlignment="1">
      <alignment horizontal="right"/>
    </xf>
    <xf numFmtId="0" fontId="42" fillId="0" borderId="108" xfId="18" applyFont="1" applyFill="1" applyBorder="1" applyAlignment="1">
      <alignment horizontal="center" vertical="center"/>
    </xf>
    <xf numFmtId="0" fontId="42" fillId="0" borderId="35" xfId="18" applyFont="1" applyFill="1" applyBorder="1" applyAlignment="1">
      <alignment horizontal="center" vertical="center"/>
    </xf>
    <xf numFmtId="0" fontId="42" fillId="0" borderId="32" xfId="18" applyFont="1" applyFill="1" applyBorder="1" applyAlignment="1">
      <alignment horizontal="center" vertical="center"/>
    </xf>
    <xf numFmtId="0" fontId="42" fillId="0" borderId="78" xfId="18" applyFont="1" applyFill="1" applyBorder="1" applyAlignment="1">
      <alignment horizontal="center" vertical="center"/>
    </xf>
    <xf numFmtId="0" fontId="42" fillId="0" borderId="97" xfId="18" applyFont="1" applyFill="1" applyBorder="1" applyAlignment="1">
      <alignment horizontal="center" vertical="center" wrapText="1"/>
    </xf>
    <xf numFmtId="0" fontId="42" fillId="0" borderId="22" xfId="18" applyFont="1" applyFill="1" applyBorder="1" applyAlignment="1">
      <alignment horizontal="center" vertical="center"/>
    </xf>
    <xf numFmtId="0" fontId="42" fillId="0" borderId="105" xfId="18" applyFont="1" applyFill="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pplyProtection="1">
      <alignment horizontal="center" vertical="center" wrapText="1"/>
    </xf>
    <xf numFmtId="0" fontId="33" fillId="0" borderId="68" xfId="18" applyFont="1" applyBorder="1" applyAlignment="1" applyProtection="1">
      <alignment horizontal="center" vertical="center" wrapText="1"/>
    </xf>
    <xf numFmtId="0" fontId="33" fillId="0" borderId="81" xfId="18" applyFont="1" applyBorder="1" applyAlignment="1" applyProtection="1">
      <alignment horizontal="center" vertical="center" wrapText="1"/>
    </xf>
    <xf numFmtId="0" fontId="36" fillId="7" borderId="93" xfId="16" applyFont="1" applyFill="1" applyBorder="1" applyAlignment="1">
      <alignment horizontal="right"/>
    </xf>
    <xf numFmtId="0" fontId="36" fillId="7" borderId="0" xfId="16" applyFont="1" applyFill="1" applyBorder="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1.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819150</xdr:colOff>
      <xdr:row>5</xdr:row>
      <xdr:rowOff>9525</xdr:rowOff>
    </xdr:from>
    <xdr:to>
      <xdr:col>5</xdr:col>
      <xdr:colOff>1990725</xdr:colOff>
      <xdr:row>7</xdr:row>
      <xdr:rowOff>342900</xdr:rowOff>
    </xdr:to>
    <xdr:sp macro="" textlink="">
      <xdr:nvSpPr>
        <xdr:cNvPr id="3" name="正方形/長方形 1">
          <a:extLst>
            <a:ext uri="{FF2B5EF4-FFF2-40B4-BE49-F238E27FC236}">
              <a16:creationId xmlns:a16="http://schemas.microsoft.com/office/drawing/2014/main" id="{41A53584-D44A-1B57-ACAD-F9C51A725449}"/>
            </a:ext>
          </a:extLst>
        </xdr:cNvPr>
        <xdr:cNvSpPr/>
      </xdr:nvSpPr>
      <xdr:spPr bwMode="auto">
        <a:xfrm>
          <a:off x="4410075" y="21907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row r="2">
          <cell r="A2" t="str">
            <v>EMAIL</v>
          </cell>
        </row>
      </sheetData>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row r="2">
          <cell r="A2" t="str">
            <v>EMAIL</v>
          </cell>
        </row>
      </sheetData>
      <sheetData sheetId="3">
        <row r="2">
          <cell r="A2" t="str">
            <v>１．ＲＤ</v>
          </cell>
        </row>
      </sheetData>
      <sheetData sheetId="4">
        <row r="2">
          <cell r="A2" t="str">
            <v>１．ＲＤ</v>
          </cell>
        </row>
      </sheetData>
      <sheetData sheetId="5">
        <row r="2">
          <cell r="A2" t="str">
            <v>１．ＲＤ</v>
          </cell>
        </row>
      </sheetData>
      <sheetData sheetId="6">
        <row r="2">
          <cell r="A2" t="str">
            <v>１．ＲＤ</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A2" t="str">
            <v>EMAIL</v>
          </cell>
        </row>
      </sheetData>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2">
          <cell r="B2" t="str">
            <v>依頼先：</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2">
          <cell r="B2" t="str">
            <v>依頼先：</v>
          </cell>
        </row>
      </sheetData>
      <sheetData sheetId="110">
        <row r="2">
          <cell r="B2" t="str">
            <v>依頼先：</v>
          </cell>
        </row>
      </sheetData>
      <sheetData sheetId="111"/>
      <sheetData sheetId="112">
        <row r="2">
          <cell r="B2" t="str">
            <v>依頼先：</v>
          </cell>
        </row>
      </sheetData>
      <sheetData sheetId="113"/>
      <sheetData sheetId="114"/>
      <sheetData sheetId="115"/>
      <sheetData sheetId="116"/>
      <sheetData sheetId="117">
        <row r="2">
          <cell r="B2" t="str">
            <v>依頼先：</v>
          </cell>
        </row>
      </sheetData>
      <sheetData sheetId="118">
        <row r="2">
          <cell r="B2" t="str">
            <v>依頼先：</v>
          </cell>
        </row>
      </sheetData>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ow r="2">
          <cell r="A2">
            <v>0</v>
          </cell>
        </row>
      </sheetData>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ow r="2">
          <cell r="A2" t="str">
            <v>取引ID</v>
          </cell>
        </row>
      </sheetData>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row r="78">
          <cell r="D78" t="str">
            <v>(ラックの型名を選択してください)</v>
          </cell>
        </row>
        <row r="79">
          <cell r="D79" t="str">
            <v>GP7B7RK3</v>
          </cell>
        </row>
        <row r="80">
          <cell r="D80" t="str">
            <v>GP7B7RK4</v>
          </cell>
        </row>
        <row r="81">
          <cell r="D81" t="str">
            <v>GP7B7RK1</v>
          </cell>
        </row>
        <row r="82">
          <cell r="D82" t="str">
            <v>GP7B7RK2</v>
          </cell>
        </row>
        <row r="83">
          <cell r="D83" t="str">
            <v>GP727RK1</v>
          </cell>
        </row>
        <row r="84">
          <cell r="D84" t="str">
            <v>GP727RK2</v>
          </cell>
        </row>
        <row r="85">
          <cell r="D85" t="str">
            <v>GP7N7RK1</v>
          </cell>
        </row>
        <row r="86">
          <cell r="D86" t="str">
            <v>GP7N7RK2</v>
          </cell>
        </row>
        <row r="87">
          <cell r="D87" t="str">
            <v>F7977RK1</v>
          </cell>
        </row>
        <row r="88">
          <cell r="D88" t="str">
            <v>F7977RK2</v>
          </cell>
        </row>
        <row r="89">
          <cell r="D89" t="str">
            <v>GP-D*RK*1</v>
          </cell>
        </row>
        <row r="90">
          <cell r="D90" t="str">
            <v>X9610A</v>
          </cell>
        </row>
        <row r="91">
          <cell r="D91" t="str">
            <v>XS-RACK1</v>
          </cell>
        </row>
        <row r="92">
          <cell r="D92" t="str">
            <v>その他(下のセルにメーカ名、型名を記入してください。)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row r="4">
          <cell r="B4" t="str">
            <v>重度</v>
          </cell>
          <cell r="F4" t="str">
            <v>【重度】</v>
          </cell>
          <cell r="I4" t="str">
            <v>プログラム修正</v>
          </cell>
          <cell r="L4" t="str">
            <v>標準</v>
          </cell>
          <cell r="O4" t="str">
            <v>ＦＪＴＳ</v>
          </cell>
        </row>
        <row r="5">
          <cell r="B5" t="str">
            <v>中度</v>
          </cell>
          <cell r="F5" t="str">
            <v>システムダウンＡ</v>
          </cell>
          <cell r="I5" t="str">
            <v>マニュアル修正</v>
          </cell>
          <cell r="L5" t="str">
            <v>カストマイズ</v>
          </cell>
          <cell r="O5" t="str">
            <v>ＯＫＳ</v>
          </cell>
        </row>
        <row r="6">
          <cell r="B6" t="str">
            <v>軽度</v>
          </cell>
          <cell r="F6" t="str">
            <v>ダンマリ・暴走</v>
          </cell>
          <cell r="I6" t="str">
            <v>環境不備</v>
          </cell>
          <cell r="L6" t="str">
            <v>ハードウェア</v>
          </cell>
          <cell r="O6" t="str">
            <v>ＦＧＳ</v>
          </cell>
        </row>
        <row r="7">
          <cell r="F7" t="str">
            <v>起動不可</v>
          </cell>
          <cell r="I7" t="str">
            <v>次版修正</v>
          </cell>
          <cell r="O7" t="str">
            <v>ＰＡＬ</v>
          </cell>
        </row>
        <row r="8">
          <cell r="F8" t="str">
            <v>集計データ違算</v>
          </cell>
          <cell r="I8" t="str">
            <v>仕様通り</v>
          </cell>
          <cell r="O8" t="str">
            <v>標準ＳＩ</v>
          </cell>
        </row>
        <row r="9">
          <cell r="F9" t="str">
            <v>明細違算</v>
          </cell>
          <cell r="I9" t="str">
            <v>その他</v>
          </cell>
          <cell r="O9" t="str">
            <v>ＧＳＳＣ</v>
          </cell>
        </row>
        <row r="10">
          <cell r="F10" t="str">
            <v>インストール不可</v>
          </cell>
          <cell r="I10" t="str">
            <v>調査中</v>
          </cell>
          <cell r="O10" t="str">
            <v>技術部</v>
          </cell>
        </row>
        <row r="11">
          <cell r="F11" t="str">
            <v>オフラインＡ</v>
          </cell>
        </row>
        <row r="12">
          <cell r="F12" t="str">
            <v>回線データ冗脱</v>
          </cell>
        </row>
        <row r="13">
          <cell r="F13" t="str">
            <v>性能ダウン・大幅未達</v>
          </cell>
        </row>
        <row r="14">
          <cell r="F14" t="str">
            <v>処理結果不具合Ａ</v>
          </cell>
        </row>
        <row r="15">
          <cell r="F15" t="str">
            <v>レベルダウン</v>
          </cell>
        </row>
        <row r="16">
          <cell r="F16" t="str">
            <v>その他Ａ</v>
          </cell>
        </row>
        <row r="17">
          <cell r="F17" t="str">
            <v>【中度】</v>
          </cell>
        </row>
        <row r="18">
          <cell r="F18" t="str">
            <v>システムダウンＢ</v>
          </cell>
        </row>
        <row r="19">
          <cell r="F19" t="str">
            <v>オフラインＢ</v>
          </cell>
        </row>
        <row r="20">
          <cell r="F20" t="str">
            <v>性能未達</v>
          </cell>
        </row>
        <row r="21">
          <cell r="F21" t="str">
            <v>入力機器制御不良</v>
          </cell>
        </row>
        <row r="22">
          <cell r="F22" t="str">
            <v>画面制御不良</v>
          </cell>
        </row>
        <row r="23">
          <cell r="F23" t="str">
            <v>プリンタ制御不良</v>
          </cell>
        </row>
        <row r="24">
          <cell r="F24" t="str">
            <v>その他Ｉ／Ｏ制御不良</v>
          </cell>
        </row>
        <row r="25">
          <cell r="F25" t="str">
            <v>処理結果不具合</v>
          </cell>
        </row>
        <row r="26">
          <cell r="F26" t="str">
            <v>マニュアルと不整合</v>
          </cell>
        </row>
        <row r="27">
          <cell r="F27" t="str">
            <v>その他Ｂ</v>
          </cell>
        </row>
        <row r="28">
          <cell r="F28" t="str">
            <v>【軽度】</v>
          </cell>
        </row>
        <row r="29">
          <cell r="F29" t="str">
            <v>画面レイアウト不良</v>
          </cell>
        </row>
        <row r="30">
          <cell r="F30" t="str">
            <v>ガイダンス不良</v>
          </cell>
        </row>
        <row r="31">
          <cell r="F31" t="str">
            <v>エラーメッセージ不良</v>
          </cell>
        </row>
        <row r="32">
          <cell r="F32" t="str">
            <v>印字レイアウト不良</v>
          </cell>
        </row>
        <row r="33">
          <cell r="F33" t="str">
            <v>印字メッセージ不良</v>
          </cell>
        </row>
        <row r="34">
          <cell r="F34" t="str">
            <v>マニュアル誤記・脱字</v>
          </cell>
        </row>
        <row r="35">
          <cell r="F35" t="str">
            <v>その他Ｃ</v>
          </cell>
        </row>
      </sheetData>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4">
          <cell r="B4" t="str">
            <v>１）ＰＯＳ</v>
          </cell>
        </row>
        <row r="5">
          <cell r="B5" t="str">
            <v xml:space="preserve">  ・ＵＩ</v>
          </cell>
        </row>
        <row r="6">
          <cell r="B6" t="str">
            <v xml:space="preserve">  ・売上系 ＯＣＸ開発（×ｎ個）</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68"/>
      <c r="C2" s="468" t="s">
        <v>746</v>
      </c>
      <c r="D2" s="468" t="s">
        <v>747</v>
      </c>
      <c r="E2" s="468" t="s">
        <v>751</v>
      </c>
      <c r="F2" s="468" t="s">
        <v>748</v>
      </c>
    </row>
    <row r="3" spans="2:7" ht="13.8" thickTop="1" x14ac:dyDescent="0.2">
      <c r="B3" s="475" t="s">
        <v>736</v>
      </c>
      <c r="C3" s="476">
        <f>パッケージ系!$D$109</f>
        <v>130</v>
      </c>
      <c r="D3" s="476">
        <f>パッケージ系!$D$107</f>
        <v>0</v>
      </c>
      <c r="E3" s="476">
        <f t="shared" ref="E3:E12" si="0">C3-D3</f>
        <v>130</v>
      </c>
      <c r="F3" s="477">
        <f t="shared" ref="F3:F13" si="1">D3/C3</f>
        <v>0</v>
      </c>
    </row>
    <row r="4" spans="2:7" x14ac:dyDescent="0.2">
      <c r="B4" s="458" t="s">
        <v>737</v>
      </c>
      <c r="C4" s="464">
        <f>'パッケージ系 (SS)'!$D$109</f>
        <v>111</v>
      </c>
      <c r="D4" s="464">
        <f>'パッケージ系 (SS)'!$D$107</f>
        <v>105</v>
      </c>
      <c r="E4" s="464">
        <f t="shared" si="0"/>
        <v>6</v>
      </c>
      <c r="F4" s="459">
        <f t="shared" si="1"/>
        <v>0.94594594594594594</v>
      </c>
    </row>
    <row r="5" spans="2:7" x14ac:dyDescent="0.2">
      <c r="B5" s="469" t="s">
        <v>738</v>
      </c>
      <c r="C5" s="470"/>
      <c r="D5" s="470"/>
      <c r="E5" s="470">
        <f t="shared" si="0"/>
        <v>0</v>
      </c>
      <c r="F5" s="471" t="e">
        <f t="shared" si="1"/>
        <v>#DIV/0!</v>
      </c>
      <c r="G5" t="s">
        <v>749</v>
      </c>
    </row>
    <row r="6" spans="2:7" x14ac:dyDescent="0.2">
      <c r="B6" s="458" t="s">
        <v>739</v>
      </c>
      <c r="C6" s="464">
        <f>'パッケージ系 (PS)'!$D$109</f>
        <v>129</v>
      </c>
      <c r="D6" s="464">
        <f>'パッケージ系 (PS)'!$D$107</f>
        <v>4</v>
      </c>
      <c r="E6" s="463">
        <f t="shared" si="0"/>
        <v>125</v>
      </c>
      <c r="F6" s="459">
        <f t="shared" si="1"/>
        <v>3.1007751937984496E-2</v>
      </c>
    </row>
    <row r="7" spans="2:7" x14ac:dyDescent="0.2">
      <c r="B7" s="458" t="s">
        <v>740</v>
      </c>
      <c r="C7" s="464">
        <v>56</v>
      </c>
      <c r="D7" s="464">
        <v>56</v>
      </c>
      <c r="E7" s="464">
        <f t="shared" si="0"/>
        <v>0</v>
      </c>
      <c r="F7" s="459">
        <f t="shared" si="1"/>
        <v>1</v>
      </c>
    </row>
    <row r="8" spans="2:7" x14ac:dyDescent="0.2">
      <c r="B8" s="458" t="s">
        <v>741</v>
      </c>
      <c r="C8" s="464">
        <f>Win10対応_POS!$D$94</f>
        <v>204</v>
      </c>
      <c r="D8" s="464">
        <f>Win10対応_POS!$D$92</f>
        <v>0</v>
      </c>
      <c r="E8" s="464">
        <f t="shared" si="0"/>
        <v>204</v>
      </c>
      <c r="F8" s="459">
        <f t="shared" si="1"/>
        <v>0</v>
      </c>
    </row>
    <row r="9" spans="2:7" x14ac:dyDescent="0.2">
      <c r="B9" s="458" t="s">
        <v>742</v>
      </c>
      <c r="C9" s="464">
        <f>Win10対応_SS!$D$76</f>
        <v>47</v>
      </c>
      <c r="D9" s="464">
        <f>Win10対応_SS!$D$74</f>
        <v>47</v>
      </c>
      <c r="E9" s="464">
        <f t="shared" si="0"/>
        <v>0</v>
      </c>
      <c r="F9" s="459">
        <f t="shared" si="1"/>
        <v>1</v>
      </c>
    </row>
    <row r="10" spans="2:7" x14ac:dyDescent="0.2">
      <c r="B10" s="458" t="s">
        <v>743</v>
      </c>
      <c r="C10" s="464">
        <f>Win10対応_PS!$D$76</f>
        <v>159</v>
      </c>
      <c r="D10" s="464">
        <f>Win10対応_PS!$D$74</f>
        <v>135</v>
      </c>
      <c r="E10" s="463">
        <f t="shared" si="0"/>
        <v>24</v>
      </c>
      <c r="F10" s="459">
        <f t="shared" si="1"/>
        <v>0.84905660377358494</v>
      </c>
    </row>
    <row r="11" spans="2:7" x14ac:dyDescent="0.2">
      <c r="B11" s="458" t="s">
        <v>744</v>
      </c>
      <c r="C11" s="464">
        <f>Win10対応_フルセルフ!$D$77</f>
        <v>184</v>
      </c>
      <c r="D11" s="464">
        <f>Win10対応_フルセルフ!$D$75</f>
        <v>0</v>
      </c>
      <c r="E11" s="463">
        <f t="shared" si="0"/>
        <v>184</v>
      </c>
      <c r="F11" s="459">
        <f t="shared" si="1"/>
        <v>0</v>
      </c>
    </row>
    <row r="12" spans="2:7" ht="13.8" thickBot="1" x14ac:dyDescent="0.25">
      <c r="B12" s="460" t="s">
        <v>745</v>
      </c>
      <c r="C12" s="465">
        <f>Win10対応_サーバ!$D$25</f>
        <v>32</v>
      </c>
      <c r="D12" s="465">
        <f>Win10対応_サーバ!$D$23</f>
        <v>20</v>
      </c>
      <c r="E12" s="465">
        <f t="shared" si="0"/>
        <v>12</v>
      </c>
      <c r="F12" s="461">
        <f t="shared" si="1"/>
        <v>0.625</v>
      </c>
    </row>
    <row r="13" spans="2:7" ht="13.8" thickTop="1" x14ac:dyDescent="0.2">
      <c r="B13" s="462" t="s">
        <v>750</v>
      </c>
      <c r="C13" s="466">
        <f>SUM(C3:C12)</f>
        <v>1052</v>
      </c>
      <c r="D13" s="466">
        <f>SUM(D3:D12)</f>
        <v>367</v>
      </c>
      <c r="E13" s="466">
        <f>SUM(E3:E12)</f>
        <v>685</v>
      </c>
      <c r="F13" s="467">
        <f t="shared" si="1"/>
        <v>0.34885931558935362</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92"/>
  <sheetViews>
    <sheetView view="pageBreakPreview" zoomScaleNormal="100" zoomScaleSheetLayoutView="100" workbookViewId="0">
      <selection activeCell="B27" sqref="B27:L27"/>
    </sheetView>
  </sheetViews>
  <sheetFormatPr defaultRowHeight="13.2" x14ac:dyDescent="0.2"/>
  <cols>
    <col min="1" max="16384" width="8.88671875" style="1"/>
  </cols>
  <sheetData>
    <row r="1" spans="1:22" x14ac:dyDescent="0.2">
      <c r="A1" s="135"/>
      <c r="B1" s="135"/>
      <c r="C1" s="135"/>
      <c r="D1" s="135"/>
      <c r="E1" s="135"/>
      <c r="F1" s="135"/>
      <c r="G1" s="135"/>
      <c r="H1" s="135"/>
      <c r="I1" s="135"/>
      <c r="J1" s="135"/>
      <c r="K1" s="135"/>
      <c r="L1" s="135"/>
      <c r="M1" s="135"/>
    </row>
    <row r="2" spans="1:22" x14ac:dyDescent="0.2">
      <c r="A2" s="135"/>
      <c r="B2" s="135"/>
      <c r="C2" s="135"/>
      <c r="D2" s="135"/>
      <c r="E2" s="135"/>
      <c r="F2" s="135"/>
      <c r="G2" s="135"/>
      <c r="H2" s="135"/>
      <c r="I2" s="135"/>
      <c r="J2" s="135"/>
      <c r="K2" s="135"/>
      <c r="L2" s="135"/>
      <c r="M2" s="135"/>
    </row>
    <row r="3" spans="1:22" ht="13.8" thickBot="1" x14ac:dyDescent="0.25">
      <c r="A3" s="135"/>
      <c r="B3" s="135"/>
      <c r="C3" s="135"/>
      <c r="D3" s="135"/>
      <c r="E3" s="135"/>
      <c r="F3" s="135"/>
      <c r="G3" s="135"/>
      <c r="H3" s="135"/>
      <c r="I3" s="135"/>
      <c r="J3" s="135"/>
      <c r="K3" s="135"/>
      <c r="L3" s="135"/>
      <c r="M3" s="135"/>
    </row>
    <row r="4" spans="1:22" ht="16.8" thickTop="1" x14ac:dyDescent="0.2">
      <c r="A4" s="135"/>
      <c r="B4" s="135"/>
      <c r="C4" s="136" t="s">
        <v>40</v>
      </c>
      <c r="D4" s="137"/>
      <c r="E4" s="137"/>
      <c r="F4" s="137"/>
      <c r="G4" s="137"/>
      <c r="H4" s="137"/>
      <c r="I4" s="137"/>
      <c r="J4" s="137"/>
      <c r="K4" s="138"/>
      <c r="L4" s="135"/>
      <c r="M4" s="135"/>
    </row>
    <row r="5" spans="1:22" x14ac:dyDescent="0.2">
      <c r="A5" s="135"/>
      <c r="B5" s="135"/>
      <c r="C5" s="139"/>
      <c r="D5" s="140"/>
      <c r="E5" s="140"/>
      <c r="F5" s="140"/>
      <c r="G5" s="140"/>
      <c r="H5" s="140"/>
      <c r="I5" s="140"/>
      <c r="J5" s="140"/>
      <c r="K5" s="141"/>
      <c r="L5" s="135"/>
      <c r="M5" s="135"/>
      <c r="O5" s="2"/>
      <c r="P5" s="2"/>
      <c r="S5" s="3"/>
      <c r="V5" s="4"/>
    </row>
    <row r="6" spans="1:22" x14ac:dyDescent="0.2">
      <c r="A6" s="135"/>
      <c r="B6" s="135"/>
      <c r="C6" s="139"/>
      <c r="D6" s="140"/>
      <c r="E6" s="140"/>
      <c r="F6" s="140"/>
      <c r="G6" s="140"/>
      <c r="H6" s="140"/>
      <c r="I6" s="140"/>
      <c r="J6" s="140"/>
      <c r="K6" s="141"/>
      <c r="L6" s="135"/>
      <c r="M6" s="135"/>
      <c r="O6" s="2"/>
      <c r="P6" s="2"/>
    </row>
    <row r="7" spans="1:22" ht="30" x14ac:dyDescent="0.35">
      <c r="A7" s="135"/>
      <c r="B7" s="135"/>
      <c r="C7" s="488" t="s">
        <v>5</v>
      </c>
      <c r="D7" s="489"/>
      <c r="E7" s="489"/>
      <c r="F7" s="489"/>
      <c r="G7" s="489"/>
      <c r="H7" s="489"/>
      <c r="I7" s="489"/>
      <c r="J7" s="489"/>
      <c r="K7" s="490"/>
      <c r="L7" s="135"/>
      <c r="M7" s="135"/>
      <c r="O7" s="5"/>
      <c r="P7" s="2"/>
    </row>
    <row r="8" spans="1:22" x14ac:dyDescent="0.2">
      <c r="A8" s="135"/>
      <c r="B8" s="135"/>
      <c r="C8" s="142"/>
      <c r="D8" s="140"/>
      <c r="E8" s="140"/>
      <c r="F8" s="140"/>
      <c r="G8" s="140"/>
      <c r="H8" s="140"/>
      <c r="I8" s="140"/>
      <c r="J8" s="140"/>
      <c r="K8" s="141"/>
      <c r="L8" s="135"/>
      <c r="M8" s="135"/>
    </row>
    <row r="9" spans="1:22" ht="24" thickBot="1" x14ac:dyDescent="0.35">
      <c r="A9" s="135"/>
      <c r="B9" s="135"/>
      <c r="C9" s="491" t="s">
        <v>467</v>
      </c>
      <c r="D9" s="492"/>
      <c r="E9" s="492"/>
      <c r="F9" s="492"/>
      <c r="G9" s="492"/>
      <c r="H9" s="492"/>
      <c r="I9" s="492"/>
      <c r="J9" s="492"/>
      <c r="K9" s="493"/>
      <c r="L9" s="135"/>
      <c r="M9" s="135"/>
    </row>
    <row r="10" spans="1:22" ht="13.8" thickTop="1" x14ac:dyDescent="0.2">
      <c r="A10" s="135"/>
      <c r="B10" s="135"/>
      <c r="C10" s="135"/>
      <c r="D10" s="135"/>
      <c r="E10" s="135"/>
      <c r="F10" s="135"/>
      <c r="G10" s="135"/>
      <c r="H10" s="135"/>
      <c r="I10" s="135"/>
      <c r="J10" s="135"/>
      <c r="K10" s="135"/>
      <c r="L10" s="135"/>
      <c r="M10" s="135"/>
    </row>
    <row r="11" spans="1:22" x14ac:dyDescent="0.2">
      <c r="A11" s="135"/>
      <c r="B11" s="135"/>
      <c r="C11" s="135"/>
      <c r="D11" s="135"/>
      <c r="E11" s="135"/>
      <c r="F11" s="135"/>
      <c r="G11" s="135"/>
      <c r="H11" s="135"/>
      <c r="I11" s="135"/>
      <c r="J11" s="135"/>
      <c r="K11" s="135"/>
      <c r="L11" s="135"/>
      <c r="M11" s="135"/>
    </row>
    <row r="12" spans="1:22" x14ac:dyDescent="0.2">
      <c r="A12" s="135"/>
      <c r="B12" s="135"/>
      <c r="C12" s="135"/>
      <c r="D12" s="135"/>
      <c r="E12" s="135"/>
      <c r="F12" s="135"/>
      <c r="G12" s="135"/>
      <c r="H12" s="135"/>
      <c r="I12" s="135"/>
      <c r="J12" s="135"/>
      <c r="K12" s="135"/>
      <c r="L12" s="135"/>
      <c r="M12" s="135"/>
    </row>
    <row r="13" spans="1:22" x14ac:dyDescent="0.2">
      <c r="A13" s="135"/>
      <c r="B13" s="135"/>
      <c r="C13" s="135"/>
      <c r="D13" s="135"/>
      <c r="E13" s="135"/>
      <c r="F13" s="135"/>
      <c r="G13" s="135"/>
      <c r="H13" s="135"/>
      <c r="I13" s="135"/>
      <c r="J13" s="135"/>
      <c r="K13" s="135"/>
      <c r="L13" s="135"/>
      <c r="M13" s="135"/>
    </row>
    <row r="14" spans="1:22" x14ac:dyDescent="0.2">
      <c r="A14" s="135"/>
      <c r="B14" s="135"/>
      <c r="C14" s="135"/>
      <c r="D14" s="135"/>
      <c r="E14" s="135"/>
      <c r="F14" s="135"/>
      <c r="G14" s="135"/>
      <c r="H14" s="135"/>
      <c r="I14" s="135"/>
      <c r="J14" s="135"/>
      <c r="K14" s="135"/>
      <c r="L14" s="135"/>
      <c r="M14" s="135"/>
    </row>
    <row r="15" spans="1:22" ht="16.2" x14ac:dyDescent="0.2">
      <c r="A15" s="135"/>
      <c r="B15" s="135"/>
      <c r="C15" s="135"/>
      <c r="D15" s="135"/>
      <c r="E15" s="495" t="s">
        <v>765</v>
      </c>
      <c r="F15" s="495"/>
      <c r="G15" s="495"/>
      <c r="H15" s="495"/>
      <c r="I15" s="495"/>
      <c r="J15" s="135"/>
      <c r="K15" s="135"/>
      <c r="L15" s="135"/>
      <c r="M15" s="135"/>
    </row>
    <row r="16" spans="1:22" x14ac:dyDescent="0.2">
      <c r="A16" s="135"/>
      <c r="B16" s="135"/>
      <c r="C16" s="135"/>
      <c r="D16" s="135"/>
      <c r="E16" s="135"/>
      <c r="F16" s="135"/>
      <c r="G16" s="140"/>
      <c r="H16" s="140"/>
      <c r="I16" s="140"/>
      <c r="J16" s="140"/>
      <c r="K16" s="140"/>
      <c r="L16" s="140"/>
      <c r="M16" s="135"/>
    </row>
    <row r="17" spans="1:17" x14ac:dyDescent="0.2">
      <c r="A17" s="135"/>
      <c r="B17" s="135"/>
      <c r="C17" s="135"/>
      <c r="D17" s="135"/>
      <c r="E17" s="135"/>
      <c r="F17" s="135"/>
      <c r="G17" s="140"/>
      <c r="H17" s="140"/>
      <c r="I17" s="140"/>
      <c r="J17" s="140"/>
      <c r="K17" s="140"/>
      <c r="L17" s="140"/>
      <c r="M17" s="135"/>
    </row>
    <row r="18" spans="1:17" x14ac:dyDescent="0.2">
      <c r="A18" s="135"/>
      <c r="B18" s="135"/>
      <c r="C18" s="135"/>
      <c r="D18" s="135"/>
      <c r="E18" s="135"/>
      <c r="F18" s="135"/>
      <c r="G18" s="135"/>
      <c r="H18" s="135"/>
      <c r="I18" s="135"/>
      <c r="J18" s="135"/>
      <c r="K18" s="135"/>
      <c r="L18" s="135"/>
      <c r="M18" s="135"/>
    </row>
    <row r="19" spans="1:17" x14ac:dyDescent="0.2">
      <c r="A19" s="135"/>
      <c r="B19" s="135"/>
      <c r="C19" s="135"/>
      <c r="D19" s="135"/>
      <c r="E19" s="135"/>
      <c r="F19" s="135"/>
      <c r="G19" s="140"/>
      <c r="H19" s="140"/>
      <c r="I19" s="140"/>
      <c r="J19" s="140"/>
      <c r="K19" s="140"/>
      <c r="L19" s="140"/>
      <c r="M19" s="135"/>
    </row>
    <row r="20" spans="1:17" x14ac:dyDescent="0.2">
      <c r="A20" s="135"/>
      <c r="B20" s="135"/>
      <c r="C20" s="135"/>
      <c r="D20" s="135"/>
      <c r="E20" s="135"/>
      <c r="F20" s="135"/>
      <c r="G20" s="135"/>
      <c r="H20" s="135"/>
      <c r="I20" s="135"/>
      <c r="J20" s="135"/>
      <c r="K20" s="135"/>
      <c r="L20" s="135"/>
      <c r="M20" s="135"/>
    </row>
    <row r="21" spans="1:17" x14ac:dyDescent="0.2">
      <c r="A21" s="135"/>
      <c r="B21" s="135"/>
      <c r="C21" s="135"/>
      <c r="D21" s="135"/>
      <c r="E21" s="135"/>
      <c r="F21" s="135"/>
      <c r="G21" s="140"/>
      <c r="H21" s="140"/>
      <c r="I21" s="140"/>
      <c r="J21" s="140"/>
      <c r="K21" s="140"/>
      <c r="L21" s="140"/>
      <c r="M21" s="135"/>
    </row>
    <row r="22" spans="1:17" x14ac:dyDescent="0.2">
      <c r="A22" s="135"/>
      <c r="B22" s="135"/>
      <c r="C22" s="135"/>
      <c r="D22" s="135"/>
      <c r="E22" s="135"/>
      <c r="F22" s="135"/>
      <c r="G22" s="140"/>
      <c r="H22" s="140"/>
      <c r="I22" s="140"/>
      <c r="J22" s="140"/>
      <c r="K22" s="140"/>
      <c r="L22" s="140"/>
      <c r="M22" s="135"/>
    </row>
    <row r="23" spans="1:17" x14ac:dyDescent="0.2">
      <c r="A23" s="135"/>
      <c r="B23" s="135"/>
      <c r="C23" s="135"/>
      <c r="D23" s="135"/>
      <c r="E23" s="135"/>
      <c r="F23" s="135"/>
      <c r="G23" s="140"/>
      <c r="H23" s="140"/>
      <c r="I23" s="140"/>
      <c r="J23" s="140"/>
      <c r="K23" s="140"/>
      <c r="L23" s="140"/>
      <c r="M23" s="135"/>
    </row>
    <row r="24" spans="1:17" x14ac:dyDescent="0.2">
      <c r="A24" s="135"/>
      <c r="B24" s="135"/>
      <c r="C24" s="135"/>
      <c r="D24" s="135"/>
      <c r="E24" s="135"/>
      <c r="F24" s="135"/>
      <c r="G24" s="140"/>
      <c r="H24" s="140"/>
      <c r="I24" s="140"/>
      <c r="J24" s="140"/>
      <c r="K24" s="140"/>
      <c r="L24" s="140"/>
      <c r="M24" s="135"/>
    </row>
    <row r="25" spans="1:17" x14ac:dyDescent="0.2">
      <c r="A25" s="135"/>
      <c r="B25" s="135"/>
      <c r="C25" s="135"/>
      <c r="D25" s="135"/>
      <c r="E25" s="135"/>
      <c r="F25" s="135"/>
      <c r="G25" s="140"/>
      <c r="H25" s="140"/>
      <c r="I25" s="140"/>
      <c r="J25" s="140"/>
      <c r="K25" s="140"/>
      <c r="L25" s="140"/>
      <c r="M25" s="135"/>
    </row>
    <row r="26" spans="1:17" ht="23.4" x14ac:dyDescent="0.3">
      <c r="A26" s="135"/>
      <c r="B26" s="135"/>
      <c r="C26" s="135"/>
      <c r="D26" s="135"/>
      <c r="E26" s="135"/>
      <c r="F26" s="494" t="s">
        <v>61</v>
      </c>
      <c r="G26" s="494"/>
      <c r="H26" s="494"/>
      <c r="I26" s="143"/>
      <c r="J26" s="143"/>
      <c r="K26" s="143"/>
      <c r="L26" s="140"/>
      <c r="M26" s="135"/>
    </row>
    <row r="27" spans="1:17" ht="16.2" x14ac:dyDescent="0.2">
      <c r="A27" s="135"/>
      <c r="B27" s="494" t="s">
        <v>632</v>
      </c>
      <c r="C27" s="494"/>
      <c r="D27" s="494"/>
      <c r="E27" s="494"/>
      <c r="F27" s="494"/>
      <c r="G27" s="494"/>
      <c r="H27" s="494"/>
      <c r="I27" s="494"/>
      <c r="J27" s="494"/>
      <c r="K27" s="494"/>
      <c r="L27" s="494"/>
      <c r="M27" s="135"/>
    </row>
    <row r="28" spans="1:17" ht="16.2" x14ac:dyDescent="0.2">
      <c r="A28" s="135"/>
      <c r="B28" s="135"/>
      <c r="C28" s="135"/>
      <c r="D28" s="135"/>
      <c r="E28" s="135"/>
      <c r="F28" s="144"/>
      <c r="G28" s="144"/>
      <c r="H28" s="144"/>
      <c r="I28" s="135"/>
      <c r="J28" s="135"/>
      <c r="K28" s="135"/>
      <c r="L28" s="135"/>
      <c r="M28" s="135"/>
    </row>
    <row r="30" spans="1:17" x14ac:dyDescent="0.2">
      <c r="D30" s="2"/>
      <c r="E30" s="2"/>
      <c r="F30" s="2"/>
      <c r="G30" s="2"/>
      <c r="H30" s="2"/>
      <c r="I30" s="2"/>
      <c r="J30" s="2"/>
      <c r="K30" s="2"/>
      <c r="L30" s="2"/>
      <c r="M30" s="2"/>
      <c r="N30" s="2"/>
      <c r="O30" s="2"/>
      <c r="P30" s="2"/>
      <c r="Q30" s="2"/>
    </row>
    <row r="31" spans="1:17" x14ac:dyDescent="0.2">
      <c r="D31" s="2"/>
      <c r="E31" s="2"/>
      <c r="F31" s="2"/>
      <c r="G31" s="2"/>
      <c r="H31" s="2"/>
      <c r="I31" s="2"/>
      <c r="J31" s="2"/>
      <c r="K31" s="2"/>
      <c r="L31" s="2"/>
      <c r="M31" s="2"/>
      <c r="N31" s="2"/>
      <c r="O31" s="2"/>
      <c r="P31" s="2"/>
      <c r="Q31" s="2"/>
    </row>
    <row r="32" spans="1:17" x14ac:dyDescent="0.2">
      <c r="M32" s="2"/>
      <c r="N32" s="2"/>
      <c r="O32" s="2"/>
      <c r="P32" s="2"/>
      <c r="Q32" s="2"/>
    </row>
    <row r="33" spans="4:17" x14ac:dyDescent="0.2">
      <c r="D33" s="2"/>
      <c r="E33" s="2"/>
      <c r="F33" s="2"/>
      <c r="G33" s="2"/>
      <c r="H33" s="2"/>
      <c r="I33" s="2"/>
      <c r="J33" s="2"/>
      <c r="K33" s="2"/>
      <c r="L33" s="2"/>
      <c r="M33" s="2"/>
      <c r="N33" s="2"/>
      <c r="O33" s="2"/>
      <c r="P33" s="2"/>
      <c r="Q33" s="2"/>
    </row>
    <row r="34" spans="4:17" x14ac:dyDescent="0.2">
      <c r="D34" s="2"/>
      <c r="E34" s="2"/>
      <c r="F34" s="2"/>
      <c r="G34" s="2"/>
      <c r="H34" s="2"/>
      <c r="I34" s="2"/>
      <c r="J34" s="2"/>
      <c r="K34" s="2"/>
      <c r="L34" s="2"/>
      <c r="M34" s="2"/>
      <c r="N34" s="2"/>
      <c r="O34" s="2"/>
      <c r="P34" s="2"/>
      <c r="Q34" s="2"/>
    </row>
    <row r="35" spans="4:17" x14ac:dyDescent="0.2">
      <c r="D35" s="2"/>
      <c r="E35" s="2"/>
      <c r="F35" s="2"/>
      <c r="G35" s="2"/>
      <c r="H35" s="2"/>
      <c r="I35" s="2"/>
      <c r="J35" s="2"/>
      <c r="K35" s="2"/>
      <c r="L35" s="2"/>
      <c r="M35" s="2"/>
      <c r="N35" s="2"/>
      <c r="O35" s="2"/>
      <c r="P35" s="2"/>
      <c r="Q35" s="2"/>
    </row>
    <row r="36" spans="4:17" x14ac:dyDescent="0.2">
      <c r="D36" s="2"/>
      <c r="E36" s="2"/>
      <c r="F36" s="2"/>
      <c r="G36" s="2"/>
      <c r="H36" s="2"/>
      <c r="I36" s="2"/>
      <c r="J36" s="2"/>
      <c r="K36" s="2"/>
      <c r="L36" s="2"/>
      <c r="M36" s="2"/>
      <c r="N36" s="2"/>
      <c r="O36" s="2"/>
      <c r="P36" s="2"/>
      <c r="Q36" s="2"/>
    </row>
    <row r="37" spans="4:17" x14ac:dyDescent="0.2">
      <c r="D37" s="2"/>
      <c r="E37" s="2"/>
      <c r="F37" s="2"/>
      <c r="G37" s="2"/>
      <c r="H37" s="2"/>
      <c r="I37" s="2"/>
      <c r="J37" s="2"/>
      <c r="K37" s="2"/>
      <c r="L37" s="2"/>
      <c r="M37" s="2"/>
      <c r="N37" s="2"/>
      <c r="O37" s="2"/>
      <c r="P37" s="2"/>
      <c r="Q37" s="2"/>
    </row>
    <row r="38" spans="4:17" x14ac:dyDescent="0.2">
      <c r="O38" s="2"/>
      <c r="P38" s="2"/>
      <c r="Q38" s="2"/>
    </row>
    <row r="39" spans="4:17" x14ac:dyDescent="0.2">
      <c r="D39" s="2"/>
      <c r="E39" s="2"/>
      <c r="F39" s="2"/>
      <c r="G39" s="2"/>
      <c r="H39" s="2"/>
      <c r="I39" s="2"/>
      <c r="J39" s="2"/>
      <c r="K39" s="2"/>
      <c r="L39" s="2"/>
      <c r="M39" s="2"/>
      <c r="N39" s="2"/>
      <c r="O39" s="2"/>
      <c r="P39" s="2"/>
      <c r="Q39" s="2"/>
    </row>
    <row r="40" spans="4:17" x14ac:dyDescent="0.2">
      <c r="D40" s="2"/>
      <c r="E40" s="2"/>
      <c r="F40" s="2"/>
      <c r="G40" s="2"/>
      <c r="H40" s="2"/>
      <c r="I40" s="2"/>
      <c r="J40" s="2"/>
      <c r="K40" s="2"/>
      <c r="L40" s="2"/>
      <c r="M40" s="2"/>
      <c r="N40" s="2"/>
      <c r="O40" s="2"/>
      <c r="P40" s="2"/>
      <c r="Q40" s="2"/>
    </row>
    <row r="41" spans="4:17" x14ac:dyDescent="0.2">
      <c r="D41" s="2"/>
      <c r="E41" s="2"/>
      <c r="F41" s="2"/>
      <c r="G41" s="2"/>
      <c r="H41" s="2"/>
      <c r="I41" s="2"/>
      <c r="J41" s="2"/>
      <c r="K41" s="2"/>
      <c r="L41" s="2"/>
      <c r="M41" s="2"/>
      <c r="N41" s="2"/>
      <c r="O41" s="2"/>
      <c r="P41" s="2"/>
      <c r="Q41" s="2"/>
    </row>
    <row r="42" spans="4:17" x14ac:dyDescent="0.2">
      <c r="D42" s="2"/>
      <c r="E42" s="2"/>
      <c r="F42" s="2"/>
      <c r="G42" s="2"/>
      <c r="H42" s="2"/>
      <c r="I42" s="2"/>
      <c r="J42" s="2"/>
      <c r="K42" s="2"/>
      <c r="L42" s="2"/>
      <c r="M42" s="2"/>
      <c r="N42" s="2"/>
      <c r="O42" s="2"/>
      <c r="P42" s="2"/>
      <c r="Q42" s="2"/>
    </row>
    <row r="43" spans="4:17" x14ac:dyDescent="0.2">
      <c r="D43" s="2"/>
      <c r="E43" s="2"/>
      <c r="F43" s="2"/>
      <c r="G43" s="2"/>
      <c r="H43" s="2"/>
      <c r="I43" s="2"/>
      <c r="J43" s="2"/>
      <c r="K43" s="2"/>
      <c r="L43" s="2"/>
      <c r="M43" s="2"/>
      <c r="N43" s="2"/>
      <c r="O43" s="2"/>
      <c r="P43" s="2"/>
      <c r="Q43" s="2"/>
    </row>
    <row r="44" spans="4:17" x14ac:dyDescent="0.2">
      <c r="Q44" s="2"/>
    </row>
    <row r="45" spans="4:17" x14ac:dyDescent="0.2">
      <c r="D45" s="2"/>
      <c r="E45" s="2"/>
      <c r="F45" s="2"/>
      <c r="G45" s="2"/>
      <c r="H45" s="2"/>
      <c r="I45" s="2"/>
      <c r="J45" s="2"/>
      <c r="K45" s="2"/>
      <c r="L45" s="2"/>
      <c r="M45" s="2"/>
      <c r="N45" s="2"/>
      <c r="O45" s="2"/>
      <c r="P45" s="2"/>
      <c r="Q45" s="2"/>
    </row>
    <row r="46" spans="4:17" x14ac:dyDescent="0.2">
      <c r="D46" s="2"/>
      <c r="E46" s="2"/>
      <c r="F46" s="2"/>
      <c r="G46" s="2"/>
      <c r="H46" s="2"/>
      <c r="I46" s="2"/>
      <c r="J46" s="2"/>
      <c r="K46" s="2"/>
      <c r="L46" s="2"/>
      <c r="M46" s="2"/>
      <c r="N46" s="2"/>
      <c r="O46" s="2"/>
      <c r="P46" s="2"/>
      <c r="Q46" s="2"/>
    </row>
    <row r="47" spans="4:17" x14ac:dyDescent="0.2">
      <c r="D47" s="2"/>
      <c r="E47" s="2"/>
      <c r="F47" s="2"/>
      <c r="G47" s="2"/>
      <c r="H47" s="2"/>
      <c r="I47" s="2"/>
      <c r="J47" s="2"/>
      <c r="K47" s="2"/>
      <c r="L47" s="2"/>
      <c r="M47" s="2"/>
      <c r="N47" s="2"/>
      <c r="O47" s="2"/>
      <c r="P47" s="2"/>
      <c r="Q47" s="2"/>
    </row>
    <row r="48" spans="4:17" x14ac:dyDescent="0.2">
      <c r="D48" s="2"/>
      <c r="E48" s="2"/>
      <c r="F48" s="2"/>
      <c r="G48" s="2"/>
      <c r="H48" s="2"/>
      <c r="I48" s="2"/>
      <c r="J48" s="2"/>
      <c r="K48" s="2"/>
      <c r="L48" s="2"/>
      <c r="M48" s="2"/>
      <c r="N48" s="2"/>
      <c r="O48" s="2"/>
      <c r="P48" s="2"/>
      <c r="Q48" s="2"/>
    </row>
    <row r="49" spans="4:17" x14ac:dyDescent="0.2">
      <c r="D49" s="2"/>
      <c r="E49" s="2"/>
      <c r="F49" s="2"/>
      <c r="G49" s="2"/>
      <c r="H49" s="2"/>
      <c r="I49" s="2"/>
      <c r="J49" s="2"/>
      <c r="K49" s="2"/>
      <c r="L49" s="2"/>
      <c r="M49" s="2"/>
      <c r="N49" s="2"/>
      <c r="O49" s="2"/>
      <c r="P49" s="2"/>
      <c r="Q49" s="2"/>
    </row>
    <row r="50" spans="4:17" x14ac:dyDescent="0.2">
      <c r="D50" s="2"/>
      <c r="E50" s="2"/>
      <c r="F50" s="2"/>
      <c r="G50" s="2"/>
      <c r="H50" s="2"/>
      <c r="I50" s="2"/>
      <c r="J50" s="2"/>
      <c r="K50" s="2"/>
      <c r="L50" s="2"/>
      <c r="M50" s="2"/>
      <c r="N50" s="2"/>
      <c r="O50" s="2"/>
      <c r="P50" s="2"/>
      <c r="Q50" s="2"/>
    </row>
    <row r="51" spans="4:17" x14ac:dyDescent="0.2">
      <c r="D51" s="2"/>
      <c r="E51" s="2"/>
      <c r="F51" s="2"/>
      <c r="G51" s="2"/>
      <c r="H51" s="2"/>
      <c r="I51" s="2"/>
      <c r="J51" s="2"/>
      <c r="K51" s="2"/>
      <c r="L51" s="2"/>
      <c r="M51" s="2"/>
      <c r="N51" s="2"/>
      <c r="O51" s="2"/>
      <c r="P51" s="2"/>
      <c r="Q51" s="2"/>
    </row>
    <row r="52" spans="4:17" x14ac:dyDescent="0.2">
      <c r="D52" s="2"/>
      <c r="E52" s="2"/>
      <c r="F52" s="2"/>
      <c r="G52" s="2"/>
      <c r="H52" s="2"/>
      <c r="I52" s="2"/>
      <c r="J52" s="2"/>
      <c r="K52" s="2"/>
      <c r="L52" s="2"/>
      <c r="M52" s="2"/>
      <c r="N52" s="2"/>
      <c r="O52" s="2"/>
      <c r="P52" s="2"/>
      <c r="Q52" s="2"/>
    </row>
    <row r="53" spans="4:17" x14ac:dyDescent="0.2">
      <c r="D53" s="2"/>
      <c r="E53" s="2"/>
      <c r="F53" s="2"/>
      <c r="G53" s="2"/>
      <c r="H53" s="2"/>
      <c r="I53" s="2"/>
      <c r="J53" s="2"/>
      <c r="K53" s="2"/>
      <c r="L53" s="2"/>
      <c r="M53" s="2"/>
      <c r="N53" s="2"/>
      <c r="O53" s="2"/>
      <c r="P53" s="2"/>
      <c r="Q53" s="2"/>
    </row>
    <row r="54" spans="4:17" x14ac:dyDescent="0.2">
      <c r="D54" s="2"/>
      <c r="E54" s="2"/>
      <c r="F54" s="2"/>
      <c r="G54" s="2"/>
      <c r="H54" s="2"/>
      <c r="I54" s="2"/>
      <c r="J54" s="2"/>
      <c r="K54" s="2"/>
      <c r="L54" s="2"/>
      <c r="M54" s="2"/>
      <c r="N54" s="2"/>
      <c r="O54" s="2"/>
      <c r="P54" s="2"/>
      <c r="Q54" s="2"/>
    </row>
    <row r="55" spans="4:17" x14ac:dyDescent="0.2">
      <c r="D55" s="2"/>
      <c r="E55" s="2"/>
      <c r="F55" s="2"/>
      <c r="G55" s="2"/>
      <c r="H55" s="2"/>
      <c r="I55" s="2"/>
      <c r="J55" s="2"/>
      <c r="K55" s="2"/>
      <c r="L55" s="2"/>
      <c r="M55" s="2"/>
      <c r="N55" s="2"/>
      <c r="O55" s="2"/>
      <c r="P55" s="2"/>
      <c r="Q55" s="2"/>
    </row>
    <row r="56" spans="4:17" x14ac:dyDescent="0.2">
      <c r="D56" s="2"/>
      <c r="E56" s="2"/>
      <c r="F56" s="2"/>
      <c r="G56" s="2"/>
      <c r="H56" s="2"/>
      <c r="I56" s="2"/>
      <c r="J56" s="2"/>
      <c r="K56" s="2"/>
      <c r="L56" s="2"/>
      <c r="M56" s="2"/>
      <c r="N56" s="2"/>
      <c r="O56" s="2"/>
      <c r="P56" s="2"/>
      <c r="Q56" s="2"/>
    </row>
    <row r="57" spans="4:17" x14ac:dyDescent="0.2">
      <c r="D57" s="2"/>
      <c r="E57" s="2"/>
      <c r="F57" s="2"/>
      <c r="G57" s="2"/>
      <c r="H57" s="2"/>
      <c r="I57" s="2"/>
      <c r="J57" s="2"/>
      <c r="K57" s="2"/>
      <c r="L57" s="2"/>
      <c r="M57" s="2"/>
      <c r="N57" s="2"/>
      <c r="O57" s="2"/>
      <c r="P57" s="2"/>
      <c r="Q57" s="2"/>
    </row>
    <row r="58" spans="4:17" x14ac:dyDescent="0.2">
      <c r="D58" s="2"/>
      <c r="E58" s="2"/>
      <c r="F58" s="2"/>
      <c r="G58" s="2"/>
      <c r="H58" s="2"/>
      <c r="I58" s="2"/>
      <c r="J58" s="2"/>
      <c r="K58" s="2"/>
      <c r="L58" s="2"/>
      <c r="M58" s="2"/>
      <c r="N58" s="2"/>
      <c r="O58" s="2"/>
      <c r="P58" s="2"/>
      <c r="Q58" s="2"/>
    </row>
    <row r="59" spans="4:17" x14ac:dyDescent="0.2">
      <c r="D59" s="2"/>
      <c r="E59" s="2"/>
      <c r="F59" s="2"/>
      <c r="G59" s="2"/>
      <c r="H59" s="2"/>
      <c r="I59" s="2"/>
      <c r="J59" s="2"/>
      <c r="K59" s="2"/>
      <c r="L59" s="2"/>
      <c r="M59" s="2"/>
      <c r="N59" s="2"/>
      <c r="O59" s="2"/>
      <c r="P59" s="2"/>
      <c r="Q59" s="2"/>
    </row>
    <row r="60" spans="4:17" x14ac:dyDescent="0.2">
      <c r="D60" s="2"/>
      <c r="E60" s="2"/>
      <c r="F60" s="2"/>
      <c r="G60" s="2"/>
      <c r="H60" s="2"/>
      <c r="I60" s="2"/>
      <c r="J60" s="2"/>
      <c r="K60" s="2"/>
      <c r="L60" s="2"/>
      <c r="M60" s="2"/>
      <c r="N60" s="2"/>
      <c r="O60" s="2"/>
      <c r="P60" s="2"/>
      <c r="Q60" s="2"/>
    </row>
    <row r="61" spans="4:17" x14ac:dyDescent="0.2">
      <c r="D61" s="2"/>
      <c r="E61" s="2"/>
      <c r="F61" s="2"/>
      <c r="G61" s="2"/>
      <c r="H61" s="2"/>
      <c r="I61" s="2"/>
      <c r="J61" s="2"/>
      <c r="K61" s="2"/>
      <c r="L61" s="2"/>
      <c r="M61" s="2"/>
      <c r="N61" s="2"/>
      <c r="O61" s="2"/>
      <c r="P61" s="2"/>
      <c r="Q61" s="2"/>
    </row>
    <row r="62" spans="4:17" x14ac:dyDescent="0.2">
      <c r="D62" s="2"/>
      <c r="E62" s="2"/>
      <c r="F62" s="2"/>
      <c r="G62" s="2"/>
      <c r="H62" s="2"/>
      <c r="I62" s="2"/>
      <c r="J62" s="2"/>
      <c r="K62" s="2"/>
      <c r="L62" s="2"/>
      <c r="M62" s="2"/>
      <c r="N62" s="2"/>
      <c r="O62" s="2"/>
      <c r="P62" s="2"/>
      <c r="Q62" s="2"/>
    </row>
    <row r="63" spans="4:17" x14ac:dyDescent="0.2">
      <c r="D63" s="2"/>
      <c r="E63" s="2"/>
      <c r="F63" s="2"/>
      <c r="G63" s="2"/>
      <c r="H63" s="2"/>
      <c r="I63" s="2"/>
      <c r="J63" s="2"/>
      <c r="K63" s="2"/>
      <c r="L63" s="2"/>
      <c r="M63" s="2"/>
      <c r="N63" s="2"/>
      <c r="O63" s="2"/>
      <c r="P63" s="2"/>
      <c r="Q63" s="2"/>
    </row>
    <row r="64" spans="4:17" x14ac:dyDescent="0.2">
      <c r="D64" s="2"/>
      <c r="E64" s="2"/>
      <c r="F64" s="2"/>
      <c r="G64" s="2"/>
      <c r="H64" s="2"/>
      <c r="I64" s="2"/>
      <c r="J64" s="2"/>
      <c r="K64" s="2"/>
      <c r="L64" s="2"/>
      <c r="M64" s="2"/>
      <c r="N64" s="2"/>
      <c r="O64" s="2"/>
      <c r="P64" s="2"/>
      <c r="Q64" s="2"/>
    </row>
    <row r="65" spans="4:17" x14ac:dyDescent="0.2">
      <c r="D65" s="2"/>
      <c r="E65" s="2"/>
      <c r="F65" s="2"/>
      <c r="G65" s="2"/>
      <c r="H65" s="2"/>
      <c r="I65" s="2"/>
      <c r="J65" s="2"/>
      <c r="K65" s="2"/>
      <c r="L65" s="2"/>
      <c r="M65" s="2"/>
      <c r="N65" s="2"/>
      <c r="O65" s="2"/>
      <c r="P65" s="2"/>
      <c r="Q65" s="2"/>
    </row>
    <row r="66" spans="4:17" x14ac:dyDescent="0.2">
      <c r="D66" s="2"/>
      <c r="E66" s="2"/>
      <c r="F66" s="2"/>
      <c r="G66" s="2"/>
      <c r="H66" s="2"/>
      <c r="I66" s="2"/>
      <c r="J66" s="2"/>
      <c r="K66" s="2"/>
      <c r="L66" s="2"/>
      <c r="M66" s="2"/>
      <c r="N66" s="2"/>
      <c r="O66" s="2"/>
      <c r="P66" s="2"/>
      <c r="Q66" s="2"/>
    </row>
    <row r="67" spans="4:17" x14ac:dyDescent="0.2">
      <c r="D67" s="2"/>
      <c r="E67" s="2"/>
      <c r="F67" s="2"/>
      <c r="G67" s="2"/>
      <c r="H67" s="2"/>
      <c r="I67" s="2"/>
      <c r="J67" s="2"/>
      <c r="K67" s="2"/>
      <c r="L67" s="2"/>
      <c r="M67" s="2"/>
      <c r="N67" s="2"/>
      <c r="O67" s="2"/>
      <c r="P67" s="2"/>
      <c r="Q67" s="2"/>
    </row>
    <row r="68" spans="4:17" x14ac:dyDescent="0.2">
      <c r="D68" s="2"/>
      <c r="E68" s="2"/>
      <c r="F68" s="2"/>
      <c r="G68" s="2"/>
      <c r="H68" s="2"/>
      <c r="I68" s="2"/>
      <c r="J68" s="2"/>
      <c r="K68" s="2"/>
      <c r="L68" s="2"/>
      <c r="M68" s="2"/>
      <c r="N68" s="2"/>
      <c r="O68" s="2"/>
      <c r="P68" s="2"/>
      <c r="Q68" s="2"/>
    </row>
    <row r="69" spans="4:17" x14ac:dyDescent="0.2">
      <c r="D69" s="2"/>
      <c r="E69" s="2"/>
      <c r="F69" s="2"/>
      <c r="G69" s="2"/>
      <c r="H69" s="2"/>
      <c r="I69" s="2"/>
      <c r="J69" s="2"/>
      <c r="K69" s="2"/>
      <c r="L69" s="2"/>
      <c r="M69" s="2"/>
      <c r="N69" s="2"/>
      <c r="O69" s="2"/>
      <c r="P69" s="2"/>
      <c r="Q69" s="2"/>
    </row>
    <row r="70" spans="4:17" x14ac:dyDescent="0.2">
      <c r="D70" s="2"/>
      <c r="E70" s="2"/>
      <c r="F70" s="2"/>
      <c r="G70" s="2"/>
      <c r="H70" s="2"/>
      <c r="I70" s="2"/>
      <c r="J70" s="2"/>
      <c r="K70" s="2"/>
      <c r="L70" s="2"/>
      <c r="M70" s="2"/>
      <c r="N70" s="2"/>
      <c r="O70" s="2"/>
      <c r="P70" s="2"/>
      <c r="Q70" s="2"/>
    </row>
    <row r="71" spans="4:17" x14ac:dyDescent="0.2">
      <c r="D71" s="2"/>
      <c r="E71" s="2"/>
      <c r="F71" s="2"/>
      <c r="G71" s="2"/>
      <c r="H71" s="2"/>
      <c r="I71" s="2"/>
      <c r="J71" s="2"/>
      <c r="K71" s="2"/>
      <c r="L71" s="2"/>
      <c r="M71" s="2"/>
      <c r="N71" s="2"/>
      <c r="O71" s="2"/>
      <c r="P71" s="2"/>
      <c r="Q71" s="2"/>
    </row>
    <row r="72" spans="4:17" x14ac:dyDescent="0.2">
      <c r="D72" s="2"/>
      <c r="E72" s="2"/>
      <c r="F72" s="2"/>
      <c r="G72" s="2"/>
      <c r="H72" s="2"/>
      <c r="I72" s="2"/>
      <c r="J72" s="2"/>
      <c r="K72" s="2"/>
      <c r="L72" s="2"/>
      <c r="M72" s="2"/>
      <c r="N72" s="2"/>
      <c r="O72" s="2"/>
      <c r="P72" s="2"/>
      <c r="Q72" s="2"/>
    </row>
    <row r="73" spans="4:17" x14ac:dyDescent="0.2">
      <c r="D73" s="2"/>
      <c r="E73" s="2"/>
      <c r="F73" s="2"/>
      <c r="G73" s="2"/>
      <c r="H73" s="2"/>
      <c r="I73" s="2"/>
      <c r="J73" s="2"/>
      <c r="K73" s="2"/>
      <c r="L73" s="2"/>
      <c r="M73" s="2"/>
      <c r="N73" s="2"/>
      <c r="O73" s="2"/>
      <c r="P73" s="2"/>
      <c r="Q73" s="2"/>
    </row>
    <row r="74" spans="4:17" x14ac:dyDescent="0.2">
      <c r="D74" s="2"/>
      <c r="E74" s="2"/>
      <c r="F74" s="2"/>
      <c r="G74" s="2"/>
      <c r="H74" s="2"/>
      <c r="I74" s="2"/>
      <c r="J74" s="2"/>
      <c r="K74" s="2"/>
      <c r="L74" s="2"/>
      <c r="M74" s="2"/>
      <c r="N74" s="2"/>
      <c r="O74" s="2"/>
      <c r="P74" s="2"/>
      <c r="Q74" s="2"/>
    </row>
    <row r="75" spans="4:17" x14ac:dyDescent="0.2">
      <c r="D75" s="2"/>
      <c r="E75" s="2"/>
      <c r="F75" s="2"/>
      <c r="G75" s="2"/>
      <c r="H75" s="2"/>
      <c r="I75" s="2"/>
      <c r="J75" s="2"/>
      <c r="K75" s="2"/>
      <c r="L75" s="2"/>
      <c r="M75" s="2"/>
      <c r="N75" s="2"/>
      <c r="O75" s="2"/>
      <c r="P75" s="2"/>
      <c r="Q75" s="2"/>
    </row>
    <row r="76" spans="4:17" x14ac:dyDescent="0.2">
      <c r="D76" s="2"/>
      <c r="E76" s="2"/>
      <c r="F76" s="2"/>
      <c r="G76" s="2"/>
      <c r="H76" s="2"/>
      <c r="I76" s="2"/>
      <c r="J76" s="2"/>
      <c r="K76" s="2"/>
      <c r="L76" s="2"/>
      <c r="M76" s="2"/>
      <c r="N76" s="2"/>
      <c r="O76" s="2"/>
      <c r="P76" s="2"/>
      <c r="Q76" s="2"/>
    </row>
    <row r="77" spans="4:17" x14ac:dyDescent="0.2">
      <c r="D77" s="2"/>
      <c r="E77" s="2"/>
      <c r="F77" s="2"/>
      <c r="G77" s="2"/>
      <c r="H77" s="2"/>
      <c r="I77" s="2"/>
      <c r="J77" s="2"/>
      <c r="K77" s="2"/>
      <c r="L77" s="2"/>
      <c r="M77" s="2"/>
      <c r="N77" s="2"/>
      <c r="O77" s="2"/>
      <c r="P77" s="2"/>
      <c r="Q77" s="2"/>
    </row>
    <row r="78" spans="4:17" x14ac:dyDescent="0.2">
      <c r="D78" s="2"/>
      <c r="E78" s="2"/>
      <c r="F78" s="2"/>
      <c r="G78" s="2"/>
      <c r="H78" s="2"/>
      <c r="I78" s="2"/>
      <c r="J78" s="2"/>
      <c r="K78" s="2"/>
      <c r="L78" s="2"/>
      <c r="M78" s="2"/>
      <c r="N78" s="2"/>
      <c r="O78" s="2"/>
      <c r="P78" s="2"/>
      <c r="Q78" s="2"/>
    </row>
    <row r="79" spans="4:17" x14ac:dyDescent="0.2">
      <c r="D79" s="2"/>
      <c r="E79" s="2"/>
      <c r="F79" s="2"/>
      <c r="G79" s="2"/>
      <c r="H79" s="2"/>
      <c r="I79" s="2"/>
      <c r="J79" s="2"/>
      <c r="K79" s="2"/>
      <c r="L79" s="2"/>
      <c r="M79" s="2"/>
      <c r="N79" s="2"/>
      <c r="O79" s="2"/>
      <c r="P79" s="2"/>
      <c r="Q79" s="2"/>
    </row>
    <row r="80" spans="4:17" x14ac:dyDescent="0.2">
      <c r="D80" s="2"/>
      <c r="E80" s="2"/>
      <c r="F80" s="2"/>
      <c r="G80" s="2"/>
      <c r="H80" s="2"/>
      <c r="I80" s="2"/>
      <c r="J80" s="2"/>
      <c r="K80" s="2"/>
      <c r="L80" s="2"/>
      <c r="M80" s="2"/>
      <c r="N80" s="2"/>
      <c r="O80" s="2"/>
      <c r="P80" s="2"/>
      <c r="Q80" s="2"/>
    </row>
    <row r="81" spans="4:17" x14ac:dyDescent="0.2">
      <c r="D81" s="2"/>
      <c r="E81" s="2"/>
      <c r="F81" s="2"/>
      <c r="G81" s="2"/>
      <c r="H81" s="2"/>
      <c r="I81" s="2"/>
      <c r="J81" s="2"/>
      <c r="K81" s="2"/>
      <c r="L81" s="2"/>
      <c r="M81" s="2"/>
      <c r="N81" s="2"/>
      <c r="O81" s="2"/>
      <c r="P81" s="2"/>
      <c r="Q81" s="2"/>
    </row>
    <row r="82" spans="4:17" x14ac:dyDescent="0.2">
      <c r="D82" s="2"/>
      <c r="E82" s="2"/>
      <c r="F82" s="2"/>
      <c r="G82" s="2"/>
      <c r="H82" s="2"/>
      <c r="I82" s="2"/>
      <c r="J82" s="2"/>
      <c r="K82" s="2"/>
      <c r="L82" s="2"/>
      <c r="M82" s="2"/>
      <c r="N82" s="2"/>
      <c r="O82" s="2"/>
      <c r="P82" s="2"/>
      <c r="Q82" s="2"/>
    </row>
    <row r="83" spans="4:17" x14ac:dyDescent="0.2">
      <c r="D83" s="2"/>
      <c r="E83" s="2"/>
      <c r="F83" s="2"/>
      <c r="G83" s="2"/>
      <c r="H83" s="2"/>
      <c r="I83" s="2"/>
      <c r="J83" s="2"/>
      <c r="K83" s="2"/>
      <c r="L83" s="2"/>
      <c r="M83" s="2"/>
      <c r="N83" s="2"/>
      <c r="O83" s="2"/>
      <c r="P83" s="2"/>
      <c r="Q83" s="2"/>
    </row>
    <row r="84" spans="4:17" x14ac:dyDescent="0.2">
      <c r="D84" s="2"/>
      <c r="E84" s="2"/>
      <c r="F84" s="2"/>
      <c r="G84" s="2"/>
      <c r="H84" s="2"/>
      <c r="I84" s="2"/>
      <c r="J84" s="2"/>
      <c r="K84" s="2"/>
      <c r="L84" s="2"/>
      <c r="M84" s="2"/>
      <c r="N84" s="2"/>
      <c r="O84" s="2"/>
      <c r="P84" s="2"/>
      <c r="Q84" s="2"/>
    </row>
    <row r="85" spans="4:17" x14ac:dyDescent="0.2">
      <c r="D85" s="2"/>
      <c r="E85" s="2"/>
      <c r="F85" s="2"/>
      <c r="G85" s="2"/>
      <c r="H85" s="2"/>
      <c r="I85" s="2"/>
      <c r="J85" s="2"/>
      <c r="K85" s="2"/>
      <c r="L85" s="2"/>
      <c r="M85" s="2"/>
      <c r="N85" s="2"/>
      <c r="O85" s="2"/>
      <c r="P85" s="2"/>
      <c r="Q85" s="2"/>
    </row>
    <row r="86" spans="4:17" x14ac:dyDescent="0.2">
      <c r="D86" s="2"/>
      <c r="E86" s="2"/>
      <c r="F86" s="2"/>
      <c r="G86" s="2"/>
      <c r="H86" s="2"/>
      <c r="I86" s="2"/>
      <c r="J86" s="2"/>
      <c r="K86" s="2"/>
      <c r="L86" s="2"/>
      <c r="M86" s="2"/>
      <c r="N86" s="2"/>
      <c r="O86" s="2"/>
      <c r="P86" s="2"/>
      <c r="Q86" s="2"/>
    </row>
    <row r="87" spans="4:17" x14ac:dyDescent="0.2">
      <c r="D87" s="2"/>
      <c r="E87" s="2"/>
      <c r="F87" s="2"/>
      <c r="G87" s="2"/>
      <c r="H87" s="2"/>
      <c r="I87" s="2"/>
      <c r="J87" s="2"/>
      <c r="K87" s="2"/>
      <c r="L87" s="2"/>
      <c r="M87" s="2"/>
      <c r="N87" s="2"/>
      <c r="O87" s="2"/>
      <c r="P87" s="2"/>
      <c r="Q87" s="2"/>
    </row>
    <row r="88" spans="4:17" x14ac:dyDescent="0.2">
      <c r="D88" s="2"/>
      <c r="E88" s="2"/>
      <c r="F88" s="2"/>
      <c r="G88" s="2"/>
      <c r="H88" s="2"/>
      <c r="I88" s="2"/>
      <c r="J88" s="2"/>
      <c r="K88" s="2"/>
      <c r="L88" s="2"/>
      <c r="M88" s="2"/>
      <c r="N88" s="2"/>
      <c r="O88" s="2"/>
      <c r="P88" s="2"/>
      <c r="Q88" s="2"/>
    </row>
    <row r="89" spans="4:17" x14ac:dyDescent="0.2">
      <c r="D89" s="2"/>
      <c r="E89" s="2"/>
      <c r="F89" s="2"/>
      <c r="G89" s="2"/>
      <c r="H89" s="2"/>
      <c r="I89" s="2"/>
      <c r="J89" s="2"/>
      <c r="K89" s="2"/>
      <c r="L89" s="2"/>
      <c r="M89" s="2"/>
      <c r="N89" s="2"/>
      <c r="O89" s="2"/>
      <c r="P89" s="2"/>
      <c r="Q89" s="2"/>
    </row>
    <row r="90" spans="4:17" x14ac:dyDescent="0.2">
      <c r="D90" s="2"/>
      <c r="E90" s="2"/>
      <c r="F90" s="2"/>
      <c r="G90" s="2"/>
      <c r="H90" s="2"/>
      <c r="I90" s="2"/>
      <c r="J90" s="2"/>
      <c r="K90" s="2"/>
      <c r="L90" s="2"/>
      <c r="M90" s="2"/>
      <c r="N90" s="2"/>
      <c r="O90" s="2"/>
      <c r="P90" s="2"/>
      <c r="Q90" s="2"/>
    </row>
    <row r="91" spans="4:17" x14ac:dyDescent="0.2">
      <c r="D91" s="2"/>
      <c r="E91" s="2"/>
      <c r="F91" s="2"/>
      <c r="G91" s="2"/>
      <c r="H91" s="2"/>
      <c r="I91" s="2"/>
      <c r="J91" s="2"/>
      <c r="K91" s="2"/>
      <c r="L91" s="2"/>
      <c r="M91" s="2"/>
      <c r="N91" s="2"/>
      <c r="O91" s="2"/>
      <c r="P91" s="2"/>
      <c r="Q91" s="2"/>
    </row>
    <row r="92" spans="4:17" x14ac:dyDescent="0.2">
      <c r="D92" s="2"/>
      <c r="E92" s="2"/>
      <c r="F92" s="2"/>
      <c r="G92" s="2"/>
      <c r="H92" s="2"/>
      <c r="I92" s="2"/>
      <c r="J92" s="2"/>
      <c r="K92" s="2"/>
      <c r="L92" s="2"/>
      <c r="M92" s="2"/>
      <c r="N92" s="2"/>
      <c r="O92" s="2"/>
      <c r="P92" s="2"/>
      <c r="Q92" s="2"/>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77734375" defaultRowHeight="12" customHeight="1" x14ac:dyDescent="0.2"/>
  <cols>
    <col min="1" max="7" width="2.77734375" style="8"/>
    <col min="8" max="8" width="2.77734375" style="40"/>
    <col min="9" max="10" width="2.77734375" style="8"/>
    <col min="11" max="11" width="2.77734375" style="38"/>
    <col min="12" max="16384" width="2.77734375" style="8"/>
  </cols>
  <sheetData>
    <row r="1" spans="1:44" ht="12" customHeight="1" thickBot="1" x14ac:dyDescent="0.25">
      <c r="A1" s="6"/>
      <c r="B1" s="6"/>
      <c r="C1" s="6"/>
      <c r="D1" s="6"/>
      <c r="E1" s="6"/>
      <c r="F1" s="6"/>
      <c r="G1" s="6"/>
      <c r="H1" s="7"/>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145"/>
    </row>
    <row r="2" spans="1:44" ht="12" customHeight="1" thickTop="1" x14ac:dyDescent="0.2">
      <c r="A2" s="6"/>
      <c r="B2" s="542" t="s">
        <v>32</v>
      </c>
      <c r="C2" s="543"/>
      <c r="D2" s="543"/>
      <c r="E2" s="543"/>
      <c r="F2" s="543"/>
      <c r="G2" s="543"/>
      <c r="H2" s="543"/>
      <c r="I2" s="543"/>
      <c r="J2" s="543"/>
      <c r="K2" s="543"/>
      <c r="L2" s="543"/>
      <c r="M2" s="543"/>
      <c r="N2" s="544"/>
      <c r="O2" s="545" t="s">
        <v>30</v>
      </c>
      <c r="P2" s="539"/>
      <c r="Q2" s="539"/>
      <c r="R2" s="539"/>
      <c r="S2" s="539"/>
      <c r="T2" s="546"/>
      <c r="U2" s="538" t="s">
        <v>31</v>
      </c>
      <c r="V2" s="539"/>
      <c r="W2" s="539"/>
      <c r="X2" s="539"/>
      <c r="Y2" s="539"/>
      <c r="Z2" s="532" t="s">
        <v>33</v>
      </c>
      <c r="AA2" s="533"/>
      <c r="AB2" s="533"/>
      <c r="AC2" s="533"/>
      <c r="AD2" s="533"/>
      <c r="AE2" s="533"/>
      <c r="AF2" s="533"/>
      <c r="AG2" s="533"/>
      <c r="AH2" s="533"/>
      <c r="AI2" s="534"/>
      <c r="AJ2" s="9"/>
      <c r="AK2" s="10"/>
      <c r="AL2" s="10"/>
      <c r="AM2" s="10"/>
      <c r="AN2" s="10"/>
      <c r="AO2" s="10"/>
      <c r="AP2" s="10"/>
      <c r="AQ2" s="11"/>
      <c r="AR2" s="145"/>
    </row>
    <row r="3" spans="1:44" ht="12" customHeight="1" thickBot="1" x14ac:dyDescent="0.25">
      <c r="A3" s="6"/>
      <c r="B3" s="549"/>
      <c r="C3" s="550"/>
      <c r="D3" s="550"/>
      <c r="E3" s="550"/>
      <c r="F3" s="550"/>
      <c r="G3" s="550"/>
      <c r="H3" s="550"/>
      <c r="I3" s="550"/>
      <c r="J3" s="550"/>
      <c r="K3" s="550"/>
      <c r="L3" s="550"/>
      <c r="M3" s="550"/>
      <c r="N3" s="551"/>
      <c r="O3" s="547" t="s">
        <v>34</v>
      </c>
      <c r="P3" s="541"/>
      <c r="Q3" s="541"/>
      <c r="R3" s="541"/>
      <c r="S3" s="541"/>
      <c r="T3" s="548"/>
      <c r="U3" s="540"/>
      <c r="V3" s="541"/>
      <c r="W3" s="541"/>
      <c r="X3" s="541"/>
      <c r="Y3" s="541"/>
      <c r="Z3" s="535"/>
      <c r="AA3" s="536"/>
      <c r="AB3" s="536"/>
      <c r="AC3" s="536"/>
      <c r="AD3" s="536"/>
      <c r="AE3" s="536"/>
      <c r="AF3" s="536"/>
      <c r="AG3" s="536"/>
      <c r="AH3" s="536"/>
      <c r="AI3" s="537"/>
      <c r="AJ3" s="12"/>
      <c r="AK3" s="13"/>
      <c r="AL3" s="14"/>
      <c r="AM3" s="14"/>
      <c r="AN3" s="14"/>
      <c r="AO3" s="14"/>
      <c r="AP3" s="13"/>
      <c r="AQ3" s="15"/>
      <c r="AR3" s="145"/>
    </row>
    <row r="4" spans="1:44" ht="12" customHeight="1" thickTop="1" x14ac:dyDescent="0.2">
      <c r="A4" s="6"/>
      <c r="B4" s="6"/>
      <c r="C4" s="6"/>
      <c r="D4" s="6"/>
      <c r="E4" s="6"/>
      <c r="F4" s="6"/>
      <c r="G4" s="6"/>
      <c r="H4" s="7"/>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145"/>
    </row>
    <row r="5" spans="1:44" ht="12" customHeight="1" x14ac:dyDescent="0.2">
      <c r="A5" s="6"/>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1"/>
      <c r="AR5" s="145"/>
    </row>
    <row r="6" spans="1:44" ht="12" customHeight="1" x14ac:dyDescent="0.2">
      <c r="A6" s="6"/>
      <c r="B6" s="16"/>
      <c r="C6" s="17" t="s">
        <v>214</v>
      </c>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18"/>
      <c r="AR6" s="145"/>
    </row>
    <row r="7" spans="1:44" ht="12" customHeight="1" x14ac:dyDescent="0.2">
      <c r="A7" s="6"/>
      <c r="B7" s="19"/>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18"/>
      <c r="AR7" s="145"/>
    </row>
    <row r="8" spans="1:44" ht="12" customHeight="1" x14ac:dyDescent="0.2">
      <c r="A8" s="6"/>
      <c r="B8" s="20"/>
      <c r="C8" s="520" t="s">
        <v>35</v>
      </c>
      <c r="D8" s="515"/>
      <c r="E8" s="515"/>
      <c r="F8" s="521"/>
      <c r="G8" s="514" t="s">
        <v>36</v>
      </c>
      <c r="H8" s="521"/>
      <c r="I8" s="524" t="s">
        <v>37</v>
      </c>
      <c r="J8" s="525"/>
      <c r="K8" s="526"/>
      <c r="L8" s="514" t="s">
        <v>38</v>
      </c>
      <c r="M8" s="515"/>
      <c r="N8" s="515"/>
      <c r="O8" s="515"/>
      <c r="P8" s="515"/>
      <c r="Q8" s="515"/>
      <c r="R8" s="515"/>
      <c r="S8" s="515"/>
      <c r="T8" s="515"/>
      <c r="U8" s="515"/>
      <c r="V8" s="515"/>
      <c r="W8" s="515"/>
      <c r="X8" s="515"/>
      <c r="Y8" s="515"/>
      <c r="Z8" s="515"/>
      <c r="AA8" s="515"/>
      <c r="AB8" s="515"/>
      <c r="AC8" s="515"/>
      <c r="AD8" s="515"/>
      <c r="AE8" s="515"/>
      <c r="AF8" s="515"/>
      <c r="AG8" s="515"/>
      <c r="AH8" s="515"/>
      <c r="AI8" s="515"/>
      <c r="AJ8" s="515"/>
      <c r="AK8" s="515"/>
      <c r="AL8" s="521"/>
      <c r="AM8" s="514" t="s">
        <v>39</v>
      </c>
      <c r="AN8" s="515"/>
      <c r="AO8" s="515"/>
      <c r="AP8" s="516"/>
      <c r="AQ8" s="21"/>
      <c r="AR8" s="145"/>
    </row>
    <row r="9" spans="1:44" ht="12" customHeight="1" x14ac:dyDescent="0.2">
      <c r="A9" s="6"/>
      <c r="B9" s="19"/>
      <c r="C9" s="522"/>
      <c r="D9" s="518"/>
      <c r="E9" s="518"/>
      <c r="F9" s="523"/>
      <c r="G9" s="517"/>
      <c r="H9" s="523"/>
      <c r="I9" s="527"/>
      <c r="J9" s="528"/>
      <c r="K9" s="529"/>
      <c r="L9" s="517"/>
      <c r="M9" s="518"/>
      <c r="N9" s="518"/>
      <c r="O9" s="518"/>
      <c r="P9" s="518"/>
      <c r="Q9" s="518"/>
      <c r="R9" s="518"/>
      <c r="S9" s="518"/>
      <c r="T9" s="518"/>
      <c r="U9" s="518"/>
      <c r="V9" s="518"/>
      <c r="W9" s="518"/>
      <c r="X9" s="518"/>
      <c r="Y9" s="518"/>
      <c r="Z9" s="518"/>
      <c r="AA9" s="518"/>
      <c r="AB9" s="518"/>
      <c r="AC9" s="518"/>
      <c r="AD9" s="518"/>
      <c r="AE9" s="518"/>
      <c r="AF9" s="518"/>
      <c r="AG9" s="518"/>
      <c r="AH9" s="518"/>
      <c r="AI9" s="518"/>
      <c r="AJ9" s="518"/>
      <c r="AK9" s="518"/>
      <c r="AL9" s="523"/>
      <c r="AM9" s="517"/>
      <c r="AN9" s="518"/>
      <c r="AO9" s="518"/>
      <c r="AP9" s="519"/>
      <c r="AQ9" s="22"/>
      <c r="AR9" s="145"/>
    </row>
    <row r="10" spans="1:44" ht="12" customHeight="1" x14ac:dyDescent="0.2">
      <c r="A10" s="6"/>
      <c r="B10" s="19"/>
      <c r="C10" s="496">
        <v>43650</v>
      </c>
      <c r="D10" s="497"/>
      <c r="E10" s="497"/>
      <c r="F10" s="498"/>
      <c r="G10" s="502">
        <v>1</v>
      </c>
      <c r="H10" s="503"/>
      <c r="I10" s="23"/>
      <c r="J10" s="24"/>
      <c r="K10" s="25"/>
      <c r="L10" s="10" t="s">
        <v>213</v>
      </c>
      <c r="M10" s="10"/>
      <c r="N10" s="10"/>
      <c r="O10" s="10"/>
      <c r="P10" s="10"/>
      <c r="Q10" s="10"/>
      <c r="R10" s="10"/>
      <c r="S10" s="26"/>
      <c r="T10" s="10"/>
      <c r="U10" s="10"/>
      <c r="V10" s="10"/>
      <c r="W10" s="10"/>
      <c r="X10" s="10"/>
      <c r="Y10" s="10"/>
      <c r="Z10" s="10"/>
      <c r="AA10" s="10"/>
      <c r="AB10" s="10"/>
      <c r="AC10" s="10"/>
      <c r="AD10" s="10"/>
      <c r="AE10" s="10"/>
      <c r="AF10" s="10"/>
      <c r="AG10" s="10"/>
      <c r="AH10" s="10"/>
      <c r="AI10" s="10"/>
      <c r="AJ10" s="10"/>
      <c r="AK10" s="10"/>
      <c r="AL10" s="27"/>
      <c r="AM10" s="506" t="s">
        <v>215</v>
      </c>
      <c r="AN10" s="507"/>
      <c r="AO10" s="507"/>
      <c r="AP10" s="508"/>
      <c r="AQ10" s="18"/>
      <c r="AR10" s="145"/>
    </row>
    <row r="11" spans="1:44" ht="12" customHeight="1" x14ac:dyDescent="0.2">
      <c r="A11" s="6"/>
      <c r="B11" s="19"/>
      <c r="C11" s="499"/>
      <c r="D11" s="500"/>
      <c r="E11" s="500"/>
      <c r="F11" s="501"/>
      <c r="G11" s="504"/>
      <c r="H11" s="505"/>
      <c r="I11" s="29"/>
      <c r="J11" s="30"/>
      <c r="K11" s="31"/>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28"/>
      <c r="AM11" s="509"/>
      <c r="AN11" s="510"/>
      <c r="AO11" s="510"/>
      <c r="AP11" s="511"/>
      <c r="AQ11" s="18"/>
      <c r="AR11" s="145"/>
    </row>
    <row r="12" spans="1:44" ht="12" customHeight="1" x14ac:dyDescent="0.2">
      <c r="A12" s="6"/>
      <c r="B12" s="19"/>
      <c r="C12" s="496">
        <v>44225</v>
      </c>
      <c r="D12" s="497"/>
      <c r="E12" s="497"/>
      <c r="F12" s="498"/>
      <c r="G12" s="502">
        <v>1.1000000000000001</v>
      </c>
      <c r="H12" s="503"/>
      <c r="I12" s="23"/>
      <c r="J12" s="24"/>
      <c r="K12" s="25"/>
      <c r="L12" s="10" t="s">
        <v>295</v>
      </c>
      <c r="M12" s="10"/>
      <c r="N12" s="10"/>
      <c r="O12" s="10"/>
      <c r="P12" s="10"/>
      <c r="Q12" s="10"/>
      <c r="R12" s="10"/>
      <c r="S12" s="26"/>
      <c r="T12" s="10"/>
      <c r="U12" s="10"/>
      <c r="V12" s="10"/>
      <c r="W12" s="10"/>
      <c r="X12" s="10"/>
      <c r="Y12" s="10"/>
      <c r="Z12" s="10"/>
      <c r="AA12" s="10"/>
      <c r="AB12" s="10"/>
      <c r="AC12" s="10"/>
      <c r="AD12" s="10"/>
      <c r="AE12" s="10"/>
      <c r="AF12" s="10"/>
      <c r="AG12" s="10"/>
      <c r="AH12" s="10"/>
      <c r="AI12" s="10"/>
      <c r="AJ12" s="10"/>
      <c r="AK12" s="10"/>
      <c r="AL12" s="27"/>
      <c r="AM12" s="506" t="s">
        <v>215</v>
      </c>
      <c r="AN12" s="507"/>
      <c r="AO12" s="507"/>
      <c r="AP12" s="508"/>
      <c r="AQ12" s="18"/>
      <c r="AR12" s="145"/>
    </row>
    <row r="13" spans="1:44" ht="12" customHeight="1" x14ac:dyDescent="0.2">
      <c r="A13" s="6"/>
      <c r="B13" s="19"/>
      <c r="C13" s="499"/>
      <c r="D13" s="500"/>
      <c r="E13" s="500"/>
      <c r="F13" s="501"/>
      <c r="G13" s="504"/>
      <c r="H13" s="505"/>
      <c r="I13" s="29"/>
      <c r="J13" s="169"/>
      <c r="K13" s="31"/>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28"/>
      <c r="AM13" s="509"/>
      <c r="AN13" s="510"/>
      <c r="AO13" s="510"/>
      <c r="AP13" s="511"/>
      <c r="AQ13" s="18"/>
      <c r="AR13" s="145"/>
    </row>
    <row r="14" spans="1:44" ht="12" customHeight="1" x14ac:dyDescent="0.2">
      <c r="A14" s="6"/>
      <c r="B14" s="19"/>
      <c r="C14" s="496">
        <v>44229</v>
      </c>
      <c r="D14" s="497"/>
      <c r="E14" s="497"/>
      <c r="F14" s="498"/>
      <c r="G14" s="502">
        <v>1.2</v>
      </c>
      <c r="H14" s="503"/>
      <c r="I14" s="23"/>
      <c r="J14" s="24"/>
      <c r="K14" s="25"/>
      <c r="L14" s="10" t="s">
        <v>355</v>
      </c>
      <c r="M14" s="10"/>
      <c r="N14" s="10"/>
      <c r="O14" s="10"/>
      <c r="P14" s="10"/>
      <c r="Q14" s="10"/>
      <c r="R14" s="10"/>
      <c r="S14" s="26"/>
      <c r="T14" s="10"/>
      <c r="U14" s="10"/>
      <c r="V14" s="10"/>
      <c r="W14" s="10"/>
      <c r="X14" s="10"/>
      <c r="Y14" s="10"/>
      <c r="Z14" s="10"/>
      <c r="AA14" s="10"/>
      <c r="AB14" s="10"/>
      <c r="AC14" s="10"/>
      <c r="AD14" s="10"/>
      <c r="AE14" s="10"/>
      <c r="AF14" s="10"/>
      <c r="AG14" s="10"/>
      <c r="AH14" s="10"/>
      <c r="AI14" s="10"/>
      <c r="AJ14" s="10"/>
      <c r="AK14" s="10"/>
      <c r="AL14" s="27"/>
      <c r="AM14" s="506" t="s">
        <v>215</v>
      </c>
      <c r="AN14" s="507"/>
      <c r="AO14" s="507"/>
      <c r="AP14" s="508"/>
      <c r="AQ14" s="18"/>
      <c r="AR14" s="145"/>
    </row>
    <row r="15" spans="1:44" ht="12" customHeight="1" x14ac:dyDescent="0.2">
      <c r="A15" s="6"/>
      <c r="B15" s="19"/>
      <c r="C15" s="499"/>
      <c r="D15" s="500"/>
      <c r="E15" s="500"/>
      <c r="F15" s="501"/>
      <c r="G15" s="504"/>
      <c r="H15" s="505"/>
      <c r="I15" s="29"/>
      <c r="J15" s="239"/>
      <c r="K15" s="31"/>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28"/>
      <c r="AM15" s="509"/>
      <c r="AN15" s="510"/>
      <c r="AO15" s="510"/>
      <c r="AP15" s="511"/>
      <c r="AQ15" s="18"/>
      <c r="AR15" s="145"/>
    </row>
    <row r="16" spans="1:44" ht="12" customHeight="1" x14ac:dyDescent="0.2">
      <c r="A16" s="6"/>
      <c r="B16" s="19"/>
      <c r="C16" s="496">
        <v>44230</v>
      </c>
      <c r="D16" s="497"/>
      <c r="E16" s="497"/>
      <c r="F16" s="498"/>
      <c r="G16" s="502">
        <v>1.3</v>
      </c>
      <c r="H16" s="503"/>
      <c r="I16" s="23"/>
      <c r="J16" s="24"/>
      <c r="K16" s="25"/>
      <c r="L16" s="10" t="s">
        <v>372</v>
      </c>
      <c r="M16" s="10"/>
      <c r="N16" s="10"/>
      <c r="O16" s="10"/>
      <c r="P16" s="10"/>
      <c r="Q16" s="10"/>
      <c r="R16" s="10"/>
      <c r="S16" s="26"/>
      <c r="T16" s="10"/>
      <c r="U16" s="10"/>
      <c r="V16" s="10"/>
      <c r="W16" s="10"/>
      <c r="X16" s="10"/>
      <c r="Y16" s="10"/>
      <c r="Z16" s="10"/>
      <c r="AA16" s="10"/>
      <c r="AB16" s="10"/>
      <c r="AC16" s="10"/>
      <c r="AD16" s="10"/>
      <c r="AE16" s="10"/>
      <c r="AF16" s="10"/>
      <c r="AG16" s="10"/>
      <c r="AH16" s="10"/>
      <c r="AI16" s="10"/>
      <c r="AJ16" s="10"/>
      <c r="AK16" s="10"/>
      <c r="AL16" s="27"/>
      <c r="AM16" s="506" t="s">
        <v>215</v>
      </c>
      <c r="AN16" s="507"/>
      <c r="AO16" s="507"/>
      <c r="AP16" s="508"/>
      <c r="AQ16" s="18"/>
      <c r="AR16" s="145"/>
    </row>
    <row r="17" spans="1:44" ht="12" customHeight="1" x14ac:dyDescent="0.2">
      <c r="A17" s="6"/>
      <c r="B17" s="19"/>
      <c r="C17" s="499"/>
      <c r="D17" s="500"/>
      <c r="E17" s="500"/>
      <c r="F17" s="501"/>
      <c r="G17" s="504"/>
      <c r="H17" s="505"/>
      <c r="I17" s="29"/>
      <c r="J17" s="256"/>
      <c r="K17" s="31"/>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28"/>
      <c r="AM17" s="509"/>
      <c r="AN17" s="510"/>
      <c r="AO17" s="510"/>
      <c r="AP17" s="511"/>
      <c r="AQ17" s="18"/>
      <c r="AR17" s="145"/>
    </row>
    <row r="18" spans="1:44" ht="12" customHeight="1" x14ac:dyDescent="0.2">
      <c r="A18" s="6"/>
      <c r="B18" s="19"/>
      <c r="C18" s="496">
        <v>44245</v>
      </c>
      <c r="D18" s="497"/>
      <c r="E18" s="497"/>
      <c r="F18" s="498"/>
      <c r="G18" s="502">
        <v>1.4</v>
      </c>
      <c r="H18" s="503"/>
      <c r="I18" s="23"/>
      <c r="J18" s="24"/>
      <c r="K18" s="25"/>
      <c r="L18" s="10" t="s">
        <v>466</v>
      </c>
      <c r="M18" s="10"/>
      <c r="N18" s="10"/>
      <c r="O18" s="10"/>
      <c r="P18" s="10"/>
      <c r="Q18" s="10"/>
      <c r="R18" s="10"/>
      <c r="S18" s="26"/>
      <c r="T18" s="10"/>
      <c r="U18" s="10"/>
      <c r="V18" s="10"/>
      <c r="W18" s="10"/>
      <c r="X18" s="10"/>
      <c r="Y18" s="10"/>
      <c r="Z18" s="10"/>
      <c r="AA18" s="10"/>
      <c r="AB18" s="10"/>
      <c r="AC18" s="10"/>
      <c r="AD18" s="10"/>
      <c r="AE18" s="10"/>
      <c r="AF18" s="10"/>
      <c r="AG18" s="10"/>
      <c r="AH18" s="10"/>
      <c r="AI18" s="10"/>
      <c r="AJ18" s="10"/>
      <c r="AK18" s="10"/>
      <c r="AL18" s="27"/>
      <c r="AM18" s="506" t="s">
        <v>215</v>
      </c>
      <c r="AN18" s="507"/>
      <c r="AO18" s="507"/>
      <c r="AP18" s="508"/>
      <c r="AQ18" s="18"/>
      <c r="AR18" s="145"/>
    </row>
    <row r="19" spans="1:44" ht="12" customHeight="1" x14ac:dyDescent="0.2">
      <c r="A19" s="6"/>
      <c r="B19" s="19"/>
      <c r="C19" s="499"/>
      <c r="D19" s="500"/>
      <c r="E19" s="500"/>
      <c r="F19" s="501"/>
      <c r="G19" s="504"/>
      <c r="H19" s="505"/>
      <c r="I19" s="29"/>
      <c r="J19" s="169"/>
      <c r="K19" s="31"/>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28"/>
      <c r="AM19" s="509"/>
      <c r="AN19" s="510"/>
      <c r="AO19" s="510"/>
      <c r="AP19" s="511"/>
      <c r="AQ19" s="18"/>
      <c r="AR19" s="145"/>
    </row>
    <row r="20" spans="1:44" ht="12" customHeight="1" x14ac:dyDescent="0.2">
      <c r="A20" s="6"/>
      <c r="B20" s="19"/>
      <c r="C20" s="496">
        <v>44909</v>
      </c>
      <c r="D20" s="497"/>
      <c r="E20" s="497"/>
      <c r="F20" s="498"/>
      <c r="G20" s="502">
        <v>1.5</v>
      </c>
      <c r="H20" s="503"/>
      <c r="I20" s="23"/>
      <c r="J20" s="24"/>
      <c r="K20" s="25"/>
      <c r="L20" s="10" t="s">
        <v>648</v>
      </c>
      <c r="M20" s="10"/>
      <c r="N20" s="10"/>
      <c r="O20" s="10"/>
      <c r="P20" s="10"/>
      <c r="Q20" s="10"/>
      <c r="R20" s="10"/>
      <c r="S20" s="26"/>
      <c r="T20" s="10"/>
      <c r="U20" s="10"/>
      <c r="V20" s="10"/>
      <c r="W20" s="10"/>
      <c r="X20" s="10"/>
      <c r="Y20" s="10"/>
      <c r="Z20" s="10"/>
      <c r="AA20" s="10"/>
      <c r="AB20" s="10"/>
      <c r="AC20" s="10"/>
      <c r="AD20" s="10"/>
      <c r="AE20" s="10"/>
      <c r="AF20" s="10"/>
      <c r="AG20" s="10"/>
      <c r="AH20" s="10"/>
      <c r="AI20" s="10"/>
      <c r="AJ20" s="10"/>
      <c r="AK20" s="10"/>
      <c r="AL20" s="27"/>
      <c r="AM20" s="506" t="s">
        <v>215</v>
      </c>
      <c r="AN20" s="507"/>
      <c r="AO20" s="507"/>
      <c r="AP20" s="508"/>
      <c r="AQ20" s="18"/>
      <c r="AR20" s="145"/>
    </row>
    <row r="21" spans="1:44" ht="12" customHeight="1" x14ac:dyDescent="0.2">
      <c r="A21" s="6"/>
      <c r="B21" s="19"/>
      <c r="C21" s="499"/>
      <c r="D21" s="500"/>
      <c r="E21" s="500"/>
      <c r="F21" s="501"/>
      <c r="G21" s="504"/>
      <c r="H21" s="505"/>
      <c r="I21" s="29"/>
      <c r="J21" s="345"/>
      <c r="K21" s="31"/>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28"/>
      <c r="AM21" s="509"/>
      <c r="AN21" s="510"/>
      <c r="AO21" s="510"/>
      <c r="AP21" s="511"/>
      <c r="AQ21" s="18"/>
      <c r="AR21" s="145"/>
    </row>
    <row r="22" spans="1:44" ht="12" customHeight="1" x14ac:dyDescent="0.2">
      <c r="A22" s="6"/>
      <c r="B22" s="19"/>
      <c r="C22" s="496">
        <v>44970</v>
      </c>
      <c r="D22" s="497"/>
      <c r="E22" s="497"/>
      <c r="F22" s="498"/>
      <c r="G22" s="502">
        <v>1.6</v>
      </c>
      <c r="H22" s="503"/>
      <c r="I22" s="23"/>
      <c r="J22" s="24"/>
      <c r="K22" s="25"/>
      <c r="L22" s="10" t="s">
        <v>649</v>
      </c>
      <c r="M22" s="10"/>
      <c r="N22" s="10"/>
      <c r="O22" s="10"/>
      <c r="P22" s="10"/>
      <c r="Q22" s="10"/>
      <c r="R22" s="10"/>
      <c r="S22" s="26"/>
      <c r="T22" s="10"/>
      <c r="U22" s="10"/>
      <c r="V22" s="10"/>
      <c r="W22" s="10"/>
      <c r="X22" s="10"/>
      <c r="Y22" s="10"/>
      <c r="Z22" s="10"/>
      <c r="AA22" s="10"/>
      <c r="AB22" s="10"/>
      <c r="AC22" s="10"/>
      <c r="AD22" s="10"/>
      <c r="AE22" s="10"/>
      <c r="AF22" s="10"/>
      <c r="AG22" s="10"/>
      <c r="AH22" s="10"/>
      <c r="AI22" s="10"/>
      <c r="AJ22" s="10"/>
      <c r="AK22" s="10"/>
      <c r="AL22" s="27"/>
      <c r="AM22" s="506" t="s">
        <v>215</v>
      </c>
      <c r="AN22" s="507"/>
      <c r="AO22" s="507"/>
      <c r="AP22" s="508"/>
      <c r="AQ22" s="18"/>
      <c r="AR22" s="145"/>
    </row>
    <row r="23" spans="1:44" ht="12" customHeight="1" x14ac:dyDescent="0.2">
      <c r="A23" s="6"/>
      <c r="B23" s="19"/>
      <c r="C23" s="499"/>
      <c r="D23" s="500"/>
      <c r="E23" s="500"/>
      <c r="F23" s="501"/>
      <c r="G23" s="504"/>
      <c r="H23" s="505"/>
      <c r="I23" s="29"/>
      <c r="J23" s="169"/>
      <c r="K23" s="31"/>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28"/>
      <c r="AM23" s="509"/>
      <c r="AN23" s="510"/>
      <c r="AO23" s="510"/>
      <c r="AP23" s="511"/>
      <c r="AQ23" s="18"/>
      <c r="AR23" s="145"/>
    </row>
    <row r="24" spans="1:44" ht="12" customHeight="1" x14ac:dyDescent="0.2">
      <c r="A24" s="6"/>
      <c r="B24" s="19"/>
      <c r="C24" s="496">
        <v>45548</v>
      </c>
      <c r="D24" s="497"/>
      <c r="E24" s="497"/>
      <c r="F24" s="498"/>
      <c r="G24" s="502">
        <v>1.7</v>
      </c>
      <c r="H24" s="503"/>
      <c r="I24" s="23"/>
      <c r="J24" s="24"/>
      <c r="K24" s="25"/>
      <c r="L24" s="10" t="s">
        <v>764</v>
      </c>
      <c r="M24" s="10"/>
      <c r="N24" s="10"/>
      <c r="O24" s="10"/>
      <c r="P24" s="10"/>
      <c r="Q24" s="10"/>
      <c r="R24" s="10"/>
      <c r="S24" s="26"/>
      <c r="T24" s="10"/>
      <c r="U24" s="10"/>
      <c r="V24" s="10"/>
      <c r="W24" s="10"/>
      <c r="X24" s="10"/>
      <c r="Y24" s="10"/>
      <c r="Z24" s="10"/>
      <c r="AA24" s="10"/>
      <c r="AB24" s="10"/>
      <c r="AC24" s="10"/>
      <c r="AD24" s="10"/>
      <c r="AE24" s="10"/>
      <c r="AF24" s="10"/>
      <c r="AG24" s="10"/>
      <c r="AH24" s="10"/>
      <c r="AI24" s="10"/>
      <c r="AJ24" s="10"/>
      <c r="AK24" s="10"/>
      <c r="AL24" s="27"/>
      <c r="AM24" s="506" t="s">
        <v>215</v>
      </c>
      <c r="AN24" s="507"/>
      <c r="AO24" s="507"/>
      <c r="AP24" s="508"/>
      <c r="AQ24" s="18"/>
      <c r="AR24" s="145"/>
    </row>
    <row r="25" spans="1:44" ht="12" customHeight="1" x14ac:dyDescent="0.2">
      <c r="A25" s="6"/>
      <c r="B25" s="19"/>
      <c r="C25" s="499"/>
      <c r="D25" s="500"/>
      <c r="E25" s="500"/>
      <c r="F25" s="501"/>
      <c r="G25" s="504"/>
      <c r="H25" s="505"/>
      <c r="I25" s="29"/>
      <c r="J25" s="169"/>
      <c r="K25" s="31"/>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28"/>
      <c r="AM25" s="509"/>
      <c r="AN25" s="510"/>
      <c r="AO25" s="510"/>
      <c r="AP25" s="511"/>
      <c r="AQ25" s="18"/>
      <c r="AR25" s="145"/>
    </row>
    <row r="26" spans="1:44" ht="12" customHeight="1" x14ac:dyDescent="0.2">
      <c r="A26" s="6"/>
      <c r="B26" s="19"/>
      <c r="C26" s="496"/>
      <c r="D26" s="497"/>
      <c r="E26" s="497"/>
      <c r="F26" s="498"/>
      <c r="G26" s="502"/>
      <c r="H26" s="503"/>
      <c r="I26" s="23"/>
      <c r="J26" s="24"/>
      <c r="K26" s="25"/>
      <c r="L26" s="10"/>
      <c r="M26" s="10"/>
      <c r="N26" s="10"/>
      <c r="O26" s="10"/>
      <c r="P26" s="10"/>
      <c r="Q26" s="10"/>
      <c r="R26" s="10"/>
      <c r="S26" s="26"/>
      <c r="T26" s="10"/>
      <c r="U26" s="10"/>
      <c r="V26" s="10"/>
      <c r="W26" s="10"/>
      <c r="X26" s="10"/>
      <c r="Y26" s="10"/>
      <c r="Z26" s="10"/>
      <c r="AA26" s="10"/>
      <c r="AB26" s="10"/>
      <c r="AC26" s="10"/>
      <c r="AD26" s="10"/>
      <c r="AE26" s="10"/>
      <c r="AF26" s="10"/>
      <c r="AG26" s="10"/>
      <c r="AH26" s="10"/>
      <c r="AI26" s="10"/>
      <c r="AJ26" s="10"/>
      <c r="AK26" s="10"/>
      <c r="AL26" s="27"/>
      <c r="AM26" s="506"/>
      <c r="AN26" s="507"/>
      <c r="AO26" s="507"/>
      <c r="AP26" s="508"/>
      <c r="AQ26" s="18"/>
      <c r="AR26" s="145"/>
    </row>
    <row r="27" spans="1:44" ht="12" customHeight="1" x14ac:dyDescent="0.2">
      <c r="A27" s="6"/>
      <c r="B27" s="19"/>
      <c r="C27" s="499"/>
      <c r="D27" s="500"/>
      <c r="E27" s="500"/>
      <c r="F27" s="501"/>
      <c r="G27" s="504"/>
      <c r="H27" s="505"/>
      <c r="I27" s="29"/>
      <c r="J27" s="169"/>
      <c r="K27" s="31"/>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28"/>
      <c r="AM27" s="509"/>
      <c r="AN27" s="510"/>
      <c r="AO27" s="510"/>
      <c r="AP27" s="511"/>
      <c r="AQ27" s="18"/>
      <c r="AR27" s="145"/>
    </row>
    <row r="28" spans="1:44" ht="12" customHeight="1" x14ac:dyDescent="0.2">
      <c r="A28" s="6"/>
      <c r="B28" s="19"/>
      <c r="C28" s="496"/>
      <c r="D28" s="497"/>
      <c r="E28" s="497"/>
      <c r="F28" s="498"/>
      <c r="G28" s="502"/>
      <c r="H28" s="503"/>
      <c r="I28" s="23"/>
      <c r="J28" s="24"/>
      <c r="K28" s="25"/>
      <c r="L28" s="10"/>
      <c r="M28" s="10"/>
      <c r="N28" s="10"/>
      <c r="O28" s="10"/>
      <c r="P28" s="10"/>
      <c r="Q28" s="10"/>
      <c r="R28" s="10"/>
      <c r="S28" s="26"/>
      <c r="T28" s="10"/>
      <c r="U28" s="10"/>
      <c r="V28" s="10"/>
      <c r="W28" s="10"/>
      <c r="X28" s="10"/>
      <c r="Y28" s="10"/>
      <c r="Z28" s="10"/>
      <c r="AA28" s="10"/>
      <c r="AB28" s="10"/>
      <c r="AC28" s="10"/>
      <c r="AD28" s="10"/>
      <c r="AE28" s="10"/>
      <c r="AF28" s="10"/>
      <c r="AG28" s="10"/>
      <c r="AH28" s="10"/>
      <c r="AI28" s="10"/>
      <c r="AJ28" s="10"/>
      <c r="AK28" s="10"/>
      <c r="AL28" s="27"/>
      <c r="AM28" s="506"/>
      <c r="AN28" s="507"/>
      <c r="AO28" s="507"/>
      <c r="AP28" s="508"/>
      <c r="AQ28" s="18"/>
      <c r="AR28" s="145"/>
    </row>
    <row r="29" spans="1:44" ht="12" customHeight="1" x14ac:dyDescent="0.2">
      <c r="A29" s="6"/>
      <c r="B29" s="19"/>
      <c r="C29" s="499"/>
      <c r="D29" s="500"/>
      <c r="E29" s="500"/>
      <c r="F29" s="501"/>
      <c r="G29" s="504"/>
      <c r="H29" s="505"/>
      <c r="I29" s="29"/>
      <c r="J29" s="169"/>
      <c r="K29" s="31"/>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28"/>
      <c r="AM29" s="509"/>
      <c r="AN29" s="510"/>
      <c r="AO29" s="510"/>
      <c r="AP29" s="511"/>
      <c r="AQ29" s="18"/>
      <c r="AR29" s="145"/>
    </row>
    <row r="30" spans="1:44" ht="12" customHeight="1" x14ac:dyDescent="0.2">
      <c r="A30" s="6"/>
      <c r="B30" s="19"/>
      <c r="C30" s="496"/>
      <c r="D30" s="497"/>
      <c r="E30" s="497"/>
      <c r="F30" s="498"/>
      <c r="G30" s="502"/>
      <c r="H30" s="503"/>
      <c r="I30" s="23"/>
      <c r="J30" s="24"/>
      <c r="K30" s="25"/>
      <c r="L30" s="10"/>
      <c r="M30" s="10"/>
      <c r="N30" s="10"/>
      <c r="O30" s="10"/>
      <c r="P30" s="10"/>
      <c r="Q30" s="10"/>
      <c r="R30" s="10"/>
      <c r="S30" s="26"/>
      <c r="T30" s="10"/>
      <c r="U30" s="10"/>
      <c r="V30" s="10"/>
      <c r="W30" s="10"/>
      <c r="X30" s="10"/>
      <c r="Y30" s="10"/>
      <c r="Z30" s="10"/>
      <c r="AA30" s="10"/>
      <c r="AB30" s="10"/>
      <c r="AC30" s="10"/>
      <c r="AD30" s="10"/>
      <c r="AE30" s="10"/>
      <c r="AF30" s="10"/>
      <c r="AG30" s="10"/>
      <c r="AH30" s="10"/>
      <c r="AI30" s="10"/>
      <c r="AJ30" s="10"/>
      <c r="AK30" s="10"/>
      <c r="AL30" s="27"/>
      <c r="AM30" s="506"/>
      <c r="AN30" s="507"/>
      <c r="AO30" s="507"/>
      <c r="AP30" s="508"/>
      <c r="AQ30" s="18"/>
      <c r="AR30" s="145"/>
    </row>
    <row r="31" spans="1:44" ht="12" customHeight="1" x14ac:dyDescent="0.2">
      <c r="A31" s="6"/>
      <c r="B31" s="19"/>
      <c r="C31" s="499"/>
      <c r="D31" s="500"/>
      <c r="E31" s="500"/>
      <c r="F31" s="501"/>
      <c r="G31" s="504"/>
      <c r="H31" s="505"/>
      <c r="I31" s="29"/>
      <c r="J31" s="169"/>
      <c r="K31" s="31"/>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28"/>
      <c r="AM31" s="509"/>
      <c r="AN31" s="510"/>
      <c r="AO31" s="510"/>
      <c r="AP31" s="511"/>
      <c r="AQ31" s="18"/>
      <c r="AR31" s="145"/>
    </row>
    <row r="32" spans="1:44" ht="12" customHeight="1" x14ac:dyDescent="0.2">
      <c r="A32" s="6"/>
      <c r="B32" s="19"/>
      <c r="C32" s="496"/>
      <c r="D32" s="497"/>
      <c r="E32" s="497"/>
      <c r="F32" s="498"/>
      <c r="G32" s="502"/>
      <c r="H32" s="503"/>
      <c r="I32" s="23"/>
      <c r="J32" s="24"/>
      <c r="K32" s="25"/>
      <c r="L32" s="10"/>
      <c r="M32" s="10"/>
      <c r="N32" s="10"/>
      <c r="O32" s="10"/>
      <c r="P32" s="10"/>
      <c r="Q32" s="10"/>
      <c r="R32" s="10"/>
      <c r="S32" s="26"/>
      <c r="T32" s="10"/>
      <c r="U32" s="10"/>
      <c r="V32" s="10"/>
      <c r="W32" s="10"/>
      <c r="X32" s="10"/>
      <c r="Y32" s="10"/>
      <c r="Z32" s="10"/>
      <c r="AA32" s="10"/>
      <c r="AB32" s="10"/>
      <c r="AC32" s="10"/>
      <c r="AD32" s="10"/>
      <c r="AE32" s="10"/>
      <c r="AF32" s="10"/>
      <c r="AG32" s="10"/>
      <c r="AH32" s="10"/>
      <c r="AI32" s="10"/>
      <c r="AJ32" s="10"/>
      <c r="AK32" s="10"/>
      <c r="AL32" s="27"/>
      <c r="AM32" s="506"/>
      <c r="AN32" s="507"/>
      <c r="AO32" s="507"/>
      <c r="AP32" s="508"/>
      <c r="AQ32" s="18"/>
      <c r="AR32" s="145"/>
    </row>
    <row r="33" spans="1:44" ht="12" customHeight="1" x14ac:dyDescent="0.2">
      <c r="A33" s="6"/>
      <c r="B33" s="19"/>
      <c r="C33" s="499"/>
      <c r="D33" s="500"/>
      <c r="E33" s="500"/>
      <c r="F33" s="501"/>
      <c r="G33" s="504"/>
      <c r="H33" s="505"/>
      <c r="I33" s="29"/>
      <c r="J33" s="169"/>
      <c r="K33" s="31"/>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28"/>
      <c r="AM33" s="509"/>
      <c r="AN33" s="510"/>
      <c r="AO33" s="510"/>
      <c r="AP33" s="511"/>
      <c r="AQ33" s="18"/>
      <c r="AR33" s="145"/>
    </row>
    <row r="34" spans="1:44" ht="12" customHeight="1" x14ac:dyDescent="0.2">
      <c r="A34" s="6"/>
      <c r="B34" s="19"/>
      <c r="C34" s="496"/>
      <c r="D34" s="497"/>
      <c r="E34" s="497"/>
      <c r="F34" s="498"/>
      <c r="G34" s="502"/>
      <c r="H34" s="503"/>
      <c r="I34" s="23"/>
      <c r="J34" s="24"/>
      <c r="K34" s="25"/>
      <c r="L34" s="10"/>
      <c r="M34" s="10"/>
      <c r="N34" s="10"/>
      <c r="O34" s="10"/>
      <c r="P34" s="10"/>
      <c r="Q34" s="10"/>
      <c r="R34" s="10"/>
      <c r="S34" s="26"/>
      <c r="T34" s="10"/>
      <c r="U34" s="10"/>
      <c r="V34" s="10"/>
      <c r="W34" s="10"/>
      <c r="X34" s="10"/>
      <c r="Y34" s="10"/>
      <c r="Z34" s="10"/>
      <c r="AA34" s="10"/>
      <c r="AB34" s="10"/>
      <c r="AC34" s="10"/>
      <c r="AD34" s="10"/>
      <c r="AE34" s="10"/>
      <c r="AF34" s="10"/>
      <c r="AG34" s="10"/>
      <c r="AH34" s="10"/>
      <c r="AI34" s="10"/>
      <c r="AJ34" s="10"/>
      <c r="AK34" s="10"/>
      <c r="AL34" s="27"/>
      <c r="AM34" s="506"/>
      <c r="AN34" s="507"/>
      <c r="AO34" s="507"/>
      <c r="AP34" s="508"/>
      <c r="AQ34" s="18"/>
      <c r="AR34" s="145"/>
    </row>
    <row r="35" spans="1:44" ht="12" customHeight="1" x14ac:dyDescent="0.2">
      <c r="A35" s="6"/>
      <c r="B35" s="19"/>
      <c r="C35" s="499"/>
      <c r="D35" s="500"/>
      <c r="E35" s="500"/>
      <c r="F35" s="501"/>
      <c r="G35" s="504"/>
      <c r="H35" s="505"/>
      <c r="I35" s="29"/>
      <c r="J35" s="169"/>
      <c r="K35" s="31"/>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28"/>
      <c r="AM35" s="509"/>
      <c r="AN35" s="510"/>
      <c r="AO35" s="510"/>
      <c r="AP35" s="511"/>
      <c r="AQ35" s="18"/>
      <c r="AR35" s="145"/>
    </row>
    <row r="36" spans="1:44" ht="12" customHeight="1" x14ac:dyDescent="0.2">
      <c r="A36" s="6"/>
      <c r="B36" s="19"/>
      <c r="C36" s="496"/>
      <c r="D36" s="497"/>
      <c r="E36" s="497"/>
      <c r="F36" s="498"/>
      <c r="G36" s="502"/>
      <c r="H36" s="503"/>
      <c r="I36" s="23"/>
      <c r="J36" s="24"/>
      <c r="K36" s="25"/>
      <c r="L36" s="10"/>
      <c r="M36" s="10"/>
      <c r="N36" s="10"/>
      <c r="O36" s="10"/>
      <c r="P36" s="10"/>
      <c r="Q36" s="10"/>
      <c r="R36" s="10"/>
      <c r="S36" s="26"/>
      <c r="T36" s="10"/>
      <c r="U36" s="10"/>
      <c r="V36" s="10"/>
      <c r="W36" s="10"/>
      <c r="X36" s="10"/>
      <c r="Y36" s="10"/>
      <c r="Z36" s="10"/>
      <c r="AA36" s="10"/>
      <c r="AB36" s="10"/>
      <c r="AC36" s="10"/>
      <c r="AD36" s="10"/>
      <c r="AE36" s="10"/>
      <c r="AF36" s="10"/>
      <c r="AG36" s="10"/>
      <c r="AH36" s="10"/>
      <c r="AI36" s="10"/>
      <c r="AJ36" s="10"/>
      <c r="AK36" s="10"/>
      <c r="AL36" s="27"/>
      <c r="AM36" s="506"/>
      <c r="AN36" s="507"/>
      <c r="AO36" s="507"/>
      <c r="AP36" s="508"/>
      <c r="AQ36" s="18"/>
      <c r="AR36" s="145"/>
    </row>
    <row r="37" spans="1:44" ht="12" customHeight="1" x14ac:dyDescent="0.2">
      <c r="A37" s="6"/>
      <c r="B37" s="19"/>
      <c r="C37" s="499"/>
      <c r="D37" s="500"/>
      <c r="E37" s="500"/>
      <c r="F37" s="501"/>
      <c r="G37" s="504"/>
      <c r="H37" s="505"/>
      <c r="I37" s="29"/>
      <c r="J37" s="169"/>
      <c r="K37" s="31"/>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28"/>
      <c r="AM37" s="509"/>
      <c r="AN37" s="510"/>
      <c r="AO37" s="510"/>
      <c r="AP37" s="511"/>
      <c r="AQ37" s="18"/>
      <c r="AR37" s="145"/>
    </row>
    <row r="38" spans="1:44" ht="12" customHeight="1" x14ac:dyDescent="0.2">
      <c r="A38" s="6"/>
      <c r="B38" s="19"/>
      <c r="C38" s="496"/>
      <c r="D38" s="497"/>
      <c r="E38" s="497"/>
      <c r="F38" s="498"/>
      <c r="G38" s="502"/>
      <c r="H38" s="503"/>
      <c r="I38" s="23"/>
      <c r="J38" s="24"/>
      <c r="K38" s="25"/>
      <c r="L38" s="10"/>
      <c r="M38" s="10"/>
      <c r="N38" s="10"/>
      <c r="O38" s="10"/>
      <c r="P38" s="10"/>
      <c r="Q38" s="10"/>
      <c r="R38" s="10"/>
      <c r="S38" s="26"/>
      <c r="T38" s="10"/>
      <c r="U38" s="10"/>
      <c r="V38" s="10"/>
      <c r="W38" s="10"/>
      <c r="X38" s="10"/>
      <c r="Y38" s="10"/>
      <c r="Z38" s="10"/>
      <c r="AA38" s="10"/>
      <c r="AB38" s="10"/>
      <c r="AC38" s="10"/>
      <c r="AD38" s="10"/>
      <c r="AE38" s="10"/>
      <c r="AF38" s="10"/>
      <c r="AG38" s="10"/>
      <c r="AH38" s="10"/>
      <c r="AI38" s="10"/>
      <c r="AJ38" s="10"/>
      <c r="AK38" s="10"/>
      <c r="AL38" s="27"/>
      <c r="AM38" s="506"/>
      <c r="AN38" s="507"/>
      <c r="AO38" s="507"/>
      <c r="AP38" s="508"/>
      <c r="AQ38" s="18"/>
      <c r="AR38" s="145"/>
    </row>
    <row r="39" spans="1:44" ht="12" customHeight="1" x14ac:dyDescent="0.2">
      <c r="A39" s="6"/>
      <c r="B39" s="19"/>
      <c r="C39" s="499"/>
      <c r="D39" s="500"/>
      <c r="E39" s="500"/>
      <c r="F39" s="501"/>
      <c r="G39" s="504"/>
      <c r="H39" s="505"/>
      <c r="I39" s="29"/>
      <c r="J39" s="169"/>
      <c r="K39" s="31"/>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28"/>
      <c r="AM39" s="509"/>
      <c r="AN39" s="510"/>
      <c r="AO39" s="510"/>
      <c r="AP39" s="511"/>
      <c r="AQ39" s="18"/>
      <c r="AR39" s="145"/>
    </row>
    <row r="40" spans="1:44" ht="12" customHeight="1" x14ac:dyDescent="0.2">
      <c r="A40" s="6"/>
      <c r="B40" s="19"/>
      <c r="C40" s="496"/>
      <c r="D40" s="497"/>
      <c r="E40" s="497"/>
      <c r="F40" s="498"/>
      <c r="G40" s="502"/>
      <c r="H40" s="503"/>
      <c r="I40" s="23"/>
      <c r="J40" s="24"/>
      <c r="K40" s="25"/>
      <c r="L40" s="10"/>
      <c r="M40" s="10"/>
      <c r="N40" s="10"/>
      <c r="O40" s="10"/>
      <c r="P40" s="10"/>
      <c r="Q40" s="10"/>
      <c r="R40" s="10"/>
      <c r="S40" s="26"/>
      <c r="T40" s="10"/>
      <c r="U40" s="10"/>
      <c r="V40" s="10"/>
      <c r="W40" s="10"/>
      <c r="X40" s="10"/>
      <c r="Y40" s="10"/>
      <c r="Z40" s="10"/>
      <c r="AA40" s="10"/>
      <c r="AB40" s="10"/>
      <c r="AC40" s="10"/>
      <c r="AD40" s="10"/>
      <c r="AE40" s="10"/>
      <c r="AF40" s="10"/>
      <c r="AG40" s="10"/>
      <c r="AH40" s="10"/>
      <c r="AI40" s="10"/>
      <c r="AJ40" s="10"/>
      <c r="AK40" s="10"/>
      <c r="AL40" s="27"/>
      <c r="AM40" s="506"/>
      <c r="AN40" s="507"/>
      <c r="AO40" s="507"/>
      <c r="AP40" s="508"/>
      <c r="AQ40" s="18"/>
      <c r="AR40" s="145"/>
    </row>
    <row r="41" spans="1:44" ht="12" customHeight="1" x14ac:dyDescent="0.2">
      <c r="A41" s="6"/>
      <c r="B41" s="19"/>
      <c r="C41" s="499"/>
      <c r="D41" s="500"/>
      <c r="E41" s="500"/>
      <c r="F41" s="501"/>
      <c r="G41" s="504"/>
      <c r="H41" s="505"/>
      <c r="I41" s="29"/>
      <c r="J41" s="169"/>
      <c r="K41" s="31"/>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28"/>
      <c r="AM41" s="509"/>
      <c r="AN41" s="510"/>
      <c r="AO41" s="510"/>
      <c r="AP41" s="511"/>
      <c r="AQ41" s="18"/>
      <c r="AR41" s="145"/>
    </row>
    <row r="42" spans="1:44" ht="12" customHeight="1" x14ac:dyDescent="0.2">
      <c r="A42" s="6"/>
      <c r="B42" s="19"/>
      <c r="C42" s="496"/>
      <c r="D42" s="497"/>
      <c r="E42" s="497"/>
      <c r="F42" s="498"/>
      <c r="G42" s="502"/>
      <c r="H42" s="503"/>
      <c r="I42" s="23"/>
      <c r="J42" s="24"/>
      <c r="K42" s="25"/>
      <c r="L42" s="10"/>
      <c r="M42" s="10"/>
      <c r="N42" s="10"/>
      <c r="O42" s="10"/>
      <c r="P42" s="10"/>
      <c r="Q42" s="10"/>
      <c r="R42" s="10"/>
      <c r="S42" s="26"/>
      <c r="T42" s="10"/>
      <c r="U42" s="10"/>
      <c r="V42" s="10"/>
      <c r="W42" s="10"/>
      <c r="X42" s="10"/>
      <c r="Y42" s="10"/>
      <c r="Z42" s="10"/>
      <c r="AA42" s="10"/>
      <c r="AB42" s="10"/>
      <c r="AC42" s="10"/>
      <c r="AD42" s="10"/>
      <c r="AE42" s="10"/>
      <c r="AF42" s="10"/>
      <c r="AG42" s="10"/>
      <c r="AH42" s="10"/>
      <c r="AI42" s="10"/>
      <c r="AJ42" s="10"/>
      <c r="AK42" s="10"/>
      <c r="AL42" s="27"/>
      <c r="AM42" s="506"/>
      <c r="AN42" s="507"/>
      <c r="AO42" s="507"/>
      <c r="AP42" s="508"/>
      <c r="AQ42" s="18"/>
      <c r="AR42" s="145"/>
    </row>
    <row r="43" spans="1:44" ht="12" customHeight="1" x14ac:dyDescent="0.2">
      <c r="A43" s="6"/>
      <c r="B43" s="19"/>
      <c r="C43" s="499"/>
      <c r="D43" s="500"/>
      <c r="E43" s="500"/>
      <c r="F43" s="501"/>
      <c r="G43" s="504"/>
      <c r="H43" s="505"/>
      <c r="I43" s="29"/>
      <c r="J43" s="169"/>
      <c r="K43" s="31"/>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28"/>
      <c r="AM43" s="509"/>
      <c r="AN43" s="510"/>
      <c r="AO43" s="510"/>
      <c r="AP43" s="511"/>
      <c r="AQ43" s="18"/>
      <c r="AR43" s="145"/>
    </row>
    <row r="44" spans="1:44" ht="12" customHeight="1" x14ac:dyDescent="0.2">
      <c r="A44" s="6"/>
      <c r="B44" s="36"/>
      <c r="C44" s="14"/>
      <c r="D44" s="14"/>
      <c r="E44" s="14"/>
      <c r="F44" s="14"/>
      <c r="G44" s="13"/>
      <c r="H44" s="13"/>
      <c r="I44" s="34"/>
      <c r="J44" s="13"/>
      <c r="K44" s="13"/>
      <c r="L44" s="13"/>
      <c r="M44" s="13"/>
      <c r="N44" s="13"/>
      <c r="O44" s="13"/>
      <c r="P44" s="13"/>
      <c r="Q44" s="13"/>
      <c r="R44" s="13"/>
      <c r="S44" s="13"/>
      <c r="T44" s="13"/>
      <c r="U44" s="13"/>
      <c r="V44" s="13"/>
      <c r="W44" s="35"/>
      <c r="X44" s="35"/>
      <c r="Y44" s="35"/>
      <c r="Z44" s="13"/>
      <c r="AA44" s="13"/>
      <c r="AB44" s="13"/>
      <c r="AC44" s="13"/>
      <c r="AD44" s="35"/>
      <c r="AE44" s="35"/>
      <c r="AF44" s="13"/>
      <c r="AG44" s="35"/>
      <c r="AH44" s="35"/>
      <c r="AI44" s="35"/>
      <c r="AJ44" s="13"/>
      <c r="AK44" s="13"/>
      <c r="AL44" s="13"/>
      <c r="AM44" s="13"/>
      <c r="AN44" s="13"/>
      <c r="AO44" s="13"/>
      <c r="AP44" s="13"/>
      <c r="AQ44" s="15"/>
      <c r="AR44" s="145"/>
    </row>
    <row r="45" spans="1:44" ht="12" customHeight="1" x14ac:dyDescent="0.2">
      <c r="A45" s="6"/>
      <c r="B45" s="37"/>
      <c r="C45" s="32"/>
      <c r="D45" s="32"/>
      <c r="E45" s="32"/>
      <c r="F45" s="32"/>
      <c r="G45" s="6"/>
      <c r="H45" s="6"/>
      <c r="I45" s="7"/>
      <c r="J45" s="6"/>
      <c r="K45" s="6"/>
      <c r="L45" s="6"/>
      <c r="M45" s="6"/>
      <c r="N45" s="6"/>
      <c r="O45" s="6"/>
      <c r="P45" s="6"/>
      <c r="Q45" s="6"/>
      <c r="R45" s="6"/>
      <c r="S45" s="6"/>
      <c r="T45" s="6"/>
      <c r="U45" s="6"/>
      <c r="V45" s="6"/>
      <c r="W45" s="33"/>
      <c r="X45" s="33"/>
      <c r="Y45" s="33"/>
      <c r="Z45" s="6"/>
      <c r="AA45" s="6"/>
      <c r="AB45" s="6"/>
      <c r="AC45" s="6"/>
      <c r="AD45" s="33"/>
      <c r="AE45" s="33"/>
      <c r="AF45" s="6"/>
      <c r="AG45" s="33"/>
      <c r="AH45" s="33"/>
      <c r="AI45" s="33"/>
      <c r="AJ45" s="6"/>
      <c r="AK45" s="6"/>
      <c r="AL45" s="6"/>
      <c r="AM45" s="6"/>
      <c r="AN45" s="6"/>
      <c r="AO45" s="6"/>
      <c r="AP45" s="6"/>
      <c r="AQ45" s="6"/>
    </row>
    <row r="46" spans="1:44" ht="12" customHeight="1" x14ac:dyDescent="0.2">
      <c r="A46" s="145"/>
      <c r="B46" s="146"/>
      <c r="C46" s="146"/>
      <c r="D46" s="146"/>
      <c r="E46" s="146"/>
      <c r="F46" s="146"/>
      <c r="G46" s="146"/>
      <c r="H46" s="147"/>
      <c r="I46" s="146"/>
      <c r="J46" s="146"/>
      <c r="K46" s="148"/>
      <c r="L46" s="146"/>
      <c r="M46" s="146"/>
      <c r="N46" s="146"/>
      <c r="O46" s="530"/>
      <c r="P46" s="530"/>
      <c r="Q46" s="530"/>
      <c r="R46" s="530"/>
      <c r="S46" s="530"/>
      <c r="T46" s="530"/>
      <c r="U46" s="149"/>
      <c r="V46" s="149"/>
      <c r="W46" s="149"/>
      <c r="X46" s="149"/>
      <c r="Y46" s="149"/>
      <c r="Z46" s="513"/>
      <c r="AA46" s="513"/>
      <c r="AB46" s="513"/>
      <c r="AC46" s="513"/>
      <c r="AD46" s="513"/>
      <c r="AE46" s="513"/>
      <c r="AF46" s="513"/>
      <c r="AG46" s="531"/>
      <c r="AH46" s="531"/>
      <c r="AI46" s="530"/>
      <c r="AJ46" s="530"/>
      <c r="AK46" s="149"/>
      <c r="AL46" s="512"/>
      <c r="AM46" s="512"/>
      <c r="AN46" s="512"/>
      <c r="AO46" s="512"/>
      <c r="AP46" s="145"/>
      <c r="AQ46" s="149"/>
      <c r="AR46" s="145"/>
    </row>
    <row r="47" spans="1:44" ht="12" customHeight="1" x14ac:dyDescent="0.2">
      <c r="A47" s="145"/>
      <c r="B47" s="145"/>
      <c r="C47" s="145"/>
      <c r="D47" s="145"/>
      <c r="E47" s="145"/>
      <c r="F47" s="145"/>
      <c r="G47" s="145"/>
      <c r="H47" s="150"/>
      <c r="I47" s="145"/>
      <c r="J47" s="145"/>
      <c r="K47" s="151"/>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row>
    <row r="48" spans="1:44" ht="12" customHeight="1" x14ac:dyDescent="0.2">
      <c r="A48" s="145"/>
      <c r="B48" s="151"/>
      <c r="C48" s="151"/>
      <c r="D48" s="151"/>
      <c r="E48" s="151"/>
      <c r="F48" s="151"/>
      <c r="G48" s="151"/>
      <c r="H48" s="152"/>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45"/>
    </row>
    <row r="49" spans="1:44" ht="12" customHeight="1" x14ac:dyDescent="0.2">
      <c r="A49" s="145"/>
      <c r="B49" s="151"/>
      <c r="C49" s="153"/>
      <c r="D49" s="148"/>
      <c r="E49" s="151"/>
      <c r="F49" s="151"/>
      <c r="G49" s="151"/>
      <c r="H49" s="152"/>
      <c r="I49" s="151"/>
      <c r="J49" s="151"/>
      <c r="K49" s="151"/>
      <c r="L49" s="151"/>
      <c r="M49" s="151"/>
      <c r="N49" s="151"/>
      <c r="O49" s="151"/>
      <c r="P49" s="145"/>
      <c r="Q49" s="151"/>
      <c r="R49" s="145"/>
      <c r="S49" s="151"/>
      <c r="T49" s="145"/>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45"/>
    </row>
    <row r="50" spans="1:44" ht="12" customHeight="1" x14ac:dyDescent="0.2">
      <c r="A50" s="145"/>
      <c r="B50" s="151"/>
      <c r="C50" s="151"/>
      <c r="D50" s="151"/>
      <c r="E50" s="151"/>
      <c r="F50" s="151"/>
      <c r="G50" s="151"/>
      <c r="H50" s="152"/>
      <c r="I50" s="151"/>
      <c r="J50" s="151"/>
      <c r="K50" s="151"/>
      <c r="L50" s="151"/>
      <c r="M50" s="151"/>
      <c r="N50" s="151"/>
      <c r="O50" s="151"/>
      <c r="P50" s="145"/>
      <c r="Q50" s="151"/>
      <c r="R50" s="145"/>
      <c r="S50" s="151"/>
      <c r="T50" s="145"/>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145"/>
    </row>
    <row r="51" spans="1:44" ht="12" customHeight="1" x14ac:dyDescent="0.2">
      <c r="A51" s="145"/>
      <c r="B51" s="151"/>
      <c r="C51" s="153"/>
      <c r="D51" s="151"/>
      <c r="E51" s="151"/>
      <c r="F51" s="151"/>
      <c r="G51" s="151"/>
      <c r="H51" s="152"/>
      <c r="I51" s="151"/>
      <c r="J51" s="151"/>
      <c r="K51" s="151"/>
      <c r="L51" s="151"/>
      <c r="M51" s="151"/>
      <c r="N51" s="151"/>
      <c r="O51" s="151"/>
      <c r="P51" s="145"/>
      <c r="Q51" s="151"/>
      <c r="R51" s="145"/>
      <c r="S51" s="151"/>
      <c r="T51" s="145"/>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145"/>
    </row>
    <row r="52" spans="1:44" ht="12" customHeight="1" x14ac:dyDescent="0.2">
      <c r="A52" s="145"/>
      <c r="B52" s="151"/>
      <c r="C52" s="151"/>
      <c r="D52" s="151"/>
      <c r="E52" s="151"/>
      <c r="F52" s="145"/>
      <c r="G52" s="145"/>
      <c r="H52" s="152"/>
      <c r="I52" s="151"/>
      <c r="J52" s="151"/>
      <c r="K52" s="151"/>
      <c r="L52" s="151"/>
      <c r="M52" s="151"/>
      <c r="N52" s="151"/>
      <c r="O52" s="151"/>
      <c r="P52" s="151"/>
      <c r="Q52" s="151"/>
      <c r="R52" s="151"/>
      <c r="S52" s="151"/>
      <c r="T52" s="151"/>
      <c r="U52" s="145"/>
      <c r="V52" s="151"/>
      <c r="W52" s="145"/>
      <c r="X52" s="151"/>
      <c r="Y52" s="151"/>
      <c r="Z52" s="151"/>
      <c r="AA52" s="151"/>
      <c r="AB52" s="151"/>
      <c r="AC52" s="151"/>
      <c r="AD52" s="151"/>
      <c r="AE52" s="151"/>
      <c r="AF52" s="151"/>
      <c r="AG52" s="151"/>
      <c r="AH52" s="151"/>
      <c r="AI52" s="151"/>
      <c r="AJ52" s="151"/>
      <c r="AK52" s="151"/>
      <c r="AL52" s="151"/>
      <c r="AM52" s="151"/>
      <c r="AN52" s="151"/>
      <c r="AO52" s="151"/>
      <c r="AP52" s="151"/>
      <c r="AQ52" s="151"/>
      <c r="AR52" s="145"/>
    </row>
    <row r="53" spans="1:44" ht="12" customHeight="1" x14ac:dyDescent="0.2">
      <c r="A53" s="145"/>
      <c r="B53" s="151"/>
      <c r="C53" s="151"/>
      <c r="D53" s="151"/>
      <c r="E53" s="151"/>
      <c r="F53" s="151"/>
      <c r="G53" s="151"/>
      <c r="H53" s="152"/>
      <c r="I53" s="151"/>
      <c r="J53" s="151"/>
      <c r="K53" s="151"/>
      <c r="L53" s="151"/>
      <c r="M53" s="151"/>
      <c r="N53" s="151"/>
      <c r="O53" s="151"/>
      <c r="P53" s="151"/>
      <c r="Q53" s="151"/>
      <c r="R53" s="154"/>
      <c r="S53" s="151"/>
      <c r="T53" s="151"/>
      <c r="U53" s="145"/>
      <c r="V53" s="151"/>
      <c r="W53" s="145"/>
      <c r="X53" s="151"/>
      <c r="Y53" s="151"/>
      <c r="Z53" s="151"/>
      <c r="AA53" s="151"/>
      <c r="AB53" s="151"/>
      <c r="AC53" s="151"/>
      <c r="AD53" s="151"/>
      <c r="AE53" s="151"/>
      <c r="AF53" s="151"/>
      <c r="AG53" s="151"/>
      <c r="AH53" s="151"/>
      <c r="AI53" s="151"/>
      <c r="AJ53" s="151"/>
      <c r="AK53" s="151"/>
      <c r="AL53" s="151"/>
      <c r="AM53" s="151"/>
      <c r="AN53" s="151"/>
      <c r="AO53" s="151"/>
      <c r="AP53" s="151"/>
      <c r="AQ53" s="151"/>
      <c r="AR53" s="145"/>
    </row>
    <row r="54" spans="1:44" ht="12" customHeight="1" x14ac:dyDescent="0.2">
      <c r="A54" s="145"/>
      <c r="B54" s="151"/>
      <c r="C54" s="151"/>
      <c r="D54" s="151"/>
      <c r="E54" s="151"/>
      <c r="F54" s="145"/>
      <c r="G54" s="149"/>
      <c r="H54" s="155"/>
      <c r="I54" s="149"/>
      <c r="J54" s="149"/>
      <c r="K54" s="151"/>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5"/>
      <c r="AO54" s="145"/>
      <c r="AP54" s="151"/>
      <c r="AQ54" s="151"/>
      <c r="AR54" s="145"/>
    </row>
    <row r="55" spans="1:44" ht="12" customHeight="1" x14ac:dyDescent="0.2">
      <c r="A55" s="145"/>
      <c r="B55" s="151"/>
      <c r="C55" s="151"/>
      <c r="D55" s="151"/>
      <c r="E55" s="151"/>
      <c r="F55" s="156"/>
      <c r="G55" s="149"/>
      <c r="H55" s="155"/>
      <c r="I55" s="149"/>
      <c r="J55" s="149"/>
      <c r="K55" s="151"/>
      <c r="L55" s="149"/>
      <c r="M55" s="149"/>
      <c r="N55" s="149"/>
      <c r="O55" s="149"/>
      <c r="P55" s="149"/>
      <c r="Q55" s="149"/>
      <c r="R55" s="149"/>
      <c r="S55" s="149"/>
      <c r="T55" s="149"/>
      <c r="U55" s="149"/>
      <c r="V55" s="149"/>
      <c r="W55" s="149"/>
      <c r="X55" s="149"/>
      <c r="Y55" s="149"/>
      <c r="Z55" s="149"/>
      <c r="AA55" s="149"/>
      <c r="AB55" s="149"/>
      <c r="AC55" s="149"/>
      <c r="AD55" s="149"/>
      <c r="AE55" s="149"/>
      <c r="AF55" s="149"/>
      <c r="AG55" s="149"/>
      <c r="AH55" s="149"/>
      <c r="AI55" s="149"/>
      <c r="AJ55" s="149"/>
      <c r="AK55" s="149"/>
      <c r="AL55" s="149"/>
      <c r="AM55" s="149"/>
      <c r="AN55" s="145"/>
      <c r="AO55" s="145"/>
      <c r="AP55" s="151"/>
      <c r="AQ55" s="151"/>
      <c r="AR55" s="145"/>
    </row>
    <row r="56" spans="1:44" ht="12" customHeight="1" x14ac:dyDescent="0.2">
      <c r="A56" s="145"/>
      <c r="B56" s="151"/>
      <c r="C56" s="151"/>
      <c r="D56" s="151"/>
      <c r="E56" s="145"/>
      <c r="F56" s="145"/>
      <c r="G56" s="145"/>
      <c r="H56" s="150"/>
      <c r="I56" s="145"/>
      <c r="J56" s="151"/>
      <c r="K56" s="151"/>
      <c r="L56" s="151"/>
      <c r="M56" s="151"/>
      <c r="N56" s="151"/>
      <c r="O56" s="151"/>
      <c r="P56" s="151"/>
      <c r="Q56" s="151"/>
      <c r="R56" s="151"/>
      <c r="S56" s="151"/>
      <c r="T56" s="151"/>
      <c r="U56" s="154"/>
      <c r="V56" s="151"/>
      <c r="W56" s="151"/>
      <c r="X56" s="151"/>
      <c r="Y56" s="145"/>
      <c r="Z56" s="145"/>
      <c r="AA56" s="151"/>
      <c r="AB56" s="151"/>
      <c r="AC56" s="151"/>
      <c r="AD56" s="151"/>
      <c r="AE56" s="151"/>
      <c r="AF56" s="145"/>
      <c r="AG56" s="151"/>
      <c r="AH56" s="151"/>
      <c r="AI56" s="151"/>
      <c r="AJ56" s="151"/>
      <c r="AK56" s="151"/>
      <c r="AL56" s="151"/>
      <c r="AM56" s="145"/>
      <c r="AN56" s="145"/>
      <c r="AO56" s="145"/>
      <c r="AP56" s="145"/>
      <c r="AQ56" s="151"/>
      <c r="AR56" s="145"/>
    </row>
    <row r="57" spans="1:44" ht="12" customHeight="1" x14ac:dyDescent="0.2">
      <c r="A57" s="145"/>
      <c r="B57" s="151"/>
      <c r="C57" s="145"/>
      <c r="D57" s="145"/>
      <c r="E57" s="145"/>
      <c r="F57" s="145"/>
      <c r="G57" s="145"/>
      <c r="H57" s="150"/>
      <c r="I57" s="145"/>
      <c r="J57" s="151"/>
      <c r="K57" s="151"/>
      <c r="L57" s="151"/>
      <c r="M57" s="151"/>
      <c r="N57" s="151"/>
      <c r="O57" s="151"/>
      <c r="P57" s="151"/>
      <c r="Q57" s="151"/>
      <c r="R57" s="151"/>
      <c r="S57" s="151"/>
      <c r="T57" s="151"/>
      <c r="U57" s="151"/>
      <c r="V57" s="151"/>
      <c r="W57" s="151"/>
      <c r="X57" s="151"/>
      <c r="Y57" s="145"/>
      <c r="Z57" s="145"/>
      <c r="AA57" s="151"/>
      <c r="AB57" s="151"/>
      <c r="AC57" s="151"/>
      <c r="AD57" s="151"/>
      <c r="AE57" s="151"/>
      <c r="AF57" s="145"/>
      <c r="AG57" s="151"/>
      <c r="AH57" s="151"/>
      <c r="AI57" s="151"/>
      <c r="AJ57" s="151"/>
      <c r="AK57" s="151"/>
      <c r="AL57" s="151"/>
      <c r="AM57" s="145"/>
      <c r="AN57" s="145"/>
      <c r="AO57" s="145"/>
      <c r="AP57" s="151"/>
      <c r="AQ57" s="151"/>
      <c r="AR57" s="145"/>
    </row>
    <row r="58" spans="1:44" ht="12" customHeight="1" x14ac:dyDescent="0.2">
      <c r="A58" s="145"/>
      <c r="B58" s="151"/>
      <c r="C58" s="145"/>
      <c r="D58" s="145"/>
      <c r="E58" s="145"/>
      <c r="F58" s="145"/>
      <c r="G58" s="145"/>
      <c r="H58" s="150"/>
      <c r="I58" s="145"/>
      <c r="J58" s="151"/>
      <c r="K58" s="151"/>
      <c r="L58" s="151"/>
      <c r="M58" s="151"/>
      <c r="N58" s="151"/>
      <c r="O58" s="151"/>
      <c r="P58" s="151"/>
      <c r="Q58" s="151"/>
      <c r="R58" s="151"/>
      <c r="S58" s="151"/>
      <c r="T58" s="151"/>
      <c r="U58" s="151"/>
      <c r="V58" s="151"/>
      <c r="W58" s="151"/>
      <c r="X58" s="151"/>
      <c r="Y58" s="145"/>
      <c r="Z58" s="145"/>
      <c r="AA58" s="151"/>
      <c r="AB58" s="151"/>
      <c r="AC58" s="157"/>
      <c r="AD58" s="157"/>
      <c r="AE58" s="157"/>
      <c r="AF58" s="158"/>
      <c r="AG58" s="157"/>
      <c r="AH58" s="157"/>
      <c r="AI58" s="157"/>
      <c r="AJ58" s="157"/>
      <c r="AK58" s="157"/>
      <c r="AL58" s="157"/>
      <c r="AM58" s="158"/>
      <c r="AN58" s="145"/>
      <c r="AO58" s="145"/>
      <c r="AP58" s="151"/>
      <c r="AQ58" s="151"/>
      <c r="AR58" s="145"/>
    </row>
    <row r="59" spans="1:44" ht="12" customHeight="1" x14ac:dyDescent="0.2">
      <c r="A59" s="145"/>
      <c r="B59" s="151"/>
      <c r="C59" s="151"/>
      <c r="D59" s="151"/>
      <c r="E59" s="151"/>
      <c r="F59" s="145"/>
      <c r="G59" s="145"/>
      <c r="H59" s="150"/>
      <c r="I59" s="145"/>
      <c r="J59" s="151"/>
      <c r="K59" s="151"/>
      <c r="L59" s="153"/>
      <c r="M59" s="151"/>
      <c r="N59" s="151"/>
      <c r="O59" s="151"/>
      <c r="P59" s="151"/>
      <c r="Q59" s="151"/>
      <c r="R59" s="151"/>
      <c r="S59" s="151"/>
      <c r="T59" s="151"/>
      <c r="U59" s="151"/>
      <c r="V59" s="151"/>
      <c r="W59" s="151"/>
      <c r="X59" s="151"/>
      <c r="Y59" s="145"/>
      <c r="Z59" s="145"/>
      <c r="AA59" s="151"/>
      <c r="AB59" s="151"/>
      <c r="AC59" s="151"/>
      <c r="AD59" s="151"/>
      <c r="AE59" s="151"/>
      <c r="AF59" s="145"/>
      <c r="AG59" s="151"/>
      <c r="AH59" s="151"/>
      <c r="AI59" s="151"/>
      <c r="AJ59" s="151"/>
      <c r="AK59" s="151"/>
      <c r="AL59" s="151"/>
      <c r="AM59" s="145"/>
      <c r="AN59" s="145"/>
      <c r="AO59" s="145"/>
      <c r="AP59" s="151"/>
      <c r="AQ59" s="151"/>
      <c r="AR59" s="145"/>
    </row>
    <row r="60" spans="1:44" ht="12" customHeight="1" x14ac:dyDescent="0.2">
      <c r="A60" s="145"/>
      <c r="B60" s="151"/>
      <c r="C60" s="151"/>
      <c r="D60" s="151"/>
      <c r="E60" s="151"/>
      <c r="F60" s="145"/>
      <c r="G60" s="145"/>
      <c r="H60" s="150"/>
      <c r="I60" s="145"/>
      <c r="J60" s="151"/>
      <c r="K60" s="151"/>
      <c r="L60" s="151"/>
      <c r="M60" s="151"/>
      <c r="N60" s="151"/>
      <c r="O60" s="151"/>
      <c r="P60" s="151"/>
      <c r="Q60" s="151"/>
      <c r="R60" s="151"/>
      <c r="S60" s="151"/>
      <c r="T60" s="151"/>
      <c r="U60" s="154"/>
      <c r="V60" s="151"/>
      <c r="W60" s="151"/>
      <c r="X60" s="151"/>
      <c r="Y60" s="145"/>
      <c r="Z60" s="145"/>
      <c r="AA60" s="151"/>
      <c r="AB60" s="151"/>
      <c r="AC60" s="151"/>
      <c r="AD60" s="151"/>
      <c r="AE60" s="151"/>
      <c r="AF60" s="145"/>
      <c r="AG60" s="151"/>
      <c r="AH60" s="151"/>
      <c r="AI60" s="151"/>
      <c r="AJ60" s="151"/>
      <c r="AK60" s="151"/>
      <c r="AL60" s="151"/>
      <c r="AM60" s="145"/>
      <c r="AN60" s="145"/>
      <c r="AO60" s="145"/>
      <c r="AP60" s="151"/>
      <c r="AQ60" s="151"/>
      <c r="AR60" s="145"/>
    </row>
    <row r="61" spans="1:44" ht="12" customHeight="1" x14ac:dyDescent="0.2">
      <c r="A61" s="145"/>
      <c r="B61" s="151"/>
      <c r="C61" s="151"/>
      <c r="D61" s="151"/>
      <c r="E61" s="151"/>
      <c r="F61" s="145"/>
      <c r="G61" s="145"/>
      <c r="H61" s="150"/>
      <c r="I61" s="145"/>
      <c r="J61" s="151"/>
      <c r="K61" s="151"/>
      <c r="L61" s="151"/>
      <c r="M61" s="151"/>
      <c r="N61" s="151"/>
      <c r="O61" s="151"/>
      <c r="P61" s="151"/>
      <c r="Q61" s="151"/>
      <c r="R61" s="151"/>
      <c r="S61" s="151"/>
      <c r="T61" s="151"/>
      <c r="U61" s="151"/>
      <c r="V61" s="151"/>
      <c r="W61" s="151"/>
      <c r="X61" s="151"/>
      <c r="Y61" s="145"/>
      <c r="Z61" s="145"/>
      <c r="AA61" s="151"/>
      <c r="AB61" s="151"/>
      <c r="AC61" s="151"/>
      <c r="AD61" s="151"/>
      <c r="AE61" s="151"/>
      <c r="AF61" s="145"/>
      <c r="AG61" s="151"/>
      <c r="AH61" s="151"/>
      <c r="AI61" s="151"/>
      <c r="AJ61" s="151"/>
      <c r="AK61" s="151"/>
      <c r="AL61" s="151"/>
      <c r="AM61" s="145"/>
      <c r="AN61" s="145"/>
      <c r="AO61" s="145"/>
      <c r="AP61" s="151"/>
      <c r="AQ61" s="151"/>
      <c r="AR61" s="145"/>
    </row>
    <row r="62" spans="1:44" ht="12" customHeight="1" x14ac:dyDescent="0.2">
      <c r="A62" s="145"/>
      <c r="B62" s="151"/>
      <c r="C62" s="151"/>
      <c r="D62" s="151"/>
      <c r="E62" s="151"/>
      <c r="F62" s="145"/>
      <c r="G62" s="145"/>
      <c r="H62" s="150"/>
      <c r="I62" s="145"/>
      <c r="J62" s="151"/>
      <c r="K62" s="151"/>
      <c r="L62" s="151"/>
      <c r="M62" s="151"/>
      <c r="N62" s="151"/>
      <c r="O62" s="151"/>
      <c r="P62" s="151"/>
      <c r="Q62" s="151"/>
      <c r="R62" s="151"/>
      <c r="S62" s="151"/>
      <c r="T62" s="151"/>
      <c r="U62" s="151"/>
      <c r="V62" s="151"/>
      <c r="W62" s="151"/>
      <c r="X62" s="151"/>
      <c r="Y62" s="145"/>
      <c r="Z62" s="145"/>
      <c r="AA62" s="151"/>
      <c r="AB62" s="151"/>
      <c r="AC62" s="157"/>
      <c r="AD62" s="157"/>
      <c r="AE62" s="157"/>
      <c r="AF62" s="158"/>
      <c r="AG62" s="151"/>
      <c r="AH62" s="157"/>
      <c r="AI62" s="157"/>
      <c r="AJ62" s="157"/>
      <c r="AK62" s="157"/>
      <c r="AL62" s="157"/>
      <c r="AM62" s="158"/>
      <c r="AN62" s="145"/>
      <c r="AO62" s="145"/>
      <c r="AP62" s="151"/>
      <c r="AQ62" s="151"/>
      <c r="AR62" s="145"/>
    </row>
    <row r="63" spans="1:44" ht="12" customHeight="1" x14ac:dyDescent="0.2">
      <c r="A63" s="145"/>
      <c r="B63" s="151"/>
      <c r="C63" s="145"/>
      <c r="D63" s="145"/>
      <c r="E63" s="151"/>
      <c r="F63" s="151"/>
      <c r="G63" s="145"/>
      <c r="H63" s="150"/>
      <c r="I63" s="145"/>
      <c r="J63" s="151"/>
      <c r="K63" s="151"/>
      <c r="L63" s="151"/>
      <c r="M63" s="151"/>
      <c r="N63" s="151"/>
      <c r="O63" s="151"/>
      <c r="P63" s="151"/>
      <c r="Q63" s="151"/>
      <c r="R63" s="151"/>
      <c r="S63" s="151"/>
      <c r="T63" s="151"/>
      <c r="U63" s="151"/>
      <c r="V63" s="151"/>
      <c r="W63" s="151"/>
      <c r="X63" s="151"/>
      <c r="Y63" s="145"/>
      <c r="Z63" s="145"/>
      <c r="AA63" s="151"/>
      <c r="AB63" s="151"/>
      <c r="AC63" s="157"/>
      <c r="AD63" s="157"/>
      <c r="AE63" s="157"/>
      <c r="AF63" s="158"/>
      <c r="AG63" s="151"/>
      <c r="AH63" s="157"/>
      <c r="AI63" s="157"/>
      <c r="AJ63" s="157"/>
      <c r="AK63" s="157"/>
      <c r="AL63" s="157"/>
      <c r="AM63" s="158"/>
      <c r="AN63" s="145"/>
      <c r="AO63" s="145"/>
      <c r="AP63" s="151"/>
      <c r="AQ63" s="151"/>
      <c r="AR63" s="145"/>
    </row>
    <row r="64" spans="1:44" ht="12" customHeight="1" x14ac:dyDescent="0.2">
      <c r="A64" s="145"/>
      <c r="B64" s="151"/>
      <c r="C64" s="145"/>
      <c r="D64" s="145"/>
      <c r="E64" s="151"/>
      <c r="F64" s="145"/>
      <c r="G64" s="145"/>
      <c r="H64" s="150"/>
      <c r="I64" s="145"/>
      <c r="J64" s="151"/>
      <c r="K64" s="151"/>
      <c r="L64" s="151"/>
      <c r="M64" s="151"/>
      <c r="N64" s="151"/>
      <c r="O64" s="151"/>
      <c r="P64" s="151"/>
      <c r="Q64" s="151"/>
      <c r="R64" s="151"/>
      <c r="S64" s="151"/>
      <c r="T64" s="151"/>
      <c r="U64" s="151"/>
      <c r="V64" s="151"/>
      <c r="W64" s="151"/>
      <c r="X64" s="151"/>
      <c r="Y64" s="145"/>
      <c r="Z64" s="145"/>
      <c r="AA64" s="151"/>
      <c r="AB64" s="151"/>
      <c r="AC64" s="151"/>
      <c r="AD64" s="151"/>
      <c r="AE64" s="151"/>
      <c r="AF64" s="145"/>
      <c r="AG64" s="151"/>
      <c r="AH64" s="151"/>
      <c r="AI64" s="151"/>
      <c r="AJ64" s="151"/>
      <c r="AK64" s="151"/>
      <c r="AL64" s="151"/>
      <c r="AM64" s="145"/>
      <c r="AN64" s="145"/>
      <c r="AO64" s="151"/>
      <c r="AP64" s="145"/>
      <c r="AQ64" s="151"/>
      <c r="AR64" s="145"/>
    </row>
    <row r="65" spans="1:44" ht="12" customHeight="1" x14ac:dyDescent="0.2">
      <c r="A65" s="145"/>
      <c r="B65" s="151"/>
      <c r="C65" s="151"/>
      <c r="D65" s="145"/>
      <c r="E65" s="151"/>
      <c r="F65" s="151"/>
      <c r="G65" s="145"/>
      <c r="H65" s="150"/>
      <c r="I65" s="145"/>
      <c r="J65" s="151"/>
      <c r="K65" s="151"/>
      <c r="L65" s="151"/>
      <c r="M65" s="151"/>
      <c r="N65" s="151"/>
      <c r="O65" s="151"/>
      <c r="P65" s="151"/>
      <c r="Q65" s="151"/>
      <c r="R65" s="151"/>
      <c r="S65" s="151"/>
      <c r="T65" s="151"/>
      <c r="U65" s="151"/>
      <c r="V65" s="151"/>
      <c r="W65" s="151"/>
      <c r="X65" s="151"/>
      <c r="Y65" s="145"/>
      <c r="Z65" s="145"/>
      <c r="AA65" s="151"/>
      <c r="AB65" s="151"/>
      <c r="AC65" s="151"/>
      <c r="AD65" s="151"/>
      <c r="AE65" s="151"/>
      <c r="AF65" s="145"/>
      <c r="AG65" s="151"/>
      <c r="AH65" s="151"/>
      <c r="AI65" s="151"/>
      <c r="AJ65" s="151"/>
      <c r="AK65" s="151"/>
      <c r="AL65" s="151"/>
      <c r="AM65" s="145"/>
      <c r="AN65" s="145"/>
      <c r="AO65" s="151"/>
      <c r="AP65" s="145"/>
      <c r="AQ65" s="151"/>
      <c r="AR65" s="145"/>
    </row>
    <row r="66" spans="1:44" ht="12" customHeight="1" x14ac:dyDescent="0.2">
      <c r="A66" s="145"/>
      <c r="B66" s="151"/>
      <c r="C66" s="151"/>
      <c r="D66" s="151"/>
      <c r="E66" s="145"/>
      <c r="F66" s="145"/>
      <c r="G66" s="145"/>
      <c r="H66" s="150"/>
      <c r="I66" s="145"/>
      <c r="J66" s="145"/>
      <c r="K66" s="151"/>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51"/>
      <c r="AO66" s="151"/>
      <c r="AP66" s="151"/>
      <c r="AQ66" s="151"/>
      <c r="AR66" s="145"/>
    </row>
    <row r="67" spans="1:44" ht="12" customHeight="1" x14ac:dyDescent="0.2">
      <c r="B67" s="38"/>
      <c r="C67" s="38"/>
      <c r="E67" s="38"/>
      <c r="AO67" s="38"/>
      <c r="AQ67" s="38"/>
    </row>
    <row r="68" spans="1:44" ht="12" customHeight="1" x14ac:dyDescent="0.2">
      <c r="B68" s="38"/>
      <c r="C68" s="38"/>
      <c r="E68" s="38"/>
      <c r="AO68" s="38"/>
      <c r="AQ68" s="38"/>
    </row>
    <row r="69" spans="1:44" ht="12" customHeight="1" x14ac:dyDescent="0.2">
      <c r="B69" s="38"/>
      <c r="C69" s="38"/>
      <c r="AO69" s="38"/>
      <c r="AQ69" s="38"/>
    </row>
    <row r="70" spans="1:44" ht="12" customHeight="1" x14ac:dyDescent="0.2">
      <c r="B70" s="38"/>
      <c r="C70" s="38"/>
      <c r="AO70" s="38"/>
      <c r="AQ70" s="38"/>
    </row>
    <row r="71" spans="1:44" ht="12" customHeight="1" x14ac:dyDescent="0.2">
      <c r="B71" s="38"/>
      <c r="C71" s="38"/>
      <c r="I71" s="41"/>
      <c r="K71" s="42"/>
      <c r="L71" s="41"/>
      <c r="M71" s="41"/>
      <c r="N71" s="41"/>
      <c r="O71" s="41"/>
      <c r="R71" s="43"/>
      <c r="X71" s="38"/>
      <c r="Y71" s="38"/>
      <c r="Z71" s="38"/>
      <c r="AA71" s="38"/>
      <c r="AB71" s="38"/>
      <c r="AC71" s="38"/>
      <c r="AD71" s="38"/>
      <c r="AE71" s="38"/>
      <c r="AF71" s="38"/>
      <c r="AG71" s="38"/>
      <c r="AH71" s="38"/>
      <c r="AI71" s="38"/>
      <c r="AJ71" s="38"/>
      <c r="AK71" s="38"/>
      <c r="AL71" s="38"/>
      <c r="AQ71" s="38"/>
    </row>
    <row r="72" spans="1:44" ht="12" customHeight="1" x14ac:dyDescent="0.2">
      <c r="B72" s="38"/>
      <c r="C72" s="38"/>
      <c r="AK72" s="38"/>
      <c r="AL72" s="38"/>
      <c r="AQ72" s="38"/>
    </row>
    <row r="73" spans="1:44" ht="12" customHeight="1" x14ac:dyDescent="0.4">
      <c r="B73" s="38"/>
      <c r="C73" s="38"/>
      <c r="H73" s="44"/>
      <c r="I73" s="45"/>
      <c r="J73" s="45"/>
      <c r="K73" s="46"/>
      <c r="AK73" s="38"/>
      <c r="AL73" s="38"/>
      <c r="AM73" s="38"/>
      <c r="AN73" s="38"/>
      <c r="AO73" s="38"/>
      <c r="AP73" s="38"/>
      <c r="AQ73" s="38"/>
    </row>
    <row r="74" spans="1:44" ht="12" customHeight="1" x14ac:dyDescent="0.4">
      <c r="B74" s="38"/>
      <c r="C74" s="38"/>
      <c r="D74" s="38"/>
      <c r="H74" s="44"/>
      <c r="I74" s="47"/>
      <c r="J74" s="47"/>
      <c r="K74" s="46"/>
      <c r="L74" s="47"/>
      <c r="M74" s="47"/>
      <c r="N74" s="47"/>
      <c r="O74" s="47"/>
      <c r="P74" s="47"/>
      <c r="Q74" s="47"/>
      <c r="AA74" s="43"/>
      <c r="AB74" s="38"/>
      <c r="AK74" s="38"/>
      <c r="AL74" s="38"/>
      <c r="AM74" s="38"/>
      <c r="AN74" s="38"/>
      <c r="AO74" s="38"/>
      <c r="AP74" s="38"/>
      <c r="AQ74" s="38"/>
    </row>
    <row r="75" spans="1:44" ht="12" customHeight="1" x14ac:dyDescent="0.4">
      <c r="B75" s="38"/>
      <c r="C75" s="38"/>
      <c r="D75" s="38"/>
      <c r="H75" s="44"/>
      <c r="I75" s="47"/>
      <c r="J75" s="47"/>
      <c r="K75" s="46"/>
      <c r="L75" s="47"/>
      <c r="M75" s="47"/>
      <c r="N75" s="47"/>
      <c r="O75" s="47"/>
      <c r="P75" s="47"/>
      <c r="Q75" s="47"/>
      <c r="AA75" s="43"/>
      <c r="AB75" s="38"/>
      <c r="AK75" s="38"/>
      <c r="AL75" s="38"/>
      <c r="AM75" s="38"/>
      <c r="AN75" s="38"/>
      <c r="AO75" s="38"/>
      <c r="AP75" s="38"/>
      <c r="AQ75" s="38"/>
    </row>
    <row r="76" spans="1:44" ht="12" customHeight="1" x14ac:dyDescent="0.4">
      <c r="B76" s="38"/>
      <c r="C76" s="38"/>
      <c r="D76" s="38"/>
      <c r="H76" s="44"/>
      <c r="I76" s="47"/>
      <c r="J76" s="47"/>
      <c r="K76" s="46"/>
      <c r="L76" s="47"/>
      <c r="M76" s="47"/>
      <c r="N76" s="47"/>
      <c r="O76" s="47"/>
      <c r="P76" s="47"/>
      <c r="Q76" s="47"/>
      <c r="AA76" s="43"/>
      <c r="AB76" s="38"/>
      <c r="AK76" s="38"/>
      <c r="AL76" s="38"/>
      <c r="AM76" s="38"/>
      <c r="AN76" s="38"/>
      <c r="AO76" s="38"/>
      <c r="AP76" s="38"/>
      <c r="AQ76" s="38"/>
    </row>
    <row r="77" spans="1:44" ht="12" customHeight="1" x14ac:dyDescent="0.4">
      <c r="B77" s="38"/>
      <c r="C77" s="38"/>
      <c r="D77" s="38"/>
      <c r="H77" s="44"/>
      <c r="I77" s="47"/>
      <c r="J77" s="47"/>
      <c r="K77" s="46"/>
      <c r="L77" s="47"/>
      <c r="M77" s="47"/>
      <c r="N77" s="47"/>
      <c r="O77" s="47"/>
      <c r="P77" s="47"/>
      <c r="Q77" s="47"/>
      <c r="AA77" s="43"/>
      <c r="AB77" s="38"/>
      <c r="AK77" s="38"/>
      <c r="AL77" s="38"/>
      <c r="AM77" s="38"/>
      <c r="AN77" s="38"/>
      <c r="AO77" s="38"/>
      <c r="AP77" s="38"/>
      <c r="AQ77" s="38"/>
    </row>
    <row r="78" spans="1:44" ht="12" customHeight="1" x14ac:dyDescent="0.4">
      <c r="B78" s="38"/>
      <c r="C78" s="38"/>
      <c r="D78" s="38"/>
      <c r="H78" s="44"/>
      <c r="I78" s="47"/>
      <c r="J78" s="47"/>
      <c r="K78" s="46"/>
      <c r="L78" s="47"/>
      <c r="M78" s="47"/>
      <c r="N78" s="47"/>
      <c r="O78" s="47"/>
      <c r="P78" s="47"/>
      <c r="Q78" s="47"/>
      <c r="AA78" s="43"/>
      <c r="AB78" s="38"/>
      <c r="AK78" s="38"/>
      <c r="AL78" s="38"/>
      <c r="AM78" s="38"/>
      <c r="AN78" s="38"/>
      <c r="AO78" s="38"/>
      <c r="AP78" s="38"/>
      <c r="AQ78" s="38"/>
    </row>
    <row r="79" spans="1:44" ht="12" customHeight="1" x14ac:dyDescent="0.4">
      <c r="B79" s="38"/>
      <c r="C79" s="38"/>
      <c r="D79" s="38"/>
      <c r="H79" s="44"/>
      <c r="I79" s="47"/>
      <c r="J79" s="47"/>
      <c r="K79" s="46"/>
      <c r="L79" s="47"/>
      <c r="M79" s="47"/>
      <c r="N79" s="47"/>
      <c r="O79" s="47"/>
      <c r="P79" s="47"/>
      <c r="Q79" s="47"/>
      <c r="AA79" s="43"/>
      <c r="AB79" s="38"/>
      <c r="AK79" s="38"/>
      <c r="AL79" s="38"/>
      <c r="AM79" s="38"/>
      <c r="AN79" s="38"/>
      <c r="AO79" s="38"/>
      <c r="AP79" s="38"/>
      <c r="AQ79" s="38"/>
    </row>
    <row r="80" spans="1:44" ht="12" customHeight="1" x14ac:dyDescent="0.4">
      <c r="B80" s="38"/>
      <c r="C80" s="38"/>
      <c r="D80" s="38"/>
      <c r="H80" s="44"/>
      <c r="I80" s="47"/>
      <c r="J80" s="47"/>
      <c r="K80" s="46"/>
      <c r="L80" s="47"/>
      <c r="M80" s="47"/>
      <c r="N80" s="47"/>
      <c r="O80" s="47"/>
      <c r="P80" s="47"/>
      <c r="Q80" s="47"/>
      <c r="AA80" s="43"/>
      <c r="AB80" s="38"/>
      <c r="AK80" s="38"/>
      <c r="AL80" s="38"/>
      <c r="AM80" s="38"/>
      <c r="AN80" s="38"/>
      <c r="AO80" s="38"/>
      <c r="AP80" s="38"/>
      <c r="AQ80" s="38"/>
    </row>
    <row r="81" spans="2:43" ht="12" customHeight="1" x14ac:dyDescent="0.4">
      <c r="B81" s="38"/>
      <c r="C81" s="38"/>
      <c r="D81" s="38"/>
      <c r="H81" s="44"/>
      <c r="I81" s="47"/>
      <c r="J81" s="47"/>
      <c r="K81" s="46"/>
      <c r="L81" s="47"/>
      <c r="M81" s="47"/>
      <c r="N81" s="47"/>
      <c r="O81" s="47"/>
      <c r="P81" s="47"/>
      <c r="Q81" s="47"/>
      <c r="AA81" s="43"/>
      <c r="AB81" s="38"/>
      <c r="AK81" s="38"/>
      <c r="AL81" s="38"/>
      <c r="AM81" s="38"/>
      <c r="AN81" s="38"/>
      <c r="AO81" s="38"/>
      <c r="AP81" s="38"/>
      <c r="AQ81" s="38"/>
    </row>
    <row r="82" spans="2:43" ht="12" customHeight="1" x14ac:dyDescent="0.4">
      <c r="B82" s="38"/>
      <c r="C82" s="38"/>
      <c r="D82" s="38"/>
      <c r="H82" s="44"/>
      <c r="I82" s="47"/>
      <c r="J82" s="47"/>
      <c r="K82" s="46"/>
      <c r="L82" s="47"/>
      <c r="M82" s="47"/>
      <c r="N82" s="47"/>
      <c r="O82" s="47"/>
      <c r="P82" s="47"/>
      <c r="Q82" s="47"/>
      <c r="AA82" s="43"/>
      <c r="AB82" s="38"/>
      <c r="AK82" s="38"/>
      <c r="AL82" s="38"/>
      <c r="AM82" s="38"/>
      <c r="AN82" s="38"/>
      <c r="AO82" s="38"/>
      <c r="AP82" s="38"/>
      <c r="AQ82" s="38"/>
    </row>
    <row r="83" spans="2:43" ht="12" customHeight="1" x14ac:dyDescent="0.4">
      <c r="B83" s="38"/>
      <c r="C83" s="38"/>
      <c r="D83" s="38"/>
      <c r="H83" s="44"/>
      <c r="I83" s="47"/>
      <c r="J83" s="47"/>
      <c r="K83" s="46"/>
      <c r="L83" s="47"/>
      <c r="M83" s="47"/>
      <c r="N83" s="47"/>
      <c r="O83" s="47"/>
      <c r="P83" s="47"/>
      <c r="Q83" s="47"/>
      <c r="AA83" s="43"/>
      <c r="AB83" s="38"/>
      <c r="AK83" s="38"/>
      <c r="AL83" s="38"/>
      <c r="AM83" s="38"/>
      <c r="AN83" s="38"/>
      <c r="AO83" s="38"/>
      <c r="AP83" s="38"/>
      <c r="AQ83" s="38"/>
    </row>
    <row r="84" spans="2:43" ht="12" customHeight="1" x14ac:dyDescent="0.4">
      <c r="B84" s="38"/>
      <c r="C84" s="38"/>
      <c r="D84" s="38"/>
      <c r="H84" s="44"/>
      <c r="I84" s="47"/>
      <c r="J84" s="47"/>
      <c r="K84" s="46"/>
      <c r="L84" s="47"/>
      <c r="M84" s="47"/>
      <c r="N84" s="47"/>
      <c r="O84" s="47"/>
      <c r="P84" s="47"/>
      <c r="Q84" s="47"/>
      <c r="AB84" s="38"/>
      <c r="AK84" s="38"/>
      <c r="AL84" s="38"/>
      <c r="AM84" s="38"/>
      <c r="AN84" s="38"/>
      <c r="AO84" s="38"/>
      <c r="AP84" s="38"/>
      <c r="AQ84" s="38"/>
    </row>
    <row r="85" spans="2:43" ht="12" customHeight="1" x14ac:dyDescent="0.4">
      <c r="B85" s="38"/>
      <c r="C85" s="38"/>
      <c r="D85" s="38"/>
      <c r="H85" s="44"/>
      <c r="I85" s="47"/>
      <c r="J85" s="47"/>
      <c r="K85" s="46"/>
      <c r="L85" s="47"/>
      <c r="M85" s="47"/>
      <c r="N85" s="47"/>
      <c r="O85" s="47"/>
      <c r="P85" s="47"/>
      <c r="Q85" s="47"/>
      <c r="AA85" s="43"/>
      <c r="AB85" s="38"/>
      <c r="AK85" s="38"/>
      <c r="AL85" s="38"/>
      <c r="AM85" s="38"/>
      <c r="AN85" s="38"/>
      <c r="AO85" s="38"/>
      <c r="AP85" s="38"/>
      <c r="AQ85" s="38"/>
    </row>
    <row r="86" spans="2:43" ht="12" customHeight="1" x14ac:dyDescent="0.4">
      <c r="B86" s="38"/>
      <c r="C86" s="38"/>
      <c r="D86" s="38"/>
      <c r="H86" s="44"/>
      <c r="I86" s="47"/>
      <c r="J86" s="47"/>
      <c r="K86" s="46"/>
      <c r="L86" s="47"/>
      <c r="M86" s="47"/>
      <c r="N86" s="47"/>
      <c r="O86" s="47"/>
      <c r="P86" s="47"/>
      <c r="Q86" s="47"/>
      <c r="AB86" s="38"/>
      <c r="AK86" s="38"/>
      <c r="AL86" s="38"/>
      <c r="AM86" s="38"/>
      <c r="AN86" s="38"/>
      <c r="AO86" s="38"/>
      <c r="AP86" s="38"/>
      <c r="AQ86" s="38"/>
    </row>
    <row r="87" spans="2:43" ht="12" customHeight="1" x14ac:dyDescent="0.4">
      <c r="B87" s="38"/>
      <c r="C87" s="38"/>
      <c r="D87" s="38"/>
      <c r="H87" s="44"/>
      <c r="I87" s="47"/>
      <c r="J87" s="47"/>
      <c r="K87" s="46"/>
      <c r="L87" s="47"/>
      <c r="M87" s="47"/>
      <c r="N87" s="47"/>
      <c r="O87" s="47"/>
      <c r="P87" s="47"/>
      <c r="Q87" s="47"/>
      <c r="R87" s="41"/>
      <c r="S87" s="43"/>
      <c r="AA87" s="43"/>
      <c r="AB87" s="38"/>
      <c r="AK87" s="38"/>
      <c r="AL87" s="38"/>
      <c r="AM87" s="38"/>
      <c r="AN87" s="38"/>
      <c r="AO87" s="38"/>
      <c r="AP87" s="38"/>
      <c r="AQ87" s="38"/>
    </row>
    <row r="88" spans="2:43" ht="12" customHeight="1" x14ac:dyDescent="0.4">
      <c r="B88" s="38"/>
      <c r="C88" s="38"/>
      <c r="D88" s="38"/>
      <c r="I88" s="45"/>
      <c r="AB88" s="38"/>
      <c r="AK88" s="38"/>
      <c r="AL88" s="38"/>
      <c r="AM88" s="38"/>
      <c r="AN88" s="38"/>
      <c r="AO88" s="38"/>
      <c r="AP88" s="38"/>
      <c r="AQ88" s="38"/>
    </row>
    <row r="89" spans="2:43" ht="12" customHeight="1" x14ac:dyDescent="0.4">
      <c r="B89" s="38"/>
      <c r="C89" s="38"/>
      <c r="D89" s="38"/>
      <c r="H89" s="44"/>
      <c r="I89" s="45"/>
      <c r="J89" s="45"/>
      <c r="K89" s="46"/>
      <c r="L89" s="41"/>
      <c r="M89" s="41"/>
      <c r="N89" s="41"/>
      <c r="O89" s="41"/>
      <c r="S89" s="43"/>
      <c r="AA89" s="43"/>
      <c r="AB89" s="38"/>
      <c r="AK89" s="38"/>
      <c r="AL89" s="38"/>
      <c r="AP89" s="38"/>
      <c r="AQ89" s="38"/>
    </row>
    <row r="90" spans="2:43" ht="12" customHeight="1" x14ac:dyDescent="0.2">
      <c r="B90" s="38"/>
      <c r="C90" s="38"/>
      <c r="D90" s="38"/>
      <c r="AN90" s="38"/>
      <c r="AO90" s="38"/>
      <c r="AP90" s="38"/>
      <c r="AQ90" s="38"/>
    </row>
    <row r="91" spans="2:43" ht="12" customHeight="1" x14ac:dyDescent="0.2">
      <c r="B91" s="38"/>
      <c r="C91" s="38"/>
      <c r="D91" s="38"/>
      <c r="E91" s="38"/>
      <c r="F91" s="38"/>
      <c r="G91" s="38"/>
      <c r="H91" s="39"/>
      <c r="I91" s="38"/>
      <c r="J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row>
  </sheetData>
  <mergeCells count="68">
    <mergeCell ref="Z2:AI3"/>
    <mergeCell ref="U2:Y2"/>
    <mergeCell ref="U3:Y3"/>
    <mergeCell ref="B2:N2"/>
    <mergeCell ref="O2:T2"/>
    <mergeCell ref="O3:T3"/>
    <mergeCell ref="B3:N3"/>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C14:F15"/>
    <mergeCell ref="G14:H15"/>
    <mergeCell ref="AM14:AP15"/>
    <mergeCell ref="C16:F17"/>
    <mergeCell ref="G16:H17"/>
    <mergeCell ref="AM16:AP17"/>
    <mergeCell ref="C18:F19"/>
    <mergeCell ref="G18:H19"/>
    <mergeCell ref="AM18:AP19"/>
    <mergeCell ref="C20:F21"/>
    <mergeCell ref="G20:H21"/>
    <mergeCell ref="AM20:AP21"/>
    <mergeCell ref="C22:F23"/>
    <mergeCell ref="G22:H23"/>
    <mergeCell ref="AM22:AP23"/>
    <mergeCell ref="C24:F25"/>
    <mergeCell ref="G24:H25"/>
    <mergeCell ref="AM24:AP25"/>
    <mergeCell ref="C26:F27"/>
    <mergeCell ref="G26:H27"/>
    <mergeCell ref="AM26:AP27"/>
    <mergeCell ref="C28:F29"/>
    <mergeCell ref="G28:H29"/>
    <mergeCell ref="AM28:AP29"/>
    <mergeCell ref="C30:F31"/>
    <mergeCell ref="G30:H31"/>
    <mergeCell ref="AM30:AP31"/>
    <mergeCell ref="C32:F33"/>
    <mergeCell ref="G32:H33"/>
    <mergeCell ref="AM32:AP33"/>
    <mergeCell ref="C34:F35"/>
    <mergeCell ref="G34:H35"/>
    <mergeCell ref="AM34:AP35"/>
    <mergeCell ref="C36:F37"/>
    <mergeCell ref="G36:H37"/>
    <mergeCell ref="AM36:AP37"/>
    <mergeCell ref="C42:F43"/>
    <mergeCell ref="G42:H43"/>
    <mergeCell ref="AM42:AP43"/>
    <mergeCell ref="C38:F39"/>
    <mergeCell ref="G38:H39"/>
    <mergeCell ref="AM38:AP39"/>
    <mergeCell ref="C40:F41"/>
    <mergeCell ref="G40:H41"/>
    <mergeCell ref="AM40:AP41"/>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92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6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84" t="s">
        <v>293</v>
      </c>
      <c r="I4" s="61" t="s">
        <v>293</v>
      </c>
      <c r="J4" s="61" t="s">
        <v>293</v>
      </c>
      <c r="K4" s="60" t="s">
        <v>293</v>
      </c>
      <c r="L4" s="61" t="s">
        <v>293</v>
      </c>
      <c r="M4" s="61" t="s">
        <v>293</v>
      </c>
      <c r="N4" s="61" t="s">
        <v>293</v>
      </c>
      <c r="O4" s="61" t="s">
        <v>712</v>
      </c>
      <c r="P4" s="85" t="s">
        <v>293</v>
      </c>
      <c r="Q4" s="86"/>
      <c r="R4" s="62"/>
      <c r="S4" s="87"/>
      <c r="T4" s="88"/>
      <c r="U4" s="102"/>
    </row>
    <row r="5" spans="1:22" ht="28.2" customHeight="1" x14ac:dyDescent="0.35">
      <c r="B5" s="126"/>
      <c r="C5" s="127"/>
      <c r="D5" s="245" t="s">
        <v>98</v>
      </c>
      <c r="E5" s="246">
        <f t="shared" ref="E5:E93" si="0">ROW()-3</f>
        <v>2</v>
      </c>
      <c r="F5" s="100" t="s">
        <v>376</v>
      </c>
      <c r="G5" s="94" t="s">
        <v>276</v>
      </c>
      <c r="H5" s="81" t="s">
        <v>293</v>
      </c>
      <c r="I5" s="51" t="s">
        <v>293</v>
      </c>
      <c r="J5" s="51" t="s">
        <v>293</v>
      </c>
      <c r="K5" s="51" t="s">
        <v>293</v>
      </c>
      <c r="L5" s="51" t="s">
        <v>293</v>
      </c>
      <c r="M5" s="51" t="s">
        <v>293</v>
      </c>
      <c r="N5" s="51" t="s">
        <v>293</v>
      </c>
      <c r="O5" s="51" t="s">
        <v>712</v>
      </c>
      <c r="P5" s="65" t="s">
        <v>293</v>
      </c>
      <c r="Q5" s="86"/>
      <c r="R5" s="62"/>
      <c r="S5" s="87"/>
      <c r="T5" s="88"/>
      <c r="U5" s="103"/>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54"/>
      <c r="R6" s="54"/>
      <c r="S6" s="70"/>
      <c r="T6" s="54"/>
      <c r="U6" s="105" t="s">
        <v>710</v>
      </c>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54"/>
      <c r="R7" s="54"/>
      <c r="S7" s="70"/>
      <c r="T7" s="54"/>
      <c r="U7" s="105" t="s">
        <v>710</v>
      </c>
    </row>
    <row r="8" spans="1:22" ht="28.2" customHeight="1" x14ac:dyDescent="0.35">
      <c r="B8" s="129" t="s">
        <v>100</v>
      </c>
      <c r="C8" s="128"/>
      <c r="D8" s="245" t="s">
        <v>334</v>
      </c>
      <c r="E8" s="246">
        <f t="shared" si="0"/>
        <v>5</v>
      </c>
      <c r="F8" s="100"/>
      <c r="G8" s="94" t="s">
        <v>490</v>
      </c>
      <c r="H8" s="51" t="s">
        <v>293</v>
      </c>
      <c r="I8" s="51" t="s">
        <v>293</v>
      </c>
      <c r="J8" s="51" t="s">
        <v>293</v>
      </c>
      <c r="K8" s="51" t="s">
        <v>712</v>
      </c>
      <c r="L8" s="51" t="s">
        <v>293</v>
      </c>
      <c r="M8" s="51" t="s">
        <v>293</v>
      </c>
      <c r="N8" s="51" t="s">
        <v>293</v>
      </c>
      <c r="O8" s="51" t="s">
        <v>293</v>
      </c>
      <c r="P8" s="65" t="s">
        <v>293</v>
      </c>
      <c r="Q8" s="86"/>
      <c r="R8" s="62"/>
      <c r="S8" s="87"/>
      <c r="T8" s="88"/>
      <c r="U8" s="103"/>
    </row>
    <row r="9" spans="1:22" ht="28.2" customHeight="1" x14ac:dyDescent="0.35">
      <c r="B9" s="126"/>
      <c r="C9" s="127"/>
      <c r="D9" s="247" t="s">
        <v>335</v>
      </c>
      <c r="E9" s="246">
        <f t="shared" si="0"/>
        <v>6</v>
      </c>
      <c r="F9" s="100"/>
      <c r="G9" s="94" t="s">
        <v>267</v>
      </c>
      <c r="H9" s="51" t="s">
        <v>712</v>
      </c>
      <c r="I9" s="51" t="s">
        <v>293</v>
      </c>
      <c r="J9" s="51" t="s">
        <v>293</v>
      </c>
      <c r="K9" s="51" t="s">
        <v>712</v>
      </c>
      <c r="L9" s="51" t="s">
        <v>293</v>
      </c>
      <c r="M9" s="51" t="s">
        <v>293</v>
      </c>
      <c r="N9" s="51" t="s">
        <v>293</v>
      </c>
      <c r="O9" s="51" t="s">
        <v>293</v>
      </c>
      <c r="P9" s="65" t="s">
        <v>293</v>
      </c>
      <c r="Q9" s="67"/>
      <c r="R9" s="52"/>
      <c r="S9" s="69"/>
      <c r="T9" s="88"/>
      <c r="U9" s="104"/>
    </row>
    <row r="10" spans="1:22" ht="28.2" customHeight="1" x14ac:dyDescent="0.35">
      <c r="B10" s="126"/>
      <c r="C10" s="128" t="s">
        <v>205</v>
      </c>
      <c r="D10" s="247" t="s">
        <v>336</v>
      </c>
      <c r="E10" s="246">
        <f t="shared" si="0"/>
        <v>7</v>
      </c>
      <c r="F10" s="100"/>
      <c r="G10" s="94" t="s">
        <v>204</v>
      </c>
      <c r="H10" s="51" t="s">
        <v>293</v>
      </c>
      <c r="I10" s="51" t="s">
        <v>293</v>
      </c>
      <c r="J10" s="51" t="s">
        <v>293</v>
      </c>
      <c r="K10" s="51" t="s">
        <v>293</v>
      </c>
      <c r="L10" s="51" t="s">
        <v>712</v>
      </c>
      <c r="M10" s="51" t="s">
        <v>712</v>
      </c>
      <c r="N10" s="51" t="s">
        <v>293</v>
      </c>
      <c r="O10" s="51" t="s">
        <v>293</v>
      </c>
      <c r="P10" s="65" t="s">
        <v>293</v>
      </c>
      <c r="Q10" s="67"/>
      <c r="R10" s="52"/>
      <c r="S10" s="69"/>
      <c r="T10" s="88"/>
      <c r="U10" s="104"/>
      <c r="V10" s="130"/>
    </row>
    <row r="11" spans="1:22" ht="28.2" customHeight="1" x14ac:dyDescent="0.35">
      <c r="B11" s="129" t="s">
        <v>236</v>
      </c>
      <c r="C11" s="128" t="s">
        <v>102</v>
      </c>
      <c r="D11" s="245" t="s">
        <v>103</v>
      </c>
      <c r="E11" s="246">
        <f t="shared" si="0"/>
        <v>8</v>
      </c>
      <c r="F11" s="100" t="s">
        <v>378</v>
      </c>
      <c r="G11" s="94" t="s">
        <v>106</v>
      </c>
      <c r="H11" s="51" t="s">
        <v>712</v>
      </c>
      <c r="I11" s="51" t="s">
        <v>293</v>
      </c>
      <c r="J11" s="51" t="s">
        <v>293</v>
      </c>
      <c r="K11" s="51" t="s">
        <v>712</v>
      </c>
      <c r="L11" s="51" t="s">
        <v>293</v>
      </c>
      <c r="M11" s="51" t="s">
        <v>293</v>
      </c>
      <c r="N11" s="51" t="s">
        <v>293</v>
      </c>
      <c r="O11" s="51" t="s">
        <v>293</v>
      </c>
      <c r="P11" s="65" t="s">
        <v>293</v>
      </c>
      <c r="Q11" s="86"/>
      <c r="R11" s="62"/>
      <c r="S11" s="87"/>
      <c r="T11" s="88"/>
      <c r="U11" s="103"/>
    </row>
    <row r="12" spans="1:22" ht="62.4" customHeight="1" x14ac:dyDescent="0.35">
      <c r="B12" s="126"/>
      <c r="C12" s="127"/>
      <c r="D12" s="245" t="s">
        <v>104</v>
      </c>
      <c r="E12" s="246">
        <f t="shared" si="0"/>
        <v>9</v>
      </c>
      <c r="F12" s="101" t="s">
        <v>375</v>
      </c>
      <c r="G12" s="94" t="s">
        <v>268</v>
      </c>
      <c r="H12" s="51" t="s">
        <v>712</v>
      </c>
      <c r="I12" s="51" t="s">
        <v>293</v>
      </c>
      <c r="J12" s="51" t="s">
        <v>293</v>
      </c>
      <c r="K12" s="51" t="s">
        <v>712</v>
      </c>
      <c r="L12" s="51" t="s">
        <v>293</v>
      </c>
      <c r="M12" s="51" t="s">
        <v>293</v>
      </c>
      <c r="N12" s="51" t="s">
        <v>293</v>
      </c>
      <c r="O12" s="51" t="s">
        <v>293</v>
      </c>
      <c r="P12" s="65" t="s">
        <v>293</v>
      </c>
      <c r="Q12" s="86"/>
      <c r="R12" s="62"/>
      <c r="S12" s="87"/>
      <c r="T12" s="88"/>
      <c r="U12" s="103"/>
    </row>
    <row r="13" spans="1:22" ht="28.2" customHeight="1" x14ac:dyDescent="0.35">
      <c r="B13" s="126"/>
      <c r="C13" s="127"/>
      <c r="D13" s="245" t="s">
        <v>105</v>
      </c>
      <c r="E13" s="246">
        <f t="shared" si="0"/>
        <v>10</v>
      </c>
      <c r="F13" s="101"/>
      <c r="G13" s="94" t="s">
        <v>356</v>
      </c>
      <c r="H13" s="51" t="s">
        <v>712</v>
      </c>
      <c r="I13" s="51" t="s">
        <v>293</v>
      </c>
      <c r="J13" s="51" t="s">
        <v>293</v>
      </c>
      <c r="K13" s="51" t="s">
        <v>712</v>
      </c>
      <c r="L13" s="51" t="s">
        <v>293</v>
      </c>
      <c r="M13" s="51" t="s">
        <v>293</v>
      </c>
      <c r="N13" s="51" t="s">
        <v>293</v>
      </c>
      <c r="O13" s="51" t="s">
        <v>293</v>
      </c>
      <c r="P13" s="65" t="s">
        <v>293</v>
      </c>
      <c r="Q13" s="86"/>
      <c r="R13" s="62"/>
      <c r="S13" s="87"/>
      <c r="T13" s="88"/>
      <c r="U13" s="103"/>
    </row>
    <row r="14" spans="1:22" ht="28.2" customHeight="1" x14ac:dyDescent="0.35">
      <c r="B14" s="126"/>
      <c r="C14" s="127"/>
      <c r="D14" s="96" t="s">
        <v>237</v>
      </c>
      <c r="E14" s="97">
        <f t="shared" si="0"/>
        <v>11</v>
      </c>
      <c r="F14" s="399" t="s">
        <v>357</v>
      </c>
      <c r="G14" s="99" t="s">
        <v>107</v>
      </c>
      <c r="H14" s="82" t="s">
        <v>654</v>
      </c>
      <c r="I14" s="53" t="s">
        <v>654</v>
      </c>
      <c r="J14" s="53" t="s">
        <v>293</v>
      </c>
      <c r="K14" s="53" t="s">
        <v>293</v>
      </c>
      <c r="L14" s="53" t="s">
        <v>293</v>
      </c>
      <c r="M14" s="53" t="s">
        <v>293</v>
      </c>
      <c r="N14" s="53" t="s">
        <v>293</v>
      </c>
      <c r="O14" s="53" t="s">
        <v>293</v>
      </c>
      <c r="P14" s="66" t="s">
        <v>293</v>
      </c>
      <c r="Q14" s="68"/>
      <c r="R14" s="54"/>
      <c r="S14" s="70"/>
      <c r="T14" s="361"/>
      <c r="U14" s="105" t="s">
        <v>711</v>
      </c>
    </row>
    <row r="15" spans="1:22" ht="28.2" customHeight="1" x14ac:dyDescent="0.35">
      <c r="B15" s="126"/>
      <c r="C15" s="127"/>
      <c r="D15" s="245" t="s">
        <v>108</v>
      </c>
      <c r="E15" s="246">
        <f t="shared" si="0"/>
        <v>12</v>
      </c>
      <c r="F15" s="100"/>
      <c r="G15" s="94" t="s">
        <v>116</v>
      </c>
      <c r="H15" s="51" t="s">
        <v>712</v>
      </c>
      <c r="I15" s="51" t="s">
        <v>293</v>
      </c>
      <c r="J15" s="51" t="s">
        <v>293</v>
      </c>
      <c r="K15" s="51" t="s">
        <v>293</v>
      </c>
      <c r="L15" s="51" t="s">
        <v>293</v>
      </c>
      <c r="M15" s="51" t="s">
        <v>293</v>
      </c>
      <c r="N15" s="51" t="s">
        <v>293</v>
      </c>
      <c r="O15" s="51" t="s">
        <v>293</v>
      </c>
      <c r="P15" s="65" t="s">
        <v>293</v>
      </c>
      <c r="Q15" s="86"/>
      <c r="R15" s="62"/>
      <c r="S15" s="87"/>
      <c r="T15" s="88"/>
      <c r="U15" s="103"/>
    </row>
    <row r="16" spans="1:22" ht="28.2" customHeight="1" x14ac:dyDescent="0.35">
      <c r="B16" s="126"/>
      <c r="C16" s="127"/>
      <c r="D16" s="245" t="s">
        <v>109</v>
      </c>
      <c r="E16" s="246">
        <f t="shared" si="0"/>
        <v>13</v>
      </c>
      <c r="F16" s="100"/>
      <c r="G16" s="94" t="s">
        <v>117</v>
      </c>
      <c r="H16" s="51" t="s">
        <v>712</v>
      </c>
      <c r="I16" s="51" t="s">
        <v>293</v>
      </c>
      <c r="J16" s="51" t="s">
        <v>293</v>
      </c>
      <c r="K16" s="51" t="s">
        <v>293</v>
      </c>
      <c r="L16" s="51" t="s">
        <v>293</v>
      </c>
      <c r="M16" s="51" t="s">
        <v>293</v>
      </c>
      <c r="N16" s="51" t="s">
        <v>293</v>
      </c>
      <c r="O16" s="51" t="s">
        <v>293</v>
      </c>
      <c r="P16" s="65" t="s">
        <v>293</v>
      </c>
      <c r="Q16" s="86"/>
      <c r="R16" s="62"/>
      <c r="S16" s="87"/>
      <c r="T16" s="88"/>
      <c r="U16" s="103"/>
    </row>
    <row r="17" spans="2:22" ht="28.2" customHeight="1" x14ac:dyDescent="0.35">
      <c r="B17" s="126"/>
      <c r="C17" s="127"/>
      <c r="D17" s="245" t="s">
        <v>111</v>
      </c>
      <c r="E17" s="246">
        <f t="shared" si="0"/>
        <v>14</v>
      </c>
      <c r="F17" s="100"/>
      <c r="G17" s="94" t="s">
        <v>119</v>
      </c>
      <c r="H17" s="51" t="s">
        <v>712</v>
      </c>
      <c r="I17" s="51" t="s">
        <v>293</v>
      </c>
      <c r="J17" s="51" t="s">
        <v>293</v>
      </c>
      <c r="K17" s="51" t="s">
        <v>293</v>
      </c>
      <c r="L17" s="51" t="s">
        <v>293</v>
      </c>
      <c r="M17" s="51" t="s">
        <v>293</v>
      </c>
      <c r="N17" s="51" t="s">
        <v>293</v>
      </c>
      <c r="O17" s="51" t="s">
        <v>293</v>
      </c>
      <c r="P17" s="65" t="s">
        <v>293</v>
      </c>
      <c r="Q17" s="86"/>
      <c r="R17" s="62"/>
      <c r="S17" s="87"/>
      <c r="T17" s="88"/>
      <c r="U17" s="104"/>
    </row>
    <row r="18" spans="2:22" ht="28.2" customHeight="1" x14ac:dyDescent="0.35">
      <c r="B18" s="126"/>
      <c r="C18" s="127"/>
      <c r="D18" s="248" t="s">
        <v>112</v>
      </c>
      <c r="E18" s="246">
        <f t="shared" si="0"/>
        <v>15</v>
      </c>
      <c r="F18" s="100"/>
      <c r="G18" s="94" t="s">
        <v>120</v>
      </c>
      <c r="H18" s="51" t="s">
        <v>712</v>
      </c>
      <c r="I18" s="51" t="s">
        <v>293</v>
      </c>
      <c r="J18" s="51" t="s">
        <v>293</v>
      </c>
      <c r="K18" s="51" t="s">
        <v>293</v>
      </c>
      <c r="L18" s="51" t="s">
        <v>293</v>
      </c>
      <c r="M18" s="51" t="s">
        <v>293</v>
      </c>
      <c r="N18" s="51" t="s">
        <v>293</v>
      </c>
      <c r="O18" s="51" t="s">
        <v>293</v>
      </c>
      <c r="P18" s="65" t="s">
        <v>293</v>
      </c>
      <c r="Q18" s="86"/>
      <c r="R18" s="62"/>
      <c r="S18" s="87"/>
      <c r="T18" s="88"/>
      <c r="U18" s="103"/>
    </row>
    <row r="19" spans="2:22" ht="28.2" customHeight="1" x14ac:dyDescent="0.35">
      <c r="B19" s="126"/>
      <c r="C19" s="127"/>
      <c r="D19" s="249"/>
      <c r="E19" s="97">
        <f t="shared" si="0"/>
        <v>16</v>
      </c>
      <c r="F19" s="98"/>
      <c r="G19" s="99" t="s">
        <v>244</v>
      </c>
      <c r="H19" s="82" t="s">
        <v>633</v>
      </c>
      <c r="I19" s="53" t="s">
        <v>633</v>
      </c>
      <c r="J19" s="53" t="s">
        <v>293</v>
      </c>
      <c r="K19" s="53" t="s">
        <v>293</v>
      </c>
      <c r="L19" s="53" t="s">
        <v>293</v>
      </c>
      <c r="M19" s="53" t="s">
        <v>293</v>
      </c>
      <c r="N19" s="53" t="s">
        <v>293</v>
      </c>
      <c r="O19" s="53" t="s">
        <v>293</v>
      </c>
      <c r="P19" s="66" t="s">
        <v>293</v>
      </c>
      <c r="Q19" s="68"/>
      <c r="R19" s="54"/>
      <c r="S19" s="70"/>
      <c r="T19" s="361"/>
      <c r="U19" s="105" t="s">
        <v>659</v>
      </c>
    </row>
    <row r="20" spans="2:22" ht="28.2" customHeight="1" x14ac:dyDescent="0.35">
      <c r="B20" s="126"/>
      <c r="C20" s="127"/>
      <c r="D20" s="250"/>
      <c r="E20" s="246">
        <f t="shared" si="0"/>
        <v>17</v>
      </c>
      <c r="F20" s="100"/>
      <c r="G20" s="94" t="s">
        <v>121</v>
      </c>
      <c r="H20" s="51" t="s">
        <v>712</v>
      </c>
      <c r="I20" s="51" t="s">
        <v>293</v>
      </c>
      <c r="J20" s="51" t="s">
        <v>293</v>
      </c>
      <c r="K20" s="51" t="s">
        <v>712</v>
      </c>
      <c r="L20" s="51" t="s">
        <v>293</v>
      </c>
      <c r="M20" s="51" t="s">
        <v>293</v>
      </c>
      <c r="N20" s="51" t="s">
        <v>293</v>
      </c>
      <c r="O20" s="51" t="s">
        <v>293</v>
      </c>
      <c r="P20" s="65" t="s">
        <v>293</v>
      </c>
      <c r="Q20" s="86"/>
      <c r="R20" s="62"/>
      <c r="S20" s="87"/>
      <c r="T20" s="88"/>
      <c r="U20" s="103"/>
    </row>
    <row r="21" spans="2:22" ht="28.2" customHeight="1" x14ac:dyDescent="0.35">
      <c r="B21" s="126"/>
      <c r="C21" s="127"/>
      <c r="D21" s="245" t="s">
        <v>113</v>
      </c>
      <c r="E21" s="246">
        <f t="shared" si="0"/>
        <v>18</v>
      </c>
      <c r="F21" s="100"/>
      <c r="G21" s="94" t="s">
        <v>122</v>
      </c>
      <c r="H21" s="51" t="s">
        <v>712</v>
      </c>
      <c r="I21" s="51" t="s">
        <v>293</v>
      </c>
      <c r="J21" s="51" t="s">
        <v>293</v>
      </c>
      <c r="K21" s="51" t="s">
        <v>712</v>
      </c>
      <c r="L21" s="51" t="s">
        <v>293</v>
      </c>
      <c r="M21" s="51" t="s">
        <v>293</v>
      </c>
      <c r="N21" s="51" t="s">
        <v>293</v>
      </c>
      <c r="O21" s="51" t="s">
        <v>293</v>
      </c>
      <c r="P21" s="65" t="s">
        <v>293</v>
      </c>
      <c r="Q21" s="86"/>
      <c r="R21" s="62"/>
      <c r="S21" s="87"/>
      <c r="T21" s="88"/>
      <c r="U21" s="103"/>
    </row>
    <row r="22" spans="2:22" ht="28.2" customHeight="1" x14ac:dyDescent="0.35">
      <c r="B22" s="126"/>
      <c r="C22" s="127"/>
      <c r="D22" s="247" t="s">
        <v>114</v>
      </c>
      <c r="E22" s="246">
        <f t="shared" si="0"/>
        <v>19</v>
      </c>
      <c r="F22" s="100" t="s">
        <v>221</v>
      </c>
      <c r="G22" s="94" t="s">
        <v>123</v>
      </c>
      <c r="H22" s="51" t="s">
        <v>712</v>
      </c>
      <c r="I22" s="51" t="s">
        <v>293</v>
      </c>
      <c r="J22" s="51" t="s">
        <v>293</v>
      </c>
      <c r="K22" s="51" t="s">
        <v>712</v>
      </c>
      <c r="L22" s="51" t="s">
        <v>293</v>
      </c>
      <c r="M22" s="51" t="s">
        <v>293</v>
      </c>
      <c r="N22" s="51" t="s">
        <v>293</v>
      </c>
      <c r="O22" s="51" t="s">
        <v>293</v>
      </c>
      <c r="P22" s="65" t="s">
        <v>293</v>
      </c>
      <c r="Q22" s="86"/>
      <c r="R22" s="62"/>
      <c r="S22" s="87"/>
      <c r="T22" s="88"/>
      <c r="U22" s="103"/>
    </row>
    <row r="23" spans="2:22" ht="28.2" customHeight="1" x14ac:dyDescent="0.35">
      <c r="B23" s="126"/>
      <c r="C23" s="127"/>
      <c r="D23" s="91" t="s">
        <v>115</v>
      </c>
      <c r="E23" s="92">
        <f t="shared" si="0"/>
        <v>20</v>
      </c>
      <c r="F23" s="93"/>
      <c r="G23" s="94" t="s">
        <v>124</v>
      </c>
      <c r="H23" s="51" t="s">
        <v>712</v>
      </c>
      <c r="I23" s="51" t="s">
        <v>293</v>
      </c>
      <c r="J23" s="51" t="s">
        <v>293</v>
      </c>
      <c r="K23" s="51" t="s">
        <v>293</v>
      </c>
      <c r="L23" s="51" t="s">
        <v>293</v>
      </c>
      <c r="M23" s="51" t="s">
        <v>293</v>
      </c>
      <c r="N23" s="51" t="s">
        <v>293</v>
      </c>
      <c r="O23" s="51" t="s">
        <v>293</v>
      </c>
      <c r="P23" s="65" t="s">
        <v>293</v>
      </c>
      <c r="Q23" s="86"/>
      <c r="R23" s="62"/>
      <c r="S23" s="87"/>
      <c r="T23" s="88"/>
      <c r="U23" s="103"/>
    </row>
    <row r="24" spans="2:22" ht="28.2" customHeight="1" x14ac:dyDescent="0.35">
      <c r="B24" s="126"/>
      <c r="C24" s="127"/>
      <c r="D24" s="248" t="s">
        <v>337</v>
      </c>
      <c r="E24" s="92">
        <f t="shared" si="0"/>
        <v>21</v>
      </c>
      <c r="F24" s="93"/>
      <c r="G24" s="94" t="s">
        <v>209</v>
      </c>
      <c r="H24" s="51" t="s">
        <v>293</v>
      </c>
      <c r="I24" s="51" t="s">
        <v>293</v>
      </c>
      <c r="J24" s="51" t="s">
        <v>293</v>
      </c>
      <c r="K24" s="51" t="s">
        <v>293</v>
      </c>
      <c r="L24" s="51" t="s">
        <v>712</v>
      </c>
      <c r="M24" s="51" t="s">
        <v>712</v>
      </c>
      <c r="N24" s="51" t="s">
        <v>293</v>
      </c>
      <c r="O24" s="51" t="s">
        <v>293</v>
      </c>
      <c r="P24" s="65" t="s">
        <v>293</v>
      </c>
      <c r="Q24" s="86"/>
      <c r="R24" s="62"/>
      <c r="S24" s="87"/>
      <c r="T24" s="88"/>
      <c r="U24" s="104"/>
      <c r="V24" s="130"/>
    </row>
    <row r="25" spans="2:22" ht="28.2" customHeight="1" x14ac:dyDescent="0.35">
      <c r="B25" s="126"/>
      <c r="C25" s="127"/>
      <c r="D25" s="249"/>
      <c r="E25" s="92">
        <f t="shared" si="0"/>
        <v>22</v>
      </c>
      <c r="F25" s="93"/>
      <c r="G25" s="94" t="s">
        <v>210</v>
      </c>
      <c r="H25" s="51" t="s">
        <v>293</v>
      </c>
      <c r="I25" s="51" t="s">
        <v>293</v>
      </c>
      <c r="J25" s="51" t="s">
        <v>293</v>
      </c>
      <c r="K25" s="51" t="s">
        <v>293</v>
      </c>
      <c r="L25" s="51" t="s">
        <v>712</v>
      </c>
      <c r="M25" s="51" t="s">
        <v>712</v>
      </c>
      <c r="N25" s="51" t="s">
        <v>293</v>
      </c>
      <c r="O25" s="51" t="s">
        <v>293</v>
      </c>
      <c r="P25" s="65" t="s">
        <v>293</v>
      </c>
      <c r="Q25" s="86"/>
      <c r="R25" s="62"/>
      <c r="S25" s="87"/>
      <c r="T25" s="88"/>
      <c r="U25" s="104"/>
      <c r="V25" s="130"/>
    </row>
    <row r="26" spans="2:22" ht="28.2" customHeight="1" x14ac:dyDescent="0.35">
      <c r="B26" s="126"/>
      <c r="C26" s="127"/>
      <c r="D26" s="249"/>
      <c r="E26" s="92">
        <f t="shared" si="0"/>
        <v>23</v>
      </c>
      <c r="F26" s="93"/>
      <c r="G26" s="94" t="s">
        <v>212</v>
      </c>
      <c r="H26" s="51" t="s">
        <v>293</v>
      </c>
      <c r="I26" s="51" t="s">
        <v>293</v>
      </c>
      <c r="J26" s="51" t="s">
        <v>293</v>
      </c>
      <c r="K26" s="51" t="s">
        <v>293</v>
      </c>
      <c r="L26" s="51" t="s">
        <v>712</v>
      </c>
      <c r="M26" s="51" t="s">
        <v>712</v>
      </c>
      <c r="N26" s="51" t="s">
        <v>293</v>
      </c>
      <c r="O26" s="51" t="s">
        <v>293</v>
      </c>
      <c r="P26" s="65" t="s">
        <v>293</v>
      </c>
      <c r="Q26" s="86"/>
      <c r="R26" s="62"/>
      <c r="S26" s="87"/>
      <c r="T26" s="88"/>
      <c r="U26" s="104"/>
      <c r="V26" s="130"/>
    </row>
    <row r="27" spans="2:22" ht="28.2" customHeight="1" x14ac:dyDescent="0.35">
      <c r="B27" s="126"/>
      <c r="C27" s="127"/>
      <c r="D27" s="247" t="s">
        <v>342</v>
      </c>
      <c r="E27" s="92">
        <f t="shared" si="0"/>
        <v>24</v>
      </c>
      <c r="F27" s="93"/>
      <c r="G27" s="94" t="s">
        <v>760</v>
      </c>
      <c r="H27" s="51" t="s">
        <v>293</v>
      </c>
      <c r="I27" s="51" t="s">
        <v>293</v>
      </c>
      <c r="J27" s="51" t="s">
        <v>293</v>
      </c>
      <c r="K27" s="51" t="s">
        <v>293</v>
      </c>
      <c r="L27" s="51" t="s">
        <v>712</v>
      </c>
      <c r="M27" s="51" t="s">
        <v>712</v>
      </c>
      <c r="N27" s="51" t="s">
        <v>293</v>
      </c>
      <c r="O27" s="51" t="s">
        <v>293</v>
      </c>
      <c r="P27" s="65" t="s">
        <v>293</v>
      </c>
      <c r="Q27" s="86"/>
      <c r="R27" s="62"/>
      <c r="S27" s="87"/>
      <c r="T27" s="88"/>
      <c r="U27" s="104"/>
      <c r="V27" s="130"/>
    </row>
    <row r="28" spans="2:22" ht="28.2" customHeight="1" x14ac:dyDescent="0.35">
      <c r="B28" s="126"/>
      <c r="C28" s="128" t="s">
        <v>125</v>
      </c>
      <c r="D28" s="96" t="s">
        <v>126</v>
      </c>
      <c r="E28" s="97">
        <f t="shared" si="0"/>
        <v>25</v>
      </c>
      <c r="F28" s="98"/>
      <c r="G28" s="99" t="s">
        <v>133</v>
      </c>
      <c r="H28" s="82" t="s">
        <v>657</v>
      </c>
      <c r="I28" s="53" t="s">
        <v>657</v>
      </c>
      <c r="J28" s="53" t="s">
        <v>293</v>
      </c>
      <c r="K28" s="53" t="s">
        <v>293</v>
      </c>
      <c r="L28" s="53" t="s">
        <v>293</v>
      </c>
      <c r="M28" s="53" t="s">
        <v>293</v>
      </c>
      <c r="N28" s="53" t="s">
        <v>293</v>
      </c>
      <c r="O28" s="53" t="s">
        <v>293</v>
      </c>
      <c r="P28" s="66" t="s">
        <v>293</v>
      </c>
      <c r="Q28" s="68"/>
      <c r="R28" s="54"/>
      <c r="S28" s="70"/>
      <c r="T28" s="361"/>
      <c r="U28" s="105" t="s">
        <v>658</v>
      </c>
    </row>
    <row r="29" spans="2:22" ht="28.2" customHeight="1" x14ac:dyDescent="0.35">
      <c r="B29" s="126"/>
      <c r="C29" s="127"/>
      <c r="D29" s="91" t="s">
        <v>127</v>
      </c>
      <c r="E29" s="92">
        <f t="shared" si="0"/>
        <v>26</v>
      </c>
      <c r="F29" s="93"/>
      <c r="G29" s="94" t="s">
        <v>133</v>
      </c>
      <c r="H29" s="51" t="s">
        <v>712</v>
      </c>
      <c r="I29" s="51" t="s">
        <v>293</v>
      </c>
      <c r="J29" s="51" t="s">
        <v>293</v>
      </c>
      <c r="K29" s="51" t="s">
        <v>293</v>
      </c>
      <c r="L29" s="51" t="s">
        <v>293</v>
      </c>
      <c r="M29" s="51" t="s">
        <v>293</v>
      </c>
      <c r="N29" s="51" t="s">
        <v>293</v>
      </c>
      <c r="O29" s="51" t="s">
        <v>293</v>
      </c>
      <c r="P29" s="65" t="s">
        <v>293</v>
      </c>
      <c r="Q29" s="86"/>
      <c r="R29" s="62"/>
      <c r="S29" s="87"/>
      <c r="T29" s="88"/>
      <c r="U29" s="103"/>
      <c r="V29" s="130"/>
    </row>
    <row r="30" spans="2:22" ht="28.2" customHeight="1" x14ac:dyDescent="0.35">
      <c r="B30" s="126"/>
      <c r="C30" s="127"/>
      <c r="D30" s="248" t="s">
        <v>362</v>
      </c>
      <c r="E30" s="92">
        <f t="shared" si="0"/>
        <v>27</v>
      </c>
      <c r="F30" s="93"/>
      <c r="G30" s="94" t="s">
        <v>343</v>
      </c>
      <c r="H30" s="51" t="s">
        <v>712</v>
      </c>
      <c r="I30" s="51" t="s">
        <v>293</v>
      </c>
      <c r="J30" s="51" t="s">
        <v>293</v>
      </c>
      <c r="K30" s="51" t="s">
        <v>293</v>
      </c>
      <c r="L30" s="51" t="s">
        <v>293</v>
      </c>
      <c r="M30" s="51" t="s">
        <v>293</v>
      </c>
      <c r="N30" s="51" t="s">
        <v>293</v>
      </c>
      <c r="O30" s="51" t="s">
        <v>293</v>
      </c>
      <c r="P30" s="65" t="s">
        <v>293</v>
      </c>
      <c r="Q30" s="86"/>
      <c r="R30" s="62"/>
      <c r="S30" s="87"/>
      <c r="T30" s="88"/>
      <c r="U30" s="103"/>
      <c r="V30" s="130"/>
    </row>
    <row r="31" spans="2:22" ht="28.2" customHeight="1" x14ac:dyDescent="0.35">
      <c r="B31" s="126"/>
      <c r="C31" s="127"/>
      <c r="D31" s="249"/>
      <c r="E31" s="92">
        <f t="shared" si="0"/>
        <v>28</v>
      </c>
      <c r="F31" s="93"/>
      <c r="G31" s="94" t="s">
        <v>363</v>
      </c>
      <c r="H31" s="51" t="s">
        <v>712</v>
      </c>
      <c r="I31" s="51" t="s">
        <v>293</v>
      </c>
      <c r="J31" s="51" t="s">
        <v>293</v>
      </c>
      <c r="K31" s="51" t="s">
        <v>293</v>
      </c>
      <c r="L31" s="51" t="s">
        <v>293</v>
      </c>
      <c r="M31" s="51" t="s">
        <v>293</v>
      </c>
      <c r="N31" s="51" t="s">
        <v>293</v>
      </c>
      <c r="O31" s="51" t="s">
        <v>293</v>
      </c>
      <c r="P31" s="65" t="s">
        <v>293</v>
      </c>
      <c r="Q31" s="86"/>
      <c r="R31" s="62"/>
      <c r="S31" s="87"/>
      <c r="T31" s="88"/>
      <c r="U31" s="103"/>
      <c r="V31" s="130"/>
    </row>
    <row r="32" spans="2:22" ht="28.2" customHeight="1" x14ac:dyDescent="0.35">
      <c r="B32" s="126"/>
      <c r="C32" s="127"/>
      <c r="D32" s="96" t="s">
        <v>282</v>
      </c>
      <c r="E32" s="97">
        <f t="shared" si="0"/>
        <v>29</v>
      </c>
      <c r="F32" s="98"/>
      <c r="G32" s="99" t="s">
        <v>718</v>
      </c>
      <c r="H32" s="82" t="s">
        <v>633</v>
      </c>
      <c r="I32" s="53" t="s">
        <v>293</v>
      </c>
      <c r="J32" s="53" t="s">
        <v>293</v>
      </c>
      <c r="K32" s="53" t="s">
        <v>633</v>
      </c>
      <c r="L32" s="53" t="s">
        <v>293</v>
      </c>
      <c r="M32" s="53" t="s">
        <v>293</v>
      </c>
      <c r="N32" s="53" t="s">
        <v>293</v>
      </c>
      <c r="O32" s="53" t="s">
        <v>293</v>
      </c>
      <c r="P32" s="66" t="s">
        <v>293</v>
      </c>
      <c r="Q32" s="68"/>
      <c r="R32" s="54"/>
      <c r="S32" s="70"/>
      <c r="T32" s="361"/>
      <c r="U32" s="105" t="s">
        <v>655</v>
      </c>
    </row>
    <row r="33" spans="2:22" ht="28.2" customHeight="1" x14ac:dyDescent="0.35">
      <c r="B33" s="126"/>
      <c r="C33" s="127"/>
      <c r="D33" s="96" t="s">
        <v>238</v>
      </c>
      <c r="E33" s="97">
        <f t="shared" si="0"/>
        <v>30</v>
      </c>
      <c r="F33" s="98"/>
      <c r="G33" s="99" t="s">
        <v>719</v>
      </c>
      <c r="H33" s="82" t="s">
        <v>633</v>
      </c>
      <c r="I33" s="53" t="s">
        <v>657</v>
      </c>
      <c r="J33" s="53" t="s">
        <v>293</v>
      </c>
      <c r="K33" s="53" t="s">
        <v>633</v>
      </c>
      <c r="L33" s="53" t="s">
        <v>293</v>
      </c>
      <c r="M33" s="53" t="s">
        <v>293</v>
      </c>
      <c r="N33" s="53" t="s">
        <v>293</v>
      </c>
      <c r="O33" s="53" t="s">
        <v>293</v>
      </c>
      <c r="P33" s="66" t="s">
        <v>293</v>
      </c>
      <c r="Q33" s="68"/>
      <c r="R33" s="54"/>
      <c r="S33" s="70"/>
      <c r="T33" s="361"/>
      <c r="U33" s="105" t="s">
        <v>659</v>
      </c>
    </row>
    <row r="34" spans="2:22" ht="28.2" customHeight="1" x14ac:dyDescent="0.35">
      <c r="B34" s="126"/>
      <c r="C34" s="127"/>
      <c r="D34" s="91" t="s">
        <v>128</v>
      </c>
      <c r="E34" s="92">
        <f t="shared" si="0"/>
        <v>31</v>
      </c>
      <c r="F34" s="93"/>
      <c r="G34" s="94" t="s">
        <v>358</v>
      </c>
      <c r="H34" s="51" t="s">
        <v>712</v>
      </c>
      <c r="I34" s="51" t="s">
        <v>293</v>
      </c>
      <c r="J34" s="51" t="s">
        <v>293</v>
      </c>
      <c r="K34" s="51" t="s">
        <v>293</v>
      </c>
      <c r="L34" s="51" t="s">
        <v>293</v>
      </c>
      <c r="M34" s="51" t="s">
        <v>293</v>
      </c>
      <c r="N34" s="51" t="s">
        <v>293</v>
      </c>
      <c r="O34" s="51" t="s">
        <v>293</v>
      </c>
      <c r="P34" s="65" t="s">
        <v>293</v>
      </c>
      <c r="Q34" s="86"/>
      <c r="R34" s="62"/>
      <c r="S34" s="87"/>
      <c r="T34" s="88"/>
      <c r="U34" s="103"/>
    </row>
    <row r="35" spans="2:22" ht="28.2" customHeight="1" x14ac:dyDescent="0.35">
      <c r="B35" s="126"/>
      <c r="C35" s="127"/>
      <c r="D35" s="91" t="s">
        <v>129</v>
      </c>
      <c r="E35" s="92">
        <f t="shared" si="0"/>
        <v>32</v>
      </c>
      <c r="F35" s="93"/>
      <c r="G35" s="94" t="s">
        <v>358</v>
      </c>
      <c r="H35" s="51" t="s">
        <v>712</v>
      </c>
      <c r="I35" s="51" t="s">
        <v>293</v>
      </c>
      <c r="J35" s="51" t="s">
        <v>293</v>
      </c>
      <c r="K35" s="51" t="s">
        <v>293</v>
      </c>
      <c r="L35" s="51" t="s">
        <v>293</v>
      </c>
      <c r="M35" s="51" t="s">
        <v>293</v>
      </c>
      <c r="N35" s="51" t="s">
        <v>293</v>
      </c>
      <c r="O35" s="51" t="s">
        <v>293</v>
      </c>
      <c r="P35" s="65" t="s">
        <v>293</v>
      </c>
      <c r="Q35" s="86"/>
      <c r="R35" s="62"/>
      <c r="S35" s="87"/>
      <c r="T35" s="88"/>
      <c r="U35" s="103"/>
    </row>
    <row r="36" spans="2:22" ht="28.2" customHeight="1" x14ac:dyDescent="0.35">
      <c r="B36" s="126"/>
      <c r="C36" s="127"/>
      <c r="D36" s="96" t="s">
        <v>130</v>
      </c>
      <c r="E36" s="97">
        <f t="shared" si="0"/>
        <v>33</v>
      </c>
      <c r="F36" s="98"/>
      <c r="G36" s="99" t="s">
        <v>358</v>
      </c>
      <c r="H36" s="82" t="s">
        <v>657</v>
      </c>
      <c r="I36" s="53" t="s">
        <v>657</v>
      </c>
      <c r="J36" s="53" t="s">
        <v>293</v>
      </c>
      <c r="K36" s="53" t="s">
        <v>293</v>
      </c>
      <c r="L36" s="53" t="s">
        <v>293</v>
      </c>
      <c r="M36" s="53" t="s">
        <v>293</v>
      </c>
      <c r="N36" s="53" t="s">
        <v>293</v>
      </c>
      <c r="O36" s="53" t="s">
        <v>293</v>
      </c>
      <c r="P36" s="66" t="s">
        <v>293</v>
      </c>
      <c r="Q36" s="68"/>
      <c r="R36" s="54"/>
      <c r="S36" s="70"/>
      <c r="T36" s="361"/>
      <c r="U36" s="105" t="s">
        <v>659</v>
      </c>
    </row>
    <row r="37" spans="2:22" ht="28.2" customHeight="1" x14ac:dyDescent="0.35">
      <c r="B37" s="126"/>
      <c r="C37" s="127"/>
      <c r="D37" s="96" t="s">
        <v>131</v>
      </c>
      <c r="E37" s="97">
        <f t="shared" si="0"/>
        <v>34</v>
      </c>
      <c r="F37" s="98"/>
      <c r="G37" s="99" t="s">
        <v>358</v>
      </c>
      <c r="H37" s="82" t="s">
        <v>657</v>
      </c>
      <c r="I37" s="53" t="s">
        <v>657</v>
      </c>
      <c r="J37" s="53" t="s">
        <v>293</v>
      </c>
      <c r="K37" s="53" t="s">
        <v>293</v>
      </c>
      <c r="L37" s="53" t="s">
        <v>293</v>
      </c>
      <c r="M37" s="53" t="s">
        <v>293</v>
      </c>
      <c r="N37" s="53" t="s">
        <v>293</v>
      </c>
      <c r="O37" s="53" t="s">
        <v>293</v>
      </c>
      <c r="P37" s="66" t="s">
        <v>293</v>
      </c>
      <c r="Q37" s="68"/>
      <c r="R37" s="54"/>
      <c r="S37" s="70"/>
      <c r="T37" s="361"/>
      <c r="U37" s="105" t="s">
        <v>659</v>
      </c>
    </row>
    <row r="38" spans="2:22" ht="28.2" customHeight="1" x14ac:dyDescent="0.35">
      <c r="B38" s="126"/>
      <c r="C38" s="127"/>
      <c r="D38" s="91" t="s">
        <v>132</v>
      </c>
      <c r="E38" s="92">
        <f t="shared" si="0"/>
        <v>35</v>
      </c>
      <c r="F38" s="93"/>
      <c r="G38" s="94" t="s">
        <v>134</v>
      </c>
      <c r="H38" s="51" t="s">
        <v>712</v>
      </c>
      <c r="I38" s="51" t="s">
        <v>293</v>
      </c>
      <c r="J38" s="51" t="s">
        <v>293</v>
      </c>
      <c r="K38" s="51" t="s">
        <v>712</v>
      </c>
      <c r="L38" s="51" t="s">
        <v>293</v>
      </c>
      <c r="M38" s="51" t="s">
        <v>293</v>
      </c>
      <c r="N38" s="51" t="s">
        <v>293</v>
      </c>
      <c r="O38" s="51" t="s">
        <v>293</v>
      </c>
      <c r="P38" s="65" t="s">
        <v>293</v>
      </c>
      <c r="Q38" s="86"/>
      <c r="R38" s="62"/>
      <c r="S38" s="87"/>
      <c r="T38" s="88"/>
      <c r="U38" s="103"/>
    </row>
    <row r="39" spans="2:22" ht="28.2" customHeight="1" x14ac:dyDescent="0.35">
      <c r="B39" s="126"/>
      <c r="C39" s="128" t="s">
        <v>135</v>
      </c>
      <c r="D39" s="91" t="s">
        <v>136</v>
      </c>
      <c r="E39" s="92">
        <f t="shared" si="0"/>
        <v>36</v>
      </c>
      <c r="F39" s="100"/>
      <c r="G39" s="94" t="s">
        <v>134</v>
      </c>
      <c r="H39" s="51" t="s">
        <v>712</v>
      </c>
      <c r="I39" s="51" t="s">
        <v>293</v>
      </c>
      <c r="J39" s="51" t="s">
        <v>293</v>
      </c>
      <c r="K39" s="51" t="s">
        <v>293</v>
      </c>
      <c r="L39" s="51" t="s">
        <v>293</v>
      </c>
      <c r="M39" s="51" t="s">
        <v>293</v>
      </c>
      <c r="N39" s="51" t="s">
        <v>293</v>
      </c>
      <c r="O39" s="51" t="s">
        <v>633</v>
      </c>
      <c r="P39" s="65" t="s">
        <v>293</v>
      </c>
      <c r="Q39" s="86"/>
      <c r="R39" s="62"/>
      <c r="S39" s="87"/>
      <c r="T39" s="88"/>
      <c r="U39" s="103"/>
      <c r="V39" s="130"/>
    </row>
    <row r="40" spans="2:22" ht="48.6" customHeight="1" x14ac:dyDescent="0.35">
      <c r="B40" s="126"/>
      <c r="C40" s="127"/>
      <c r="D40" s="91" t="s">
        <v>373</v>
      </c>
      <c r="E40" s="92">
        <f t="shared" si="0"/>
        <v>37</v>
      </c>
      <c r="F40" s="100" t="s">
        <v>234</v>
      </c>
      <c r="G40" s="94" t="s">
        <v>134</v>
      </c>
      <c r="H40" s="51" t="s">
        <v>712</v>
      </c>
      <c r="I40" s="51" t="s">
        <v>293</v>
      </c>
      <c r="J40" s="51" t="s">
        <v>293</v>
      </c>
      <c r="K40" s="51" t="s">
        <v>293</v>
      </c>
      <c r="L40" s="51" t="s">
        <v>293</v>
      </c>
      <c r="M40" s="51" t="s">
        <v>293</v>
      </c>
      <c r="N40" s="51" t="s">
        <v>293</v>
      </c>
      <c r="O40" s="51" t="s">
        <v>293</v>
      </c>
      <c r="P40" s="65" t="s">
        <v>293</v>
      </c>
      <c r="Q40" s="86"/>
      <c r="R40" s="62"/>
      <c r="S40" s="87"/>
      <c r="T40" s="88"/>
      <c r="U40" s="103"/>
      <c r="V40" s="130"/>
    </row>
    <row r="41" spans="2:22" ht="28.2" customHeight="1" x14ac:dyDescent="0.35">
      <c r="B41" s="126"/>
      <c r="C41" s="127"/>
      <c r="D41" s="91" t="s">
        <v>137</v>
      </c>
      <c r="E41" s="92">
        <f t="shared" si="0"/>
        <v>38</v>
      </c>
      <c r="F41" s="100"/>
      <c r="G41" s="94" t="s">
        <v>139</v>
      </c>
      <c r="H41" s="51" t="s">
        <v>712</v>
      </c>
      <c r="I41" s="51" t="s">
        <v>293</v>
      </c>
      <c r="J41" s="51" t="s">
        <v>293</v>
      </c>
      <c r="K41" s="51" t="s">
        <v>293</v>
      </c>
      <c r="L41" s="51" t="s">
        <v>293</v>
      </c>
      <c r="M41" s="51" t="s">
        <v>293</v>
      </c>
      <c r="N41" s="51" t="s">
        <v>293</v>
      </c>
      <c r="O41" s="51" t="s">
        <v>293</v>
      </c>
      <c r="P41" s="65" t="s">
        <v>293</v>
      </c>
      <c r="Q41" s="86"/>
      <c r="R41" s="62"/>
      <c r="S41" s="87"/>
      <c r="T41" s="88"/>
      <c r="U41" s="103"/>
    </row>
    <row r="42" spans="2:22" ht="28.2" customHeight="1" x14ac:dyDescent="0.35">
      <c r="B42" s="126"/>
      <c r="C42" s="127"/>
      <c r="D42" s="91" t="s">
        <v>138</v>
      </c>
      <c r="E42" s="92">
        <f t="shared" si="0"/>
        <v>39</v>
      </c>
      <c r="F42" s="100"/>
      <c r="G42" s="94" t="s">
        <v>134</v>
      </c>
      <c r="H42" s="51" t="s">
        <v>712</v>
      </c>
      <c r="I42" s="51" t="s">
        <v>293</v>
      </c>
      <c r="J42" s="51" t="s">
        <v>293</v>
      </c>
      <c r="K42" s="51" t="s">
        <v>293</v>
      </c>
      <c r="L42" s="51" t="s">
        <v>293</v>
      </c>
      <c r="M42" s="51" t="s">
        <v>293</v>
      </c>
      <c r="N42" s="51" t="s">
        <v>293</v>
      </c>
      <c r="O42" s="51" t="s">
        <v>293</v>
      </c>
      <c r="P42" s="65" t="s">
        <v>293</v>
      </c>
      <c r="Q42" s="86"/>
      <c r="R42" s="62"/>
      <c r="S42" s="87"/>
      <c r="T42" s="88"/>
      <c r="U42" s="103"/>
      <c r="V42" s="130"/>
    </row>
    <row r="43" spans="2:22"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68"/>
      <c r="R43" s="54"/>
      <c r="S43" s="70"/>
      <c r="T43" s="361"/>
      <c r="U43" s="105" t="s">
        <v>721</v>
      </c>
      <c r="V43" s="130"/>
    </row>
    <row r="44" spans="2:22" ht="37.799999999999997" customHeight="1" x14ac:dyDescent="0.35">
      <c r="B44" s="126"/>
      <c r="C44" s="127"/>
      <c r="D44" s="91" t="s">
        <v>240</v>
      </c>
      <c r="E44" s="92">
        <f t="shared" si="0"/>
        <v>41</v>
      </c>
      <c r="F44" s="100" t="s">
        <v>220</v>
      </c>
      <c r="G44" s="94" t="s">
        <v>134</v>
      </c>
      <c r="H44" s="51" t="s">
        <v>712</v>
      </c>
      <c r="I44" s="51" t="s">
        <v>293</v>
      </c>
      <c r="J44" s="51" t="s">
        <v>293</v>
      </c>
      <c r="K44" s="51" t="s">
        <v>293</v>
      </c>
      <c r="L44" s="51" t="s">
        <v>293</v>
      </c>
      <c r="M44" s="51" t="s">
        <v>293</v>
      </c>
      <c r="N44" s="51" t="s">
        <v>293</v>
      </c>
      <c r="O44" s="51" t="s">
        <v>293</v>
      </c>
      <c r="P44" s="65" t="s">
        <v>293</v>
      </c>
      <c r="Q44" s="86"/>
      <c r="R44" s="62"/>
      <c r="S44" s="87"/>
      <c r="T44" s="88"/>
      <c r="U44" s="104"/>
    </row>
    <row r="45" spans="2:22" ht="28.2" customHeight="1" x14ac:dyDescent="0.35">
      <c r="B45" s="126"/>
      <c r="C45" s="127"/>
      <c r="D45" s="91" t="s">
        <v>241</v>
      </c>
      <c r="E45" s="92">
        <f t="shared" si="0"/>
        <v>42</v>
      </c>
      <c r="F45" s="100" t="s">
        <v>223</v>
      </c>
      <c r="G45" s="94" t="s">
        <v>134</v>
      </c>
      <c r="H45" s="51" t="s">
        <v>712</v>
      </c>
      <c r="I45" s="51" t="s">
        <v>293</v>
      </c>
      <c r="J45" s="51" t="s">
        <v>293</v>
      </c>
      <c r="K45" s="51" t="s">
        <v>293</v>
      </c>
      <c r="L45" s="51" t="s">
        <v>293</v>
      </c>
      <c r="M45" s="51" t="s">
        <v>293</v>
      </c>
      <c r="N45" s="51" t="s">
        <v>293</v>
      </c>
      <c r="O45" s="51" t="s">
        <v>293</v>
      </c>
      <c r="P45" s="65" t="s">
        <v>293</v>
      </c>
      <c r="Q45" s="86"/>
      <c r="R45" s="62"/>
      <c r="S45" s="87"/>
      <c r="T45" s="88"/>
      <c r="U45" s="103"/>
    </row>
    <row r="46" spans="2:22" ht="36" customHeight="1" x14ac:dyDescent="0.35">
      <c r="B46" s="126"/>
      <c r="C46" s="127"/>
      <c r="D46" s="248" t="s">
        <v>369</v>
      </c>
      <c r="E46" s="97">
        <f t="shared" si="0"/>
        <v>43</v>
      </c>
      <c r="F46" s="98" t="s">
        <v>786</v>
      </c>
      <c r="G46" s="99" t="s">
        <v>134</v>
      </c>
      <c r="H46" s="53" t="s">
        <v>293</v>
      </c>
      <c r="I46" s="53" t="s">
        <v>293</v>
      </c>
      <c r="J46" s="53" t="s">
        <v>293</v>
      </c>
      <c r="K46" s="53" t="s">
        <v>293</v>
      </c>
      <c r="L46" s="53" t="s">
        <v>293</v>
      </c>
      <c r="M46" s="53" t="s">
        <v>293</v>
      </c>
      <c r="N46" s="53" t="s">
        <v>293</v>
      </c>
      <c r="O46" s="53" t="s">
        <v>293</v>
      </c>
      <c r="P46" s="66" t="s">
        <v>293</v>
      </c>
      <c r="Q46" s="395"/>
      <c r="R46" s="446"/>
      <c r="S46" s="447"/>
      <c r="T46" s="361"/>
      <c r="U46" s="392" t="s">
        <v>772</v>
      </c>
    </row>
    <row r="47" spans="2:22" ht="36" customHeight="1" x14ac:dyDescent="0.35">
      <c r="B47" s="126"/>
      <c r="C47" s="127"/>
      <c r="D47" s="249"/>
      <c r="E47" s="92">
        <f t="shared" si="0"/>
        <v>44</v>
      </c>
      <c r="F47" s="100" t="s">
        <v>379</v>
      </c>
      <c r="G47" s="94" t="s">
        <v>370</v>
      </c>
      <c r="H47" s="51" t="s">
        <v>712</v>
      </c>
      <c r="I47" s="51" t="s">
        <v>293</v>
      </c>
      <c r="J47" s="51" t="s">
        <v>293</v>
      </c>
      <c r="K47" s="51" t="s">
        <v>712</v>
      </c>
      <c r="L47" s="51" t="s">
        <v>293</v>
      </c>
      <c r="M47" s="51" t="s">
        <v>293</v>
      </c>
      <c r="N47" s="51" t="s">
        <v>293</v>
      </c>
      <c r="O47" s="51" t="s">
        <v>293</v>
      </c>
      <c r="P47" s="65" t="s">
        <v>293</v>
      </c>
      <c r="Q47" s="86"/>
      <c r="R47" s="62"/>
      <c r="S47" s="87"/>
      <c r="T47" s="88"/>
      <c r="U47" s="103"/>
    </row>
    <row r="48" spans="2:22" ht="52.8" customHeight="1" x14ac:dyDescent="0.35">
      <c r="B48" s="126"/>
      <c r="C48" s="127"/>
      <c r="D48" s="257"/>
      <c r="E48" s="92">
        <f t="shared" si="0"/>
        <v>45</v>
      </c>
      <c r="F48" s="100" t="s">
        <v>380</v>
      </c>
      <c r="G48" s="94" t="s">
        <v>371</v>
      </c>
      <c r="H48" s="51" t="s">
        <v>712</v>
      </c>
      <c r="I48" s="51" t="s">
        <v>293</v>
      </c>
      <c r="J48" s="51" t="s">
        <v>293</v>
      </c>
      <c r="K48" s="51" t="s">
        <v>293</v>
      </c>
      <c r="L48" s="51" t="s">
        <v>293</v>
      </c>
      <c r="M48" s="51" t="s">
        <v>293</v>
      </c>
      <c r="N48" s="51" t="s">
        <v>293</v>
      </c>
      <c r="O48" s="51" t="s">
        <v>293</v>
      </c>
      <c r="P48" s="65" t="s">
        <v>293</v>
      </c>
      <c r="Q48" s="86"/>
      <c r="R48" s="62"/>
      <c r="S48" s="87"/>
      <c r="T48" s="88"/>
      <c r="U48" s="103"/>
    </row>
    <row r="49" spans="2:22" ht="28.2" customHeight="1" x14ac:dyDescent="0.35">
      <c r="B49" s="126"/>
      <c r="C49" s="347" t="s">
        <v>245</v>
      </c>
      <c r="D49" s="96" t="s">
        <v>243</v>
      </c>
      <c r="E49" s="97">
        <f t="shared" si="0"/>
        <v>46</v>
      </c>
      <c r="F49" s="98"/>
      <c r="G49" s="99" t="s">
        <v>140</v>
      </c>
      <c r="H49" s="82" t="s">
        <v>657</v>
      </c>
      <c r="I49" s="53" t="s">
        <v>657</v>
      </c>
      <c r="J49" s="53" t="s">
        <v>293</v>
      </c>
      <c r="K49" s="53" t="s">
        <v>293</v>
      </c>
      <c r="L49" s="53" t="s">
        <v>293</v>
      </c>
      <c r="M49" s="53" t="s">
        <v>293</v>
      </c>
      <c r="N49" s="53" t="s">
        <v>293</v>
      </c>
      <c r="O49" s="53" t="s">
        <v>293</v>
      </c>
      <c r="P49" s="66" t="s">
        <v>293</v>
      </c>
      <c r="Q49" s="68"/>
      <c r="R49" s="54"/>
      <c r="S49" s="70"/>
      <c r="T49" s="361"/>
      <c r="U49" s="105" t="s">
        <v>659</v>
      </c>
    </row>
    <row r="50" spans="2:22" ht="28.2" customHeight="1" x14ac:dyDescent="0.35">
      <c r="B50" s="126"/>
      <c r="C50" s="396"/>
      <c r="D50" s="397" t="s">
        <v>243</v>
      </c>
      <c r="E50" s="97">
        <f t="shared" si="0"/>
        <v>47</v>
      </c>
      <c r="F50" s="98"/>
      <c r="G50" s="99" t="s">
        <v>140</v>
      </c>
      <c r="H50" s="82" t="s">
        <v>657</v>
      </c>
      <c r="I50" s="53" t="s">
        <v>657</v>
      </c>
      <c r="J50" s="53" t="s">
        <v>293</v>
      </c>
      <c r="K50" s="53" t="s">
        <v>293</v>
      </c>
      <c r="L50" s="53" t="s">
        <v>293</v>
      </c>
      <c r="M50" s="53" t="s">
        <v>293</v>
      </c>
      <c r="N50" s="53" t="s">
        <v>293</v>
      </c>
      <c r="O50" s="53" t="s">
        <v>293</v>
      </c>
      <c r="P50" s="66" t="s">
        <v>293</v>
      </c>
      <c r="Q50" s="68"/>
      <c r="R50" s="54"/>
      <c r="S50" s="70"/>
      <c r="T50" s="361"/>
      <c r="U50" s="105" t="s">
        <v>659</v>
      </c>
    </row>
    <row r="51" spans="2:22" ht="28.2" customHeight="1" x14ac:dyDescent="0.35">
      <c r="B51" s="126"/>
      <c r="C51" s="396"/>
      <c r="D51" s="403"/>
      <c r="E51" s="97">
        <f t="shared" si="0"/>
        <v>48</v>
      </c>
      <c r="F51" s="98"/>
      <c r="G51" s="99" t="s">
        <v>141</v>
      </c>
      <c r="H51" s="82" t="s">
        <v>657</v>
      </c>
      <c r="I51" s="53" t="s">
        <v>657</v>
      </c>
      <c r="J51" s="53" t="s">
        <v>293</v>
      </c>
      <c r="K51" s="53" t="s">
        <v>293</v>
      </c>
      <c r="L51" s="53" t="s">
        <v>293</v>
      </c>
      <c r="M51" s="53" t="s">
        <v>293</v>
      </c>
      <c r="N51" s="53" t="s">
        <v>293</v>
      </c>
      <c r="O51" s="53" t="s">
        <v>293</v>
      </c>
      <c r="P51" s="66" t="s">
        <v>293</v>
      </c>
      <c r="Q51" s="68"/>
      <c r="R51" s="54"/>
      <c r="S51" s="70"/>
      <c r="T51" s="361"/>
      <c r="U51" s="105" t="s">
        <v>659</v>
      </c>
    </row>
    <row r="52" spans="2:22" ht="28.2" customHeight="1" x14ac:dyDescent="0.35">
      <c r="B52" s="126"/>
      <c r="C52" s="128" t="s">
        <v>142</v>
      </c>
      <c r="D52" s="91" t="s">
        <v>143</v>
      </c>
      <c r="E52" s="92">
        <f t="shared" si="0"/>
        <v>49</v>
      </c>
      <c r="F52" s="93"/>
      <c r="G52" s="94" t="s">
        <v>769</v>
      </c>
      <c r="H52" s="51" t="s">
        <v>712</v>
      </c>
      <c r="I52" s="51" t="s">
        <v>293</v>
      </c>
      <c r="J52" s="51" t="s">
        <v>293</v>
      </c>
      <c r="K52" s="51" t="s">
        <v>293</v>
      </c>
      <c r="L52" s="51" t="s">
        <v>293</v>
      </c>
      <c r="M52" s="51" t="s">
        <v>293</v>
      </c>
      <c r="N52" s="51" t="s">
        <v>293</v>
      </c>
      <c r="O52" s="51" t="s">
        <v>293</v>
      </c>
      <c r="P52" s="65" t="s">
        <v>293</v>
      </c>
      <c r="Q52" s="86"/>
      <c r="R52" s="62"/>
      <c r="S52" s="87"/>
      <c r="T52" s="88"/>
      <c r="U52" s="103"/>
    </row>
    <row r="53" spans="2:22" ht="28.2" customHeight="1" x14ac:dyDescent="0.35">
      <c r="B53" s="126"/>
      <c r="C53" s="127"/>
      <c r="D53" s="96" t="s">
        <v>144</v>
      </c>
      <c r="E53" s="97">
        <f t="shared" si="0"/>
        <v>50</v>
      </c>
      <c r="F53" s="98"/>
      <c r="G53" s="99" t="s">
        <v>359</v>
      </c>
      <c r="H53" s="53" t="s">
        <v>293</v>
      </c>
      <c r="I53" s="53" t="s">
        <v>293</v>
      </c>
      <c r="J53" s="53" t="s">
        <v>293</v>
      </c>
      <c r="K53" s="53" t="s">
        <v>293</v>
      </c>
      <c r="L53" s="53" t="s">
        <v>293</v>
      </c>
      <c r="M53" s="53" t="s">
        <v>293</v>
      </c>
      <c r="N53" s="53" t="s">
        <v>633</v>
      </c>
      <c r="O53" s="53" t="s">
        <v>293</v>
      </c>
      <c r="P53" s="66" t="s">
        <v>293</v>
      </c>
      <c r="Q53" s="395"/>
      <c r="R53" s="446"/>
      <c r="S53" s="447"/>
      <c r="T53" s="361"/>
      <c r="U53" s="392" t="s">
        <v>772</v>
      </c>
    </row>
    <row r="54" spans="2:22" ht="28.2" customHeight="1" x14ac:dyDescent="0.35">
      <c r="B54" s="126"/>
      <c r="C54" s="127"/>
      <c r="D54" s="245" t="s">
        <v>360</v>
      </c>
      <c r="E54" s="246">
        <f t="shared" si="0"/>
        <v>51</v>
      </c>
      <c r="F54" s="100"/>
      <c r="G54" s="94" t="s">
        <v>361</v>
      </c>
      <c r="H54" s="51" t="s">
        <v>712</v>
      </c>
      <c r="I54" s="405" t="s">
        <v>293</v>
      </c>
      <c r="J54" s="405" t="s">
        <v>293</v>
      </c>
      <c r="K54" s="405" t="s">
        <v>293</v>
      </c>
      <c r="L54" s="405" t="s">
        <v>293</v>
      </c>
      <c r="M54" s="405" t="s">
        <v>293</v>
      </c>
      <c r="N54" s="405" t="s">
        <v>293</v>
      </c>
      <c r="O54" s="405" t="s">
        <v>293</v>
      </c>
      <c r="P54" s="409" t="s">
        <v>293</v>
      </c>
      <c r="Q54" s="472"/>
      <c r="R54" s="406"/>
      <c r="S54" s="473"/>
      <c r="T54" s="474"/>
      <c r="U54" s="407"/>
    </row>
    <row r="55" spans="2:22" ht="28.2" customHeight="1" x14ac:dyDescent="0.35">
      <c r="B55" s="126"/>
      <c r="C55" s="127"/>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91" t="s">
        <v>148</v>
      </c>
      <c r="E56" s="92">
        <f t="shared" si="0"/>
        <v>53</v>
      </c>
      <c r="F56" s="93"/>
      <c r="G56" s="94" t="s">
        <v>149</v>
      </c>
      <c r="H56" s="64" t="s">
        <v>293</v>
      </c>
      <c r="I56" s="51" t="s">
        <v>293</v>
      </c>
      <c r="J56" s="51" t="s">
        <v>293</v>
      </c>
      <c r="K56" s="51" t="s">
        <v>712</v>
      </c>
      <c r="L56" s="51" t="s">
        <v>293</v>
      </c>
      <c r="M56" s="51" t="s">
        <v>712</v>
      </c>
      <c r="N56" s="51" t="s">
        <v>293</v>
      </c>
      <c r="O56" s="51" t="s">
        <v>293</v>
      </c>
      <c r="P56" s="65" t="s">
        <v>293</v>
      </c>
      <c r="Q56" s="86"/>
      <c r="R56" s="62"/>
      <c r="S56" s="87"/>
      <c r="T56" s="88"/>
      <c r="U56" s="104"/>
    </row>
    <row r="57" spans="2:22" ht="52.8" customHeight="1" x14ac:dyDescent="0.35">
      <c r="B57" s="126"/>
      <c r="C57" s="127"/>
      <c r="D57" s="91" t="s">
        <v>347</v>
      </c>
      <c r="E57" s="92">
        <f t="shared" si="0"/>
        <v>54</v>
      </c>
      <c r="F57" s="93" t="s">
        <v>348</v>
      </c>
      <c r="G57" s="404" t="s">
        <v>637</v>
      </c>
      <c r="H57" s="51" t="s">
        <v>712</v>
      </c>
      <c r="I57" s="51" t="s">
        <v>293</v>
      </c>
      <c r="J57" s="51" t="s">
        <v>293</v>
      </c>
      <c r="K57" s="51" t="s">
        <v>712</v>
      </c>
      <c r="L57" s="51" t="s">
        <v>293</v>
      </c>
      <c r="M57" s="51" t="s">
        <v>293</v>
      </c>
      <c r="N57" s="51" t="s">
        <v>293</v>
      </c>
      <c r="O57" s="51" t="s">
        <v>293</v>
      </c>
      <c r="P57" s="65" t="s">
        <v>293</v>
      </c>
      <c r="Q57" s="86"/>
      <c r="R57" s="62"/>
      <c r="S57" s="87"/>
      <c r="T57" s="88"/>
      <c r="U57" s="103"/>
    </row>
    <row r="58" spans="2:22" ht="28.2" customHeight="1" x14ac:dyDescent="0.35">
      <c r="B58" s="126"/>
      <c r="C58" s="128" t="s">
        <v>150</v>
      </c>
      <c r="D58" s="91" t="s">
        <v>151</v>
      </c>
      <c r="E58" s="92">
        <f t="shared" si="0"/>
        <v>55</v>
      </c>
      <c r="F58" s="93"/>
      <c r="G58" s="94" t="s">
        <v>364</v>
      </c>
      <c r="H58" s="51" t="s">
        <v>712</v>
      </c>
      <c r="I58" s="405" t="s">
        <v>293</v>
      </c>
      <c r="J58" s="405" t="s">
        <v>293</v>
      </c>
      <c r="K58" s="405" t="s">
        <v>293</v>
      </c>
      <c r="L58" s="51" t="s">
        <v>293</v>
      </c>
      <c r="M58" s="51" t="s">
        <v>293</v>
      </c>
      <c r="N58" s="51" t="s">
        <v>293</v>
      </c>
      <c r="O58" s="51" t="s">
        <v>293</v>
      </c>
      <c r="P58" s="65" t="s">
        <v>293</v>
      </c>
      <c r="Q58" s="86"/>
      <c r="R58" s="62"/>
      <c r="S58" s="87"/>
      <c r="T58" s="88"/>
      <c r="U58" s="103"/>
    </row>
    <row r="59" spans="2:22" ht="28.2" customHeight="1" x14ac:dyDescent="0.35">
      <c r="B59" s="126"/>
      <c r="C59" s="127"/>
      <c r="D59" s="91" t="s">
        <v>152</v>
      </c>
      <c r="E59" s="92">
        <f t="shared" si="0"/>
        <v>56</v>
      </c>
      <c r="F59" s="93"/>
      <c r="G59" s="94" t="s">
        <v>365</v>
      </c>
      <c r="H59" s="51" t="s">
        <v>712</v>
      </c>
      <c r="I59" s="405" t="s">
        <v>293</v>
      </c>
      <c r="J59" s="405" t="s">
        <v>293</v>
      </c>
      <c r="K59" s="405" t="s">
        <v>293</v>
      </c>
      <c r="L59" s="51" t="s">
        <v>293</v>
      </c>
      <c r="M59" s="51" t="s">
        <v>293</v>
      </c>
      <c r="N59" s="51" t="s">
        <v>293</v>
      </c>
      <c r="O59" s="51" t="s">
        <v>293</v>
      </c>
      <c r="P59" s="65" t="s">
        <v>293</v>
      </c>
      <c r="Q59" s="86"/>
      <c r="R59" s="62"/>
      <c r="S59" s="87"/>
      <c r="T59" s="88"/>
      <c r="U59" s="103"/>
    </row>
    <row r="60" spans="2:22" ht="28.2" customHeight="1" x14ac:dyDescent="0.35">
      <c r="B60" s="126"/>
      <c r="C60" s="127"/>
      <c r="D60" s="91" t="s">
        <v>153</v>
      </c>
      <c r="E60" s="92">
        <f t="shared" si="0"/>
        <v>57</v>
      </c>
      <c r="F60" s="93"/>
      <c r="G60" s="94" t="s">
        <v>158</v>
      </c>
      <c r="H60" s="51" t="s">
        <v>712</v>
      </c>
      <c r="I60" s="405" t="s">
        <v>293</v>
      </c>
      <c r="J60" s="405" t="s">
        <v>293</v>
      </c>
      <c r="K60" s="405" t="s">
        <v>293</v>
      </c>
      <c r="L60" s="51" t="s">
        <v>293</v>
      </c>
      <c r="M60" s="51" t="s">
        <v>293</v>
      </c>
      <c r="N60" s="51" t="s">
        <v>293</v>
      </c>
      <c r="O60" s="51" t="s">
        <v>293</v>
      </c>
      <c r="P60" s="65" t="s">
        <v>293</v>
      </c>
      <c r="Q60" s="86"/>
      <c r="R60" s="62"/>
      <c r="S60" s="87"/>
      <c r="T60" s="88"/>
      <c r="U60" s="103" t="s">
        <v>695</v>
      </c>
    </row>
    <row r="61" spans="2:22" ht="28.2" customHeight="1" x14ac:dyDescent="0.35">
      <c r="B61" s="126"/>
      <c r="C61" s="127"/>
      <c r="D61" s="91" t="s">
        <v>154</v>
      </c>
      <c r="E61" s="92">
        <f t="shared" si="0"/>
        <v>58</v>
      </c>
      <c r="F61" s="93"/>
      <c r="G61" s="94" t="s">
        <v>159</v>
      </c>
      <c r="H61" s="51" t="s">
        <v>712</v>
      </c>
      <c r="I61" s="405" t="s">
        <v>293</v>
      </c>
      <c r="J61" s="405" t="s">
        <v>293</v>
      </c>
      <c r="K61" s="405" t="s">
        <v>293</v>
      </c>
      <c r="L61" s="51" t="s">
        <v>293</v>
      </c>
      <c r="M61" s="51" t="s">
        <v>293</v>
      </c>
      <c r="N61" s="51" t="s">
        <v>293</v>
      </c>
      <c r="O61" s="51" t="s">
        <v>293</v>
      </c>
      <c r="P61" s="65" t="s">
        <v>293</v>
      </c>
      <c r="Q61" s="86"/>
      <c r="R61" s="62"/>
      <c r="S61" s="87"/>
      <c r="T61" s="88"/>
      <c r="U61" s="103"/>
    </row>
    <row r="62" spans="2:22" ht="28.2" customHeight="1" x14ac:dyDescent="0.35">
      <c r="B62" s="126"/>
      <c r="C62" s="127"/>
      <c r="D62" s="91" t="s">
        <v>155</v>
      </c>
      <c r="E62" s="92">
        <f t="shared" si="0"/>
        <v>59</v>
      </c>
      <c r="F62" s="93"/>
      <c r="G62" s="94" t="s">
        <v>160</v>
      </c>
      <c r="H62" s="51" t="s">
        <v>712</v>
      </c>
      <c r="I62" s="405" t="s">
        <v>293</v>
      </c>
      <c r="J62" s="405" t="s">
        <v>293</v>
      </c>
      <c r="K62" s="405" t="s">
        <v>293</v>
      </c>
      <c r="L62" s="51" t="s">
        <v>293</v>
      </c>
      <c r="M62" s="51" t="s">
        <v>293</v>
      </c>
      <c r="N62" s="51" t="s">
        <v>293</v>
      </c>
      <c r="O62" s="51" t="s">
        <v>293</v>
      </c>
      <c r="P62" s="65" t="s">
        <v>293</v>
      </c>
      <c r="Q62" s="86"/>
      <c r="R62" s="62"/>
      <c r="S62" s="87"/>
      <c r="T62" s="88"/>
      <c r="U62" s="103"/>
      <c r="V62" s="130"/>
    </row>
    <row r="63" spans="2:22" ht="28.2" customHeight="1" x14ac:dyDescent="0.35">
      <c r="B63" s="126"/>
      <c r="C63" s="127"/>
      <c r="D63" s="91" t="s">
        <v>156</v>
      </c>
      <c r="E63" s="92">
        <f t="shared" si="0"/>
        <v>60</v>
      </c>
      <c r="F63" s="93"/>
      <c r="G63" s="94" t="s">
        <v>160</v>
      </c>
      <c r="H63" s="51" t="s">
        <v>712</v>
      </c>
      <c r="I63" s="405" t="s">
        <v>293</v>
      </c>
      <c r="J63" s="405" t="s">
        <v>293</v>
      </c>
      <c r="K63" s="405" t="s">
        <v>293</v>
      </c>
      <c r="L63" s="51" t="s">
        <v>293</v>
      </c>
      <c r="M63" s="51" t="s">
        <v>293</v>
      </c>
      <c r="N63" s="51" t="s">
        <v>293</v>
      </c>
      <c r="O63" s="51" t="s">
        <v>293</v>
      </c>
      <c r="P63" s="65" t="s">
        <v>293</v>
      </c>
      <c r="Q63" s="86"/>
      <c r="R63" s="62"/>
      <c r="S63" s="87"/>
      <c r="T63" s="88"/>
      <c r="U63" s="103"/>
      <c r="V63" s="130"/>
    </row>
    <row r="64" spans="2:22" ht="28.2" customHeight="1" x14ac:dyDescent="0.35">
      <c r="B64" s="126"/>
      <c r="C64" s="127"/>
      <c r="D64" s="91" t="s">
        <v>157</v>
      </c>
      <c r="E64" s="92">
        <f t="shared" si="0"/>
        <v>61</v>
      </c>
      <c r="F64" s="100"/>
      <c r="G64" s="94" t="s">
        <v>160</v>
      </c>
      <c r="H64" s="51" t="s">
        <v>712</v>
      </c>
      <c r="I64" s="405" t="s">
        <v>293</v>
      </c>
      <c r="J64" s="405" t="s">
        <v>293</v>
      </c>
      <c r="K64" s="405" t="s">
        <v>293</v>
      </c>
      <c r="L64" s="51" t="s">
        <v>293</v>
      </c>
      <c r="M64" s="51" t="s">
        <v>293</v>
      </c>
      <c r="N64" s="51" t="s">
        <v>293</v>
      </c>
      <c r="O64" s="51" t="s">
        <v>293</v>
      </c>
      <c r="P64" s="65" t="s">
        <v>293</v>
      </c>
      <c r="Q64" s="86"/>
      <c r="R64" s="62"/>
      <c r="S64" s="87"/>
      <c r="T64" s="88"/>
      <c r="U64" s="103"/>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68"/>
      <c r="R65" s="54"/>
      <c r="S65" s="70"/>
      <c r="T65" s="361"/>
      <c r="U65" s="105" t="s">
        <v>721</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68"/>
      <c r="R66" s="54"/>
      <c r="S66" s="70"/>
      <c r="T66" s="361"/>
      <c r="U66" s="105" t="s">
        <v>720</v>
      </c>
    </row>
    <row r="67" spans="2:22" ht="37.799999999999997" customHeight="1" x14ac:dyDescent="0.35">
      <c r="B67" s="126"/>
      <c r="C67" s="396"/>
      <c r="D67" s="394" t="s">
        <v>233</v>
      </c>
      <c r="E67" s="97">
        <f t="shared" ref="E67:E98" si="1">ROW()-3</f>
        <v>64</v>
      </c>
      <c r="F67" s="98"/>
      <c r="G67" s="99" t="s">
        <v>222</v>
      </c>
      <c r="H67" s="53" t="s">
        <v>293</v>
      </c>
      <c r="I67" s="53" t="s">
        <v>293</v>
      </c>
      <c r="J67" s="53" t="s">
        <v>293</v>
      </c>
      <c r="K67" s="53" t="s">
        <v>293</v>
      </c>
      <c r="L67" s="53" t="s">
        <v>293</v>
      </c>
      <c r="M67" s="53" t="s">
        <v>293</v>
      </c>
      <c r="N67" s="53" t="s">
        <v>293</v>
      </c>
      <c r="O67" s="53" t="s">
        <v>293</v>
      </c>
      <c r="P67" s="66" t="s">
        <v>293</v>
      </c>
      <c r="Q67" s="68"/>
      <c r="R67" s="54"/>
      <c r="S67" s="70"/>
      <c r="T67" s="361"/>
      <c r="U67" s="105" t="s">
        <v>720</v>
      </c>
    </row>
    <row r="68" spans="2:22" ht="43.8" customHeight="1" x14ac:dyDescent="0.35">
      <c r="B68" s="126"/>
      <c r="C68" s="128" t="s">
        <v>161</v>
      </c>
      <c r="D68" s="95" t="s">
        <v>207</v>
      </c>
      <c r="E68" s="92">
        <f t="shared" si="1"/>
        <v>65</v>
      </c>
      <c r="F68" s="93"/>
      <c r="G68" s="94" t="s">
        <v>206</v>
      </c>
      <c r="H68" s="51" t="s">
        <v>712</v>
      </c>
      <c r="I68" s="405" t="s">
        <v>293</v>
      </c>
      <c r="J68" s="405" t="s">
        <v>293</v>
      </c>
      <c r="K68" s="405" t="s">
        <v>293</v>
      </c>
      <c r="L68" s="51" t="s">
        <v>712</v>
      </c>
      <c r="M68" s="51" t="s">
        <v>712</v>
      </c>
      <c r="N68" s="51" t="s">
        <v>293</v>
      </c>
      <c r="O68" s="51" t="s">
        <v>293</v>
      </c>
      <c r="P68" s="65" t="s">
        <v>293</v>
      </c>
      <c r="Q68" s="86"/>
      <c r="R68" s="62"/>
      <c r="S68" s="87"/>
      <c r="T68" s="88"/>
      <c r="U68" s="104"/>
    </row>
    <row r="69" spans="2:22" ht="43.8" customHeight="1" x14ac:dyDescent="0.35">
      <c r="B69" s="126"/>
      <c r="C69" s="127"/>
      <c r="D69" s="95" t="s">
        <v>208</v>
      </c>
      <c r="E69" s="92">
        <f t="shared" si="1"/>
        <v>66</v>
      </c>
      <c r="F69" s="93"/>
      <c r="G69" s="94" t="s">
        <v>246</v>
      </c>
      <c r="H69" s="51" t="s">
        <v>712</v>
      </c>
      <c r="I69" s="405" t="s">
        <v>293</v>
      </c>
      <c r="J69" s="405" t="s">
        <v>293</v>
      </c>
      <c r="K69" s="405" t="s">
        <v>293</v>
      </c>
      <c r="L69" s="51" t="s">
        <v>712</v>
      </c>
      <c r="M69" s="51" t="s">
        <v>712</v>
      </c>
      <c r="N69" s="51" t="s">
        <v>293</v>
      </c>
      <c r="O69" s="51" t="s">
        <v>293</v>
      </c>
      <c r="P69" s="65" t="s">
        <v>293</v>
      </c>
      <c r="Q69" s="86"/>
      <c r="R69" s="62"/>
      <c r="S69" s="87"/>
      <c r="T69" s="88"/>
      <c r="U69" s="103"/>
    </row>
    <row r="70" spans="2:22" ht="43.8" customHeight="1" x14ac:dyDescent="0.35">
      <c r="B70" s="126"/>
      <c r="C70" s="127"/>
      <c r="D70" s="95" t="s">
        <v>344</v>
      </c>
      <c r="E70" s="92">
        <f t="shared" si="1"/>
        <v>67</v>
      </c>
      <c r="F70" s="93"/>
      <c r="G70" s="94" t="s">
        <v>368</v>
      </c>
      <c r="H70" s="51" t="s">
        <v>712</v>
      </c>
      <c r="I70" s="405" t="s">
        <v>293</v>
      </c>
      <c r="J70" s="405" t="s">
        <v>293</v>
      </c>
      <c r="K70" s="405" t="s">
        <v>293</v>
      </c>
      <c r="L70" s="51" t="s">
        <v>712</v>
      </c>
      <c r="M70" s="51" t="s">
        <v>712</v>
      </c>
      <c r="N70" s="51" t="s">
        <v>293</v>
      </c>
      <c r="O70" s="51" t="s">
        <v>293</v>
      </c>
      <c r="P70" s="65" t="s">
        <v>293</v>
      </c>
      <c r="Q70" s="86"/>
      <c r="R70" s="62"/>
      <c r="S70" s="87"/>
      <c r="T70" s="88"/>
      <c r="U70" s="103"/>
    </row>
    <row r="71" spans="2:22" ht="43.8" customHeight="1" x14ac:dyDescent="0.35">
      <c r="B71" s="126"/>
      <c r="C71" s="127"/>
      <c r="D71" s="91" t="s">
        <v>162</v>
      </c>
      <c r="E71" s="92">
        <f t="shared" si="1"/>
        <v>68</v>
      </c>
      <c r="F71" s="93"/>
      <c r="G71" s="94" t="s">
        <v>164</v>
      </c>
      <c r="H71" s="51" t="s">
        <v>712</v>
      </c>
      <c r="I71" s="405" t="s">
        <v>293</v>
      </c>
      <c r="J71" s="405" t="s">
        <v>293</v>
      </c>
      <c r="K71" s="405" t="s">
        <v>293</v>
      </c>
      <c r="L71" s="51" t="s">
        <v>712</v>
      </c>
      <c r="M71" s="51" t="s">
        <v>712</v>
      </c>
      <c r="N71" s="51" t="s">
        <v>293</v>
      </c>
      <c r="O71" s="51" t="s">
        <v>293</v>
      </c>
      <c r="P71" s="65" t="s">
        <v>293</v>
      </c>
      <c r="Q71" s="86"/>
      <c r="R71" s="62"/>
      <c r="S71" s="87"/>
      <c r="T71" s="88"/>
      <c r="U71" s="103"/>
    </row>
    <row r="72" spans="2:22" ht="52.2" customHeight="1" x14ac:dyDescent="0.35">
      <c r="B72" s="126"/>
      <c r="C72" s="127"/>
      <c r="D72" s="96" t="s">
        <v>163</v>
      </c>
      <c r="E72" s="97">
        <f t="shared" si="1"/>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91" t="s">
        <v>171</v>
      </c>
      <c r="E73" s="92">
        <f t="shared" si="1"/>
        <v>70</v>
      </c>
      <c r="F73" s="93" t="s">
        <v>770</v>
      </c>
      <c r="G73" s="94" t="s">
        <v>184</v>
      </c>
      <c r="H73" s="51" t="s">
        <v>712</v>
      </c>
      <c r="I73" s="405" t="s">
        <v>293</v>
      </c>
      <c r="J73" s="405" t="s">
        <v>293</v>
      </c>
      <c r="K73" s="405" t="s">
        <v>293</v>
      </c>
      <c r="L73" s="51" t="s">
        <v>712</v>
      </c>
      <c r="M73" s="51" t="s">
        <v>293</v>
      </c>
      <c r="N73" s="51" t="s">
        <v>293</v>
      </c>
      <c r="O73" s="51" t="s">
        <v>293</v>
      </c>
      <c r="P73" s="65" t="s">
        <v>293</v>
      </c>
      <c r="Q73" s="86"/>
      <c r="R73" s="62"/>
      <c r="S73" s="87"/>
      <c r="T73" s="88"/>
      <c r="U73" s="103"/>
    </row>
    <row r="74" spans="2:22" ht="28.2" customHeight="1" x14ac:dyDescent="0.35">
      <c r="B74" s="126"/>
      <c r="C74" s="128" t="s">
        <v>366</v>
      </c>
      <c r="D74" s="91" t="s">
        <v>172</v>
      </c>
      <c r="E74" s="92">
        <f t="shared" si="1"/>
        <v>71</v>
      </c>
      <c r="F74" s="93"/>
      <c r="G74" s="94" t="s">
        <v>185</v>
      </c>
      <c r="H74" s="51" t="s">
        <v>712</v>
      </c>
      <c r="I74" s="405" t="s">
        <v>293</v>
      </c>
      <c r="J74" s="405" t="s">
        <v>293</v>
      </c>
      <c r="K74" s="51" t="s">
        <v>712</v>
      </c>
      <c r="L74" s="51" t="s">
        <v>293</v>
      </c>
      <c r="M74" s="51" t="s">
        <v>293</v>
      </c>
      <c r="N74" s="51" t="s">
        <v>293</v>
      </c>
      <c r="O74" s="51" t="s">
        <v>293</v>
      </c>
      <c r="P74" s="65" t="s">
        <v>293</v>
      </c>
      <c r="Q74" s="86"/>
      <c r="R74" s="62"/>
      <c r="S74" s="87"/>
      <c r="T74" s="88"/>
      <c r="U74" s="104"/>
    </row>
    <row r="75" spans="2:22" ht="28.2" customHeight="1" x14ac:dyDescent="0.35">
      <c r="B75" s="126"/>
      <c r="C75" s="127"/>
      <c r="D75" s="91" t="s">
        <v>173</v>
      </c>
      <c r="E75" s="92">
        <f t="shared" si="1"/>
        <v>72</v>
      </c>
      <c r="F75" s="93" t="s">
        <v>249</v>
      </c>
      <c r="G75" s="94" t="s">
        <v>185</v>
      </c>
      <c r="H75" s="51" t="s">
        <v>712</v>
      </c>
      <c r="I75" s="405" t="s">
        <v>293</v>
      </c>
      <c r="J75" s="405" t="s">
        <v>293</v>
      </c>
      <c r="K75" s="51" t="s">
        <v>712</v>
      </c>
      <c r="L75" s="51" t="s">
        <v>293</v>
      </c>
      <c r="M75" s="51" t="s">
        <v>293</v>
      </c>
      <c r="N75" s="51" t="s">
        <v>293</v>
      </c>
      <c r="O75" s="51" t="s">
        <v>293</v>
      </c>
      <c r="P75" s="65" t="s">
        <v>293</v>
      </c>
      <c r="Q75" s="86"/>
      <c r="R75" s="62"/>
      <c r="S75" s="87"/>
      <c r="T75" s="88"/>
      <c r="U75" s="104"/>
    </row>
    <row r="76" spans="2:22" ht="28.2" customHeight="1" x14ac:dyDescent="0.35">
      <c r="B76" s="126"/>
      <c r="C76" s="127"/>
      <c r="D76" s="91" t="s">
        <v>174</v>
      </c>
      <c r="E76" s="92">
        <f t="shared" si="1"/>
        <v>73</v>
      </c>
      <c r="F76" s="93" t="s">
        <v>250</v>
      </c>
      <c r="G76" s="94" t="s">
        <v>185</v>
      </c>
      <c r="H76" s="51" t="s">
        <v>712</v>
      </c>
      <c r="I76" s="405" t="s">
        <v>293</v>
      </c>
      <c r="J76" s="405" t="s">
        <v>293</v>
      </c>
      <c r="K76" s="51" t="s">
        <v>712</v>
      </c>
      <c r="L76" s="51" t="s">
        <v>293</v>
      </c>
      <c r="M76" s="51" t="s">
        <v>293</v>
      </c>
      <c r="N76" s="51" t="s">
        <v>293</v>
      </c>
      <c r="O76" s="51" t="s">
        <v>293</v>
      </c>
      <c r="P76" s="65" t="s">
        <v>293</v>
      </c>
      <c r="Q76" s="86"/>
      <c r="R76" s="62"/>
      <c r="S76" s="87"/>
      <c r="T76" s="88"/>
      <c r="U76" s="104"/>
    </row>
    <row r="77" spans="2:22" ht="28.2" customHeight="1" x14ac:dyDescent="0.35">
      <c r="B77" s="126"/>
      <c r="C77" s="127"/>
      <c r="D77" s="91" t="s">
        <v>175</v>
      </c>
      <c r="E77" s="92">
        <f t="shared" si="1"/>
        <v>74</v>
      </c>
      <c r="F77" s="93" t="s">
        <v>251</v>
      </c>
      <c r="G77" s="94" t="s">
        <v>118</v>
      </c>
      <c r="H77" s="51" t="s">
        <v>712</v>
      </c>
      <c r="I77" s="405" t="s">
        <v>293</v>
      </c>
      <c r="J77" s="405" t="s">
        <v>293</v>
      </c>
      <c r="K77" s="51" t="s">
        <v>712</v>
      </c>
      <c r="L77" s="51" t="s">
        <v>293</v>
      </c>
      <c r="M77" s="51" t="s">
        <v>293</v>
      </c>
      <c r="N77" s="51" t="s">
        <v>293</v>
      </c>
      <c r="O77" s="51" t="s">
        <v>293</v>
      </c>
      <c r="P77" s="65" t="s">
        <v>293</v>
      </c>
      <c r="Q77" s="86"/>
      <c r="R77" s="62"/>
      <c r="S77" s="87"/>
      <c r="T77" s="88"/>
      <c r="U77" s="104"/>
    </row>
    <row r="78" spans="2:22" ht="28.2" customHeight="1" x14ac:dyDescent="0.35">
      <c r="B78" s="126"/>
      <c r="C78" s="127"/>
      <c r="D78" s="91" t="s">
        <v>176</v>
      </c>
      <c r="E78" s="92">
        <f t="shared" si="1"/>
        <v>75</v>
      </c>
      <c r="F78" s="93" t="s">
        <v>252</v>
      </c>
      <c r="G78" s="94" t="s">
        <v>185</v>
      </c>
      <c r="H78" s="51" t="s">
        <v>712</v>
      </c>
      <c r="I78" s="405" t="s">
        <v>293</v>
      </c>
      <c r="J78" s="405" t="s">
        <v>293</v>
      </c>
      <c r="K78" s="51" t="s">
        <v>712</v>
      </c>
      <c r="L78" s="51" t="s">
        <v>293</v>
      </c>
      <c r="M78" s="51" t="s">
        <v>293</v>
      </c>
      <c r="N78" s="51" t="s">
        <v>293</v>
      </c>
      <c r="O78" s="51" t="s">
        <v>293</v>
      </c>
      <c r="P78" s="65" t="s">
        <v>293</v>
      </c>
      <c r="Q78" s="86"/>
      <c r="R78" s="62"/>
      <c r="S78" s="87"/>
      <c r="T78" s="88"/>
      <c r="U78" s="104"/>
    </row>
    <row r="79" spans="2:22" ht="28.2" customHeight="1" x14ac:dyDescent="0.35">
      <c r="B79" s="126"/>
      <c r="C79" s="127"/>
      <c r="D79" s="91" t="s">
        <v>177</v>
      </c>
      <c r="E79" s="92">
        <f t="shared" si="1"/>
        <v>76</v>
      </c>
      <c r="F79" s="93" t="s">
        <v>253</v>
      </c>
      <c r="G79" s="94" t="s">
        <v>185</v>
      </c>
      <c r="H79" s="51" t="s">
        <v>712</v>
      </c>
      <c r="I79" s="405" t="s">
        <v>293</v>
      </c>
      <c r="J79" s="405" t="s">
        <v>293</v>
      </c>
      <c r="K79" s="405" t="s">
        <v>293</v>
      </c>
      <c r="L79" s="51" t="s">
        <v>712</v>
      </c>
      <c r="M79" s="51" t="s">
        <v>293</v>
      </c>
      <c r="N79" s="51" t="s">
        <v>293</v>
      </c>
      <c r="O79" s="51" t="s">
        <v>293</v>
      </c>
      <c r="P79" s="65" t="s">
        <v>293</v>
      </c>
      <c r="Q79" s="86"/>
      <c r="R79" s="62"/>
      <c r="S79" s="87"/>
      <c r="T79" s="88"/>
      <c r="U79" s="104"/>
    </row>
    <row r="80" spans="2:22" ht="28.2" customHeight="1" x14ac:dyDescent="0.35">
      <c r="B80" s="126"/>
      <c r="C80" s="127"/>
      <c r="D80" s="91" t="s">
        <v>178</v>
      </c>
      <c r="E80" s="92">
        <f t="shared" si="1"/>
        <v>77</v>
      </c>
      <c r="F80" s="93" t="s">
        <v>254</v>
      </c>
      <c r="G80" s="94" t="s">
        <v>185</v>
      </c>
      <c r="H80" s="51" t="s">
        <v>712</v>
      </c>
      <c r="I80" s="405" t="s">
        <v>293</v>
      </c>
      <c r="J80" s="405" t="s">
        <v>293</v>
      </c>
      <c r="K80" s="405" t="s">
        <v>293</v>
      </c>
      <c r="L80" s="51" t="s">
        <v>712</v>
      </c>
      <c r="M80" s="51" t="s">
        <v>293</v>
      </c>
      <c r="N80" s="51" t="s">
        <v>293</v>
      </c>
      <c r="O80" s="51" t="s">
        <v>293</v>
      </c>
      <c r="P80" s="65" t="s">
        <v>293</v>
      </c>
      <c r="Q80" s="86"/>
      <c r="R80" s="62"/>
      <c r="S80" s="87"/>
      <c r="T80" s="88"/>
      <c r="U80" s="104"/>
      <c r="V80" s="130"/>
    </row>
    <row r="81" spans="2:22" ht="28.2" customHeight="1" x14ac:dyDescent="0.35">
      <c r="B81" s="126"/>
      <c r="C81" s="128" t="s">
        <v>367</v>
      </c>
      <c r="D81" s="91" t="s">
        <v>172</v>
      </c>
      <c r="E81" s="92">
        <f t="shared" si="1"/>
        <v>78</v>
      </c>
      <c r="F81" s="93" t="s">
        <v>255</v>
      </c>
      <c r="G81" s="94" t="s">
        <v>185</v>
      </c>
      <c r="H81" s="51" t="s">
        <v>712</v>
      </c>
      <c r="I81" s="405" t="s">
        <v>293</v>
      </c>
      <c r="J81" s="405" t="s">
        <v>293</v>
      </c>
      <c r="K81" s="51" t="s">
        <v>712</v>
      </c>
      <c r="L81" s="51" t="s">
        <v>293</v>
      </c>
      <c r="M81" s="51" t="s">
        <v>293</v>
      </c>
      <c r="N81" s="51" t="s">
        <v>293</v>
      </c>
      <c r="O81" s="51" t="s">
        <v>293</v>
      </c>
      <c r="P81" s="65" t="s">
        <v>293</v>
      </c>
      <c r="Q81" s="86"/>
      <c r="R81" s="62"/>
      <c r="S81" s="87"/>
      <c r="T81" s="88"/>
      <c r="U81" s="104"/>
      <c r="V81" s="130"/>
    </row>
    <row r="82" spans="2:22" ht="28.2" customHeight="1" x14ac:dyDescent="0.35">
      <c r="B82" s="126"/>
      <c r="C82" s="127"/>
      <c r="D82" s="91" t="s">
        <v>179</v>
      </c>
      <c r="E82" s="92">
        <f t="shared" si="1"/>
        <v>79</v>
      </c>
      <c r="F82" s="93" t="s">
        <v>256</v>
      </c>
      <c r="G82" s="94" t="s">
        <v>185</v>
      </c>
      <c r="H82" s="51" t="s">
        <v>712</v>
      </c>
      <c r="I82" s="405" t="s">
        <v>293</v>
      </c>
      <c r="J82" s="405" t="s">
        <v>293</v>
      </c>
      <c r="K82" s="51" t="s">
        <v>712</v>
      </c>
      <c r="L82" s="51" t="s">
        <v>293</v>
      </c>
      <c r="M82" s="51" t="s">
        <v>293</v>
      </c>
      <c r="N82" s="51" t="s">
        <v>293</v>
      </c>
      <c r="O82" s="51" t="s">
        <v>293</v>
      </c>
      <c r="P82" s="65" t="s">
        <v>293</v>
      </c>
      <c r="Q82" s="86"/>
      <c r="R82" s="62"/>
      <c r="S82" s="87"/>
      <c r="T82" s="88"/>
      <c r="U82" s="104"/>
    </row>
    <row r="83" spans="2:22" ht="28.2" customHeight="1" x14ac:dyDescent="0.35">
      <c r="B83" s="126"/>
      <c r="C83" s="127"/>
      <c r="D83" s="91" t="s">
        <v>180</v>
      </c>
      <c r="E83" s="92">
        <f t="shared" si="1"/>
        <v>80</v>
      </c>
      <c r="F83" s="93" t="s">
        <v>257</v>
      </c>
      <c r="G83" s="94" t="s">
        <v>185</v>
      </c>
      <c r="H83" s="51" t="s">
        <v>712</v>
      </c>
      <c r="I83" s="405" t="s">
        <v>293</v>
      </c>
      <c r="J83" s="405" t="s">
        <v>293</v>
      </c>
      <c r="K83" s="405" t="s">
        <v>293</v>
      </c>
      <c r="L83" s="51" t="s">
        <v>712</v>
      </c>
      <c r="M83" s="51" t="s">
        <v>293</v>
      </c>
      <c r="N83" s="51" t="s">
        <v>293</v>
      </c>
      <c r="O83" s="51" t="s">
        <v>293</v>
      </c>
      <c r="P83" s="65" t="s">
        <v>293</v>
      </c>
      <c r="Q83" s="86"/>
      <c r="R83" s="62"/>
      <c r="S83" s="87"/>
      <c r="T83" s="88"/>
      <c r="U83" s="104"/>
    </row>
    <row r="84" spans="2:22" ht="28.2" customHeight="1" x14ac:dyDescent="0.35">
      <c r="B84" s="126"/>
      <c r="C84" s="127"/>
      <c r="D84" s="91" t="s">
        <v>181</v>
      </c>
      <c r="E84" s="92">
        <f t="shared" si="1"/>
        <v>81</v>
      </c>
      <c r="F84" s="93" t="s">
        <v>258</v>
      </c>
      <c r="G84" s="94" t="s">
        <v>185</v>
      </c>
      <c r="H84" s="51" t="s">
        <v>712</v>
      </c>
      <c r="I84" s="405" t="s">
        <v>293</v>
      </c>
      <c r="J84" s="405" t="s">
        <v>293</v>
      </c>
      <c r="K84" s="405" t="s">
        <v>293</v>
      </c>
      <c r="L84" s="51" t="s">
        <v>712</v>
      </c>
      <c r="M84" s="51" t="s">
        <v>293</v>
      </c>
      <c r="N84" s="51" t="s">
        <v>293</v>
      </c>
      <c r="O84" s="51" t="s">
        <v>293</v>
      </c>
      <c r="P84" s="65" t="s">
        <v>293</v>
      </c>
      <c r="Q84" s="86"/>
      <c r="R84" s="62"/>
      <c r="S84" s="87"/>
      <c r="T84" s="88"/>
      <c r="U84" s="104"/>
    </row>
    <row r="85" spans="2:22" ht="28.2" customHeight="1" x14ac:dyDescent="0.35">
      <c r="B85" s="126"/>
      <c r="C85" s="128" t="s">
        <v>168</v>
      </c>
      <c r="D85" s="91" t="s">
        <v>338</v>
      </c>
      <c r="E85" s="92">
        <f t="shared" si="1"/>
        <v>82</v>
      </c>
      <c r="F85" s="93" t="s">
        <v>259</v>
      </c>
      <c r="G85" s="94" t="s">
        <v>186</v>
      </c>
      <c r="H85" s="51" t="s">
        <v>712</v>
      </c>
      <c r="I85" s="405" t="s">
        <v>293</v>
      </c>
      <c r="J85" s="405" t="s">
        <v>293</v>
      </c>
      <c r="K85" s="51" t="s">
        <v>712</v>
      </c>
      <c r="L85" s="51" t="s">
        <v>293</v>
      </c>
      <c r="M85" s="51" t="s">
        <v>293</v>
      </c>
      <c r="N85" s="51" t="s">
        <v>293</v>
      </c>
      <c r="O85" s="51" t="s">
        <v>293</v>
      </c>
      <c r="P85" s="65" t="s">
        <v>293</v>
      </c>
      <c r="Q85" s="86"/>
      <c r="R85" s="62"/>
      <c r="S85" s="87"/>
      <c r="T85" s="88"/>
      <c r="U85" s="104"/>
    </row>
    <row r="86" spans="2:22" ht="28.2" customHeight="1" x14ac:dyDescent="0.35">
      <c r="B86" s="126"/>
      <c r="C86" s="127"/>
      <c r="D86" s="248" t="s">
        <v>337</v>
      </c>
      <c r="E86" s="92">
        <f t="shared" si="1"/>
        <v>83</v>
      </c>
      <c r="F86" s="93" t="s">
        <v>260</v>
      </c>
      <c r="G86" s="94" t="s">
        <v>211</v>
      </c>
      <c r="H86" s="51" t="s">
        <v>712</v>
      </c>
      <c r="I86" s="405" t="s">
        <v>293</v>
      </c>
      <c r="J86" s="405" t="s">
        <v>293</v>
      </c>
      <c r="K86" s="405" t="s">
        <v>293</v>
      </c>
      <c r="L86" s="51" t="s">
        <v>712</v>
      </c>
      <c r="M86" s="51" t="s">
        <v>712</v>
      </c>
      <c r="N86" s="51" t="s">
        <v>293</v>
      </c>
      <c r="O86" s="51" t="s">
        <v>293</v>
      </c>
      <c r="P86" s="65" t="s">
        <v>293</v>
      </c>
      <c r="Q86" s="86"/>
      <c r="R86" s="62"/>
      <c r="S86" s="87"/>
      <c r="T86" s="88"/>
      <c r="U86" s="104"/>
      <c r="V86" s="130"/>
    </row>
    <row r="87" spans="2:22" ht="28.2" customHeight="1" x14ac:dyDescent="0.35">
      <c r="B87" s="126"/>
      <c r="C87" s="127"/>
      <c r="D87" s="250"/>
      <c r="E87" s="92">
        <f t="shared" si="1"/>
        <v>84</v>
      </c>
      <c r="F87" s="93" t="s">
        <v>259</v>
      </c>
      <c r="G87" s="94" t="s">
        <v>210</v>
      </c>
      <c r="H87" s="51" t="s">
        <v>712</v>
      </c>
      <c r="I87" s="405" t="s">
        <v>293</v>
      </c>
      <c r="J87" s="405" t="s">
        <v>293</v>
      </c>
      <c r="K87" s="405" t="s">
        <v>293</v>
      </c>
      <c r="L87" s="51" t="s">
        <v>712</v>
      </c>
      <c r="M87" s="51" t="s">
        <v>712</v>
      </c>
      <c r="N87" s="51" t="s">
        <v>293</v>
      </c>
      <c r="O87" s="51" t="s">
        <v>293</v>
      </c>
      <c r="P87" s="65" t="s">
        <v>293</v>
      </c>
      <c r="Q87" s="86"/>
      <c r="R87" s="62"/>
      <c r="S87" s="87"/>
      <c r="T87" s="88"/>
      <c r="U87" s="104"/>
      <c r="V87" s="130"/>
    </row>
    <row r="88" spans="2:22" ht="28.2" customHeight="1" x14ac:dyDescent="0.35">
      <c r="B88" s="126"/>
      <c r="C88" s="128" t="s">
        <v>170</v>
      </c>
      <c r="D88" s="91" t="s">
        <v>170</v>
      </c>
      <c r="E88" s="92">
        <f t="shared" si="1"/>
        <v>85</v>
      </c>
      <c r="F88" s="93" t="s">
        <v>261</v>
      </c>
      <c r="G88" s="94" t="s">
        <v>187</v>
      </c>
      <c r="H88" s="51" t="s">
        <v>712</v>
      </c>
      <c r="I88" s="405" t="s">
        <v>293</v>
      </c>
      <c r="J88" s="405" t="s">
        <v>293</v>
      </c>
      <c r="K88" s="51" t="s">
        <v>712</v>
      </c>
      <c r="L88" s="51" t="s">
        <v>293</v>
      </c>
      <c r="M88" s="51" t="s">
        <v>293</v>
      </c>
      <c r="N88" s="51" t="s">
        <v>293</v>
      </c>
      <c r="O88" s="51" t="s">
        <v>293</v>
      </c>
      <c r="P88" s="65" t="s">
        <v>293</v>
      </c>
      <c r="Q88" s="86"/>
      <c r="R88" s="62"/>
      <c r="S88" s="87"/>
      <c r="T88" s="88"/>
      <c r="U88" s="103"/>
    </row>
    <row r="89" spans="2:22" ht="28.2" customHeight="1" x14ac:dyDescent="0.35">
      <c r="B89" s="126"/>
      <c r="C89" s="127"/>
      <c r="D89" s="91" t="s">
        <v>182</v>
      </c>
      <c r="E89" s="92">
        <f t="shared" si="1"/>
        <v>86</v>
      </c>
      <c r="F89" s="93" t="s">
        <v>262</v>
      </c>
      <c r="G89" s="94" t="s">
        <v>187</v>
      </c>
      <c r="H89" s="51" t="s">
        <v>712</v>
      </c>
      <c r="I89" s="405" t="s">
        <v>293</v>
      </c>
      <c r="J89" s="405" t="s">
        <v>293</v>
      </c>
      <c r="K89" s="405" t="s">
        <v>293</v>
      </c>
      <c r="L89" s="51" t="s">
        <v>712</v>
      </c>
      <c r="M89" s="51" t="s">
        <v>293</v>
      </c>
      <c r="N89" s="51" t="s">
        <v>293</v>
      </c>
      <c r="O89" s="51" t="s">
        <v>293</v>
      </c>
      <c r="P89" s="65" t="s">
        <v>293</v>
      </c>
      <c r="Q89" s="86"/>
      <c r="R89" s="62"/>
      <c r="S89" s="87"/>
      <c r="T89" s="88"/>
      <c r="U89" s="103"/>
    </row>
    <row r="90" spans="2:22" ht="28.2" customHeight="1" x14ac:dyDescent="0.35">
      <c r="B90" s="129" t="s">
        <v>263</v>
      </c>
      <c r="C90" s="128" t="s">
        <v>188</v>
      </c>
      <c r="D90" s="91" t="s">
        <v>194</v>
      </c>
      <c r="E90" s="92">
        <f t="shared" si="1"/>
        <v>87</v>
      </c>
      <c r="F90" s="93"/>
      <c r="G90" s="94" t="s">
        <v>187</v>
      </c>
      <c r="H90" s="51" t="s">
        <v>712</v>
      </c>
      <c r="I90" s="51" t="s">
        <v>293</v>
      </c>
      <c r="J90" s="51" t="s">
        <v>293</v>
      </c>
      <c r="K90" s="51" t="s">
        <v>712</v>
      </c>
      <c r="L90" s="51" t="s">
        <v>712</v>
      </c>
      <c r="M90" s="51" t="s">
        <v>293</v>
      </c>
      <c r="N90" s="51" t="s">
        <v>293</v>
      </c>
      <c r="O90" s="51" t="s">
        <v>293</v>
      </c>
      <c r="P90" s="65" t="s">
        <v>293</v>
      </c>
      <c r="Q90" s="86"/>
      <c r="R90" s="62"/>
      <c r="S90" s="87"/>
      <c r="T90" s="88"/>
      <c r="U90" s="103"/>
    </row>
    <row r="91" spans="2:22" ht="71.400000000000006" customHeight="1" x14ac:dyDescent="0.35">
      <c r="B91" s="126"/>
      <c r="C91" s="127"/>
      <c r="D91" s="91" t="s">
        <v>195</v>
      </c>
      <c r="E91" s="92">
        <f t="shared" si="1"/>
        <v>88</v>
      </c>
      <c r="F91" s="93"/>
      <c r="G91" s="94" t="s">
        <v>656</v>
      </c>
      <c r="H91" s="51" t="s">
        <v>712</v>
      </c>
      <c r="I91" s="51" t="s">
        <v>293</v>
      </c>
      <c r="J91" s="51" t="s">
        <v>293</v>
      </c>
      <c r="K91" s="51" t="s">
        <v>293</v>
      </c>
      <c r="L91" s="51" t="s">
        <v>293</v>
      </c>
      <c r="M91" s="51" t="s">
        <v>293</v>
      </c>
      <c r="N91" s="51" t="s">
        <v>633</v>
      </c>
      <c r="O91" s="51" t="s">
        <v>293</v>
      </c>
      <c r="P91" s="65" t="s">
        <v>293</v>
      </c>
      <c r="Q91" s="86"/>
      <c r="R91" s="62"/>
      <c r="S91" s="87"/>
      <c r="T91" s="88"/>
      <c r="U91" s="103" t="s">
        <v>266</v>
      </c>
    </row>
    <row r="92" spans="2:22" ht="28.2" customHeight="1" x14ac:dyDescent="0.35">
      <c r="B92" s="126"/>
      <c r="C92" s="128" t="s">
        <v>166</v>
      </c>
      <c r="D92" s="91" t="s">
        <v>171</v>
      </c>
      <c r="E92" s="92">
        <f t="shared" si="1"/>
        <v>89</v>
      </c>
      <c r="F92" s="93"/>
      <c r="G92" s="94" t="s">
        <v>183</v>
      </c>
      <c r="H92" s="51" t="s">
        <v>712</v>
      </c>
      <c r="I92" s="51" t="s">
        <v>293</v>
      </c>
      <c r="J92" s="51" t="s">
        <v>293</v>
      </c>
      <c r="K92" s="51" t="s">
        <v>712</v>
      </c>
      <c r="L92" s="51" t="s">
        <v>712</v>
      </c>
      <c r="M92" s="51" t="s">
        <v>712</v>
      </c>
      <c r="N92" s="51" t="s">
        <v>293</v>
      </c>
      <c r="O92" s="51" t="s">
        <v>293</v>
      </c>
      <c r="P92" s="65" t="s">
        <v>293</v>
      </c>
      <c r="Q92" s="86"/>
      <c r="R92" s="62"/>
      <c r="S92" s="87"/>
      <c r="T92" s="88"/>
      <c r="U92" s="103"/>
    </row>
    <row r="93" spans="2:22" ht="28.2" customHeight="1" x14ac:dyDescent="0.35">
      <c r="B93" s="126"/>
      <c r="C93" s="96" t="s">
        <v>110</v>
      </c>
      <c r="D93" s="96" t="s">
        <v>110</v>
      </c>
      <c r="E93" s="97">
        <f t="shared" si="0"/>
        <v>90</v>
      </c>
      <c r="F93" s="98"/>
      <c r="G93" s="99" t="s">
        <v>118</v>
      </c>
      <c r="H93" s="53" t="s">
        <v>293</v>
      </c>
      <c r="I93" s="53" t="s">
        <v>293</v>
      </c>
      <c r="J93" s="53" t="s">
        <v>293</v>
      </c>
      <c r="K93" s="53" t="s">
        <v>293</v>
      </c>
      <c r="L93" s="53" t="s">
        <v>293</v>
      </c>
      <c r="M93" s="53" t="s">
        <v>293</v>
      </c>
      <c r="N93" s="53" t="s">
        <v>293</v>
      </c>
      <c r="O93" s="53" t="s">
        <v>293</v>
      </c>
      <c r="P93" s="66" t="s">
        <v>293</v>
      </c>
      <c r="Q93" s="395"/>
      <c r="R93" s="446"/>
      <c r="S93" s="447"/>
      <c r="T93" s="361"/>
      <c r="U93" s="392" t="s">
        <v>772</v>
      </c>
      <c r="V93" s="130"/>
    </row>
    <row r="94" spans="2:22" ht="28.2" customHeight="1" x14ac:dyDescent="0.35">
      <c r="B94" s="126"/>
      <c r="C94" s="347" t="s">
        <v>169</v>
      </c>
      <c r="D94" s="96" t="s">
        <v>169</v>
      </c>
      <c r="E94" s="97">
        <f t="shared" si="1"/>
        <v>91</v>
      </c>
      <c r="F94" s="98"/>
      <c r="G94" s="99" t="s">
        <v>118</v>
      </c>
      <c r="H94" s="53" t="s">
        <v>293</v>
      </c>
      <c r="I94" s="53" t="s">
        <v>293</v>
      </c>
      <c r="J94" s="53" t="s">
        <v>293</v>
      </c>
      <c r="K94" s="53" t="s">
        <v>293</v>
      </c>
      <c r="L94" s="53" t="s">
        <v>293</v>
      </c>
      <c r="M94" s="53" t="s">
        <v>293</v>
      </c>
      <c r="N94" s="53" t="s">
        <v>293</v>
      </c>
      <c r="O94" s="53" t="s">
        <v>293</v>
      </c>
      <c r="P94" s="66" t="s">
        <v>293</v>
      </c>
      <c r="Q94" s="395"/>
      <c r="R94" s="446"/>
      <c r="S94" s="447"/>
      <c r="T94" s="361"/>
      <c r="U94" s="392" t="s">
        <v>772</v>
      </c>
    </row>
    <row r="95" spans="2:22" ht="28.2" customHeight="1" x14ac:dyDescent="0.35">
      <c r="B95" s="126"/>
      <c r="C95" s="128" t="s">
        <v>332</v>
      </c>
      <c r="D95" s="248" t="s">
        <v>333</v>
      </c>
      <c r="E95" s="97">
        <f t="shared" si="1"/>
        <v>92</v>
      </c>
      <c r="F95" s="98"/>
      <c r="G95" s="99" t="s">
        <v>340</v>
      </c>
      <c r="H95" s="53" t="s">
        <v>293</v>
      </c>
      <c r="I95" s="53" t="s">
        <v>293</v>
      </c>
      <c r="J95" s="53" t="s">
        <v>293</v>
      </c>
      <c r="K95" s="53" t="s">
        <v>293</v>
      </c>
      <c r="L95" s="53" t="s">
        <v>293</v>
      </c>
      <c r="M95" s="53" t="s">
        <v>293</v>
      </c>
      <c r="N95" s="53" t="s">
        <v>293</v>
      </c>
      <c r="O95" s="53" t="s">
        <v>293</v>
      </c>
      <c r="P95" s="66" t="s">
        <v>293</v>
      </c>
      <c r="Q95" s="395"/>
      <c r="R95" s="446"/>
      <c r="S95" s="447"/>
      <c r="T95" s="361"/>
      <c r="U95" s="392" t="s">
        <v>772</v>
      </c>
    </row>
    <row r="96" spans="2:22" ht="28.2" customHeight="1" x14ac:dyDescent="0.35">
      <c r="B96" s="126"/>
      <c r="C96" s="127"/>
      <c r="D96" s="249"/>
      <c r="E96" s="92">
        <f t="shared" si="1"/>
        <v>93</v>
      </c>
      <c r="F96" s="93"/>
      <c r="G96" s="94" t="s">
        <v>341</v>
      </c>
      <c r="H96" s="51" t="s">
        <v>712</v>
      </c>
      <c r="I96" s="51" t="s">
        <v>293</v>
      </c>
      <c r="J96" s="51" t="s">
        <v>293</v>
      </c>
      <c r="K96" s="51" t="s">
        <v>293</v>
      </c>
      <c r="L96" s="51" t="s">
        <v>293</v>
      </c>
      <c r="M96" s="51" t="s">
        <v>293</v>
      </c>
      <c r="N96" s="51" t="s">
        <v>293</v>
      </c>
      <c r="O96" s="51" t="s">
        <v>293</v>
      </c>
      <c r="P96" s="65" t="s">
        <v>293</v>
      </c>
      <c r="Q96" s="86"/>
      <c r="R96" s="62"/>
      <c r="S96" s="87"/>
      <c r="T96" s="88"/>
      <c r="U96" s="103"/>
    </row>
    <row r="97" spans="1:21" ht="64.8" customHeight="1" x14ac:dyDescent="0.35">
      <c r="B97" s="126"/>
      <c r="C97" s="127"/>
      <c r="D97" s="249"/>
      <c r="E97" s="92">
        <f t="shared" si="1"/>
        <v>94</v>
      </c>
      <c r="F97" s="93"/>
      <c r="G97" s="94" t="s">
        <v>345</v>
      </c>
      <c r="H97" s="51" t="s">
        <v>712</v>
      </c>
      <c r="I97" s="51" t="s">
        <v>293</v>
      </c>
      <c r="J97" s="51" t="s">
        <v>293</v>
      </c>
      <c r="K97" s="51" t="s">
        <v>712</v>
      </c>
      <c r="L97" s="51" t="s">
        <v>293</v>
      </c>
      <c r="M97" s="51" t="s">
        <v>293</v>
      </c>
      <c r="N97" s="51" t="s">
        <v>293</v>
      </c>
      <c r="O97" s="51" t="s">
        <v>293</v>
      </c>
      <c r="P97" s="65" t="s">
        <v>293</v>
      </c>
      <c r="Q97" s="86"/>
      <c r="R97" s="62"/>
      <c r="S97" s="87"/>
      <c r="T97" s="88"/>
      <c r="U97" s="103"/>
    </row>
    <row r="98" spans="1:21" ht="64.8" customHeight="1" x14ac:dyDescent="0.35">
      <c r="B98" s="126"/>
      <c r="C98" s="127"/>
      <c r="D98" s="250"/>
      <c r="E98" s="92">
        <f t="shared" si="1"/>
        <v>95</v>
      </c>
      <c r="F98" s="93"/>
      <c r="G98" s="94" t="s">
        <v>346</v>
      </c>
      <c r="H98" s="51" t="s">
        <v>712</v>
      </c>
      <c r="I98" s="51" t="s">
        <v>293</v>
      </c>
      <c r="J98" s="51" t="s">
        <v>293</v>
      </c>
      <c r="K98" s="51" t="s">
        <v>293</v>
      </c>
      <c r="L98" s="51" t="s">
        <v>293</v>
      </c>
      <c r="M98" s="51" t="s">
        <v>293</v>
      </c>
      <c r="N98" s="51" t="s">
        <v>293</v>
      </c>
      <c r="O98" s="51" t="s">
        <v>293</v>
      </c>
      <c r="P98" s="65" t="s">
        <v>293</v>
      </c>
      <c r="Q98" s="86"/>
      <c r="R98" s="62"/>
      <c r="S98" s="87"/>
      <c r="T98" s="88"/>
      <c r="U98" s="103"/>
    </row>
    <row r="99" spans="1:21" ht="28.2" customHeight="1" x14ac:dyDescent="0.35">
      <c r="B99" s="126"/>
      <c r="C99" s="128" t="s">
        <v>189</v>
      </c>
      <c r="D99" s="91" t="s">
        <v>338</v>
      </c>
      <c r="E99" s="92">
        <f t="shared" ref="E99:E106" si="2">ROW()-3</f>
        <v>96</v>
      </c>
      <c r="F99" s="93" t="s">
        <v>531</v>
      </c>
      <c r="G99" s="94" t="s">
        <v>196</v>
      </c>
      <c r="H99" s="51" t="s">
        <v>712</v>
      </c>
      <c r="I99" s="51" t="s">
        <v>293</v>
      </c>
      <c r="J99" s="51" t="s">
        <v>293</v>
      </c>
      <c r="K99" s="51" t="s">
        <v>293</v>
      </c>
      <c r="L99" s="51" t="s">
        <v>293</v>
      </c>
      <c r="M99" s="51" t="s">
        <v>293</v>
      </c>
      <c r="N99" s="51" t="s">
        <v>293</v>
      </c>
      <c r="O99" s="51" t="s">
        <v>293</v>
      </c>
      <c r="P99" s="65" t="s">
        <v>293</v>
      </c>
      <c r="Q99" s="86"/>
      <c r="R99" s="62"/>
      <c r="S99" s="87"/>
      <c r="T99" s="88"/>
      <c r="U99" s="103"/>
    </row>
    <row r="100" spans="1:21" ht="28.2" customHeight="1" x14ac:dyDescent="0.35">
      <c r="B100" s="126"/>
      <c r="C100" s="128" t="s">
        <v>190</v>
      </c>
      <c r="D100" s="91" t="s">
        <v>338</v>
      </c>
      <c r="E100" s="92">
        <f t="shared" si="2"/>
        <v>97</v>
      </c>
      <c r="F100" s="93" t="s">
        <v>532</v>
      </c>
      <c r="G100" s="94" t="s">
        <v>196</v>
      </c>
      <c r="H100" s="51" t="s">
        <v>712</v>
      </c>
      <c r="I100" s="51" t="s">
        <v>293</v>
      </c>
      <c r="J100" s="51" t="s">
        <v>293</v>
      </c>
      <c r="K100" s="51" t="s">
        <v>293</v>
      </c>
      <c r="L100" s="51" t="s">
        <v>293</v>
      </c>
      <c r="M100" s="51" t="s">
        <v>293</v>
      </c>
      <c r="N100" s="51" t="s">
        <v>293</v>
      </c>
      <c r="O100" s="51" t="s">
        <v>293</v>
      </c>
      <c r="P100" s="65" t="s">
        <v>293</v>
      </c>
      <c r="Q100" s="86"/>
      <c r="R100" s="62"/>
      <c r="S100" s="87"/>
      <c r="T100" s="88"/>
      <c r="U100" s="103" t="s">
        <v>709</v>
      </c>
    </row>
    <row r="101" spans="1:21" ht="28.2" customHeight="1" x14ac:dyDescent="0.35">
      <c r="B101" s="126"/>
      <c r="C101" s="128" t="s">
        <v>191</v>
      </c>
      <c r="D101" s="91" t="s">
        <v>338</v>
      </c>
      <c r="E101" s="92">
        <f t="shared" si="2"/>
        <v>98</v>
      </c>
      <c r="F101" s="93" t="s">
        <v>533</v>
      </c>
      <c r="G101" s="94" t="s">
        <v>196</v>
      </c>
      <c r="H101" s="51" t="s">
        <v>712</v>
      </c>
      <c r="I101" s="51" t="s">
        <v>293</v>
      </c>
      <c r="J101" s="51" t="s">
        <v>293</v>
      </c>
      <c r="K101" s="51" t="s">
        <v>293</v>
      </c>
      <c r="L101" s="51" t="s">
        <v>293</v>
      </c>
      <c r="M101" s="51" t="s">
        <v>293</v>
      </c>
      <c r="N101" s="51" t="s">
        <v>293</v>
      </c>
      <c r="O101" s="51" t="s">
        <v>293</v>
      </c>
      <c r="P101" s="65" t="s">
        <v>293</v>
      </c>
      <c r="Q101" s="86"/>
      <c r="R101" s="62"/>
      <c r="S101" s="87"/>
      <c r="T101" s="88"/>
      <c r="U101" s="103"/>
    </row>
    <row r="102" spans="1:21" ht="66.599999999999994" customHeight="1" x14ac:dyDescent="0.35">
      <c r="B102" s="126"/>
      <c r="C102" s="128" t="s">
        <v>192</v>
      </c>
      <c r="D102" s="91" t="s">
        <v>338</v>
      </c>
      <c r="E102" s="92">
        <f t="shared" si="2"/>
        <v>99</v>
      </c>
      <c r="F102" s="93" t="s">
        <v>534</v>
      </c>
      <c r="G102" s="94" t="s">
        <v>196</v>
      </c>
      <c r="H102" s="51" t="s">
        <v>712</v>
      </c>
      <c r="I102" s="51" t="s">
        <v>293</v>
      </c>
      <c r="J102" s="51" t="s">
        <v>293</v>
      </c>
      <c r="K102" s="51" t="s">
        <v>293</v>
      </c>
      <c r="L102" s="51" t="s">
        <v>293</v>
      </c>
      <c r="M102" s="51" t="s">
        <v>293</v>
      </c>
      <c r="N102" s="51" t="s">
        <v>293</v>
      </c>
      <c r="O102" s="51" t="s">
        <v>293</v>
      </c>
      <c r="P102" s="65" t="s">
        <v>293</v>
      </c>
      <c r="Q102" s="86"/>
      <c r="R102" s="62"/>
      <c r="S102" s="87"/>
      <c r="T102" s="88"/>
      <c r="U102" s="103" t="s">
        <v>708</v>
      </c>
    </row>
    <row r="103" spans="1:21" ht="45" customHeight="1" x14ac:dyDescent="0.35">
      <c r="B103" s="126"/>
      <c r="C103" s="347" t="s">
        <v>193</v>
      </c>
      <c r="D103" s="96" t="s">
        <v>338</v>
      </c>
      <c r="E103" s="97">
        <f t="shared" si="2"/>
        <v>100</v>
      </c>
      <c r="F103" s="98"/>
      <c r="G103" s="99" t="s">
        <v>264</v>
      </c>
      <c r="H103" s="82" t="s">
        <v>633</v>
      </c>
      <c r="I103" s="53" t="s">
        <v>633</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245" t="s">
        <v>198</v>
      </c>
      <c r="E104" s="92">
        <f t="shared" si="2"/>
        <v>101</v>
      </c>
      <c r="F104" s="93"/>
      <c r="G104" s="94" t="s">
        <v>199</v>
      </c>
      <c r="H104" s="51" t="s">
        <v>712</v>
      </c>
      <c r="I104" s="51" t="s">
        <v>293</v>
      </c>
      <c r="J104" s="51" t="s">
        <v>293</v>
      </c>
      <c r="K104" s="51" t="s">
        <v>293</v>
      </c>
      <c r="L104" s="51" t="s">
        <v>712</v>
      </c>
      <c r="M104" s="51" t="s">
        <v>712</v>
      </c>
      <c r="N104" s="51" t="s">
        <v>293</v>
      </c>
      <c r="O104" s="51" t="s">
        <v>293</v>
      </c>
      <c r="P104" s="65" t="s">
        <v>293</v>
      </c>
      <c r="Q104" s="86"/>
      <c r="R104" s="62"/>
      <c r="S104" s="87"/>
      <c r="T104" s="88"/>
      <c r="U104" s="106"/>
    </row>
    <row r="105" spans="1:21" ht="28.2" customHeight="1" x14ac:dyDescent="0.35">
      <c r="B105" s="129" t="s">
        <v>200</v>
      </c>
      <c r="C105" s="128" t="s">
        <v>201</v>
      </c>
      <c r="D105" s="245" t="s">
        <v>339</v>
      </c>
      <c r="E105" s="246">
        <f t="shared" si="2"/>
        <v>102</v>
      </c>
      <c r="F105" s="100" t="s">
        <v>374</v>
      </c>
      <c r="G105" s="94" t="s">
        <v>242</v>
      </c>
      <c r="H105" s="444" t="s">
        <v>293</v>
      </c>
      <c r="I105" s="405" t="s">
        <v>293</v>
      </c>
      <c r="J105" s="405" t="s">
        <v>293</v>
      </c>
      <c r="K105" s="445" t="s">
        <v>293</v>
      </c>
      <c r="L105" s="405" t="s">
        <v>293</v>
      </c>
      <c r="M105" s="405" t="s">
        <v>293</v>
      </c>
      <c r="N105" s="445" t="s">
        <v>293</v>
      </c>
      <c r="O105" s="51" t="s">
        <v>712</v>
      </c>
      <c r="P105" s="409" t="s">
        <v>293</v>
      </c>
      <c r="Q105" s="86"/>
      <c r="R105" s="62"/>
      <c r="S105" s="87"/>
      <c r="T105" s="88"/>
      <c r="U105" s="407" t="s">
        <v>707</v>
      </c>
    </row>
    <row r="106" spans="1:21" ht="28.2" customHeight="1" thickBot="1" x14ac:dyDescent="0.4">
      <c r="B106" s="126"/>
      <c r="C106" s="128" t="s">
        <v>202</v>
      </c>
      <c r="D106" s="248" t="s">
        <v>339</v>
      </c>
      <c r="E106" s="160">
        <f t="shared" si="2"/>
        <v>103</v>
      </c>
      <c r="F106" s="161" t="s">
        <v>381</v>
      </c>
      <c r="G106" s="162" t="s">
        <v>203</v>
      </c>
      <c r="H106" s="83" t="s">
        <v>293</v>
      </c>
      <c r="I106" s="56" t="s">
        <v>293</v>
      </c>
      <c r="J106" s="56" t="s">
        <v>293</v>
      </c>
      <c r="K106" s="55" t="s">
        <v>293</v>
      </c>
      <c r="L106" s="56" t="s">
        <v>293</v>
      </c>
      <c r="M106" s="56" t="s">
        <v>293</v>
      </c>
      <c r="N106" s="55" t="s">
        <v>293</v>
      </c>
      <c r="O106" s="51" t="s">
        <v>712</v>
      </c>
      <c r="P106" s="75" t="s">
        <v>293</v>
      </c>
      <c r="Q106" s="86"/>
      <c r="R106" s="62"/>
      <c r="S106" s="87"/>
      <c r="T106" s="88"/>
      <c r="U106" s="407" t="s">
        <v>707</v>
      </c>
    </row>
    <row r="107" spans="1:21" ht="18" customHeight="1" x14ac:dyDescent="0.35">
      <c r="B107" s="556" t="s">
        <v>70</v>
      </c>
      <c r="C107" s="557"/>
      <c r="D107" s="557">
        <f>SUM(H109:P109)</f>
        <v>0</v>
      </c>
      <c r="E107" s="163"/>
      <c r="F107" s="164"/>
      <c r="G107" s="269" t="s">
        <v>275</v>
      </c>
      <c r="H107" s="166">
        <f>COUNTIF(H4:H106,"●")+COUNTIF(H4:H106,"■")+COUNTIF(H4:H106,"OK")</f>
        <v>0</v>
      </c>
      <c r="I107" s="166">
        <f t="shared" ref="I107:P107" si="3">COUNTIF(I4:I106,"●")+COUNTIF(I4:I106,"■")+COUNTIF(I4:I106,"OK")</f>
        <v>0</v>
      </c>
      <c r="J107" s="166">
        <f t="shared" si="3"/>
        <v>0</v>
      </c>
      <c r="K107" s="166">
        <f t="shared" si="3"/>
        <v>0</v>
      </c>
      <c r="L107" s="166">
        <f t="shared" si="3"/>
        <v>0</v>
      </c>
      <c r="M107" s="166">
        <f t="shared" si="3"/>
        <v>0</v>
      </c>
      <c r="N107" s="166">
        <f t="shared" si="3"/>
        <v>0</v>
      </c>
      <c r="O107" s="166">
        <f t="shared" si="3"/>
        <v>0</v>
      </c>
      <c r="P107" s="166">
        <f t="shared" si="3"/>
        <v>0</v>
      </c>
      <c r="Q107" s="571" t="s">
        <v>69</v>
      </c>
      <c r="R107" s="571"/>
      <c r="S107" s="571"/>
      <c r="T107" s="167"/>
      <c r="U107" s="168"/>
    </row>
    <row r="108" spans="1:21" ht="18" customHeight="1" x14ac:dyDescent="0.35">
      <c r="B108" s="558"/>
      <c r="C108" s="559"/>
      <c r="D108" s="559"/>
      <c r="E108" s="58"/>
      <c r="F108" s="59"/>
      <c r="G108" s="270" t="s">
        <v>274</v>
      </c>
      <c r="H108" s="78">
        <f t="shared" ref="H108:P108" si="4">COUNTIF(H4:H106,"×")+COUNTIF(H4:H106,"NG")</f>
        <v>0</v>
      </c>
      <c r="I108" s="79">
        <f t="shared" si="4"/>
        <v>0</v>
      </c>
      <c r="J108" s="79">
        <f t="shared" si="4"/>
        <v>0</v>
      </c>
      <c r="K108" s="79">
        <f t="shared" si="4"/>
        <v>0</v>
      </c>
      <c r="L108" s="79">
        <f t="shared" si="4"/>
        <v>0</v>
      </c>
      <c r="M108" s="79">
        <f t="shared" si="4"/>
        <v>0</v>
      </c>
      <c r="N108" s="79">
        <f t="shared" si="4"/>
        <v>0</v>
      </c>
      <c r="O108" s="79">
        <f t="shared" si="4"/>
        <v>0</v>
      </c>
      <c r="P108" s="80">
        <f t="shared" si="4"/>
        <v>0</v>
      </c>
      <c r="Q108" s="572"/>
      <c r="R108" s="572"/>
      <c r="S108" s="572"/>
      <c r="T108" s="74"/>
      <c r="U108" s="108"/>
    </row>
    <row r="109" spans="1:21" ht="18" customHeight="1" x14ac:dyDescent="0.35">
      <c r="B109" s="560" t="s">
        <v>67</v>
      </c>
      <c r="C109" s="561"/>
      <c r="D109" s="561">
        <f>SUM(H110:P110)</f>
        <v>130</v>
      </c>
      <c r="E109" s="48"/>
      <c r="F109" s="49"/>
      <c r="G109" s="270" t="s">
        <v>68</v>
      </c>
      <c r="H109" s="78">
        <f t="shared" ref="H109:P109" si="5">H107+H108</f>
        <v>0</v>
      </c>
      <c r="I109" s="79">
        <f t="shared" si="5"/>
        <v>0</v>
      </c>
      <c r="J109" s="79">
        <f t="shared" si="5"/>
        <v>0</v>
      </c>
      <c r="K109" s="79">
        <f t="shared" si="5"/>
        <v>0</v>
      </c>
      <c r="L109" s="79">
        <f t="shared" si="5"/>
        <v>0</v>
      </c>
      <c r="M109" s="79">
        <f t="shared" si="5"/>
        <v>0</v>
      </c>
      <c r="N109" s="79">
        <f t="shared" si="5"/>
        <v>0</v>
      </c>
      <c r="O109" s="79">
        <f t="shared" si="5"/>
        <v>0</v>
      </c>
      <c r="P109" s="80">
        <f t="shared" si="5"/>
        <v>0</v>
      </c>
      <c r="Q109" s="573">
        <f>COUNTA(Q4:Q106)</f>
        <v>0</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COUNTBLANK(H4:H106)+H109+COUNTIF(H4:H106,"□")</f>
        <v>68</v>
      </c>
      <c r="I110" s="113">
        <f t="shared" ref="I110:P110" si="6">COUNTBLANK(I4:I106)+I109+COUNTIF(I4:I106,"□")</f>
        <v>0</v>
      </c>
      <c r="J110" s="113">
        <f t="shared" si="6"/>
        <v>0</v>
      </c>
      <c r="K110" s="113">
        <f t="shared" si="6"/>
        <v>24</v>
      </c>
      <c r="L110" s="113">
        <f t="shared" si="6"/>
        <v>20</v>
      </c>
      <c r="M110" s="113">
        <f t="shared" si="6"/>
        <v>14</v>
      </c>
      <c r="N110" s="113">
        <f t="shared" si="6"/>
        <v>0</v>
      </c>
      <c r="O110" s="113">
        <f t="shared" si="6"/>
        <v>4</v>
      </c>
      <c r="P110" s="114">
        <f t="shared" si="6"/>
        <v>0</v>
      </c>
      <c r="Q110" s="574"/>
      <c r="R110" s="576"/>
      <c r="S110" s="578"/>
      <c r="T110" s="115"/>
      <c r="U110" s="116"/>
    </row>
    <row r="111" spans="1:21" ht="24" customHeight="1" x14ac:dyDescent="0.35">
      <c r="F111" s="63"/>
      <c r="G111" s="63"/>
      <c r="P111" s="123">
        <f>SUM(H110:P110)</f>
        <v>130</v>
      </c>
    </row>
    <row r="114" spans="3:3" x14ac:dyDescent="0.35">
      <c r="C114" s="121" t="s">
        <v>771</v>
      </c>
    </row>
    <row r="115" spans="3:3" x14ac:dyDescent="0.35">
      <c r="C115" s="482">
        <f>SUM($D$109+Win10対応_POS!$D$94)</f>
        <v>334</v>
      </c>
    </row>
  </sheetData>
  <mergeCells count="16">
    <mergeCell ref="E2:G2"/>
    <mergeCell ref="Q2:S2"/>
    <mergeCell ref="U2:U3"/>
    <mergeCell ref="T2:T3"/>
    <mergeCell ref="D109:D110"/>
    <mergeCell ref="D107:D108"/>
    <mergeCell ref="Q107:S108"/>
    <mergeCell ref="Q109:Q110"/>
    <mergeCell ref="R109:R110"/>
    <mergeCell ref="S109:S110"/>
    <mergeCell ref="H2:P2"/>
    <mergeCell ref="B2:B3"/>
    <mergeCell ref="C2:C3"/>
    <mergeCell ref="D2:D3"/>
    <mergeCell ref="B107:C108"/>
    <mergeCell ref="B109:C110"/>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tabSelected="1" view="pageBreakPreview" zoomScale="73" zoomScaleNormal="70" zoomScaleSheetLayoutView="73" workbookViewId="0">
      <pane ySplit="3" topLeftCell="A5" activePane="bottomLeft" state="frozen"/>
      <selection pane="bottomLeft" activeCell="Q10" sqref="Q10"/>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562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4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349" t="s">
        <v>293</v>
      </c>
      <c r="I4" s="350" t="s">
        <v>293</v>
      </c>
      <c r="J4" s="350" t="s">
        <v>293</v>
      </c>
      <c r="K4" s="351" t="s">
        <v>293</v>
      </c>
      <c r="L4" s="350" t="s">
        <v>293</v>
      </c>
      <c r="M4" s="350" t="s">
        <v>293</v>
      </c>
      <c r="N4" s="350" t="s">
        <v>293</v>
      </c>
      <c r="O4" s="352" t="s">
        <v>712</v>
      </c>
      <c r="P4" s="353" t="s">
        <v>293</v>
      </c>
      <c r="Q4" s="383"/>
      <c r="R4" s="384"/>
      <c r="S4" s="385"/>
      <c r="T4" s="354"/>
      <c r="U4" s="355"/>
    </row>
    <row r="5" spans="1:22" ht="28.2" customHeight="1" x14ac:dyDescent="0.35">
      <c r="B5" s="126"/>
      <c r="C5" s="127"/>
      <c r="D5" s="245" t="s">
        <v>98</v>
      </c>
      <c r="E5" s="246">
        <f t="shared" ref="E5:E93" si="0">ROW()-3</f>
        <v>2</v>
      </c>
      <c r="F5" s="100" t="s">
        <v>376</v>
      </c>
      <c r="G5" s="94" t="s">
        <v>276</v>
      </c>
      <c r="H5" s="352" t="s">
        <v>293</v>
      </c>
      <c r="I5" s="356" t="s">
        <v>293</v>
      </c>
      <c r="J5" s="356" t="s">
        <v>293</v>
      </c>
      <c r="K5" s="356" t="s">
        <v>293</v>
      </c>
      <c r="L5" s="356" t="s">
        <v>293</v>
      </c>
      <c r="M5" s="356" t="s">
        <v>293</v>
      </c>
      <c r="N5" s="356" t="s">
        <v>293</v>
      </c>
      <c r="O5" s="352" t="s">
        <v>712</v>
      </c>
      <c r="P5" s="357" t="s">
        <v>293</v>
      </c>
      <c r="Q5" s="383"/>
      <c r="R5" s="384"/>
      <c r="S5" s="385"/>
      <c r="T5" s="354"/>
      <c r="U5" s="360"/>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68"/>
      <c r="R6" s="54"/>
      <c r="S6" s="70"/>
      <c r="T6" s="361"/>
      <c r="U6" s="105" t="s">
        <v>710</v>
      </c>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68"/>
      <c r="R7" s="54"/>
      <c r="S7" s="70"/>
      <c r="T7" s="361"/>
      <c r="U7" s="105" t="s">
        <v>710</v>
      </c>
    </row>
    <row r="8" spans="1:22" ht="28.2" customHeight="1" x14ac:dyDescent="0.35">
      <c r="B8" s="129" t="s">
        <v>100</v>
      </c>
      <c r="C8" s="128"/>
      <c r="D8" s="245" t="s">
        <v>334</v>
      </c>
      <c r="E8" s="246">
        <f t="shared" si="0"/>
        <v>5</v>
      </c>
      <c r="F8" s="100"/>
      <c r="G8" s="94" t="s">
        <v>101</v>
      </c>
      <c r="H8" s="356" t="s">
        <v>293</v>
      </c>
      <c r="I8" s="356" t="s">
        <v>293</v>
      </c>
      <c r="J8" s="356" t="s">
        <v>293</v>
      </c>
      <c r="K8" s="352" t="s">
        <v>799</v>
      </c>
      <c r="L8" s="356" t="s">
        <v>293</v>
      </c>
      <c r="M8" s="356" t="s">
        <v>293</v>
      </c>
      <c r="N8" s="356" t="s">
        <v>293</v>
      </c>
      <c r="O8" s="356" t="s">
        <v>293</v>
      </c>
      <c r="P8" s="357" t="s">
        <v>293</v>
      </c>
      <c r="Q8" s="362">
        <v>45687</v>
      </c>
      <c r="R8" s="358"/>
      <c r="S8" s="359"/>
      <c r="T8" s="354"/>
      <c r="U8" s="360" t="s">
        <v>844</v>
      </c>
    </row>
    <row r="9" spans="1:22" ht="28.2" customHeight="1" x14ac:dyDescent="0.35">
      <c r="B9" s="126"/>
      <c r="C9" s="127"/>
      <c r="D9" s="247" t="s">
        <v>335</v>
      </c>
      <c r="E9" s="246">
        <f t="shared" si="0"/>
        <v>6</v>
      </c>
      <c r="F9" s="100"/>
      <c r="G9" s="94" t="s">
        <v>267</v>
      </c>
      <c r="H9" s="352" t="s">
        <v>799</v>
      </c>
      <c r="I9" s="356" t="s">
        <v>293</v>
      </c>
      <c r="J9" s="356" t="s">
        <v>293</v>
      </c>
      <c r="K9" s="352" t="s">
        <v>799</v>
      </c>
      <c r="L9" s="356" t="s">
        <v>293</v>
      </c>
      <c r="M9" s="356" t="s">
        <v>293</v>
      </c>
      <c r="N9" s="356" t="s">
        <v>293</v>
      </c>
      <c r="O9" s="356" t="s">
        <v>293</v>
      </c>
      <c r="P9" s="357" t="s">
        <v>293</v>
      </c>
      <c r="Q9" s="362">
        <v>45687</v>
      </c>
      <c r="R9" s="384"/>
      <c r="S9" s="385"/>
      <c r="T9" s="354"/>
      <c r="U9" s="363"/>
    </row>
    <row r="10" spans="1:22" ht="28.2" customHeight="1" x14ac:dyDescent="0.35">
      <c r="B10" s="126"/>
      <c r="C10" s="128" t="s">
        <v>205</v>
      </c>
      <c r="D10" s="247" t="s">
        <v>336</v>
      </c>
      <c r="E10" s="246">
        <f t="shared" si="0"/>
        <v>7</v>
      </c>
      <c r="F10" s="100"/>
      <c r="G10" s="94" t="s">
        <v>204</v>
      </c>
      <c r="H10" s="352" t="s">
        <v>293</v>
      </c>
      <c r="I10" s="356" t="s">
        <v>293</v>
      </c>
      <c r="J10" s="356" t="s">
        <v>293</v>
      </c>
      <c r="K10" s="352" t="s">
        <v>293</v>
      </c>
      <c r="L10" s="352" t="s">
        <v>799</v>
      </c>
      <c r="M10" s="352" t="s">
        <v>712</v>
      </c>
      <c r="N10" s="356" t="s">
        <v>293</v>
      </c>
      <c r="O10" s="356" t="s">
        <v>293</v>
      </c>
      <c r="P10" s="357" t="s">
        <v>293</v>
      </c>
      <c r="Q10" s="362"/>
      <c r="R10" s="358"/>
      <c r="S10" s="359"/>
      <c r="T10" s="354"/>
      <c r="U10" s="375" t="s">
        <v>865</v>
      </c>
      <c r="V10" s="130"/>
    </row>
    <row r="11" spans="1:22" ht="28.2" customHeight="1" x14ac:dyDescent="0.35">
      <c r="B11" s="129" t="s">
        <v>236</v>
      </c>
      <c r="C11" s="128" t="s">
        <v>102</v>
      </c>
      <c r="D11" s="245" t="s">
        <v>103</v>
      </c>
      <c r="E11" s="246">
        <f t="shared" si="0"/>
        <v>8</v>
      </c>
      <c r="F11" s="100" t="s">
        <v>378</v>
      </c>
      <c r="G11" s="94" t="s">
        <v>106</v>
      </c>
      <c r="H11" s="352" t="s">
        <v>799</v>
      </c>
      <c r="I11" s="356" t="s">
        <v>293</v>
      </c>
      <c r="J11" s="356" t="s">
        <v>293</v>
      </c>
      <c r="K11" s="352" t="s">
        <v>799</v>
      </c>
      <c r="L11" s="356" t="s">
        <v>293</v>
      </c>
      <c r="M11" s="356" t="s">
        <v>293</v>
      </c>
      <c r="N11" s="356" t="s">
        <v>293</v>
      </c>
      <c r="O11" s="356" t="s">
        <v>293</v>
      </c>
      <c r="P11" s="357" t="s">
        <v>293</v>
      </c>
      <c r="Q11" s="362">
        <v>45687</v>
      </c>
      <c r="R11" s="358"/>
      <c r="S11" s="359"/>
      <c r="T11" s="354"/>
      <c r="U11" s="360"/>
    </row>
    <row r="12" spans="1:22" ht="62.4" customHeight="1" x14ac:dyDescent="0.35">
      <c r="B12" s="126"/>
      <c r="C12" s="127"/>
      <c r="D12" s="245" t="s">
        <v>104</v>
      </c>
      <c r="E12" s="246">
        <f t="shared" si="0"/>
        <v>9</v>
      </c>
      <c r="F12" s="101" t="s">
        <v>375</v>
      </c>
      <c r="G12" s="94" t="s">
        <v>268</v>
      </c>
      <c r="H12" s="352" t="s">
        <v>799</v>
      </c>
      <c r="I12" s="356" t="s">
        <v>293</v>
      </c>
      <c r="J12" s="356" t="s">
        <v>293</v>
      </c>
      <c r="K12" s="352" t="s">
        <v>799</v>
      </c>
      <c r="L12" s="356" t="s">
        <v>293</v>
      </c>
      <c r="M12" s="356" t="s">
        <v>293</v>
      </c>
      <c r="N12" s="356" t="s">
        <v>293</v>
      </c>
      <c r="O12" s="356" t="s">
        <v>293</v>
      </c>
      <c r="P12" s="357" t="s">
        <v>293</v>
      </c>
      <c r="Q12" s="362">
        <v>45687</v>
      </c>
      <c r="R12" s="358"/>
      <c r="S12" s="359"/>
      <c r="T12" s="354"/>
      <c r="U12" s="360"/>
    </row>
    <row r="13" spans="1:22" ht="28.2" customHeight="1" x14ac:dyDescent="0.35">
      <c r="B13" s="126"/>
      <c r="C13" s="127"/>
      <c r="D13" s="245" t="s">
        <v>105</v>
      </c>
      <c r="E13" s="246">
        <f t="shared" si="0"/>
        <v>10</v>
      </c>
      <c r="F13" s="101"/>
      <c r="G13" s="94" t="s">
        <v>356</v>
      </c>
      <c r="H13" s="352" t="s">
        <v>799</v>
      </c>
      <c r="I13" s="356" t="s">
        <v>293</v>
      </c>
      <c r="J13" s="356" t="s">
        <v>293</v>
      </c>
      <c r="K13" s="352" t="s">
        <v>799</v>
      </c>
      <c r="L13" s="356" t="s">
        <v>293</v>
      </c>
      <c r="M13" s="356" t="s">
        <v>293</v>
      </c>
      <c r="N13" s="356" t="s">
        <v>293</v>
      </c>
      <c r="O13" s="356" t="s">
        <v>293</v>
      </c>
      <c r="P13" s="357" t="s">
        <v>293</v>
      </c>
      <c r="Q13" s="362">
        <v>45687</v>
      </c>
      <c r="R13" s="358"/>
      <c r="S13" s="359"/>
      <c r="T13" s="354"/>
      <c r="U13" s="360"/>
    </row>
    <row r="14" spans="1:22" ht="28.2" customHeight="1" x14ac:dyDescent="0.35">
      <c r="B14" s="126"/>
      <c r="C14" s="127"/>
      <c r="D14" s="96" t="s">
        <v>237</v>
      </c>
      <c r="E14" s="97">
        <f t="shared" si="0"/>
        <v>11</v>
      </c>
      <c r="F14" s="399" t="s">
        <v>357</v>
      </c>
      <c r="G14" s="99" t="s">
        <v>107</v>
      </c>
      <c r="H14" s="82" t="s">
        <v>633</v>
      </c>
      <c r="I14" s="53" t="s">
        <v>633</v>
      </c>
      <c r="J14" s="53" t="s">
        <v>293</v>
      </c>
      <c r="K14" s="53" t="s">
        <v>293</v>
      </c>
      <c r="L14" s="53" t="s">
        <v>293</v>
      </c>
      <c r="M14" s="53" t="s">
        <v>293</v>
      </c>
      <c r="N14" s="53" t="s">
        <v>293</v>
      </c>
      <c r="O14" s="53" t="s">
        <v>293</v>
      </c>
      <c r="P14" s="66" t="s">
        <v>293</v>
      </c>
      <c r="Q14" s="68"/>
      <c r="R14" s="54"/>
      <c r="S14" s="70"/>
      <c r="T14" s="361"/>
      <c r="U14" s="105" t="s">
        <v>711</v>
      </c>
    </row>
    <row r="15" spans="1:22" ht="28.2" customHeight="1" x14ac:dyDescent="0.35">
      <c r="B15" s="126"/>
      <c r="C15" s="127"/>
      <c r="D15" s="91" t="s">
        <v>108</v>
      </c>
      <c r="E15" s="92">
        <f t="shared" si="0"/>
        <v>12</v>
      </c>
      <c r="F15" s="93"/>
      <c r="G15" s="94" t="s">
        <v>116</v>
      </c>
      <c r="H15" s="352" t="s">
        <v>799</v>
      </c>
      <c r="I15" s="356" t="s">
        <v>293</v>
      </c>
      <c r="J15" s="356" t="s">
        <v>293</v>
      </c>
      <c r="K15" s="352" t="s">
        <v>293</v>
      </c>
      <c r="L15" s="51" t="s">
        <v>293</v>
      </c>
      <c r="M15" s="51" t="s">
        <v>293</v>
      </c>
      <c r="N15" s="51" t="s">
        <v>293</v>
      </c>
      <c r="O15" s="51" t="s">
        <v>293</v>
      </c>
      <c r="P15" s="51" t="s">
        <v>293</v>
      </c>
      <c r="Q15" s="362">
        <v>45687</v>
      </c>
      <c r="R15" s="358"/>
      <c r="S15" s="359"/>
      <c r="T15" s="354"/>
      <c r="U15" s="103"/>
    </row>
    <row r="16" spans="1:22" ht="28.2" customHeight="1" x14ac:dyDescent="0.35">
      <c r="B16" s="126"/>
      <c r="C16" s="127"/>
      <c r="D16" s="91" t="s">
        <v>109</v>
      </c>
      <c r="E16" s="92">
        <f t="shared" si="0"/>
        <v>13</v>
      </c>
      <c r="F16" s="93"/>
      <c r="G16" s="94" t="s">
        <v>117</v>
      </c>
      <c r="H16" s="352" t="s">
        <v>799</v>
      </c>
      <c r="I16" s="356" t="s">
        <v>293</v>
      </c>
      <c r="J16" s="356" t="s">
        <v>293</v>
      </c>
      <c r="K16" s="352" t="s">
        <v>293</v>
      </c>
      <c r="L16" s="51" t="s">
        <v>293</v>
      </c>
      <c r="M16" s="51" t="s">
        <v>293</v>
      </c>
      <c r="N16" s="51" t="s">
        <v>293</v>
      </c>
      <c r="O16" s="51" t="s">
        <v>293</v>
      </c>
      <c r="P16" s="51" t="s">
        <v>293</v>
      </c>
      <c r="Q16" s="362">
        <v>45687</v>
      </c>
      <c r="R16" s="358"/>
      <c r="S16" s="359"/>
      <c r="T16" s="354"/>
      <c r="U16" s="103"/>
    </row>
    <row r="17" spans="1:22" ht="28.2" customHeight="1" x14ac:dyDescent="0.35">
      <c r="B17" s="126"/>
      <c r="C17" s="127"/>
      <c r="D17" s="245" t="s">
        <v>111</v>
      </c>
      <c r="E17" s="246">
        <f t="shared" si="0"/>
        <v>14</v>
      </c>
      <c r="F17" s="100"/>
      <c r="G17" s="94" t="s">
        <v>119</v>
      </c>
      <c r="H17" s="352" t="s">
        <v>799</v>
      </c>
      <c r="I17" s="356" t="s">
        <v>293</v>
      </c>
      <c r="J17" s="356" t="s">
        <v>293</v>
      </c>
      <c r="K17" s="352" t="s">
        <v>293</v>
      </c>
      <c r="L17" s="356" t="s">
        <v>293</v>
      </c>
      <c r="M17" s="356" t="s">
        <v>293</v>
      </c>
      <c r="N17" s="356" t="s">
        <v>293</v>
      </c>
      <c r="O17" s="356" t="s">
        <v>293</v>
      </c>
      <c r="P17" s="357" t="s">
        <v>293</v>
      </c>
      <c r="Q17" s="362">
        <v>45687</v>
      </c>
      <c r="R17" s="358"/>
      <c r="S17" s="359"/>
      <c r="T17" s="354"/>
      <c r="U17" s="363"/>
    </row>
    <row r="18" spans="1:22" ht="28.2" customHeight="1" x14ac:dyDescent="0.35">
      <c r="B18" s="126"/>
      <c r="C18" s="127"/>
      <c r="D18" s="248" t="s">
        <v>112</v>
      </c>
      <c r="E18" s="246">
        <f t="shared" si="0"/>
        <v>15</v>
      </c>
      <c r="F18" s="100"/>
      <c r="G18" s="94" t="s">
        <v>120</v>
      </c>
      <c r="H18" s="352" t="s">
        <v>799</v>
      </c>
      <c r="I18" s="356" t="s">
        <v>293</v>
      </c>
      <c r="J18" s="356" t="s">
        <v>293</v>
      </c>
      <c r="K18" s="352" t="s">
        <v>293</v>
      </c>
      <c r="L18" s="356" t="s">
        <v>293</v>
      </c>
      <c r="M18" s="356" t="s">
        <v>293</v>
      </c>
      <c r="N18" s="356" t="s">
        <v>293</v>
      </c>
      <c r="O18" s="356" t="s">
        <v>293</v>
      </c>
      <c r="P18" s="357" t="s">
        <v>293</v>
      </c>
      <c r="Q18" s="362">
        <v>45687</v>
      </c>
      <c r="R18" s="358"/>
      <c r="S18" s="359"/>
      <c r="T18" s="354"/>
      <c r="U18" s="360"/>
    </row>
    <row r="19" spans="1:22" s="339" customFormat="1" ht="28.2" customHeight="1" x14ac:dyDescent="0.35">
      <c r="A19" s="364"/>
      <c r="B19" s="365"/>
      <c r="C19" s="366"/>
      <c r="D19" s="249"/>
      <c r="E19" s="97">
        <f t="shared" si="0"/>
        <v>16</v>
      </c>
      <c r="F19" s="98"/>
      <c r="G19" s="99" t="s">
        <v>244</v>
      </c>
      <c r="H19" s="53" t="s">
        <v>293</v>
      </c>
      <c r="I19" s="53" t="s">
        <v>293</v>
      </c>
      <c r="J19" s="53" t="s">
        <v>293</v>
      </c>
      <c r="K19" s="53" t="s">
        <v>293</v>
      </c>
      <c r="L19" s="53" t="s">
        <v>293</v>
      </c>
      <c r="M19" s="53" t="s">
        <v>293</v>
      </c>
      <c r="N19" s="53" t="s">
        <v>293</v>
      </c>
      <c r="O19" s="53" t="s">
        <v>293</v>
      </c>
      <c r="P19" s="66" t="s">
        <v>293</v>
      </c>
      <c r="Q19" s="68"/>
      <c r="R19" s="54"/>
      <c r="S19" s="70"/>
      <c r="T19" s="361"/>
      <c r="U19" s="105" t="s">
        <v>634</v>
      </c>
      <c r="V19" s="367"/>
    </row>
    <row r="20" spans="1:22" ht="28.2" customHeight="1" x14ac:dyDescent="0.35">
      <c r="B20" s="126"/>
      <c r="C20" s="127"/>
      <c r="D20" s="250"/>
      <c r="E20" s="246">
        <f t="shared" si="0"/>
        <v>17</v>
      </c>
      <c r="F20" s="100"/>
      <c r="G20" s="94" t="s">
        <v>121</v>
      </c>
      <c r="H20" s="352" t="s">
        <v>799</v>
      </c>
      <c r="I20" s="356" t="s">
        <v>293</v>
      </c>
      <c r="J20" s="356" t="s">
        <v>293</v>
      </c>
      <c r="K20" s="352" t="s">
        <v>799</v>
      </c>
      <c r="L20" s="356" t="s">
        <v>293</v>
      </c>
      <c r="M20" s="356" t="s">
        <v>293</v>
      </c>
      <c r="N20" s="356" t="s">
        <v>293</v>
      </c>
      <c r="O20" s="356" t="s">
        <v>293</v>
      </c>
      <c r="P20" s="357" t="s">
        <v>293</v>
      </c>
      <c r="Q20" s="362">
        <v>45687</v>
      </c>
      <c r="R20" s="358"/>
      <c r="S20" s="359"/>
      <c r="T20" s="354"/>
      <c r="U20" s="360"/>
    </row>
    <row r="21" spans="1:22" ht="28.2" customHeight="1" x14ac:dyDescent="0.35">
      <c r="B21" s="126"/>
      <c r="C21" s="127"/>
      <c r="D21" s="245" t="s">
        <v>113</v>
      </c>
      <c r="E21" s="246">
        <f t="shared" si="0"/>
        <v>18</v>
      </c>
      <c r="F21" s="100"/>
      <c r="G21" s="94" t="s">
        <v>122</v>
      </c>
      <c r="H21" s="352" t="s">
        <v>799</v>
      </c>
      <c r="I21" s="356" t="s">
        <v>293</v>
      </c>
      <c r="J21" s="356" t="s">
        <v>293</v>
      </c>
      <c r="K21" s="352" t="s">
        <v>799</v>
      </c>
      <c r="L21" s="356" t="s">
        <v>293</v>
      </c>
      <c r="M21" s="356" t="s">
        <v>293</v>
      </c>
      <c r="N21" s="356" t="s">
        <v>293</v>
      </c>
      <c r="O21" s="356" t="s">
        <v>293</v>
      </c>
      <c r="P21" s="357" t="s">
        <v>293</v>
      </c>
      <c r="Q21" s="362">
        <v>45687</v>
      </c>
      <c r="R21" s="358"/>
      <c r="S21" s="359"/>
      <c r="T21" s="354"/>
      <c r="U21" s="360"/>
    </row>
    <row r="22" spans="1:22" ht="28.2" customHeight="1" x14ac:dyDescent="0.35">
      <c r="B22" s="126"/>
      <c r="C22" s="127"/>
      <c r="D22" s="247" t="s">
        <v>114</v>
      </c>
      <c r="E22" s="246">
        <f t="shared" si="0"/>
        <v>19</v>
      </c>
      <c r="F22" s="100" t="s">
        <v>221</v>
      </c>
      <c r="G22" s="94" t="s">
        <v>123</v>
      </c>
      <c r="H22" s="352" t="s">
        <v>799</v>
      </c>
      <c r="I22" s="356" t="s">
        <v>293</v>
      </c>
      <c r="J22" s="356" t="s">
        <v>293</v>
      </c>
      <c r="K22" s="352" t="s">
        <v>799</v>
      </c>
      <c r="L22" s="356" t="s">
        <v>293</v>
      </c>
      <c r="M22" s="356" t="s">
        <v>293</v>
      </c>
      <c r="N22" s="356" t="s">
        <v>293</v>
      </c>
      <c r="O22" s="356" t="s">
        <v>293</v>
      </c>
      <c r="P22" s="357" t="s">
        <v>293</v>
      </c>
      <c r="Q22" s="362">
        <v>45687</v>
      </c>
      <c r="R22" s="358"/>
      <c r="S22" s="359"/>
      <c r="T22" s="354"/>
      <c r="U22" s="360"/>
    </row>
    <row r="23" spans="1:22" ht="28.2" customHeight="1" x14ac:dyDescent="0.35">
      <c r="B23" s="126"/>
      <c r="C23" s="127"/>
      <c r="D23" s="368" t="s">
        <v>115</v>
      </c>
      <c r="E23" s="369">
        <f t="shared" si="0"/>
        <v>20</v>
      </c>
      <c r="F23" s="370"/>
      <c r="G23" s="94" t="s">
        <v>124</v>
      </c>
      <c r="H23" s="352" t="s">
        <v>799</v>
      </c>
      <c r="I23" s="356" t="s">
        <v>293</v>
      </c>
      <c r="J23" s="356" t="s">
        <v>293</v>
      </c>
      <c r="K23" s="352" t="s">
        <v>293</v>
      </c>
      <c r="L23" s="356" t="s">
        <v>293</v>
      </c>
      <c r="M23" s="356" t="s">
        <v>293</v>
      </c>
      <c r="N23" s="356" t="s">
        <v>293</v>
      </c>
      <c r="O23" s="356" t="s">
        <v>293</v>
      </c>
      <c r="P23" s="357" t="s">
        <v>293</v>
      </c>
      <c r="Q23" s="362">
        <v>45687</v>
      </c>
      <c r="R23" s="358"/>
      <c r="S23" s="359"/>
      <c r="T23" s="354"/>
      <c r="U23" s="360"/>
    </row>
    <row r="24" spans="1:22" ht="28.2" customHeight="1" x14ac:dyDescent="0.35">
      <c r="B24" s="126"/>
      <c r="C24" s="127"/>
      <c r="D24" s="248" t="s">
        <v>337</v>
      </c>
      <c r="E24" s="369">
        <f t="shared" si="0"/>
        <v>21</v>
      </c>
      <c r="F24" s="370"/>
      <c r="G24" s="94" t="s">
        <v>209</v>
      </c>
      <c r="H24" s="352" t="s">
        <v>293</v>
      </c>
      <c r="I24" s="356" t="s">
        <v>293</v>
      </c>
      <c r="J24" s="356" t="s">
        <v>293</v>
      </c>
      <c r="K24" s="352" t="s">
        <v>293</v>
      </c>
      <c r="L24" s="352" t="s">
        <v>799</v>
      </c>
      <c r="M24" s="352" t="s">
        <v>799</v>
      </c>
      <c r="N24" s="356" t="s">
        <v>293</v>
      </c>
      <c r="O24" s="356" t="s">
        <v>293</v>
      </c>
      <c r="P24" s="357" t="s">
        <v>293</v>
      </c>
      <c r="Q24" s="362">
        <v>45687</v>
      </c>
      <c r="R24" s="358"/>
      <c r="S24" s="359"/>
      <c r="T24" s="354"/>
      <c r="U24" s="375" t="s">
        <v>856</v>
      </c>
      <c r="V24" s="130"/>
    </row>
    <row r="25" spans="1:22" ht="28.2" customHeight="1" x14ac:dyDescent="0.35">
      <c r="B25" s="126"/>
      <c r="C25" s="127"/>
      <c r="D25" s="249"/>
      <c r="E25" s="369">
        <f t="shared" si="0"/>
        <v>22</v>
      </c>
      <c r="F25" s="370"/>
      <c r="G25" s="94" t="s">
        <v>210</v>
      </c>
      <c r="H25" s="352" t="s">
        <v>293</v>
      </c>
      <c r="I25" s="356" t="s">
        <v>293</v>
      </c>
      <c r="J25" s="356" t="s">
        <v>293</v>
      </c>
      <c r="K25" s="352" t="s">
        <v>293</v>
      </c>
      <c r="L25" s="352" t="s">
        <v>799</v>
      </c>
      <c r="M25" s="352" t="s">
        <v>799</v>
      </c>
      <c r="N25" s="356" t="s">
        <v>293</v>
      </c>
      <c r="O25" s="356" t="s">
        <v>293</v>
      </c>
      <c r="P25" s="357" t="s">
        <v>293</v>
      </c>
      <c r="Q25" s="362">
        <v>45687</v>
      </c>
      <c r="R25" s="358"/>
      <c r="S25" s="359"/>
      <c r="T25" s="354"/>
      <c r="U25" s="375" t="s">
        <v>856</v>
      </c>
      <c r="V25" s="130"/>
    </row>
    <row r="26" spans="1:22" ht="28.2" customHeight="1" x14ac:dyDescent="0.35">
      <c r="B26" s="126"/>
      <c r="C26" s="127"/>
      <c r="D26" s="249"/>
      <c r="E26" s="369">
        <f t="shared" si="0"/>
        <v>23</v>
      </c>
      <c r="F26" s="370"/>
      <c r="G26" s="94" t="s">
        <v>212</v>
      </c>
      <c r="H26" s="352" t="s">
        <v>293</v>
      </c>
      <c r="I26" s="356" t="s">
        <v>293</v>
      </c>
      <c r="J26" s="356" t="s">
        <v>293</v>
      </c>
      <c r="K26" s="352" t="s">
        <v>293</v>
      </c>
      <c r="L26" s="352" t="s">
        <v>799</v>
      </c>
      <c r="M26" s="352" t="s">
        <v>799</v>
      </c>
      <c r="N26" s="356" t="s">
        <v>293</v>
      </c>
      <c r="O26" s="356" t="s">
        <v>293</v>
      </c>
      <c r="P26" s="357" t="s">
        <v>293</v>
      </c>
      <c r="Q26" s="362">
        <v>45687</v>
      </c>
      <c r="R26" s="358"/>
      <c r="S26" s="359"/>
      <c r="T26" s="354"/>
      <c r="U26" s="375" t="s">
        <v>856</v>
      </c>
      <c r="V26" s="130"/>
    </row>
    <row r="27" spans="1:22" ht="28.2" customHeight="1" x14ac:dyDescent="0.35">
      <c r="B27" s="126"/>
      <c r="C27" s="127"/>
      <c r="D27" s="394" t="s">
        <v>342</v>
      </c>
      <c r="E27" s="97">
        <f t="shared" si="0"/>
        <v>24</v>
      </c>
      <c r="F27" s="98"/>
      <c r="G27" s="99" t="s">
        <v>760</v>
      </c>
      <c r="H27" s="53" t="s">
        <v>293</v>
      </c>
      <c r="I27" s="53" t="s">
        <v>293</v>
      </c>
      <c r="J27" s="53" t="s">
        <v>293</v>
      </c>
      <c r="K27" s="53" t="s">
        <v>293</v>
      </c>
      <c r="L27" s="53" t="s">
        <v>293</v>
      </c>
      <c r="M27" s="53" t="s">
        <v>293</v>
      </c>
      <c r="N27" s="53" t="s">
        <v>293</v>
      </c>
      <c r="O27" s="53" t="s">
        <v>293</v>
      </c>
      <c r="P27" s="66" t="s">
        <v>293</v>
      </c>
      <c r="Q27" s="68"/>
      <c r="R27" s="54"/>
      <c r="S27" s="70"/>
      <c r="T27" s="361"/>
      <c r="U27" s="392" t="s">
        <v>776</v>
      </c>
      <c r="V27" s="130"/>
    </row>
    <row r="28" spans="1:22" ht="28.2" customHeight="1" x14ac:dyDescent="0.35">
      <c r="B28" s="126"/>
      <c r="C28" s="128" t="s">
        <v>125</v>
      </c>
      <c r="D28" s="368" t="s">
        <v>126</v>
      </c>
      <c r="E28" s="369">
        <f t="shared" si="0"/>
        <v>25</v>
      </c>
      <c r="F28" s="370"/>
      <c r="G28" s="94" t="s">
        <v>133</v>
      </c>
      <c r="H28" s="352" t="s">
        <v>799</v>
      </c>
      <c r="I28" s="356" t="s">
        <v>293</v>
      </c>
      <c r="J28" s="356" t="s">
        <v>293</v>
      </c>
      <c r="K28" s="352" t="s">
        <v>293</v>
      </c>
      <c r="L28" s="356" t="s">
        <v>293</v>
      </c>
      <c r="M28" s="356" t="s">
        <v>293</v>
      </c>
      <c r="N28" s="356" t="s">
        <v>293</v>
      </c>
      <c r="O28" s="356" t="s">
        <v>293</v>
      </c>
      <c r="P28" s="357" t="s">
        <v>293</v>
      </c>
      <c r="Q28" s="362">
        <v>45687</v>
      </c>
      <c r="R28" s="358"/>
      <c r="S28" s="359"/>
      <c r="T28" s="354"/>
      <c r="U28" s="360"/>
    </row>
    <row r="29" spans="1:22" ht="28.2" customHeight="1" x14ac:dyDescent="0.35">
      <c r="B29" s="126"/>
      <c r="C29" s="127"/>
      <c r="D29" s="368" t="s">
        <v>127</v>
      </c>
      <c r="E29" s="369">
        <f t="shared" si="0"/>
        <v>26</v>
      </c>
      <c r="F29" s="370"/>
      <c r="G29" s="94" t="s">
        <v>133</v>
      </c>
      <c r="H29" s="352" t="s">
        <v>799</v>
      </c>
      <c r="I29" s="356" t="s">
        <v>293</v>
      </c>
      <c r="J29" s="356" t="s">
        <v>293</v>
      </c>
      <c r="K29" s="352" t="s">
        <v>293</v>
      </c>
      <c r="L29" s="356" t="s">
        <v>293</v>
      </c>
      <c r="M29" s="356" t="s">
        <v>293</v>
      </c>
      <c r="N29" s="356" t="s">
        <v>293</v>
      </c>
      <c r="O29" s="356" t="s">
        <v>293</v>
      </c>
      <c r="P29" s="357" t="s">
        <v>293</v>
      </c>
      <c r="Q29" s="362">
        <v>45687</v>
      </c>
      <c r="R29" s="358"/>
      <c r="S29" s="359"/>
      <c r="T29" s="354"/>
      <c r="U29" s="360"/>
      <c r="V29" s="371"/>
    </row>
    <row r="30" spans="1:22" ht="28.2" customHeight="1" x14ac:dyDescent="0.35">
      <c r="B30" s="126"/>
      <c r="C30" s="127"/>
      <c r="D30" s="397" t="s">
        <v>362</v>
      </c>
      <c r="E30" s="97">
        <f t="shared" si="0"/>
        <v>27</v>
      </c>
      <c r="F30" s="98"/>
      <c r="G30" s="99" t="s">
        <v>343</v>
      </c>
      <c r="H30" s="53" t="s">
        <v>293</v>
      </c>
      <c r="I30" s="53" t="s">
        <v>293</v>
      </c>
      <c r="J30" s="53" t="s">
        <v>293</v>
      </c>
      <c r="K30" s="53" t="s">
        <v>293</v>
      </c>
      <c r="L30" s="53" t="s">
        <v>293</v>
      </c>
      <c r="M30" s="53" t="s">
        <v>293</v>
      </c>
      <c r="N30" s="53" t="s">
        <v>293</v>
      </c>
      <c r="O30" s="53" t="s">
        <v>293</v>
      </c>
      <c r="P30" s="53" t="s">
        <v>293</v>
      </c>
      <c r="Q30" s="68"/>
      <c r="R30" s="54"/>
      <c r="S30" s="70"/>
      <c r="T30" s="361"/>
      <c r="U30" s="105"/>
      <c r="V30" s="130"/>
    </row>
    <row r="31" spans="1:22" ht="28.2" customHeight="1" x14ac:dyDescent="0.35">
      <c r="B31" s="126"/>
      <c r="C31" s="127"/>
      <c r="D31" s="398"/>
      <c r="E31" s="97">
        <f t="shared" si="0"/>
        <v>28</v>
      </c>
      <c r="F31" s="98"/>
      <c r="G31" s="99" t="s">
        <v>363</v>
      </c>
      <c r="H31" s="53" t="s">
        <v>293</v>
      </c>
      <c r="I31" s="53" t="s">
        <v>293</v>
      </c>
      <c r="J31" s="53" t="s">
        <v>293</v>
      </c>
      <c r="K31" s="53" t="s">
        <v>293</v>
      </c>
      <c r="L31" s="53" t="s">
        <v>293</v>
      </c>
      <c r="M31" s="53" t="s">
        <v>293</v>
      </c>
      <c r="N31" s="53" t="s">
        <v>293</v>
      </c>
      <c r="O31" s="53" t="s">
        <v>293</v>
      </c>
      <c r="P31" s="53" t="s">
        <v>293</v>
      </c>
      <c r="Q31" s="68"/>
      <c r="R31" s="54"/>
      <c r="S31" s="70"/>
      <c r="T31" s="361"/>
      <c r="U31" s="105"/>
      <c r="V31" s="130"/>
    </row>
    <row r="32" spans="1:22" ht="28.2" customHeight="1" x14ac:dyDescent="0.35">
      <c r="B32" s="126"/>
      <c r="C32" s="127"/>
      <c r="D32" s="96" t="s">
        <v>282</v>
      </c>
      <c r="E32" s="97">
        <f t="shared" si="0"/>
        <v>29</v>
      </c>
      <c r="F32" s="98"/>
      <c r="G32" s="99" t="s">
        <v>269</v>
      </c>
      <c r="H32" s="53" t="s">
        <v>293</v>
      </c>
      <c r="I32" s="53" t="s">
        <v>293</v>
      </c>
      <c r="J32" s="53" t="s">
        <v>293</v>
      </c>
      <c r="K32" s="53" t="s">
        <v>293</v>
      </c>
      <c r="L32" s="53" t="s">
        <v>293</v>
      </c>
      <c r="M32" s="53" t="s">
        <v>293</v>
      </c>
      <c r="N32" s="53" t="s">
        <v>293</v>
      </c>
      <c r="O32" s="53" t="s">
        <v>293</v>
      </c>
      <c r="P32" s="66" t="s">
        <v>293</v>
      </c>
      <c r="Q32" s="68"/>
      <c r="R32" s="54"/>
      <c r="S32" s="70"/>
      <c r="T32" s="361"/>
      <c r="U32" s="105" t="s">
        <v>635</v>
      </c>
    </row>
    <row r="33" spans="2:22" ht="28.2" customHeight="1" x14ac:dyDescent="0.35">
      <c r="B33" s="126"/>
      <c r="C33" s="127"/>
      <c r="D33" s="96" t="s">
        <v>238</v>
      </c>
      <c r="E33" s="97">
        <f t="shared" si="0"/>
        <v>30</v>
      </c>
      <c r="F33" s="98"/>
      <c r="G33" s="99" t="s">
        <v>270</v>
      </c>
      <c r="H33" s="53" t="s">
        <v>293</v>
      </c>
      <c r="I33" s="53" t="s">
        <v>293</v>
      </c>
      <c r="J33" s="53" t="s">
        <v>293</v>
      </c>
      <c r="K33" s="53" t="s">
        <v>293</v>
      </c>
      <c r="L33" s="53" t="s">
        <v>293</v>
      </c>
      <c r="M33" s="53" t="s">
        <v>293</v>
      </c>
      <c r="N33" s="53" t="s">
        <v>293</v>
      </c>
      <c r="O33" s="53" t="s">
        <v>293</v>
      </c>
      <c r="P33" s="66" t="s">
        <v>293</v>
      </c>
      <c r="Q33" s="68"/>
      <c r="R33" s="54"/>
      <c r="S33" s="70"/>
      <c r="T33" s="361"/>
      <c r="U33" s="105" t="s">
        <v>635</v>
      </c>
    </row>
    <row r="34" spans="2:22" ht="28.2" customHeight="1" x14ac:dyDescent="0.35">
      <c r="B34" s="126"/>
      <c r="C34" s="127"/>
      <c r="D34" s="368" t="s">
        <v>128</v>
      </c>
      <c r="E34" s="369">
        <f t="shared" si="0"/>
        <v>31</v>
      </c>
      <c r="F34" s="370"/>
      <c r="G34" s="94" t="s">
        <v>358</v>
      </c>
      <c r="H34" s="352" t="s">
        <v>799</v>
      </c>
      <c r="I34" s="356" t="s">
        <v>293</v>
      </c>
      <c r="J34" s="356" t="s">
        <v>293</v>
      </c>
      <c r="K34" s="352" t="s">
        <v>293</v>
      </c>
      <c r="L34" s="356" t="s">
        <v>293</v>
      </c>
      <c r="M34" s="356" t="s">
        <v>293</v>
      </c>
      <c r="N34" s="356" t="s">
        <v>293</v>
      </c>
      <c r="O34" s="356" t="s">
        <v>293</v>
      </c>
      <c r="P34" s="357" t="s">
        <v>293</v>
      </c>
      <c r="Q34" s="362">
        <v>45687</v>
      </c>
      <c r="R34" s="358"/>
      <c r="S34" s="359"/>
      <c r="T34" s="354"/>
      <c r="U34" s="360"/>
    </row>
    <row r="35" spans="2:22" ht="28.2" customHeight="1" x14ac:dyDescent="0.35">
      <c r="B35" s="126"/>
      <c r="C35" s="127"/>
      <c r="D35" s="368" t="s">
        <v>129</v>
      </c>
      <c r="E35" s="369">
        <f t="shared" si="0"/>
        <v>32</v>
      </c>
      <c r="F35" s="370"/>
      <c r="G35" s="94" t="s">
        <v>358</v>
      </c>
      <c r="H35" s="352" t="s">
        <v>799</v>
      </c>
      <c r="I35" s="356" t="s">
        <v>293</v>
      </c>
      <c r="J35" s="356" t="s">
        <v>293</v>
      </c>
      <c r="K35" s="352" t="s">
        <v>293</v>
      </c>
      <c r="L35" s="356" t="s">
        <v>293</v>
      </c>
      <c r="M35" s="356" t="s">
        <v>293</v>
      </c>
      <c r="N35" s="356" t="s">
        <v>293</v>
      </c>
      <c r="O35" s="356" t="s">
        <v>293</v>
      </c>
      <c r="P35" s="357" t="s">
        <v>293</v>
      </c>
      <c r="Q35" s="362">
        <v>45687</v>
      </c>
      <c r="R35" s="358"/>
      <c r="S35" s="359"/>
      <c r="T35" s="354"/>
      <c r="U35" s="360"/>
    </row>
    <row r="36" spans="2:22" ht="28.2" customHeight="1" x14ac:dyDescent="0.35">
      <c r="B36" s="126"/>
      <c r="C36" s="127"/>
      <c r="D36" s="368" t="s">
        <v>130</v>
      </c>
      <c r="E36" s="369">
        <f t="shared" si="0"/>
        <v>33</v>
      </c>
      <c r="F36" s="370"/>
      <c r="G36" s="94" t="s">
        <v>358</v>
      </c>
      <c r="H36" s="352" t="s">
        <v>799</v>
      </c>
      <c r="I36" s="356" t="s">
        <v>293</v>
      </c>
      <c r="J36" s="356" t="s">
        <v>293</v>
      </c>
      <c r="K36" s="352" t="s">
        <v>293</v>
      </c>
      <c r="L36" s="356" t="s">
        <v>293</v>
      </c>
      <c r="M36" s="356" t="s">
        <v>293</v>
      </c>
      <c r="N36" s="356" t="s">
        <v>293</v>
      </c>
      <c r="O36" s="356" t="s">
        <v>293</v>
      </c>
      <c r="P36" s="357" t="s">
        <v>293</v>
      </c>
      <c r="Q36" s="362">
        <v>45687</v>
      </c>
      <c r="R36" s="358"/>
      <c r="S36" s="359"/>
      <c r="T36" s="354"/>
      <c r="U36" s="360"/>
    </row>
    <row r="37" spans="2:22" ht="28.2" customHeight="1" x14ac:dyDescent="0.35">
      <c r="B37" s="126"/>
      <c r="C37" s="127"/>
      <c r="D37" s="368" t="s">
        <v>131</v>
      </c>
      <c r="E37" s="369">
        <f t="shared" si="0"/>
        <v>34</v>
      </c>
      <c r="F37" s="370"/>
      <c r="G37" s="94" t="s">
        <v>358</v>
      </c>
      <c r="H37" s="352" t="s">
        <v>799</v>
      </c>
      <c r="I37" s="356" t="s">
        <v>293</v>
      </c>
      <c r="J37" s="356" t="s">
        <v>293</v>
      </c>
      <c r="K37" s="352" t="s">
        <v>293</v>
      </c>
      <c r="L37" s="356" t="s">
        <v>293</v>
      </c>
      <c r="M37" s="356" t="s">
        <v>293</v>
      </c>
      <c r="N37" s="356" t="s">
        <v>293</v>
      </c>
      <c r="O37" s="356" t="s">
        <v>293</v>
      </c>
      <c r="P37" s="357" t="s">
        <v>293</v>
      </c>
      <c r="Q37" s="362">
        <v>45687</v>
      </c>
      <c r="R37" s="358"/>
      <c r="S37" s="359"/>
      <c r="T37" s="354"/>
      <c r="U37" s="360"/>
    </row>
    <row r="38" spans="2:22" ht="28.2" customHeight="1" x14ac:dyDescent="0.35">
      <c r="B38" s="126"/>
      <c r="C38" s="127"/>
      <c r="D38" s="368" t="s">
        <v>132</v>
      </c>
      <c r="E38" s="369">
        <f t="shared" si="0"/>
        <v>35</v>
      </c>
      <c r="F38" s="370"/>
      <c r="G38" s="94" t="s">
        <v>134</v>
      </c>
      <c r="H38" s="352" t="s">
        <v>799</v>
      </c>
      <c r="I38" s="356" t="s">
        <v>293</v>
      </c>
      <c r="J38" s="356" t="s">
        <v>293</v>
      </c>
      <c r="K38" s="352" t="s">
        <v>799</v>
      </c>
      <c r="L38" s="356" t="s">
        <v>293</v>
      </c>
      <c r="M38" s="356" t="s">
        <v>293</v>
      </c>
      <c r="N38" s="356" t="s">
        <v>293</v>
      </c>
      <c r="O38" s="356" t="s">
        <v>293</v>
      </c>
      <c r="P38" s="357" t="s">
        <v>293</v>
      </c>
      <c r="Q38" s="362">
        <v>45687</v>
      </c>
      <c r="R38" s="358"/>
      <c r="S38" s="359"/>
      <c r="T38" s="354"/>
      <c r="U38" s="360"/>
    </row>
    <row r="39" spans="2:22" ht="28.2" customHeight="1" x14ac:dyDescent="0.35">
      <c r="B39" s="126"/>
      <c r="C39" s="128" t="s">
        <v>135</v>
      </c>
      <c r="D39" s="368" t="s">
        <v>136</v>
      </c>
      <c r="E39" s="369">
        <f t="shared" si="0"/>
        <v>36</v>
      </c>
      <c r="F39" s="100"/>
      <c r="G39" s="94" t="s">
        <v>134</v>
      </c>
      <c r="H39" s="352" t="s">
        <v>799</v>
      </c>
      <c r="I39" s="356" t="s">
        <v>293</v>
      </c>
      <c r="J39" s="356" t="s">
        <v>293</v>
      </c>
      <c r="K39" s="352" t="s">
        <v>293</v>
      </c>
      <c r="L39" s="356" t="s">
        <v>293</v>
      </c>
      <c r="M39" s="356" t="s">
        <v>293</v>
      </c>
      <c r="N39" s="356" t="s">
        <v>293</v>
      </c>
      <c r="O39" s="356" t="s">
        <v>293</v>
      </c>
      <c r="P39" s="357" t="s">
        <v>293</v>
      </c>
      <c r="Q39" s="362">
        <v>45687</v>
      </c>
      <c r="R39" s="358"/>
      <c r="S39" s="359"/>
      <c r="T39" s="354"/>
      <c r="U39" s="360"/>
      <c r="V39" s="130"/>
    </row>
    <row r="40" spans="2:22" ht="48.6" customHeight="1" x14ac:dyDescent="0.35">
      <c r="B40" s="126"/>
      <c r="C40" s="127"/>
      <c r="D40" s="368" t="s">
        <v>373</v>
      </c>
      <c r="E40" s="369">
        <f t="shared" si="0"/>
        <v>37</v>
      </c>
      <c r="F40" s="100" t="s">
        <v>234</v>
      </c>
      <c r="G40" s="94" t="s">
        <v>134</v>
      </c>
      <c r="H40" s="352" t="s">
        <v>799</v>
      </c>
      <c r="I40" s="356" t="s">
        <v>293</v>
      </c>
      <c r="J40" s="356" t="s">
        <v>293</v>
      </c>
      <c r="K40" s="352" t="s">
        <v>293</v>
      </c>
      <c r="L40" s="356" t="s">
        <v>293</v>
      </c>
      <c r="M40" s="356" t="s">
        <v>293</v>
      </c>
      <c r="N40" s="356" t="s">
        <v>293</v>
      </c>
      <c r="O40" s="356" t="s">
        <v>293</v>
      </c>
      <c r="P40" s="357" t="s">
        <v>293</v>
      </c>
      <c r="Q40" s="362">
        <v>45687</v>
      </c>
      <c r="R40" s="358"/>
      <c r="S40" s="359"/>
      <c r="T40" s="354"/>
      <c r="U40" s="360"/>
      <c r="V40" s="130"/>
    </row>
    <row r="41" spans="2:22" ht="28.2" customHeight="1" x14ac:dyDescent="0.35">
      <c r="B41" s="126"/>
      <c r="C41" s="127"/>
      <c r="D41" s="368" t="s">
        <v>137</v>
      </c>
      <c r="E41" s="369">
        <f t="shared" si="0"/>
        <v>38</v>
      </c>
      <c r="F41" s="100"/>
      <c r="G41" s="94" t="s">
        <v>139</v>
      </c>
      <c r="H41" s="352" t="s">
        <v>799</v>
      </c>
      <c r="I41" s="356" t="s">
        <v>293</v>
      </c>
      <c r="J41" s="356" t="s">
        <v>293</v>
      </c>
      <c r="K41" s="352" t="s">
        <v>293</v>
      </c>
      <c r="L41" s="356" t="s">
        <v>293</v>
      </c>
      <c r="M41" s="356" t="s">
        <v>293</v>
      </c>
      <c r="N41" s="356" t="s">
        <v>293</v>
      </c>
      <c r="O41" s="356" t="s">
        <v>293</v>
      </c>
      <c r="P41" s="357" t="s">
        <v>293</v>
      </c>
      <c r="Q41" s="362">
        <v>45687</v>
      </c>
      <c r="R41" s="358"/>
      <c r="S41" s="359"/>
      <c r="T41" s="354"/>
      <c r="U41" s="360"/>
    </row>
    <row r="42" spans="2:22" ht="28.2" customHeight="1" x14ac:dyDescent="0.35">
      <c r="B42" s="126"/>
      <c r="C42" s="127"/>
      <c r="D42" s="368" t="s">
        <v>138</v>
      </c>
      <c r="E42" s="369">
        <f t="shared" si="0"/>
        <v>39</v>
      </c>
      <c r="F42" s="100"/>
      <c r="G42" s="94" t="s">
        <v>134</v>
      </c>
      <c r="H42" s="352" t="s">
        <v>799</v>
      </c>
      <c r="I42" s="356" t="s">
        <v>293</v>
      </c>
      <c r="J42" s="356" t="s">
        <v>293</v>
      </c>
      <c r="K42" s="352" t="s">
        <v>293</v>
      </c>
      <c r="L42" s="356" t="s">
        <v>293</v>
      </c>
      <c r="M42" s="356" t="s">
        <v>293</v>
      </c>
      <c r="N42" s="356" t="s">
        <v>293</v>
      </c>
      <c r="O42" s="356" t="s">
        <v>293</v>
      </c>
      <c r="P42" s="357" t="s">
        <v>293</v>
      </c>
      <c r="Q42" s="362">
        <v>45687</v>
      </c>
      <c r="R42" s="358"/>
      <c r="S42" s="359"/>
      <c r="T42" s="354"/>
      <c r="U42" s="360"/>
      <c r="V42" s="130"/>
    </row>
    <row r="43" spans="2:22"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68"/>
      <c r="R43" s="54"/>
      <c r="S43" s="70"/>
      <c r="T43" s="361"/>
      <c r="U43" s="105" t="s">
        <v>724</v>
      </c>
      <c r="V43" s="130"/>
    </row>
    <row r="44" spans="2:22" ht="37.799999999999997" customHeight="1" x14ac:dyDescent="0.35">
      <c r="B44" s="126"/>
      <c r="C44" s="127"/>
      <c r="D44" s="368" t="s">
        <v>240</v>
      </c>
      <c r="E44" s="369">
        <f t="shared" si="0"/>
        <v>41</v>
      </c>
      <c r="F44" s="100" t="s">
        <v>220</v>
      </c>
      <c r="G44" s="94" t="s">
        <v>134</v>
      </c>
      <c r="H44" s="352" t="s">
        <v>799</v>
      </c>
      <c r="I44" s="356" t="s">
        <v>293</v>
      </c>
      <c r="J44" s="356" t="s">
        <v>293</v>
      </c>
      <c r="K44" s="352" t="s">
        <v>293</v>
      </c>
      <c r="L44" s="356" t="s">
        <v>293</v>
      </c>
      <c r="M44" s="356" t="s">
        <v>293</v>
      </c>
      <c r="N44" s="356" t="s">
        <v>293</v>
      </c>
      <c r="O44" s="356" t="s">
        <v>293</v>
      </c>
      <c r="P44" s="357" t="s">
        <v>293</v>
      </c>
      <c r="Q44" s="362">
        <v>45687</v>
      </c>
      <c r="R44" s="358"/>
      <c r="S44" s="359"/>
      <c r="T44" s="354"/>
      <c r="U44" s="363"/>
    </row>
    <row r="45" spans="2:22" ht="28.2" customHeight="1" x14ac:dyDescent="0.35">
      <c r="B45" s="126"/>
      <c r="C45" s="127"/>
      <c r="D45" s="368" t="s">
        <v>241</v>
      </c>
      <c r="E45" s="369">
        <f t="shared" si="0"/>
        <v>42</v>
      </c>
      <c r="F45" s="100" t="s">
        <v>223</v>
      </c>
      <c r="G45" s="94" t="s">
        <v>134</v>
      </c>
      <c r="H45" s="352" t="s">
        <v>799</v>
      </c>
      <c r="I45" s="356" t="s">
        <v>293</v>
      </c>
      <c r="J45" s="356" t="s">
        <v>293</v>
      </c>
      <c r="K45" s="352" t="s">
        <v>293</v>
      </c>
      <c r="L45" s="356" t="s">
        <v>293</v>
      </c>
      <c r="M45" s="356" t="s">
        <v>293</v>
      </c>
      <c r="N45" s="356" t="s">
        <v>293</v>
      </c>
      <c r="O45" s="356" t="s">
        <v>293</v>
      </c>
      <c r="P45" s="357" t="s">
        <v>293</v>
      </c>
      <c r="Q45" s="362">
        <v>45687</v>
      </c>
      <c r="R45" s="358"/>
      <c r="S45" s="359"/>
      <c r="T45" s="354"/>
      <c r="U45" s="360" t="s">
        <v>687</v>
      </c>
    </row>
    <row r="46" spans="2:22" ht="36" customHeight="1" x14ac:dyDescent="0.35">
      <c r="B46" s="126"/>
      <c r="C46" s="127"/>
      <c r="D46" s="248" t="s">
        <v>369</v>
      </c>
      <c r="E46" s="97">
        <f t="shared" si="0"/>
        <v>43</v>
      </c>
      <c r="F46" s="98" t="s">
        <v>786</v>
      </c>
      <c r="G46" s="99" t="s">
        <v>134</v>
      </c>
      <c r="H46" s="82" t="s">
        <v>293</v>
      </c>
      <c r="I46" s="53" t="s">
        <v>293</v>
      </c>
      <c r="J46" s="53" t="s">
        <v>293</v>
      </c>
      <c r="K46" s="82" t="s">
        <v>293</v>
      </c>
      <c r="L46" s="53" t="s">
        <v>293</v>
      </c>
      <c r="M46" s="53" t="s">
        <v>293</v>
      </c>
      <c r="N46" s="53" t="s">
        <v>293</v>
      </c>
      <c r="O46" s="53" t="s">
        <v>293</v>
      </c>
      <c r="P46" s="66" t="s">
        <v>293</v>
      </c>
      <c r="Q46" s="68"/>
      <c r="R46" s="54"/>
      <c r="S46" s="70"/>
      <c r="T46" s="361"/>
      <c r="U46" s="105" t="s">
        <v>775</v>
      </c>
    </row>
    <row r="47" spans="2:22" ht="36" customHeight="1" x14ac:dyDescent="0.35">
      <c r="B47" s="126"/>
      <c r="C47" s="127"/>
      <c r="D47" s="249"/>
      <c r="E47" s="369">
        <f t="shared" si="0"/>
        <v>44</v>
      </c>
      <c r="F47" s="100" t="s">
        <v>379</v>
      </c>
      <c r="G47" s="94" t="s">
        <v>370</v>
      </c>
      <c r="H47" s="352" t="s">
        <v>799</v>
      </c>
      <c r="I47" s="356" t="s">
        <v>293</v>
      </c>
      <c r="J47" s="356" t="s">
        <v>293</v>
      </c>
      <c r="K47" s="352" t="s">
        <v>799</v>
      </c>
      <c r="L47" s="356" t="s">
        <v>293</v>
      </c>
      <c r="M47" s="356" t="s">
        <v>293</v>
      </c>
      <c r="N47" s="356" t="s">
        <v>293</v>
      </c>
      <c r="O47" s="356" t="s">
        <v>293</v>
      </c>
      <c r="P47" s="357" t="s">
        <v>293</v>
      </c>
      <c r="Q47" s="362">
        <v>45687</v>
      </c>
      <c r="R47" s="358"/>
      <c r="S47" s="359"/>
      <c r="T47" s="354"/>
      <c r="U47" s="360"/>
    </row>
    <row r="48" spans="2:22" ht="52.8" customHeight="1" x14ac:dyDescent="0.35">
      <c r="B48" s="126"/>
      <c r="C48" s="127"/>
      <c r="D48" s="373"/>
      <c r="E48" s="369">
        <f t="shared" si="0"/>
        <v>45</v>
      </c>
      <c r="F48" s="100" t="s">
        <v>380</v>
      </c>
      <c r="G48" s="94" t="s">
        <v>371</v>
      </c>
      <c r="H48" s="352" t="s">
        <v>799</v>
      </c>
      <c r="I48" s="356" t="s">
        <v>293</v>
      </c>
      <c r="J48" s="356" t="s">
        <v>293</v>
      </c>
      <c r="K48" s="352" t="s">
        <v>293</v>
      </c>
      <c r="L48" s="356" t="s">
        <v>293</v>
      </c>
      <c r="M48" s="356" t="s">
        <v>293</v>
      </c>
      <c r="N48" s="356" t="s">
        <v>293</v>
      </c>
      <c r="O48" s="356" t="s">
        <v>293</v>
      </c>
      <c r="P48" s="357" t="s">
        <v>293</v>
      </c>
      <c r="Q48" s="362">
        <v>45687</v>
      </c>
      <c r="R48" s="358"/>
      <c r="S48" s="359"/>
      <c r="T48" s="354"/>
      <c r="U48" s="360"/>
    </row>
    <row r="49" spans="2:22" ht="28.2" customHeight="1" x14ac:dyDescent="0.35">
      <c r="B49" s="126"/>
      <c r="C49" s="347" t="s">
        <v>245</v>
      </c>
      <c r="D49" s="96" t="s">
        <v>243</v>
      </c>
      <c r="E49" s="97">
        <f t="shared" si="0"/>
        <v>46</v>
      </c>
      <c r="F49" s="98"/>
      <c r="G49" s="99" t="s">
        <v>140</v>
      </c>
      <c r="H49" s="53" t="s">
        <v>293</v>
      </c>
      <c r="I49" s="53" t="s">
        <v>293</v>
      </c>
      <c r="J49" s="53" t="s">
        <v>293</v>
      </c>
      <c r="K49" s="53" t="s">
        <v>293</v>
      </c>
      <c r="L49" s="53" t="s">
        <v>293</v>
      </c>
      <c r="M49" s="53" t="s">
        <v>293</v>
      </c>
      <c r="N49" s="53" t="s">
        <v>293</v>
      </c>
      <c r="O49" s="53" t="s">
        <v>293</v>
      </c>
      <c r="P49" s="66" t="s">
        <v>293</v>
      </c>
      <c r="Q49" s="68"/>
      <c r="R49" s="54"/>
      <c r="S49" s="70"/>
      <c r="T49" s="361"/>
      <c r="U49" s="105" t="s">
        <v>634</v>
      </c>
    </row>
    <row r="50" spans="2:22" ht="28.2" customHeight="1" x14ac:dyDescent="0.35">
      <c r="B50" s="126"/>
      <c r="C50" s="396"/>
      <c r="D50" s="397" t="s">
        <v>243</v>
      </c>
      <c r="E50" s="97">
        <f t="shared" si="0"/>
        <v>47</v>
      </c>
      <c r="F50" s="98"/>
      <c r="G50" s="99" t="s">
        <v>140</v>
      </c>
      <c r="H50" s="53" t="s">
        <v>293</v>
      </c>
      <c r="I50" s="53" t="s">
        <v>293</v>
      </c>
      <c r="J50" s="53" t="s">
        <v>293</v>
      </c>
      <c r="K50" s="53" t="s">
        <v>293</v>
      </c>
      <c r="L50" s="53" t="s">
        <v>293</v>
      </c>
      <c r="M50" s="53" t="s">
        <v>293</v>
      </c>
      <c r="N50" s="53" t="s">
        <v>293</v>
      </c>
      <c r="O50" s="53" t="s">
        <v>293</v>
      </c>
      <c r="P50" s="66" t="s">
        <v>293</v>
      </c>
      <c r="Q50" s="68"/>
      <c r="R50" s="54"/>
      <c r="S50" s="70"/>
      <c r="T50" s="361"/>
      <c r="U50" s="105" t="s">
        <v>634</v>
      </c>
    </row>
    <row r="51" spans="2:22" ht="28.2" customHeight="1" x14ac:dyDescent="0.35">
      <c r="B51" s="126"/>
      <c r="C51" s="396"/>
      <c r="D51" s="403"/>
      <c r="E51" s="97">
        <f t="shared" si="0"/>
        <v>48</v>
      </c>
      <c r="F51" s="98"/>
      <c r="G51" s="99" t="s">
        <v>141</v>
      </c>
      <c r="H51" s="53" t="s">
        <v>293</v>
      </c>
      <c r="I51" s="53" t="s">
        <v>293</v>
      </c>
      <c r="J51" s="53" t="s">
        <v>293</v>
      </c>
      <c r="K51" s="53" t="s">
        <v>293</v>
      </c>
      <c r="L51" s="53" t="s">
        <v>293</v>
      </c>
      <c r="M51" s="53" t="s">
        <v>293</v>
      </c>
      <c r="N51" s="53" t="s">
        <v>293</v>
      </c>
      <c r="O51" s="53" t="s">
        <v>293</v>
      </c>
      <c r="P51" s="66" t="s">
        <v>293</v>
      </c>
      <c r="Q51" s="68"/>
      <c r="R51" s="54"/>
      <c r="S51" s="70"/>
      <c r="T51" s="361"/>
      <c r="U51" s="105" t="s">
        <v>634</v>
      </c>
    </row>
    <row r="52" spans="2:22" ht="28.2" customHeight="1" x14ac:dyDescent="0.35">
      <c r="B52" s="126"/>
      <c r="C52" s="347" t="s">
        <v>142</v>
      </c>
      <c r="D52" s="96" t="s">
        <v>143</v>
      </c>
      <c r="E52" s="97">
        <f t="shared" si="0"/>
        <v>49</v>
      </c>
      <c r="F52" s="98"/>
      <c r="G52" s="99" t="s">
        <v>216</v>
      </c>
      <c r="H52" s="53" t="s">
        <v>293</v>
      </c>
      <c r="I52" s="53" t="s">
        <v>293</v>
      </c>
      <c r="J52" s="53" t="s">
        <v>293</v>
      </c>
      <c r="K52" s="53" t="s">
        <v>293</v>
      </c>
      <c r="L52" s="53" t="s">
        <v>293</v>
      </c>
      <c r="M52" s="53" t="s">
        <v>293</v>
      </c>
      <c r="N52" s="53" t="s">
        <v>293</v>
      </c>
      <c r="O52" s="53" t="s">
        <v>293</v>
      </c>
      <c r="P52" s="66" t="s">
        <v>293</v>
      </c>
      <c r="Q52" s="68"/>
      <c r="R52" s="54"/>
      <c r="S52" s="70"/>
      <c r="T52" s="361"/>
      <c r="U52" s="105" t="s">
        <v>636</v>
      </c>
    </row>
    <row r="53" spans="2:22" ht="28.2" customHeight="1" x14ac:dyDescent="0.35">
      <c r="B53" s="126"/>
      <c r="C53" s="396"/>
      <c r="D53" s="96" t="s">
        <v>144</v>
      </c>
      <c r="E53" s="97">
        <f t="shared" si="0"/>
        <v>50</v>
      </c>
      <c r="F53" s="98"/>
      <c r="G53" s="99" t="s">
        <v>359</v>
      </c>
      <c r="H53" s="53" t="s">
        <v>293</v>
      </c>
      <c r="I53" s="53" t="s">
        <v>293</v>
      </c>
      <c r="J53" s="53" t="s">
        <v>293</v>
      </c>
      <c r="K53" s="53" t="s">
        <v>293</v>
      </c>
      <c r="L53" s="53" t="s">
        <v>293</v>
      </c>
      <c r="M53" s="53" t="s">
        <v>293</v>
      </c>
      <c r="N53" s="53" t="s">
        <v>293</v>
      </c>
      <c r="O53" s="53" t="s">
        <v>293</v>
      </c>
      <c r="P53" s="53" t="s">
        <v>293</v>
      </c>
      <c r="Q53" s="68"/>
      <c r="R53" s="54"/>
      <c r="S53" s="70"/>
      <c r="T53" s="361"/>
      <c r="U53" s="105"/>
    </row>
    <row r="54" spans="2:22" ht="28.2" customHeight="1" x14ac:dyDescent="0.35">
      <c r="B54" s="126"/>
      <c r="C54" s="396"/>
      <c r="D54" s="96" t="s">
        <v>360</v>
      </c>
      <c r="E54" s="97">
        <f t="shared" si="0"/>
        <v>51</v>
      </c>
      <c r="F54" s="98"/>
      <c r="G54" s="99" t="s">
        <v>361</v>
      </c>
      <c r="H54" s="82" t="s">
        <v>293</v>
      </c>
      <c r="I54" s="53" t="s">
        <v>293</v>
      </c>
      <c r="J54" s="53" t="s">
        <v>293</v>
      </c>
      <c r="K54" s="53" t="s">
        <v>293</v>
      </c>
      <c r="L54" s="53" t="s">
        <v>293</v>
      </c>
      <c r="M54" s="53" t="s">
        <v>293</v>
      </c>
      <c r="N54" s="53" t="s">
        <v>293</v>
      </c>
      <c r="O54" s="53" t="s">
        <v>293</v>
      </c>
      <c r="P54" s="66" t="s">
        <v>293</v>
      </c>
      <c r="Q54" s="68"/>
      <c r="R54" s="54"/>
      <c r="S54" s="70"/>
      <c r="T54" s="72"/>
      <c r="U54" s="105" t="s">
        <v>776</v>
      </c>
    </row>
    <row r="55" spans="2:22" ht="28.2" customHeight="1" x14ac:dyDescent="0.35">
      <c r="B55" s="126"/>
      <c r="C55" s="396"/>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368" t="s">
        <v>148</v>
      </c>
      <c r="E56" s="369">
        <f t="shared" si="0"/>
        <v>53</v>
      </c>
      <c r="F56" s="370"/>
      <c r="G56" s="94" t="s">
        <v>149</v>
      </c>
      <c r="H56" s="374" t="s">
        <v>293</v>
      </c>
      <c r="I56" s="356" t="s">
        <v>293</v>
      </c>
      <c r="J56" s="356" t="s">
        <v>293</v>
      </c>
      <c r="K56" s="352" t="s">
        <v>799</v>
      </c>
      <c r="L56" s="356" t="s">
        <v>293</v>
      </c>
      <c r="M56" s="352" t="s">
        <v>799</v>
      </c>
      <c r="N56" s="356" t="s">
        <v>293</v>
      </c>
      <c r="O56" s="356" t="s">
        <v>293</v>
      </c>
      <c r="P56" s="357" t="s">
        <v>293</v>
      </c>
      <c r="Q56" s="362">
        <v>45687</v>
      </c>
      <c r="R56" s="358"/>
      <c r="S56" s="359"/>
      <c r="T56" s="354"/>
      <c r="U56" s="363"/>
    </row>
    <row r="57" spans="2:22" ht="52.8" customHeight="1" x14ac:dyDescent="0.35">
      <c r="B57" s="126"/>
      <c r="C57" s="127"/>
      <c r="D57" s="96" t="s">
        <v>347</v>
      </c>
      <c r="E57" s="97">
        <f t="shared" si="0"/>
        <v>54</v>
      </c>
      <c r="F57" s="98" t="s">
        <v>348</v>
      </c>
      <c r="G57" s="456" t="s">
        <v>637</v>
      </c>
      <c r="H57" s="53" t="s">
        <v>293</v>
      </c>
      <c r="I57" s="53" t="s">
        <v>293</v>
      </c>
      <c r="J57" s="53" t="s">
        <v>293</v>
      </c>
      <c r="K57" s="53" t="s">
        <v>293</v>
      </c>
      <c r="L57" s="53" t="s">
        <v>293</v>
      </c>
      <c r="M57" s="53" t="s">
        <v>293</v>
      </c>
      <c r="N57" s="53" t="s">
        <v>293</v>
      </c>
      <c r="O57" s="53" t="s">
        <v>293</v>
      </c>
      <c r="P57" s="53" t="s">
        <v>293</v>
      </c>
      <c r="Q57" s="68"/>
      <c r="R57" s="54"/>
      <c r="S57" s="70"/>
      <c r="T57" s="361"/>
      <c r="U57" s="105" t="s">
        <v>777</v>
      </c>
    </row>
    <row r="58" spans="2:22" ht="28.2" customHeight="1" x14ac:dyDescent="0.35">
      <c r="B58" s="126"/>
      <c r="C58" s="347" t="s">
        <v>638</v>
      </c>
      <c r="D58" s="96" t="s">
        <v>151</v>
      </c>
      <c r="E58" s="97">
        <f t="shared" si="0"/>
        <v>55</v>
      </c>
      <c r="F58" s="98"/>
      <c r="G58" s="99" t="s">
        <v>364</v>
      </c>
      <c r="H58" s="53" t="s">
        <v>293</v>
      </c>
      <c r="I58" s="53" t="s">
        <v>293</v>
      </c>
      <c r="J58" s="53" t="s">
        <v>293</v>
      </c>
      <c r="K58" s="53" t="s">
        <v>293</v>
      </c>
      <c r="L58" s="53" t="s">
        <v>293</v>
      </c>
      <c r="M58" s="53" t="s">
        <v>293</v>
      </c>
      <c r="N58" s="53" t="s">
        <v>293</v>
      </c>
      <c r="O58" s="53" t="s">
        <v>293</v>
      </c>
      <c r="P58" s="66" t="s">
        <v>293</v>
      </c>
      <c r="Q58" s="68"/>
      <c r="R58" s="54"/>
      <c r="S58" s="70"/>
      <c r="T58" s="361"/>
      <c r="U58" s="105" t="s">
        <v>639</v>
      </c>
    </row>
    <row r="59" spans="2:22" ht="28.2" customHeight="1" x14ac:dyDescent="0.35">
      <c r="B59" s="126"/>
      <c r="C59" s="396"/>
      <c r="D59" s="96" t="s">
        <v>152</v>
      </c>
      <c r="E59" s="97">
        <f t="shared" si="0"/>
        <v>56</v>
      </c>
      <c r="F59" s="98"/>
      <c r="G59" s="99" t="s">
        <v>365</v>
      </c>
      <c r="H59" s="53" t="s">
        <v>293</v>
      </c>
      <c r="I59" s="53" t="s">
        <v>293</v>
      </c>
      <c r="J59" s="53" t="s">
        <v>293</v>
      </c>
      <c r="K59" s="53" t="s">
        <v>293</v>
      </c>
      <c r="L59" s="53" t="s">
        <v>293</v>
      </c>
      <c r="M59" s="53" t="s">
        <v>293</v>
      </c>
      <c r="N59" s="53" t="s">
        <v>293</v>
      </c>
      <c r="O59" s="53" t="s">
        <v>293</v>
      </c>
      <c r="P59" s="66" t="s">
        <v>293</v>
      </c>
      <c r="Q59" s="68"/>
      <c r="R59" s="54"/>
      <c r="S59" s="70"/>
      <c r="T59" s="361"/>
      <c r="U59" s="105" t="s">
        <v>639</v>
      </c>
    </row>
    <row r="60" spans="2:22" ht="28.2" customHeight="1" x14ac:dyDescent="0.35">
      <c r="B60" s="126"/>
      <c r="C60" s="396"/>
      <c r="D60" s="96" t="s">
        <v>153</v>
      </c>
      <c r="E60" s="97">
        <f t="shared" si="0"/>
        <v>57</v>
      </c>
      <c r="F60" s="98"/>
      <c r="G60" s="99" t="s">
        <v>158</v>
      </c>
      <c r="H60" s="53" t="s">
        <v>293</v>
      </c>
      <c r="I60" s="53" t="s">
        <v>293</v>
      </c>
      <c r="J60" s="53" t="s">
        <v>293</v>
      </c>
      <c r="K60" s="53" t="s">
        <v>293</v>
      </c>
      <c r="L60" s="53" t="s">
        <v>293</v>
      </c>
      <c r="M60" s="53" t="s">
        <v>293</v>
      </c>
      <c r="N60" s="53" t="s">
        <v>293</v>
      </c>
      <c r="O60" s="53" t="s">
        <v>293</v>
      </c>
      <c r="P60" s="66" t="s">
        <v>293</v>
      </c>
      <c r="Q60" s="68"/>
      <c r="R60" s="54"/>
      <c r="S60" s="70"/>
      <c r="T60" s="361"/>
      <c r="U60" s="105" t="s">
        <v>639</v>
      </c>
    </row>
    <row r="61" spans="2:22" ht="28.2" customHeight="1" x14ac:dyDescent="0.35">
      <c r="B61" s="126"/>
      <c r="C61" s="396"/>
      <c r="D61" s="96" t="s">
        <v>154</v>
      </c>
      <c r="E61" s="97">
        <f t="shared" si="0"/>
        <v>58</v>
      </c>
      <c r="F61" s="98"/>
      <c r="G61" s="99" t="s">
        <v>159</v>
      </c>
      <c r="H61" s="53" t="s">
        <v>293</v>
      </c>
      <c r="I61" s="53" t="s">
        <v>293</v>
      </c>
      <c r="J61" s="53" t="s">
        <v>293</v>
      </c>
      <c r="K61" s="53" t="s">
        <v>293</v>
      </c>
      <c r="L61" s="53" t="s">
        <v>293</v>
      </c>
      <c r="M61" s="53" t="s">
        <v>293</v>
      </c>
      <c r="N61" s="53" t="s">
        <v>293</v>
      </c>
      <c r="O61" s="53" t="s">
        <v>293</v>
      </c>
      <c r="P61" s="66" t="s">
        <v>293</v>
      </c>
      <c r="Q61" s="68"/>
      <c r="R61" s="54"/>
      <c r="S61" s="70"/>
      <c r="T61" s="361"/>
      <c r="U61" s="105" t="s">
        <v>639</v>
      </c>
    </row>
    <row r="62" spans="2:22" ht="28.2" customHeight="1" x14ac:dyDescent="0.35">
      <c r="B62" s="126"/>
      <c r="C62" s="396"/>
      <c r="D62" s="96" t="s">
        <v>155</v>
      </c>
      <c r="E62" s="97">
        <f t="shared" si="0"/>
        <v>59</v>
      </c>
      <c r="F62" s="98"/>
      <c r="G62" s="99" t="s">
        <v>160</v>
      </c>
      <c r="H62" s="53" t="s">
        <v>293</v>
      </c>
      <c r="I62" s="53" t="s">
        <v>293</v>
      </c>
      <c r="J62" s="53" t="s">
        <v>293</v>
      </c>
      <c r="K62" s="53" t="s">
        <v>293</v>
      </c>
      <c r="L62" s="53" t="s">
        <v>293</v>
      </c>
      <c r="M62" s="53" t="s">
        <v>293</v>
      </c>
      <c r="N62" s="53" t="s">
        <v>293</v>
      </c>
      <c r="O62" s="53" t="s">
        <v>293</v>
      </c>
      <c r="P62" s="66" t="s">
        <v>293</v>
      </c>
      <c r="Q62" s="68"/>
      <c r="R62" s="54"/>
      <c r="S62" s="70"/>
      <c r="T62" s="361"/>
      <c r="U62" s="105" t="s">
        <v>639</v>
      </c>
      <c r="V62" s="130"/>
    </row>
    <row r="63" spans="2:22" ht="28.2" customHeight="1" x14ac:dyDescent="0.35">
      <c r="B63" s="126"/>
      <c r="C63" s="396"/>
      <c r="D63" s="96" t="s">
        <v>156</v>
      </c>
      <c r="E63" s="97">
        <f t="shared" si="0"/>
        <v>60</v>
      </c>
      <c r="F63" s="98"/>
      <c r="G63" s="99" t="s">
        <v>160</v>
      </c>
      <c r="H63" s="53" t="s">
        <v>293</v>
      </c>
      <c r="I63" s="53" t="s">
        <v>293</v>
      </c>
      <c r="J63" s="53" t="s">
        <v>293</v>
      </c>
      <c r="K63" s="53" t="s">
        <v>293</v>
      </c>
      <c r="L63" s="53" t="s">
        <v>293</v>
      </c>
      <c r="M63" s="53" t="s">
        <v>293</v>
      </c>
      <c r="N63" s="53" t="s">
        <v>293</v>
      </c>
      <c r="O63" s="53" t="s">
        <v>293</v>
      </c>
      <c r="P63" s="66" t="s">
        <v>293</v>
      </c>
      <c r="Q63" s="68"/>
      <c r="R63" s="54"/>
      <c r="S63" s="70"/>
      <c r="T63" s="361"/>
      <c r="U63" s="105" t="s">
        <v>639</v>
      </c>
      <c r="V63" s="130"/>
    </row>
    <row r="64" spans="2:22" ht="28.2" customHeight="1" x14ac:dyDescent="0.35">
      <c r="B64" s="126"/>
      <c r="C64" s="396"/>
      <c r="D64" s="96" t="s">
        <v>157</v>
      </c>
      <c r="E64" s="97">
        <f t="shared" si="0"/>
        <v>61</v>
      </c>
      <c r="F64" s="98"/>
      <c r="G64" s="99" t="s">
        <v>160</v>
      </c>
      <c r="H64" s="53" t="s">
        <v>293</v>
      </c>
      <c r="I64" s="53" t="s">
        <v>293</v>
      </c>
      <c r="J64" s="53" t="s">
        <v>293</v>
      </c>
      <c r="K64" s="53" t="s">
        <v>293</v>
      </c>
      <c r="L64" s="53" t="s">
        <v>293</v>
      </c>
      <c r="M64" s="53" t="s">
        <v>293</v>
      </c>
      <c r="N64" s="53" t="s">
        <v>293</v>
      </c>
      <c r="O64" s="53" t="s">
        <v>293</v>
      </c>
      <c r="P64" s="66" t="s">
        <v>293</v>
      </c>
      <c r="Q64" s="68"/>
      <c r="R64" s="54"/>
      <c r="S64" s="70"/>
      <c r="T64" s="361"/>
      <c r="U64" s="105" t="s">
        <v>639</v>
      </c>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68"/>
      <c r="R65" s="54"/>
      <c r="S65" s="70"/>
      <c r="T65" s="361"/>
      <c r="U65" s="105" t="s">
        <v>724</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68"/>
      <c r="R66" s="54"/>
      <c r="S66" s="70"/>
      <c r="T66" s="361"/>
      <c r="U66" s="105" t="s">
        <v>683</v>
      </c>
    </row>
    <row r="67" spans="2:22" ht="37.799999999999997" customHeight="1" x14ac:dyDescent="0.35">
      <c r="B67" s="126"/>
      <c r="C67" s="396"/>
      <c r="D67" s="394" t="s">
        <v>233</v>
      </c>
      <c r="E67" s="97">
        <f t="shared" si="0"/>
        <v>64</v>
      </c>
      <c r="F67" s="98"/>
      <c r="G67" s="99" t="s">
        <v>222</v>
      </c>
      <c r="H67" s="53" t="s">
        <v>293</v>
      </c>
      <c r="I67" s="53" t="s">
        <v>293</v>
      </c>
      <c r="J67" s="53" t="s">
        <v>293</v>
      </c>
      <c r="K67" s="53" t="s">
        <v>293</v>
      </c>
      <c r="L67" s="53" t="s">
        <v>293</v>
      </c>
      <c r="M67" s="53" t="s">
        <v>293</v>
      </c>
      <c r="N67" s="53" t="s">
        <v>293</v>
      </c>
      <c r="O67" s="53" t="s">
        <v>293</v>
      </c>
      <c r="P67" s="66" t="s">
        <v>293</v>
      </c>
      <c r="Q67" s="68"/>
      <c r="R67" s="54"/>
      <c r="S67" s="70"/>
      <c r="T67" s="361"/>
      <c r="U67" s="105" t="s">
        <v>683</v>
      </c>
    </row>
    <row r="68" spans="2:22" ht="43.8" customHeight="1" x14ac:dyDescent="0.35">
      <c r="B68" s="126"/>
      <c r="C68" s="128" t="s">
        <v>161</v>
      </c>
      <c r="D68" s="394" t="s">
        <v>207</v>
      </c>
      <c r="E68" s="97">
        <f t="shared" si="0"/>
        <v>65</v>
      </c>
      <c r="F68" s="98"/>
      <c r="G68" s="99" t="s">
        <v>206</v>
      </c>
      <c r="H68" s="82" t="s">
        <v>293</v>
      </c>
      <c r="I68" s="53" t="s">
        <v>293</v>
      </c>
      <c r="J68" s="53" t="s">
        <v>293</v>
      </c>
      <c r="K68" s="82" t="s">
        <v>293</v>
      </c>
      <c r="L68" s="82" t="s">
        <v>293</v>
      </c>
      <c r="M68" s="82" t="s">
        <v>293</v>
      </c>
      <c r="N68" s="53" t="s">
        <v>293</v>
      </c>
      <c r="O68" s="53" t="s">
        <v>293</v>
      </c>
      <c r="P68" s="66" t="s">
        <v>293</v>
      </c>
      <c r="Q68" s="68"/>
      <c r="R68" s="54"/>
      <c r="S68" s="70"/>
      <c r="T68" s="361"/>
      <c r="U68" s="392" t="s">
        <v>775</v>
      </c>
    </row>
    <row r="69" spans="2:22" ht="43.8" customHeight="1" x14ac:dyDescent="0.35">
      <c r="B69" s="126"/>
      <c r="C69" s="127"/>
      <c r="D69" s="372" t="s">
        <v>208</v>
      </c>
      <c r="E69" s="369">
        <f t="shared" si="0"/>
        <v>66</v>
      </c>
      <c r="F69" s="370"/>
      <c r="G69" s="94" t="s">
        <v>246</v>
      </c>
      <c r="H69" s="352" t="s">
        <v>799</v>
      </c>
      <c r="I69" s="356" t="s">
        <v>293</v>
      </c>
      <c r="J69" s="356" t="s">
        <v>293</v>
      </c>
      <c r="K69" s="352" t="s">
        <v>293</v>
      </c>
      <c r="L69" s="352" t="s">
        <v>799</v>
      </c>
      <c r="M69" s="352" t="s">
        <v>799</v>
      </c>
      <c r="N69" s="356" t="s">
        <v>293</v>
      </c>
      <c r="O69" s="356" t="s">
        <v>293</v>
      </c>
      <c r="P69" s="357" t="s">
        <v>293</v>
      </c>
      <c r="Q69" s="362">
        <v>45687</v>
      </c>
      <c r="R69" s="358"/>
      <c r="S69" s="359"/>
      <c r="T69" s="354"/>
      <c r="U69" s="360" t="s">
        <v>857</v>
      </c>
    </row>
    <row r="70" spans="2:22" ht="43.8" customHeight="1" x14ac:dyDescent="0.35">
      <c r="B70" s="126"/>
      <c r="C70" s="127"/>
      <c r="D70" s="394" t="s">
        <v>344</v>
      </c>
      <c r="E70" s="97">
        <f t="shared" si="0"/>
        <v>67</v>
      </c>
      <c r="F70" s="98"/>
      <c r="G70" s="99" t="s">
        <v>368</v>
      </c>
      <c r="H70" s="82" t="s">
        <v>293</v>
      </c>
      <c r="I70" s="53" t="s">
        <v>293</v>
      </c>
      <c r="J70" s="53" t="s">
        <v>293</v>
      </c>
      <c r="K70" s="82" t="s">
        <v>293</v>
      </c>
      <c r="L70" s="82" t="s">
        <v>293</v>
      </c>
      <c r="M70" s="82" t="s">
        <v>293</v>
      </c>
      <c r="N70" s="53" t="s">
        <v>293</v>
      </c>
      <c r="O70" s="53" t="s">
        <v>293</v>
      </c>
      <c r="P70" s="66" t="s">
        <v>293</v>
      </c>
      <c r="Q70" s="68"/>
      <c r="R70" s="54"/>
      <c r="S70" s="70"/>
      <c r="T70" s="361"/>
      <c r="U70" s="392" t="s">
        <v>735</v>
      </c>
    </row>
    <row r="71" spans="2:22" ht="43.8" customHeight="1" x14ac:dyDescent="0.35">
      <c r="B71" s="126"/>
      <c r="C71" s="127"/>
      <c r="D71" s="368" t="s">
        <v>162</v>
      </c>
      <c r="E71" s="369">
        <f t="shared" si="0"/>
        <v>68</v>
      </c>
      <c r="F71" s="370"/>
      <c r="G71" s="94" t="s">
        <v>164</v>
      </c>
      <c r="H71" s="352" t="s">
        <v>799</v>
      </c>
      <c r="I71" s="356" t="s">
        <v>293</v>
      </c>
      <c r="J71" s="356" t="s">
        <v>293</v>
      </c>
      <c r="K71" s="352" t="s">
        <v>293</v>
      </c>
      <c r="L71" s="352" t="s">
        <v>799</v>
      </c>
      <c r="M71" s="352" t="s">
        <v>712</v>
      </c>
      <c r="N71" s="356" t="s">
        <v>293</v>
      </c>
      <c r="O71" s="356" t="s">
        <v>293</v>
      </c>
      <c r="P71" s="357" t="s">
        <v>293</v>
      </c>
      <c r="Q71" s="383"/>
      <c r="R71" s="384"/>
      <c r="S71" s="385"/>
      <c r="T71" s="386"/>
      <c r="U71" s="360" t="s">
        <v>866</v>
      </c>
    </row>
    <row r="72" spans="2:22" ht="52.2" customHeight="1" x14ac:dyDescent="0.35">
      <c r="B72" s="126"/>
      <c r="C72" s="127"/>
      <c r="D72" s="96" t="s">
        <v>163</v>
      </c>
      <c r="E72" s="97">
        <f t="shared" si="0"/>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368" t="s">
        <v>171</v>
      </c>
      <c r="E73" s="369">
        <f t="shared" si="0"/>
        <v>70</v>
      </c>
      <c r="F73" s="370"/>
      <c r="G73" s="94" t="s">
        <v>184</v>
      </c>
      <c r="H73" s="352" t="s">
        <v>799</v>
      </c>
      <c r="I73" s="356" t="s">
        <v>293</v>
      </c>
      <c r="J73" s="356" t="s">
        <v>293</v>
      </c>
      <c r="K73" s="356" t="s">
        <v>293</v>
      </c>
      <c r="L73" s="352" t="s">
        <v>799</v>
      </c>
      <c r="M73" s="356" t="s">
        <v>293</v>
      </c>
      <c r="N73" s="356" t="s">
        <v>293</v>
      </c>
      <c r="O73" s="356" t="s">
        <v>293</v>
      </c>
      <c r="P73" s="357" t="s">
        <v>293</v>
      </c>
      <c r="Q73" s="362">
        <v>45687</v>
      </c>
      <c r="R73" s="384"/>
      <c r="S73" s="385"/>
      <c r="T73" s="386"/>
      <c r="U73" s="360" t="s">
        <v>858</v>
      </c>
    </row>
    <row r="74" spans="2:22" ht="28.2" customHeight="1" x14ac:dyDescent="0.35">
      <c r="B74" s="126"/>
      <c r="C74" s="128" t="s">
        <v>366</v>
      </c>
      <c r="D74" s="368" t="s">
        <v>172</v>
      </c>
      <c r="E74" s="369">
        <f t="shared" si="0"/>
        <v>71</v>
      </c>
      <c r="F74" s="370"/>
      <c r="G74" s="94" t="s">
        <v>185</v>
      </c>
      <c r="H74" s="352" t="s">
        <v>799</v>
      </c>
      <c r="I74" s="356" t="s">
        <v>293</v>
      </c>
      <c r="J74" s="356" t="s">
        <v>293</v>
      </c>
      <c r="K74" s="352" t="s">
        <v>799</v>
      </c>
      <c r="L74" s="356" t="s">
        <v>293</v>
      </c>
      <c r="M74" s="356" t="s">
        <v>293</v>
      </c>
      <c r="N74" s="356" t="s">
        <v>293</v>
      </c>
      <c r="O74" s="356" t="s">
        <v>293</v>
      </c>
      <c r="P74" s="357" t="s">
        <v>293</v>
      </c>
      <c r="Q74" s="362">
        <v>45687</v>
      </c>
      <c r="R74" s="384"/>
      <c r="S74" s="385"/>
      <c r="T74" s="386"/>
      <c r="U74" s="360"/>
    </row>
    <row r="75" spans="2:22" ht="28.2" customHeight="1" x14ac:dyDescent="0.35">
      <c r="B75" s="126"/>
      <c r="C75" s="127"/>
      <c r="D75" s="368" t="s">
        <v>173</v>
      </c>
      <c r="E75" s="369">
        <f t="shared" si="0"/>
        <v>72</v>
      </c>
      <c r="F75" s="370" t="s">
        <v>249</v>
      </c>
      <c r="G75" s="94" t="s">
        <v>185</v>
      </c>
      <c r="H75" s="352" t="s">
        <v>799</v>
      </c>
      <c r="I75" s="356" t="s">
        <v>293</v>
      </c>
      <c r="J75" s="356" t="s">
        <v>293</v>
      </c>
      <c r="K75" s="352" t="s">
        <v>799</v>
      </c>
      <c r="L75" s="356" t="s">
        <v>293</v>
      </c>
      <c r="M75" s="356" t="s">
        <v>293</v>
      </c>
      <c r="N75" s="356" t="s">
        <v>293</v>
      </c>
      <c r="O75" s="356" t="s">
        <v>293</v>
      </c>
      <c r="P75" s="357" t="s">
        <v>293</v>
      </c>
      <c r="Q75" s="362">
        <v>45687</v>
      </c>
      <c r="R75" s="384"/>
      <c r="S75" s="385"/>
      <c r="T75" s="386"/>
      <c r="U75" s="360"/>
    </row>
    <row r="76" spans="2:22" ht="28.2" customHeight="1" x14ac:dyDescent="0.35">
      <c r="B76" s="126"/>
      <c r="C76" s="127"/>
      <c r="D76" s="368" t="s">
        <v>174</v>
      </c>
      <c r="E76" s="369">
        <f t="shared" si="0"/>
        <v>73</v>
      </c>
      <c r="F76" s="370" t="s">
        <v>250</v>
      </c>
      <c r="G76" s="94" t="s">
        <v>185</v>
      </c>
      <c r="H76" s="352" t="s">
        <v>799</v>
      </c>
      <c r="I76" s="356" t="s">
        <v>293</v>
      </c>
      <c r="J76" s="356" t="s">
        <v>293</v>
      </c>
      <c r="K76" s="352" t="s">
        <v>799</v>
      </c>
      <c r="L76" s="356" t="s">
        <v>293</v>
      </c>
      <c r="M76" s="356" t="s">
        <v>293</v>
      </c>
      <c r="N76" s="356" t="s">
        <v>293</v>
      </c>
      <c r="O76" s="356" t="s">
        <v>293</v>
      </c>
      <c r="P76" s="357" t="s">
        <v>293</v>
      </c>
      <c r="Q76" s="362">
        <v>45687</v>
      </c>
      <c r="R76" s="384"/>
      <c r="S76" s="385"/>
      <c r="T76" s="386"/>
      <c r="U76" s="363"/>
    </row>
    <row r="77" spans="2:22" ht="28.2" customHeight="1" x14ac:dyDescent="0.35">
      <c r="B77" s="126"/>
      <c r="C77" s="127"/>
      <c r="D77" s="368" t="s">
        <v>175</v>
      </c>
      <c r="E77" s="369">
        <f t="shared" si="0"/>
        <v>74</v>
      </c>
      <c r="F77" s="370" t="s">
        <v>251</v>
      </c>
      <c r="G77" s="94" t="s">
        <v>118</v>
      </c>
      <c r="H77" s="352" t="s">
        <v>799</v>
      </c>
      <c r="I77" s="356" t="s">
        <v>293</v>
      </c>
      <c r="J77" s="356" t="s">
        <v>293</v>
      </c>
      <c r="K77" s="352" t="s">
        <v>799</v>
      </c>
      <c r="L77" s="356" t="s">
        <v>293</v>
      </c>
      <c r="M77" s="356" t="s">
        <v>293</v>
      </c>
      <c r="N77" s="356" t="s">
        <v>293</v>
      </c>
      <c r="O77" s="356" t="s">
        <v>293</v>
      </c>
      <c r="P77" s="357" t="s">
        <v>293</v>
      </c>
      <c r="Q77" s="362">
        <v>45687</v>
      </c>
      <c r="R77" s="384"/>
      <c r="S77" s="385"/>
      <c r="T77" s="386"/>
      <c r="U77" s="360"/>
    </row>
    <row r="78" spans="2:22" ht="28.2" customHeight="1" x14ac:dyDescent="0.35">
      <c r="B78" s="126"/>
      <c r="C78" s="127"/>
      <c r="D78" s="368" t="s">
        <v>176</v>
      </c>
      <c r="E78" s="369">
        <f t="shared" si="0"/>
        <v>75</v>
      </c>
      <c r="F78" s="370" t="s">
        <v>252</v>
      </c>
      <c r="G78" s="94" t="s">
        <v>185</v>
      </c>
      <c r="H78" s="352" t="s">
        <v>799</v>
      </c>
      <c r="I78" s="356" t="s">
        <v>293</v>
      </c>
      <c r="J78" s="356" t="s">
        <v>293</v>
      </c>
      <c r="K78" s="352" t="s">
        <v>799</v>
      </c>
      <c r="L78" s="356" t="s">
        <v>293</v>
      </c>
      <c r="M78" s="356" t="s">
        <v>293</v>
      </c>
      <c r="N78" s="356" t="s">
        <v>293</v>
      </c>
      <c r="O78" s="356" t="s">
        <v>293</v>
      </c>
      <c r="P78" s="357" t="s">
        <v>293</v>
      </c>
      <c r="Q78" s="362">
        <v>45687</v>
      </c>
      <c r="R78" s="384"/>
      <c r="S78" s="385"/>
      <c r="T78" s="386"/>
      <c r="U78" s="360"/>
    </row>
    <row r="79" spans="2:22" ht="28.2" customHeight="1" x14ac:dyDescent="0.35">
      <c r="B79" s="126"/>
      <c r="C79" s="127"/>
      <c r="D79" s="368" t="s">
        <v>177</v>
      </c>
      <c r="E79" s="369">
        <f t="shared" si="0"/>
        <v>76</v>
      </c>
      <c r="F79" s="370" t="s">
        <v>253</v>
      </c>
      <c r="G79" s="94" t="s">
        <v>185</v>
      </c>
      <c r="H79" s="352" t="s">
        <v>799</v>
      </c>
      <c r="I79" s="356" t="s">
        <v>293</v>
      </c>
      <c r="J79" s="356" t="s">
        <v>293</v>
      </c>
      <c r="K79" s="356" t="s">
        <v>293</v>
      </c>
      <c r="L79" s="352" t="s">
        <v>799</v>
      </c>
      <c r="M79" s="356" t="s">
        <v>293</v>
      </c>
      <c r="N79" s="356" t="s">
        <v>293</v>
      </c>
      <c r="O79" s="356" t="s">
        <v>293</v>
      </c>
      <c r="P79" s="357" t="s">
        <v>293</v>
      </c>
      <c r="Q79" s="362">
        <v>45687</v>
      </c>
      <c r="R79" s="384"/>
      <c r="S79" s="385"/>
      <c r="T79" s="386"/>
      <c r="U79" s="360" t="s">
        <v>862</v>
      </c>
    </row>
    <row r="80" spans="2:22" ht="28.2" customHeight="1" x14ac:dyDescent="0.35">
      <c r="B80" s="126"/>
      <c r="C80" s="127"/>
      <c r="D80" s="368" t="s">
        <v>178</v>
      </c>
      <c r="E80" s="369">
        <f t="shared" si="0"/>
        <v>77</v>
      </c>
      <c r="F80" s="370" t="s">
        <v>254</v>
      </c>
      <c r="G80" s="94" t="s">
        <v>185</v>
      </c>
      <c r="H80" s="352" t="s">
        <v>799</v>
      </c>
      <c r="I80" s="356" t="s">
        <v>293</v>
      </c>
      <c r="J80" s="356" t="s">
        <v>293</v>
      </c>
      <c r="K80" s="356" t="s">
        <v>293</v>
      </c>
      <c r="L80" s="352" t="s">
        <v>799</v>
      </c>
      <c r="M80" s="356" t="s">
        <v>293</v>
      </c>
      <c r="N80" s="356" t="s">
        <v>293</v>
      </c>
      <c r="O80" s="356" t="s">
        <v>293</v>
      </c>
      <c r="P80" s="357" t="s">
        <v>293</v>
      </c>
      <c r="Q80" s="362">
        <v>45687</v>
      </c>
      <c r="R80" s="384"/>
      <c r="S80" s="385"/>
      <c r="T80" s="386"/>
      <c r="U80" s="360" t="s">
        <v>862</v>
      </c>
      <c r="V80" s="130"/>
    </row>
    <row r="81" spans="2:22" ht="28.2" customHeight="1" x14ac:dyDescent="0.35">
      <c r="B81" s="126"/>
      <c r="C81" s="128" t="s">
        <v>367</v>
      </c>
      <c r="D81" s="368" t="s">
        <v>172</v>
      </c>
      <c r="E81" s="369">
        <f t="shared" si="0"/>
        <v>78</v>
      </c>
      <c r="F81" s="370" t="s">
        <v>255</v>
      </c>
      <c r="G81" s="94" t="s">
        <v>185</v>
      </c>
      <c r="H81" s="352" t="s">
        <v>799</v>
      </c>
      <c r="I81" s="356" t="s">
        <v>293</v>
      </c>
      <c r="J81" s="356" t="s">
        <v>293</v>
      </c>
      <c r="K81" s="352" t="s">
        <v>799</v>
      </c>
      <c r="L81" s="356" t="s">
        <v>293</v>
      </c>
      <c r="M81" s="356" t="s">
        <v>293</v>
      </c>
      <c r="N81" s="356" t="s">
        <v>293</v>
      </c>
      <c r="O81" s="356" t="s">
        <v>293</v>
      </c>
      <c r="P81" s="357" t="s">
        <v>293</v>
      </c>
      <c r="Q81" s="362">
        <v>45687</v>
      </c>
      <c r="R81" s="384"/>
      <c r="S81" s="385"/>
      <c r="T81" s="386"/>
      <c r="U81" s="360"/>
      <c r="V81" s="130"/>
    </row>
    <row r="82" spans="2:22" ht="28.2" customHeight="1" x14ac:dyDescent="0.35">
      <c r="B82" s="126"/>
      <c r="C82" s="127"/>
      <c r="D82" s="368" t="s">
        <v>179</v>
      </c>
      <c r="E82" s="369">
        <f t="shared" si="0"/>
        <v>79</v>
      </c>
      <c r="F82" s="370" t="s">
        <v>256</v>
      </c>
      <c r="G82" s="94" t="s">
        <v>185</v>
      </c>
      <c r="H82" s="352" t="s">
        <v>799</v>
      </c>
      <c r="I82" s="356" t="s">
        <v>293</v>
      </c>
      <c r="J82" s="356" t="s">
        <v>293</v>
      </c>
      <c r="K82" s="352" t="s">
        <v>799</v>
      </c>
      <c r="L82" s="356" t="s">
        <v>293</v>
      </c>
      <c r="M82" s="356" t="s">
        <v>293</v>
      </c>
      <c r="N82" s="356" t="s">
        <v>293</v>
      </c>
      <c r="O82" s="356" t="s">
        <v>293</v>
      </c>
      <c r="P82" s="357" t="s">
        <v>293</v>
      </c>
      <c r="Q82" s="362">
        <v>45687</v>
      </c>
      <c r="R82" s="384"/>
      <c r="S82" s="385"/>
      <c r="T82" s="386"/>
      <c r="U82" s="360"/>
    </row>
    <row r="83" spans="2:22" ht="28.2" customHeight="1" x14ac:dyDescent="0.35">
      <c r="B83" s="126"/>
      <c r="C83" s="127"/>
      <c r="D83" s="368" t="s">
        <v>180</v>
      </c>
      <c r="E83" s="369">
        <f t="shared" si="0"/>
        <v>80</v>
      </c>
      <c r="F83" s="370" t="s">
        <v>257</v>
      </c>
      <c r="G83" s="94" t="s">
        <v>185</v>
      </c>
      <c r="H83" s="352" t="s">
        <v>799</v>
      </c>
      <c r="I83" s="356" t="s">
        <v>293</v>
      </c>
      <c r="J83" s="356" t="s">
        <v>293</v>
      </c>
      <c r="K83" s="356" t="s">
        <v>293</v>
      </c>
      <c r="L83" s="352" t="s">
        <v>799</v>
      </c>
      <c r="M83" s="356" t="s">
        <v>293</v>
      </c>
      <c r="N83" s="356" t="s">
        <v>293</v>
      </c>
      <c r="O83" s="356" t="s">
        <v>293</v>
      </c>
      <c r="P83" s="357" t="s">
        <v>293</v>
      </c>
      <c r="Q83" s="362">
        <v>45687</v>
      </c>
      <c r="R83" s="384"/>
      <c r="S83" s="385"/>
      <c r="T83" s="386"/>
      <c r="U83" s="363" t="s">
        <v>867</v>
      </c>
    </row>
    <row r="84" spans="2:22" ht="28.2" customHeight="1" x14ac:dyDescent="0.35">
      <c r="B84" s="126"/>
      <c r="C84" s="127"/>
      <c r="D84" s="368" t="s">
        <v>181</v>
      </c>
      <c r="E84" s="369">
        <f t="shared" si="0"/>
        <v>81</v>
      </c>
      <c r="F84" s="370" t="s">
        <v>258</v>
      </c>
      <c r="G84" s="94" t="s">
        <v>185</v>
      </c>
      <c r="H84" s="352" t="s">
        <v>799</v>
      </c>
      <c r="I84" s="356" t="s">
        <v>293</v>
      </c>
      <c r="J84" s="356" t="s">
        <v>293</v>
      </c>
      <c r="K84" s="356" t="s">
        <v>293</v>
      </c>
      <c r="L84" s="352" t="s">
        <v>799</v>
      </c>
      <c r="M84" s="356" t="s">
        <v>293</v>
      </c>
      <c r="N84" s="356" t="s">
        <v>293</v>
      </c>
      <c r="O84" s="356" t="s">
        <v>293</v>
      </c>
      <c r="P84" s="357" t="s">
        <v>293</v>
      </c>
      <c r="Q84" s="362">
        <v>45687</v>
      </c>
      <c r="R84" s="384"/>
      <c r="S84" s="385"/>
      <c r="T84" s="386"/>
      <c r="U84" s="363" t="s">
        <v>867</v>
      </c>
    </row>
    <row r="85" spans="2:22" ht="28.2" customHeight="1" x14ac:dyDescent="0.35">
      <c r="B85" s="126"/>
      <c r="C85" s="128" t="s">
        <v>168</v>
      </c>
      <c r="D85" s="368" t="s">
        <v>338</v>
      </c>
      <c r="E85" s="369">
        <f t="shared" si="0"/>
        <v>82</v>
      </c>
      <c r="F85" s="370" t="s">
        <v>259</v>
      </c>
      <c r="G85" s="94" t="s">
        <v>186</v>
      </c>
      <c r="H85" s="352" t="s">
        <v>799</v>
      </c>
      <c r="I85" s="356" t="s">
        <v>293</v>
      </c>
      <c r="J85" s="356" t="s">
        <v>293</v>
      </c>
      <c r="K85" s="352" t="s">
        <v>799</v>
      </c>
      <c r="L85" s="356" t="s">
        <v>293</v>
      </c>
      <c r="M85" s="356" t="s">
        <v>293</v>
      </c>
      <c r="N85" s="356" t="s">
        <v>293</v>
      </c>
      <c r="O85" s="356" t="s">
        <v>293</v>
      </c>
      <c r="P85" s="357" t="s">
        <v>293</v>
      </c>
      <c r="Q85" s="362">
        <v>45687</v>
      </c>
      <c r="R85" s="384"/>
      <c r="S85" s="385"/>
      <c r="T85" s="386"/>
      <c r="U85" s="363"/>
    </row>
    <row r="86" spans="2:22" ht="28.2" customHeight="1" x14ac:dyDescent="0.35">
      <c r="B86" s="126"/>
      <c r="C86" s="127"/>
      <c r="D86" s="248" t="s">
        <v>337</v>
      </c>
      <c r="E86" s="369">
        <f t="shared" si="0"/>
        <v>83</v>
      </c>
      <c r="F86" s="370" t="s">
        <v>260</v>
      </c>
      <c r="G86" s="94" t="s">
        <v>209</v>
      </c>
      <c r="H86" s="352" t="s">
        <v>799</v>
      </c>
      <c r="I86" s="356" t="s">
        <v>293</v>
      </c>
      <c r="J86" s="356" t="s">
        <v>293</v>
      </c>
      <c r="K86" s="356" t="s">
        <v>293</v>
      </c>
      <c r="L86" s="352" t="s">
        <v>799</v>
      </c>
      <c r="M86" s="352" t="s">
        <v>799</v>
      </c>
      <c r="N86" s="356" t="s">
        <v>293</v>
      </c>
      <c r="O86" s="356" t="s">
        <v>293</v>
      </c>
      <c r="P86" s="357" t="s">
        <v>293</v>
      </c>
      <c r="Q86" s="362">
        <v>45687</v>
      </c>
      <c r="R86" s="384"/>
      <c r="S86" s="385"/>
      <c r="T86" s="386"/>
      <c r="U86" s="375" t="s">
        <v>863</v>
      </c>
      <c r="V86" s="130"/>
    </row>
    <row r="87" spans="2:22" ht="28.2" customHeight="1" x14ac:dyDescent="0.35">
      <c r="B87" s="126"/>
      <c r="C87" s="127"/>
      <c r="D87" s="250"/>
      <c r="E87" s="369">
        <f t="shared" si="0"/>
        <v>84</v>
      </c>
      <c r="F87" s="370" t="s">
        <v>259</v>
      </c>
      <c r="G87" s="94" t="s">
        <v>210</v>
      </c>
      <c r="H87" s="352" t="s">
        <v>799</v>
      </c>
      <c r="I87" s="356" t="s">
        <v>293</v>
      </c>
      <c r="J87" s="356" t="s">
        <v>293</v>
      </c>
      <c r="K87" s="356" t="s">
        <v>293</v>
      </c>
      <c r="L87" s="352" t="s">
        <v>799</v>
      </c>
      <c r="M87" s="352" t="s">
        <v>799</v>
      </c>
      <c r="N87" s="356" t="s">
        <v>293</v>
      </c>
      <c r="O87" s="356" t="s">
        <v>293</v>
      </c>
      <c r="P87" s="357" t="s">
        <v>293</v>
      </c>
      <c r="Q87" s="362">
        <v>45687</v>
      </c>
      <c r="R87" s="384"/>
      <c r="S87" s="385"/>
      <c r="T87" s="386"/>
      <c r="U87" s="375" t="s">
        <v>863</v>
      </c>
      <c r="V87" s="130"/>
    </row>
    <row r="88" spans="2:22" ht="28.2" customHeight="1" x14ac:dyDescent="0.35">
      <c r="B88" s="126"/>
      <c r="C88" s="128" t="s">
        <v>170</v>
      </c>
      <c r="D88" s="245" t="s">
        <v>170</v>
      </c>
      <c r="E88" s="369">
        <f t="shared" si="0"/>
        <v>85</v>
      </c>
      <c r="F88" s="370" t="s">
        <v>261</v>
      </c>
      <c r="G88" s="94" t="s">
        <v>187</v>
      </c>
      <c r="H88" s="352" t="s">
        <v>799</v>
      </c>
      <c r="I88" s="356" t="s">
        <v>293</v>
      </c>
      <c r="J88" s="356" t="s">
        <v>293</v>
      </c>
      <c r="K88" s="352" t="s">
        <v>799</v>
      </c>
      <c r="L88" s="356" t="s">
        <v>293</v>
      </c>
      <c r="M88" s="356" t="s">
        <v>293</v>
      </c>
      <c r="N88" s="356" t="s">
        <v>293</v>
      </c>
      <c r="O88" s="356" t="s">
        <v>293</v>
      </c>
      <c r="P88" s="357" t="s">
        <v>293</v>
      </c>
      <c r="Q88" s="362">
        <v>45687</v>
      </c>
      <c r="R88" s="384"/>
      <c r="S88" s="385"/>
      <c r="T88" s="386"/>
      <c r="U88" s="360"/>
    </row>
    <row r="89" spans="2:22" ht="28.2" customHeight="1" x14ac:dyDescent="0.35">
      <c r="B89" s="126"/>
      <c r="C89" s="127"/>
      <c r="D89" s="245" t="s">
        <v>182</v>
      </c>
      <c r="E89" s="369">
        <f t="shared" si="0"/>
        <v>86</v>
      </c>
      <c r="F89" s="370" t="s">
        <v>262</v>
      </c>
      <c r="G89" s="94" t="s">
        <v>187</v>
      </c>
      <c r="H89" s="352" t="s">
        <v>799</v>
      </c>
      <c r="I89" s="356" t="s">
        <v>293</v>
      </c>
      <c r="J89" s="356" t="s">
        <v>293</v>
      </c>
      <c r="K89" s="356" t="s">
        <v>293</v>
      </c>
      <c r="L89" s="352" t="s">
        <v>799</v>
      </c>
      <c r="M89" s="356" t="s">
        <v>293</v>
      </c>
      <c r="N89" s="356" t="s">
        <v>293</v>
      </c>
      <c r="O89" s="356" t="s">
        <v>293</v>
      </c>
      <c r="P89" s="357" t="s">
        <v>293</v>
      </c>
      <c r="Q89" s="362">
        <v>45687</v>
      </c>
      <c r="R89" s="384"/>
      <c r="S89" s="385"/>
      <c r="T89" s="386"/>
      <c r="U89" s="360"/>
    </row>
    <row r="90" spans="2:22" ht="28.2" customHeight="1" x14ac:dyDescent="0.35">
      <c r="B90" s="129" t="s">
        <v>263</v>
      </c>
      <c r="C90" s="128" t="s">
        <v>188</v>
      </c>
      <c r="D90" s="368" t="s">
        <v>194</v>
      </c>
      <c r="E90" s="369">
        <f t="shared" si="0"/>
        <v>87</v>
      </c>
      <c r="F90" s="370"/>
      <c r="G90" s="94" t="s">
        <v>196</v>
      </c>
      <c r="H90" s="352" t="s">
        <v>799</v>
      </c>
      <c r="I90" s="356" t="s">
        <v>293</v>
      </c>
      <c r="J90" s="356" t="s">
        <v>293</v>
      </c>
      <c r="K90" s="352" t="s">
        <v>799</v>
      </c>
      <c r="L90" s="352" t="s">
        <v>799</v>
      </c>
      <c r="M90" s="356" t="s">
        <v>293</v>
      </c>
      <c r="N90" s="356" t="s">
        <v>293</v>
      </c>
      <c r="O90" s="356" t="s">
        <v>293</v>
      </c>
      <c r="P90" s="357" t="s">
        <v>293</v>
      </c>
      <c r="Q90" s="362">
        <v>45686</v>
      </c>
      <c r="R90" s="358"/>
      <c r="S90" s="359"/>
      <c r="T90" s="354"/>
      <c r="U90" s="360" t="s">
        <v>842</v>
      </c>
    </row>
    <row r="91" spans="2:22" ht="71.400000000000006" customHeight="1" x14ac:dyDescent="0.35">
      <c r="B91" s="126"/>
      <c r="C91" s="127"/>
      <c r="D91" s="96" t="s">
        <v>195</v>
      </c>
      <c r="E91" s="97">
        <f t="shared" si="0"/>
        <v>88</v>
      </c>
      <c r="F91" s="98"/>
      <c r="G91" s="99" t="s">
        <v>273</v>
      </c>
      <c r="H91" s="53" t="s">
        <v>293</v>
      </c>
      <c r="I91" s="53" t="s">
        <v>293</v>
      </c>
      <c r="J91" s="53" t="s">
        <v>293</v>
      </c>
      <c r="K91" s="53" t="s">
        <v>293</v>
      </c>
      <c r="L91" s="53" t="s">
        <v>293</v>
      </c>
      <c r="M91" s="53" t="s">
        <v>293</v>
      </c>
      <c r="N91" s="53" t="s">
        <v>293</v>
      </c>
      <c r="O91" s="53" t="s">
        <v>293</v>
      </c>
      <c r="P91" s="66" t="s">
        <v>293</v>
      </c>
      <c r="Q91" s="68"/>
      <c r="R91" s="54"/>
      <c r="S91" s="70"/>
      <c r="T91" s="72"/>
      <c r="U91" s="105" t="s">
        <v>265</v>
      </c>
    </row>
    <row r="92" spans="2:22" ht="28.2" customHeight="1" x14ac:dyDescent="0.35">
      <c r="B92" s="126"/>
      <c r="C92" s="128" t="s">
        <v>166</v>
      </c>
      <c r="D92" s="245" t="s">
        <v>171</v>
      </c>
      <c r="E92" s="369">
        <f t="shared" si="0"/>
        <v>89</v>
      </c>
      <c r="F92" s="370"/>
      <c r="G92" s="94" t="s">
        <v>183</v>
      </c>
      <c r="H92" s="352" t="s">
        <v>799</v>
      </c>
      <c r="I92" s="356" t="s">
        <v>293</v>
      </c>
      <c r="J92" s="356" t="s">
        <v>293</v>
      </c>
      <c r="K92" s="352" t="s">
        <v>799</v>
      </c>
      <c r="L92" s="352" t="s">
        <v>799</v>
      </c>
      <c r="M92" s="352" t="s">
        <v>799</v>
      </c>
      <c r="N92" s="356" t="s">
        <v>293</v>
      </c>
      <c r="O92" s="356" t="s">
        <v>293</v>
      </c>
      <c r="P92" s="357" t="s">
        <v>293</v>
      </c>
      <c r="Q92" s="362">
        <v>45687</v>
      </c>
      <c r="R92" s="384"/>
      <c r="S92" s="385"/>
      <c r="T92" s="386"/>
      <c r="U92" s="360" t="s">
        <v>859</v>
      </c>
    </row>
    <row r="93" spans="2:22" ht="28.2" customHeight="1" x14ac:dyDescent="0.35">
      <c r="B93" s="126"/>
      <c r="C93" s="245" t="s">
        <v>110</v>
      </c>
      <c r="D93" s="245" t="s">
        <v>110</v>
      </c>
      <c r="E93" s="246">
        <f t="shared" si="0"/>
        <v>90</v>
      </c>
      <c r="F93" s="100"/>
      <c r="G93" s="94" t="s">
        <v>118</v>
      </c>
      <c r="H93" s="352" t="s">
        <v>799</v>
      </c>
      <c r="I93" s="356" t="s">
        <v>293</v>
      </c>
      <c r="J93" s="356" t="s">
        <v>293</v>
      </c>
      <c r="K93" s="352" t="s">
        <v>799</v>
      </c>
      <c r="L93" s="352" t="s">
        <v>799</v>
      </c>
      <c r="M93" s="352" t="s">
        <v>799</v>
      </c>
      <c r="N93" s="356" t="s">
        <v>293</v>
      </c>
      <c r="O93" s="356" t="s">
        <v>293</v>
      </c>
      <c r="P93" s="357" t="s">
        <v>293</v>
      </c>
      <c r="Q93" s="362">
        <v>45687</v>
      </c>
      <c r="R93" s="384"/>
      <c r="S93" s="385"/>
      <c r="T93" s="386"/>
      <c r="U93" s="360" t="s">
        <v>860</v>
      </c>
      <c r="V93" s="130"/>
    </row>
    <row r="94" spans="2:22" ht="28.2" customHeight="1" x14ac:dyDescent="0.35">
      <c r="B94" s="126"/>
      <c r="C94" s="128" t="s">
        <v>169</v>
      </c>
      <c r="D94" s="245" t="s">
        <v>169</v>
      </c>
      <c r="E94" s="369">
        <f t="shared" ref="E94:E106" si="1">ROW()-3</f>
        <v>91</v>
      </c>
      <c r="F94" s="370"/>
      <c r="G94" s="94" t="s">
        <v>118</v>
      </c>
      <c r="H94" s="352" t="s">
        <v>799</v>
      </c>
      <c r="I94" s="356" t="s">
        <v>293</v>
      </c>
      <c r="J94" s="356" t="s">
        <v>293</v>
      </c>
      <c r="K94" s="352" t="s">
        <v>799</v>
      </c>
      <c r="L94" s="352" t="s">
        <v>799</v>
      </c>
      <c r="M94" s="352" t="s">
        <v>799</v>
      </c>
      <c r="N94" s="356" t="s">
        <v>293</v>
      </c>
      <c r="O94" s="356" t="s">
        <v>293</v>
      </c>
      <c r="P94" s="357" t="s">
        <v>293</v>
      </c>
      <c r="Q94" s="362">
        <v>45687</v>
      </c>
      <c r="R94" s="384"/>
      <c r="S94" s="385"/>
      <c r="T94" s="386"/>
      <c r="U94" s="360" t="s">
        <v>861</v>
      </c>
    </row>
    <row r="95" spans="2:22" ht="28.2" customHeight="1" x14ac:dyDescent="0.35">
      <c r="B95" s="126"/>
      <c r="C95" s="347" t="s">
        <v>332</v>
      </c>
      <c r="D95" s="397" t="s">
        <v>333</v>
      </c>
      <c r="E95" s="97">
        <f t="shared" si="1"/>
        <v>92</v>
      </c>
      <c r="F95" s="98"/>
      <c r="G95" s="99" t="s">
        <v>340</v>
      </c>
      <c r="H95" s="53" t="s">
        <v>293</v>
      </c>
      <c r="I95" s="53" t="s">
        <v>293</v>
      </c>
      <c r="J95" s="53" t="s">
        <v>293</v>
      </c>
      <c r="K95" s="53" t="s">
        <v>293</v>
      </c>
      <c r="L95" s="53" t="s">
        <v>293</v>
      </c>
      <c r="M95" s="53" t="s">
        <v>293</v>
      </c>
      <c r="N95" s="53" t="s">
        <v>293</v>
      </c>
      <c r="O95" s="53" t="s">
        <v>293</v>
      </c>
      <c r="P95" s="66" t="s">
        <v>293</v>
      </c>
      <c r="Q95" s="68"/>
      <c r="R95" s="54"/>
      <c r="S95" s="70"/>
      <c r="T95" s="72"/>
      <c r="U95" s="105" t="s">
        <v>640</v>
      </c>
    </row>
    <row r="96" spans="2:22" ht="28.2" customHeight="1" x14ac:dyDescent="0.35">
      <c r="B96" s="126"/>
      <c r="C96" s="396"/>
      <c r="D96" s="398"/>
      <c r="E96" s="97">
        <f t="shared" si="1"/>
        <v>93</v>
      </c>
      <c r="F96" s="98"/>
      <c r="G96" s="99" t="s">
        <v>341</v>
      </c>
      <c r="H96" s="53" t="s">
        <v>293</v>
      </c>
      <c r="I96" s="53" t="s">
        <v>293</v>
      </c>
      <c r="J96" s="53" t="s">
        <v>293</v>
      </c>
      <c r="K96" s="53" t="s">
        <v>293</v>
      </c>
      <c r="L96" s="53" t="s">
        <v>293</v>
      </c>
      <c r="M96" s="53" t="s">
        <v>293</v>
      </c>
      <c r="N96" s="53" t="s">
        <v>293</v>
      </c>
      <c r="O96" s="53" t="s">
        <v>293</v>
      </c>
      <c r="P96" s="66" t="s">
        <v>293</v>
      </c>
      <c r="Q96" s="68"/>
      <c r="R96" s="54"/>
      <c r="S96" s="70"/>
      <c r="T96" s="72"/>
      <c r="U96" s="105" t="s">
        <v>640</v>
      </c>
    </row>
    <row r="97" spans="1:21" ht="64.8" customHeight="1" x14ac:dyDescent="0.35">
      <c r="B97" s="126"/>
      <c r="C97" s="396"/>
      <c r="D97" s="398"/>
      <c r="E97" s="97">
        <f>ROW()-3</f>
        <v>94</v>
      </c>
      <c r="F97" s="98"/>
      <c r="G97" s="99" t="s">
        <v>345</v>
      </c>
      <c r="H97" s="53" t="s">
        <v>293</v>
      </c>
      <c r="I97" s="53" t="s">
        <v>293</v>
      </c>
      <c r="J97" s="53" t="s">
        <v>293</v>
      </c>
      <c r="K97" s="53" t="s">
        <v>293</v>
      </c>
      <c r="L97" s="53" t="s">
        <v>293</v>
      </c>
      <c r="M97" s="53" t="s">
        <v>293</v>
      </c>
      <c r="N97" s="53" t="s">
        <v>293</v>
      </c>
      <c r="O97" s="53" t="s">
        <v>293</v>
      </c>
      <c r="P97" s="66" t="s">
        <v>293</v>
      </c>
      <c r="Q97" s="68"/>
      <c r="R97" s="54"/>
      <c r="S97" s="70"/>
      <c r="T97" s="72"/>
      <c r="U97" s="105" t="s">
        <v>640</v>
      </c>
    </row>
    <row r="98" spans="1:21" ht="64.8" customHeight="1" x14ac:dyDescent="0.35">
      <c r="B98" s="126"/>
      <c r="C98" s="396"/>
      <c r="D98" s="403"/>
      <c r="E98" s="97">
        <f t="shared" si="1"/>
        <v>95</v>
      </c>
      <c r="F98" s="98"/>
      <c r="G98" s="99" t="s">
        <v>346</v>
      </c>
      <c r="H98" s="53" t="s">
        <v>293</v>
      </c>
      <c r="I98" s="53" t="s">
        <v>293</v>
      </c>
      <c r="J98" s="53" t="s">
        <v>293</v>
      </c>
      <c r="K98" s="53" t="s">
        <v>293</v>
      </c>
      <c r="L98" s="53" t="s">
        <v>293</v>
      </c>
      <c r="M98" s="53" t="s">
        <v>293</v>
      </c>
      <c r="N98" s="53" t="s">
        <v>293</v>
      </c>
      <c r="O98" s="53" t="s">
        <v>293</v>
      </c>
      <c r="P98" s="66" t="s">
        <v>293</v>
      </c>
      <c r="Q98" s="68"/>
      <c r="R98" s="54"/>
      <c r="S98" s="70"/>
      <c r="T98" s="72"/>
      <c r="U98" s="105" t="s">
        <v>640</v>
      </c>
    </row>
    <row r="99" spans="1:21" ht="28.2" customHeight="1" x14ac:dyDescent="0.35">
      <c r="B99" s="126"/>
      <c r="C99" s="347" t="s">
        <v>189</v>
      </c>
      <c r="D99" s="96" t="s">
        <v>338</v>
      </c>
      <c r="E99" s="97">
        <f t="shared" si="1"/>
        <v>96</v>
      </c>
      <c r="F99" s="98"/>
      <c r="G99" s="99" t="s">
        <v>196</v>
      </c>
      <c r="H99" s="53" t="s">
        <v>293</v>
      </c>
      <c r="I99" s="53" t="s">
        <v>293</v>
      </c>
      <c r="J99" s="53" t="s">
        <v>293</v>
      </c>
      <c r="K99" s="53" t="s">
        <v>293</v>
      </c>
      <c r="L99" s="53" t="s">
        <v>293</v>
      </c>
      <c r="M99" s="53" t="s">
        <v>293</v>
      </c>
      <c r="N99" s="53" t="s">
        <v>293</v>
      </c>
      <c r="O99" s="53" t="s">
        <v>293</v>
      </c>
      <c r="P99" s="66" t="s">
        <v>293</v>
      </c>
      <c r="Q99" s="68"/>
      <c r="R99" s="54"/>
      <c r="S99" s="70"/>
      <c r="T99" s="72"/>
      <c r="U99" s="105"/>
    </row>
    <row r="100" spans="1:21" ht="28.2" customHeight="1" x14ac:dyDescent="0.35">
      <c r="B100" s="126"/>
      <c r="C100" s="347" t="s">
        <v>190</v>
      </c>
      <c r="D100" s="96" t="s">
        <v>338</v>
      </c>
      <c r="E100" s="97">
        <f t="shared" si="1"/>
        <v>97</v>
      </c>
      <c r="F100" s="98"/>
      <c r="G100" s="99" t="s">
        <v>196</v>
      </c>
      <c r="H100" s="53" t="s">
        <v>293</v>
      </c>
      <c r="I100" s="53" t="s">
        <v>293</v>
      </c>
      <c r="J100" s="53" t="s">
        <v>293</v>
      </c>
      <c r="K100" s="53" t="s">
        <v>293</v>
      </c>
      <c r="L100" s="53" t="s">
        <v>293</v>
      </c>
      <c r="M100" s="53" t="s">
        <v>293</v>
      </c>
      <c r="N100" s="53" t="s">
        <v>293</v>
      </c>
      <c r="O100" s="53" t="s">
        <v>293</v>
      </c>
      <c r="P100" s="66" t="s">
        <v>293</v>
      </c>
      <c r="Q100" s="68"/>
      <c r="R100" s="54"/>
      <c r="S100" s="70"/>
      <c r="T100" s="72"/>
      <c r="U100" s="105" t="s">
        <v>225</v>
      </c>
    </row>
    <row r="101" spans="1:21" ht="28.2" customHeight="1" x14ac:dyDescent="0.35">
      <c r="B101" s="126"/>
      <c r="C101" s="347" t="s">
        <v>191</v>
      </c>
      <c r="D101" s="96" t="s">
        <v>338</v>
      </c>
      <c r="E101" s="97">
        <f t="shared" si="1"/>
        <v>98</v>
      </c>
      <c r="F101" s="98"/>
      <c r="G101" s="99" t="s">
        <v>196</v>
      </c>
      <c r="H101" s="53" t="s">
        <v>293</v>
      </c>
      <c r="I101" s="53" t="s">
        <v>293</v>
      </c>
      <c r="J101" s="53" t="s">
        <v>293</v>
      </c>
      <c r="K101" s="53" t="s">
        <v>293</v>
      </c>
      <c r="L101" s="53" t="s">
        <v>293</v>
      </c>
      <c r="M101" s="53" t="s">
        <v>293</v>
      </c>
      <c r="N101" s="53" t="s">
        <v>293</v>
      </c>
      <c r="O101" s="53" t="s">
        <v>293</v>
      </c>
      <c r="P101" s="66" t="s">
        <v>293</v>
      </c>
      <c r="Q101" s="68"/>
      <c r="R101" s="54"/>
      <c r="S101" s="70"/>
      <c r="T101" s="72"/>
      <c r="U101" s="105"/>
    </row>
    <row r="102" spans="1:21" ht="66.599999999999994" customHeight="1" x14ac:dyDescent="0.35">
      <c r="B102" s="126"/>
      <c r="C102" s="347" t="s">
        <v>192</v>
      </c>
      <c r="D102" s="96" t="s">
        <v>338</v>
      </c>
      <c r="E102" s="97">
        <f t="shared" si="1"/>
        <v>99</v>
      </c>
      <c r="F102" s="98"/>
      <c r="G102" s="99" t="s">
        <v>196</v>
      </c>
      <c r="H102" s="53" t="s">
        <v>293</v>
      </c>
      <c r="I102" s="53" t="s">
        <v>293</v>
      </c>
      <c r="J102" s="53" t="s">
        <v>293</v>
      </c>
      <c r="K102" s="53" t="s">
        <v>293</v>
      </c>
      <c r="L102" s="53" t="s">
        <v>293</v>
      </c>
      <c r="M102" s="53" t="s">
        <v>293</v>
      </c>
      <c r="N102" s="53" t="s">
        <v>293</v>
      </c>
      <c r="O102" s="53" t="s">
        <v>293</v>
      </c>
      <c r="P102" s="66" t="s">
        <v>293</v>
      </c>
      <c r="Q102" s="68"/>
      <c r="R102" s="54"/>
      <c r="S102" s="70"/>
      <c r="T102" s="72"/>
      <c r="U102" s="105" t="s">
        <v>266</v>
      </c>
    </row>
    <row r="103" spans="1:21" ht="45" customHeight="1" x14ac:dyDescent="0.35">
      <c r="B103" s="126"/>
      <c r="C103" s="347" t="s">
        <v>193</v>
      </c>
      <c r="D103" s="96" t="s">
        <v>338</v>
      </c>
      <c r="E103" s="97">
        <f t="shared" si="1"/>
        <v>100</v>
      </c>
      <c r="F103" s="98"/>
      <c r="G103" s="99" t="s">
        <v>264</v>
      </c>
      <c r="H103" s="53" t="s">
        <v>293</v>
      </c>
      <c r="I103" s="53" t="s">
        <v>293</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368" t="s">
        <v>198</v>
      </c>
      <c r="E104" s="369">
        <f t="shared" si="1"/>
        <v>101</v>
      </c>
      <c r="F104" s="370"/>
      <c r="G104" s="94" t="s">
        <v>199</v>
      </c>
      <c r="H104" s="352" t="s">
        <v>799</v>
      </c>
      <c r="I104" s="356" t="s">
        <v>293</v>
      </c>
      <c r="J104" s="356" t="s">
        <v>293</v>
      </c>
      <c r="K104" s="356" t="s">
        <v>293</v>
      </c>
      <c r="L104" s="352" t="s">
        <v>799</v>
      </c>
      <c r="M104" s="352" t="s">
        <v>799</v>
      </c>
      <c r="N104" s="356" t="s">
        <v>293</v>
      </c>
      <c r="O104" s="356" t="s">
        <v>293</v>
      </c>
      <c r="P104" s="357" t="s">
        <v>293</v>
      </c>
      <c r="Q104" s="362">
        <v>45687</v>
      </c>
      <c r="R104" s="384"/>
      <c r="S104" s="385"/>
      <c r="T104" s="386"/>
      <c r="U104" s="375" t="s">
        <v>864</v>
      </c>
    </row>
    <row r="105" spans="1:21" ht="28.2" customHeight="1" x14ac:dyDescent="0.35">
      <c r="B105" s="129" t="s">
        <v>200</v>
      </c>
      <c r="C105" s="128" t="s">
        <v>201</v>
      </c>
      <c r="D105" s="245" t="s">
        <v>339</v>
      </c>
      <c r="E105" s="246">
        <f t="shared" si="1"/>
        <v>102</v>
      </c>
      <c r="F105" s="100" t="s">
        <v>374</v>
      </c>
      <c r="G105" s="94" t="s">
        <v>242</v>
      </c>
      <c r="H105" s="444" t="s">
        <v>293</v>
      </c>
      <c r="I105" s="405" t="s">
        <v>293</v>
      </c>
      <c r="J105" s="405" t="s">
        <v>293</v>
      </c>
      <c r="K105" s="445" t="s">
        <v>293</v>
      </c>
      <c r="L105" s="405" t="s">
        <v>293</v>
      </c>
      <c r="M105" s="405" t="s">
        <v>293</v>
      </c>
      <c r="N105" s="445" t="s">
        <v>293</v>
      </c>
      <c r="O105" s="352" t="s">
        <v>712</v>
      </c>
      <c r="P105" s="409" t="s">
        <v>293</v>
      </c>
      <c r="Q105" s="383"/>
      <c r="R105" s="384"/>
      <c r="S105" s="385"/>
      <c r="T105" s="386"/>
      <c r="U105" s="407" t="s">
        <v>641</v>
      </c>
    </row>
    <row r="106" spans="1:21" ht="28.2" customHeight="1" thickBot="1" x14ac:dyDescent="0.4">
      <c r="B106" s="126"/>
      <c r="C106" s="128" t="s">
        <v>202</v>
      </c>
      <c r="D106" s="376" t="s">
        <v>339</v>
      </c>
      <c r="E106" s="377">
        <f t="shared" si="1"/>
        <v>103</v>
      </c>
      <c r="F106" s="378" t="s">
        <v>381</v>
      </c>
      <c r="G106" s="162" t="s">
        <v>203</v>
      </c>
      <c r="H106" s="379" t="s">
        <v>293</v>
      </c>
      <c r="I106" s="380" t="s">
        <v>293</v>
      </c>
      <c r="J106" s="380" t="s">
        <v>293</v>
      </c>
      <c r="K106" s="381" t="s">
        <v>293</v>
      </c>
      <c r="L106" s="380" t="s">
        <v>293</v>
      </c>
      <c r="M106" s="380" t="s">
        <v>293</v>
      </c>
      <c r="N106" s="381" t="s">
        <v>293</v>
      </c>
      <c r="O106" s="352" t="s">
        <v>712</v>
      </c>
      <c r="P106" s="382" t="s">
        <v>293</v>
      </c>
      <c r="Q106" s="383"/>
      <c r="R106" s="384"/>
      <c r="S106" s="385"/>
      <c r="T106" s="386"/>
      <c r="U106" s="360" t="s">
        <v>641</v>
      </c>
    </row>
    <row r="107" spans="1:21" ht="18" customHeight="1" x14ac:dyDescent="0.35">
      <c r="B107" s="556" t="s">
        <v>70</v>
      </c>
      <c r="C107" s="557"/>
      <c r="D107" s="557">
        <f>SUM(H109:P109)</f>
        <v>105</v>
      </c>
      <c r="E107" s="163"/>
      <c r="F107" s="164"/>
      <c r="G107" s="269" t="s">
        <v>275</v>
      </c>
      <c r="H107" s="166">
        <f>COUNTIF(H4:H106,"●")+COUNTIF(H4:H106,"■")+COUNTIF(H4:H106,"OK")</f>
        <v>51</v>
      </c>
      <c r="I107" s="166">
        <f t="shared" ref="I107:P107" si="2">COUNTIF(I4:I106,"●")+COUNTIF(I4:I106,"■")+COUNTIF(I4:I106,"OK")</f>
        <v>0</v>
      </c>
      <c r="J107" s="166">
        <f t="shared" si="2"/>
        <v>0</v>
      </c>
      <c r="K107" s="166">
        <f t="shared" si="2"/>
        <v>24</v>
      </c>
      <c r="L107" s="166">
        <f t="shared" si="2"/>
        <v>19</v>
      </c>
      <c r="M107" s="166">
        <f t="shared" si="2"/>
        <v>11</v>
      </c>
      <c r="N107" s="166">
        <f t="shared" si="2"/>
        <v>0</v>
      </c>
      <c r="O107" s="166">
        <f t="shared" si="2"/>
        <v>0</v>
      </c>
      <c r="P107" s="166">
        <f t="shared" si="2"/>
        <v>0</v>
      </c>
      <c r="Q107" s="571" t="s">
        <v>69</v>
      </c>
      <c r="R107" s="571"/>
      <c r="S107" s="571"/>
      <c r="T107" s="167"/>
      <c r="U107" s="168"/>
    </row>
    <row r="108" spans="1:21" ht="18" customHeight="1" x14ac:dyDescent="0.35">
      <c r="B108" s="558"/>
      <c r="C108" s="559"/>
      <c r="D108" s="559"/>
      <c r="E108" s="58"/>
      <c r="F108" s="59"/>
      <c r="G108" s="270" t="s">
        <v>274</v>
      </c>
      <c r="H108" s="78">
        <f t="shared" ref="H108:P108" si="3">COUNTIF(H4:H106,"×")+COUNTIF(H4:H106,"NG")</f>
        <v>0</v>
      </c>
      <c r="I108" s="79">
        <f t="shared" si="3"/>
        <v>0</v>
      </c>
      <c r="J108" s="79">
        <f t="shared" si="3"/>
        <v>0</v>
      </c>
      <c r="K108" s="79">
        <f t="shared" si="3"/>
        <v>0</v>
      </c>
      <c r="L108" s="79">
        <f t="shared" si="3"/>
        <v>0</v>
      </c>
      <c r="M108" s="79">
        <f t="shared" si="3"/>
        <v>0</v>
      </c>
      <c r="N108" s="79">
        <f t="shared" si="3"/>
        <v>0</v>
      </c>
      <c r="O108" s="79">
        <f>COUNTIF(O4:O106,"×")+COUNTIF(O4:O106,"NG")</f>
        <v>0</v>
      </c>
      <c r="P108" s="80">
        <f t="shared" si="3"/>
        <v>0</v>
      </c>
      <c r="Q108" s="572"/>
      <c r="R108" s="572"/>
      <c r="S108" s="572"/>
      <c r="T108" s="74"/>
      <c r="U108" s="108"/>
    </row>
    <row r="109" spans="1:21" ht="18" customHeight="1" x14ac:dyDescent="0.35">
      <c r="B109" s="560" t="s">
        <v>67</v>
      </c>
      <c r="C109" s="561"/>
      <c r="D109" s="561">
        <f>SUM(H110:P110)</f>
        <v>111</v>
      </c>
      <c r="E109" s="387"/>
      <c r="F109" s="388"/>
      <c r="G109" s="270" t="s">
        <v>68</v>
      </c>
      <c r="H109" s="78">
        <f t="shared" ref="H109:P109" si="4">H107+H108</f>
        <v>51</v>
      </c>
      <c r="I109" s="79">
        <f t="shared" si="4"/>
        <v>0</v>
      </c>
      <c r="J109" s="79">
        <f t="shared" si="4"/>
        <v>0</v>
      </c>
      <c r="K109" s="79">
        <f t="shared" si="4"/>
        <v>24</v>
      </c>
      <c r="L109" s="79">
        <f t="shared" si="4"/>
        <v>19</v>
      </c>
      <c r="M109" s="79">
        <f t="shared" si="4"/>
        <v>11</v>
      </c>
      <c r="N109" s="79">
        <f t="shared" si="4"/>
        <v>0</v>
      </c>
      <c r="O109" s="79">
        <f t="shared" si="4"/>
        <v>0</v>
      </c>
      <c r="P109" s="80">
        <f t="shared" si="4"/>
        <v>0</v>
      </c>
      <c r="Q109" s="573">
        <f>COUNTA(Q4:Q106)</f>
        <v>55</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 t="shared" ref="H110:P110" si="5">COUNTBLANK(H4:H106)+H109+COUNTIF(H4:H106,"□")</f>
        <v>51</v>
      </c>
      <c r="I110" s="112">
        <f t="shared" si="5"/>
        <v>0</v>
      </c>
      <c r="J110" s="112">
        <f t="shared" si="5"/>
        <v>0</v>
      </c>
      <c r="K110" s="112">
        <f t="shared" si="5"/>
        <v>24</v>
      </c>
      <c r="L110" s="112">
        <f t="shared" si="5"/>
        <v>19</v>
      </c>
      <c r="M110" s="112">
        <f t="shared" si="5"/>
        <v>13</v>
      </c>
      <c r="N110" s="112">
        <f t="shared" si="5"/>
        <v>0</v>
      </c>
      <c r="O110" s="112">
        <f t="shared" si="5"/>
        <v>4</v>
      </c>
      <c r="P110" s="112">
        <f t="shared" si="5"/>
        <v>0</v>
      </c>
      <c r="Q110" s="574"/>
      <c r="R110" s="576"/>
      <c r="S110" s="578"/>
      <c r="T110" s="115"/>
      <c r="U110" s="116"/>
    </row>
    <row r="111" spans="1:21" ht="24" customHeight="1" x14ac:dyDescent="0.35"/>
    <row r="113" spans="2:3" x14ac:dyDescent="0.35">
      <c r="B113" s="121" t="s">
        <v>773</v>
      </c>
      <c r="C113" s="121" cm="1">
        <f t="array" ref="C113">SUM(Win10対応_SS!D76+'パッケージ系 (SS)'!D109:D110)</f>
        <v>205</v>
      </c>
    </row>
    <row r="114" spans="2:3" x14ac:dyDescent="0.35">
      <c r="B114" s="121" t="s">
        <v>774</v>
      </c>
      <c r="C114" s="121">
        <v>180</v>
      </c>
    </row>
  </sheetData>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zoomScale="80" zoomScaleNormal="70" zoomScaleSheetLayoutView="80" workbookViewId="0">
      <pane ySplit="3" topLeftCell="A97" activePane="bottomLeft" state="frozen"/>
      <selection pane="bottomLeft" activeCell="U102" sqref="U102"/>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2.1093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561</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3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84" t="s">
        <v>293</v>
      </c>
      <c r="I4" s="61" t="s">
        <v>293</v>
      </c>
      <c r="J4" s="61" t="s">
        <v>293</v>
      </c>
      <c r="K4" s="60" t="s">
        <v>293</v>
      </c>
      <c r="L4" s="61" t="s">
        <v>293</v>
      </c>
      <c r="M4" s="61" t="s">
        <v>293</v>
      </c>
      <c r="N4" s="61" t="s">
        <v>293</v>
      </c>
      <c r="O4" s="81" t="s">
        <v>712</v>
      </c>
      <c r="P4" s="85" t="s">
        <v>293</v>
      </c>
      <c r="Q4" s="67"/>
      <c r="R4" s="52"/>
      <c r="S4" s="69"/>
      <c r="T4" s="71"/>
      <c r="U4" s="102"/>
    </row>
    <row r="5" spans="1:22" ht="28.2" customHeight="1" x14ac:dyDescent="0.35">
      <c r="B5" s="126"/>
      <c r="C5" s="127"/>
      <c r="D5" s="245" t="s">
        <v>98</v>
      </c>
      <c r="E5" s="246">
        <f t="shared" ref="E5:E93" si="0">ROW()-3</f>
        <v>2</v>
      </c>
      <c r="F5" s="100" t="s">
        <v>376</v>
      </c>
      <c r="G5" s="94" t="s">
        <v>276</v>
      </c>
      <c r="H5" s="81" t="s">
        <v>293</v>
      </c>
      <c r="I5" s="51" t="s">
        <v>293</v>
      </c>
      <c r="J5" s="51" t="s">
        <v>293</v>
      </c>
      <c r="K5" s="51" t="s">
        <v>293</v>
      </c>
      <c r="L5" s="51" t="s">
        <v>293</v>
      </c>
      <c r="M5" s="51" t="s">
        <v>293</v>
      </c>
      <c r="N5" s="51" t="s">
        <v>293</v>
      </c>
      <c r="O5" s="81" t="s">
        <v>712</v>
      </c>
      <c r="P5" s="65" t="s">
        <v>293</v>
      </c>
      <c r="Q5" s="67"/>
      <c r="R5" s="52"/>
      <c r="S5" s="69"/>
      <c r="T5" s="71"/>
      <c r="U5" s="103"/>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68"/>
      <c r="R6" s="54"/>
      <c r="S6" s="70"/>
      <c r="T6" s="361"/>
      <c r="U6" s="392"/>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68"/>
      <c r="R7" s="54"/>
      <c r="S7" s="70"/>
      <c r="T7" s="361"/>
      <c r="U7" s="392"/>
    </row>
    <row r="8" spans="1:22" ht="28.2" customHeight="1" x14ac:dyDescent="0.35">
      <c r="B8" s="129" t="s">
        <v>100</v>
      </c>
      <c r="C8" s="128"/>
      <c r="D8" s="245" t="s">
        <v>334</v>
      </c>
      <c r="E8" s="246">
        <f t="shared" si="0"/>
        <v>5</v>
      </c>
      <c r="F8" s="100"/>
      <c r="G8" s="94" t="s">
        <v>779</v>
      </c>
      <c r="H8" s="81" t="s">
        <v>293</v>
      </c>
      <c r="I8" s="405" t="s">
        <v>389</v>
      </c>
      <c r="J8" s="405" t="s">
        <v>293</v>
      </c>
      <c r="K8" s="81" t="s">
        <v>799</v>
      </c>
      <c r="L8" s="405" t="s">
        <v>293</v>
      </c>
      <c r="M8" s="405" t="s">
        <v>293</v>
      </c>
      <c r="N8" s="405" t="s">
        <v>293</v>
      </c>
      <c r="O8" s="405" t="s">
        <v>293</v>
      </c>
      <c r="P8" s="409" t="s">
        <v>293</v>
      </c>
      <c r="Q8" s="472"/>
      <c r="R8" s="406"/>
      <c r="S8" s="473"/>
      <c r="T8" s="474"/>
      <c r="U8" s="407"/>
    </row>
    <row r="9" spans="1:22" ht="28.2" customHeight="1" x14ac:dyDescent="0.35">
      <c r="B9" s="126"/>
      <c r="C9" s="127"/>
      <c r="D9" s="247" t="s">
        <v>335</v>
      </c>
      <c r="E9" s="246">
        <f t="shared" si="0"/>
        <v>6</v>
      </c>
      <c r="F9" s="100"/>
      <c r="G9" s="94" t="s">
        <v>267</v>
      </c>
      <c r="H9" s="81" t="s">
        <v>712</v>
      </c>
      <c r="I9" s="51" t="s">
        <v>293</v>
      </c>
      <c r="J9" s="51" t="s">
        <v>293</v>
      </c>
      <c r="K9" s="81" t="s">
        <v>712</v>
      </c>
      <c r="L9" s="51" t="s">
        <v>293</v>
      </c>
      <c r="M9" s="51" t="s">
        <v>293</v>
      </c>
      <c r="N9" s="51" t="s">
        <v>293</v>
      </c>
      <c r="O9" s="51" t="s">
        <v>293</v>
      </c>
      <c r="P9" s="65" t="s">
        <v>293</v>
      </c>
      <c r="Q9" s="67"/>
      <c r="R9" s="52"/>
      <c r="S9" s="69"/>
      <c r="T9" s="71"/>
      <c r="U9" s="104"/>
    </row>
    <row r="10" spans="1:22" ht="28.2" customHeight="1" x14ac:dyDescent="0.35">
      <c r="B10" s="126"/>
      <c r="C10" s="128" t="s">
        <v>205</v>
      </c>
      <c r="D10" s="247" t="s">
        <v>336</v>
      </c>
      <c r="E10" s="246">
        <f t="shared" si="0"/>
        <v>7</v>
      </c>
      <c r="F10" s="100"/>
      <c r="G10" s="94" t="s">
        <v>204</v>
      </c>
      <c r="H10" s="81" t="s">
        <v>293</v>
      </c>
      <c r="I10" s="51" t="s">
        <v>293</v>
      </c>
      <c r="J10" s="51" t="s">
        <v>293</v>
      </c>
      <c r="K10" s="81" t="s">
        <v>712</v>
      </c>
      <c r="L10" s="81" t="s">
        <v>712</v>
      </c>
      <c r="M10" s="81" t="s">
        <v>712</v>
      </c>
      <c r="N10" s="51" t="s">
        <v>293</v>
      </c>
      <c r="O10" s="51" t="s">
        <v>293</v>
      </c>
      <c r="P10" s="65" t="s">
        <v>293</v>
      </c>
      <c r="Q10" s="67"/>
      <c r="R10" s="52"/>
      <c r="S10" s="69"/>
      <c r="T10" s="71"/>
      <c r="U10" s="106" t="s">
        <v>845</v>
      </c>
      <c r="V10" s="130"/>
    </row>
    <row r="11" spans="1:22" ht="28.2" customHeight="1" x14ac:dyDescent="0.35">
      <c r="B11" s="129" t="s">
        <v>236</v>
      </c>
      <c r="C11" s="128" t="s">
        <v>102</v>
      </c>
      <c r="D11" s="245" t="s">
        <v>103</v>
      </c>
      <c r="E11" s="246">
        <f t="shared" si="0"/>
        <v>8</v>
      </c>
      <c r="F11" s="100" t="s">
        <v>378</v>
      </c>
      <c r="G11" s="94" t="s">
        <v>106</v>
      </c>
      <c r="H11" s="81" t="s">
        <v>712</v>
      </c>
      <c r="I11" s="51" t="s">
        <v>293</v>
      </c>
      <c r="J11" s="51" t="s">
        <v>293</v>
      </c>
      <c r="K11" s="81" t="s">
        <v>712</v>
      </c>
      <c r="L11" s="51" t="s">
        <v>293</v>
      </c>
      <c r="M11" s="51" t="s">
        <v>293</v>
      </c>
      <c r="N11" s="51" t="s">
        <v>293</v>
      </c>
      <c r="O11" s="51" t="s">
        <v>293</v>
      </c>
      <c r="P11" s="65" t="s">
        <v>293</v>
      </c>
      <c r="Q11" s="67"/>
      <c r="R11" s="52"/>
      <c r="S11" s="69"/>
      <c r="T11" s="71"/>
      <c r="U11" s="103"/>
    </row>
    <row r="12" spans="1:22" ht="62.4" customHeight="1" x14ac:dyDescent="0.35">
      <c r="B12" s="126"/>
      <c r="C12" s="127"/>
      <c r="D12" s="245" t="s">
        <v>104</v>
      </c>
      <c r="E12" s="246">
        <f t="shared" si="0"/>
        <v>9</v>
      </c>
      <c r="F12" s="101" t="s">
        <v>375</v>
      </c>
      <c r="G12" s="94" t="s">
        <v>268</v>
      </c>
      <c r="H12" s="81" t="s">
        <v>712</v>
      </c>
      <c r="I12" s="51" t="s">
        <v>293</v>
      </c>
      <c r="J12" s="51" t="s">
        <v>293</v>
      </c>
      <c r="K12" s="81" t="s">
        <v>712</v>
      </c>
      <c r="L12" s="51" t="s">
        <v>293</v>
      </c>
      <c r="M12" s="51" t="s">
        <v>293</v>
      </c>
      <c r="N12" s="51" t="s">
        <v>293</v>
      </c>
      <c r="O12" s="51" t="s">
        <v>293</v>
      </c>
      <c r="P12" s="65" t="s">
        <v>293</v>
      </c>
      <c r="Q12" s="67"/>
      <c r="R12" s="52"/>
      <c r="S12" s="69"/>
      <c r="T12" s="71"/>
      <c r="U12" s="103"/>
    </row>
    <row r="13" spans="1:22" ht="28.2" customHeight="1" x14ac:dyDescent="0.35">
      <c r="B13" s="126"/>
      <c r="C13" s="127"/>
      <c r="D13" s="245" t="s">
        <v>105</v>
      </c>
      <c r="E13" s="246">
        <f t="shared" si="0"/>
        <v>10</v>
      </c>
      <c r="F13" s="101"/>
      <c r="G13" s="94" t="s">
        <v>356</v>
      </c>
      <c r="H13" s="81" t="s">
        <v>712</v>
      </c>
      <c r="I13" s="51" t="s">
        <v>293</v>
      </c>
      <c r="J13" s="51" t="s">
        <v>293</v>
      </c>
      <c r="K13" s="81" t="s">
        <v>712</v>
      </c>
      <c r="L13" s="51" t="s">
        <v>293</v>
      </c>
      <c r="M13" s="51" t="s">
        <v>293</v>
      </c>
      <c r="N13" s="51" t="s">
        <v>293</v>
      </c>
      <c r="O13" s="51" t="s">
        <v>293</v>
      </c>
      <c r="P13" s="65" t="s">
        <v>293</v>
      </c>
      <c r="Q13" s="67"/>
      <c r="R13" s="52"/>
      <c r="S13" s="69"/>
      <c r="T13" s="71"/>
      <c r="U13" s="103"/>
    </row>
    <row r="14" spans="1:22" ht="28.2" customHeight="1" x14ac:dyDescent="0.35">
      <c r="B14" s="126"/>
      <c r="C14" s="127"/>
      <c r="D14" s="96" t="s">
        <v>237</v>
      </c>
      <c r="E14" s="97">
        <f t="shared" si="0"/>
        <v>11</v>
      </c>
      <c r="F14" s="399" t="s">
        <v>357</v>
      </c>
      <c r="G14" s="99" t="s">
        <v>107</v>
      </c>
      <c r="H14" s="82" t="s">
        <v>633</v>
      </c>
      <c r="I14" s="53" t="s">
        <v>633</v>
      </c>
      <c r="J14" s="53" t="s">
        <v>293</v>
      </c>
      <c r="K14" s="53" t="s">
        <v>293</v>
      </c>
      <c r="L14" s="53" t="s">
        <v>293</v>
      </c>
      <c r="M14" s="53" t="s">
        <v>293</v>
      </c>
      <c r="N14" s="53" t="s">
        <v>293</v>
      </c>
      <c r="O14" s="53" t="s">
        <v>293</v>
      </c>
      <c r="P14" s="66" t="s">
        <v>293</v>
      </c>
      <c r="Q14" s="68"/>
      <c r="R14" s="54"/>
      <c r="S14" s="70"/>
      <c r="T14" s="361"/>
      <c r="U14" s="392" t="s">
        <v>653</v>
      </c>
    </row>
    <row r="15" spans="1:22" ht="28.2" customHeight="1" x14ac:dyDescent="0.35">
      <c r="B15" s="126"/>
      <c r="C15" s="127"/>
      <c r="D15" s="96" t="s">
        <v>108</v>
      </c>
      <c r="E15" s="97">
        <f t="shared" si="0"/>
        <v>12</v>
      </c>
      <c r="F15" s="98"/>
      <c r="G15" s="99" t="s">
        <v>116</v>
      </c>
      <c r="H15" s="82" t="s">
        <v>389</v>
      </c>
      <c r="I15" s="53" t="s">
        <v>676</v>
      </c>
      <c r="J15" s="53" t="s">
        <v>293</v>
      </c>
      <c r="K15" s="53" t="s">
        <v>293</v>
      </c>
      <c r="L15" s="53" t="s">
        <v>293</v>
      </c>
      <c r="M15" s="53" t="s">
        <v>293</v>
      </c>
      <c r="N15" s="53" t="s">
        <v>293</v>
      </c>
      <c r="O15" s="53" t="s">
        <v>293</v>
      </c>
      <c r="P15" s="66" t="s">
        <v>293</v>
      </c>
      <c r="Q15" s="68"/>
      <c r="R15" s="54"/>
      <c r="S15" s="70"/>
      <c r="T15" s="361"/>
      <c r="U15" s="392" t="s">
        <v>694</v>
      </c>
    </row>
    <row r="16" spans="1:22" ht="28.2" customHeight="1" x14ac:dyDescent="0.35">
      <c r="B16" s="126"/>
      <c r="C16" s="127"/>
      <c r="D16" s="96" t="s">
        <v>109</v>
      </c>
      <c r="E16" s="97">
        <f t="shared" si="0"/>
        <v>13</v>
      </c>
      <c r="F16" s="98"/>
      <c r="G16" s="99" t="s">
        <v>117</v>
      </c>
      <c r="H16" s="53" t="s">
        <v>293</v>
      </c>
      <c r="I16" s="53" t="s">
        <v>293</v>
      </c>
      <c r="J16" s="66" t="s">
        <v>293</v>
      </c>
      <c r="K16" s="53" t="s">
        <v>293</v>
      </c>
      <c r="L16" s="53" t="s">
        <v>293</v>
      </c>
      <c r="M16" s="53" t="s">
        <v>293</v>
      </c>
      <c r="N16" s="53" t="s">
        <v>293</v>
      </c>
      <c r="O16" s="66" t="s">
        <v>293</v>
      </c>
      <c r="P16" s="66" t="s">
        <v>293</v>
      </c>
      <c r="Q16" s="395"/>
      <c r="R16" s="54"/>
      <c r="S16" s="70"/>
      <c r="T16" s="361"/>
      <c r="U16" s="392" t="s">
        <v>609</v>
      </c>
    </row>
    <row r="17" spans="1:22" ht="28.2" customHeight="1" x14ac:dyDescent="0.35">
      <c r="B17" s="126"/>
      <c r="C17" s="127"/>
      <c r="D17" s="245" t="s">
        <v>111</v>
      </c>
      <c r="E17" s="246">
        <f t="shared" si="0"/>
        <v>14</v>
      </c>
      <c r="F17" s="100"/>
      <c r="G17" s="94" t="s">
        <v>119</v>
      </c>
      <c r="H17" s="81" t="s">
        <v>712</v>
      </c>
      <c r="I17" s="51" t="s">
        <v>293</v>
      </c>
      <c r="J17" s="51" t="s">
        <v>293</v>
      </c>
      <c r="K17" s="51" t="s">
        <v>293</v>
      </c>
      <c r="L17" s="51" t="s">
        <v>293</v>
      </c>
      <c r="M17" s="51" t="s">
        <v>293</v>
      </c>
      <c r="N17" s="51" t="s">
        <v>293</v>
      </c>
      <c r="O17" s="51" t="s">
        <v>293</v>
      </c>
      <c r="P17" s="65" t="s">
        <v>293</v>
      </c>
      <c r="Q17" s="67"/>
      <c r="R17" s="52"/>
      <c r="S17" s="69"/>
      <c r="T17" s="71"/>
      <c r="U17" s="104"/>
    </row>
    <row r="18" spans="1:22" ht="28.2" customHeight="1" x14ac:dyDescent="0.35">
      <c r="B18" s="126"/>
      <c r="C18" s="127"/>
      <c r="D18" s="248" t="s">
        <v>112</v>
      </c>
      <c r="E18" s="97">
        <f t="shared" si="0"/>
        <v>15</v>
      </c>
      <c r="F18" s="98"/>
      <c r="G18" s="99" t="s">
        <v>120</v>
      </c>
      <c r="H18" s="82" t="s">
        <v>389</v>
      </c>
      <c r="I18" s="53" t="s">
        <v>676</v>
      </c>
      <c r="J18" s="53" t="s">
        <v>293</v>
      </c>
      <c r="K18" s="53" t="s">
        <v>293</v>
      </c>
      <c r="L18" s="53" t="s">
        <v>293</v>
      </c>
      <c r="M18" s="53" t="s">
        <v>293</v>
      </c>
      <c r="N18" s="53" t="s">
        <v>293</v>
      </c>
      <c r="O18" s="53" t="s">
        <v>293</v>
      </c>
      <c r="P18" s="66" t="s">
        <v>293</v>
      </c>
      <c r="Q18" s="68"/>
      <c r="R18" s="54"/>
      <c r="S18" s="70"/>
      <c r="T18" s="361"/>
      <c r="U18" s="392" t="s">
        <v>785</v>
      </c>
    </row>
    <row r="19" spans="1:22" s="339" customFormat="1" ht="28.2" customHeight="1" x14ac:dyDescent="0.35">
      <c r="A19" s="340"/>
      <c r="B19" s="341"/>
      <c r="C19" s="342"/>
      <c r="D19" s="390"/>
      <c r="E19" s="97">
        <f t="shared" si="0"/>
        <v>16</v>
      </c>
      <c r="F19" s="98"/>
      <c r="G19" s="99" t="s">
        <v>244</v>
      </c>
      <c r="H19" s="82" t="s">
        <v>389</v>
      </c>
      <c r="I19" s="53" t="s">
        <v>293</v>
      </c>
      <c r="J19" s="53" t="s">
        <v>293</v>
      </c>
      <c r="K19" s="53" t="s">
        <v>293</v>
      </c>
      <c r="L19" s="53" t="s">
        <v>293</v>
      </c>
      <c r="M19" s="53" t="s">
        <v>293</v>
      </c>
      <c r="N19" s="53" t="s">
        <v>293</v>
      </c>
      <c r="O19" s="53" t="s">
        <v>293</v>
      </c>
      <c r="P19" s="66" t="s">
        <v>293</v>
      </c>
      <c r="Q19" s="68"/>
      <c r="R19" s="54"/>
      <c r="S19" s="70"/>
      <c r="T19" s="361"/>
      <c r="U19" s="392" t="s">
        <v>785</v>
      </c>
      <c r="V19" s="389"/>
    </row>
    <row r="20" spans="1:22" ht="28.2" customHeight="1" x14ac:dyDescent="0.35">
      <c r="B20" s="126"/>
      <c r="C20" s="127"/>
      <c r="D20" s="250"/>
      <c r="E20" s="246">
        <f t="shared" si="0"/>
        <v>17</v>
      </c>
      <c r="F20" s="100"/>
      <c r="G20" s="94" t="s">
        <v>121</v>
      </c>
      <c r="H20" s="81" t="s">
        <v>712</v>
      </c>
      <c r="I20" s="51" t="s">
        <v>293</v>
      </c>
      <c r="J20" s="51" t="s">
        <v>293</v>
      </c>
      <c r="K20" s="81" t="s">
        <v>712</v>
      </c>
      <c r="L20" s="51" t="s">
        <v>293</v>
      </c>
      <c r="M20" s="51" t="s">
        <v>293</v>
      </c>
      <c r="N20" s="51" t="s">
        <v>293</v>
      </c>
      <c r="O20" s="51" t="s">
        <v>293</v>
      </c>
      <c r="P20" s="65" t="s">
        <v>293</v>
      </c>
      <c r="Q20" s="67"/>
      <c r="R20" s="52"/>
      <c r="S20" s="69"/>
      <c r="T20" s="71"/>
      <c r="U20" s="103"/>
    </row>
    <row r="21" spans="1:22" ht="28.2" customHeight="1" x14ac:dyDescent="0.35">
      <c r="B21" s="126"/>
      <c r="C21" s="127"/>
      <c r="D21" s="245" t="s">
        <v>113</v>
      </c>
      <c r="E21" s="246">
        <f t="shared" si="0"/>
        <v>18</v>
      </c>
      <c r="F21" s="100"/>
      <c r="G21" s="94" t="s">
        <v>122</v>
      </c>
      <c r="H21" s="81" t="s">
        <v>712</v>
      </c>
      <c r="I21" s="51" t="s">
        <v>293</v>
      </c>
      <c r="J21" s="51" t="s">
        <v>293</v>
      </c>
      <c r="K21" s="81" t="s">
        <v>712</v>
      </c>
      <c r="L21" s="51" t="s">
        <v>293</v>
      </c>
      <c r="M21" s="51" t="s">
        <v>293</v>
      </c>
      <c r="N21" s="51" t="s">
        <v>293</v>
      </c>
      <c r="O21" s="51" t="s">
        <v>293</v>
      </c>
      <c r="P21" s="65" t="s">
        <v>293</v>
      </c>
      <c r="Q21" s="67"/>
      <c r="R21" s="52"/>
      <c r="S21" s="69"/>
      <c r="T21" s="71"/>
      <c r="U21" s="103"/>
    </row>
    <row r="22" spans="1:22" ht="28.2" customHeight="1" x14ac:dyDescent="0.35">
      <c r="B22" s="126"/>
      <c r="C22" s="127"/>
      <c r="D22" s="247" t="s">
        <v>114</v>
      </c>
      <c r="E22" s="246">
        <f t="shared" si="0"/>
        <v>19</v>
      </c>
      <c r="F22" s="100" t="s">
        <v>221</v>
      </c>
      <c r="G22" s="94" t="s">
        <v>123</v>
      </c>
      <c r="H22" s="81" t="s">
        <v>712</v>
      </c>
      <c r="I22" s="51" t="s">
        <v>293</v>
      </c>
      <c r="J22" s="51" t="s">
        <v>293</v>
      </c>
      <c r="K22" s="81" t="s">
        <v>712</v>
      </c>
      <c r="L22" s="51" t="s">
        <v>293</v>
      </c>
      <c r="M22" s="51" t="s">
        <v>293</v>
      </c>
      <c r="N22" s="51" t="s">
        <v>293</v>
      </c>
      <c r="O22" s="51" t="s">
        <v>293</v>
      </c>
      <c r="P22" s="65" t="s">
        <v>293</v>
      </c>
      <c r="Q22" s="67"/>
      <c r="R22" s="52"/>
      <c r="S22" s="69"/>
      <c r="T22" s="71"/>
      <c r="U22" s="103"/>
    </row>
    <row r="23" spans="1:22" ht="28.2" customHeight="1" x14ac:dyDescent="0.35">
      <c r="B23" s="126"/>
      <c r="C23" s="127"/>
      <c r="D23" s="91" t="s">
        <v>115</v>
      </c>
      <c r="E23" s="92">
        <f t="shared" si="0"/>
        <v>20</v>
      </c>
      <c r="F23" s="93"/>
      <c r="G23" s="94" t="s">
        <v>124</v>
      </c>
      <c r="H23" s="81" t="s">
        <v>712</v>
      </c>
      <c r="I23" s="51" t="s">
        <v>293</v>
      </c>
      <c r="J23" s="51" t="s">
        <v>293</v>
      </c>
      <c r="K23" s="81" t="s">
        <v>293</v>
      </c>
      <c r="L23" s="51" t="s">
        <v>293</v>
      </c>
      <c r="M23" s="51" t="s">
        <v>293</v>
      </c>
      <c r="N23" s="51" t="s">
        <v>293</v>
      </c>
      <c r="O23" s="51" t="s">
        <v>293</v>
      </c>
      <c r="P23" s="65" t="s">
        <v>293</v>
      </c>
      <c r="Q23" s="67"/>
      <c r="R23" s="52"/>
      <c r="S23" s="69"/>
      <c r="T23" s="71"/>
      <c r="U23" s="103"/>
    </row>
    <row r="24" spans="1:22" ht="28.2" customHeight="1" x14ac:dyDescent="0.35">
      <c r="B24" s="126"/>
      <c r="C24" s="127"/>
      <c r="D24" s="248" t="s">
        <v>337</v>
      </c>
      <c r="E24" s="92">
        <f t="shared" si="0"/>
        <v>21</v>
      </c>
      <c r="F24" s="93"/>
      <c r="G24" s="94" t="s">
        <v>209</v>
      </c>
      <c r="H24" s="81" t="s">
        <v>293</v>
      </c>
      <c r="I24" s="51" t="s">
        <v>293</v>
      </c>
      <c r="J24" s="51" t="s">
        <v>293</v>
      </c>
      <c r="K24" s="81" t="s">
        <v>293</v>
      </c>
      <c r="L24" s="51" t="s">
        <v>712</v>
      </c>
      <c r="M24" s="51" t="s">
        <v>712</v>
      </c>
      <c r="N24" s="51" t="s">
        <v>293</v>
      </c>
      <c r="O24" s="51" t="s">
        <v>293</v>
      </c>
      <c r="P24" s="65" t="s">
        <v>293</v>
      </c>
      <c r="Q24" s="67"/>
      <c r="R24" s="52"/>
      <c r="S24" s="69"/>
      <c r="T24" s="71"/>
      <c r="U24" s="104"/>
      <c r="V24" s="130"/>
    </row>
    <row r="25" spans="1:22" ht="28.2" customHeight="1" x14ac:dyDescent="0.35">
      <c r="B25" s="126"/>
      <c r="C25" s="127"/>
      <c r="D25" s="249"/>
      <c r="E25" s="92">
        <f t="shared" si="0"/>
        <v>22</v>
      </c>
      <c r="F25" s="93"/>
      <c r="G25" s="94" t="s">
        <v>210</v>
      </c>
      <c r="H25" s="81" t="s">
        <v>293</v>
      </c>
      <c r="I25" s="51" t="s">
        <v>293</v>
      </c>
      <c r="J25" s="51" t="s">
        <v>293</v>
      </c>
      <c r="K25" s="81" t="s">
        <v>293</v>
      </c>
      <c r="L25" s="51" t="s">
        <v>712</v>
      </c>
      <c r="M25" s="51" t="s">
        <v>712</v>
      </c>
      <c r="N25" s="51" t="s">
        <v>293</v>
      </c>
      <c r="O25" s="51" t="s">
        <v>293</v>
      </c>
      <c r="P25" s="65" t="s">
        <v>293</v>
      </c>
      <c r="Q25" s="67"/>
      <c r="R25" s="52"/>
      <c r="S25" s="69"/>
      <c r="T25" s="71"/>
      <c r="U25" s="104"/>
      <c r="V25" s="130"/>
    </row>
    <row r="26" spans="1:22" ht="28.2" customHeight="1" x14ac:dyDescent="0.35">
      <c r="B26" s="126"/>
      <c r="C26" s="127"/>
      <c r="D26" s="249"/>
      <c r="E26" s="92">
        <f t="shared" si="0"/>
        <v>23</v>
      </c>
      <c r="F26" s="93"/>
      <c r="G26" s="94" t="s">
        <v>212</v>
      </c>
      <c r="H26" s="81" t="s">
        <v>293</v>
      </c>
      <c r="I26" s="51" t="s">
        <v>293</v>
      </c>
      <c r="J26" s="51" t="s">
        <v>293</v>
      </c>
      <c r="K26" s="81" t="s">
        <v>293</v>
      </c>
      <c r="L26" s="51" t="s">
        <v>712</v>
      </c>
      <c r="M26" s="51" t="s">
        <v>712</v>
      </c>
      <c r="N26" s="51" t="s">
        <v>293</v>
      </c>
      <c r="O26" s="51" t="s">
        <v>293</v>
      </c>
      <c r="P26" s="65" t="s">
        <v>293</v>
      </c>
      <c r="Q26" s="67"/>
      <c r="R26" s="52"/>
      <c r="S26" s="69"/>
      <c r="T26" s="71"/>
      <c r="U26" s="104"/>
      <c r="V26" s="130"/>
    </row>
    <row r="27" spans="1:22" ht="28.2" customHeight="1" x14ac:dyDescent="0.35">
      <c r="B27" s="126"/>
      <c r="C27" s="127"/>
      <c r="D27" s="247" t="s">
        <v>342</v>
      </c>
      <c r="E27" s="92">
        <f t="shared" si="0"/>
        <v>24</v>
      </c>
      <c r="F27" s="93"/>
      <c r="G27" s="94" t="s">
        <v>761</v>
      </c>
      <c r="H27" s="81" t="s">
        <v>293</v>
      </c>
      <c r="I27" s="51" t="s">
        <v>293</v>
      </c>
      <c r="J27" s="51" t="s">
        <v>293</v>
      </c>
      <c r="K27" s="81" t="s">
        <v>293</v>
      </c>
      <c r="L27" s="51" t="s">
        <v>712</v>
      </c>
      <c r="M27" s="51" t="s">
        <v>712</v>
      </c>
      <c r="N27" s="51" t="s">
        <v>293</v>
      </c>
      <c r="O27" s="51" t="s">
        <v>293</v>
      </c>
      <c r="P27" s="65" t="s">
        <v>293</v>
      </c>
      <c r="Q27" s="67"/>
      <c r="R27" s="52"/>
      <c r="S27" s="69"/>
      <c r="T27" s="71"/>
      <c r="U27" s="104"/>
      <c r="V27" s="130"/>
    </row>
    <row r="28" spans="1:22" ht="28.2" customHeight="1" x14ac:dyDescent="0.35">
      <c r="B28" s="126"/>
      <c r="C28" s="128" t="s">
        <v>125</v>
      </c>
      <c r="D28" s="91" t="s">
        <v>126</v>
      </c>
      <c r="E28" s="92">
        <f t="shared" si="0"/>
        <v>25</v>
      </c>
      <c r="F28" s="93"/>
      <c r="G28" s="94" t="s">
        <v>133</v>
      </c>
      <c r="H28" s="81" t="s">
        <v>712</v>
      </c>
      <c r="I28" s="51" t="s">
        <v>293</v>
      </c>
      <c r="J28" s="51" t="s">
        <v>293</v>
      </c>
      <c r="K28" s="51" t="s">
        <v>293</v>
      </c>
      <c r="L28" s="51" t="s">
        <v>293</v>
      </c>
      <c r="M28" s="51" t="s">
        <v>293</v>
      </c>
      <c r="N28" s="51" t="s">
        <v>293</v>
      </c>
      <c r="O28" s="51" t="s">
        <v>293</v>
      </c>
      <c r="P28" s="65" t="s">
        <v>293</v>
      </c>
      <c r="Q28" s="67"/>
      <c r="R28" s="52"/>
      <c r="S28" s="69"/>
      <c r="T28" s="71"/>
      <c r="U28" s="103"/>
    </row>
    <row r="29" spans="1:22" ht="28.2" customHeight="1" x14ac:dyDescent="0.35">
      <c r="B29" s="126"/>
      <c r="C29" s="127"/>
      <c r="D29" s="96" t="s">
        <v>127</v>
      </c>
      <c r="E29" s="97">
        <f t="shared" si="0"/>
        <v>26</v>
      </c>
      <c r="F29" s="98"/>
      <c r="G29" s="99" t="s">
        <v>133</v>
      </c>
      <c r="H29" s="82" t="s">
        <v>676</v>
      </c>
      <c r="I29" s="53" t="s">
        <v>676</v>
      </c>
      <c r="J29" s="53" t="s">
        <v>293</v>
      </c>
      <c r="K29" s="53" t="s">
        <v>293</v>
      </c>
      <c r="L29" s="53" t="s">
        <v>293</v>
      </c>
      <c r="M29" s="53" t="s">
        <v>293</v>
      </c>
      <c r="N29" s="53" t="s">
        <v>293</v>
      </c>
      <c r="O29" s="53" t="s">
        <v>293</v>
      </c>
      <c r="P29" s="66" t="s">
        <v>293</v>
      </c>
      <c r="Q29" s="68"/>
      <c r="R29" s="54"/>
      <c r="S29" s="70"/>
      <c r="T29" s="361"/>
      <c r="U29" s="105" t="s">
        <v>693</v>
      </c>
      <c r="V29" s="343"/>
    </row>
    <row r="30" spans="1:22" ht="28.2" customHeight="1" x14ac:dyDescent="0.35">
      <c r="B30" s="126"/>
      <c r="C30" s="127"/>
      <c r="D30" s="248" t="s">
        <v>362</v>
      </c>
      <c r="E30" s="92">
        <f t="shared" si="0"/>
        <v>27</v>
      </c>
      <c r="F30" s="93"/>
      <c r="G30" s="94" t="s">
        <v>343</v>
      </c>
      <c r="H30" s="81" t="s">
        <v>712</v>
      </c>
      <c r="I30" s="51" t="s">
        <v>293</v>
      </c>
      <c r="J30" s="51" t="s">
        <v>293</v>
      </c>
      <c r="K30" s="51" t="s">
        <v>293</v>
      </c>
      <c r="L30" s="51" t="s">
        <v>293</v>
      </c>
      <c r="M30" s="51" t="s">
        <v>293</v>
      </c>
      <c r="N30" s="51" t="s">
        <v>293</v>
      </c>
      <c r="O30" s="51" t="s">
        <v>293</v>
      </c>
      <c r="P30" s="65" t="s">
        <v>293</v>
      </c>
      <c r="Q30" s="67"/>
      <c r="R30" s="52"/>
      <c r="S30" s="69"/>
      <c r="T30" s="71"/>
      <c r="U30" s="103"/>
      <c r="V30" s="130"/>
    </row>
    <row r="31" spans="1:22" ht="28.2" customHeight="1" x14ac:dyDescent="0.35">
      <c r="B31" s="126"/>
      <c r="C31" s="127"/>
      <c r="D31" s="249"/>
      <c r="E31" s="92">
        <f t="shared" si="0"/>
        <v>28</v>
      </c>
      <c r="F31" s="93"/>
      <c r="G31" s="94" t="s">
        <v>363</v>
      </c>
      <c r="H31" s="81" t="s">
        <v>712</v>
      </c>
      <c r="I31" s="51" t="s">
        <v>293</v>
      </c>
      <c r="J31" s="51" t="s">
        <v>293</v>
      </c>
      <c r="K31" s="51" t="s">
        <v>293</v>
      </c>
      <c r="L31" s="51" t="s">
        <v>293</v>
      </c>
      <c r="M31" s="51" t="s">
        <v>293</v>
      </c>
      <c r="N31" s="51" t="s">
        <v>293</v>
      </c>
      <c r="O31" s="51" t="s">
        <v>293</v>
      </c>
      <c r="P31" s="65" t="s">
        <v>293</v>
      </c>
      <c r="Q31" s="67"/>
      <c r="R31" s="52"/>
      <c r="S31" s="69"/>
      <c r="T31" s="71"/>
      <c r="U31" s="103"/>
      <c r="V31" s="130"/>
    </row>
    <row r="32" spans="1:22" ht="28.2" customHeight="1" x14ac:dyDescent="0.35">
      <c r="B32" s="126"/>
      <c r="C32" s="127"/>
      <c r="D32" s="96" t="s">
        <v>282</v>
      </c>
      <c r="E32" s="97">
        <f t="shared" si="0"/>
        <v>29</v>
      </c>
      <c r="F32" s="98"/>
      <c r="G32" s="99" t="s">
        <v>269</v>
      </c>
      <c r="H32" s="82" t="s">
        <v>676</v>
      </c>
      <c r="I32" s="53" t="s">
        <v>676</v>
      </c>
      <c r="J32" s="53" t="s">
        <v>293</v>
      </c>
      <c r="K32" s="53" t="s">
        <v>293</v>
      </c>
      <c r="L32" s="53" t="s">
        <v>293</v>
      </c>
      <c r="M32" s="53" t="s">
        <v>293</v>
      </c>
      <c r="N32" s="53" t="s">
        <v>293</v>
      </c>
      <c r="O32" s="53" t="s">
        <v>293</v>
      </c>
      <c r="P32" s="66" t="s">
        <v>293</v>
      </c>
      <c r="Q32" s="68"/>
      <c r="R32" s="54"/>
      <c r="S32" s="70"/>
      <c r="T32" s="361"/>
      <c r="U32" s="105"/>
    </row>
    <row r="33" spans="1:23" ht="28.2" customHeight="1" x14ac:dyDescent="0.35">
      <c r="B33" s="126"/>
      <c r="C33" s="127"/>
      <c r="D33" s="96" t="s">
        <v>238</v>
      </c>
      <c r="E33" s="97">
        <f t="shared" si="0"/>
        <v>30</v>
      </c>
      <c r="F33" s="98"/>
      <c r="G33" s="99" t="s">
        <v>270</v>
      </c>
      <c r="H33" s="82" t="s">
        <v>676</v>
      </c>
      <c r="I33" s="53" t="s">
        <v>676</v>
      </c>
      <c r="J33" s="53" t="s">
        <v>293</v>
      </c>
      <c r="K33" s="53" t="s">
        <v>293</v>
      </c>
      <c r="L33" s="53" t="s">
        <v>293</v>
      </c>
      <c r="M33" s="53" t="s">
        <v>293</v>
      </c>
      <c r="N33" s="53" t="s">
        <v>293</v>
      </c>
      <c r="O33" s="53" t="s">
        <v>293</v>
      </c>
      <c r="P33" s="66" t="s">
        <v>293</v>
      </c>
      <c r="Q33" s="68"/>
      <c r="R33" s="54"/>
      <c r="S33" s="70"/>
      <c r="T33" s="361"/>
      <c r="U33" s="105"/>
    </row>
    <row r="34" spans="1:23" ht="28.2" customHeight="1" x14ac:dyDescent="0.35">
      <c r="B34" s="126"/>
      <c r="C34" s="127"/>
      <c r="D34" s="96" t="s">
        <v>128</v>
      </c>
      <c r="E34" s="97">
        <f t="shared" si="0"/>
        <v>31</v>
      </c>
      <c r="F34" s="98"/>
      <c r="G34" s="99" t="s">
        <v>358</v>
      </c>
      <c r="H34" s="82" t="s">
        <v>676</v>
      </c>
      <c r="I34" s="53" t="s">
        <v>676</v>
      </c>
      <c r="J34" s="53" t="s">
        <v>293</v>
      </c>
      <c r="K34" s="53" t="s">
        <v>293</v>
      </c>
      <c r="L34" s="53" t="s">
        <v>293</v>
      </c>
      <c r="M34" s="53" t="s">
        <v>293</v>
      </c>
      <c r="N34" s="53" t="s">
        <v>293</v>
      </c>
      <c r="O34" s="53" t="s">
        <v>293</v>
      </c>
      <c r="P34" s="66" t="s">
        <v>293</v>
      </c>
      <c r="Q34" s="68"/>
      <c r="R34" s="54"/>
      <c r="S34" s="70"/>
      <c r="T34" s="361"/>
      <c r="U34" s="105"/>
    </row>
    <row r="35" spans="1:23" ht="28.2" customHeight="1" x14ac:dyDescent="0.35">
      <c r="B35" s="126"/>
      <c r="C35" s="127"/>
      <c r="D35" s="91" t="s">
        <v>129</v>
      </c>
      <c r="E35" s="92">
        <f t="shared" si="0"/>
        <v>32</v>
      </c>
      <c r="F35" s="93"/>
      <c r="G35" s="94" t="s">
        <v>358</v>
      </c>
      <c r="H35" s="81" t="s">
        <v>712</v>
      </c>
      <c r="I35" s="51" t="s">
        <v>293</v>
      </c>
      <c r="J35" s="51" t="s">
        <v>293</v>
      </c>
      <c r="K35" s="51" t="s">
        <v>293</v>
      </c>
      <c r="L35" s="51" t="s">
        <v>293</v>
      </c>
      <c r="M35" s="51" t="s">
        <v>293</v>
      </c>
      <c r="N35" s="51" t="s">
        <v>293</v>
      </c>
      <c r="O35" s="51" t="s">
        <v>293</v>
      </c>
      <c r="P35" s="65" t="s">
        <v>293</v>
      </c>
      <c r="Q35" s="67"/>
      <c r="R35" s="52"/>
      <c r="S35" s="69"/>
      <c r="T35" s="71"/>
      <c r="U35" s="103"/>
    </row>
    <row r="36" spans="1:23" ht="28.2" customHeight="1" x14ac:dyDescent="0.35">
      <c r="B36" s="126"/>
      <c r="C36" s="127"/>
      <c r="D36" s="96" t="s">
        <v>130</v>
      </c>
      <c r="E36" s="97">
        <f t="shared" si="0"/>
        <v>33</v>
      </c>
      <c r="F36" s="98"/>
      <c r="G36" s="99" t="s">
        <v>358</v>
      </c>
      <c r="H36" s="82" t="s">
        <v>676</v>
      </c>
      <c r="I36" s="53" t="s">
        <v>676</v>
      </c>
      <c r="J36" s="53" t="s">
        <v>293</v>
      </c>
      <c r="K36" s="53" t="s">
        <v>293</v>
      </c>
      <c r="L36" s="53" t="s">
        <v>293</v>
      </c>
      <c r="M36" s="53" t="s">
        <v>293</v>
      </c>
      <c r="N36" s="53" t="s">
        <v>293</v>
      </c>
      <c r="O36" s="53" t="s">
        <v>293</v>
      </c>
      <c r="P36" s="66" t="s">
        <v>293</v>
      </c>
      <c r="Q36" s="68"/>
      <c r="R36" s="54"/>
      <c r="S36" s="70"/>
      <c r="T36" s="361"/>
      <c r="U36" s="105"/>
    </row>
    <row r="37" spans="1:23" ht="28.2" customHeight="1" x14ac:dyDescent="0.35">
      <c r="B37" s="126"/>
      <c r="C37" s="127"/>
      <c r="D37" s="96" t="s">
        <v>131</v>
      </c>
      <c r="E37" s="97">
        <f t="shared" si="0"/>
        <v>34</v>
      </c>
      <c r="F37" s="98"/>
      <c r="G37" s="99" t="s">
        <v>358</v>
      </c>
      <c r="H37" s="82" t="s">
        <v>389</v>
      </c>
      <c r="I37" s="53" t="s">
        <v>389</v>
      </c>
      <c r="J37" s="53" t="s">
        <v>293</v>
      </c>
      <c r="K37" s="53" t="s">
        <v>293</v>
      </c>
      <c r="L37" s="53" t="s">
        <v>293</v>
      </c>
      <c r="M37" s="53" t="s">
        <v>293</v>
      </c>
      <c r="N37" s="53" t="s">
        <v>293</v>
      </c>
      <c r="O37" s="53" t="s">
        <v>293</v>
      </c>
      <c r="P37" s="66" t="s">
        <v>293</v>
      </c>
      <c r="Q37" s="68"/>
      <c r="R37" s="54"/>
      <c r="S37" s="70"/>
      <c r="T37" s="361"/>
      <c r="U37" s="105"/>
    </row>
    <row r="38" spans="1:23" ht="28.2" customHeight="1" x14ac:dyDescent="0.35">
      <c r="B38" s="126"/>
      <c r="C38" s="127"/>
      <c r="D38" s="91" t="s">
        <v>132</v>
      </c>
      <c r="E38" s="92">
        <f t="shared" si="0"/>
        <v>35</v>
      </c>
      <c r="F38" s="93"/>
      <c r="G38" s="94" t="s">
        <v>134</v>
      </c>
      <c r="H38" s="81" t="s">
        <v>712</v>
      </c>
      <c r="I38" s="51" t="s">
        <v>293</v>
      </c>
      <c r="J38" s="51" t="s">
        <v>293</v>
      </c>
      <c r="K38" s="81" t="s">
        <v>712</v>
      </c>
      <c r="L38" s="51" t="s">
        <v>293</v>
      </c>
      <c r="M38" s="51" t="s">
        <v>293</v>
      </c>
      <c r="N38" s="51" t="s">
        <v>293</v>
      </c>
      <c r="O38" s="51" t="s">
        <v>293</v>
      </c>
      <c r="P38" s="65" t="s">
        <v>293</v>
      </c>
      <c r="Q38" s="67"/>
      <c r="R38" s="52"/>
      <c r="S38" s="69"/>
      <c r="T38" s="71"/>
      <c r="U38" s="103"/>
    </row>
    <row r="39" spans="1:23" ht="28.2" customHeight="1" x14ac:dyDescent="0.35">
      <c r="B39" s="126"/>
      <c r="C39" s="128" t="s">
        <v>135</v>
      </c>
      <c r="D39" s="91" t="s">
        <v>136</v>
      </c>
      <c r="E39" s="92">
        <f t="shared" si="0"/>
        <v>36</v>
      </c>
      <c r="F39" s="100"/>
      <c r="G39" s="94" t="s">
        <v>134</v>
      </c>
      <c r="H39" s="81" t="s">
        <v>712</v>
      </c>
      <c r="I39" s="51" t="s">
        <v>293</v>
      </c>
      <c r="J39" s="51" t="s">
        <v>293</v>
      </c>
      <c r="K39" s="51" t="s">
        <v>293</v>
      </c>
      <c r="L39" s="51" t="s">
        <v>293</v>
      </c>
      <c r="M39" s="51" t="s">
        <v>293</v>
      </c>
      <c r="N39" s="51" t="s">
        <v>293</v>
      </c>
      <c r="O39" s="51" t="s">
        <v>293</v>
      </c>
      <c r="P39" s="65" t="s">
        <v>293</v>
      </c>
      <c r="Q39" s="67"/>
      <c r="R39" s="52"/>
      <c r="S39" s="69"/>
      <c r="T39" s="71"/>
      <c r="U39" s="103"/>
      <c r="V39" s="130"/>
    </row>
    <row r="40" spans="1:23" ht="48.6" customHeight="1" x14ac:dyDescent="0.35">
      <c r="B40" s="126"/>
      <c r="C40" s="127"/>
      <c r="D40" s="91" t="s">
        <v>373</v>
      </c>
      <c r="E40" s="92">
        <f t="shared" si="0"/>
        <v>37</v>
      </c>
      <c r="F40" s="100" t="s">
        <v>234</v>
      </c>
      <c r="G40" s="94" t="s">
        <v>134</v>
      </c>
      <c r="H40" s="81" t="s">
        <v>712</v>
      </c>
      <c r="I40" s="51" t="s">
        <v>293</v>
      </c>
      <c r="J40" s="51" t="s">
        <v>293</v>
      </c>
      <c r="K40" s="51" t="s">
        <v>293</v>
      </c>
      <c r="L40" s="51" t="s">
        <v>293</v>
      </c>
      <c r="M40" s="51" t="s">
        <v>293</v>
      </c>
      <c r="N40" s="51" t="s">
        <v>293</v>
      </c>
      <c r="O40" s="51" t="s">
        <v>293</v>
      </c>
      <c r="P40" s="65" t="s">
        <v>293</v>
      </c>
      <c r="Q40" s="67"/>
      <c r="R40" s="52"/>
      <c r="S40" s="69"/>
      <c r="T40" s="71"/>
      <c r="U40" s="103"/>
      <c r="V40" s="130"/>
    </row>
    <row r="41" spans="1:23" ht="28.2" customHeight="1" x14ac:dyDescent="0.35">
      <c r="B41" s="126"/>
      <c r="C41" s="127"/>
      <c r="D41" s="91" t="s">
        <v>137</v>
      </c>
      <c r="E41" s="92">
        <f t="shared" si="0"/>
        <v>38</v>
      </c>
      <c r="F41" s="100"/>
      <c r="G41" s="94" t="s">
        <v>139</v>
      </c>
      <c r="H41" s="81" t="s">
        <v>712</v>
      </c>
      <c r="I41" s="51" t="s">
        <v>293</v>
      </c>
      <c r="J41" s="51" t="s">
        <v>293</v>
      </c>
      <c r="K41" s="51" t="s">
        <v>293</v>
      </c>
      <c r="L41" s="51" t="s">
        <v>293</v>
      </c>
      <c r="M41" s="51" t="s">
        <v>293</v>
      </c>
      <c r="N41" s="51" t="s">
        <v>293</v>
      </c>
      <c r="O41" s="51" t="s">
        <v>293</v>
      </c>
      <c r="P41" s="65" t="s">
        <v>293</v>
      </c>
      <c r="Q41" s="67"/>
      <c r="R41" s="52"/>
      <c r="S41" s="69"/>
      <c r="T41" s="71"/>
      <c r="U41" s="103"/>
    </row>
    <row r="42" spans="1:23" ht="28.2" customHeight="1" x14ac:dyDescent="0.35">
      <c r="B42" s="126"/>
      <c r="C42" s="127"/>
      <c r="D42" s="91" t="s">
        <v>138</v>
      </c>
      <c r="E42" s="92">
        <f t="shared" si="0"/>
        <v>39</v>
      </c>
      <c r="F42" s="100"/>
      <c r="G42" s="94" t="s">
        <v>134</v>
      </c>
      <c r="H42" s="81" t="s">
        <v>712</v>
      </c>
      <c r="I42" s="51" t="s">
        <v>293</v>
      </c>
      <c r="J42" s="51" t="s">
        <v>293</v>
      </c>
      <c r="K42" s="51" t="s">
        <v>293</v>
      </c>
      <c r="L42" s="51" t="s">
        <v>293</v>
      </c>
      <c r="M42" s="51" t="s">
        <v>293</v>
      </c>
      <c r="N42" s="51" t="s">
        <v>293</v>
      </c>
      <c r="O42" s="51" t="s">
        <v>293</v>
      </c>
      <c r="P42" s="65" t="s">
        <v>293</v>
      </c>
      <c r="Q42" s="67"/>
      <c r="R42" s="52"/>
      <c r="S42" s="69"/>
      <c r="T42" s="71"/>
      <c r="U42" s="103"/>
      <c r="V42" s="130"/>
    </row>
    <row r="43" spans="1:23"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395"/>
      <c r="R43" s="54"/>
      <c r="S43" s="70"/>
      <c r="T43" s="361"/>
      <c r="U43" s="105" t="s">
        <v>724</v>
      </c>
      <c r="V43" s="130"/>
    </row>
    <row r="44" spans="1:23" ht="37.799999999999997" customHeight="1" x14ac:dyDescent="0.35">
      <c r="B44" s="126"/>
      <c r="C44" s="127"/>
      <c r="D44" s="91" t="s">
        <v>240</v>
      </c>
      <c r="E44" s="92">
        <f t="shared" si="0"/>
        <v>41</v>
      </c>
      <c r="F44" s="100" t="s">
        <v>220</v>
      </c>
      <c r="G44" s="94" t="s">
        <v>134</v>
      </c>
      <c r="H44" s="81" t="s">
        <v>712</v>
      </c>
      <c r="I44" s="51" t="s">
        <v>293</v>
      </c>
      <c r="J44" s="51" t="s">
        <v>293</v>
      </c>
      <c r="K44" s="51" t="s">
        <v>293</v>
      </c>
      <c r="L44" s="51" t="s">
        <v>293</v>
      </c>
      <c r="M44" s="51" t="s">
        <v>293</v>
      </c>
      <c r="N44" s="51" t="s">
        <v>293</v>
      </c>
      <c r="O44" s="51" t="s">
        <v>293</v>
      </c>
      <c r="P44" s="65" t="s">
        <v>293</v>
      </c>
      <c r="Q44" s="67"/>
      <c r="R44" s="52"/>
      <c r="S44" s="69"/>
      <c r="T44" s="71"/>
      <c r="U44" s="104"/>
    </row>
    <row r="45" spans="1:23" s="412" customFormat="1" ht="28.2" customHeight="1" x14ac:dyDescent="0.35">
      <c r="A45" s="121"/>
      <c r="B45" s="126"/>
      <c r="C45" s="127"/>
      <c r="D45" s="96" t="s">
        <v>241</v>
      </c>
      <c r="E45" s="97">
        <f t="shared" si="0"/>
        <v>42</v>
      </c>
      <c r="F45" s="98" t="s">
        <v>223</v>
      </c>
      <c r="G45" s="99" t="s">
        <v>134</v>
      </c>
      <c r="H45" s="53" t="s">
        <v>293</v>
      </c>
      <c r="I45" s="53" t="s">
        <v>293</v>
      </c>
      <c r="J45" s="53" t="s">
        <v>293</v>
      </c>
      <c r="K45" s="53" t="s">
        <v>293</v>
      </c>
      <c r="L45" s="53" t="s">
        <v>293</v>
      </c>
      <c r="M45" s="53" t="s">
        <v>293</v>
      </c>
      <c r="N45" s="53" t="s">
        <v>293</v>
      </c>
      <c r="O45" s="53" t="s">
        <v>293</v>
      </c>
      <c r="P45" s="66" t="s">
        <v>293</v>
      </c>
      <c r="Q45" s="68"/>
      <c r="R45" s="54"/>
      <c r="S45" s="70"/>
      <c r="T45" s="361"/>
      <c r="U45" s="105" t="s">
        <v>704</v>
      </c>
      <c r="V45" s="124"/>
      <c r="W45" s="124"/>
    </row>
    <row r="46" spans="1:23" ht="36" customHeight="1" x14ac:dyDescent="0.35">
      <c r="B46" s="126"/>
      <c r="C46" s="127"/>
      <c r="D46" s="248" t="s">
        <v>369</v>
      </c>
      <c r="E46" s="92">
        <f t="shared" si="0"/>
        <v>43</v>
      </c>
      <c r="F46" s="100" t="s">
        <v>786</v>
      </c>
      <c r="G46" s="94" t="s">
        <v>134</v>
      </c>
      <c r="H46" s="81" t="s">
        <v>712</v>
      </c>
      <c r="I46" s="51" t="s">
        <v>293</v>
      </c>
      <c r="J46" s="51" t="s">
        <v>293</v>
      </c>
      <c r="K46" s="81" t="s">
        <v>712</v>
      </c>
      <c r="L46" s="51" t="s">
        <v>293</v>
      </c>
      <c r="M46" s="51" t="s">
        <v>293</v>
      </c>
      <c r="N46" s="51" t="s">
        <v>293</v>
      </c>
      <c r="O46" s="51" t="s">
        <v>293</v>
      </c>
      <c r="P46" s="65" t="s">
        <v>293</v>
      </c>
      <c r="Q46" s="67"/>
      <c r="R46" s="52"/>
      <c r="S46" s="69"/>
      <c r="T46" s="71"/>
      <c r="U46" s="103"/>
    </row>
    <row r="47" spans="1:23" ht="36" customHeight="1" x14ac:dyDescent="0.35">
      <c r="B47" s="126"/>
      <c r="C47" s="127"/>
      <c r="D47" s="249"/>
      <c r="E47" s="92">
        <f t="shared" si="0"/>
        <v>44</v>
      </c>
      <c r="F47" s="100" t="s">
        <v>379</v>
      </c>
      <c r="G47" s="94" t="s">
        <v>370</v>
      </c>
      <c r="H47" s="81" t="s">
        <v>712</v>
      </c>
      <c r="I47" s="51" t="s">
        <v>293</v>
      </c>
      <c r="J47" s="51" t="s">
        <v>293</v>
      </c>
      <c r="K47" s="81" t="s">
        <v>712</v>
      </c>
      <c r="L47" s="51" t="s">
        <v>293</v>
      </c>
      <c r="M47" s="51" t="s">
        <v>293</v>
      </c>
      <c r="N47" s="51" t="s">
        <v>293</v>
      </c>
      <c r="O47" s="51" t="s">
        <v>293</v>
      </c>
      <c r="P47" s="65" t="s">
        <v>293</v>
      </c>
      <c r="Q47" s="67"/>
      <c r="R47" s="52"/>
      <c r="S47" s="69"/>
      <c r="T47" s="71"/>
      <c r="U47" s="103"/>
    </row>
    <row r="48" spans="1:23" ht="52.8" customHeight="1" x14ac:dyDescent="0.35">
      <c r="B48" s="126"/>
      <c r="C48" s="127"/>
      <c r="D48" s="257"/>
      <c r="E48" s="92">
        <f t="shared" si="0"/>
        <v>45</v>
      </c>
      <c r="F48" s="100" t="s">
        <v>380</v>
      </c>
      <c r="G48" s="94" t="s">
        <v>371</v>
      </c>
      <c r="H48" s="81" t="s">
        <v>712</v>
      </c>
      <c r="I48" s="51" t="s">
        <v>293</v>
      </c>
      <c r="J48" s="51" t="s">
        <v>293</v>
      </c>
      <c r="K48" s="51" t="s">
        <v>293</v>
      </c>
      <c r="L48" s="51" t="s">
        <v>293</v>
      </c>
      <c r="M48" s="51" t="s">
        <v>293</v>
      </c>
      <c r="N48" s="51" t="s">
        <v>293</v>
      </c>
      <c r="O48" s="51" t="s">
        <v>293</v>
      </c>
      <c r="P48" s="65" t="s">
        <v>293</v>
      </c>
      <c r="Q48" s="67"/>
      <c r="R48" s="52"/>
      <c r="S48" s="69"/>
      <c r="T48" s="71"/>
      <c r="U48" s="103"/>
    </row>
    <row r="49" spans="2:22" ht="28.2" customHeight="1" x14ac:dyDescent="0.35">
      <c r="B49" s="126"/>
      <c r="C49" s="347" t="s">
        <v>245</v>
      </c>
      <c r="D49" s="96" t="s">
        <v>243</v>
      </c>
      <c r="E49" s="97">
        <f t="shared" si="0"/>
        <v>46</v>
      </c>
      <c r="F49" s="98"/>
      <c r="G49" s="99" t="s">
        <v>140</v>
      </c>
      <c r="H49" s="53" t="s">
        <v>679</v>
      </c>
      <c r="I49" s="53" t="s">
        <v>679</v>
      </c>
      <c r="J49" s="53" t="s">
        <v>293</v>
      </c>
      <c r="K49" s="53" t="s">
        <v>293</v>
      </c>
      <c r="L49" s="53" t="s">
        <v>293</v>
      </c>
      <c r="M49" s="53" t="s">
        <v>293</v>
      </c>
      <c r="N49" s="53" t="s">
        <v>293</v>
      </c>
      <c r="O49" s="53" t="s">
        <v>293</v>
      </c>
      <c r="P49" s="66" t="s">
        <v>293</v>
      </c>
      <c r="Q49" s="68"/>
      <c r="R49" s="54"/>
      <c r="S49" s="70"/>
      <c r="T49" s="361"/>
      <c r="U49" s="410"/>
    </row>
    <row r="50" spans="2:22" ht="28.2" customHeight="1" x14ac:dyDescent="0.35">
      <c r="B50" s="126"/>
      <c r="C50" s="396"/>
      <c r="D50" s="397" t="s">
        <v>243</v>
      </c>
      <c r="E50" s="97">
        <f t="shared" si="0"/>
        <v>47</v>
      </c>
      <c r="F50" s="98"/>
      <c r="G50" s="99" t="s">
        <v>140</v>
      </c>
      <c r="H50" s="53" t="s">
        <v>679</v>
      </c>
      <c r="I50" s="53" t="s">
        <v>679</v>
      </c>
      <c r="J50" s="53" t="s">
        <v>293</v>
      </c>
      <c r="K50" s="53" t="s">
        <v>293</v>
      </c>
      <c r="L50" s="53" t="s">
        <v>293</v>
      </c>
      <c r="M50" s="53" t="s">
        <v>293</v>
      </c>
      <c r="N50" s="53" t="s">
        <v>293</v>
      </c>
      <c r="O50" s="53" t="s">
        <v>293</v>
      </c>
      <c r="P50" s="66" t="s">
        <v>293</v>
      </c>
      <c r="Q50" s="68"/>
      <c r="R50" s="54"/>
      <c r="S50" s="70"/>
      <c r="T50" s="361"/>
      <c r="U50" s="410"/>
    </row>
    <row r="51" spans="2:22" ht="28.2" customHeight="1" x14ac:dyDescent="0.35">
      <c r="B51" s="126"/>
      <c r="C51" s="396"/>
      <c r="D51" s="403"/>
      <c r="E51" s="97">
        <f t="shared" si="0"/>
        <v>48</v>
      </c>
      <c r="F51" s="98"/>
      <c r="G51" s="99" t="s">
        <v>141</v>
      </c>
      <c r="H51" s="53" t="s">
        <v>679</v>
      </c>
      <c r="I51" s="53" t="s">
        <v>679</v>
      </c>
      <c r="J51" s="53" t="s">
        <v>293</v>
      </c>
      <c r="K51" s="53" t="s">
        <v>293</v>
      </c>
      <c r="L51" s="53" t="s">
        <v>293</v>
      </c>
      <c r="M51" s="53" t="s">
        <v>293</v>
      </c>
      <c r="N51" s="53" t="s">
        <v>293</v>
      </c>
      <c r="O51" s="53" t="s">
        <v>293</v>
      </c>
      <c r="P51" s="66" t="s">
        <v>293</v>
      </c>
      <c r="Q51" s="68"/>
      <c r="R51" s="54"/>
      <c r="S51" s="70"/>
      <c r="T51" s="361"/>
      <c r="U51" s="105"/>
    </row>
    <row r="52" spans="2:22" ht="28.2" customHeight="1" x14ac:dyDescent="0.35">
      <c r="B52" s="126"/>
      <c r="C52" s="128" t="s">
        <v>142</v>
      </c>
      <c r="D52" s="91" t="s">
        <v>143</v>
      </c>
      <c r="E52" s="92">
        <f t="shared" si="0"/>
        <v>49</v>
      </c>
      <c r="F52" s="93"/>
      <c r="G52" s="94" t="s">
        <v>216</v>
      </c>
      <c r="H52" s="81" t="s">
        <v>712</v>
      </c>
      <c r="I52" s="51" t="s">
        <v>293</v>
      </c>
      <c r="J52" s="51" t="s">
        <v>293</v>
      </c>
      <c r="K52" s="81" t="s">
        <v>293</v>
      </c>
      <c r="L52" s="51" t="s">
        <v>293</v>
      </c>
      <c r="M52" s="51" t="s">
        <v>293</v>
      </c>
      <c r="N52" s="51" t="s">
        <v>293</v>
      </c>
      <c r="O52" s="51" t="s">
        <v>293</v>
      </c>
      <c r="P52" s="65" t="s">
        <v>293</v>
      </c>
      <c r="Q52" s="67"/>
      <c r="R52" s="52"/>
      <c r="S52" s="69"/>
      <c r="T52" s="71"/>
      <c r="U52" s="103"/>
    </row>
    <row r="53" spans="2:22" ht="28.2" customHeight="1" x14ac:dyDescent="0.35">
      <c r="B53" s="126"/>
      <c r="C53" s="127"/>
      <c r="D53" s="91" t="s">
        <v>144</v>
      </c>
      <c r="E53" s="92">
        <f t="shared" si="0"/>
        <v>50</v>
      </c>
      <c r="F53" s="93"/>
      <c r="G53" s="94" t="s">
        <v>359</v>
      </c>
      <c r="H53" s="81" t="s">
        <v>712</v>
      </c>
      <c r="I53" s="51" t="s">
        <v>293</v>
      </c>
      <c r="J53" s="51" t="s">
        <v>293</v>
      </c>
      <c r="K53" s="81" t="s">
        <v>293</v>
      </c>
      <c r="L53" s="51" t="s">
        <v>293</v>
      </c>
      <c r="M53" s="51" t="s">
        <v>293</v>
      </c>
      <c r="N53" s="51" t="s">
        <v>293</v>
      </c>
      <c r="O53" s="51" t="s">
        <v>293</v>
      </c>
      <c r="P53" s="65" t="s">
        <v>293</v>
      </c>
      <c r="Q53" s="67"/>
      <c r="R53" s="52"/>
      <c r="S53" s="69"/>
      <c r="T53" s="71"/>
      <c r="U53" s="103"/>
    </row>
    <row r="54" spans="2:22" ht="28.2" customHeight="1" x14ac:dyDescent="0.35">
      <c r="B54" s="126"/>
      <c r="C54" s="127"/>
      <c r="D54" s="245" t="s">
        <v>360</v>
      </c>
      <c r="E54" s="246">
        <f t="shared" si="0"/>
        <v>51</v>
      </c>
      <c r="F54" s="100"/>
      <c r="G54" s="94" t="s">
        <v>361</v>
      </c>
      <c r="H54" s="81" t="s">
        <v>712</v>
      </c>
      <c r="I54" s="405" t="s">
        <v>293</v>
      </c>
      <c r="J54" s="405" t="s">
        <v>293</v>
      </c>
      <c r="K54" s="81" t="s">
        <v>293</v>
      </c>
      <c r="L54" s="405" t="s">
        <v>293</v>
      </c>
      <c r="M54" s="405" t="s">
        <v>293</v>
      </c>
      <c r="N54" s="405" t="s">
        <v>293</v>
      </c>
      <c r="O54" s="405" t="s">
        <v>293</v>
      </c>
      <c r="P54" s="409" t="s">
        <v>293</v>
      </c>
      <c r="Q54" s="472"/>
      <c r="R54" s="406"/>
      <c r="S54" s="473"/>
      <c r="T54" s="474"/>
      <c r="U54" s="407"/>
    </row>
    <row r="55" spans="2:22" ht="28.2" customHeight="1" x14ac:dyDescent="0.35">
      <c r="B55" s="126"/>
      <c r="C55" s="127"/>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91" t="s">
        <v>148</v>
      </c>
      <c r="E56" s="92">
        <f t="shared" si="0"/>
        <v>53</v>
      </c>
      <c r="F56" s="93"/>
      <c r="G56" s="94" t="s">
        <v>149</v>
      </c>
      <c r="H56" s="64" t="s">
        <v>293</v>
      </c>
      <c r="I56" s="51" t="s">
        <v>293</v>
      </c>
      <c r="J56" s="51" t="s">
        <v>293</v>
      </c>
      <c r="K56" s="81" t="s">
        <v>712</v>
      </c>
      <c r="L56" s="51" t="s">
        <v>293</v>
      </c>
      <c r="M56" s="81" t="s">
        <v>712</v>
      </c>
      <c r="N56" s="51" t="s">
        <v>293</v>
      </c>
      <c r="O56" s="51" t="s">
        <v>293</v>
      </c>
      <c r="P56" s="65" t="s">
        <v>293</v>
      </c>
      <c r="Q56" s="67"/>
      <c r="R56" s="52"/>
      <c r="S56" s="69"/>
      <c r="T56" s="71"/>
      <c r="U56" s="104"/>
    </row>
    <row r="57" spans="2:22" ht="52.8" customHeight="1" x14ac:dyDescent="0.35">
      <c r="B57" s="126"/>
      <c r="C57" s="127"/>
      <c r="D57" s="91" t="s">
        <v>347</v>
      </c>
      <c r="E57" s="92">
        <f t="shared" si="0"/>
        <v>54</v>
      </c>
      <c r="F57" s="93" t="s">
        <v>348</v>
      </c>
      <c r="G57" s="94" t="s">
        <v>349</v>
      </c>
      <c r="H57" s="81" t="s">
        <v>712</v>
      </c>
      <c r="I57" s="51" t="s">
        <v>293</v>
      </c>
      <c r="J57" s="51" t="s">
        <v>293</v>
      </c>
      <c r="K57" s="81" t="s">
        <v>712</v>
      </c>
      <c r="L57" s="51" t="s">
        <v>293</v>
      </c>
      <c r="M57" s="51" t="s">
        <v>293</v>
      </c>
      <c r="N57" s="51" t="s">
        <v>293</v>
      </c>
      <c r="O57" s="51" t="s">
        <v>293</v>
      </c>
      <c r="P57" s="65" t="s">
        <v>293</v>
      </c>
      <c r="Q57" s="67"/>
      <c r="R57" s="52"/>
      <c r="S57" s="69"/>
      <c r="T57" s="71"/>
      <c r="U57" s="103"/>
    </row>
    <row r="58" spans="2:22" ht="28.2" customHeight="1" x14ac:dyDescent="0.35">
      <c r="B58" s="126"/>
      <c r="C58" s="128" t="s">
        <v>150</v>
      </c>
      <c r="D58" s="91" t="s">
        <v>151</v>
      </c>
      <c r="E58" s="92">
        <f t="shared" si="0"/>
        <v>55</v>
      </c>
      <c r="F58" s="93"/>
      <c r="G58" s="94" t="s">
        <v>364</v>
      </c>
      <c r="H58" s="81" t="s">
        <v>712</v>
      </c>
      <c r="I58" s="51" t="s">
        <v>293</v>
      </c>
      <c r="J58" s="51" t="s">
        <v>293</v>
      </c>
      <c r="K58" s="51" t="s">
        <v>293</v>
      </c>
      <c r="L58" s="51" t="s">
        <v>293</v>
      </c>
      <c r="M58" s="51" t="s">
        <v>293</v>
      </c>
      <c r="N58" s="51" t="s">
        <v>293</v>
      </c>
      <c r="O58" s="51" t="s">
        <v>293</v>
      </c>
      <c r="P58" s="65" t="s">
        <v>293</v>
      </c>
      <c r="Q58" s="67"/>
      <c r="R58" s="52"/>
      <c r="S58" s="69"/>
      <c r="T58" s="71"/>
      <c r="U58" s="103"/>
    </row>
    <row r="59" spans="2:22" ht="28.2" customHeight="1" x14ac:dyDescent="0.35">
      <c r="B59" s="126"/>
      <c r="C59" s="127"/>
      <c r="D59" s="91" t="s">
        <v>152</v>
      </c>
      <c r="E59" s="92">
        <f t="shared" si="0"/>
        <v>56</v>
      </c>
      <c r="F59" s="93"/>
      <c r="G59" s="94" t="s">
        <v>365</v>
      </c>
      <c r="H59" s="81" t="s">
        <v>712</v>
      </c>
      <c r="I59" s="51" t="s">
        <v>293</v>
      </c>
      <c r="J59" s="51" t="s">
        <v>293</v>
      </c>
      <c r="K59" s="51" t="s">
        <v>293</v>
      </c>
      <c r="L59" s="51" t="s">
        <v>293</v>
      </c>
      <c r="M59" s="51" t="s">
        <v>293</v>
      </c>
      <c r="N59" s="51" t="s">
        <v>293</v>
      </c>
      <c r="O59" s="51" t="s">
        <v>293</v>
      </c>
      <c r="P59" s="65" t="s">
        <v>293</v>
      </c>
      <c r="Q59" s="67"/>
      <c r="R59" s="52"/>
      <c r="S59" s="69"/>
      <c r="T59" s="71"/>
      <c r="U59" s="103"/>
    </row>
    <row r="60" spans="2:22" ht="28.2" customHeight="1" x14ac:dyDescent="0.35">
      <c r="B60" s="126"/>
      <c r="C60" s="127"/>
      <c r="D60" s="91" t="s">
        <v>153</v>
      </c>
      <c r="E60" s="92">
        <f t="shared" si="0"/>
        <v>57</v>
      </c>
      <c r="F60" s="93"/>
      <c r="G60" s="94" t="s">
        <v>158</v>
      </c>
      <c r="H60" s="81" t="s">
        <v>712</v>
      </c>
      <c r="I60" s="51" t="s">
        <v>293</v>
      </c>
      <c r="J60" s="51" t="s">
        <v>293</v>
      </c>
      <c r="K60" s="51" t="s">
        <v>293</v>
      </c>
      <c r="L60" s="51" t="s">
        <v>293</v>
      </c>
      <c r="M60" s="51" t="s">
        <v>293</v>
      </c>
      <c r="N60" s="51" t="s">
        <v>293</v>
      </c>
      <c r="O60" s="51" t="s">
        <v>293</v>
      </c>
      <c r="P60" s="65" t="s">
        <v>293</v>
      </c>
      <c r="Q60" s="67"/>
      <c r="R60" s="52"/>
      <c r="S60" s="69"/>
      <c r="T60" s="71"/>
      <c r="U60" s="103"/>
    </row>
    <row r="61" spans="2:22" ht="28.2" customHeight="1" x14ac:dyDescent="0.35">
      <c r="B61" s="126"/>
      <c r="C61" s="127"/>
      <c r="D61" s="91" t="s">
        <v>154</v>
      </c>
      <c r="E61" s="92">
        <f t="shared" si="0"/>
        <v>58</v>
      </c>
      <c r="F61" s="93"/>
      <c r="G61" s="94" t="s">
        <v>159</v>
      </c>
      <c r="H61" s="81" t="s">
        <v>712</v>
      </c>
      <c r="I61" s="51" t="s">
        <v>293</v>
      </c>
      <c r="J61" s="51" t="s">
        <v>293</v>
      </c>
      <c r="K61" s="51" t="s">
        <v>293</v>
      </c>
      <c r="L61" s="51" t="s">
        <v>293</v>
      </c>
      <c r="M61" s="51" t="s">
        <v>293</v>
      </c>
      <c r="N61" s="51" t="s">
        <v>293</v>
      </c>
      <c r="O61" s="51" t="s">
        <v>293</v>
      </c>
      <c r="P61" s="65" t="s">
        <v>293</v>
      </c>
      <c r="Q61" s="67"/>
      <c r="R61" s="52"/>
      <c r="S61" s="69"/>
      <c r="T61" s="71"/>
      <c r="U61" s="103"/>
    </row>
    <row r="62" spans="2:22" ht="28.2" customHeight="1" x14ac:dyDescent="0.35">
      <c r="B62" s="126"/>
      <c r="C62" s="127"/>
      <c r="D62" s="91" t="s">
        <v>155</v>
      </c>
      <c r="E62" s="92">
        <f t="shared" si="0"/>
        <v>59</v>
      </c>
      <c r="F62" s="93"/>
      <c r="G62" s="94" t="s">
        <v>160</v>
      </c>
      <c r="H62" s="81" t="s">
        <v>762</v>
      </c>
      <c r="I62" s="51" t="s">
        <v>293</v>
      </c>
      <c r="J62" s="51" t="s">
        <v>293</v>
      </c>
      <c r="K62" s="51" t="s">
        <v>293</v>
      </c>
      <c r="L62" s="51" t="s">
        <v>293</v>
      </c>
      <c r="M62" s="51" t="s">
        <v>293</v>
      </c>
      <c r="N62" s="51" t="s">
        <v>293</v>
      </c>
      <c r="O62" s="51" t="s">
        <v>293</v>
      </c>
      <c r="P62" s="65" t="s">
        <v>293</v>
      </c>
      <c r="Q62" s="67"/>
      <c r="R62" s="52"/>
      <c r="S62" s="69"/>
      <c r="T62" s="71"/>
      <c r="U62" s="103"/>
      <c r="V62" s="130"/>
    </row>
    <row r="63" spans="2:22" ht="28.2" customHeight="1" x14ac:dyDescent="0.35">
      <c r="B63" s="126"/>
      <c r="C63" s="127"/>
      <c r="D63" s="91" t="s">
        <v>156</v>
      </c>
      <c r="E63" s="92">
        <f t="shared" si="0"/>
        <v>60</v>
      </c>
      <c r="F63" s="93"/>
      <c r="G63" s="94" t="s">
        <v>160</v>
      </c>
      <c r="H63" s="81" t="s">
        <v>712</v>
      </c>
      <c r="I63" s="51" t="s">
        <v>293</v>
      </c>
      <c r="J63" s="51" t="s">
        <v>293</v>
      </c>
      <c r="K63" s="51" t="s">
        <v>293</v>
      </c>
      <c r="L63" s="51" t="s">
        <v>293</v>
      </c>
      <c r="M63" s="51" t="s">
        <v>293</v>
      </c>
      <c r="N63" s="51" t="s">
        <v>293</v>
      </c>
      <c r="O63" s="51" t="s">
        <v>293</v>
      </c>
      <c r="P63" s="65" t="s">
        <v>293</v>
      </c>
      <c r="Q63" s="67"/>
      <c r="R63" s="52"/>
      <c r="S63" s="69"/>
      <c r="T63" s="71"/>
      <c r="U63" s="103"/>
      <c r="V63" s="130"/>
    </row>
    <row r="64" spans="2:22" ht="28.2" customHeight="1" x14ac:dyDescent="0.35">
      <c r="B64" s="126"/>
      <c r="C64" s="127"/>
      <c r="D64" s="91" t="s">
        <v>157</v>
      </c>
      <c r="E64" s="92">
        <f t="shared" si="0"/>
        <v>61</v>
      </c>
      <c r="F64" s="100"/>
      <c r="G64" s="94" t="s">
        <v>160</v>
      </c>
      <c r="H64" s="81" t="s">
        <v>712</v>
      </c>
      <c r="I64" s="51" t="s">
        <v>293</v>
      </c>
      <c r="J64" s="51" t="s">
        <v>293</v>
      </c>
      <c r="K64" s="51" t="s">
        <v>293</v>
      </c>
      <c r="L64" s="51" t="s">
        <v>293</v>
      </c>
      <c r="M64" s="51" t="s">
        <v>293</v>
      </c>
      <c r="N64" s="51" t="s">
        <v>293</v>
      </c>
      <c r="O64" s="51" t="s">
        <v>293</v>
      </c>
      <c r="P64" s="65" t="s">
        <v>293</v>
      </c>
      <c r="Q64" s="67"/>
      <c r="R64" s="52"/>
      <c r="S64" s="69"/>
      <c r="T64" s="71"/>
      <c r="U64" s="103"/>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395"/>
      <c r="R65" s="54"/>
      <c r="S65" s="70"/>
      <c r="T65" s="361"/>
      <c r="U65" s="105" t="s">
        <v>724</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395"/>
      <c r="R66" s="54"/>
      <c r="S66" s="70"/>
      <c r="T66" s="361"/>
      <c r="U66" s="105" t="s">
        <v>683</v>
      </c>
    </row>
    <row r="67" spans="2:22" ht="37.799999999999997" customHeight="1" x14ac:dyDescent="0.35">
      <c r="B67" s="126"/>
      <c r="C67" s="396"/>
      <c r="D67" s="394" t="s">
        <v>233</v>
      </c>
      <c r="E67" s="97">
        <f t="shared" si="0"/>
        <v>64</v>
      </c>
      <c r="F67" s="98"/>
      <c r="G67" s="99" t="s">
        <v>222</v>
      </c>
      <c r="H67" s="53" t="s">
        <v>293</v>
      </c>
      <c r="I67" s="53" t="s">
        <v>293</v>
      </c>
      <c r="J67" s="53" t="s">
        <v>293</v>
      </c>
      <c r="K67" s="53" t="s">
        <v>293</v>
      </c>
      <c r="L67" s="53" t="s">
        <v>293</v>
      </c>
      <c r="M67" s="53" t="s">
        <v>293</v>
      </c>
      <c r="N67" s="53" t="s">
        <v>293</v>
      </c>
      <c r="O67" s="53" t="s">
        <v>293</v>
      </c>
      <c r="P67" s="66" t="s">
        <v>293</v>
      </c>
      <c r="Q67" s="395"/>
      <c r="R67" s="54"/>
      <c r="S67" s="70"/>
      <c r="T67" s="361"/>
      <c r="U67" s="105" t="s">
        <v>683</v>
      </c>
    </row>
    <row r="68" spans="2:22" ht="43.8" customHeight="1" x14ac:dyDescent="0.35">
      <c r="B68" s="126"/>
      <c r="C68" s="128" t="s">
        <v>161</v>
      </c>
      <c r="D68" s="95" t="s">
        <v>207</v>
      </c>
      <c r="E68" s="92">
        <f t="shared" si="0"/>
        <v>65</v>
      </c>
      <c r="F68" s="93"/>
      <c r="G68" s="94" t="s">
        <v>206</v>
      </c>
      <c r="H68" s="81" t="s">
        <v>712</v>
      </c>
      <c r="I68" s="51" t="s">
        <v>293</v>
      </c>
      <c r="J68" s="51" t="s">
        <v>293</v>
      </c>
      <c r="K68" s="81" t="s">
        <v>293</v>
      </c>
      <c r="L68" s="81" t="s">
        <v>712</v>
      </c>
      <c r="M68" s="81" t="s">
        <v>712</v>
      </c>
      <c r="N68" s="51" t="s">
        <v>293</v>
      </c>
      <c r="O68" s="51" t="s">
        <v>293</v>
      </c>
      <c r="P68" s="65" t="s">
        <v>293</v>
      </c>
      <c r="Q68" s="67"/>
      <c r="R68" s="52"/>
      <c r="S68" s="69"/>
      <c r="T68" s="71"/>
      <c r="U68" s="104"/>
    </row>
    <row r="69" spans="2:22" ht="43.8" customHeight="1" x14ac:dyDescent="0.35">
      <c r="B69" s="126"/>
      <c r="C69" s="127"/>
      <c r="D69" s="95" t="s">
        <v>208</v>
      </c>
      <c r="E69" s="92">
        <f t="shared" si="0"/>
        <v>66</v>
      </c>
      <c r="F69" s="93"/>
      <c r="G69" s="94" t="s">
        <v>246</v>
      </c>
      <c r="H69" s="81" t="s">
        <v>712</v>
      </c>
      <c r="I69" s="51" t="s">
        <v>293</v>
      </c>
      <c r="J69" s="51" t="s">
        <v>293</v>
      </c>
      <c r="K69" s="81" t="s">
        <v>293</v>
      </c>
      <c r="L69" s="81" t="s">
        <v>712</v>
      </c>
      <c r="M69" s="81" t="s">
        <v>712</v>
      </c>
      <c r="N69" s="51" t="s">
        <v>293</v>
      </c>
      <c r="O69" s="51" t="s">
        <v>293</v>
      </c>
      <c r="P69" s="65" t="s">
        <v>293</v>
      </c>
      <c r="Q69" s="67"/>
      <c r="R69" s="52"/>
      <c r="S69" s="69"/>
      <c r="T69" s="71"/>
      <c r="U69" s="103"/>
    </row>
    <row r="70" spans="2:22" ht="43.8" customHeight="1" x14ac:dyDescent="0.35">
      <c r="B70" s="126"/>
      <c r="C70" s="127"/>
      <c r="D70" s="95" t="s">
        <v>344</v>
      </c>
      <c r="E70" s="92">
        <f t="shared" si="0"/>
        <v>67</v>
      </c>
      <c r="F70" s="93"/>
      <c r="G70" s="94" t="s">
        <v>368</v>
      </c>
      <c r="H70" s="81" t="s">
        <v>712</v>
      </c>
      <c r="I70" s="51" t="s">
        <v>293</v>
      </c>
      <c r="J70" s="51" t="s">
        <v>293</v>
      </c>
      <c r="K70" s="81" t="s">
        <v>293</v>
      </c>
      <c r="L70" s="81" t="s">
        <v>712</v>
      </c>
      <c r="M70" s="81" t="s">
        <v>712</v>
      </c>
      <c r="N70" s="51" t="s">
        <v>293</v>
      </c>
      <c r="O70" s="51" t="s">
        <v>293</v>
      </c>
      <c r="P70" s="65" t="s">
        <v>293</v>
      </c>
      <c r="Q70" s="67"/>
      <c r="R70" s="52"/>
      <c r="S70" s="69"/>
      <c r="T70" s="71"/>
      <c r="U70" s="103"/>
    </row>
    <row r="71" spans="2:22" ht="43.8" customHeight="1" x14ac:dyDescent="0.35">
      <c r="B71" s="126"/>
      <c r="C71" s="127"/>
      <c r="D71" s="91" t="s">
        <v>162</v>
      </c>
      <c r="E71" s="92">
        <f t="shared" si="0"/>
        <v>68</v>
      </c>
      <c r="F71" s="93"/>
      <c r="G71" s="94" t="s">
        <v>164</v>
      </c>
      <c r="H71" s="81" t="s">
        <v>712</v>
      </c>
      <c r="I71" s="51" t="s">
        <v>293</v>
      </c>
      <c r="J71" s="51" t="s">
        <v>293</v>
      </c>
      <c r="K71" s="81" t="s">
        <v>293</v>
      </c>
      <c r="L71" s="81" t="s">
        <v>712</v>
      </c>
      <c r="M71" s="81" t="s">
        <v>712</v>
      </c>
      <c r="N71" s="51" t="s">
        <v>293</v>
      </c>
      <c r="O71" s="51" t="s">
        <v>293</v>
      </c>
      <c r="P71" s="65" t="s">
        <v>293</v>
      </c>
      <c r="Q71" s="67"/>
      <c r="R71" s="52"/>
      <c r="S71" s="69"/>
      <c r="T71" s="71"/>
      <c r="U71" s="103"/>
    </row>
    <row r="72" spans="2:22" ht="52.2" customHeight="1" x14ac:dyDescent="0.35">
      <c r="B72" s="126"/>
      <c r="C72" s="127"/>
      <c r="D72" s="96" t="s">
        <v>163</v>
      </c>
      <c r="E72" s="97">
        <f t="shared" si="0"/>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91" t="s">
        <v>171</v>
      </c>
      <c r="E73" s="92">
        <f t="shared" si="0"/>
        <v>70</v>
      </c>
      <c r="F73" s="93"/>
      <c r="G73" s="94" t="s">
        <v>184</v>
      </c>
      <c r="H73" s="81" t="s">
        <v>712</v>
      </c>
      <c r="I73" s="51" t="s">
        <v>293</v>
      </c>
      <c r="J73" s="51" t="s">
        <v>293</v>
      </c>
      <c r="K73" s="81"/>
      <c r="L73" s="81" t="s">
        <v>712</v>
      </c>
      <c r="M73" s="51" t="s">
        <v>293</v>
      </c>
      <c r="N73" s="51" t="s">
        <v>293</v>
      </c>
      <c r="O73" s="51" t="s">
        <v>293</v>
      </c>
      <c r="P73" s="65" t="s">
        <v>293</v>
      </c>
      <c r="Q73" s="67"/>
      <c r="R73" s="52"/>
      <c r="S73" s="69"/>
      <c r="T73" s="71"/>
      <c r="U73" s="103"/>
    </row>
    <row r="74" spans="2:22" ht="28.2" customHeight="1" x14ac:dyDescent="0.35">
      <c r="B74" s="126"/>
      <c r="C74" s="128" t="s">
        <v>366</v>
      </c>
      <c r="D74" s="91" t="s">
        <v>172</v>
      </c>
      <c r="E74" s="92">
        <f t="shared" si="0"/>
        <v>71</v>
      </c>
      <c r="F74" s="93"/>
      <c r="G74" s="94" t="s">
        <v>185</v>
      </c>
      <c r="H74" s="81" t="s">
        <v>712</v>
      </c>
      <c r="I74" s="51" t="s">
        <v>293</v>
      </c>
      <c r="J74" s="51" t="s">
        <v>293</v>
      </c>
      <c r="K74" s="81" t="s">
        <v>712</v>
      </c>
      <c r="L74" s="51" t="s">
        <v>293</v>
      </c>
      <c r="M74" s="51" t="s">
        <v>293</v>
      </c>
      <c r="N74" s="51" t="s">
        <v>293</v>
      </c>
      <c r="O74" s="51" t="s">
        <v>293</v>
      </c>
      <c r="P74" s="65" t="s">
        <v>293</v>
      </c>
      <c r="Q74" s="67"/>
      <c r="R74" s="52"/>
      <c r="S74" s="69"/>
      <c r="T74" s="71"/>
      <c r="U74" s="103"/>
    </row>
    <row r="75" spans="2:22" ht="28.2" customHeight="1" x14ac:dyDescent="0.35">
      <c r="B75" s="126"/>
      <c r="C75" s="127"/>
      <c r="D75" s="91" t="s">
        <v>173</v>
      </c>
      <c r="E75" s="92">
        <f t="shared" si="0"/>
        <v>72</v>
      </c>
      <c r="F75" s="93" t="s">
        <v>249</v>
      </c>
      <c r="G75" s="94" t="s">
        <v>185</v>
      </c>
      <c r="H75" s="81" t="s">
        <v>712</v>
      </c>
      <c r="I75" s="51" t="s">
        <v>293</v>
      </c>
      <c r="J75" s="51" t="s">
        <v>293</v>
      </c>
      <c r="K75" s="81" t="s">
        <v>712</v>
      </c>
      <c r="L75" s="51" t="s">
        <v>293</v>
      </c>
      <c r="M75" s="51" t="s">
        <v>293</v>
      </c>
      <c r="N75" s="51" t="s">
        <v>293</v>
      </c>
      <c r="O75" s="51" t="s">
        <v>293</v>
      </c>
      <c r="P75" s="65" t="s">
        <v>293</v>
      </c>
      <c r="Q75" s="67"/>
      <c r="R75" s="52"/>
      <c r="S75" s="69"/>
      <c r="T75" s="71"/>
      <c r="U75" s="104"/>
    </row>
    <row r="76" spans="2:22" ht="28.2" customHeight="1" x14ac:dyDescent="0.35">
      <c r="B76" s="126"/>
      <c r="C76" s="127"/>
      <c r="D76" s="91" t="s">
        <v>174</v>
      </c>
      <c r="E76" s="92">
        <f t="shared" si="0"/>
        <v>73</v>
      </c>
      <c r="F76" s="93" t="s">
        <v>250</v>
      </c>
      <c r="G76" s="94" t="s">
        <v>185</v>
      </c>
      <c r="H76" s="81" t="s">
        <v>712</v>
      </c>
      <c r="I76" s="51" t="s">
        <v>293</v>
      </c>
      <c r="J76" s="51" t="s">
        <v>293</v>
      </c>
      <c r="K76" s="81" t="s">
        <v>712</v>
      </c>
      <c r="L76" s="51" t="s">
        <v>293</v>
      </c>
      <c r="M76" s="51" t="s">
        <v>293</v>
      </c>
      <c r="N76" s="51" t="s">
        <v>293</v>
      </c>
      <c r="O76" s="51" t="s">
        <v>293</v>
      </c>
      <c r="P76" s="65" t="s">
        <v>293</v>
      </c>
      <c r="Q76" s="67"/>
      <c r="R76" s="52"/>
      <c r="S76" s="69"/>
      <c r="T76" s="71"/>
      <c r="U76" s="104"/>
    </row>
    <row r="77" spans="2:22" ht="28.2" customHeight="1" x14ac:dyDescent="0.35">
      <c r="B77" s="126"/>
      <c r="C77" s="127"/>
      <c r="D77" s="91" t="s">
        <v>175</v>
      </c>
      <c r="E77" s="92">
        <f t="shared" si="0"/>
        <v>74</v>
      </c>
      <c r="F77" s="93" t="s">
        <v>251</v>
      </c>
      <c r="G77" s="94" t="s">
        <v>118</v>
      </c>
      <c r="H77" s="81" t="s">
        <v>712</v>
      </c>
      <c r="I77" s="51" t="s">
        <v>293</v>
      </c>
      <c r="J77" s="51" t="s">
        <v>293</v>
      </c>
      <c r="K77" s="81" t="s">
        <v>712</v>
      </c>
      <c r="L77" s="51" t="s">
        <v>293</v>
      </c>
      <c r="M77" s="51" t="s">
        <v>293</v>
      </c>
      <c r="N77" s="51" t="s">
        <v>293</v>
      </c>
      <c r="O77" s="51" t="s">
        <v>293</v>
      </c>
      <c r="P77" s="65" t="s">
        <v>293</v>
      </c>
      <c r="Q77" s="67"/>
      <c r="R77" s="52"/>
      <c r="S77" s="69"/>
      <c r="T77" s="71"/>
      <c r="U77" s="103"/>
    </row>
    <row r="78" spans="2:22" ht="28.2" customHeight="1" x14ac:dyDescent="0.35">
      <c r="B78" s="126"/>
      <c r="C78" s="127"/>
      <c r="D78" s="91" t="s">
        <v>176</v>
      </c>
      <c r="E78" s="92">
        <f t="shared" si="0"/>
        <v>75</v>
      </c>
      <c r="F78" s="93" t="s">
        <v>252</v>
      </c>
      <c r="G78" s="94" t="s">
        <v>185</v>
      </c>
      <c r="H78" s="81" t="s">
        <v>712</v>
      </c>
      <c r="I78" s="51" t="s">
        <v>293</v>
      </c>
      <c r="J78" s="51" t="s">
        <v>293</v>
      </c>
      <c r="K78" s="81" t="s">
        <v>712</v>
      </c>
      <c r="L78" s="51" t="s">
        <v>293</v>
      </c>
      <c r="M78" s="51" t="s">
        <v>293</v>
      </c>
      <c r="N78" s="51" t="s">
        <v>293</v>
      </c>
      <c r="O78" s="51" t="s">
        <v>293</v>
      </c>
      <c r="P78" s="65" t="s">
        <v>293</v>
      </c>
      <c r="Q78" s="67"/>
      <c r="R78" s="52"/>
      <c r="S78" s="69"/>
      <c r="T78" s="71"/>
      <c r="U78" s="103"/>
    </row>
    <row r="79" spans="2:22" ht="28.2" customHeight="1" x14ac:dyDescent="0.35">
      <c r="B79" s="126"/>
      <c r="C79" s="127"/>
      <c r="D79" s="91" t="s">
        <v>177</v>
      </c>
      <c r="E79" s="92">
        <f t="shared" si="0"/>
        <v>76</v>
      </c>
      <c r="F79" s="93" t="s">
        <v>253</v>
      </c>
      <c r="G79" s="94" t="s">
        <v>185</v>
      </c>
      <c r="H79" s="81" t="s">
        <v>712</v>
      </c>
      <c r="I79" s="51" t="s">
        <v>293</v>
      </c>
      <c r="J79" s="51" t="s">
        <v>293</v>
      </c>
      <c r="K79" s="51" t="s">
        <v>293</v>
      </c>
      <c r="L79" s="81" t="s">
        <v>712</v>
      </c>
      <c r="M79" s="51" t="s">
        <v>293</v>
      </c>
      <c r="N79" s="51" t="s">
        <v>293</v>
      </c>
      <c r="O79" s="51" t="s">
        <v>293</v>
      </c>
      <c r="P79" s="65" t="s">
        <v>293</v>
      </c>
      <c r="Q79" s="67"/>
      <c r="R79" s="52"/>
      <c r="S79" s="69"/>
      <c r="T79" s="71"/>
      <c r="U79" s="103"/>
    </row>
    <row r="80" spans="2:22" ht="28.2" customHeight="1" x14ac:dyDescent="0.35">
      <c r="B80" s="126"/>
      <c r="C80" s="127"/>
      <c r="D80" s="91" t="s">
        <v>178</v>
      </c>
      <c r="E80" s="92">
        <f t="shared" si="0"/>
        <v>77</v>
      </c>
      <c r="F80" s="93" t="s">
        <v>254</v>
      </c>
      <c r="G80" s="94" t="s">
        <v>185</v>
      </c>
      <c r="H80" s="81" t="s">
        <v>712</v>
      </c>
      <c r="I80" s="51" t="s">
        <v>293</v>
      </c>
      <c r="J80" s="51" t="s">
        <v>293</v>
      </c>
      <c r="K80" s="51" t="s">
        <v>293</v>
      </c>
      <c r="L80" s="81" t="s">
        <v>712</v>
      </c>
      <c r="M80" s="51" t="s">
        <v>293</v>
      </c>
      <c r="N80" s="51" t="s">
        <v>293</v>
      </c>
      <c r="O80" s="51" t="s">
        <v>293</v>
      </c>
      <c r="P80" s="65" t="s">
        <v>293</v>
      </c>
      <c r="Q80" s="67"/>
      <c r="R80" s="52"/>
      <c r="S80" s="69"/>
      <c r="T80" s="71"/>
      <c r="U80" s="103"/>
      <c r="V80" s="130"/>
    </row>
    <row r="81" spans="1:22" ht="28.2" customHeight="1" x14ac:dyDescent="0.35">
      <c r="B81" s="126"/>
      <c r="C81" s="128" t="s">
        <v>367</v>
      </c>
      <c r="D81" s="91" t="s">
        <v>172</v>
      </c>
      <c r="E81" s="92">
        <f t="shared" si="0"/>
        <v>78</v>
      </c>
      <c r="F81" s="93" t="s">
        <v>255</v>
      </c>
      <c r="G81" s="94" t="s">
        <v>185</v>
      </c>
      <c r="H81" s="81" t="s">
        <v>712</v>
      </c>
      <c r="I81" s="51" t="s">
        <v>293</v>
      </c>
      <c r="J81" s="51" t="s">
        <v>293</v>
      </c>
      <c r="K81" s="81" t="s">
        <v>712</v>
      </c>
      <c r="L81" s="51" t="s">
        <v>293</v>
      </c>
      <c r="M81" s="51" t="s">
        <v>293</v>
      </c>
      <c r="N81" s="51" t="s">
        <v>293</v>
      </c>
      <c r="O81" s="51" t="s">
        <v>293</v>
      </c>
      <c r="P81" s="65" t="s">
        <v>293</v>
      </c>
      <c r="Q81" s="67"/>
      <c r="R81" s="52"/>
      <c r="S81" s="69"/>
      <c r="T81" s="71"/>
      <c r="U81" s="103"/>
      <c r="V81" s="130"/>
    </row>
    <row r="82" spans="1:22" ht="28.2" customHeight="1" x14ac:dyDescent="0.35">
      <c r="B82" s="126"/>
      <c r="C82" s="127"/>
      <c r="D82" s="91" t="s">
        <v>179</v>
      </c>
      <c r="E82" s="92">
        <f t="shared" si="0"/>
        <v>79</v>
      </c>
      <c r="F82" s="93" t="s">
        <v>256</v>
      </c>
      <c r="G82" s="94" t="s">
        <v>185</v>
      </c>
      <c r="H82" s="81" t="s">
        <v>712</v>
      </c>
      <c r="I82" s="51" t="s">
        <v>293</v>
      </c>
      <c r="J82" s="51" t="s">
        <v>293</v>
      </c>
      <c r="K82" s="81" t="s">
        <v>712</v>
      </c>
      <c r="L82" s="51" t="s">
        <v>293</v>
      </c>
      <c r="M82" s="51" t="s">
        <v>293</v>
      </c>
      <c r="N82" s="51" t="s">
        <v>293</v>
      </c>
      <c r="O82" s="51" t="s">
        <v>293</v>
      </c>
      <c r="P82" s="65" t="s">
        <v>293</v>
      </c>
      <c r="Q82" s="67"/>
      <c r="R82" s="52"/>
      <c r="S82" s="69"/>
      <c r="T82" s="71"/>
      <c r="U82" s="103"/>
    </row>
    <row r="83" spans="1:22" ht="28.2" customHeight="1" x14ac:dyDescent="0.35">
      <c r="B83" s="126"/>
      <c r="C83" s="127"/>
      <c r="D83" s="91" t="s">
        <v>180</v>
      </c>
      <c r="E83" s="92">
        <f t="shared" si="0"/>
        <v>80</v>
      </c>
      <c r="F83" s="93" t="s">
        <v>257</v>
      </c>
      <c r="G83" s="94" t="s">
        <v>185</v>
      </c>
      <c r="H83" s="81" t="s">
        <v>712</v>
      </c>
      <c r="I83" s="51" t="s">
        <v>293</v>
      </c>
      <c r="J83" s="51" t="s">
        <v>293</v>
      </c>
      <c r="K83" s="51" t="s">
        <v>293</v>
      </c>
      <c r="L83" s="81" t="s">
        <v>712</v>
      </c>
      <c r="M83" s="51" t="s">
        <v>293</v>
      </c>
      <c r="N83" s="51" t="s">
        <v>293</v>
      </c>
      <c r="O83" s="51" t="s">
        <v>293</v>
      </c>
      <c r="P83" s="65" t="s">
        <v>293</v>
      </c>
      <c r="Q83" s="67"/>
      <c r="R83" s="52"/>
      <c r="S83" s="69"/>
      <c r="T83" s="71"/>
      <c r="U83" s="103"/>
    </row>
    <row r="84" spans="1:22" ht="28.2" customHeight="1" x14ac:dyDescent="0.35">
      <c r="B84" s="126"/>
      <c r="C84" s="127"/>
      <c r="D84" s="91" t="s">
        <v>181</v>
      </c>
      <c r="E84" s="92">
        <f t="shared" si="0"/>
        <v>81</v>
      </c>
      <c r="F84" s="93" t="s">
        <v>258</v>
      </c>
      <c r="G84" s="94" t="s">
        <v>185</v>
      </c>
      <c r="H84" s="81" t="s">
        <v>712</v>
      </c>
      <c r="I84" s="51" t="s">
        <v>293</v>
      </c>
      <c r="J84" s="51" t="s">
        <v>293</v>
      </c>
      <c r="K84" s="51" t="s">
        <v>293</v>
      </c>
      <c r="L84" s="81" t="s">
        <v>712</v>
      </c>
      <c r="M84" s="51" t="s">
        <v>293</v>
      </c>
      <c r="N84" s="51" t="s">
        <v>293</v>
      </c>
      <c r="O84" s="51" t="s">
        <v>293</v>
      </c>
      <c r="P84" s="65" t="s">
        <v>293</v>
      </c>
      <c r="Q84" s="67"/>
      <c r="R84" s="52"/>
      <c r="S84" s="69"/>
      <c r="T84" s="71"/>
      <c r="U84" s="103"/>
    </row>
    <row r="85" spans="1:22" ht="28.2" customHeight="1" x14ac:dyDescent="0.35">
      <c r="B85" s="126"/>
      <c r="C85" s="128" t="s">
        <v>168</v>
      </c>
      <c r="D85" s="91" t="s">
        <v>338</v>
      </c>
      <c r="E85" s="92">
        <f t="shared" si="0"/>
        <v>82</v>
      </c>
      <c r="F85" s="93" t="s">
        <v>259</v>
      </c>
      <c r="G85" s="94" t="s">
        <v>186</v>
      </c>
      <c r="H85" s="81" t="s">
        <v>712</v>
      </c>
      <c r="I85" s="51" t="s">
        <v>293</v>
      </c>
      <c r="J85" s="51" t="s">
        <v>293</v>
      </c>
      <c r="K85" s="81" t="s">
        <v>712</v>
      </c>
      <c r="L85" s="51" t="s">
        <v>293</v>
      </c>
      <c r="M85" s="51" t="s">
        <v>293</v>
      </c>
      <c r="N85" s="51" t="s">
        <v>293</v>
      </c>
      <c r="O85" s="51" t="s">
        <v>293</v>
      </c>
      <c r="P85" s="65" t="s">
        <v>293</v>
      </c>
      <c r="Q85" s="67"/>
      <c r="R85" s="52"/>
      <c r="S85" s="69"/>
      <c r="T85" s="71"/>
      <c r="U85" s="104"/>
    </row>
    <row r="86" spans="1:22" ht="28.2" customHeight="1" x14ac:dyDescent="0.35">
      <c r="B86" s="126"/>
      <c r="C86" s="127"/>
      <c r="D86" s="248" t="s">
        <v>337</v>
      </c>
      <c r="E86" s="92">
        <f t="shared" si="0"/>
        <v>83</v>
      </c>
      <c r="F86" s="93" t="s">
        <v>260</v>
      </c>
      <c r="G86" s="94" t="s">
        <v>209</v>
      </c>
      <c r="H86" s="81" t="s">
        <v>712</v>
      </c>
      <c r="I86" s="51" t="s">
        <v>293</v>
      </c>
      <c r="J86" s="51" t="s">
        <v>293</v>
      </c>
      <c r="K86" s="51" t="s">
        <v>293</v>
      </c>
      <c r="L86" s="81" t="s">
        <v>712</v>
      </c>
      <c r="M86" s="81" t="s">
        <v>712</v>
      </c>
      <c r="N86" s="51" t="s">
        <v>293</v>
      </c>
      <c r="O86" s="51" t="s">
        <v>293</v>
      </c>
      <c r="P86" s="65" t="s">
        <v>293</v>
      </c>
      <c r="Q86" s="67"/>
      <c r="R86" s="52"/>
      <c r="S86" s="69"/>
      <c r="T86" s="71"/>
      <c r="U86" s="104"/>
      <c r="V86" s="130"/>
    </row>
    <row r="87" spans="1:22" ht="28.2" customHeight="1" x14ac:dyDescent="0.35">
      <c r="B87" s="126"/>
      <c r="C87" s="127"/>
      <c r="D87" s="250"/>
      <c r="E87" s="92">
        <f t="shared" si="0"/>
        <v>84</v>
      </c>
      <c r="F87" s="93" t="s">
        <v>259</v>
      </c>
      <c r="G87" s="94" t="s">
        <v>210</v>
      </c>
      <c r="H87" s="81" t="s">
        <v>712</v>
      </c>
      <c r="I87" s="51" t="s">
        <v>293</v>
      </c>
      <c r="J87" s="51" t="s">
        <v>293</v>
      </c>
      <c r="K87" s="51" t="s">
        <v>293</v>
      </c>
      <c r="L87" s="81" t="s">
        <v>712</v>
      </c>
      <c r="M87" s="81" t="s">
        <v>712</v>
      </c>
      <c r="N87" s="51" t="s">
        <v>293</v>
      </c>
      <c r="O87" s="51" t="s">
        <v>293</v>
      </c>
      <c r="P87" s="65" t="s">
        <v>293</v>
      </c>
      <c r="Q87" s="67"/>
      <c r="R87" s="52"/>
      <c r="S87" s="69"/>
      <c r="T87" s="71"/>
      <c r="U87" s="104"/>
      <c r="V87" s="130"/>
    </row>
    <row r="88" spans="1:22" ht="28.2" customHeight="1" x14ac:dyDescent="0.35">
      <c r="B88" s="126"/>
      <c r="C88" s="128" t="s">
        <v>170</v>
      </c>
      <c r="D88" s="91" t="s">
        <v>170</v>
      </c>
      <c r="E88" s="92">
        <f t="shared" si="0"/>
        <v>85</v>
      </c>
      <c r="F88" s="93" t="s">
        <v>261</v>
      </c>
      <c r="G88" s="94" t="s">
        <v>187</v>
      </c>
      <c r="H88" s="81" t="s">
        <v>712</v>
      </c>
      <c r="I88" s="51" t="s">
        <v>293</v>
      </c>
      <c r="J88" s="51" t="s">
        <v>293</v>
      </c>
      <c r="K88" s="81" t="s">
        <v>712</v>
      </c>
      <c r="L88" s="51" t="s">
        <v>293</v>
      </c>
      <c r="M88" s="51" t="s">
        <v>293</v>
      </c>
      <c r="N88" s="51" t="s">
        <v>293</v>
      </c>
      <c r="O88" s="51" t="s">
        <v>293</v>
      </c>
      <c r="P88" s="65" t="s">
        <v>293</v>
      </c>
      <c r="Q88" s="67"/>
      <c r="R88" s="52"/>
      <c r="S88" s="69"/>
      <c r="T88" s="71"/>
      <c r="U88" s="103"/>
    </row>
    <row r="89" spans="1:22" ht="28.2" customHeight="1" x14ac:dyDescent="0.35">
      <c r="B89" s="126"/>
      <c r="C89" s="127"/>
      <c r="D89" s="91" t="s">
        <v>182</v>
      </c>
      <c r="E89" s="92">
        <f t="shared" si="0"/>
        <v>86</v>
      </c>
      <c r="F89" s="93" t="s">
        <v>262</v>
      </c>
      <c r="G89" s="94" t="s">
        <v>187</v>
      </c>
      <c r="H89" s="81" t="s">
        <v>712</v>
      </c>
      <c r="I89" s="51" t="s">
        <v>293</v>
      </c>
      <c r="J89" s="51" t="s">
        <v>293</v>
      </c>
      <c r="K89" s="51" t="s">
        <v>293</v>
      </c>
      <c r="L89" s="81" t="s">
        <v>712</v>
      </c>
      <c r="M89" s="51" t="s">
        <v>293</v>
      </c>
      <c r="N89" s="51" t="s">
        <v>293</v>
      </c>
      <c r="O89" s="51" t="s">
        <v>293</v>
      </c>
      <c r="P89" s="65" t="s">
        <v>293</v>
      </c>
      <c r="Q89" s="67"/>
      <c r="R89" s="52"/>
      <c r="S89" s="69"/>
      <c r="T89" s="71"/>
      <c r="U89" s="103"/>
    </row>
    <row r="90" spans="1:22" ht="28.2" customHeight="1" x14ac:dyDescent="0.35">
      <c r="B90" s="129" t="s">
        <v>263</v>
      </c>
      <c r="C90" s="128" t="s">
        <v>188</v>
      </c>
      <c r="D90" s="91" t="s">
        <v>194</v>
      </c>
      <c r="E90" s="92">
        <f t="shared" si="0"/>
        <v>87</v>
      </c>
      <c r="F90" s="93"/>
      <c r="G90" s="94" t="s">
        <v>196</v>
      </c>
      <c r="H90" s="81" t="s">
        <v>799</v>
      </c>
      <c r="I90" s="51" t="s">
        <v>293</v>
      </c>
      <c r="J90" s="51" t="s">
        <v>293</v>
      </c>
      <c r="K90" s="81" t="s">
        <v>799</v>
      </c>
      <c r="L90" s="81" t="s">
        <v>799</v>
      </c>
      <c r="M90" s="51" t="s">
        <v>293</v>
      </c>
      <c r="N90" s="51" t="s">
        <v>293</v>
      </c>
      <c r="O90" s="51" t="s">
        <v>293</v>
      </c>
      <c r="P90" s="65" t="s">
        <v>293</v>
      </c>
      <c r="Q90" s="67">
        <v>45686</v>
      </c>
      <c r="R90" s="52"/>
      <c r="S90" s="69"/>
      <c r="T90" s="71"/>
      <c r="U90" s="103" t="s">
        <v>843</v>
      </c>
    </row>
    <row r="91" spans="1:22" ht="71.400000000000006" customHeight="1" x14ac:dyDescent="0.35">
      <c r="B91" s="126"/>
      <c r="C91" s="127"/>
      <c r="D91" s="91" t="s">
        <v>195</v>
      </c>
      <c r="E91" s="92">
        <f t="shared" si="0"/>
        <v>88</v>
      </c>
      <c r="F91" s="93"/>
      <c r="G91" s="485" t="s">
        <v>273</v>
      </c>
      <c r="H91" s="81" t="s">
        <v>712</v>
      </c>
      <c r="I91" s="51" t="s">
        <v>293</v>
      </c>
      <c r="J91" s="51" t="s">
        <v>293</v>
      </c>
      <c r="K91" s="51" t="s">
        <v>293</v>
      </c>
      <c r="L91" s="51" t="s">
        <v>293</v>
      </c>
      <c r="M91" s="51" t="s">
        <v>293</v>
      </c>
      <c r="N91" s="51" t="s">
        <v>293</v>
      </c>
      <c r="O91" s="51" t="s">
        <v>293</v>
      </c>
      <c r="P91" s="65" t="s">
        <v>293</v>
      </c>
      <c r="Q91" s="67"/>
      <c r="R91" s="52"/>
      <c r="S91" s="69"/>
      <c r="T91" s="71"/>
      <c r="U91" s="103" t="s">
        <v>725</v>
      </c>
    </row>
    <row r="92" spans="1:22" ht="28.2" customHeight="1" x14ac:dyDescent="0.35">
      <c r="B92" s="126"/>
      <c r="C92" s="128" t="s">
        <v>166</v>
      </c>
      <c r="D92" s="91" t="s">
        <v>171</v>
      </c>
      <c r="E92" s="92">
        <f t="shared" si="0"/>
        <v>89</v>
      </c>
      <c r="F92" s="93"/>
      <c r="G92" s="94" t="s">
        <v>183</v>
      </c>
      <c r="H92" s="81" t="s">
        <v>712</v>
      </c>
      <c r="I92" s="51" t="s">
        <v>293</v>
      </c>
      <c r="J92" s="51" t="s">
        <v>293</v>
      </c>
      <c r="K92" s="81" t="s">
        <v>712</v>
      </c>
      <c r="L92" s="81" t="s">
        <v>712</v>
      </c>
      <c r="M92" s="81" t="s">
        <v>712</v>
      </c>
      <c r="N92" s="51" t="s">
        <v>293</v>
      </c>
      <c r="O92" s="51" t="s">
        <v>293</v>
      </c>
      <c r="P92" s="65" t="s">
        <v>293</v>
      </c>
      <c r="Q92" s="67"/>
      <c r="R92" s="52"/>
      <c r="S92" s="69"/>
      <c r="T92" s="71"/>
      <c r="U92" s="103"/>
    </row>
    <row r="93" spans="1:22" ht="28.2" customHeight="1" x14ac:dyDescent="0.35">
      <c r="B93" s="126"/>
      <c r="C93" s="96" t="s">
        <v>110</v>
      </c>
      <c r="D93" s="96" t="s">
        <v>110</v>
      </c>
      <c r="E93" s="97">
        <f t="shared" si="0"/>
        <v>90</v>
      </c>
      <c r="F93" s="98"/>
      <c r="G93" s="99" t="s">
        <v>118</v>
      </c>
      <c r="H93" s="82" t="s">
        <v>293</v>
      </c>
      <c r="I93" s="53" t="s">
        <v>293</v>
      </c>
      <c r="J93" s="53" t="s">
        <v>293</v>
      </c>
      <c r="K93" s="82" t="s">
        <v>293</v>
      </c>
      <c r="L93" s="82" t="s">
        <v>293</v>
      </c>
      <c r="M93" s="82" t="s">
        <v>293</v>
      </c>
      <c r="N93" s="53" t="s">
        <v>293</v>
      </c>
      <c r="O93" s="53" t="s">
        <v>293</v>
      </c>
      <c r="P93" s="66" t="s">
        <v>293</v>
      </c>
      <c r="Q93" s="68"/>
      <c r="R93" s="54"/>
      <c r="S93" s="70"/>
      <c r="T93" s="72"/>
      <c r="U93" s="392" t="s">
        <v>784</v>
      </c>
      <c r="V93" s="130"/>
    </row>
    <row r="94" spans="1:22" ht="28.2" customHeight="1" x14ac:dyDescent="0.35">
      <c r="B94" s="126"/>
      <c r="C94" s="347" t="s">
        <v>169</v>
      </c>
      <c r="D94" s="96" t="s">
        <v>169</v>
      </c>
      <c r="E94" s="97">
        <f t="shared" ref="E94:E106" si="1">ROW()-3</f>
        <v>91</v>
      </c>
      <c r="F94" s="98"/>
      <c r="G94" s="99" t="s">
        <v>118</v>
      </c>
      <c r="H94" s="82" t="s">
        <v>293</v>
      </c>
      <c r="I94" s="53" t="s">
        <v>293</v>
      </c>
      <c r="J94" s="53" t="s">
        <v>293</v>
      </c>
      <c r="K94" s="82" t="s">
        <v>293</v>
      </c>
      <c r="L94" s="82" t="s">
        <v>293</v>
      </c>
      <c r="M94" s="82" t="s">
        <v>293</v>
      </c>
      <c r="N94" s="53" t="s">
        <v>293</v>
      </c>
      <c r="O94" s="53" t="s">
        <v>293</v>
      </c>
      <c r="P94" s="66" t="s">
        <v>293</v>
      </c>
      <c r="Q94" s="68"/>
      <c r="R94" s="54"/>
      <c r="S94" s="70"/>
      <c r="T94" s="72"/>
      <c r="U94" s="392" t="s">
        <v>784</v>
      </c>
    </row>
    <row r="95" spans="1:22" s="412" customFormat="1" ht="28.2" customHeight="1" x14ac:dyDescent="0.35">
      <c r="A95" s="121"/>
      <c r="B95" s="126"/>
      <c r="C95" s="128" t="s">
        <v>332</v>
      </c>
      <c r="D95" s="248" t="s">
        <v>333</v>
      </c>
      <c r="E95" s="97">
        <f t="shared" si="1"/>
        <v>92</v>
      </c>
      <c r="F95" s="98"/>
      <c r="G95" s="99" t="s">
        <v>340</v>
      </c>
      <c r="H95" s="82" t="s">
        <v>676</v>
      </c>
      <c r="I95" s="53" t="s">
        <v>676</v>
      </c>
      <c r="J95" s="53" t="s">
        <v>293</v>
      </c>
      <c r="K95" s="53" t="s">
        <v>293</v>
      </c>
      <c r="L95" s="53" t="s">
        <v>293</v>
      </c>
      <c r="M95" s="53" t="s">
        <v>293</v>
      </c>
      <c r="N95" s="53" t="s">
        <v>293</v>
      </c>
      <c r="O95" s="53" t="s">
        <v>293</v>
      </c>
      <c r="P95" s="66" t="s">
        <v>293</v>
      </c>
      <c r="Q95" s="68"/>
      <c r="R95" s="54"/>
      <c r="S95" s="70"/>
      <c r="T95" s="72"/>
      <c r="U95" s="105" t="s">
        <v>677</v>
      </c>
    </row>
    <row r="96" spans="1:22" ht="28.2" customHeight="1" x14ac:dyDescent="0.35">
      <c r="B96" s="126"/>
      <c r="C96" s="127"/>
      <c r="D96" s="249"/>
      <c r="E96" s="92">
        <f t="shared" si="1"/>
        <v>93</v>
      </c>
      <c r="F96" s="93"/>
      <c r="G96" s="94" t="s">
        <v>341</v>
      </c>
      <c r="H96" s="81" t="s">
        <v>712</v>
      </c>
      <c r="I96" s="51" t="s">
        <v>293</v>
      </c>
      <c r="J96" s="51" t="s">
        <v>293</v>
      </c>
      <c r="K96" s="81" t="s">
        <v>712</v>
      </c>
      <c r="L96" s="81" t="s">
        <v>712</v>
      </c>
      <c r="M96" s="81" t="s">
        <v>712</v>
      </c>
      <c r="N96" s="51" t="s">
        <v>293</v>
      </c>
      <c r="O96" s="51" t="s">
        <v>293</v>
      </c>
      <c r="P96" s="65" t="s">
        <v>293</v>
      </c>
      <c r="Q96" s="67"/>
      <c r="R96" s="52"/>
      <c r="S96" s="69"/>
      <c r="T96" s="71"/>
      <c r="U96" s="103"/>
    </row>
    <row r="97" spans="1:21" s="412" customFormat="1" ht="64.8" customHeight="1" x14ac:dyDescent="0.35">
      <c r="A97" s="121"/>
      <c r="B97" s="126"/>
      <c r="C97" s="127"/>
      <c r="D97" s="249"/>
      <c r="E97" s="97">
        <f t="shared" si="1"/>
        <v>94</v>
      </c>
      <c r="F97" s="98"/>
      <c r="G97" s="99" t="s">
        <v>345</v>
      </c>
      <c r="H97" s="82" t="s">
        <v>676</v>
      </c>
      <c r="I97" s="53" t="s">
        <v>676</v>
      </c>
      <c r="J97" s="53" t="s">
        <v>293</v>
      </c>
      <c r="K97" s="53" t="s">
        <v>293</v>
      </c>
      <c r="L97" s="53" t="s">
        <v>293</v>
      </c>
      <c r="M97" s="53" t="s">
        <v>293</v>
      </c>
      <c r="N97" s="53" t="s">
        <v>293</v>
      </c>
      <c r="O97" s="53" t="s">
        <v>293</v>
      </c>
      <c r="P97" s="66" t="s">
        <v>293</v>
      </c>
      <c r="Q97" s="68"/>
      <c r="R97" s="54"/>
      <c r="S97" s="70"/>
      <c r="T97" s="72"/>
      <c r="U97" s="105" t="s">
        <v>677</v>
      </c>
    </row>
    <row r="98" spans="1:21" s="412" customFormat="1" ht="64.8" customHeight="1" x14ac:dyDescent="0.35">
      <c r="A98" s="121"/>
      <c r="B98" s="126"/>
      <c r="C98" s="127"/>
      <c r="D98" s="249"/>
      <c r="E98" s="97">
        <f t="shared" si="1"/>
        <v>95</v>
      </c>
      <c r="F98" s="98"/>
      <c r="G98" s="99" t="s">
        <v>346</v>
      </c>
      <c r="H98" s="82" t="s">
        <v>676</v>
      </c>
      <c r="I98" s="53" t="s">
        <v>676</v>
      </c>
      <c r="J98" s="53" t="s">
        <v>293</v>
      </c>
      <c r="K98" s="53" t="s">
        <v>293</v>
      </c>
      <c r="L98" s="53" t="s">
        <v>293</v>
      </c>
      <c r="M98" s="53" t="s">
        <v>293</v>
      </c>
      <c r="N98" s="53" t="s">
        <v>293</v>
      </c>
      <c r="O98" s="53" t="s">
        <v>293</v>
      </c>
      <c r="P98" s="66" t="s">
        <v>293</v>
      </c>
      <c r="Q98" s="68"/>
      <c r="R98" s="54"/>
      <c r="S98" s="70"/>
      <c r="T98" s="72"/>
      <c r="U98" s="105" t="s">
        <v>677</v>
      </c>
    </row>
    <row r="99" spans="1:21" ht="28.2" customHeight="1" x14ac:dyDescent="0.35">
      <c r="B99" s="126"/>
      <c r="C99" s="128" t="s">
        <v>189</v>
      </c>
      <c r="D99" s="91" t="s">
        <v>338</v>
      </c>
      <c r="E99" s="92">
        <f t="shared" si="1"/>
        <v>96</v>
      </c>
      <c r="F99" s="93"/>
      <c r="G99" s="94" t="s">
        <v>196</v>
      </c>
      <c r="H99" s="81" t="s">
        <v>712</v>
      </c>
      <c r="I99" s="51" t="s">
        <v>293</v>
      </c>
      <c r="J99" s="51" t="s">
        <v>293</v>
      </c>
      <c r="K99" s="81" t="s">
        <v>293</v>
      </c>
      <c r="L99" s="51" t="s">
        <v>293</v>
      </c>
      <c r="M99" s="51" t="s">
        <v>293</v>
      </c>
      <c r="N99" s="51" t="s">
        <v>293</v>
      </c>
      <c r="O99" s="51" t="s">
        <v>293</v>
      </c>
      <c r="P99" s="65" t="s">
        <v>293</v>
      </c>
      <c r="Q99" s="67"/>
      <c r="R99" s="52"/>
      <c r="S99" s="69"/>
      <c r="T99" s="71"/>
      <c r="U99" s="103"/>
    </row>
    <row r="100" spans="1:21" ht="28.2" customHeight="1" x14ac:dyDescent="0.35">
      <c r="B100" s="126"/>
      <c r="C100" s="128" t="s">
        <v>190</v>
      </c>
      <c r="D100" s="91" t="s">
        <v>338</v>
      </c>
      <c r="E100" s="92">
        <f t="shared" si="1"/>
        <v>97</v>
      </c>
      <c r="F100" s="93"/>
      <c r="G100" s="94" t="s">
        <v>196</v>
      </c>
      <c r="H100" s="81" t="s">
        <v>712</v>
      </c>
      <c r="I100" s="51" t="s">
        <v>293</v>
      </c>
      <c r="J100" s="51" t="s">
        <v>293</v>
      </c>
      <c r="K100" s="81" t="s">
        <v>293</v>
      </c>
      <c r="L100" s="51" t="s">
        <v>293</v>
      </c>
      <c r="M100" s="51" t="s">
        <v>293</v>
      </c>
      <c r="N100" s="51" t="s">
        <v>293</v>
      </c>
      <c r="O100" s="51" t="s">
        <v>293</v>
      </c>
      <c r="P100" s="65" t="s">
        <v>293</v>
      </c>
      <c r="Q100" s="67"/>
      <c r="R100" s="52"/>
      <c r="S100" s="69"/>
      <c r="T100" s="71"/>
      <c r="U100" s="103" t="s">
        <v>225</v>
      </c>
    </row>
    <row r="101" spans="1:21" ht="28.2" customHeight="1" x14ac:dyDescent="0.35">
      <c r="B101" s="126"/>
      <c r="C101" s="128" t="s">
        <v>191</v>
      </c>
      <c r="D101" s="91" t="s">
        <v>338</v>
      </c>
      <c r="E101" s="92">
        <f t="shared" si="1"/>
        <v>98</v>
      </c>
      <c r="F101" s="93"/>
      <c r="G101" s="94" t="s">
        <v>196</v>
      </c>
      <c r="H101" s="81" t="s">
        <v>712</v>
      </c>
      <c r="I101" s="51" t="s">
        <v>293</v>
      </c>
      <c r="J101" s="51" t="s">
        <v>293</v>
      </c>
      <c r="K101" s="81" t="s">
        <v>293</v>
      </c>
      <c r="L101" s="51" t="s">
        <v>293</v>
      </c>
      <c r="M101" s="51" t="s">
        <v>293</v>
      </c>
      <c r="N101" s="51" t="s">
        <v>293</v>
      </c>
      <c r="O101" s="51" t="s">
        <v>293</v>
      </c>
      <c r="P101" s="65" t="s">
        <v>293</v>
      </c>
      <c r="Q101" s="67"/>
      <c r="R101" s="52"/>
      <c r="S101" s="69"/>
      <c r="T101" s="71"/>
      <c r="U101" s="103"/>
    </row>
    <row r="102" spans="1:21" ht="66.599999999999994" customHeight="1" x14ac:dyDescent="0.35">
      <c r="B102" s="126"/>
      <c r="C102" s="128" t="s">
        <v>192</v>
      </c>
      <c r="D102" s="91" t="s">
        <v>338</v>
      </c>
      <c r="E102" s="92">
        <f t="shared" si="1"/>
        <v>99</v>
      </c>
      <c r="F102" s="93"/>
      <c r="G102" s="94" t="s">
        <v>196</v>
      </c>
      <c r="H102" s="81" t="s">
        <v>712</v>
      </c>
      <c r="I102" s="51" t="s">
        <v>293</v>
      </c>
      <c r="J102" s="51" t="s">
        <v>293</v>
      </c>
      <c r="K102" s="81" t="s">
        <v>293</v>
      </c>
      <c r="L102" s="51" t="s">
        <v>293</v>
      </c>
      <c r="M102" s="51" t="s">
        <v>293</v>
      </c>
      <c r="N102" s="51" t="s">
        <v>293</v>
      </c>
      <c r="O102" s="51" t="s">
        <v>293</v>
      </c>
      <c r="P102" s="65" t="s">
        <v>293</v>
      </c>
      <c r="Q102" s="67"/>
      <c r="R102" s="52"/>
      <c r="S102" s="69"/>
      <c r="T102" s="71"/>
      <c r="U102" s="103" t="s">
        <v>266</v>
      </c>
    </row>
    <row r="103" spans="1:21" ht="45" customHeight="1" x14ac:dyDescent="0.35">
      <c r="B103" s="126"/>
      <c r="C103" s="347" t="s">
        <v>193</v>
      </c>
      <c r="D103" s="96" t="s">
        <v>338</v>
      </c>
      <c r="E103" s="97">
        <f t="shared" si="1"/>
        <v>100</v>
      </c>
      <c r="F103" s="98"/>
      <c r="G103" s="99" t="s">
        <v>264</v>
      </c>
      <c r="H103" s="82" t="s">
        <v>678</v>
      </c>
      <c r="I103" s="53" t="s">
        <v>676</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91" t="s">
        <v>198</v>
      </c>
      <c r="E104" s="92">
        <f t="shared" si="1"/>
        <v>101</v>
      </c>
      <c r="F104" s="93"/>
      <c r="G104" s="94" t="s">
        <v>199</v>
      </c>
      <c r="H104" s="81" t="s">
        <v>712</v>
      </c>
      <c r="I104" s="51" t="s">
        <v>293</v>
      </c>
      <c r="J104" s="51" t="s">
        <v>293</v>
      </c>
      <c r="K104" s="51" t="s">
        <v>293</v>
      </c>
      <c r="L104" s="81" t="s">
        <v>712</v>
      </c>
      <c r="M104" s="81" t="s">
        <v>712</v>
      </c>
      <c r="N104" s="51" t="s">
        <v>293</v>
      </c>
      <c r="O104" s="51" t="s">
        <v>293</v>
      </c>
      <c r="P104" s="65" t="s">
        <v>293</v>
      </c>
      <c r="Q104" s="67"/>
      <c r="R104" s="52"/>
      <c r="S104" s="69"/>
      <c r="T104" s="71"/>
      <c r="U104" s="106"/>
    </row>
    <row r="105" spans="1:21" ht="28.2" customHeight="1" x14ac:dyDescent="0.35">
      <c r="B105" s="129" t="s">
        <v>200</v>
      </c>
      <c r="C105" s="128" t="s">
        <v>201</v>
      </c>
      <c r="D105" s="245" t="s">
        <v>339</v>
      </c>
      <c r="E105" s="246">
        <f t="shared" si="1"/>
        <v>102</v>
      </c>
      <c r="F105" s="100" t="s">
        <v>374</v>
      </c>
      <c r="G105" s="94" t="s">
        <v>242</v>
      </c>
      <c r="H105" s="444" t="s">
        <v>293</v>
      </c>
      <c r="I105" s="405" t="s">
        <v>293</v>
      </c>
      <c r="J105" s="405" t="s">
        <v>293</v>
      </c>
      <c r="K105" s="445" t="s">
        <v>293</v>
      </c>
      <c r="L105" s="405" t="s">
        <v>293</v>
      </c>
      <c r="M105" s="405" t="s">
        <v>293</v>
      </c>
      <c r="N105" s="445" t="s">
        <v>293</v>
      </c>
      <c r="O105" s="81" t="s">
        <v>712</v>
      </c>
      <c r="P105" s="409" t="s">
        <v>293</v>
      </c>
      <c r="Q105" s="67"/>
      <c r="R105" s="52"/>
      <c r="S105" s="69"/>
      <c r="T105" s="71"/>
      <c r="U105" s="407" t="s">
        <v>706</v>
      </c>
    </row>
    <row r="106" spans="1:21" ht="28.2" customHeight="1" thickBot="1" x14ac:dyDescent="0.4">
      <c r="B106" s="126"/>
      <c r="C106" s="128" t="s">
        <v>202</v>
      </c>
      <c r="D106" s="159" t="s">
        <v>339</v>
      </c>
      <c r="E106" s="160">
        <f t="shared" si="1"/>
        <v>103</v>
      </c>
      <c r="F106" s="161" t="s">
        <v>381</v>
      </c>
      <c r="G106" s="162" t="s">
        <v>203</v>
      </c>
      <c r="H106" s="83" t="s">
        <v>293</v>
      </c>
      <c r="I106" s="56" t="s">
        <v>293</v>
      </c>
      <c r="J106" s="56" t="s">
        <v>293</v>
      </c>
      <c r="K106" s="55" t="s">
        <v>293</v>
      </c>
      <c r="L106" s="56" t="s">
        <v>293</v>
      </c>
      <c r="M106" s="56" t="s">
        <v>293</v>
      </c>
      <c r="N106" s="55" t="s">
        <v>293</v>
      </c>
      <c r="O106" s="81" t="s">
        <v>712</v>
      </c>
      <c r="P106" s="75" t="s">
        <v>293</v>
      </c>
      <c r="Q106" s="67"/>
      <c r="R106" s="52"/>
      <c r="S106" s="69"/>
      <c r="T106" s="71"/>
      <c r="U106" s="407" t="s">
        <v>706</v>
      </c>
    </row>
    <row r="107" spans="1:21" ht="18" customHeight="1" x14ac:dyDescent="0.35">
      <c r="B107" s="556" t="s">
        <v>70</v>
      </c>
      <c r="C107" s="557"/>
      <c r="D107" s="557">
        <f>SUM(H109:P109)</f>
        <v>4</v>
      </c>
      <c r="E107" s="163"/>
      <c r="F107" s="164"/>
      <c r="G107" s="269" t="s">
        <v>275</v>
      </c>
      <c r="H107" s="166">
        <f>COUNTIF(H4:H106,"●")+COUNTIF(H4:H106,"■")+COUNTIF(H4:H106,"OK")</f>
        <v>1</v>
      </c>
      <c r="I107" s="166">
        <f t="shared" ref="I107:P107" si="2">COUNTIF(I4:I106,"●")+COUNTIF(I4:I106,"■")+COUNTIF(I4:I106,"OK")</f>
        <v>0</v>
      </c>
      <c r="J107" s="166">
        <f t="shared" si="2"/>
        <v>0</v>
      </c>
      <c r="K107" s="166">
        <f t="shared" si="2"/>
        <v>2</v>
      </c>
      <c r="L107" s="166">
        <f t="shared" si="2"/>
        <v>1</v>
      </c>
      <c r="M107" s="166">
        <f t="shared" si="2"/>
        <v>0</v>
      </c>
      <c r="N107" s="166">
        <f t="shared" si="2"/>
        <v>0</v>
      </c>
      <c r="O107" s="166">
        <f t="shared" si="2"/>
        <v>0</v>
      </c>
      <c r="P107" s="166">
        <f t="shared" si="2"/>
        <v>0</v>
      </c>
      <c r="Q107" s="571" t="s">
        <v>69</v>
      </c>
      <c r="R107" s="571"/>
      <c r="S107" s="571"/>
      <c r="T107" s="167"/>
      <c r="U107" s="168"/>
    </row>
    <row r="108" spans="1:21" ht="18" customHeight="1" x14ac:dyDescent="0.35">
      <c r="B108" s="558"/>
      <c r="C108" s="559"/>
      <c r="D108" s="559"/>
      <c r="E108" s="58"/>
      <c r="F108" s="59"/>
      <c r="G108" s="270" t="s">
        <v>274</v>
      </c>
      <c r="H108" s="78">
        <f t="shared" ref="H108:P108" si="3">COUNTIF(H4:H106,"×")+COUNTIF(H4:H106,"NG")</f>
        <v>0</v>
      </c>
      <c r="I108" s="79">
        <f t="shared" si="3"/>
        <v>0</v>
      </c>
      <c r="J108" s="79">
        <f t="shared" si="3"/>
        <v>0</v>
      </c>
      <c r="K108" s="79">
        <f t="shared" si="3"/>
        <v>0</v>
      </c>
      <c r="L108" s="79">
        <f t="shared" si="3"/>
        <v>0</v>
      </c>
      <c r="M108" s="79">
        <f t="shared" si="3"/>
        <v>0</v>
      </c>
      <c r="N108" s="79">
        <f t="shared" si="3"/>
        <v>0</v>
      </c>
      <c r="O108" s="79">
        <f t="shared" si="3"/>
        <v>0</v>
      </c>
      <c r="P108" s="80">
        <f t="shared" si="3"/>
        <v>0</v>
      </c>
      <c r="Q108" s="572"/>
      <c r="R108" s="572"/>
      <c r="S108" s="572"/>
      <c r="T108" s="74"/>
      <c r="U108" s="108"/>
    </row>
    <row r="109" spans="1:21" ht="18" customHeight="1" x14ac:dyDescent="0.35">
      <c r="B109" s="560" t="s">
        <v>67</v>
      </c>
      <c r="C109" s="561"/>
      <c r="D109" s="561">
        <f>SUM(H110:P110)</f>
        <v>129</v>
      </c>
      <c r="E109" s="48"/>
      <c r="F109" s="49"/>
      <c r="G109" s="270" t="s">
        <v>68</v>
      </c>
      <c r="H109" s="78">
        <f t="shared" ref="H109:P109" si="4">H107+H108</f>
        <v>1</v>
      </c>
      <c r="I109" s="79">
        <f t="shared" si="4"/>
        <v>0</v>
      </c>
      <c r="J109" s="79">
        <f t="shared" si="4"/>
        <v>0</v>
      </c>
      <c r="K109" s="79">
        <f t="shared" si="4"/>
        <v>2</v>
      </c>
      <c r="L109" s="79">
        <f t="shared" si="4"/>
        <v>1</v>
      </c>
      <c r="M109" s="79">
        <f t="shared" si="4"/>
        <v>0</v>
      </c>
      <c r="N109" s="79">
        <f t="shared" si="4"/>
        <v>0</v>
      </c>
      <c r="O109" s="79">
        <f t="shared" si="4"/>
        <v>0</v>
      </c>
      <c r="P109" s="80">
        <f t="shared" si="4"/>
        <v>0</v>
      </c>
      <c r="Q109" s="573">
        <f>COUNTA(Q4:Q106)</f>
        <v>1</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 t="shared" ref="H110:P110" si="5">COUNTBLANK(H4:H106)+H109+COUNTIF(H4:H106,"□")</f>
        <v>62</v>
      </c>
      <c r="I110" s="113">
        <f t="shared" si="5"/>
        <v>0</v>
      </c>
      <c r="J110" s="113">
        <f t="shared" si="5"/>
        <v>0</v>
      </c>
      <c r="K110" s="113">
        <f t="shared" si="5"/>
        <v>27</v>
      </c>
      <c r="L110" s="113">
        <f t="shared" si="5"/>
        <v>21</v>
      </c>
      <c r="M110" s="113">
        <f t="shared" si="5"/>
        <v>15</v>
      </c>
      <c r="N110" s="113">
        <f t="shared" si="5"/>
        <v>0</v>
      </c>
      <c r="O110" s="113">
        <f t="shared" si="5"/>
        <v>4</v>
      </c>
      <c r="P110" s="114">
        <f t="shared" si="5"/>
        <v>0</v>
      </c>
      <c r="Q110" s="574"/>
      <c r="R110" s="576"/>
      <c r="S110" s="578"/>
      <c r="T110" s="115"/>
      <c r="U110" s="116"/>
    </row>
    <row r="111" spans="1:21" ht="24" customHeight="1" x14ac:dyDescent="0.35">
      <c r="F111" s="63"/>
      <c r="G111" s="63"/>
    </row>
    <row r="113" spans="2:3" x14ac:dyDescent="0.35">
      <c r="B113" s="121" t="s">
        <v>773</v>
      </c>
      <c r="C113" s="121">
        <f>SUM(D109+Win10対応_PS!D76)</f>
        <v>288</v>
      </c>
    </row>
    <row r="114" spans="2:3" x14ac:dyDescent="0.35">
      <c r="B114" s="121" t="s">
        <v>774</v>
      </c>
      <c r="C114" s="121">
        <v>391</v>
      </c>
    </row>
    <row r="115" spans="2:3" ht="39.6" x14ac:dyDescent="0.35">
      <c r="C115" s="121" t="s">
        <v>778</v>
      </c>
    </row>
  </sheetData>
  <autoFilter ref="A1:V111" xr:uid="{07C16B04-2154-4842-B488-4FE771601470}"/>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L96"/>
  <sheetViews>
    <sheetView view="pageBreakPreview" topLeftCell="B1" zoomScale="80" zoomScaleNormal="40" zoomScaleSheetLayoutView="80" workbookViewId="0">
      <pane ySplit="3" topLeftCell="A4" activePane="bottomLeft" state="frozen"/>
      <selection pane="bottomLeft" activeCell="G12" sqref="G12"/>
    </sheetView>
  </sheetViews>
  <sheetFormatPr defaultColWidth="9" defaultRowHeight="13.2" x14ac:dyDescent="0.35"/>
  <cols>
    <col min="1" max="1" width="3" style="205" customWidth="1"/>
    <col min="2" max="2" width="5.33203125" style="205" customWidth="1"/>
    <col min="3" max="3" width="10.77734375" style="205" bestFit="1" customWidth="1"/>
    <col min="4" max="4" width="33.21875" style="205" bestFit="1" customWidth="1"/>
    <col min="5" max="5" width="34.5546875" style="205" bestFit="1" customWidth="1"/>
    <col min="6" max="6" width="58.6640625" style="258" customWidth="1"/>
    <col min="7" max="20" width="6.5546875" style="205" customWidth="1"/>
    <col min="21" max="22" width="9" style="261" customWidth="1"/>
    <col min="23" max="23" width="9.88671875" style="261" customWidth="1"/>
    <col min="24" max="24" width="51.5546875" style="261" bestFit="1" customWidth="1"/>
    <col min="25" max="25" width="5.21875" style="205" bestFit="1" customWidth="1"/>
    <col min="26" max="16384" width="9" style="205"/>
  </cols>
  <sheetData>
    <row r="1" spans="1:64" ht="20.399999999999999" thickBot="1" x14ac:dyDescent="0.4">
      <c r="B1" s="211" t="s">
        <v>297</v>
      </c>
      <c r="C1" s="210"/>
      <c r="D1" s="210"/>
      <c r="E1" s="210"/>
      <c r="F1" s="206" t="s">
        <v>59</v>
      </c>
      <c r="G1" s="207" t="s">
        <v>0</v>
      </c>
      <c r="H1" s="207"/>
      <c r="I1" s="207"/>
      <c r="J1" s="208"/>
      <c r="K1" s="207"/>
      <c r="L1" s="207"/>
      <c r="M1" s="208"/>
      <c r="N1" s="207"/>
      <c r="O1" s="207"/>
      <c r="P1" s="208"/>
      <c r="Q1" s="207"/>
      <c r="R1" s="207"/>
      <c r="S1" s="207"/>
      <c r="T1" s="207"/>
      <c r="U1" s="208"/>
      <c r="V1" s="209"/>
      <c r="W1" s="209"/>
      <c r="X1" s="212" t="s">
        <v>296</v>
      </c>
    </row>
    <row r="2" spans="1:64" s="201" customFormat="1" ht="30" customHeight="1" x14ac:dyDescent="0.35">
      <c r="A2" s="205"/>
      <c r="B2" s="592" t="s">
        <v>3</v>
      </c>
      <c r="C2" s="594" t="s">
        <v>311</v>
      </c>
      <c r="D2" s="594" t="s">
        <v>312</v>
      </c>
      <c r="E2" s="596" t="s">
        <v>313</v>
      </c>
      <c r="F2" s="588" t="s">
        <v>331</v>
      </c>
      <c r="G2" s="598" t="s">
        <v>4</v>
      </c>
      <c r="H2" s="599"/>
      <c r="I2" s="599"/>
      <c r="J2" s="599"/>
      <c r="K2" s="599"/>
      <c r="L2" s="599"/>
      <c r="M2" s="599"/>
      <c r="N2" s="599"/>
      <c r="O2" s="599"/>
      <c r="P2" s="599"/>
      <c r="Q2" s="599"/>
      <c r="R2" s="599"/>
      <c r="S2" s="599"/>
      <c r="T2" s="600"/>
      <c r="U2" s="612" t="s">
        <v>1</v>
      </c>
      <c r="V2" s="612" t="s">
        <v>7</v>
      </c>
      <c r="W2" s="612" t="s">
        <v>460</v>
      </c>
      <c r="X2" s="586" t="s">
        <v>2</v>
      </c>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row>
    <row r="3" spans="1:64" s="201" customFormat="1" ht="40.200000000000003" thickBot="1" x14ac:dyDescent="0.4">
      <c r="A3" s="205"/>
      <c r="B3" s="593"/>
      <c r="C3" s="595"/>
      <c r="D3" s="595"/>
      <c r="E3" s="597"/>
      <c r="F3" s="589"/>
      <c r="G3" s="213" t="s">
        <v>18</v>
      </c>
      <c r="H3" s="214" t="s">
        <v>300</v>
      </c>
      <c r="I3" s="214" t="s">
        <v>301</v>
      </c>
      <c r="J3" s="214" t="s">
        <v>302</v>
      </c>
      <c r="K3" s="215" t="s">
        <v>304</v>
      </c>
      <c r="L3" s="215" t="s">
        <v>303</v>
      </c>
      <c r="M3" s="215" t="s">
        <v>305</v>
      </c>
      <c r="N3" s="215" t="s">
        <v>306</v>
      </c>
      <c r="O3" s="215" t="s">
        <v>307</v>
      </c>
      <c r="P3" s="214" t="s">
        <v>308</v>
      </c>
      <c r="Q3" s="215" t="s">
        <v>54</v>
      </c>
      <c r="R3" s="214" t="s">
        <v>309</v>
      </c>
      <c r="S3" s="215" t="s">
        <v>6</v>
      </c>
      <c r="T3" s="216" t="s">
        <v>310</v>
      </c>
      <c r="U3" s="613"/>
      <c r="V3" s="613"/>
      <c r="W3" s="613"/>
      <c r="X3" s="587"/>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row>
    <row r="4" spans="1:64" s="203" customFormat="1" ht="40.200000000000003" customHeight="1" x14ac:dyDescent="0.35">
      <c r="A4" s="205"/>
      <c r="B4" s="240">
        <f>ROW()-3</f>
        <v>1</v>
      </c>
      <c r="C4" s="255" t="s">
        <v>45</v>
      </c>
      <c r="D4" s="287" t="s">
        <v>44</v>
      </c>
      <c r="E4" s="219" t="s">
        <v>46</v>
      </c>
      <c r="F4" s="237" t="s">
        <v>48</v>
      </c>
      <c r="G4" s="413"/>
      <c r="H4" s="414"/>
      <c r="I4" s="414"/>
      <c r="J4" s="414"/>
      <c r="K4" s="414"/>
      <c r="L4" s="414"/>
      <c r="M4" s="414"/>
      <c r="N4" s="414"/>
      <c r="O4" s="414"/>
      <c r="P4" s="414"/>
      <c r="Q4" s="414"/>
      <c r="R4" s="414"/>
      <c r="S4" s="414"/>
      <c r="T4" s="415" t="s">
        <v>759</v>
      </c>
      <c r="U4" s="224"/>
      <c r="V4" s="229"/>
      <c r="W4" s="224"/>
      <c r="X4" s="231" t="s">
        <v>316</v>
      </c>
    </row>
    <row r="5" spans="1:64" s="203" customFormat="1" ht="40.200000000000003" customHeight="1" x14ac:dyDescent="0.35">
      <c r="A5" s="205"/>
      <c r="B5" s="241">
        <f t="shared" ref="B5:B62" si="0">ROW()-3</f>
        <v>2</v>
      </c>
      <c r="C5" s="217" t="s">
        <v>45</v>
      </c>
      <c r="D5" s="287" t="s">
        <v>44</v>
      </c>
      <c r="E5" s="220" t="s">
        <v>47</v>
      </c>
      <c r="F5" s="238" t="s">
        <v>408</v>
      </c>
      <c r="G5" s="416"/>
      <c r="H5" s="417"/>
      <c r="I5" s="417"/>
      <c r="J5" s="417"/>
      <c r="K5" s="417"/>
      <c r="L5" s="417"/>
      <c r="M5" s="417"/>
      <c r="N5" s="417"/>
      <c r="O5" s="417"/>
      <c r="P5" s="417"/>
      <c r="Q5" s="417"/>
      <c r="R5" s="417"/>
      <c r="S5" s="417"/>
      <c r="T5" s="418" t="s">
        <v>759</v>
      </c>
      <c r="U5" s="225"/>
      <c r="V5" s="230"/>
      <c r="W5" s="236"/>
      <c r="X5" s="232" t="s">
        <v>316</v>
      </c>
    </row>
    <row r="6" spans="1:64" s="203" customFormat="1" ht="40.200000000000003" customHeight="1" x14ac:dyDescent="0.35">
      <c r="A6" s="205"/>
      <c r="B6" s="241">
        <f t="shared" si="0"/>
        <v>3</v>
      </c>
      <c r="C6" s="217" t="s">
        <v>45</v>
      </c>
      <c r="D6" s="287" t="s">
        <v>409</v>
      </c>
      <c r="E6" s="220" t="s">
        <v>410</v>
      </c>
      <c r="F6" s="238" t="s">
        <v>412</v>
      </c>
      <c r="G6" s="416"/>
      <c r="H6" s="417"/>
      <c r="I6" s="417"/>
      <c r="J6" s="417"/>
      <c r="K6" s="417"/>
      <c r="L6" s="417"/>
      <c r="M6" s="417"/>
      <c r="N6" s="417"/>
      <c r="O6" s="417"/>
      <c r="P6" s="417"/>
      <c r="Q6" s="417"/>
      <c r="R6" s="417"/>
      <c r="S6" s="417"/>
      <c r="T6" s="418" t="s">
        <v>815</v>
      </c>
      <c r="U6" s="225">
        <v>45686</v>
      </c>
      <c r="V6" s="230" t="s">
        <v>826</v>
      </c>
      <c r="W6" s="236" t="s">
        <v>830</v>
      </c>
      <c r="X6" s="232" t="s">
        <v>414</v>
      </c>
    </row>
    <row r="7" spans="1:64" s="203" customFormat="1" ht="40.200000000000003" customHeight="1" x14ac:dyDescent="0.35">
      <c r="A7" s="205"/>
      <c r="B7" s="241">
        <f t="shared" si="0"/>
        <v>4</v>
      </c>
      <c r="C7" s="217" t="s">
        <v>45</v>
      </c>
      <c r="D7" s="287" t="s">
        <v>409</v>
      </c>
      <c r="E7" s="220" t="s">
        <v>411</v>
      </c>
      <c r="F7" s="238" t="s">
        <v>413</v>
      </c>
      <c r="G7" s="416"/>
      <c r="H7" s="417"/>
      <c r="I7" s="417"/>
      <c r="J7" s="417"/>
      <c r="K7" s="417"/>
      <c r="L7" s="417"/>
      <c r="M7" s="417"/>
      <c r="N7" s="417"/>
      <c r="O7" s="417"/>
      <c r="P7" s="417"/>
      <c r="Q7" s="417"/>
      <c r="R7" s="417"/>
      <c r="S7" s="417"/>
      <c r="T7" s="418" t="s">
        <v>815</v>
      </c>
      <c r="U7" s="225">
        <v>45686</v>
      </c>
      <c r="V7" s="230" t="s">
        <v>826</v>
      </c>
      <c r="W7" s="236" t="s">
        <v>830</v>
      </c>
      <c r="X7" s="232" t="s">
        <v>414</v>
      </c>
    </row>
    <row r="8" spans="1:64" s="203" customFormat="1" ht="40.200000000000003" customHeight="1" x14ac:dyDescent="0.35">
      <c r="A8" s="205"/>
      <c r="B8" s="425">
        <f t="shared" si="0"/>
        <v>5</v>
      </c>
      <c r="C8" s="426" t="s">
        <v>45</v>
      </c>
      <c r="D8" s="426" t="s">
        <v>58</v>
      </c>
      <c r="E8" s="427" t="s">
        <v>56</v>
      </c>
      <c r="F8" s="428" t="s">
        <v>57</v>
      </c>
      <c r="G8" s="419"/>
      <c r="H8" s="420"/>
      <c r="I8" s="420"/>
      <c r="J8" s="420"/>
      <c r="K8" s="420"/>
      <c r="L8" s="420"/>
      <c r="M8" s="420"/>
      <c r="N8" s="420"/>
      <c r="O8" s="420"/>
      <c r="P8" s="420"/>
      <c r="Q8" s="420"/>
      <c r="R8" s="420"/>
      <c r="S8" s="420"/>
      <c r="T8" s="421"/>
      <c r="U8" s="429"/>
      <c r="V8" s="430"/>
      <c r="W8" s="431"/>
      <c r="X8" s="432"/>
    </row>
    <row r="9" spans="1:64" s="203" customFormat="1" ht="40.200000000000003" customHeight="1" x14ac:dyDescent="0.35">
      <c r="A9" s="205"/>
      <c r="B9" s="241">
        <f t="shared" si="0"/>
        <v>6</v>
      </c>
      <c r="C9" s="217" t="s">
        <v>52</v>
      </c>
      <c r="D9" s="217" t="s">
        <v>50</v>
      </c>
      <c r="E9" s="220"/>
      <c r="F9" s="238" t="s">
        <v>51</v>
      </c>
      <c r="G9" s="418" t="s">
        <v>815</v>
      </c>
      <c r="H9" s="417"/>
      <c r="I9" s="417"/>
      <c r="J9" s="417"/>
      <c r="K9" s="417"/>
      <c r="L9" s="417"/>
      <c r="M9" s="417"/>
      <c r="N9" s="417"/>
      <c r="O9" s="417"/>
      <c r="P9" s="417"/>
      <c r="Q9" s="417"/>
      <c r="R9" s="417"/>
      <c r="S9" s="417"/>
      <c r="T9" s="418"/>
      <c r="U9" s="225">
        <v>45686</v>
      </c>
      <c r="V9" s="230" t="s">
        <v>826</v>
      </c>
      <c r="W9" s="236" t="s">
        <v>830</v>
      </c>
      <c r="X9" s="233"/>
    </row>
    <row r="10" spans="1:64" s="203" customFormat="1" ht="40.200000000000003" customHeight="1" x14ac:dyDescent="0.35">
      <c r="A10" s="205"/>
      <c r="B10" s="241">
        <f t="shared" ref="B10:B69" si="1">ROW()-3</f>
        <v>7</v>
      </c>
      <c r="C10" s="217" t="s">
        <v>463</v>
      </c>
      <c r="D10" s="217" t="s">
        <v>464</v>
      </c>
      <c r="E10" s="221"/>
      <c r="F10" s="238" t="s">
        <v>465</v>
      </c>
      <c r="G10" s="418" t="s">
        <v>815</v>
      </c>
      <c r="H10" s="417"/>
      <c r="I10" s="417"/>
      <c r="J10" s="417"/>
      <c r="K10" s="417"/>
      <c r="L10" s="417"/>
      <c r="M10" s="417"/>
      <c r="N10" s="417"/>
      <c r="O10" s="417"/>
      <c r="P10" s="417"/>
      <c r="Q10" s="417"/>
      <c r="R10" s="417"/>
      <c r="S10" s="417"/>
      <c r="T10" s="418"/>
      <c r="U10" s="225">
        <v>45686</v>
      </c>
      <c r="V10" s="230" t="s">
        <v>826</v>
      </c>
      <c r="W10" s="236" t="s">
        <v>830</v>
      </c>
      <c r="X10" s="233"/>
    </row>
    <row r="11" spans="1:64" s="203" customFormat="1" ht="40.200000000000003" customHeight="1" x14ac:dyDescent="0.35">
      <c r="A11" s="205"/>
      <c r="B11" s="241">
        <f t="shared" si="0"/>
        <v>8</v>
      </c>
      <c r="C11" s="217" t="s">
        <v>8</v>
      </c>
      <c r="D11" s="217" t="s">
        <v>9</v>
      </c>
      <c r="E11" s="220" t="s">
        <v>415</v>
      </c>
      <c r="F11" s="238" t="s">
        <v>318</v>
      </c>
      <c r="G11" s="418" t="s">
        <v>815</v>
      </c>
      <c r="H11" s="417"/>
      <c r="I11" s="417"/>
      <c r="J11" s="417"/>
      <c r="K11" s="417"/>
      <c r="L11" s="417"/>
      <c r="M11" s="417"/>
      <c r="N11" s="417"/>
      <c r="O11" s="417"/>
      <c r="P11" s="417"/>
      <c r="Q11" s="417"/>
      <c r="R11" s="417"/>
      <c r="S11" s="417"/>
      <c r="T11" s="418"/>
      <c r="U11" s="225">
        <v>45686</v>
      </c>
      <c r="V11" s="230" t="s">
        <v>826</v>
      </c>
      <c r="W11" s="236" t="s">
        <v>830</v>
      </c>
      <c r="X11" s="233"/>
    </row>
    <row r="12" spans="1:64" s="203" customFormat="1" ht="51" customHeight="1" x14ac:dyDescent="0.35">
      <c r="A12" s="205"/>
      <c r="B12" s="241">
        <f t="shared" si="0"/>
        <v>9</v>
      </c>
      <c r="C12" s="217" t="s">
        <v>416</v>
      </c>
      <c r="D12" s="217" t="s">
        <v>10</v>
      </c>
      <c r="E12" s="221" t="s">
        <v>12</v>
      </c>
      <c r="F12" s="238" t="s">
        <v>319</v>
      </c>
      <c r="G12" s="418" t="s">
        <v>815</v>
      </c>
      <c r="H12" s="417"/>
      <c r="I12" s="417"/>
      <c r="J12" s="417"/>
      <c r="K12" s="417"/>
      <c r="L12" s="417"/>
      <c r="M12" s="417"/>
      <c r="N12" s="417"/>
      <c r="O12" s="417"/>
      <c r="P12" s="417"/>
      <c r="Q12" s="417"/>
      <c r="R12" s="417"/>
      <c r="S12" s="417"/>
      <c r="T12" s="418"/>
      <c r="U12" s="225">
        <v>45686</v>
      </c>
      <c r="V12" s="230" t="s">
        <v>826</v>
      </c>
      <c r="W12" s="236" t="s">
        <v>830</v>
      </c>
      <c r="X12" s="232" t="s">
        <v>417</v>
      </c>
    </row>
    <row r="13" spans="1:64" s="203" customFormat="1" ht="40.200000000000003" customHeight="1" x14ac:dyDescent="0.35">
      <c r="A13" s="205"/>
      <c r="B13" s="241">
        <f t="shared" si="0"/>
        <v>10</v>
      </c>
      <c r="C13" s="217" t="s">
        <v>416</v>
      </c>
      <c r="D13" s="217" t="s">
        <v>419</v>
      </c>
      <c r="E13" s="220" t="s">
        <v>14</v>
      </c>
      <c r="F13" s="238" t="s">
        <v>317</v>
      </c>
      <c r="G13" s="417" t="s">
        <v>816</v>
      </c>
      <c r="H13" s="417"/>
      <c r="I13" s="417"/>
      <c r="J13" s="417"/>
      <c r="K13" s="417"/>
      <c r="L13" s="417"/>
      <c r="M13" s="417"/>
      <c r="N13" s="417"/>
      <c r="O13" s="417"/>
      <c r="P13" s="417"/>
      <c r="Q13" s="417"/>
      <c r="R13" s="417"/>
      <c r="S13" s="417" t="s">
        <v>816</v>
      </c>
      <c r="T13" s="418"/>
      <c r="U13" s="225">
        <v>45686</v>
      </c>
      <c r="V13" s="230" t="s">
        <v>826</v>
      </c>
      <c r="W13" s="236" t="s">
        <v>830</v>
      </c>
      <c r="X13" s="232" t="s">
        <v>218</v>
      </c>
    </row>
    <row r="14" spans="1:64" s="203" customFormat="1" ht="60.6" customHeight="1" x14ac:dyDescent="0.35">
      <c r="A14" s="205"/>
      <c r="B14" s="241">
        <f t="shared" si="0"/>
        <v>11</v>
      </c>
      <c r="C14" s="217" t="s">
        <v>416</v>
      </c>
      <c r="D14" s="217" t="s">
        <v>424</v>
      </c>
      <c r="E14" s="220" t="s">
        <v>426</v>
      </c>
      <c r="F14" s="238" t="s">
        <v>322</v>
      </c>
      <c r="G14" s="418" t="s">
        <v>815</v>
      </c>
      <c r="H14" s="417"/>
      <c r="I14" s="417"/>
      <c r="J14" s="417"/>
      <c r="K14" s="417"/>
      <c r="L14" s="417"/>
      <c r="M14" s="417"/>
      <c r="N14" s="417"/>
      <c r="O14" s="417"/>
      <c r="P14" s="417"/>
      <c r="Q14" s="417"/>
      <c r="R14" s="417"/>
      <c r="S14" s="417"/>
      <c r="T14" s="418"/>
      <c r="U14" s="225">
        <v>45686</v>
      </c>
      <c r="V14" s="230" t="s">
        <v>826</v>
      </c>
      <c r="W14" s="236" t="s">
        <v>830</v>
      </c>
      <c r="X14" s="232" t="s">
        <v>425</v>
      </c>
    </row>
    <row r="15" spans="1:64" s="203" customFormat="1" ht="60.6" customHeight="1" x14ac:dyDescent="0.35">
      <c r="A15" s="205"/>
      <c r="B15" s="241">
        <f t="shared" si="0"/>
        <v>12</v>
      </c>
      <c r="C15" s="217" t="s">
        <v>416</v>
      </c>
      <c r="D15" s="217" t="s">
        <v>424</v>
      </c>
      <c r="E15" s="220" t="s">
        <v>427</v>
      </c>
      <c r="F15" s="238" t="s">
        <v>323</v>
      </c>
      <c r="G15" s="417" t="s">
        <v>712</v>
      </c>
      <c r="H15" s="417"/>
      <c r="I15" s="417"/>
      <c r="J15" s="417"/>
      <c r="K15" s="417"/>
      <c r="L15" s="417"/>
      <c r="M15" s="417"/>
      <c r="N15" s="417"/>
      <c r="O15" s="417"/>
      <c r="P15" s="417"/>
      <c r="Q15" s="417"/>
      <c r="R15" s="417"/>
      <c r="S15" s="417"/>
      <c r="T15" s="418"/>
      <c r="U15" s="225"/>
      <c r="V15" s="230"/>
      <c r="W15" s="236"/>
      <c r="X15" s="233" t="s">
        <v>470</v>
      </c>
    </row>
    <row r="16" spans="1:64" s="203" customFormat="1" ht="58.2" customHeight="1" x14ac:dyDescent="0.35">
      <c r="A16" s="205"/>
      <c r="B16" s="241">
        <f t="shared" si="0"/>
        <v>13</v>
      </c>
      <c r="C16" s="217" t="s">
        <v>416</v>
      </c>
      <c r="D16" s="217" t="s">
        <v>424</v>
      </c>
      <c r="E16" s="220" t="s">
        <v>427</v>
      </c>
      <c r="F16" s="238" t="s">
        <v>469</v>
      </c>
      <c r="G16" s="417" t="s">
        <v>712</v>
      </c>
      <c r="H16" s="417"/>
      <c r="I16" s="417"/>
      <c r="J16" s="417"/>
      <c r="K16" s="417"/>
      <c r="L16" s="417"/>
      <c r="M16" s="417"/>
      <c r="N16" s="417"/>
      <c r="O16" s="417"/>
      <c r="P16" s="417"/>
      <c r="Q16" s="417"/>
      <c r="R16" s="417"/>
      <c r="S16" s="417"/>
      <c r="T16" s="418"/>
      <c r="U16" s="225"/>
      <c r="V16" s="230"/>
      <c r="W16" s="236"/>
      <c r="X16" s="233" t="s">
        <v>471</v>
      </c>
    </row>
    <row r="17" spans="1:25" s="203" customFormat="1" ht="48.6" customHeight="1" x14ac:dyDescent="0.35">
      <c r="A17" s="205"/>
      <c r="B17" s="241">
        <f t="shared" si="0"/>
        <v>14</v>
      </c>
      <c r="C17" s="217" t="s">
        <v>416</v>
      </c>
      <c r="D17" s="217" t="s">
        <v>424</v>
      </c>
      <c r="E17" s="220" t="s">
        <v>20</v>
      </c>
      <c r="F17" s="238" t="s">
        <v>324</v>
      </c>
      <c r="G17" s="418" t="s">
        <v>815</v>
      </c>
      <c r="H17" s="417"/>
      <c r="I17" s="417"/>
      <c r="J17" s="417"/>
      <c r="K17" s="417"/>
      <c r="L17" s="417"/>
      <c r="M17" s="417"/>
      <c r="N17" s="417"/>
      <c r="O17" s="417"/>
      <c r="P17" s="417"/>
      <c r="Q17" s="417"/>
      <c r="R17" s="417"/>
      <c r="S17" s="417"/>
      <c r="T17" s="418"/>
      <c r="U17" s="225">
        <v>45686</v>
      </c>
      <c r="V17" s="230" t="s">
        <v>826</v>
      </c>
      <c r="W17" s="236" t="s">
        <v>830</v>
      </c>
      <c r="X17" s="232" t="s">
        <v>330</v>
      </c>
    </row>
    <row r="18" spans="1:25" s="203" customFormat="1" ht="61.8" customHeight="1" x14ac:dyDescent="0.35">
      <c r="A18" s="205"/>
      <c r="B18" s="241">
        <f t="shared" si="0"/>
        <v>15</v>
      </c>
      <c r="C18" s="217" t="s">
        <v>416</v>
      </c>
      <c r="D18" s="217" t="s">
        <v>424</v>
      </c>
      <c r="E18" s="220" t="s">
        <v>428</v>
      </c>
      <c r="F18" s="238" t="s">
        <v>21</v>
      </c>
      <c r="G18" s="418" t="s">
        <v>815</v>
      </c>
      <c r="H18" s="417"/>
      <c r="I18" s="417"/>
      <c r="J18" s="417"/>
      <c r="K18" s="417"/>
      <c r="L18" s="417"/>
      <c r="M18" s="417"/>
      <c r="N18" s="417"/>
      <c r="O18" s="417"/>
      <c r="P18" s="417"/>
      <c r="Q18" s="417"/>
      <c r="R18" s="417"/>
      <c r="S18" s="417"/>
      <c r="T18" s="418"/>
      <c r="U18" s="225">
        <v>45686</v>
      </c>
      <c r="V18" s="230" t="s">
        <v>826</v>
      </c>
      <c r="W18" s="236" t="s">
        <v>830</v>
      </c>
      <c r="X18" s="232" t="s">
        <v>468</v>
      </c>
    </row>
    <row r="19" spans="1:25" s="203" customFormat="1" ht="52.8" customHeight="1" x14ac:dyDescent="0.35">
      <c r="A19" s="205"/>
      <c r="B19" s="241">
        <f t="shared" si="0"/>
        <v>16</v>
      </c>
      <c r="C19" s="217" t="s">
        <v>416</v>
      </c>
      <c r="D19" s="217" t="s">
        <v>10</v>
      </c>
      <c r="E19" s="220" t="s">
        <v>15</v>
      </c>
      <c r="F19" s="238" t="s">
        <v>325</v>
      </c>
      <c r="G19" s="418" t="s">
        <v>815</v>
      </c>
      <c r="H19" s="417"/>
      <c r="I19" s="417"/>
      <c r="J19" s="417"/>
      <c r="K19" s="417"/>
      <c r="L19" s="417"/>
      <c r="M19" s="417"/>
      <c r="N19" s="417"/>
      <c r="O19" s="417"/>
      <c r="P19" s="417"/>
      <c r="Q19" s="417"/>
      <c r="R19" s="417"/>
      <c r="S19" s="417"/>
      <c r="T19" s="418"/>
      <c r="U19" s="225">
        <v>45686</v>
      </c>
      <c r="V19" s="230" t="s">
        <v>826</v>
      </c>
      <c r="W19" s="236" t="s">
        <v>830</v>
      </c>
      <c r="X19" s="232" t="s">
        <v>224</v>
      </c>
    </row>
    <row r="20" spans="1:25" s="203" customFormat="1" ht="49.2" customHeight="1" x14ac:dyDescent="0.35">
      <c r="A20" s="205"/>
      <c r="B20" s="241">
        <f t="shared" si="0"/>
        <v>17</v>
      </c>
      <c r="C20" s="217" t="s">
        <v>416</v>
      </c>
      <c r="D20" s="217" t="s">
        <v>10</v>
      </c>
      <c r="E20" s="220" t="s">
        <v>22</v>
      </c>
      <c r="F20" s="238" t="s">
        <v>326</v>
      </c>
      <c r="G20" s="418" t="s">
        <v>815</v>
      </c>
      <c r="H20" s="417"/>
      <c r="I20" s="417"/>
      <c r="J20" s="417"/>
      <c r="K20" s="417"/>
      <c r="L20" s="417"/>
      <c r="M20" s="417"/>
      <c r="N20" s="417"/>
      <c r="O20" s="417"/>
      <c r="P20" s="417"/>
      <c r="Q20" s="417"/>
      <c r="R20" s="417"/>
      <c r="S20" s="417"/>
      <c r="T20" s="418"/>
      <c r="U20" s="225"/>
      <c r="V20" s="230"/>
      <c r="W20" s="236"/>
      <c r="X20" s="232"/>
    </row>
    <row r="21" spans="1:25" s="203" customFormat="1" ht="44.4" customHeight="1" x14ac:dyDescent="0.35">
      <c r="A21" s="205"/>
      <c r="B21" s="241">
        <f t="shared" si="0"/>
        <v>18</v>
      </c>
      <c r="C21" s="217" t="s">
        <v>416</v>
      </c>
      <c r="D21" s="217" t="s">
        <v>10</v>
      </c>
      <c r="E21" s="222" t="s">
        <v>429</v>
      </c>
      <c r="F21" s="238" t="s">
        <v>327</v>
      </c>
      <c r="G21" s="418" t="s">
        <v>815</v>
      </c>
      <c r="H21" s="417"/>
      <c r="I21" s="417"/>
      <c r="J21" s="417"/>
      <c r="K21" s="417"/>
      <c r="L21" s="417"/>
      <c r="M21" s="417"/>
      <c r="N21" s="417"/>
      <c r="O21" s="417"/>
      <c r="P21" s="417"/>
      <c r="Q21" s="417"/>
      <c r="R21" s="417"/>
      <c r="S21" s="417"/>
      <c r="T21" s="418"/>
      <c r="U21" s="225"/>
      <c r="V21" s="230"/>
      <c r="W21" s="236"/>
      <c r="X21" s="234"/>
    </row>
    <row r="22" spans="1:25" s="203" customFormat="1" ht="43.8" customHeight="1" x14ac:dyDescent="0.35">
      <c r="A22" s="205"/>
      <c r="B22" s="241">
        <f t="shared" si="0"/>
        <v>19</v>
      </c>
      <c r="C22" s="217" t="s">
        <v>416</v>
      </c>
      <c r="D22" s="217" t="s">
        <v>10</v>
      </c>
      <c r="E22" s="220" t="s">
        <v>430</v>
      </c>
      <c r="F22" s="238" t="s">
        <v>11</v>
      </c>
      <c r="G22" s="418" t="s">
        <v>815</v>
      </c>
      <c r="H22" s="417"/>
      <c r="I22" s="417"/>
      <c r="J22" s="417"/>
      <c r="K22" s="417"/>
      <c r="L22" s="417"/>
      <c r="M22" s="417"/>
      <c r="N22" s="417"/>
      <c r="O22" s="417"/>
      <c r="P22" s="417"/>
      <c r="Q22" s="417"/>
      <c r="R22" s="417"/>
      <c r="S22" s="417"/>
      <c r="T22" s="418"/>
      <c r="U22" s="225"/>
      <c r="V22" s="230"/>
      <c r="W22" s="236"/>
      <c r="X22" s="233"/>
    </row>
    <row r="23" spans="1:25" s="203" customFormat="1" ht="45" customHeight="1" x14ac:dyDescent="0.35">
      <c r="A23" s="205"/>
      <c r="B23" s="241">
        <f t="shared" si="0"/>
        <v>20</v>
      </c>
      <c r="C23" s="217" t="s">
        <v>416</v>
      </c>
      <c r="D23" s="217" t="s">
        <v>10</v>
      </c>
      <c r="E23" s="220" t="s">
        <v>438</v>
      </c>
      <c r="F23" s="238" t="s">
        <v>23</v>
      </c>
      <c r="G23" s="418" t="s">
        <v>815</v>
      </c>
      <c r="H23" s="417"/>
      <c r="I23" s="417"/>
      <c r="J23" s="417"/>
      <c r="K23" s="417"/>
      <c r="L23" s="417"/>
      <c r="M23" s="417"/>
      <c r="N23" s="417"/>
      <c r="O23" s="417"/>
      <c r="P23" s="417"/>
      <c r="Q23" s="417"/>
      <c r="R23" s="417"/>
      <c r="S23" s="417"/>
      <c r="T23" s="418"/>
      <c r="U23" s="225"/>
      <c r="V23" s="230"/>
      <c r="W23" s="236"/>
      <c r="X23" s="233"/>
    </row>
    <row r="24" spans="1:25" s="203" customFormat="1" ht="45" customHeight="1" x14ac:dyDescent="0.35">
      <c r="A24" s="205"/>
      <c r="B24" s="241">
        <f t="shared" si="0"/>
        <v>21</v>
      </c>
      <c r="C24" s="217" t="s">
        <v>416</v>
      </c>
      <c r="D24" s="217" t="s">
        <v>10</v>
      </c>
      <c r="E24" s="220" t="s">
        <v>437</v>
      </c>
      <c r="F24" s="238" t="s">
        <v>60</v>
      </c>
      <c r="G24" s="418" t="s">
        <v>815</v>
      </c>
      <c r="H24" s="417"/>
      <c r="I24" s="417"/>
      <c r="J24" s="417"/>
      <c r="K24" s="417"/>
      <c r="L24" s="417"/>
      <c r="M24" s="417"/>
      <c r="N24" s="417"/>
      <c r="O24" s="417"/>
      <c r="P24" s="417"/>
      <c r="Q24" s="417"/>
      <c r="R24" s="417"/>
      <c r="S24" s="417"/>
      <c r="T24" s="418"/>
      <c r="U24" s="225"/>
      <c r="V24" s="230"/>
      <c r="W24" s="236"/>
      <c r="X24" s="233"/>
    </row>
    <row r="25" spans="1:25" s="203" customFormat="1" ht="37.799999999999997" customHeight="1" x14ac:dyDescent="0.35">
      <c r="A25" s="205"/>
      <c r="B25" s="241">
        <f t="shared" si="0"/>
        <v>22</v>
      </c>
      <c r="C25" s="217" t="s">
        <v>431</v>
      </c>
      <c r="D25" s="217" t="s">
        <v>439</v>
      </c>
      <c r="E25" s="220" t="s">
        <v>227</v>
      </c>
      <c r="F25" s="238" t="s">
        <v>24</v>
      </c>
      <c r="G25" s="416"/>
      <c r="H25" s="417"/>
      <c r="I25" s="417"/>
      <c r="J25" s="417"/>
      <c r="K25" s="417"/>
      <c r="L25" s="417"/>
      <c r="M25" s="417"/>
      <c r="N25" s="417" t="s">
        <v>841</v>
      </c>
      <c r="O25" s="417"/>
      <c r="P25" s="417"/>
      <c r="Q25" s="417"/>
      <c r="R25" s="417"/>
      <c r="S25" s="417"/>
      <c r="T25" s="418"/>
      <c r="U25" s="225"/>
      <c r="V25" s="230"/>
      <c r="W25" s="236"/>
      <c r="X25" s="233"/>
      <c r="Y25" s="204"/>
    </row>
    <row r="26" spans="1:25" s="203" customFormat="1" ht="50.4" customHeight="1" x14ac:dyDescent="0.35">
      <c r="A26" s="205"/>
      <c r="B26" s="241">
        <f t="shared" si="0"/>
        <v>23</v>
      </c>
      <c r="C26" s="217" t="s">
        <v>431</v>
      </c>
      <c r="D26" s="217" t="s">
        <v>432</v>
      </c>
      <c r="E26" s="220" t="s">
        <v>433</v>
      </c>
      <c r="F26" s="238" t="s">
        <v>24</v>
      </c>
      <c r="G26" s="416"/>
      <c r="H26" s="417"/>
      <c r="I26" s="417"/>
      <c r="J26" s="417"/>
      <c r="K26" s="417"/>
      <c r="L26" s="417"/>
      <c r="M26" s="417"/>
      <c r="N26" s="417" t="s">
        <v>841</v>
      </c>
      <c r="O26" s="417"/>
      <c r="P26" s="417"/>
      <c r="Q26" s="417"/>
      <c r="R26" s="417"/>
      <c r="S26" s="417"/>
      <c r="T26" s="418"/>
      <c r="U26" s="225"/>
      <c r="V26" s="230"/>
      <c r="W26" s="236"/>
      <c r="X26" s="233"/>
      <c r="Y26" s="204"/>
    </row>
    <row r="27" spans="1:25" s="203" customFormat="1" ht="50.4" customHeight="1" x14ac:dyDescent="0.35">
      <c r="A27" s="205"/>
      <c r="B27" s="241">
        <f t="shared" si="0"/>
        <v>24</v>
      </c>
      <c r="C27" s="217" t="s">
        <v>431</v>
      </c>
      <c r="D27" s="217" t="s">
        <v>432</v>
      </c>
      <c r="E27" s="220" t="s">
        <v>434</v>
      </c>
      <c r="F27" s="238" t="s">
        <v>24</v>
      </c>
      <c r="G27" s="416"/>
      <c r="H27" s="417"/>
      <c r="I27" s="417"/>
      <c r="J27" s="417"/>
      <c r="K27" s="417"/>
      <c r="L27" s="417"/>
      <c r="M27" s="417"/>
      <c r="N27" s="417" t="s">
        <v>841</v>
      </c>
      <c r="O27" s="417"/>
      <c r="P27" s="417"/>
      <c r="Q27" s="417"/>
      <c r="R27" s="417"/>
      <c r="S27" s="417"/>
      <c r="T27" s="418"/>
      <c r="U27" s="225"/>
      <c r="V27" s="230"/>
      <c r="W27" s="236"/>
      <c r="X27" s="233"/>
      <c r="Y27" s="204"/>
    </row>
    <row r="28" spans="1:25" s="203" customFormat="1" ht="50.4" customHeight="1" x14ac:dyDescent="0.35">
      <c r="A28" s="205"/>
      <c r="B28" s="241">
        <f t="shared" si="0"/>
        <v>25</v>
      </c>
      <c r="C28" s="217" t="s">
        <v>431</v>
      </c>
      <c r="D28" s="217" t="s">
        <v>432</v>
      </c>
      <c r="E28" s="220" t="s">
        <v>435</v>
      </c>
      <c r="F28" s="238" t="s">
        <v>24</v>
      </c>
      <c r="G28" s="416"/>
      <c r="H28" s="417"/>
      <c r="I28" s="417"/>
      <c r="J28" s="417"/>
      <c r="K28" s="417"/>
      <c r="L28" s="417"/>
      <c r="M28" s="417"/>
      <c r="N28" s="417" t="s">
        <v>841</v>
      </c>
      <c r="O28" s="417"/>
      <c r="P28" s="417"/>
      <c r="Q28" s="417"/>
      <c r="R28" s="417"/>
      <c r="S28" s="417"/>
      <c r="T28" s="418"/>
      <c r="U28" s="225"/>
      <c r="V28" s="230"/>
      <c r="W28" s="236"/>
      <c r="X28" s="233"/>
      <c r="Y28" s="204"/>
    </row>
    <row r="29" spans="1:25" s="203" customFormat="1" ht="50.4" customHeight="1" x14ac:dyDescent="0.35">
      <c r="A29" s="205"/>
      <c r="B29" s="241">
        <f t="shared" si="0"/>
        <v>26</v>
      </c>
      <c r="C29" s="217" t="s">
        <v>431</v>
      </c>
      <c r="D29" s="217" t="s">
        <v>432</v>
      </c>
      <c r="E29" s="221" t="s">
        <v>436</v>
      </c>
      <c r="F29" s="238" t="s">
        <v>24</v>
      </c>
      <c r="G29" s="416"/>
      <c r="H29" s="417"/>
      <c r="I29" s="417"/>
      <c r="J29" s="417"/>
      <c r="K29" s="417"/>
      <c r="L29" s="417"/>
      <c r="M29" s="417"/>
      <c r="N29" s="417" t="s">
        <v>841</v>
      </c>
      <c r="O29" s="417"/>
      <c r="P29" s="417"/>
      <c r="Q29" s="417"/>
      <c r="R29" s="417"/>
      <c r="S29" s="417"/>
      <c r="T29" s="418"/>
      <c r="U29" s="225"/>
      <c r="V29" s="230"/>
      <c r="W29" s="236"/>
      <c r="X29" s="233"/>
      <c r="Y29" s="204"/>
    </row>
    <row r="30" spans="1:25" s="203" customFormat="1" ht="37.799999999999997" customHeight="1" x14ac:dyDescent="0.35">
      <c r="A30" s="205"/>
      <c r="B30" s="241">
        <f t="shared" si="0"/>
        <v>27</v>
      </c>
      <c r="C30" s="217" t="s">
        <v>431</v>
      </c>
      <c r="D30" s="217" t="s">
        <v>432</v>
      </c>
      <c r="E30" s="220" t="s">
        <v>442</v>
      </c>
      <c r="F30" s="238" t="s">
        <v>24</v>
      </c>
      <c r="G30" s="416"/>
      <c r="H30" s="417"/>
      <c r="I30" s="417"/>
      <c r="J30" s="417"/>
      <c r="K30" s="417"/>
      <c r="L30" s="417"/>
      <c r="M30" s="417"/>
      <c r="N30" s="417" t="s">
        <v>841</v>
      </c>
      <c r="O30" s="417"/>
      <c r="P30" s="417"/>
      <c r="Q30" s="417"/>
      <c r="R30" s="417"/>
      <c r="S30" s="417"/>
      <c r="T30" s="418"/>
      <c r="U30" s="225"/>
      <c r="V30" s="230"/>
      <c r="W30" s="236"/>
      <c r="X30" s="233"/>
      <c r="Y30" s="204"/>
    </row>
    <row r="31" spans="1:25" s="203" customFormat="1" ht="37.799999999999997" customHeight="1" x14ac:dyDescent="0.35">
      <c r="A31" s="205"/>
      <c r="B31" s="241">
        <f t="shared" si="0"/>
        <v>28</v>
      </c>
      <c r="C31" s="217" t="s">
        <v>431</v>
      </c>
      <c r="D31" s="217" t="s">
        <v>732</v>
      </c>
      <c r="E31" s="220" t="s">
        <v>444</v>
      </c>
      <c r="F31" s="238" t="s">
        <v>26</v>
      </c>
      <c r="G31" s="416"/>
      <c r="H31" s="417"/>
      <c r="I31" s="417"/>
      <c r="J31" s="417"/>
      <c r="K31" s="417"/>
      <c r="L31" s="417"/>
      <c r="M31" s="417"/>
      <c r="N31" s="417" t="s">
        <v>841</v>
      </c>
      <c r="O31" s="417"/>
      <c r="P31" s="417"/>
      <c r="Q31" s="417"/>
      <c r="R31" s="417"/>
      <c r="S31" s="417"/>
      <c r="T31" s="418"/>
      <c r="U31" s="225"/>
      <c r="V31" s="230"/>
      <c r="W31" s="236"/>
      <c r="X31" s="233"/>
    </row>
    <row r="32" spans="1:25" s="203" customFormat="1" ht="37.799999999999997" customHeight="1" x14ac:dyDescent="0.35">
      <c r="A32" s="205"/>
      <c r="B32" s="241">
        <f t="shared" si="0"/>
        <v>29</v>
      </c>
      <c r="C32" s="217" t="s">
        <v>431</v>
      </c>
      <c r="D32" s="217" t="s">
        <v>432</v>
      </c>
      <c r="E32" s="220" t="s">
        <v>445</v>
      </c>
      <c r="F32" s="238" t="s">
        <v>26</v>
      </c>
      <c r="G32" s="416"/>
      <c r="H32" s="417"/>
      <c r="I32" s="417"/>
      <c r="J32" s="417"/>
      <c r="K32" s="417"/>
      <c r="L32" s="417"/>
      <c r="M32" s="417"/>
      <c r="N32" s="417" t="s">
        <v>841</v>
      </c>
      <c r="O32" s="417"/>
      <c r="P32" s="417"/>
      <c r="Q32" s="417"/>
      <c r="R32" s="417"/>
      <c r="S32" s="417"/>
      <c r="T32" s="418"/>
      <c r="U32" s="225"/>
      <c r="V32" s="230"/>
      <c r="W32" s="236"/>
      <c r="X32" s="233"/>
    </row>
    <row r="33" spans="1:25" s="203" customFormat="1" ht="37.799999999999997" customHeight="1" x14ac:dyDescent="0.35">
      <c r="A33" s="205"/>
      <c r="B33" s="241">
        <f t="shared" si="0"/>
        <v>30</v>
      </c>
      <c r="C33" s="217" t="s">
        <v>431</v>
      </c>
      <c r="D33" s="217" t="s">
        <v>432</v>
      </c>
      <c r="E33" s="220" t="s">
        <v>446</v>
      </c>
      <c r="F33" s="238" t="s">
        <v>26</v>
      </c>
      <c r="G33" s="416"/>
      <c r="H33" s="417"/>
      <c r="I33" s="417"/>
      <c r="J33" s="417"/>
      <c r="K33" s="417"/>
      <c r="L33" s="417"/>
      <c r="M33" s="417"/>
      <c r="N33" s="417" t="s">
        <v>841</v>
      </c>
      <c r="O33" s="417"/>
      <c r="P33" s="417"/>
      <c r="Q33" s="417"/>
      <c r="R33" s="417"/>
      <c r="S33" s="417"/>
      <c r="T33" s="418"/>
      <c r="U33" s="225"/>
      <c r="V33" s="230"/>
      <c r="W33" s="236"/>
      <c r="X33" s="233"/>
    </row>
    <row r="34" spans="1:25" s="203" customFormat="1" ht="37.799999999999997" customHeight="1" x14ac:dyDescent="0.35">
      <c r="A34" s="205"/>
      <c r="B34" s="241">
        <f t="shared" si="0"/>
        <v>31</v>
      </c>
      <c r="C34" s="217" t="s">
        <v>431</v>
      </c>
      <c r="D34" s="217" t="s">
        <v>432</v>
      </c>
      <c r="E34" s="221" t="s">
        <v>447</v>
      </c>
      <c r="F34" s="238" t="s">
        <v>26</v>
      </c>
      <c r="G34" s="416"/>
      <c r="H34" s="417"/>
      <c r="I34" s="417"/>
      <c r="J34" s="417"/>
      <c r="K34" s="417"/>
      <c r="L34" s="417"/>
      <c r="M34" s="417"/>
      <c r="N34" s="417" t="s">
        <v>841</v>
      </c>
      <c r="O34" s="417"/>
      <c r="P34" s="417"/>
      <c r="Q34" s="417"/>
      <c r="R34" s="417"/>
      <c r="S34" s="417"/>
      <c r="T34" s="418"/>
      <c r="U34" s="225"/>
      <c r="V34" s="230"/>
      <c r="W34" s="236"/>
      <c r="X34" s="232" t="s">
        <v>226</v>
      </c>
    </row>
    <row r="35" spans="1:25" s="203" customFormat="1" ht="42.6" customHeight="1" x14ac:dyDescent="0.35">
      <c r="A35" s="205"/>
      <c r="B35" s="241">
        <f t="shared" si="0"/>
        <v>32</v>
      </c>
      <c r="C35" s="217" t="s">
        <v>431</v>
      </c>
      <c r="D35" s="217" t="s">
        <v>432</v>
      </c>
      <c r="E35" s="220" t="s">
        <v>448</v>
      </c>
      <c r="F35" s="238" t="s">
        <v>26</v>
      </c>
      <c r="G35" s="416"/>
      <c r="H35" s="417"/>
      <c r="I35" s="417"/>
      <c r="J35" s="417"/>
      <c r="K35" s="417"/>
      <c r="L35" s="417"/>
      <c r="M35" s="417"/>
      <c r="N35" s="417" t="s">
        <v>841</v>
      </c>
      <c r="O35" s="417"/>
      <c r="P35" s="417"/>
      <c r="Q35" s="417"/>
      <c r="R35" s="417"/>
      <c r="S35" s="417"/>
      <c r="T35" s="418"/>
      <c r="U35" s="225"/>
      <c r="V35" s="230"/>
      <c r="W35" s="236"/>
      <c r="X35" s="233"/>
    </row>
    <row r="36" spans="1:25" s="203" customFormat="1" ht="45.6" customHeight="1" x14ac:dyDescent="0.35">
      <c r="A36" s="205"/>
      <c r="B36" s="241">
        <f t="shared" si="0"/>
        <v>33</v>
      </c>
      <c r="C36" s="217" t="s">
        <v>416</v>
      </c>
      <c r="D36" s="217" t="s">
        <v>432</v>
      </c>
      <c r="E36" s="220" t="s">
        <v>794</v>
      </c>
      <c r="F36" s="238" t="s">
        <v>24</v>
      </c>
      <c r="G36" s="416"/>
      <c r="H36" s="417"/>
      <c r="I36" s="417"/>
      <c r="J36" s="417"/>
      <c r="K36" s="417"/>
      <c r="L36" s="417"/>
      <c r="M36" s="417"/>
      <c r="N36" s="417" t="s">
        <v>841</v>
      </c>
      <c r="O36" s="417"/>
      <c r="P36" s="417"/>
      <c r="Q36" s="417"/>
      <c r="R36" s="417"/>
      <c r="S36" s="417"/>
      <c r="T36" s="418"/>
      <c r="U36" s="225"/>
      <c r="V36" s="230"/>
      <c r="W36" s="236"/>
      <c r="X36" s="233"/>
    </row>
    <row r="37" spans="1:25" s="203" customFormat="1" ht="45.6" customHeight="1" x14ac:dyDescent="0.35">
      <c r="A37" s="205"/>
      <c r="B37" s="241">
        <f t="shared" si="0"/>
        <v>34</v>
      </c>
      <c r="C37" s="217" t="s">
        <v>431</v>
      </c>
      <c r="D37" s="217" t="s">
        <v>432</v>
      </c>
      <c r="E37" s="220" t="s">
        <v>450</v>
      </c>
      <c r="F37" s="238" t="s">
        <v>24</v>
      </c>
      <c r="G37" s="416"/>
      <c r="H37" s="417"/>
      <c r="I37" s="417"/>
      <c r="J37" s="417"/>
      <c r="K37" s="417"/>
      <c r="L37" s="417"/>
      <c r="M37" s="417"/>
      <c r="N37" s="417" t="s">
        <v>841</v>
      </c>
      <c r="O37" s="417"/>
      <c r="P37" s="417"/>
      <c r="Q37" s="417"/>
      <c r="R37" s="417"/>
      <c r="S37" s="417"/>
      <c r="T37" s="418"/>
      <c r="U37" s="225"/>
      <c r="V37" s="230"/>
      <c r="W37" s="236"/>
      <c r="X37" s="233"/>
    </row>
    <row r="38" spans="1:25" s="203" customFormat="1" ht="46.2" customHeight="1" x14ac:dyDescent="0.35">
      <c r="A38" s="205"/>
      <c r="B38" s="241">
        <f t="shared" si="0"/>
        <v>35</v>
      </c>
      <c r="C38" s="217" t="s">
        <v>431</v>
      </c>
      <c r="D38" s="217" t="s">
        <v>432</v>
      </c>
      <c r="E38" s="221" t="s">
        <v>451</v>
      </c>
      <c r="F38" s="238" t="s">
        <v>24</v>
      </c>
      <c r="G38" s="416"/>
      <c r="H38" s="417"/>
      <c r="I38" s="417"/>
      <c r="J38" s="417"/>
      <c r="K38" s="417"/>
      <c r="L38" s="417"/>
      <c r="M38" s="417"/>
      <c r="N38" s="417" t="s">
        <v>841</v>
      </c>
      <c r="O38" s="417"/>
      <c r="P38" s="417"/>
      <c r="Q38" s="417"/>
      <c r="R38" s="417"/>
      <c r="S38" s="417"/>
      <c r="T38" s="418"/>
      <c r="U38" s="225"/>
      <c r="V38" s="230"/>
      <c r="W38" s="236"/>
      <c r="X38" s="233"/>
    </row>
    <row r="39" spans="1:25" s="203" customFormat="1" ht="46.2" customHeight="1" x14ac:dyDescent="0.35">
      <c r="A39" s="205"/>
      <c r="B39" s="241">
        <f t="shared" si="0"/>
        <v>36</v>
      </c>
      <c r="C39" s="217" t="s">
        <v>431</v>
      </c>
      <c r="D39" s="218" t="s">
        <v>63</v>
      </c>
      <c r="E39" s="223" t="s">
        <v>62</v>
      </c>
      <c r="F39" s="238" t="s">
        <v>64</v>
      </c>
      <c r="G39" s="416"/>
      <c r="H39" s="417"/>
      <c r="I39" s="417"/>
      <c r="J39" s="417"/>
      <c r="K39" s="417"/>
      <c r="L39" s="417"/>
      <c r="M39" s="417"/>
      <c r="N39" s="417" t="s">
        <v>841</v>
      </c>
      <c r="O39" s="417"/>
      <c r="P39" s="417"/>
      <c r="Q39" s="417"/>
      <c r="R39" s="417"/>
      <c r="S39" s="417" t="s">
        <v>841</v>
      </c>
      <c r="T39" s="418"/>
      <c r="U39" s="225"/>
      <c r="V39" s="230"/>
      <c r="W39" s="236"/>
      <c r="X39" s="233" t="s">
        <v>219</v>
      </c>
    </row>
    <row r="40" spans="1:25" s="203" customFormat="1" ht="46.2" customHeight="1" x14ac:dyDescent="0.35">
      <c r="A40" s="205"/>
      <c r="B40" s="241">
        <f t="shared" si="0"/>
        <v>37</v>
      </c>
      <c r="C40" s="217" t="s">
        <v>431</v>
      </c>
      <c r="D40" s="218" t="s">
        <v>63</v>
      </c>
      <c r="E40" s="223" t="s">
        <v>62</v>
      </c>
      <c r="F40" s="238" t="s">
        <v>65</v>
      </c>
      <c r="G40" s="416"/>
      <c r="H40" s="417"/>
      <c r="I40" s="417"/>
      <c r="J40" s="417"/>
      <c r="K40" s="417"/>
      <c r="L40" s="417"/>
      <c r="M40" s="417"/>
      <c r="N40" s="417" t="s">
        <v>841</v>
      </c>
      <c r="O40" s="417"/>
      <c r="P40" s="417"/>
      <c r="Q40" s="417"/>
      <c r="R40" s="417"/>
      <c r="S40" s="417" t="s">
        <v>841</v>
      </c>
      <c r="T40" s="418"/>
      <c r="U40" s="225"/>
      <c r="V40" s="230"/>
      <c r="W40" s="236"/>
      <c r="X40" s="233" t="s">
        <v>219</v>
      </c>
    </row>
    <row r="41" spans="1:25" s="203" customFormat="1" ht="37.799999999999997" customHeight="1" x14ac:dyDescent="0.35">
      <c r="A41" s="205"/>
      <c r="B41" s="241">
        <f t="shared" si="0"/>
        <v>38</v>
      </c>
      <c r="C41" s="217" t="s">
        <v>440</v>
      </c>
      <c r="D41" s="217" t="s">
        <v>432</v>
      </c>
      <c r="E41" s="220" t="s">
        <v>787</v>
      </c>
      <c r="F41" s="238" t="s">
        <v>24</v>
      </c>
      <c r="G41" s="416"/>
      <c r="H41" s="417"/>
      <c r="I41" s="417"/>
      <c r="J41" s="417"/>
      <c r="K41" s="417"/>
      <c r="L41" s="417"/>
      <c r="M41" s="417"/>
      <c r="N41" s="417" t="s">
        <v>841</v>
      </c>
      <c r="O41" s="417"/>
      <c r="P41" s="417"/>
      <c r="Q41" s="417"/>
      <c r="R41" s="417"/>
      <c r="S41" s="417"/>
      <c r="T41" s="418"/>
      <c r="U41" s="225"/>
      <c r="V41" s="230"/>
      <c r="W41" s="236"/>
      <c r="X41" s="233"/>
      <c r="Y41" s="204"/>
    </row>
    <row r="42" spans="1:25" s="203" customFormat="1" ht="37.799999999999997" customHeight="1" x14ac:dyDescent="0.35">
      <c r="A42" s="205"/>
      <c r="B42" s="241">
        <f t="shared" si="0"/>
        <v>39</v>
      </c>
      <c r="C42" s="217" t="s">
        <v>440</v>
      </c>
      <c r="D42" s="217" t="s">
        <v>432</v>
      </c>
      <c r="E42" s="220" t="s">
        <v>441</v>
      </c>
      <c r="F42" s="238" t="s">
        <v>25</v>
      </c>
      <c r="G42" s="416"/>
      <c r="H42" s="417"/>
      <c r="I42" s="417"/>
      <c r="J42" s="417"/>
      <c r="K42" s="417"/>
      <c r="L42" s="417"/>
      <c r="M42" s="417"/>
      <c r="N42" s="417" t="s">
        <v>841</v>
      </c>
      <c r="O42" s="417"/>
      <c r="P42" s="417"/>
      <c r="Q42" s="417"/>
      <c r="R42" s="417"/>
      <c r="S42" s="417"/>
      <c r="T42" s="418"/>
      <c r="U42" s="225"/>
      <c r="V42" s="230"/>
      <c r="W42" s="236"/>
      <c r="X42" s="233"/>
      <c r="Y42" s="204"/>
    </row>
    <row r="43" spans="1:25" s="203" customFormat="1" ht="37.799999999999997" customHeight="1" x14ac:dyDescent="0.35">
      <c r="A43" s="205"/>
      <c r="B43" s="241">
        <f t="shared" si="0"/>
        <v>40</v>
      </c>
      <c r="C43" s="217" t="s">
        <v>440</v>
      </c>
      <c r="D43" s="217" t="s">
        <v>432</v>
      </c>
      <c r="E43" s="220" t="s">
        <v>443</v>
      </c>
      <c r="F43" s="238" t="s">
        <v>24</v>
      </c>
      <c r="G43" s="416"/>
      <c r="H43" s="417"/>
      <c r="I43" s="417"/>
      <c r="J43" s="417"/>
      <c r="K43" s="417"/>
      <c r="L43" s="417"/>
      <c r="M43" s="417"/>
      <c r="N43" s="417" t="s">
        <v>841</v>
      </c>
      <c r="O43" s="417"/>
      <c r="P43" s="417"/>
      <c r="Q43" s="417"/>
      <c r="R43" s="417"/>
      <c r="S43" s="417"/>
      <c r="T43" s="418"/>
      <c r="U43" s="225"/>
      <c r="V43" s="230"/>
      <c r="W43" s="236"/>
      <c r="X43" s="233"/>
      <c r="Y43" s="204"/>
    </row>
    <row r="44" spans="1:25" s="203" customFormat="1" ht="37.799999999999997" customHeight="1" x14ac:dyDescent="0.35">
      <c r="A44" s="205"/>
      <c r="B44" s="241">
        <f t="shared" si="0"/>
        <v>41</v>
      </c>
      <c r="C44" s="217" t="s">
        <v>440</v>
      </c>
      <c r="D44" s="217" t="s">
        <v>432</v>
      </c>
      <c r="E44" s="220" t="s">
        <v>788</v>
      </c>
      <c r="F44" s="238" t="s">
        <v>24</v>
      </c>
      <c r="G44" s="416"/>
      <c r="H44" s="417"/>
      <c r="I44" s="417"/>
      <c r="J44" s="417"/>
      <c r="K44" s="417"/>
      <c r="L44" s="417"/>
      <c r="M44" s="417"/>
      <c r="N44" s="417" t="s">
        <v>841</v>
      </c>
      <c r="O44" s="417"/>
      <c r="P44" s="417"/>
      <c r="Q44" s="417"/>
      <c r="R44" s="417"/>
      <c r="S44" s="417"/>
      <c r="T44" s="418"/>
      <c r="U44" s="225"/>
      <c r="V44" s="230"/>
      <c r="W44" s="236"/>
      <c r="X44" s="233"/>
      <c r="Y44" s="204"/>
    </row>
    <row r="45" spans="1:25" s="203" customFormat="1" ht="45.6" customHeight="1" x14ac:dyDescent="0.35">
      <c r="A45" s="205"/>
      <c r="B45" s="241">
        <f t="shared" si="0"/>
        <v>42</v>
      </c>
      <c r="C45" s="217" t="s">
        <v>440</v>
      </c>
      <c r="D45" s="217" t="s">
        <v>432</v>
      </c>
      <c r="E45" s="220" t="s">
        <v>789</v>
      </c>
      <c r="F45" s="238" t="s">
        <v>24</v>
      </c>
      <c r="G45" s="416"/>
      <c r="H45" s="417"/>
      <c r="I45" s="417"/>
      <c r="J45" s="417"/>
      <c r="K45" s="417"/>
      <c r="L45" s="417"/>
      <c r="M45" s="417"/>
      <c r="N45" s="417" t="s">
        <v>841</v>
      </c>
      <c r="O45" s="417"/>
      <c r="P45" s="417"/>
      <c r="Q45" s="417"/>
      <c r="R45" s="417"/>
      <c r="S45" s="417"/>
      <c r="T45" s="418"/>
      <c r="U45" s="225"/>
      <c r="V45" s="230"/>
      <c r="W45" s="236"/>
      <c r="X45" s="233"/>
    </row>
    <row r="46" spans="1:25" s="203" customFormat="1" ht="45.6" customHeight="1" x14ac:dyDescent="0.35">
      <c r="A46" s="205"/>
      <c r="B46" s="241">
        <f t="shared" si="0"/>
        <v>43</v>
      </c>
      <c r="C46" s="217" t="s">
        <v>440</v>
      </c>
      <c r="D46" s="217" t="s">
        <v>432</v>
      </c>
      <c r="E46" s="220" t="s">
        <v>790</v>
      </c>
      <c r="F46" s="238" t="s">
        <v>24</v>
      </c>
      <c r="G46" s="416"/>
      <c r="H46" s="417"/>
      <c r="I46" s="417"/>
      <c r="J46" s="417"/>
      <c r="K46" s="417"/>
      <c r="L46" s="417"/>
      <c r="M46" s="417"/>
      <c r="N46" s="417" t="s">
        <v>841</v>
      </c>
      <c r="O46" s="417"/>
      <c r="P46" s="417"/>
      <c r="Q46" s="417"/>
      <c r="R46" s="417"/>
      <c r="S46" s="417"/>
      <c r="T46" s="418"/>
      <c r="U46" s="225"/>
      <c r="V46" s="230"/>
      <c r="W46" s="236"/>
      <c r="X46" s="233"/>
    </row>
    <row r="47" spans="1:25" s="203" customFormat="1" ht="45.6" customHeight="1" x14ac:dyDescent="0.35">
      <c r="A47" s="205"/>
      <c r="B47" s="241">
        <f t="shared" si="0"/>
        <v>44</v>
      </c>
      <c r="C47" s="217" t="s">
        <v>440</v>
      </c>
      <c r="D47" s="217" t="s">
        <v>432</v>
      </c>
      <c r="E47" s="220" t="s">
        <v>791</v>
      </c>
      <c r="F47" s="238" t="s">
        <v>24</v>
      </c>
      <c r="G47" s="416"/>
      <c r="H47" s="417"/>
      <c r="I47" s="417"/>
      <c r="J47" s="417"/>
      <c r="K47" s="417"/>
      <c r="L47" s="417"/>
      <c r="M47" s="417"/>
      <c r="N47" s="417" t="s">
        <v>841</v>
      </c>
      <c r="O47" s="417"/>
      <c r="P47" s="417"/>
      <c r="Q47" s="417"/>
      <c r="R47" s="417"/>
      <c r="S47" s="417"/>
      <c r="T47" s="418"/>
      <c r="U47" s="225"/>
      <c r="V47" s="230"/>
      <c r="W47" s="236"/>
      <c r="X47" s="233"/>
    </row>
    <row r="48" spans="1:25" s="203" customFormat="1" ht="45.6" customHeight="1" x14ac:dyDescent="0.35">
      <c r="A48" s="205"/>
      <c r="B48" s="241">
        <f t="shared" si="0"/>
        <v>45</v>
      </c>
      <c r="C48" s="217" t="s">
        <v>440</v>
      </c>
      <c r="D48" s="217" t="s">
        <v>432</v>
      </c>
      <c r="E48" s="220" t="s">
        <v>792</v>
      </c>
      <c r="F48" s="238" t="s">
        <v>26</v>
      </c>
      <c r="G48" s="416"/>
      <c r="H48" s="417"/>
      <c r="I48" s="417"/>
      <c r="J48" s="417"/>
      <c r="K48" s="417"/>
      <c r="L48" s="417"/>
      <c r="M48" s="417"/>
      <c r="N48" s="417" t="s">
        <v>841</v>
      </c>
      <c r="O48" s="417"/>
      <c r="P48" s="417"/>
      <c r="Q48" s="417"/>
      <c r="R48" s="417"/>
      <c r="S48" s="417"/>
      <c r="T48" s="418"/>
      <c r="U48" s="225"/>
      <c r="V48" s="230"/>
      <c r="W48" s="236"/>
      <c r="X48" s="233"/>
    </row>
    <row r="49" spans="1:24" s="203" customFormat="1" ht="45.6" customHeight="1" x14ac:dyDescent="0.35">
      <c r="A49" s="205"/>
      <c r="B49" s="241">
        <f t="shared" si="0"/>
        <v>46</v>
      </c>
      <c r="C49" s="217" t="s">
        <v>440</v>
      </c>
      <c r="D49" s="217" t="s">
        <v>432</v>
      </c>
      <c r="E49" s="220" t="s">
        <v>449</v>
      </c>
      <c r="F49" s="238" t="s">
        <v>26</v>
      </c>
      <c r="G49" s="416"/>
      <c r="H49" s="417"/>
      <c r="I49" s="417"/>
      <c r="J49" s="417"/>
      <c r="K49" s="417"/>
      <c r="L49" s="417"/>
      <c r="M49" s="417"/>
      <c r="N49" s="417" t="s">
        <v>841</v>
      </c>
      <c r="O49" s="417"/>
      <c r="P49" s="417"/>
      <c r="Q49" s="417"/>
      <c r="R49" s="417"/>
      <c r="S49" s="417"/>
      <c r="T49" s="418"/>
      <c r="U49" s="225"/>
      <c r="V49" s="230"/>
      <c r="W49" s="236"/>
      <c r="X49" s="233"/>
    </row>
    <row r="50" spans="1:24" s="203" customFormat="1" ht="45.6" customHeight="1" x14ac:dyDescent="0.35">
      <c r="A50" s="205"/>
      <c r="B50" s="241">
        <f t="shared" si="0"/>
        <v>47</v>
      </c>
      <c r="C50" s="217" t="s">
        <v>440</v>
      </c>
      <c r="D50" s="217" t="s">
        <v>432</v>
      </c>
      <c r="E50" s="220" t="s">
        <v>793</v>
      </c>
      <c r="F50" s="238" t="s">
        <v>26</v>
      </c>
      <c r="G50" s="416"/>
      <c r="H50" s="417"/>
      <c r="I50" s="417"/>
      <c r="J50" s="417"/>
      <c r="K50" s="417"/>
      <c r="L50" s="417"/>
      <c r="M50" s="417"/>
      <c r="N50" s="417" t="s">
        <v>841</v>
      </c>
      <c r="O50" s="417"/>
      <c r="P50" s="417"/>
      <c r="Q50" s="417"/>
      <c r="R50" s="417"/>
      <c r="S50" s="417"/>
      <c r="T50" s="418"/>
      <c r="U50" s="225"/>
      <c r="V50" s="230"/>
      <c r="W50" s="236"/>
      <c r="X50" s="233"/>
    </row>
    <row r="51" spans="1:24" s="203" customFormat="1" ht="45.6" customHeight="1" x14ac:dyDescent="0.35">
      <c r="A51" s="205"/>
      <c r="B51" s="241">
        <f t="shared" si="0"/>
        <v>48</v>
      </c>
      <c r="C51" s="217" t="s">
        <v>440</v>
      </c>
      <c r="D51" s="217" t="s">
        <v>432</v>
      </c>
      <c r="E51" s="220" t="s">
        <v>795</v>
      </c>
      <c r="F51" s="238" t="s">
        <v>24</v>
      </c>
      <c r="G51" s="416"/>
      <c r="H51" s="417"/>
      <c r="I51" s="417"/>
      <c r="J51" s="417"/>
      <c r="K51" s="417"/>
      <c r="L51" s="417"/>
      <c r="M51" s="417"/>
      <c r="N51" s="417" t="s">
        <v>841</v>
      </c>
      <c r="O51" s="417"/>
      <c r="P51" s="417"/>
      <c r="Q51" s="417"/>
      <c r="R51" s="417"/>
      <c r="S51" s="417"/>
      <c r="T51" s="418"/>
      <c r="U51" s="225"/>
      <c r="V51" s="230"/>
      <c r="W51" s="236"/>
      <c r="X51" s="233"/>
    </row>
    <row r="52" spans="1:24" s="203" customFormat="1" ht="45.6" customHeight="1" x14ac:dyDescent="0.35">
      <c r="A52" s="205"/>
      <c r="B52" s="241">
        <f t="shared" si="0"/>
        <v>49</v>
      </c>
      <c r="C52" s="217" t="s">
        <v>440</v>
      </c>
      <c r="D52" s="217" t="s">
        <v>432</v>
      </c>
      <c r="E52" s="220" t="s">
        <v>796</v>
      </c>
      <c r="F52" s="238" t="s">
        <v>24</v>
      </c>
      <c r="G52" s="416"/>
      <c r="H52" s="417"/>
      <c r="I52" s="417"/>
      <c r="J52" s="417"/>
      <c r="K52" s="417"/>
      <c r="L52" s="417"/>
      <c r="M52" s="417"/>
      <c r="N52" s="417" t="s">
        <v>841</v>
      </c>
      <c r="O52" s="417"/>
      <c r="P52" s="417"/>
      <c r="Q52" s="417"/>
      <c r="R52" s="417"/>
      <c r="S52" s="417"/>
      <c r="T52" s="418"/>
      <c r="U52" s="225"/>
      <c r="V52" s="230"/>
      <c r="W52" s="236"/>
      <c r="X52" s="233"/>
    </row>
    <row r="53" spans="1:24" s="203" customFormat="1" ht="45.6" customHeight="1" x14ac:dyDescent="0.35">
      <c r="A53" s="205"/>
      <c r="B53" s="241">
        <f t="shared" si="0"/>
        <v>50</v>
      </c>
      <c r="C53" s="217" t="s">
        <v>440</v>
      </c>
      <c r="D53" s="217" t="s">
        <v>432</v>
      </c>
      <c r="E53" s="220" t="s">
        <v>797</v>
      </c>
      <c r="F53" s="238" t="s">
        <v>24</v>
      </c>
      <c r="G53" s="416"/>
      <c r="H53" s="417"/>
      <c r="I53" s="417"/>
      <c r="J53" s="417"/>
      <c r="K53" s="417"/>
      <c r="L53" s="417"/>
      <c r="M53" s="417"/>
      <c r="N53" s="417" t="s">
        <v>841</v>
      </c>
      <c r="O53" s="417"/>
      <c r="P53" s="417"/>
      <c r="Q53" s="417"/>
      <c r="R53" s="417"/>
      <c r="S53" s="417"/>
      <c r="T53" s="418"/>
      <c r="U53" s="225"/>
      <c r="V53" s="230"/>
      <c r="W53" s="236"/>
      <c r="X53" s="233"/>
    </row>
    <row r="54" spans="1:24" s="203" customFormat="1" ht="45.6" customHeight="1" x14ac:dyDescent="0.35">
      <c r="A54" s="205"/>
      <c r="B54" s="241">
        <f t="shared" si="0"/>
        <v>51</v>
      </c>
      <c r="C54" s="217" t="s">
        <v>440</v>
      </c>
      <c r="D54" s="217" t="s">
        <v>432</v>
      </c>
      <c r="E54" s="220" t="s">
        <v>798</v>
      </c>
      <c r="F54" s="238" t="s">
        <v>24</v>
      </c>
      <c r="G54" s="416"/>
      <c r="H54" s="417"/>
      <c r="I54" s="417"/>
      <c r="J54" s="417"/>
      <c r="K54" s="417"/>
      <c r="L54" s="417"/>
      <c r="M54" s="417"/>
      <c r="N54" s="417" t="s">
        <v>841</v>
      </c>
      <c r="O54" s="417"/>
      <c r="P54" s="417"/>
      <c r="Q54" s="417"/>
      <c r="R54" s="417"/>
      <c r="S54" s="417"/>
      <c r="T54" s="418"/>
      <c r="U54" s="225"/>
      <c r="V54" s="230"/>
      <c r="W54" s="236"/>
      <c r="X54" s="233"/>
    </row>
    <row r="55" spans="1:24" s="203" customFormat="1" ht="40.200000000000003" customHeight="1" x14ac:dyDescent="0.35">
      <c r="A55" s="205"/>
      <c r="B55" s="241">
        <f t="shared" si="0"/>
        <v>52</v>
      </c>
      <c r="C55" s="217" t="s">
        <v>418</v>
      </c>
      <c r="D55" s="217" t="s">
        <v>10</v>
      </c>
      <c r="E55" s="221" t="s">
        <v>13</v>
      </c>
      <c r="F55" s="238" t="s">
        <v>19</v>
      </c>
      <c r="G55" s="416" t="s">
        <v>816</v>
      </c>
      <c r="H55" s="417"/>
      <c r="I55" s="417"/>
      <c r="J55" s="417"/>
      <c r="K55" s="417"/>
      <c r="L55" s="417"/>
      <c r="M55" s="417"/>
      <c r="N55" s="417"/>
      <c r="O55" s="417"/>
      <c r="P55" s="417"/>
      <c r="Q55" s="417"/>
      <c r="R55" s="417"/>
      <c r="S55" s="417"/>
      <c r="T55" s="418"/>
      <c r="U55" s="225"/>
      <c r="V55" s="230"/>
      <c r="W55" s="236"/>
      <c r="X55" s="233" t="s">
        <v>217</v>
      </c>
    </row>
    <row r="56" spans="1:24" s="203" customFormat="1" ht="40.200000000000003" customHeight="1" x14ac:dyDescent="0.35">
      <c r="A56" s="205"/>
      <c r="B56" s="241">
        <f t="shared" si="0"/>
        <v>53</v>
      </c>
      <c r="C56" s="217" t="s">
        <v>418</v>
      </c>
      <c r="D56" s="217" t="s">
        <v>10</v>
      </c>
      <c r="E56" s="220" t="s">
        <v>420</v>
      </c>
      <c r="F56" s="238" t="s">
        <v>320</v>
      </c>
      <c r="G56" s="416" t="s">
        <v>815</v>
      </c>
      <c r="H56" s="417"/>
      <c r="I56" s="417"/>
      <c r="J56" s="417"/>
      <c r="K56" s="417"/>
      <c r="L56" s="417"/>
      <c r="M56" s="417"/>
      <c r="N56" s="417"/>
      <c r="O56" s="417"/>
      <c r="P56" s="417"/>
      <c r="Q56" s="417"/>
      <c r="R56" s="417"/>
      <c r="S56" s="417"/>
      <c r="T56" s="418"/>
      <c r="U56" s="225"/>
      <c r="V56" s="230"/>
      <c r="W56" s="236"/>
      <c r="X56" s="232" t="s">
        <v>421</v>
      </c>
    </row>
    <row r="57" spans="1:24" s="203" customFormat="1" ht="40.200000000000003" customHeight="1" x14ac:dyDescent="0.35">
      <c r="A57" s="205"/>
      <c r="B57" s="241">
        <f t="shared" si="0"/>
        <v>54</v>
      </c>
      <c r="C57" s="217" t="s">
        <v>418</v>
      </c>
      <c r="D57" s="217" t="s">
        <v>10</v>
      </c>
      <c r="E57" s="220" t="s">
        <v>422</v>
      </c>
      <c r="F57" s="238" t="s">
        <v>321</v>
      </c>
      <c r="G57" s="416" t="s">
        <v>815</v>
      </c>
      <c r="H57" s="417"/>
      <c r="I57" s="417"/>
      <c r="J57" s="417"/>
      <c r="K57" s="417"/>
      <c r="L57" s="417"/>
      <c r="M57" s="417"/>
      <c r="N57" s="417"/>
      <c r="O57" s="417"/>
      <c r="P57" s="417"/>
      <c r="Q57" s="417"/>
      <c r="R57" s="417"/>
      <c r="S57" s="417"/>
      <c r="T57" s="418"/>
      <c r="U57" s="225"/>
      <c r="V57" s="230"/>
      <c r="W57" s="236"/>
      <c r="X57" s="232" t="s">
        <v>423</v>
      </c>
    </row>
    <row r="58" spans="1:24" s="203" customFormat="1" ht="46.2" customHeight="1" x14ac:dyDescent="0.35">
      <c r="A58" s="205"/>
      <c r="B58" s="241">
        <f t="shared" si="0"/>
        <v>55</v>
      </c>
      <c r="C58" s="253" t="s">
        <v>453</v>
      </c>
      <c r="D58" s="253" t="s">
        <v>454</v>
      </c>
      <c r="E58" s="266" t="s">
        <v>452</v>
      </c>
      <c r="F58" s="238" t="s">
        <v>27</v>
      </c>
      <c r="G58" s="417" t="s">
        <v>766</v>
      </c>
      <c r="H58" s="422"/>
      <c r="I58" s="422"/>
      <c r="J58" s="422"/>
      <c r="K58" s="422"/>
      <c r="L58" s="422"/>
      <c r="M58" s="422"/>
      <c r="N58" s="422"/>
      <c r="O58" s="422"/>
      <c r="P58" s="422"/>
      <c r="Q58" s="422"/>
      <c r="R58" s="422"/>
      <c r="S58" s="422"/>
      <c r="T58" s="423"/>
      <c r="U58" s="225"/>
      <c r="V58" s="230"/>
      <c r="W58" s="236"/>
      <c r="X58" s="267"/>
    </row>
    <row r="59" spans="1:24" s="203" customFormat="1" ht="46.2" customHeight="1" x14ac:dyDescent="0.35">
      <c r="A59" s="205"/>
      <c r="B59" s="241">
        <f t="shared" si="0"/>
        <v>56</v>
      </c>
      <c r="C59" s="253" t="s">
        <v>453</v>
      </c>
      <c r="D59" s="253" t="s">
        <v>454</v>
      </c>
      <c r="E59" s="266" t="s">
        <v>452</v>
      </c>
      <c r="F59" s="238" t="s">
        <v>28</v>
      </c>
      <c r="G59" s="417" t="s">
        <v>766</v>
      </c>
      <c r="H59" s="422"/>
      <c r="I59" s="422"/>
      <c r="J59" s="422"/>
      <c r="K59" s="422"/>
      <c r="L59" s="422"/>
      <c r="M59" s="422"/>
      <c r="N59" s="422"/>
      <c r="O59" s="422"/>
      <c r="P59" s="422"/>
      <c r="Q59" s="422"/>
      <c r="R59" s="422"/>
      <c r="S59" s="422"/>
      <c r="T59" s="423"/>
      <c r="U59" s="225"/>
      <c r="V59" s="230"/>
      <c r="W59" s="236"/>
      <c r="X59" s="267"/>
    </row>
    <row r="60" spans="1:24" s="203" customFormat="1" ht="46.2" customHeight="1" x14ac:dyDescent="0.35">
      <c r="A60" s="205"/>
      <c r="B60" s="241">
        <f t="shared" si="0"/>
        <v>57</v>
      </c>
      <c r="C60" s="253" t="s">
        <v>453</v>
      </c>
      <c r="D60" s="253" t="s">
        <v>454</v>
      </c>
      <c r="E60" s="217" t="s">
        <v>16</v>
      </c>
      <c r="F60" s="238" t="s">
        <v>29</v>
      </c>
      <c r="G60" s="417" t="s">
        <v>841</v>
      </c>
      <c r="H60" s="417"/>
      <c r="I60" s="417"/>
      <c r="J60" s="417"/>
      <c r="K60" s="417"/>
      <c r="L60" s="417"/>
      <c r="M60" s="417"/>
      <c r="N60" s="417"/>
      <c r="O60" s="417"/>
      <c r="P60" s="417"/>
      <c r="Q60" s="417"/>
      <c r="R60" s="417"/>
      <c r="S60" s="417"/>
      <c r="T60" s="418"/>
      <c r="U60" s="225"/>
      <c r="V60" s="230"/>
      <c r="W60" s="236"/>
      <c r="X60" s="233"/>
    </row>
    <row r="61" spans="1:24" s="203" customFormat="1" ht="46.2" customHeight="1" x14ac:dyDescent="0.35">
      <c r="A61" s="205"/>
      <c r="B61" s="241">
        <f t="shared" si="0"/>
        <v>58</v>
      </c>
      <c r="C61" s="253" t="s">
        <v>453</v>
      </c>
      <c r="D61" s="253" t="s">
        <v>454</v>
      </c>
      <c r="E61" s="217" t="s">
        <v>16</v>
      </c>
      <c r="F61" s="238" t="s">
        <v>328</v>
      </c>
      <c r="G61" s="417" t="s">
        <v>841</v>
      </c>
      <c r="H61" s="417"/>
      <c r="I61" s="417"/>
      <c r="J61" s="417"/>
      <c r="K61" s="417"/>
      <c r="L61" s="417"/>
      <c r="M61" s="417"/>
      <c r="N61" s="417"/>
      <c r="O61" s="417"/>
      <c r="P61" s="417"/>
      <c r="Q61" s="417"/>
      <c r="R61" s="417"/>
      <c r="S61" s="417"/>
      <c r="T61" s="418"/>
      <c r="U61" s="225"/>
      <c r="V61" s="230"/>
      <c r="W61" s="236"/>
      <c r="X61" s="233"/>
    </row>
    <row r="62" spans="1:24" s="203" customFormat="1" ht="40.799999999999997" customHeight="1" x14ac:dyDescent="0.35">
      <c r="A62" s="205"/>
      <c r="B62" s="241">
        <f t="shared" si="0"/>
        <v>59</v>
      </c>
      <c r="C62" s="217" t="s">
        <v>453</v>
      </c>
      <c r="D62" s="217" t="s">
        <v>17</v>
      </c>
      <c r="E62" s="221" t="s">
        <v>455</v>
      </c>
      <c r="F62" s="238" t="s">
        <v>329</v>
      </c>
      <c r="G62" s="417" t="s">
        <v>816</v>
      </c>
      <c r="H62" s="417"/>
      <c r="I62" s="417"/>
      <c r="J62" s="417"/>
      <c r="K62" s="417"/>
      <c r="L62" s="417"/>
      <c r="M62" s="417"/>
      <c r="N62" s="417"/>
      <c r="O62" s="417"/>
      <c r="P62" s="417"/>
      <c r="Q62" s="417"/>
      <c r="R62" s="417"/>
      <c r="S62" s="417"/>
      <c r="T62" s="418"/>
      <c r="U62" s="225"/>
      <c r="V62" s="230"/>
      <c r="W62" s="236"/>
      <c r="X62" s="233"/>
    </row>
    <row r="63" spans="1:24" s="203" customFormat="1" ht="53.4" customHeight="1" x14ac:dyDescent="0.35">
      <c r="A63" s="205"/>
      <c r="B63" s="251">
        <f t="shared" si="1"/>
        <v>60</v>
      </c>
      <c r="C63" s="252" t="s">
        <v>457</v>
      </c>
      <c r="D63" s="252" t="s">
        <v>41</v>
      </c>
      <c r="E63" s="252" t="s">
        <v>41</v>
      </c>
      <c r="F63" s="238" t="s">
        <v>472</v>
      </c>
      <c r="G63" s="424"/>
      <c r="H63" s="422"/>
      <c r="I63" s="422"/>
      <c r="J63" s="422"/>
      <c r="K63" s="422"/>
      <c r="L63" s="422"/>
      <c r="M63" s="422"/>
      <c r="N63" s="422"/>
      <c r="O63" s="422"/>
      <c r="P63" s="422"/>
      <c r="Q63" s="422"/>
      <c r="R63" s="422"/>
      <c r="S63" s="422"/>
      <c r="T63" s="416" t="s">
        <v>815</v>
      </c>
      <c r="U63" s="225"/>
      <c r="V63" s="230"/>
      <c r="W63" s="236"/>
      <c r="X63" s="286" t="s">
        <v>734</v>
      </c>
    </row>
    <row r="64" spans="1:24" s="203" customFormat="1" ht="43.8" customHeight="1" x14ac:dyDescent="0.35">
      <c r="A64" s="205"/>
      <c r="B64" s="251">
        <f t="shared" si="1"/>
        <v>61</v>
      </c>
      <c r="C64" s="252" t="s">
        <v>457</v>
      </c>
      <c r="D64" s="252" t="s">
        <v>42</v>
      </c>
      <c r="E64" s="252" t="s">
        <v>42</v>
      </c>
      <c r="F64" s="238" t="s">
        <v>43</v>
      </c>
      <c r="G64" s="424"/>
      <c r="H64" s="422"/>
      <c r="I64" s="422"/>
      <c r="J64" s="422"/>
      <c r="K64" s="422"/>
      <c r="L64" s="422"/>
      <c r="M64" s="422"/>
      <c r="N64" s="422"/>
      <c r="O64" s="422"/>
      <c r="P64" s="422"/>
      <c r="Q64" s="422"/>
      <c r="R64" s="422"/>
      <c r="S64" s="422"/>
      <c r="T64" s="416" t="s">
        <v>815</v>
      </c>
      <c r="U64" s="225"/>
      <c r="V64" s="230"/>
      <c r="W64" s="236"/>
      <c r="X64" s="457" t="s">
        <v>733</v>
      </c>
    </row>
    <row r="65" spans="1:27" s="203" customFormat="1" ht="43.8" customHeight="1" x14ac:dyDescent="0.35">
      <c r="A65" s="205"/>
      <c r="B65" s="251">
        <f t="shared" si="1"/>
        <v>62</v>
      </c>
      <c r="C65" s="252" t="s">
        <v>457</v>
      </c>
      <c r="D65" s="252" t="s">
        <v>458</v>
      </c>
      <c r="E65" s="222" t="s">
        <v>459</v>
      </c>
      <c r="F65" s="238" t="s">
        <v>353</v>
      </c>
      <c r="G65" s="424"/>
      <c r="H65" s="422"/>
      <c r="I65" s="422"/>
      <c r="J65" s="422"/>
      <c r="K65" s="422"/>
      <c r="L65" s="422"/>
      <c r="M65" s="422"/>
      <c r="N65" s="422"/>
      <c r="O65" s="422"/>
      <c r="P65" s="422"/>
      <c r="Q65" s="422"/>
      <c r="R65" s="416" t="s">
        <v>815</v>
      </c>
      <c r="S65" s="422"/>
      <c r="T65" s="416" t="s">
        <v>815</v>
      </c>
      <c r="U65" s="225"/>
      <c r="V65" s="230"/>
      <c r="W65" s="236"/>
      <c r="X65" s="254" t="s">
        <v>352</v>
      </c>
    </row>
    <row r="66" spans="1:27" s="203" customFormat="1" ht="69.599999999999994" customHeight="1" x14ac:dyDescent="0.35">
      <c r="A66" s="205"/>
      <c r="B66" s="251">
        <f t="shared" si="1"/>
        <v>63</v>
      </c>
      <c r="C66" s="252" t="s">
        <v>457</v>
      </c>
      <c r="D66" s="252" t="s">
        <v>458</v>
      </c>
      <c r="E66" s="222" t="s">
        <v>459</v>
      </c>
      <c r="F66" s="238" t="s">
        <v>354</v>
      </c>
      <c r="G66" s="424"/>
      <c r="H66" s="422"/>
      <c r="I66" s="422"/>
      <c r="J66" s="422"/>
      <c r="K66" s="422"/>
      <c r="L66" s="422"/>
      <c r="M66" s="422"/>
      <c r="N66" s="422"/>
      <c r="O66" s="422"/>
      <c r="P66" s="422"/>
      <c r="Q66" s="422"/>
      <c r="R66" s="416" t="s">
        <v>759</v>
      </c>
      <c r="S66" s="422"/>
      <c r="T66" s="416" t="s">
        <v>759</v>
      </c>
      <c r="U66" s="225"/>
      <c r="V66" s="230"/>
      <c r="W66" s="236"/>
      <c r="X66" s="254" t="s">
        <v>352</v>
      </c>
    </row>
    <row r="67" spans="1:27" s="203" customFormat="1" ht="69.599999999999994" customHeight="1" x14ac:dyDescent="0.35">
      <c r="A67" s="205"/>
      <c r="B67" s="425">
        <f t="shared" si="1"/>
        <v>64</v>
      </c>
      <c r="C67" s="440" t="s">
        <v>457</v>
      </c>
      <c r="D67" s="440" t="s">
        <v>458</v>
      </c>
      <c r="E67" s="427" t="s">
        <v>459</v>
      </c>
      <c r="F67" s="428" t="s">
        <v>650</v>
      </c>
      <c r="G67" s="419"/>
      <c r="H67" s="420"/>
      <c r="I67" s="420"/>
      <c r="J67" s="420"/>
      <c r="K67" s="420"/>
      <c r="L67" s="420"/>
      <c r="M67" s="420"/>
      <c r="N67" s="420"/>
      <c r="O67" s="420"/>
      <c r="P67" s="420"/>
      <c r="Q67" s="420"/>
      <c r="R67" s="419"/>
      <c r="S67" s="420"/>
      <c r="T67" s="419"/>
      <c r="U67" s="441"/>
      <c r="V67" s="442"/>
      <c r="W67" s="431"/>
      <c r="X67" s="443" t="s">
        <v>352</v>
      </c>
    </row>
    <row r="68" spans="1:27" s="203" customFormat="1" ht="69.599999999999994" customHeight="1" x14ac:dyDescent="0.35">
      <c r="A68" s="205"/>
      <c r="B68" s="425">
        <f t="shared" si="1"/>
        <v>65</v>
      </c>
      <c r="C68" s="440" t="s">
        <v>457</v>
      </c>
      <c r="D68" s="440" t="s">
        <v>458</v>
      </c>
      <c r="E68" s="427" t="s">
        <v>459</v>
      </c>
      <c r="F68" s="428" t="s">
        <v>651</v>
      </c>
      <c r="G68" s="419"/>
      <c r="H68" s="420"/>
      <c r="I68" s="420"/>
      <c r="J68" s="420"/>
      <c r="K68" s="420"/>
      <c r="L68" s="420"/>
      <c r="M68" s="420"/>
      <c r="N68" s="420"/>
      <c r="O68" s="420"/>
      <c r="P68" s="420"/>
      <c r="Q68" s="420"/>
      <c r="R68" s="419"/>
      <c r="S68" s="420"/>
      <c r="T68" s="419"/>
      <c r="U68" s="429"/>
      <c r="V68" s="442"/>
      <c r="W68" s="431"/>
      <c r="X68" s="443" t="s">
        <v>352</v>
      </c>
    </row>
    <row r="69" spans="1:27" s="203" customFormat="1" ht="43.8" customHeight="1" thickBot="1" x14ac:dyDescent="0.4">
      <c r="A69" s="205"/>
      <c r="B69" s="241">
        <f t="shared" si="1"/>
        <v>66</v>
      </c>
      <c r="C69" s="217" t="s">
        <v>52</v>
      </c>
      <c r="D69" s="217" t="s">
        <v>55</v>
      </c>
      <c r="E69" s="221"/>
      <c r="F69" s="238" t="s">
        <v>51</v>
      </c>
      <c r="G69" s="416" t="s">
        <v>815</v>
      </c>
      <c r="H69" s="417"/>
      <c r="I69" s="417"/>
      <c r="J69" s="417"/>
      <c r="K69" s="417"/>
      <c r="L69" s="417"/>
      <c r="M69" s="417"/>
      <c r="N69" s="417"/>
      <c r="O69" s="417"/>
      <c r="P69" s="417"/>
      <c r="Q69" s="417"/>
      <c r="R69" s="417"/>
      <c r="S69" s="417"/>
      <c r="T69" s="418"/>
      <c r="U69" s="225"/>
      <c r="V69" s="230"/>
      <c r="W69" s="236"/>
      <c r="X69" s="235" t="s">
        <v>315</v>
      </c>
    </row>
    <row r="70" spans="1:27" s="201" customFormat="1" ht="21.6" customHeight="1" x14ac:dyDescent="0.35">
      <c r="A70" s="205"/>
      <c r="B70" s="590" t="s">
        <v>49</v>
      </c>
      <c r="C70" s="591"/>
      <c r="D70" s="591"/>
      <c r="E70" s="591"/>
      <c r="F70" s="263" t="str">
        <f>SUM(G70:T70)&amp;"件"</f>
        <v>68件</v>
      </c>
      <c r="G70" s="226">
        <f t="shared" ref="G70:T70" si="2">COUNTIF(G4:G69,"○")+COUNTIF(G4:G69,"△")+COUNTIF(G4:G69,"□")+COUNTIF(G4:G69,"●")+COUNTIF(G4:G69,"▲")+COUNTIF(G4:G69,"■")</f>
        <v>25</v>
      </c>
      <c r="H70" s="226">
        <f t="shared" si="2"/>
        <v>0</v>
      </c>
      <c r="I70" s="226">
        <f t="shared" si="2"/>
        <v>0</v>
      </c>
      <c r="J70" s="226">
        <f t="shared" si="2"/>
        <v>0</v>
      </c>
      <c r="K70" s="226">
        <f t="shared" si="2"/>
        <v>0</v>
      </c>
      <c r="L70" s="226">
        <f t="shared" si="2"/>
        <v>0</v>
      </c>
      <c r="M70" s="226">
        <f t="shared" si="2"/>
        <v>0</v>
      </c>
      <c r="N70" s="226">
        <f t="shared" si="2"/>
        <v>30</v>
      </c>
      <c r="O70" s="226">
        <f t="shared" si="2"/>
        <v>0</v>
      </c>
      <c r="P70" s="226">
        <f t="shared" si="2"/>
        <v>0</v>
      </c>
      <c r="Q70" s="226">
        <f t="shared" si="2"/>
        <v>0</v>
      </c>
      <c r="R70" s="226">
        <f t="shared" si="2"/>
        <v>2</v>
      </c>
      <c r="S70" s="226">
        <f t="shared" si="2"/>
        <v>3</v>
      </c>
      <c r="T70" s="226">
        <f t="shared" si="2"/>
        <v>8</v>
      </c>
      <c r="U70" s="609" t="s">
        <v>462</v>
      </c>
      <c r="V70" s="605" t="s">
        <v>456</v>
      </c>
      <c r="W70" s="601">
        <f>COUNTIF(W4:W69,"○")</f>
        <v>11</v>
      </c>
      <c r="X70" s="614"/>
    </row>
    <row r="71" spans="1:27" s="201" customFormat="1" ht="21.6" customHeight="1" x14ac:dyDescent="0.35">
      <c r="A71" s="205"/>
      <c r="B71" s="582" t="s">
        <v>53</v>
      </c>
      <c r="C71" s="583"/>
      <c r="D71" s="583"/>
      <c r="E71" s="583"/>
      <c r="F71" s="264" t="str">
        <f>SUM(G71:T71)&amp;"件"</f>
        <v>62件</v>
      </c>
      <c r="G71" s="227">
        <f t="shared" ref="G71:T71" si="3">COUNTIF(G4:G69,"○")+COUNTIF(G4:G69,"△")+COUNTIF(G4:G69,"●")+COUNTIF(G4:G69,"▲")</f>
        <v>20</v>
      </c>
      <c r="H71" s="227">
        <f t="shared" si="3"/>
        <v>0</v>
      </c>
      <c r="I71" s="227">
        <f t="shared" si="3"/>
        <v>0</v>
      </c>
      <c r="J71" s="227">
        <f t="shared" si="3"/>
        <v>0</v>
      </c>
      <c r="K71" s="227">
        <f t="shared" si="3"/>
        <v>0</v>
      </c>
      <c r="L71" s="227">
        <f t="shared" si="3"/>
        <v>0</v>
      </c>
      <c r="M71" s="227">
        <f t="shared" si="3"/>
        <v>0</v>
      </c>
      <c r="N71" s="227">
        <f t="shared" si="3"/>
        <v>30</v>
      </c>
      <c r="O71" s="227">
        <f t="shared" si="3"/>
        <v>0</v>
      </c>
      <c r="P71" s="227">
        <f t="shared" si="3"/>
        <v>0</v>
      </c>
      <c r="Q71" s="227">
        <f t="shared" si="3"/>
        <v>0</v>
      </c>
      <c r="R71" s="227">
        <f t="shared" si="3"/>
        <v>2</v>
      </c>
      <c r="S71" s="227">
        <f t="shared" si="3"/>
        <v>2</v>
      </c>
      <c r="T71" s="227">
        <f t="shared" si="3"/>
        <v>8</v>
      </c>
      <c r="U71" s="610"/>
      <c r="V71" s="606"/>
      <c r="W71" s="602"/>
      <c r="X71" s="615"/>
      <c r="Y71" s="203"/>
      <c r="Z71" s="203"/>
      <c r="AA71" s="203"/>
    </row>
    <row r="72" spans="1:27" s="201" customFormat="1" ht="21.6" customHeight="1" x14ac:dyDescent="0.35">
      <c r="A72" s="205"/>
      <c r="B72" s="582" t="s">
        <v>314</v>
      </c>
      <c r="C72" s="583"/>
      <c r="D72" s="583"/>
      <c r="E72" s="583"/>
      <c r="F72" s="264" t="str">
        <f t="shared" ref="F71:F73" si="4">SUM(G72:T72)&amp;"件"</f>
        <v>26件</v>
      </c>
      <c r="G72" s="227">
        <f t="shared" ref="G72:T72" si="5">COUNTIF(G4:G69,"○")+COUNTIF(G4:G69,"●")</f>
        <v>16</v>
      </c>
      <c r="H72" s="227">
        <f t="shared" si="5"/>
        <v>0</v>
      </c>
      <c r="I72" s="227">
        <f t="shared" si="5"/>
        <v>0</v>
      </c>
      <c r="J72" s="227">
        <f t="shared" si="5"/>
        <v>0</v>
      </c>
      <c r="K72" s="227">
        <f t="shared" si="5"/>
        <v>0</v>
      </c>
      <c r="L72" s="227">
        <f t="shared" si="5"/>
        <v>0</v>
      </c>
      <c r="M72" s="227">
        <f t="shared" si="5"/>
        <v>0</v>
      </c>
      <c r="N72" s="227">
        <f t="shared" si="5"/>
        <v>0</v>
      </c>
      <c r="O72" s="227">
        <f t="shared" si="5"/>
        <v>0</v>
      </c>
      <c r="P72" s="227">
        <f t="shared" si="5"/>
        <v>0</v>
      </c>
      <c r="Q72" s="227">
        <f t="shared" si="5"/>
        <v>0</v>
      </c>
      <c r="R72" s="227">
        <f t="shared" si="5"/>
        <v>2</v>
      </c>
      <c r="S72" s="227">
        <f t="shared" si="5"/>
        <v>0</v>
      </c>
      <c r="T72" s="227">
        <f t="shared" si="5"/>
        <v>8</v>
      </c>
      <c r="U72" s="610"/>
      <c r="V72" s="607" t="s">
        <v>461</v>
      </c>
      <c r="W72" s="603">
        <f>COUNTIF(W4:W69,"×")</f>
        <v>0</v>
      </c>
      <c r="X72" s="615"/>
      <c r="Y72" s="203"/>
      <c r="Z72" s="203"/>
      <c r="AA72" s="203"/>
    </row>
    <row r="73" spans="1:27" s="201" customFormat="1" ht="21.6" customHeight="1" thickBot="1" x14ac:dyDescent="0.4">
      <c r="A73" s="205"/>
      <c r="B73" s="584" t="s">
        <v>713</v>
      </c>
      <c r="C73" s="585"/>
      <c r="D73" s="585"/>
      <c r="E73" s="585"/>
      <c r="F73" s="265" t="str">
        <f t="shared" si="4"/>
        <v>60件</v>
      </c>
      <c r="G73" s="228">
        <f t="shared" ref="G73:T73" si="6">COUNTIF(G4:G69,"●")+COUNTIF(G4:G69,"▲")+COUNTIF(G4:G69,"■")</f>
        <v>21</v>
      </c>
      <c r="H73" s="228">
        <f t="shared" si="6"/>
        <v>0</v>
      </c>
      <c r="I73" s="228">
        <f t="shared" si="6"/>
        <v>0</v>
      </c>
      <c r="J73" s="228">
        <f t="shared" si="6"/>
        <v>0</v>
      </c>
      <c r="K73" s="228">
        <f t="shared" si="6"/>
        <v>0</v>
      </c>
      <c r="L73" s="228">
        <f t="shared" si="6"/>
        <v>0</v>
      </c>
      <c r="M73" s="228">
        <f t="shared" si="6"/>
        <v>0</v>
      </c>
      <c r="N73" s="228">
        <f t="shared" si="6"/>
        <v>30</v>
      </c>
      <c r="O73" s="228">
        <f t="shared" si="6"/>
        <v>0</v>
      </c>
      <c r="P73" s="228">
        <f t="shared" si="6"/>
        <v>0</v>
      </c>
      <c r="Q73" s="228">
        <f t="shared" si="6"/>
        <v>0</v>
      </c>
      <c r="R73" s="228">
        <f t="shared" si="6"/>
        <v>1</v>
      </c>
      <c r="S73" s="228">
        <f t="shared" si="6"/>
        <v>3</v>
      </c>
      <c r="T73" s="228">
        <f t="shared" si="6"/>
        <v>5</v>
      </c>
      <c r="U73" s="611"/>
      <c r="V73" s="608"/>
      <c r="W73" s="604"/>
      <c r="X73" s="616"/>
      <c r="Y73" s="203"/>
      <c r="Z73" s="203"/>
      <c r="AA73" s="203"/>
    </row>
    <row r="74" spans="1:27" x14ac:dyDescent="0.35">
      <c r="S74" s="259"/>
      <c r="T74" s="259"/>
      <c r="U74" s="260"/>
    </row>
    <row r="75" spans="1:27" x14ac:dyDescent="0.35">
      <c r="S75" s="259"/>
      <c r="T75" s="259"/>
      <c r="U75" s="260"/>
    </row>
    <row r="76" spans="1:27" x14ac:dyDescent="0.35">
      <c r="D76" s="205" t="e">
        <f>SUM($F$70+Win10対応_サーバ!$D$25)</f>
        <v>#VALUE!</v>
      </c>
      <c r="S76" s="259"/>
      <c r="T76" s="259"/>
      <c r="U76" s="260"/>
    </row>
    <row r="77" spans="1:27" x14ac:dyDescent="0.35">
      <c r="S77" s="259"/>
      <c r="T77" s="259"/>
      <c r="U77" s="260"/>
    </row>
    <row r="78" spans="1:27" x14ac:dyDescent="0.35">
      <c r="S78" s="259"/>
      <c r="T78" s="259"/>
      <c r="U78" s="260"/>
    </row>
    <row r="79" spans="1:27" x14ac:dyDescent="0.35">
      <c r="S79" s="259"/>
      <c r="T79" s="259"/>
      <c r="U79" s="260"/>
    </row>
    <row r="80" spans="1:27" x14ac:dyDescent="0.35">
      <c r="S80" s="259"/>
      <c r="T80" s="259"/>
      <c r="U80" s="260"/>
    </row>
    <row r="81" spans="14:21" x14ac:dyDescent="0.35">
      <c r="N81" s="262"/>
      <c r="S81" s="259"/>
      <c r="T81" s="259"/>
      <c r="U81" s="260"/>
    </row>
    <row r="82" spans="14:21" x14ac:dyDescent="0.35">
      <c r="S82" s="259"/>
      <c r="T82" s="259"/>
      <c r="U82" s="260"/>
    </row>
    <row r="83" spans="14:21" x14ac:dyDescent="0.35">
      <c r="S83" s="259"/>
      <c r="T83" s="259"/>
      <c r="U83" s="260"/>
    </row>
    <row r="84" spans="14:21" x14ac:dyDescent="0.35">
      <c r="S84" s="259"/>
      <c r="T84" s="259"/>
      <c r="U84" s="260"/>
    </row>
    <row r="85" spans="14:21" x14ac:dyDescent="0.35">
      <c r="S85" s="259"/>
      <c r="T85" s="259"/>
      <c r="U85" s="260"/>
    </row>
    <row r="86" spans="14:21" x14ac:dyDescent="0.35">
      <c r="S86" s="259"/>
      <c r="T86" s="259"/>
      <c r="U86" s="260"/>
    </row>
    <row r="87" spans="14:21" x14ac:dyDescent="0.35">
      <c r="S87" s="259"/>
      <c r="T87" s="259"/>
      <c r="U87" s="260"/>
    </row>
    <row r="88" spans="14:21" x14ac:dyDescent="0.35">
      <c r="S88" s="259"/>
      <c r="T88" s="259"/>
      <c r="U88" s="260"/>
    </row>
    <row r="89" spans="14:21" x14ac:dyDescent="0.35">
      <c r="S89" s="259"/>
      <c r="T89" s="259"/>
      <c r="U89" s="260"/>
    </row>
    <row r="90" spans="14:21" x14ac:dyDescent="0.35">
      <c r="S90" s="259"/>
      <c r="T90" s="259"/>
      <c r="U90" s="260"/>
    </row>
    <row r="91" spans="14:21" x14ac:dyDescent="0.35">
      <c r="S91" s="259"/>
      <c r="T91" s="259"/>
      <c r="U91" s="260"/>
    </row>
    <row r="92" spans="14:21" x14ac:dyDescent="0.35">
      <c r="S92" s="259"/>
      <c r="T92" s="259"/>
      <c r="U92" s="260"/>
    </row>
    <row r="93" spans="14:21" x14ac:dyDescent="0.35">
      <c r="S93" s="259"/>
      <c r="T93" s="259"/>
      <c r="U93" s="260"/>
    </row>
    <row r="94" spans="14:21" x14ac:dyDescent="0.35">
      <c r="S94" s="259"/>
      <c r="T94" s="259"/>
      <c r="U94" s="260"/>
    </row>
    <row r="95" spans="14:21" x14ac:dyDescent="0.35">
      <c r="S95" s="259"/>
      <c r="T95" s="259"/>
      <c r="U95" s="260"/>
    </row>
    <row r="96" spans="14:21" x14ac:dyDescent="0.35">
      <c r="S96" s="259"/>
      <c r="T96" s="259"/>
      <c r="U96" s="260"/>
    </row>
  </sheetData>
  <mergeCells count="20">
    <mergeCell ref="W2:W3"/>
    <mergeCell ref="V2:V3"/>
    <mergeCell ref="U2:U3"/>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7" activePane="bottomLeft" state="frozen"/>
      <selection activeCell="D17" sqref="D17"/>
      <selection pane="bottomLeft" activeCell="M46" sqref="M46"/>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60"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92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482</v>
      </c>
      <c r="C4" s="396" t="s">
        <v>484</v>
      </c>
      <c r="D4" s="391"/>
      <c r="E4" s="451">
        <f>ROW()-3</f>
        <v>1</v>
      </c>
      <c r="F4" s="452" t="s">
        <v>489</v>
      </c>
      <c r="G4" s="453" t="s">
        <v>490</v>
      </c>
      <c r="H4" s="478" t="s">
        <v>293</v>
      </c>
      <c r="I4" s="479" t="s">
        <v>293</v>
      </c>
      <c r="J4" s="478" t="s">
        <v>293</v>
      </c>
      <c r="K4" s="478" t="s">
        <v>293</v>
      </c>
      <c r="L4" s="478" t="s">
        <v>293</v>
      </c>
      <c r="M4" s="478" t="s">
        <v>293</v>
      </c>
      <c r="N4" s="479" t="s">
        <v>293</v>
      </c>
      <c r="O4" s="479" t="s">
        <v>293</v>
      </c>
      <c r="P4" s="480" t="s">
        <v>293</v>
      </c>
      <c r="Q4" s="68"/>
      <c r="R4" s="54"/>
      <c r="S4" s="70"/>
      <c r="T4" s="361"/>
      <c r="U4" s="481" t="s">
        <v>767</v>
      </c>
    </row>
    <row r="5" spans="1:22" ht="28.2" customHeight="1" x14ac:dyDescent="0.35">
      <c r="B5" s="126" t="s">
        <v>564</v>
      </c>
      <c r="C5" s="247" t="s">
        <v>485</v>
      </c>
      <c r="D5" s="242" t="s">
        <v>486</v>
      </c>
      <c r="E5" s="246">
        <f t="shared" ref="E5:E90" si="0">ROW()-3</f>
        <v>2</v>
      </c>
      <c r="F5" s="100" t="s">
        <v>491</v>
      </c>
      <c r="G5" s="94" t="s">
        <v>493</v>
      </c>
      <c r="H5" s="81" t="s">
        <v>712</v>
      </c>
      <c r="I5" s="51" t="s">
        <v>293</v>
      </c>
      <c r="J5" s="51" t="s">
        <v>293</v>
      </c>
      <c r="K5" s="51" t="s">
        <v>293</v>
      </c>
      <c r="L5" s="81" t="s">
        <v>712</v>
      </c>
      <c r="M5" s="81" t="s">
        <v>712</v>
      </c>
      <c r="N5" s="51" t="s">
        <v>293</v>
      </c>
      <c r="O5" s="51" t="s">
        <v>293</v>
      </c>
      <c r="P5" s="65" t="s">
        <v>293</v>
      </c>
      <c r="Q5" s="67"/>
      <c r="R5" s="52"/>
      <c r="S5" s="69"/>
      <c r="T5" s="88"/>
      <c r="U5" s="103"/>
    </row>
    <row r="6" spans="1:22" ht="28.2" customHeight="1" x14ac:dyDescent="0.35">
      <c r="B6" s="126"/>
      <c r="C6" s="291" t="s">
        <v>483</v>
      </c>
      <c r="D6" s="242" t="s">
        <v>571</v>
      </c>
      <c r="E6" s="246">
        <f t="shared" si="0"/>
        <v>3</v>
      </c>
      <c r="F6" s="100" t="s">
        <v>492</v>
      </c>
      <c r="G6" s="94" t="s">
        <v>497</v>
      </c>
      <c r="H6" s="81" t="s">
        <v>712</v>
      </c>
      <c r="I6" s="51" t="s">
        <v>293</v>
      </c>
      <c r="J6" s="51" t="s">
        <v>293</v>
      </c>
      <c r="K6" s="51" t="s">
        <v>293</v>
      </c>
      <c r="L6" s="81" t="s">
        <v>712</v>
      </c>
      <c r="M6" s="81" t="s">
        <v>712</v>
      </c>
      <c r="N6" s="51" t="s">
        <v>293</v>
      </c>
      <c r="O6" s="51" t="s">
        <v>293</v>
      </c>
      <c r="P6" s="65" t="s">
        <v>293</v>
      </c>
      <c r="Q6" s="67"/>
      <c r="R6" s="52"/>
      <c r="S6" s="69"/>
      <c r="T6" s="88"/>
      <c r="U6" s="104" t="s">
        <v>680</v>
      </c>
    </row>
    <row r="7" spans="1:22" ht="28.2" customHeight="1" x14ac:dyDescent="0.35">
      <c r="B7" s="126"/>
      <c r="C7" s="334"/>
      <c r="D7" s="242" t="s">
        <v>572</v>
      </c>
      <c r="E7" s="246">
        <f t="shared" si="0"/>
        <v>4</v>
      </c>
      <c r="F7" s="100" t="s">
        <v>581</v>
      </c>
      <c r="G7" s="94" t="s">
        <v>497</v>
      </c>
      <c r="H7" s="81" t="s">
        <v>712</v>
      </c>
      <c r="I7" s="51" t="s">
        <v>293</v>
      </c>
      <c r="J7" s="51" t="s">
        <v>293</v>
      </c>
      <c r="K7" s="51" t="s">
        <v>293</v>
      </c>
      <c r="L7" s="81" t="s">
        <v>712</v>
      </c>
      <c r="M7" s="81" t="s">
        <v>712</v>
      </c>
      <c r="N7" s="51" t="s">
        <v>293</v>
      </c>
      <c r="O7" s="51" t="s">
        <v>293</v>
      </c>
      <c r="P7" s="65" t="s">
        <v>293</v>
      </c>
      <c r="Q7" s="67"/>
      <c r="R7" s="52"/>
      <c r="S7" s="69"/>
      <c r="T7" s="88"/>
      <c r="U7" s="104"/>
    </row>
    <row r="8" spans="1:22" ht="26.4" x14ac:dyDescent="0.35">
      <c r="B8" s="126"/>
      <c r="C8" s="335"/>
      <c r="D8" s="242" t="s">
        <v>573</v>
      </c>
      <c r="E8" s="246">
        <f t="shared" si="0"/>
        <v>5</v>
      </c>
      <c r="F8" s="100" t="s">
        <v>580</v>
      </c>
      <c r="G8" s="94" t="s">
        <v>497</v>
      </c>
      <c r="H8" s="81" t="s">
        <v>712</v>
      </c>
      <c r="I8" s="51" t="s">
        <v>293</v>
      </c>
      <c r="J8" s="51" t="s">
        <v>293</v>
      </c>
      <c r="K8" s="51" t="s">
        <v>293</v>
      </c>
      <c r="L8" s="81" t="s">
        <v>712</v>
      </c>
      <c r="M8" s="81" t="s">
        <v>712</v>
      </c>
      <c r="N8" s="51" t="s">
        <v>293</v>
      </c>
      <c r="O8" s="51" t="s">
        <v>293</v>
      </c>
      <c r="P8" s="65" t="s">
        <v>293</v>
      </c>
      <c r="Q8" s="67"/>
      <c r="R8" s="52"/>
      <c r="S8" s="69"/>
      <c r="T8" s="88"/>
      <c r="U8" s="104"/>
    </row>
    <row r="9" spans="1:22" ht="28.2" customHeight="1" x14ac:dyDescent="0.35">
      <c r="B9" s="126"/>
      <c r="C9" s="127"/>
      <c r="D9" s="242" t="s">
        <v>577</v>
      </c>
      <c r="E9" s="246">
        <f t="shared" si="0"/>
        <v>6</v>
      </c>
      <c r="F9" s="100" t="s">
        <v>492</v>
      </c>
      <c r="G9" s="94" t="s">
        <v>497</v>
      </c>
      <c r="H9" s="81" t="s">
        <v>712</v>
      </c>
      <c r="I9" s="51" t="s">
        <v>293</v>
      </c>
      <c r="J9" s="51" t="s">
        <v>293</v>
      </c>
      <c r="K9" s="51" t="s">
        <v>293</v>
      </c>
      <c r="L9" s="81" t="s">
        <v>712</v>
      </c>
      <c r="M9" s="81" t="s">
        <v>712</v>
      </c>
      <c r="N9" s="51" t="s">
        <v>293</v>
      </c>
      <c r="O9" s="51" t="s">
        <v>293</v>
      </c>
      <c r="P9" s="65" t="s">
        <v>293</v>
      </c>
      <c r="Q9" s="67"/>
      <c r="R9" s="52"/>
      <c r="S9" s="69"/>
      <c r="T9" s="88"/>
      <c r="U9" s="104"/>
    </row>
    <row r="10" spans="1:22" ht="28.2" customHeight="1" x14ac:dyDescent="0.35">
      <c r="B10" s="126"/>
      <c r="C10" s="334"/>
      <c r="D10" s="242" t="s">
        <v>578</v>
      </c>
      <c r="E10" s="246">
        <f t="shared" si="0"/>
        <v>7</v>
      </c>
      <c r="F10" s="100" t="s">
        <v>581</v>
      </c>
      <c r="G10" s="94" t="s">
        <v>497</v>
      </c>
      <c r="H10" s="81" t="s">
        <v>712</v>
      </c>
      <c r="I10" s="51" t="s">
        <v>293</v>
      </c>
      <c r="J10" s="51" t="s">
        <v>293</v>
      </c>
      <c r="K10" s="51" t="s">
        <v>293</v>
      </c>
      <c r="L10" s="81" t="s">
        <v>712</v>
      </c>
      <c r="M10" s="81" t="s">
        <v>712</v>
      </c>
      <c r="N10" s="51" t="s">
        <v>293</v>
      </c>
      <c r="O10" s="51" t="s">
        <v>293</v>
      </c>
      <c r="P10" s="65" t="s">
        <v>293</v>
      </c>
      <c r="Q10" s="67"/>
      <c r="R10" s="52"/>
      <c r="S10" s="69"/>
      <c r="T10" s="88"/>
      <c r="U10" s="103"/>
    </row>
    <row r="11" spans="1:22" ht="26.4" x14ac:dyDescent="0.35">
      <c r="B11" s="126"/>
      <c r="C11" s="335"/>
      <c r="D11" s="242" t="s">
        <v>579</v>
      </c>
      <c r="E11" s="246">
        <f t="shared" si="0"/>
        <v>8</v>
      </c>
      <c r="F11" s="100" t="s">
        <v>580</v>
      </c>
      <c r="G11" s="94" t="s">
        <v>497</v>
      </c>
      <c r="H11" s="81" t="s">
        <v>712</v>
      </c>
      <c r="I11" s="51" t="s">
        <v>293</v>
      </c>
      <c r="J11" s="51" t="s">
        <v>293</v>
      </c>
      <c r="K11" s="51" t="s">
        <v>293</v>
      </c>
      <c r="L11" s="81" t="s">
        <v>712</v>
      </c>
      <c r="M11" s="81" t="s">
        <v>712</v>
      </c>
      <c r="N11" s="51" t="s">
        <v>293</v>
      </c>
      <c r="O11" s="51" t="s">
        <v>293</v>
      </c>
      <c r="P11" s="65" t="s">
        <v>293</v>
      </c>
      <c r="Q11" s="67"/>
      <c r="R11" s="52"/>
      <c r="S11" s="69"/>
      <c r="T11" s="88"/>
      <c r="U11" s="103"/>
    </row>
    <row r="12" spans="1:22" ht="28.2" customHeight="1" x14ac:dyDescent="0.35">
      <c r="B12" s="126"/>
      <c r="C12" s="334"/>
      <c r="D12" s="242" t="s">
        <v>768</v>
      </c>
      <c r="E12" s="246">
        <f t="shared" si="0"/>
        <v>9</v>
      </c>
      <c r="F12" s="100" t="s">
        <v>492</v>
      </c>
      <c r="G12" s="94" t="s">
        <v>497</v>
      </c>
      <c r="H12" s="81" t="s">
        <v>712</v>
      </c>
      <c r="I12" s="51" t="s">
        <v>293</v>
      </c>
      <c r="J12" s="51" t="s">
        <v>293</v>
      </c>
      <c r="K12" s="51" t="s">
        <v>293</v>
      </c>
      <c r="L12" s="81" t="s">
        <v>712</v>
      </c>
      <c r="M12" s="81" t="s">
        <v>712</v>
      </c>
      <c r="N12" s="51" t="s">
        <v>293</v>
      </c>
      <c r="O12" s="51" t="s">
        <v>293</v>
      </c>
      <c r="P12" s="65" t="s">
        <v>293</v>
      </c>
      <c r="Q12" s="67"/>
      <c r="R12" s="52"/>
      <c r="S12" s="69"/>
      <c r="T12" s="88"/>
      <c r="U12" s="104"/>
    </row>
    <row r="13" spans="1:22" ht="26.4" x14ac:dyDescent="0.35">
      <c r="B13" s="126"/>
      <c r="C13" s="335"/>
      <c r="D13" s="242" t="s">
        <v>575</v>
      </c>
      <c r="E13" s="246">
        <f t="shared" si="0"/>
        <v>10</v>
      </c>
      <c r="F13" s="100" t="s">
        <v>581</v>
      </c>
      <c r="G13" s="94" t="s">
        <v>497</v>
      </c>
      <c r="H13" s="81" t="s">
        <v>712</v>
      </c>
      <c r="I13" s="51" t="s">
        <v>293</v>
      </c>
      <c r="J13" s="51" t="s">
        <v>293</v>
      </c>
      <c r="K13" s="51" t="s">
        <v>293</v>
      </c>
      <c r="L13" s="81" t="s">
        <v>712</v>
      </c>
      <c r="M13" s="81" t="s">
        <v>712</v>
      </c>
      <c r="N13" s="51" t="s">
        <v>293</v>
      </c>
      <c r="O13" s="51" t="s">
        <v>293</v>
      </c>
      <c r="P13" s="65" t="s">
        <v>293</v>
      </c>
      <c r="Q13" s="67"/>
      <c r="R13" s="52"/>
      <c r="S13" s="69"/>
      <c r="T13" s="88"/>
      <c r="U13" s="103"/>
    </row>
    <row r="14" spans="1:22" ht="28.2" customHeight="1" x14ac:dyDescent="0.35">
      <c r="B14" s="126"/>
      <c r="C14" s="127"/>
      <c r="D14" s="242" t="s">
        <v>576</v>
      </c>
      <c r="E14" s="246">
        <f t="shared" si="0"/>
        <v>11</v>
      </c>
      <c r="F14" s="100" t="s">
        <v>580</v>
      </c>
      <c r="G14" s="94" t="s">
        <v>497</v>
      </c>
      <c r="H14" s="81" t="s">
        <v>712</v>
      </c>
      <c r="I14" s="51" t="s">
        <v>293</v>
      </c>
      <c r="J14" s="51" t="s">
        <v>293</v>
      </c>
      <c r="K14" s="51" t="s">
        <v>293</v>
      </c>
      <c r="L14" s="81" t="s">
        <v>712</v>
      </c>
      <c r="M14" s="81" t="s">
        <v>712</v>
      </c>
      <c r="N14" s="51" t="s">
        <v>293</v>
      </c>
      <c r="O14" s="51" t="s">
        <v>293</v>
      </c>
      <c r="P14" s="65" t="s">
        <v>293</v>
      </c>
      <c r="Q14" s="67"/>
      <c r="R14" s="52"/>
      <c r="S14" s="69"/>
      <c r="T14" s="88"/>
      <c r="U14" s="103"/>
    </row>
    <row r="15" spans="1:22" ht="28.2" customHeight="1" x14ac:dyDescent="0.35">
      <c r="B15" s="126"/>
      <c r="C15" s="128" t="s">
        <v>487</v>
      </c>
      <c r="D15" s="393" t="s">
        <v>582</v>
      </c>
      <c r="E15" s="97">
        <f t="shared" si="0"/>
        <v>12</v>
      </c>
      <c r="F15" s="98" t="s">
        <v>495</v>
      </c>
      <c r="G15" s="99" t="s">
        <v>498</v>
      </c>
      <c r="H15" s="53" t="s">
        <v>293</v>
      </c>
      <c r="I15" s="53" t="s">
        <v>293</v>
      </c>
      <c r="J15" s="53" t="s">
        <v>293</v>
      </c>
      <c r="K15" s="53" t="s">
        <v>293</v>
      </c>
      <c r="L15" s="53" t="s">
        <v>293</v>
      </c>
      <c r="M15" s="53" t="s">
        <v>293</v>
      </c>
      <c r="N15" s="53" t="s">
        <v>293</v>
      </c>
      <c r="O15" s="53" t="s">
        <v>293</v>
      </c>
      <c r="P15" s="66" t="s">
        <v>293</v>
      </c>
      <c r="Q15" s="68"/>
      <c r="R15" s="54"/>
      <c r="S15" s="70"/>
      <c r="T15" s="361"/>
      <c r="U15" s="392" t="s">
        <v>729</v>
      </c>
      <c r="V15" s="130"/>
    </row>
    <row r="16" spans="1:22" ht="28.2" customHeight="1" x14ac:dyDescent="0.35">
      <c r="B16" s="126"/>
      <c r="C16" s="291"/>
      <c r="D16" s="247" t="s">
        <v>583</v>
      </c>
      <c r="E16" s="246">
        <f t="shared" si="0"/>
        <v>13</v>
      </c>
      <c r="F16" s="100" t="s">
        <v>496</v>
      </c>
      <c r="G16" s="94" t="s">
        <v>498</v>
      </c>
      <c r="H16" s="81" t="s">
        <v>712</v>
      </c>
      <c r="I16" s="51" t="s">
        <v>293</v>
      </c>
      <c r="J16" s="51" t="s">
        <v>293</v>
      </c>
      <c r="K16" s="51" t="s">
        <v>293</v>
      </c>
      <c r="L16" s="81" t="s">
        <v>712</v>
      </c>
      <c r="M16" s="81" t="s">
        <v>712</v>
      </c>
      <c r="N16" s="51" t="s">
        <v>293</v>
      </c>
      <c r="O16" s="51" t="s">
        <v>293</v>
      </c>
      <c r="P16" s="65" t="s">
        <v>293</v>
      </c>
      <c r="Q16" s="67"/>
      <c r="R16" s="52"/>
      <c r="S16" s="69"/>
      <c r="T16" s="88"/>
      <c r="U16" s="103"/>
    </row>
    <row r="17" spans="2:22" ht="28.8" customHeight="1" x14ac:dyDescent="0.35">
      <c r="B17" s="126"/>
      <c r="C17" s="127"/>
      <c r="D17" s="247" t="s">
        <v>584</v>
      </c>
      <c r="E17" s="246">
        <f t="shared" si="0"/>
        <v>14</v>
      </c>
      <c r="F17" s="100" t="s">
        <v>495</v>
      </c>
      <c r="G17" s="94" t="s">
        <v>498</v>
      </c>
      <c r="H17" s="81" t="s">
        <v>712</v>
      </c>
      <c r="I17" s="51" t="s">
        <v>293</v>
      </c>
      <c r="J17" s="51" t="s">
        <v>293</v>
      </c>
      <c r="K17" s="51" t="s">
        <v>293</v>
      </c>
      <c r="L17" s="81" t="s">
        <v>712</v>
      </c>
      <c r="M17" s="81" t="s">
        <v>712</v>
      </c>
      <c r="N17" s="51" t="s">
        <v>293</v>
      </c>
      <c r="O17" s="51" t="s">
        <v>293</v>
      </c>
      <c r="P17" s="65" t="s">
        <v>293</v>
      </c>
      <c r="Q17" s="67"/>
      <c r="R17" s="52"/>
      <c r="S17" s="69"/>
      <c r="T17" s="88"/>
      <c r="U17" s="103"/>
    </row>
    <row r="18" spans="2:22" ht="28.2" customHeight="1" x14ac:dyDescent="0.35">
      <c r="B18" s="126"/>
      <c r="C18" s="291"/>
      <c r="D18" s="291" t="s">
        <v>590</v>
      </c>
      <c r="E18" s="246">
        <f t="shared" si="0"/>
        <v>15</v>
      </c>
      <c r="F18" s="100" t="s">
        <v>586</v>
      </c>
      <c r="G18" s="94" t="s">
        <v>498</v>
      </c>
      <c r="H18" s="81" t="s">
        <v>712</v>
      </c>
      <c r="I18" s="51" t="s">
        <v>293</v>
      </c>
      <c r="J18" s="51" t="s">
        <v>293</v>
      </c>
      <c r="K18" s="51" t="s">
        <v>293</v>
      </c>
      <c r="L18" s="81" t="s">
        <v>712</v>
      </c>
      <c r="M18" s="81" t="s">
        <v>712</v>
      </c>
      <c r="N18" s="51" t="s">
        <v>293</v>
      </c>
      <c r="O18" s="51" t="s">
        <v>293</v>
      </c>
      <c r="P18" s="65" t="s">
        <v>293</v>
      </c>
      <c r="Q18" s="67"/>
      <c r="R18" s="52"/>
      <c r="S18" s="69"/>
      <c r="T18" s="88"/>
      <c r="U18" s="104"/>
      <c r="V18" s="130"/>
    </row>
    <row r="19" spans="2:22" ht="28.2" customHeight="1" x14ac:dyDescent="0.35">
      <c r="B19" s="126"/>
      <c r="C19" s="291"/>
      <c r="D19" s="247" t="s">
        <v>591</v>
      </c>
      <c r="E19" s="246">
        <f t="shared" si="0"/>
        <v>16</v>
      </c>
      <c r="F19" s="100" t="s">
        <v>585</v>
      </c>
      <c r="G19" s="94" t="s">
        <v>498</v>
      </c>
      <c r="H19" s="81" t="s">
        <v>712</v>
      </c>
      <c r="I19" s="51" t="s">
        <v>293</v>
      </c>
      <c r="J19" s="51" t="s">
        <v>293</v>
      </c>
      <c r="K19" s="51" t="s">
        <v>293</v>
      </c>
      <c r="L19" s="81" t="s">
        <v>712</v>
      </c>
      <c r="M19" s="81" t="s">
        <v>712</v>
      </c>
      <c r="N19" s="51" t="s">
        <v>293</v>
      </c>
      <c r="O19" s="51" t="s">
        <v>293</v>
      </c>
      <c r="P19" s="65" t="s">
        <v>293</v>
      </c>
      <c r="Q19" s="67"/>
      <c r="R19" s="52"/>
      <c r="S19" s="69"/>
      <c r="T19" s="88"/>
      <c r="U19" s="103"/>
    </row>
    <row r="20" spans="2:22" ht="28.8" customHeight="1" x14ac:dyDescent="0.35">
      <c r="B20" s="126"/>
      <c r="C20" s="127"/>
      <c r="D20" s="247" t="s">
        <v>592</v>
      </c>
      <c r="E20" s="246">
        <f t="shared" si="0"/>
        <v>17</v>
      </c>
      <c r="F20" s="100" t="s">
        <v>586</v>
      </c>
      <c r="G20" s="94" t="s">
        <v>498</v>
      </c>
      <c r="H20" s="81" t="s">
        <v>712</v>
      </c>
      <c r="I20" s="51" t="s">
        <v>293</v>
      </c>
      <c r="J20" s="51" t="s">
        <v>293</v>
      </c>
      <c r="K20" s="51" t="s">
        <v>293</v>
      </c>
      <c r="L20" s="81" t="s">
        <v>712</v>
      </c>
      <c r="M20" s="81" t="s">
        <v>712</v>
      </c>
      <c r="N20" s="51" t="s">
        <v>293</v>
      </c>
      <c r="O20" s="51" t="s">
        <v>293</v>
      </c>
      <c r="P20" s="65" t="s">
        <v>293</v>
      </c>
      <c r="Q20" s="67"/>
      <c r="R20" s="52"/>
      <c r="S20" s="69"/>
      <c r="T20" s="88"/>
      <c r="U20" s="103"/>
    </row>
    <row r="21" spans="2:22" ht="28.2" customHeight="1" x14ac:dyDescent="0.35">
      <c r="B21" s="126"/>
      <c r="C21" s="128" t="s">
        <v>488</v>
      </c>
      <c r="D21" s="291" t="s">
        <v>494</v>
      </c>
      <c r="E21" s="246">
        <f t="shared" si="0"/>
        <v>18</v>
      </c>
      <c r="F21" s="100" t="s">
        <v>587</v>
      </c>
      <c r="G21" s="94" t="s">
        <v>499</v>
      </c>
      <c r="H21" s="81" t="s">
        <v>712</v>
      </c>
      <c r="I21" s="51" t="s">
        <v>293</v>
      </c>
      <c r="J21" s="51" t="s">
        <v>293</v>
      </c>
      <c r="K21" s="51" t="s">
        <v>293</v>
      </c>
      <c r="L21" s="81" t="s">
        <v>712</v>
      </c>
      <c r="M21" s="81" t="s">
        <v>712</v>
      </c>
      <c r="N21" s="51" t="s">
        <v>293</v>
      </c>
      <c r="O21" s="51" t="s">
        <v>293</v>
      </c>
      <c r="P21" s="65" t="s">
        <v>293</v>
      </c>
      <c r="Q21" s="67"/>
      <c r="R21" s="52"/>
      <c r="S21" s="69"/>
      <c r="T21" s="88"/>
      <c r="U21" s="103"/>
    </row>
    <row r="22" spans="2:22" ht="28.2" customHeight="1" x14ac:dyDescent="0.35">
      <c r="B22" s="126"/>
      <c r="C22" s="291"/>
      <c r="D22" s="291"/>
      <c r="E22" s="246">
        <f t="shared" si="0"/>
        <v>19</v>
      </c>
      <c r="F22" s="100" t="s">
        <v>588</v>
      </c>
      <c r="G22" s="94" t="s">
        <v>499</v>
      </c>
      <c r="H22" s="81" t="s">
        <v>712</v>
      </c>
      <c r="I22" s="51" t="s">
        <v>293</v>
      </c>
      <c r="J22" s="51" t="s">
        <v>293</v>
      </c>
      <c r="K22" s="51" t="s">
        <v>293</v>
      </c>
      <c r="L22" s="81" t="s">
        <v>712</v>
      </c>
      <c r="M22" s="81" t="s">
        <v>712</v>
      </c>
      <c r="N22" s="51" t="s">
        <v>293</v>
      </c>
      <c r="O22" s="51" t="s">
        <v>293</v>
      </c>
      <c r="P22" s="65" t="s">
        <v>293</v>
      </c>
      <c r="Q22" s="67"/>
      <c r="R22" s="52"/>
      <c r="S22" s="69"/>
      <c r="T22" s="88"/>
      <c r="U22" s="103"/>
    </row>
    <row r="23" spans="2:22" ht="28.2" customHeight="1" x14ac:dyDescent="0.35">
      <c r="B23" s="126"/>
      <c r="C23" s="291"/>
      <c r="D23" s="242"/>
      <c r="E23" s="246">
        <f t="shared" si="0"/>
        <v>20</v>
      </c>
      <c r="F23" s="100" t="s">
        <v>589</v>
      </c>
      <c r="G23" s="94" t="s">
        <v>499</v>
      </c>
      <c r="H23" s="81" t="s">
        <v>712</v>
      </c>
      <c r="I23" s="51" t="s">
        <v>293</v>
      </c>
      <c r="J23" s="51" t="s">
        <v>293</v>
      </c>
      <c r="K23" s="51" t="s">
        <v>293</v>
      </c>
      <c r="L23" s="81" t="s">
        <v>712</v>
      </c>
      <c r="M23" s="81" t="s">
        <v>712</v>
      </c>
      <c r="N23" s="51" t="s">
        <v>293</v>
      </c>
      <c r="O23" s="51" t="s">
        <v>293</v>
      </c>
      <c r="P23" s="65" t="s">
        <v>293</v>
      </c>
      <c r="Q23" s="67"/>
      <c r="R23" s="52"/>
      <c r="S23" s="69"/>
      <c r="T23" s="88"/>
      <c r="U23" s="103"/>
    </row>
    <row r="24" spans="2:22" ht="28.2" customHeight="1" x14ac:dyDescent="0.35">
      <c r="B24" s="126"/>
      <c r="C24" s="127"/>
      <c r="D24" s="291" t="s">
        <v>593</v>
      </c>
      <c r="E24" s="246">
        <f t="shared" si="0"/>
        <v>21</v>
      </c>
      <c r="F24" s="100" t="s">
        <v>595</v>
      </c>
      <c r="G24" s="94" t="s">
        <v>499</v>
      </c>
      <c r="H24" s="81" t="s">
        <v>712</v>
      </c>
      <c r="I24" s="51" t="s">
        <v>293</v>
      </c>
      <c r="J24" s="51" t="s">
        <v>293</v>
      </c>
      <c r="K24" s="51" t="s">
        <v>293</v>
      </c>
      <c r="L24" s="81" t="s">
        <v>712</v>
      </c>
      <c r="M24" s="81" t="s">
        <v>712</v>
      </c>
      <c r="N24" s="51" t="s">
        <v>293</v>
      </c>
      <c r="O24" s="51" t="s">
        <v>293</v>
      </c>
      <c r="P24" s="65" t="s">
        <v>293</v>
      </c>
      <c r="Q24" s="67"/>
      <c r="R24" s="52"/>
      <c r="S24" s="69"/>
      <c r="T24" s="88"/>
      <c r="U24" s="103"/>
    </row>
    <row r="25" spans="2:22" ht="28.2" customHeight="1" x14ac:dyDescent="0.35">
      <c r="B25" s="126"/>
      <c r="C25" s="291"/>
      <c r="D25" s="291"/>
      <c r="E25" s="246">
        <f t="shared" si="0"/>
        <v>22</v>
      </c>
      <c r="F25" s="100" t="s">
        <v>631</v>
      </c>
      <c r="G25" s="94" t="s">
        <v>499</v>
      </c>
      <c r="H25" s="81" t="s">
        <v>712</v>
      </c>
      <c r="I25" s="51" t="s">
        <v>293</v>
      </c>
      <c r="J25" s="51" t="s">
        <v>293</v>
      </c>
      <c r="K25" s="51" t="s">
        <v>293</v>
      </c>
      <c r="L25" s="81" t="s">
        <v>712</v>
      </c>
      <c r="M25" s="81" t="s">
        <v>712</v>
      </c>
      <c r="N25" s="51" t="s">
        <v>293</v>
      </c>
      <c r="O25" s="51" t="s">
        <v>293</v>
      </c>
      <c r="P25" s="65" t="s">
        <v>293</v>
      </c>
      <c r="Q25" s="67"/>
      <c r="R25" s="52"/>
      <c r="S25" s="69"/>
      <c r="T25" s="88"/>
      <c r="U25" s="104" t="s">
        <v>681</v>
      </c>
    </row>
    <row r="26" spans="2:22" ht="28.2" customHeight="1" x14ac:dyDescent="0.35">
      <c r="B26" s="126"/>
      <c r="C26" s="291"/>
      <c r="D26" s="291"/>
      <c r="E26" s="246">
        <f t="shared" si="0"/>
        <v>23</v>
      </c>
      <c r="F26" s="100" t="s">
        <v>594</v>
      </c>
      <c r="G26" s="94" t="s">
        <v>499</v>
      </c>
      <c r="H26" s="81" t="s">
        <v>712</v>
      </c>
      <c r="I26" s="51" t="s">
        <v>293</v>
      </c>
      <c r="J26" s="51" t="s">
        <v>293</v>
      </c>
      <c r="K26" s="51" t="s">
        <v>293</v>
      </c>
      <c r="L26" s="81" t="s">
        <v>712</v>
      </c>
      <c r="M26" s="81" t="s">
        <v>712</v>
      </c>
      <c r="N26" s="51" t="s">
        <v>293</v>
      </c>
      <c r="O26" s="51" t="s">
        <v>293</v>
      </c>
      <c r="P26" s="65" t="s">
        <v>293</v>
      </c>
      <c r="Q26" s="67"/>
      <c r="R26" s="52"/>
      <c r="S26" s="69"/>
      <c r="T26" s="88"/>
      <c r="U26" s="104"/>
    </row>
    <row r="27" spans="2:22" ht="28.2" customHeight="1" x14ac:dyDescent="0.35">
      <c r="B27" s="129" t="s">
        <v>563</v>
      </c>
      <c r="C27" s="247" t="s">
        <v>485</v>
      </c>
      <c r="D27" s="247" t="s">
        <v>486</v>
      </c>
      <c r="E27" s="246">
        <f t="shared" si="0"/>
        <v>24</v>
      </c>
      <c r="F27" s="100" t="s">
        <v>491</v>
      </c>
      <c r="G27" s="94" t="s">
        <v>493</v>
      </c>
      <c r="H27" s="81" t="s">
        <v>712</v>
      </c>
      <c r="I27" s="51" t="s">
        <v>293</v>
      </c>
      <c r="J27" s="51" t="s">
        <v>293</v>
      </c>
      <c r="K27" s="51" t="s">
        <v>293</v>
      </c>
      <c r="L27" s="81" t="s">
        <v>712</v>
      </c>
      <c r="M27" s="81" t="s">
        <v>712</v>
      </c>
      <c r="N27" s="51" t="s">
        <v>293</v>
      </c>
      <c r="O27" s="51" t="s">
        <v>293</v>
      </c>
      <c r="P27" s="65" t="s">
        <v>293</v>
      </c>
      <c r="Q27" s="67"/>
      <c r="R27" s="52"/>
      <c r="S27" s="69"/>
      <c r="T27" s="88"/>
      <c r="U27" s="103"/>
    </row>
    <row r="28" spans="2:22" ht="28.2" customHeight="1" x14ac:dyDescent="0.35">
      <c r="B28" s="126"/>
      <c r="C28" s="291" t="s">
        <v>483</v>
      </c>
      <c r="D28" s="391" t="s">
        <v>571</v>
      </c>
      <c r="E28" s="97">
        <f t="shared" si="0"/>
        <v>25</v>
      </c>
      <c r="F28" s="98" t="s">
        <v>492</v>
      </c>
      <c r="G28" s="99" t="s">
        <v>597</v>
      </c>
      <c r="H28" s="53" t="s">
        <v>293</v>
      </c>
      <c r="I28" s="53" t="s">
        <v>293</v>
      </c>
      <c r="J28" s="53" t="s">
        <v>293</v>
      </c>
      <c r="K28" s="53" t="s">
        <v>293</v>
      </c>
      <c r="L28" s="53" t="s">
        <v>293</v>
      </c>
      <c r="M28" s="53" t="s">
        <v>293</v>
      </c>
      <c r="N28" s="53" t="s">
        <v>293</v>
      </c>
      <c r="O28" s="53" t="s">
        <v>293</v>
      </c>
      <c r="P28" s="66" t="s">
        <v>293</v>
      </c>
      <c r="Q28" s="68"/>
      <c r="R28" s="54"/>
      <c r="S28" s="70"/>
      <c r="T28" s="361"/>
      <c r="U28" s="392" t="s">
        <v>682</v>
      </c>
    </row>
    <row r="29" spans="2:22" ht="28.2" customHeight="1" x14ac:dyDescent="0.35">
      <c r="B29" s="126"/>
      <c r="C29" s="334"/>
      <c r="D29" s="401" t="s">
        <v>572</v>
      </c>
      <c r="E29" s="92">
        <f t="shared" si="0"/>
        <v>26</v>
      </c>
      <c r="F29" s="93" t="s">
        <v>581</v>
      </c>
      <c r="G29" s="94" t="s">
        <v>597</v>
      </c>
      <c r="H29" s="81" t="s">
        <v>712</v>
      </c>
      <c r="I29" s="51" t="s">
        <v>293</v>
      </c>
      <c r="J29" s="51" t="s">
        <v>293</v>
      </c>
      <c r="K29" s="51" t="s">
        <v>293</v>
      </c>
      <c r="L29" s="81" t="s">
        <v>712</v>
      </c>
      <c r="M29" s="81" t="s">
        <v>712</v>
      </c>
      <c r="N29" s="51" t="s">
        <v>293</v>
      </c>
      <c r="O29" s="51" t="s">
        <v>293</v>
      </c>
      <c r="P29" s="65" t="s">
        <v>293</v>
      </c>
      <c r="Q29" s="67"/>
      <c r="R29" s="52"/>
      <c r="S29" s="69"/>
      <c r="T29" s="88"/>
      <c r="U29" s="104"/>
    </row>
    <row r="30" spans="2:22" ht="26.4" x14ac:dyDescent="0.35">
      <c r="B30" s="126"/>
      <c r="C30" s="335"/>
      <c r="D30" s="401" t="s">
        <v>573</v>
      </c>
      <c r="E30" s="92">
        <f t="shared" si="0"/>
        <v>27</v>
      </c>
      <c r="F30" s="93" t="s">
        <v>580</v>
      </c>
      <c r="G30" s="94" t="s">
        <v>597</v>
      </c>
      <c r="H30" s="81" t="s">
        <v>712</v>
      </c>
      <c r="I30" s="51" t="s">
        <v>293</v>
      </c>
      <c r="J30" s="51" t="s">
        <v>293</v>
      </c>
      <c r="K30" s="51" t="s">
        <v>293</v>
      </c>
      <c r="L30" s="81" t="s">
        <v>712</v>
      </c>
      <c r="M30" s="81" t="s">
        <v>712</v>
      </c>
      <c r="N30" s="51" t="s">
        <v>293</v>
      </c>
      <c r="O30" s="51" t="s">
        <v>293</v>
      </c>
      <c r="P30" s="65" t="s">
        <v>293</v>
      </c>
      <c r="Q30" s="67"/>
      <c r="R30" s="52"/>
      <c r="S30" s="69"/>
      <c r="T30" s="88"/>
      <c r="U30" s="408"/>
    </row>
    <row r="31" spans="2:22" ht="28.2" customHeight="1" x14ac:dyDescent="0.35">
      <c r="B31" s="126"/>
      <c r="C31" s="127"/>
      <c r="D31" s="242" t="s">
        <v>577</v>
      </c>
      <c r="E31" s="246">
        <f t="shared" si="0"/>
        <v>28</v>
      </c>
      <c r="F31" s="100" t="s">
        <v>492</v>
      </c>
      <c r="G31" s="94" t="s">
        <v>597</v>
      </c>
      <c r="H31" s="81" t="s">
        <v>712</v>
      </c>
      <c r="I31" s="51" t="s">
        <v>293</v>
      </c>
      <c r="J31" s="51" t="s">
        <v>293</v>
      </c>
      <c r="K31" s="51" t="s">
        <v>293</v>
      </c>
      <c r="L31" s="81" t="s">
        <v>712</v>
      </c>
      <c r="M31" s="81" t="s">
        <v>712</v>
      </c>
      <c r="N31" s="51" t="s">
        <v>293</v>
      </c>
      <c r="O31" s="51" t="s">
        <v>293</v>
      </c>
      <c r="P31" s="65" t="s">
        <v>293</v>
      </c>
      <c r="Q31" s="67"/>
      <c r="R31" s="52"/>
      <c r="S31" s="69"/>
      <c r="T31" s="88"/>
      <c r="U31" s="104"/>
    </row>
    <row r="32" spans="2:22" ht="28.2" customHeight="1" x14ac:dyDescent="0.35">
      <c r="B32" s="126"/>
      <c r="C32" s="334"/>
      <c r="D32" s="401" t="s">
        <v>578</v>
      </c>
      <c r="E32" s="92">
        <f t="shared" si="0"/>
        <v>29</v>
      </c>
      <c r="F32" s="93" t="s">
        <v>581</v>
      </c>
      <c r="G32" s="94" t="s">
        <v>597</v>
      </c>
      <c r="H32" s="81" t="s">
        <v>712</v>
      </c>
      <c r="I32" s="51" t="s">
        <v>293</v>
      </c>
      <c r="J32" s="51" t="s">
        <v>293</v>
      </c>
      <c r="K32" s="51" t="s">
        <v>293</v>
      </c>
      <c r="L32" s="81" t="s">
        <v>712</v>
      </c>
      <c r="M32" s="81" t="s">
        <v>712</v>
      </c>
      <c r="N32" s="51" t="s">
        <v>293</v>
      </c>
      <c r="O32" s="51" t="s">
        <v>293</v>
      </c>
      <c r="P32" s="65" t="s">
        <v>293</v>
      </c>
      <c r="Q32" s="67"/>
      <c r="R32" s="52"/>
      <c r="S32" s="69"/>
      <c r="T32" s="88"/>
      <c r="U32" s="408"/>
    </row>
    <row r="33" spans="2:22" ht="26.4" x14ac:dyDescent="0.35">
      <c r="B33" s="126"/>
      <c r="C33" s="335"/>
      <c r="D33" s="401" t="s">
        <v>579</v>
      </c>
      <c r="E33" s="92">
        <f t="shared" si="0"/>
        <v>30</v>
      </c>
      <c r="F33" s="93" t="s">
        <v>580</v>
      </c>
      <c r="G33" s="94" t="s">
        <v>597</v>
      </c>
      <c r="H33" s="81" t="s">
        <v>712</v>
      </c>
      <c r="I33" s="51" t="s">
        <v>293</v>
      </c>
      <c r="J33" s="51" t="s">
        <v>293</v>
      </c>
      <c r="K33" s="51" t="s">
        <v>293</v>
      </c>
      <c r="L33" s="81" t="s">
        <v>712</v>
      </c>
      <c r="M33" s="81" t="s">
        <v>712</v>
      </c>
      <c r="N33" s="51" t="s">
        <v>293</v>
      </c>
      <c r="O33" s="51" t="s">
        <v>293</v>
      </c>
      <c r="P33" s="65" t="s">
        <v>293</v>
      </c>
      <c r="Q33" s="67"/>
      <c r="R33" s="52"/>
      <c r="S33" s="69"/>
      <c r="T33" s="88"/>
      <c r="U33" s="408"/>
    </row>
    <row r="34" spans="2:22" ht="28.2" customHeight="1" x14ac:dyDescent="0.35">
      <c r="B34" s="126"/>
      <c r="C34" s="334"/>
      <c r="D34" s="242" t="s">
        <v>574</v>
      </c>
      <c r="E34" s="246">
        <f t="shared" si="0"/>
        <v>31</v>
      </c>
      <c r="F34" s="100" t="s">
        <v>492</v>
      </c>
      <c r="G34" s="94" t="s">
        <v>597</v>
      </c>
      <c r="H34" s="81" t="s">
        <v>712</v>
      </c>
      <c r="I34" s="51" t="s">
        <v>293</v>
      </c>
      <c r="J34" s="51" t="s">
        <v>293</v>
      </c>
      <c r="K34" s="51" t="s">
        <v>293</v>
      </c>
      <c r="L34" s="81" t="s">
        <v>712</v>
      </c>
      <c r="M34" s="81" t="s">
        <v>712</v>
      </c>
      <c r="N34" s="51" t="s">
        <v>293</v>
      </c>
      <c r="O34" s="51" t="s">
        <v>293</v>
      </c>
      <c r="P34" s="65" t="s">
        <v>293</v>
      </c>
      <c r="Q34" s="67"/>
      <c r="R34" s="52"/>
      <c r="S34" s="69"/>
      <c r="T34" s="88"/>
      <c r="U34" s="104"/>
    </row>
    <row r="35" spans="2:22" ht="26.4" x14ac:dyDescent="0.35">
      <c r="B35" s="126"/>
      <c r="C35" s="335"/>
      <c r="D35" s="401" t="s">
        <v>575</v>
      </c>
      <c r="E35" s="92">
        <f t="shared" si="0"/>
        <v>32</v>
      </c>
      <c r="F35" s="93" t="s">
        <v>581</v>
      </c>
      <c r="G35" s="94" t="s">
        <v>597</v>
      </c>
      <c r="H35" s="81" t="s">
        <v>712</v>
      </c>
      <c r="I35" s="51" t="s">
        <v>293</v>
      </c>
      <c r="J35" s="51" t="s">
        <v>293</v>
      </c>
      <c r="K35" s="51" t="s">
        <v>293</v>
      </c>
      <c r="L35" s="81" t="s">
        <v>712</v>
      </c>
      <c r="M35" s="81" t="s">
        <v>712</v>
      </c>
      <c r="N35" s="51" t="s">
        <v>293</v>
      </c>
      <c r="O35" s="51" t="s">
        <v>293</v>
      </c>
      <c r="P35" s="65" t="s">
        <v>293</v>
      </c>
      <c r="Q35" s="67"/>
      <c r="R35" s="52"/>
      <c r="S35" s="69"/>
      <c r="T35" s="88"/>
      <c r="U35" s="408"/>
    </row>
    <row r="36" spans="2:22" ht="28.2" customHeight="1" x14ac:dyDescent="0.35">
      <c r="B36" s="126"/>
      <c r="C36" s="127"/>
      <c r="D36" s="401" t="s">
        <v>576</v>
      </c>
      <c r="E36" s="92">
        <f t="shared" si="0"/>
        <v>33</v>
      </c>
      <c r="F36" s="93" t="s">
        <v>580</v>
      </c>
      <c r="G36" s="94" t="s">
        <v>597</v>
      </c>
      <c r="H36" s="81" t="s">
        <v>712</v>
      </c>
      <c r="I36" s="51" t="s">
        <v>293</v>
      </c>
      <c r="J36" s="51" t="s">
        <v>293</v>
      </c>
      <c r="K36" s="51" t="s">
        <v>293</v>
      </c>
      <c r="L36" s="81" t="s">
        <v>712</v>
      </c>
      <c r="M36" s="81" t="s">
        <v>712</v>
      </c>
      <c r="N36" s="51" t="s">
        <v>293</v>
      </c>
      <c r="O36" s="51" t="s">
        <v>293</v>
      </c>
      <c r="P36" s="65" t="s">
        <v>293</v>
      </c>
      <c r="Q36" s="67"/>
      <c r="R36" s="52"/>
      <c r="S36" s="69"/>
      <c r="T36" s="88"/>
      <c r="U36" s="408"/>
    </row>
    <row r="37" spans="2:22" ht="28.2" customHeight="1" x14ac:dyDescent="0.35">
      <c r="B37" s="126"/>
      <c r="C37" s="128" t="s">
        <v>487</v>
      </c>
      <c r="D37" s="393" t="s">
        <v>582</v>
      </c>
      <c r="E37" s="97">
        <f t="shared" si="0"/>
        <v>34</v>
      </c>
      <c r="F37" s="98" t="s">
        <v>495</v>
      </c>
      <c r="G37" s="99" t="s">
        <v>598</v>
      </c>
      <c r="H37" s="53" t="s">
        <v>293</v>
      </c>
      <c r="I37" s="53" t="s">
        <v>293</v>
      </c>
      <c r="J37" s="53" t="s">
        <v>293</v>
      </c>
      <c r="K37" s="53" t="s">
        <v>293</v>
      </c>
      <c r="L37" s="53" t="s">
        <v>293</v>
      </c>
      <c r="M37" s="53" t="s">
        <v>293</v>
      </c>
      <c r="N37" s="53" t="s">
        <v>293</v>
      </c>
      <c r="O37" s="53" t="s">
        <v>293</v>
      </c>
      <c r="P37" s="66" t="s">
        <v>293</v>
      </c>
      <c r="Q37" s="68"/>
      <c r="R37" s="54"/>
      <c r="S37" s="70"/>
      <c r="T37" s="361"/>
      <c r="U37" s="392" t="s">
        <v>682</v>
      </c>
      <c r="V37" s="130"/>
    </row>
    <row r="38" spans="2:22" ht="26.4" x14ac:dyDescent="0.35">
      <c r="B38" s="126"/>
      <c r="C38" s="291"/>
      <c r="D38" s="247" t="s">
        <v>583</v>
      </c>
      <c r="E38" s="246">
        <f t="shared" si="0"/>
        <v>35</v>
      </c>
      <c r="F38" s="100" t="s">
        <v>496</v>
      </c>
      <c r="G38" s="94" t="s">
        <v>598</v>
      </c>
      <c r="H38" s="81" t="s">
        <v>712</v>
      </c>
      <c r="I38" s="51" t="s">
        <v>293</v>
      </c>
      <c r="J38" s="51" t="s">
        <v>293</v>
      </c>
      <c r="K38" s="51" t="s">
        <v>293</v>
      </c>
      <c r="L38" s="81" t="s">
        <v>712</v>
      </c>
      <c r="M38" s="81" t="s">
        <v>712</v>
      </c>
      <c r="N38" s="51" t="s">
        <v>293</v>
      </c>
      <c r="O38" s="51" t="s">
        <v>293</v>
      </c>
      <c r="P38" s="65" t="s">
        <v>293</v>
      </c>
      <c r="Q38" s="67"/>
      <c r="R38" s="52"/>
      <c r="S38" s="69"/>
      <c r="T38" s="88"/>
      <c r="U38" s="104"/>
    </row>
    <row r="39" spans="2:22" ht="28.2" customHeight="1" x14ac:dyDescent="0.35">
      <c r="B39" s="126"/>
      <c r="C39" s="291"/>
      <c r="D39" s="402" t="s">
        <v>590</v>
      </c>
      <c r="E39" s="92">
        <f t="shared" si="0"/>
        <v>36</v>
      </c>
      <c r="F39" s="93" t="s">
        <v>586</v>
      </c>
      <c r="G39" s="94" t="s">
        <v>598</v>
      </c>
      <c r="H39" s="81" t="s">
        <v>712</v>
      </c>
      <c r="I39" s="51" t="s">
        <v>293</v>
      </c>
      <c r="J39" s="51" t="s">
        <v>293</v>
      </c>
      <c r="K39" s="51" t="s">
        <v>293</v>
      </c>
      <c r="L39" s="81" t="s">
        <v>712</v>
      </c>
      <c r="M39" s="81" t="s">
        <v>712</v>
      </c>
      <c r="N39" s="51" t="s">
        <v>293</v>
      </c>
      <c r="O39" s="51" t="s">
        <v>293</v>
      </c>
      <c r="P39" s="65" t="s">
        <v>293</v>
      </c>
      <c r="Q39" s="67"/>
      <c r="R39" s="52"/>
      <c r="S39" s="69"/>
      <c r="T39" s="88"/>
      <c r="U39" s="104"/>
      <c r="V39" s="130"/>
    </row>
    <row r="40" spans="2:22" ht="28.8" customHeight="1" x14ac:dyDescent="0.35">
      <c r="B40" s="126"/>
      <c r="C40" s="127"/>
      <c r="D40" s="247" t="s">
        <v>592</v>
      </c>
      <c r="E40" s="246">
        <f t="shared" si="0"/>
        <v>37</v>
      </c>
      <c r="F40" s="100" t="s">
        <v>586</v>
      </c>
      <c r="G40" s="94" t="s">
        <v>598</v>
      </c>
      <c r="H40" s="81" t="s">
        <v>712</v>
      </c>
      <c r="I40" s="51" t="s">
        <v>293</v>
      </c>
      <c r="J40" s="51" t="s">
        <v>293</v>
      </c>
      <c r="K40" s="51" t="s">
        <v>293</v>
      </c>
      <c r="L40" s="81" t="s">
        <v>712</v>
      </c>
      <c r="M40" s="81" t="s">
        <v>712</v>
      </c>
      <c r="N40" s="405" t="s">
        <v>293</v>
      </c>
      <c r="O40" s="405" t="s">
        <v>293</v>
      </c>
      <c r="P40" s="409" t="s">
        <v>293</v>
      </c>
      <c r="Q40" s="67"/>
      <c r="R40" s="52"/>
      <c r="S40" s="69"/>
      <c r="T40" s="88"/>
      <c r="U40" s="408"/>
    </row>
    <row r="41" spans="2:22" ht="28.8" customHeight="1" x14ac:dyDescent="0.35">
      <c r="B41" s="126"/>
      <c r="C41" s="128" t="s">
        <v>488</v>
      </c>
      <c r="D41" s="291" t="s">
        <v>494</v>
      </c>
      <c r="E41" s="246">
        <f t="shared" si="0"/>
        <v>38</v>
      </c>
      <c r="F41" s="100" t="s">
        <v>587</v>
      </c>
      <c r="G41" s="94" t="s">
        <v>599</v>
      </c>
      <c r="H41" s="81" t="s">
        <v>712</v>
      </c>
      <c r="I41" s="51" t="s">
        <v>293</v>
      </c>
      <c r="J41" s="51" t="s">
        <v>293</v>
      </c>
      <c r="K41" s="51" t="s">
        <v>293</v>
      </c>
      <c r="L41" s="81" t="s">
        <v>712</v>
      </c>
      <c r="M41" s="81" t="s">
        <v>712</v>
      </c>
      <c r="N41" s="51" t="s">
        <v>293</v>
      </c>
      <c r="O41" s="51" t="s">
        <v>293</v>
      </c>
      <c r="P41" s="65" t="s">
        <v>293</v>
      </c>
      <c r="Q41" s="67"/>
      <c r="R41" s="52"/>
      <c r="S41" s="69"/>
      <c r="T41" s="88"/>
      <c r="U41" s="104"/>
    </row>
    <row r="42" spans="2:22" ht="28.2" customHeight="1" x14ac:dyDescent="0.35">
      <c r="B42" s="126"/>
      <c r="C42" s="291"/>
      <c r="D42" s="291"/>
      <c r="E42" s="246">
        <f t="shared" si="0"/>
        <v>39</v>
      </c>
      <c r="F42" s="100" t="s">
        <v>588</v>
      </c>
      <c r="G42" s="94" t="s">
        <v>599</v>
      </c>
      <c r="H42" s="81" t="s">
        <v>712</v>
      </c>
      <c r="I42" s="51" t="s">
        <v>293</v>
      </c>
      <c r="J42" s="51" t="s">
        <v>293</v>
      </c>
      <c r="K42" s="51" t="s">
        <v>293</v>
      </c>
      <c r="L42" s="81" t="s">
        <v>712</v>
      </c>
      <c r="M42" s="81" t="s">
        <v>712</v>
      </c>
      <c r="N42" s="51" t="s">
        <v>293</v>
      </c>
      <c r="O42" s="51" t="s">
        <v>293</v>
      </c>
      <c r="P42" s="65" t="s">
        <v>293</v>
      </c>
      <c r="Q42" s="67"/>
      <c r="R42" s="52"/>
      <c r="S42" s="69"/>
      <c r="T42" s="88"/>
      <c r="U42" s="408" t="s">
        <v>716</v>
      </c>
    </row>
    <row r="43" spans="2:22" ht="28.2" customHeight="1" x14ac:dyDescent="0.35">
      <c r="B43" s="126"/>
      <c r="C43" s="291"/>
      <c r="D43" s="242"/>
      <c r="E43" s="246">
        <f t="shared" si="0"/>
        <v>40</v>
      </c>
      <c r="F43" s="100" t="s">
        <v>589</v>
      </c>
      <c r="G43" s="94" t="s">
        <v>599</v>
      </c>
      <c r="H43" s="81" t="s">
        <v>712</v>
      </c>
      <c r="I43" s="51" t="s">
        <v>293</v>
      </c>
      <c r="J43" s="51" t="s">
        <v>293</v>
      </c>
      <c r="K43" s="51" t="s">
        <v>293</v>
      </c>
      <c r="L43" s="81" t="s">
        <v>712</v>
      </c>
      <c r="M43" s="81" t="s">
        <v>712</v>
      </c>
      <c r="N43" s="51" t="s">
        <v>293</v>
      </c>
      <c r="O43" s="51" t="s">
        <v>293</v>
      </c>
      <c r="P43" s="65" t="s">
        <v>293</v>
      </c>
      <c r="Q43" s="67"/>
      <c r="R43" s="52"/>
      <c r="S43" s="69"/>
      <c r="T43" s="88"/>
      <c r="U43" s="104"/>
    </row>
    <row r="44" spans="2:22" ht="28.2" customHeight="1" x14ac:dyDescent="0.35">
      <c r="B44" s="126"/>
      <c r="C44" s="127"/>
      <c r="D44" s="402" t="s">
        <v>593</v>
      </c>
      <c r="E44" s="92">
        <f t="shared" si="0"/>
        <v>41</v>
      </c>
      <c r="F44" s="93" t="s">
        <v>595</v>
      </c>
      <c r="G44" s="94" t="s">
        <v>599</v>
      </c>
      <c r="H44" s="81" t="s">
        <v>712</v>
      </c>
      <c r="I44" s="51" t="s">
        <v>293</v>
      </c>
      <c r="J44" s="51" t="s">
        <v>293</v>
      </c>
      <c r="K44" s="51" t="s">
        <v>293</v>
      </c>
      <c r="L44" s="81" t="s">
        <v>712</v>
      </c>
      <c r="M44" s="81" t="s">
        <v>712</v>
      </c>
      <c r="N44" s="51" t="s">
        <v>293</v>
      </c>
      <c r="O44" s="51" t="s">
        <v>293</v>
      </c>
      <c r="P44" s="65" t="s">
        <v>293</v>
      </c>
      <c r="Q44" s="67"/>
      <c r="R44" s="52"/>
      <c r="S44" s="69"/>
      <c r="T44" s="88"/>
      <c r="U44" s="104"/>
    </row>
    <row r="45" spans="2:22" ht="28.2" customHeight="1" x14ac:dyDescent="0.35">
      <c r="B45" s="126"/>
      <c r="C45" s="291"/>
      <c r="D45" s="291"/>
      <c r="E45" s="92">
        <f t="shared" si="0"/>
        <v>42</v>
      </c>
      <c r="F45" s="93" t="s">
        <v>596</v>
      </c>
      <c r="G45" s="94" t="s">
        <v>599</v>
      </c>
      <c r="H45" s="81" t="s">
        <v>712</v>
      </c>
      <c r="I45" s="51" t="s">
        <v>293</v>
      </c>
      <c r="J45" s="51" t="s">
        <v>293</v>
      </c>
      <c r="K45" s="51" t="s">
        <v>293</v>
      </c>
      <c r="L45" s="81" t="s">
        <v>712</v>
      </c>
      <c r="M45" s="81" t="s">
        <v>712</v>
      </c>
      <c r="N45" s="51" t="s">
        <v>293</v>
      </c>
      <c r="O45" s="51" t="s">
        <v>293</v>
      </c>
      <c r="P45" s="65" t="s">
        <v>293</v>
      </c>
      <c r="Q45" s="67"/>
      <c r="R45" s="52"/>
      <c r="S45" s="69"/>
      <c r="T45" s="88"/>
      <c r="U45" s="104"/>
    </row>
    <row r="46" spans="2:22" ht="28.2" customHeight="1" x14ac:dyDescent="0.35">
      <c r="B46" s="126"/>
      <c r="C46" s="291"/>
      <c r="D46" s="291"/>
      <c r="E46" s="92">
        <f t="shared" si="0"/>
        <v>43</v>
      </c>
      <c r="F46" s="93" t="s">
        <v>594</v>
      </c>
      <c r="G46" s="94" t="s">
        <v>599</v>
      </c>
      <c r="H46" s="81" t="s">
        <v>712</v>
      </c>
      <c r="I46" s="51" t="s">
        <v>293</v>
      </c>
      <c r="J46" s="51" t="s">
        <v>293</v>
      </c>
      <c r="K46" s="51" t="s">
        <v>293</v>
      </c>
      <c r="L46" s="81" t="s">
        <v>712</v>
      </c>
      <c r="M46" s="81" t="s">
        <v>712</v>
      </c>
      <c r="N46" s="51" t="s">
        <v>293</v>
      </c>
      <c r="O46" s="51" t="s">
        <v>293</v>
      </c>
      <c r="P46" s="65" t="s">
        <v>293</v>
      </c>
      <c r="Q46" s="67"/>
      <c r="R46" s="52"/>
      <c r="S46" s="69"/>
      <c r="T46" s="88"/>
      <c r="U46" s="104"/>
    </row>
    <row r="47" spans="2:22" ht="28.2" customHeight="1" x14ac:dyDescent="0.35">
      <c r="B47" s="129" t="s">
        <v>500</v>
      </c>
      <c r="C47" s="292" t="s">
        <v>484</v>
      </c>
      <c r="D47" s="248"/>
      <c r="E47" s="246">
        <f t="shared" si="0"/>
        <v>44</v>
      </c>
      <c r="F47" s="100" t="s">
        <v>537</v>
      </c>
      <c r="G47" s="94" t="s">
        <v>536</v>
      </c>
      <c r="H47" s="81" t="s">
        <v>712</v>
      </c>
      <c r="I47" s="51" t="s">
        <v>293</v>
      </c>
      <c r="J47" s="51" t="s">
        <v>293</v>
      </c>
      <c r="K47" s="51" t="s">
        <v>293</v>
      </c>
      <c r="L47" s="51" t="s">
        <v>293</v>
      </c>
      <c r="M47" s="51" t="s">
        <v>293</v>
      </c>
      <c r="N47" s="51" t="s">
        <v>293</v>
      </c>
      <c r="O47" s="81" t="s">
        <v>712</v>
      </c>
      <c r="P47" s="65" t="s">
        <v>293</v>
      </c>
      <c r="Q47" s="67"/>
      <c r="R47" s="52"/>
      <c r="S47" s="69"/>
      <c r="T47" s="88"/>
      <c r="U47" s="103"/>
    </row>
    <row r="48" spans="2:22" ht="28.2" customHeight="1" x14ac:dyDescent="0.35">
      <c r="B48" s="126"/>
      <c r="C48" s="293" t="s">
        <v>501</v>
      </c>
      <c r="D48" s="248" t="s">
        <v>502</v>
      </c>
      <c r="E48" s="246">
        <f t="shared" si="0"/>
        <v>45</v>
      </c>
      <c r="F48" s="100" t="s">
        <v>491</v>
      </c>
      <c r="G48" s="94" t="s">
        <v>507</v>
      </c>
      <c r="H48" s="81" t="s">
        <v>712</v>
      </c>
      <c r="I48" s="51" t="s">
        <v>293</v>
      </c>
      <c r="J48" s="51" t="s">
        <v>293</v>
      </c>
      <c r="K48" s="51" t="s">
        <v>293</v>
      </c>
      <c r="L48" s="81" t="s">
        <v>712</v>
      </c>
      <c r="M48" s="81" t="s">
        <v>712</v>
      </c>
      <c r="N48" s="51" t="s">
        <v>293</v>
      </c>
      <c r="O48" s="81" t="s">
        <v>712</v>
      </c>
      <c r="P48" s="357" t="s">
        <v>293</v>
      </c>
      <c r="Q48" s="67"/>
      <c r="R48" s="52"/>
      <c r="S48" s="69"/>
      <c r="T48" s="88"/>
      <c r="U48" s="103"/>
    </row>
    <row r="49" spans="2:22" ht="28.2" customHeight="1" x14ac:dyDescent="0.35">
      <c r="B49" s="126"/>
      <c r="C49" s="291"/>
      <c r="D49" s="245" t="s">
        <v>505</v>
      </c>
      <c r="E49" s="246">
        <f t="shared" si="0"/>
        <v>46</v>
      </c>
      <c r="F49" s="100" t="s">
        <v>504</v>
      </c>
      <c r="G49" s="94" t="s">
        <v>507</v>
      </c>
      <c r="H49" s="81" t="s">
        <v>712</v>
      </c>
      <c r="I49" s="51" t="s">
        <v>293</v>
      </c>
      <c r="J49" s="51" t="s">
        <v>293</v>
      </c>
      <c r="K49" s="51" t="s">
        <v>293</v>
      </c>
      <c r="L49" s="81" t="s">
        <v>712</v>
      </c>
      <c r="M49" s="81" t="s">
        <v>712</v>
      </c>
      <c r="N49" s="51" t="s">
        <v>293</v>
      </c>
      <c r="O49" s="81" t="s">
        <v>712</v>
      </c>
      <c r="P49" s="357" t="s">
        <v>293</v>
      </c>
      <c r="Q49" s="67"/>
      <c r="R49" s="52"/>
      <c r="S49" s="69"/>
      <c r="T49" s="88"/>
      <c r="U49" s="103"/>
    </row>
    <row r="50" spans="2:22" ht="28.2" customHeight="1" x14ac:dyDescent="0.35">
      <c r="B50" s="126"/>
      <c r="C50" s="127"/>
      <c r="D50" s="245" t="s">
        <v>503</v>
      </c>
      <c r="E50" s="246">
        <f t="shared" si="0"/>
        <v>47</v>
      </c>
      <c r="F50" s="100" t="s">
        <v>506</v>
      </c>
      <c r="G50" s="94" t="s">
        <v>507</v>
      </c>
      <c r="H50" s="81" t="s">
        <v>712</v>
      </c>
      <c r="I50" s="51" t="s">
        <v>293</v>
      </c>
      <c r="J50" s="51" t="s">
        <v>293</v>
      </c>
      <c r="K50" s="51" t="s">
        <v>293</v>
      </c>
      <c r="L50" s="81" t="s">
        <v>712</v>
      </c>
      <c r="M50" s="81" t="s">
        <v>712</v>
      </c>
      <c r="N50" s="51" t="s">
        <v>293</v>
      </c>
      <c r="O50" s="81" t="s">
        <v>712</v>
      </c>
      <c r="P50" s="357" t="s">
        <v>293</v>
      </c>
      <c r="Q50" s="67"/>
      <c r="R50" s="52"/>
      <c r="S50" s="69"/>
      <c r="T50" s="88"/>
      <c r="U50" s="103"/>
    </row>
    <row r="51" spans="2:22" ht="28.2" customHeight="1" x14ac:dyDescent="0.35">
      <c r="B51" s="126"/>
      <c r="C51" s="294" t="s">
        <v>508</v>
      </c>
      <c r="D51" s="248" t="s">
        <v>502</v>
      </c>
      <c r="E51" s="246">
        <f t="shared" si="0"/>
        <v>48</v>
      </c>
      <c r="F51" s="100" t="s">
        <v>491</v>
      </c>
      <c r="G51" s="94" t="s">
        <v>509</v>
      </c>
      <c r="H51" s="81" t="s">
        <v>712</v>
      </c>
      <c r="I51" s="51" t="s">
        <v>293</v>
      </c>
      <c r="J51" s="51" t="s">
        <v>293</v>
      </c>
      <c r="K51" s="51" t="s">
        <v>293</v>
      </c>
      <c r="L51" s="81" t="s">
        <v>712</v>
      </c>
      <c r="M51" s="81" t="s">
        <v>712</v>
      </c>
      <c r="N51" s="51" t="s">
        <v>293</v>
      </c>
      <c r="O51" s="81" t="s">
        <v>712</v>
      </c>
      <c r="P51" s="357" t="s">
        <v>293</v>
      </c>
      <c r="Q51" s="67"/>
      <c r="R51" s="52"/>
      <c r="S51" s="69"/>
      <c r="T51" s="88"/>
      <c r="U51" s="103"/>
    </row>
    <row r="52" spans="2:22" ht="28.2" customHeight="1" x14ac:dyDescent="0.35">
      <c r="B52" s="126"/>
      <c r="C52" s="127"/>
      <c r="D52" s="245" t="s">
        <v>505</v>
      </c>
      <c r="E52" s="246">
        <f t="shared" si="0"/>
        <v>49</v>
      </c>
      <c r="F52" s="100" t="s">
        <v>504</v>
      </c>
      <c r="G52" s="94" t="s">
        <v>509</v>
      </c>
      <c r="H52" s="81" t="s">
        <v>712</v>
      </c>
      <c r="I52" s="51" t="s">
        <v>293</v>
      </c>
      <c r="J52" s="51" t="s">
        <v>293</v>
      </c>
      <c r="K52" s="51" t="s">
        <v>293</v>
      </c>
      <c r="L52" s="81" t="s">
        <v>712</v>
      </c>
      <c r="M52" s="81" t="s">
        <v>712</v>
      </c>
      <c r="N52" s="51" t="s">
        <v>293</v>
      </c>
      <c r="O52" s="81" t="s">
        <v>712</v>
      </c>
      <c r="P52" s="357" t="s">
        <v>293</v>
      </c>
      <c r="Q52" s="67"/>
      <c r="R52" s="52"/>
      <c r="S52" s="69"/>
      <c r="T52" s="88"/>
      <c r="U52" s="103"/>
    </row>
    <row r="53" spans="2:22" ht="28.2" customHeight="1" x14ac:dyDescent="0.35">
      <c r="B53" s="126"/>
      <c r="C53" s="127"/>
      <c r="D53" s="245" t="s">
        <v>503</v>
      </c>
      <c r="E53" s="246">
        <f t="shared" si="0"/>
        <v>50</v>
      </c>
      <c r="F53" s="100" t="s">
        <v>506</v>
      </c>
      <c r="G53" s="94" t="s">
        <v>509</v>
      </c>
      <c r="H53" s="81" t="s">
        <v>712</v>
      </c>
      <c r="I53" s="51" t="s">
        <v>293</v>
      </c>
      <c r="J53" s="51" t="s">
        <v>293</v>
      </c>
      <c r="K53" s="51" t="s">
        <v>293</v>
      </c>
      <c r="L53" s="81" t="s">
        <v>712</v>
      </c>
      <c r="M53" s="81" t="s">
        <v>712</v>
      </c>
      <c r="N53" s="356" t="s">
        <v>293</v>
      </c>
      <c r="O53" s="81" t="s">
        <v>712</v>
      </c>
      <c r="P53" s="357" t="s">
        <v>293</v>
      </c>
      <c r="Q53" s="67"/>
      <c r="R53" s="52"/>
      <c r="S53" s="69"/>
      <c r="T53" s="88"/>
      <c r="U53" s="104"/>
      <c r="V53" s="130"/>
    </row>
    <row r="54" spans="2:22" ht="28.2" customHeight="1" x14ac:dyDescent="0.35">
      <c r="B54" s="126"/>
      <c r="C54" s="294" t="s">
        <v>510</v>
      </c>
      <c r="D54" s="248" t="s">
        <v>502</v>
      </c>
      <c r="E54" s="246">
        <f t="shared" si="0"/>
        <v>51</v>
      </c>
      <c r="F54" s="100" t="s">
        <v>491</v>
      </c>
      <c r="G54" s="94" t="s">
        <v>511</v>
      </c>
      <c r="H54" s="81" t="s">
        <v>712</v>
      </c>
      <c r="I54" s="51" t="s">
        <v>293</v>
      </c>
      <c r="J54" s="51" t="s">
        <v>293</v>
      </c>
      <c r="K54" s="51" t="s">
        <v>293</v>
      </c>
      <c r="L54" s="81" t="s">
        <v>712</v>
      </c>
      <c r="M54" s="81" t="s">
        <v>712</v>
      </c>
      <c r="N54" s="356" t="s">
        <v>293</v>
      </c>
      <c r="O54" s="81" t="s">
        <v>712</v>
      </c>
      <c r="P54" s="357" t="s">
        <v>293</v>
      </c>
      <c r="Q54" s="67"/>
      <c r="R54" s="52"/>
      <c r="S54" s="69"/>
      <c r="T54" s="88"/>
      <c r="U54" s="104"/>
      <c r="V54" s="130"/>
    </row>
    <row r="55" spans="2:22" ht="28.2" customHeight="1" x14ac:dyDescent="0.35">
      <c r="B55" s="126"/>
      <c r="C55" s="127"/>
      <c r="D55" s="245" t="s">
        <v>505</v>
      </c>
      <c r="E55" s="246">
        <f t="shared" si="0"/>
        <v>52</v>
      </c>
      <c r="F55" s="100" t="s">
        <v>504</v>
      </c>
      <c r="G55" s="94" t="s">
        <v>511</v>
      </c>
      <c r="H55" s="81" t="s">
        <v>712</v>
      </c>
      <c r="I55" s="51" t="s">
        <v>293</v>
      </c>
      <c r="J55" s="51" t="s">
        <v>293</v>
      </c>
      <c r="K55" s="51" t="s">
        <v>293</v>
      </c>
      <c r="L55" s="81" t="s">
        <v>712</v>
      </c>
      <c r="M55" s="81" t="s">
        <v>712</v>
      </c>
      <c r="N55" s="356" t="s">
        <v>293</v>
      </c>
      <c r="O55" s="81" t="s">
        <v>712</v>
      </c>
      <c r="P55" s="357" t="s">
        <v>293</v>
      </c>
      <c r="Q55" s="67"/>
      <c r="R55" s="52"/>
      <c r="S55" s="69"/>
      <c r="T55" s="88"/>
      <c r="U55" s="104"/>
      <c r="V55" s="130"/>
    </row>
    <row r="56" spans="2:22" ht="28.2" customHeight="1" x14ac:dyDescent="0.35">
      <c r="B56" s="126"/>
      <c r="C56" s="127"/>
      <c r="D56" s="245" t="s">
        <v>503</v>
      </c>
      <c r="E56" s="246">
        <f t="shared" si="0"/>
        <v>53</v>
      </c>
      <c r="F56" s="100" t="s">
        <v>506</v>
      </c>
      <c r="G56" s="94" t="s">
        <v>511</v>
      </c>
      <c r="H56" s="81" t="s">
        <v>712</v>
      </c>
      <c r="I56" s="51" t="s">
        <v>293</v>
      </c>
      <c r="J56" s="51" t="s">
        <v>293</v>
      </c>
      <c r="K56" s="51" t="s">
        <v>293</v>
      </c>
      <c r="L56" s="81" t="s">
        <v>712</v>
      </c>
      <c r="M56" s="81" t="s">
        <v>712</v>
      </c>
      <c r="N56" s="356" t="s">
        <v>293</v>
      </c>
      <c r="O56" s="81" t="s">
        <v>712</v>
      </c>
      <c r="P56" s="357" t="s">
        <v>293</v>
      </c>
      <c r="Q56" s="67"/>
      <c r="R56" s="52"/>
      <c r="S56" s="69"/>
      <c r="T56" s="88"/>
      <c r="U56" s="104"/>
      <c r="V56" s="130"/>
    </row>
    <row r="57" spans="2:22" ht="28.2" customHeight="1" x14ac:dyDescent="0.35">
      <c r="B57" s="126"/>
      <c r="C57" s="128" t="s">
        <v>333</v>
      </c>
      <c r="D57" s="248" t="s">
        <v>502</v>
      </c>
      <c r="E57" s="246">
        <f t="shared" si="0"/>
        <v>54</v>
      </c>
      <c r="F57" s="100" t="s">
        <v>491</v>
      </c>
      <c r="G57" s="94" t="s">
        <v>512</v>
      </c>
      <c r="H57" s="81" t="s">
        <v>712</v>
      </c>
      <c r="I57" s="51" t="s">
        <v>293</v>
      </c>
      <c r="J57" s="51" t="s">
        <v>293</v>
      </c>
      <c r="K57" s="51" t="s">
        <v>293</v>
      </c>
      <c r="L57" s="81" t="s">
        <v>712</v>
      </c>
      <c r="M57" s="81" t="s">
        <v>712</v>
      </c>
      <c r="N57" s="356" t="s">
        <v>293</v>
      </c>
      <c r="O57" s="81" t="s">
        <v>712</v>
      </c>
      <c r="P57" s="357" t="s">
        <v>293</v>
      </c>
      <c r="Q57" s="67"/>
      <c r="R57" s="52"/>
      <c r="S57" s="69"/>
      <c r="T57" s="88"/>
      <c r="U57" s="103"/>
    </row>
    <row r="58" spans="2:22" ht="28.2" customHeight="1" x14ac:dyDescent="0.35">
      <c r="B58" s="126"/>
      <c r="C58" s="127"/>
      <c r="D58" s="245" t="s">
        <v>505</v>
      </c>
      <c r="E58" s="246">
        <f t="shared" si="0"/>
        <v>55</v>
      </c>
      <c r="F58" s="100" t="s">
        <v>504</v>
      </c>
      <c r="G58" s="94" t="s">
        <v>512</v>
      </c>
      <c r="H58" s="81" t="s">
        <v>712</v>
      </c>
      <c r="I58" s="51" t="s">
        <v>293</v>
      </c>
      <c r="J58" s="51" t="s">
        <v>293</v>
      </c>
      <c r="K58" s="51" t="s">
        <v>293</v>
      </c>
      <c r="L58" s="81" t="s">
        <v>712</v>
      </c>
      <c r="M58" s="81" t="s">
        <v>712</v>
      </c>
      <c r="N58" s="356" t="s">
        <v>293</v>
      </c>
      <c r="O58" s="81" t="s">
        <v>712</v>
      </c>
      <c r="P58" s="357" t="s">
        <v>293</v>
      </c>
      <c r="Q58" s="67"/>
      <c r="R58" s="52"/>
      <c r="S58" s="69"/>
      <c r="T58" s="88"/>
      <c r="U58" s="103"/>
      <c r="V58" s="130"/>
    </row>
    <row r="59" spans="2:22" ht="28.2" customHeight="1" x14ac:dyDescent="0.35">
      <c r="B59" s="126"/>
      <c r="C59" s="242"/>
      <c r="D59" s="245" t="s">
        <v>503</v>
      </c>
      <c r="E59" s="246">
        <f t="shared" si="0"/>
        <v>56</v>
      </c>
      <c r="F59" s="100" t="s">
        <v>506</v>
      </c>
      <c r="G59" s="94" t="s">
        <v>512</v>
      </c>
      <c r="H59" s="81" t="s">
        <v>712</v>
      </c>
      <c r="I59" s="51" t="s">
        <v>293</v>
      </c>
      <c r="J59" s="51" t="s">
        <v>293</v>
      </c>
      <c r="K59" s="51" t="s">
        <v>293</v>
      </c>
      <c r="L59" s="81" t="s">
        <v>712</v>
      </c>
      <c r="M59" s="81" t="s">
        <v>712</v>
      </c>
      <c r="N59" s="356" t="s">
        <v>293</v>
      </c>
      <c r="O59" s="81" t="s">
        <v>712</v>
      </c>
      <c r="P59" s="357" t="s">
        <v>293</v>
      </c>
      <c r="Q59" s="67"/>
      <c r="R59" s="52"/>
      <c r="S59" s="69"/>
      <c r="T59" s="88"/>
      <c r="U59" s="103"/>
      <c r="V59" s="130"/>
    </row>
    <row r="60" spans="2:22" ht="28.2" customHeight="1" x14ac:dyDescent="0.35">
      <c r="B60" s="126"/>
      <c r="C60" s="128" t="s">
        <v>600</v>
      </c>
      <c r="D60" s="393" t="s">
        <v>601</v>
      </c>
      <c r="E60" s="97">
        <f t="shared" si="0"/>
        <v>57</v>
      </c>
      <c r="F60" s="98" t="s">
        <v>605</v>
      </c>
      <c r="G60" s="99" t="s">
        <v>604</v>
      </c>
      <c r="H60" s="53" t="s">
        <v>293</v>
      </c>
      <c r="I60" s="53" t="s">
        <v>293</v>
      </c>
      <c r="J60" s="53" t="s">
        <v>293</v>
      </c>
      <c r="K60" s="53" t="s">
        <v>293</v>
      </c>
      <c r="L60" s="53" t="s">
        <v>293</v>
      </c>
      <c r="M60" s="53" t="s">
        <v>293</v>
      </c>
      <c r="N60" s="53" t="s">
        <v>293</v>
      </c>
      <c r="O60" s="53" t="s">
        <v>293</v>
      </c>
      <c r="P60" s="66" t="s">
        <v>293</v>
      </c>
      <c r="Q60" s="68"/>
      <c r="R60" s="54"/>
      <c r="S60" s="70"/>
      <c r="T60" s="361"/>
      <c r="U60" s="392" t="s">
        <v>684</v>
      </c>
      <c r="V60" s="130"/>
    </row>
    <row r="61" spans="2:22" ht="28.2" customHeight="1" x14ac:dyDescent="0.35">
      <c r="B61" s="126"/>
      <c r="C61" s="291"/>
      <c r="D61" s="247" t="s">
        <v>602</v>
      </c>
      <c r="E61" s="246">
        <f t="shared" si="0"/>
        <v>58</v>
      </c>
      <c r="F61" s="100" t="s">
        <v>606</v>
      </c>
      <c r="G61" s="94" t="s">
        <v>604</v>
      </c>
      <c r="H61" s="81" t="s">
        <v>712</v>
      </c>
      <c r="I61" s="51" t="s">
        <v>293</v>
      </c>
      <c r="J61" s="51" t="s">
        <v>293</v>
      </c>
      <c r="K61" s="81" t="s">
        <v>712</v>
      </c>
      <c r="L61" s="81" t="s">
        <v>712</v>
      </c>
      <c r="M61" s="81" t="s">
        <v>712</v>
      </c>
      <c r="N61" s="356" t="s">
        <v>293</v>
      </c>
      <c r="O61" s="81" t="s">
        <v>712</v>
      </c>
      <c r="P61" s="357" t="s">
        <v>293</v>
      </c>
      <c r="Q61" s="67"/>
      <c r="R61" s="52"/>
      <c r="S61" s="69"/>
      <c r="T61" s="88"/>
      <c r="U61" s="103"/>
    </row>
    <row r="62" spans="2:22" ht="28.8" customHeight="1" x14ac:dyDescent="0.35">
      <c r="B62" s="126"/>
      <c r="C62" s="127"/>
      <c r="D62" s="247" t="s">
        <v>603</v>
      </c>
      <c r="E62" s="246">
        <f t="shared" si="0"/>
        <v>59</v>
      </c>
      <c r="F62" s="100" t="s">
        <v>607</v>
      </c>
      <c r="G62" s="94" t="s">
        <v>685</v>
      </c>
      <c r="H62" s="81" t="s">
        <v>712</v>
      </c>
      <c r="I62" s="51" t="s">
        <v>293</v>
      </c>
      <c r="J62" s="51" t="s">
        <v>293</v>
      </c>
      <c r="K62" s="81" t="s">
        <v>712</v>
      </c>
      <c r="L62" s="81" t="s">
        <v>712</v>
      </c>
      <c r="M62" s="81" t="s">
        <v>712</v>
      </c>
      <c r="N62" s="356" t="s">
        <v>293</v>
      </c>
      <c r="O62" s="81" t="s">
        <v>712</v>
      </c>
      <c r="P62" s="357" t="s">
        <v>293</v>
      </c>
      <c r="Q62" s="67"/>
      <c r="R62" s="52"/>
      <c r="S62" s="69"/>
      <c r="T62" s="88"/>
      <c r="U62" s="103"/>
    </row>
    <row r="63" spans="2:22" ht="28.2" customHeight="1" x14ac:dyDescent="0.35">
      <c r="B63" s="126"/>
      <c r="C63" s="128" t="s">
        <v>608</v>
      </c>
      <c r="D63" s="393" t="s">
        <v>611</v>
      </c>
      <c r="E63" s="97">
        <f t="shared" si="0"/>
        <v>60</v>
      </c>
      <c r="F63" s="98" t="s">
        <v>612</v>
      </c>
      <c r="G63" s="99" t="s">
        <v>610</v>
      </c>
      <c r="H63" s="82" t="s">
        <v>293</v>
      </c>
      <c r="I63" s="53" t="s">
        <v>293</v>
      </c>
      <c r="J63" s="53" t="s">
        <v>293</v>
      </c>
      <c r="K63" s="82" t="s">
        <v>293</v>
      </c>
      <c r="L63" s="82" t="s">
        <v>293</v>
      </c>
      <c r="M63" s="82" t="s">
        <v>293</v>
      </c>
      <c r="N63" s="53" t="s">
        <v>293</v>
      </c>
      <c r="O63" s="82" t="s">
        <v>293</v>
      </c>
      <c r="P63" s="66" t="s">
        <v>293</v>
      </c>
      <c r="Q63" s="68"/>
      <c r="R63" s="54"/>
      <c r="S63" s="70"/>
      <c r="T63" s="361"/>
      <c r="U63" s="392" t="s">
        <v>767</v>
      </c>
      <c r="V63" s="130"/>
    </row>
    <row r="64" spans="2:22" ht="28.2" customHeight="1" x14ac:dyDescent="0.35">
      <c r="B64" s="126"/>
      <c r="C64" s="291"/>
      <c r="D64" s="294" t="s">
        <v>613</v>
      </c>
      <c r="E64" s="246">
        <f t="shared" si="0"/>
        <v>61</v>
      </c>
      <c r="F64" s="100" t="s">
        <v>504</v>
      </c>
      <c r="G64" s="94" t="s">
        <v>614</v>
      </c>
      <c r="H64" s="81" t="s">
        <v>712</v>
      </c>
      <c r="I64" s="51" t="s">
        <v>293</v>
      </c>
      <c r="J64" s="51" t="s">
        <v>293</v>
      </c>
      <c r="K64" s="81" t="s">
        <v>712</v>
      </c>
      <c r="L64" s="81" t="s">
        <v>712</v>
      </c>
      <c r="M64" s="81" t="s">
        <v>712</v>
      </c>
      <c r="N64" s="356" t="s">
        <v>293</v>
      </c>
      <c r="O64" s="81" t="s">
        <v>712</v>
      </c>
      <c r="P64" s="357" t="s">
        <v>293</v>
      </c>
      <c r="Q64" s="67"/>
      <c r="R64" s="52"/>
      <c r="S64" s="69"/>
      <c r="T64" s="88"/>
      <c r="U64" s="103"/>
    </row>
    <row r="65" spans="2:22" ht="28.8" customHeight="1" x14ac:dyDescent="0.35">
      <c r="B65" s="126"/>
      <c r="C65" s="127"/>
      <c r="D65" s="242"/>
      <c r="E65" s="246">
        <f t="shared" si="0"/>
        <v>62</v>
      </c>
      <c r="F65" s="100" t="s">
        <v>491</v>
      </c>
      <c r="G65" s="94" t="s">
        <v>615</v>
      </c>
      <c r="H65" s="81" t="s">
        <v>712</v>
      </c>
      <c r="I65" s="51" t="s">
        <v>293</v>
      </c>
      <c r="J65" s="51" t="s">
        <v>293</v>
      </c>
      <c r="K65" s="81" t="s">
        <v>712</v>
      </c>
      <c r="L65" s="81" t="s">
        <v>712</v>
      </c>
      <c r="M65" s="81" t="s">
        <v>712</v>
      </c>
      <c r="N65" s="356" t="s">
        <v>293</v>
      </c>
      <c r="O65" s="81" t="s">
        <v>712</v>
      </c>
      <c r="P65" s="357" t="s">
        <v>293</v>
      </c>
      <c r="Q65" s="67"/>
      <c r="R65" s="52"/>
      <c r="S65" s="69"/>
      <c r="T65" s="88"/>
      <c r="U65" s="103"/>
    </row>
    <row r="66" spans="2:22" ht="28.2" customHeight="1" x14ac:dyDescent="0.35">
      <c r="B66" s="129" t="s">
        <v>513</v>
      </c>
      <c r="C66" s="294" t="s">
        <v>518</v>
      </c>
      <c r="D66" s="249" t="s">
        <v>517</v>
      </c>
      <c r="E66" s="92">
        <f t="shared" si="0"/>
        <v>63</v>
      </c>
      <c r="F66" s="93" t="s">
        <v>514</v>
      </c>
      <c r="G66" s="94" t="s">
        <v>515</v>
      </c>
      <c r="H66" s="81" t="s">
        <v>712</v>
      </c>
      <c r="I66" s="51" t="s">
        <v>293</v>
      </c>
      <c r="J66" s="51" t="s">
        <v>293</v>
      </c>
      <c r="K66" s="51" t="s">
        <v>293</v>
      </c>
      <c r="L66" s="81" t="s">
        <v>712</v>
      </c>
      <c r="M66" s="81" t="s">
        <v>712</v>
      </c>
      <c r="N66" s="51" t="s">
        <v>293</v>
      </c>
      <c r="O66" s="51" t="s">
        <v>293</v>
      </c>
      <c r="P66" s="65" t="s">
        <v>293</v>
      </c>
      <c r="Q66" s="67"/>
      <c r="R66" s="52"/>
      <c r="S66" s="69"/>
      <c r="T66" s="88"/>
      <c r="U66" s="103"/>
      <c r="V66" s="130"/>
    </row>
    <row r="67" spans="2:22" ht="38.4" customHeight="1" x14ac:dyDescent="0.35">
      <c r="B67" s="295" t="s">
        <v>516</v>
      </c>
      <c r="C67" s="127"/>
      <c r="D67" s="91" t="s">
        <v>618</v>
      </c>
      <c r="E67" s="92">
        <f t="shared" si="0"/>
        <v>64</v>
      </c>
      <c r="F67" s="93" t="s">
        <v>620</v>
      </c>
      <c r="G67" s="94" t="s">
        <v>527</v>
      </c>
      <c r="H67" s="81" t="s">
        <v>712</v>
      </c>
      <c r="I67" s="51" t="s">
        <v>293</v>
      </c>
      <c r="J67" s="51" t="s">
        <v>293</v>
      </c>
      <c r="K67" s="81" t="s">
        <v>293</v>
      </c>
      <c r="L67" s="81" t="s">
        <v>712</v>
      </c>
      <c r="M67" s="81" t="s">
        <v>712</v>
      </c>
      <c r="N67" s="51" t="s">
        <v>293</v>
      </c>
      <c r="O67" s="51" t="s">
        <v>293</v>
      </c>
      <c r="P67" s="65" t="s">
        <v>293</v>
      </c>
      <c r="Q67" s="67"/>
      <c r="R67" s="52"/>
      <c r="S67" s="69"/>
      <c r="T67" s="88"/>
      <c r="U67" s="104" t="s">
        <v>686</v>
      </c>
    </row>
    <row r="68" spans="2:22" ht="28.2" customHeight="1" x14ac:dyDescent="0.35">
      <c r="B68" s="295"/>
      <c r="C68" s="127"/>
      <c r="D68" s="96" t="s">
        <v>619</v>
      </c>
      <c r="E68" s="97">
        <f t="shared" si="0"/>
        <v>65</v>
      </c>
      <c r="F68" s="98" t="s">
        <v>520</v>
      </c>
      <c r="G68" s="99" t="s">
        <v>527</v>
      </c>
      <c r="H68" s="53" t="s">
        <v>293</v>
      </c>
      <c r="I68" s="53" t="s">
        <v>293</v>
      </c>
      <c r="J68" s="53" t="s">
        <v>293</v>
      </c>
      <c r="K68" s="53" t="s">
        <v>293</v>
      </c>
      <c r="L68" s="53" t="s">
        <v>293</v>
      </c>
      <c r="M68" s="53" t="s">
        <v>293</v>
      </c>
      <c r="N68" s="53" t="s">
        <v>293</v>
      </c>
      <c r="O68" s="53" t="s">
        <v>293</v>
      </c>
      <c r="P68" s="66" t="s">
        <v>293</v>
      </c>
      <c r="Q68" s="68"/>
      <c r="R68" s="54"/>
      <c r="S68" s="70"/>
      <c r="T68" s="361"/>
      <c r="U68" s="392" t="s">
        <v>767</v>
      </c>
    </row>
    <row r="69" spans="2:22" ht="28.2" customHeight="1" x14ac:dyDescent="0.35">
      <c r="B69" s="295"/>
      <c r="C69" s="127"/>
      <c r="D69" s="91" t="s">
        <v>621</v>
      </c>
      <c r="E69" s="92">
        <f t="shared" si="0"/>
        <v>66</v>
      </c>
      <c r="F69" s="93" t="s">
        <v>623</v>
      </c>
      <c r="G69" s="94" t="s">
        <v>527</v>
      </c>
      <c r="H69" s="81" t="s">
        <v>712</v>
      </c>
      <c r="I69" s="51" t="s">
        <v>293</v>
      </c>
      <c r="J69" s="51" t="s">
        <v>293</v>
      </c>
      <c r="K69" s="81" t="s">
        <v>712</v>
      </c>
      <c r="L69" s="81" t="s">
        <v>712</v>
      </c>
      <c r="M69" s="81" t="s">
        <v>712</v>
      </c>
      <c r="N69" s="51" t="s">
        <v>293</v>
      </c>
      <c r="O69" s="51" t="s">
        <v>293</v>
      </c>
      <c r="P69" s="65" t="s">
        <v>293</v>
      </c>
      <c r="Q69" s="67"/>
      <c r="R69" s="52"/>
      <c r="S69" s="69"/>
      <c r="T69" s="88"/>
      <c r="U69" s="103"/>
    </row>
    <row r="70" spans="2:22" ht="28.2" customHeight="1" x14ac:dyDescent="0.35">
      <c r="B70" s="126"/>
      <c r="C70" s="127"/>
      <c r="D70" s="91" t="s">
        <v>622</v>
      </c>
      <c r="E70" s="92">
        <f t="shared" si="0"/>
        <v>67</v>
      </c>
      <c r="F70" s="91" t="s">
        <v>624</v>
      </c>
      <c r="G70" s="94" t="s">
        <v>527</v>
      </c>
      <c r="H70" s="81" t="s">
        <v>712</v>
      </c>
      <c r="I70" s="51" t="s">
        <v>293</v>
      </c>
      <c r="J70" s="51" t="s">
        <v>293</v>
      </c>
      <c r="K70" s="81" t="s">
        <v>293</v>
      </c>
      <c r="L70" s="51" t="s">
        <v>293</v>
      </c>
      <c r="M70" s="51" t="s">
        <v>293</v>
      </c>
      <c r="N70" s="51" t="s">
        <v>293</v>
      </c>
      <c r="O70" s="51" t="s">
        <v>293</v>
      </c>
      <c r="P70" s="65" t="s">
        <v>293</v>
      </c>
      <c r="Q70" s="67"/>
      <c r="R70" s="52"/>
      <c r="S70" s="69"/>
      <c r="T70" s="88"/>
      <c r="U70" s="103"/>
    </row>
    <row r="71" spans="2:22" ht="28.2" customHeight="1" x14ac:dyDescent="0.35">
      <c r="B71" s="126"/>
      <c r="C71" s="127"/>
      <c r="D71" s="91" t="s">
        <v>622</v>
      </c>
      <c r="E71" s="92">
        <f t="shared" si="0"/>
        <v>68</v>
      </c>
      <c r="F71" s="91" t="s">
        <v>627</v>
      </c>
      <c r="G71" s="94" t="s">
        <v>527</v>
      </c>
      <c r="H71" s="81" t="s">
        <v>712</v>
      </c>
      <c r="I71" s="51" t="s">
        <v>293</v>
      </c>
      <c r="J71" s="51" t="s">
        <v>293</v>
      </c>
      <c r="K71" s="81" t="s">
        <v>293</v>
      </c>
      <c r="L71" s="51" t="s">
        <v>293</v>
      </c>
      <c r="M71" s="51" t="s">
        <v>293</v>
      </c>
      <c r="N71" s="51" t="s">
        <v>293</v>
      </c>
      <c r="O71" s="51" t="s">
        <v>293</v>
      </c>
      <c r="P71" s="65" t="s">
        <v>293</v>
      </c>
      <c r="Q71" s="67"/>
      <c r="R71" s="52"/>
      <c r="S71" s="69"/>
      <c r="T71" s="88"/>
      <c r="U71" s="103"/>
    </row>
    <row r="72" spans="2:22" ht="28.2" customHeight="1" x14ac:dyDescent="0.35">
      <c r="B72" s="126"/>
      <c r="C72" s="127"/>
      <c r="D72" s="91" t="s">
        <v>625</v>
      </c>
      <c r="E72" s="92">
        <f t="shared" si="0"/>
        <v>69</v>
      </c>
      <c r="F72" s="91" t="s">
        <v>628</v>
      </c>
      <c r="G72" s="94" t="s">
        <v>527</v>
      </c>
      <c r="H72" s="81" t="s">
        <v>712</v>
      </c>
      <c r="I72" s="51" t="s">
        <v>293</v>
      </c>
      <c r="J72" s="51" t="s">
        <v>293</v>
      </c>
      <c r="K72" s="81" t="s">
        <v>293</v>
      </c>
      <c r="L72" s="51" t="s">
        <v>293</v>
      </c>
      <c r="M72" s="51" t="s">
        <v>293</v>
      </c>
      <c r="N72" s="51" t="s">
        <v>293</v>
      </c>
      <c r="O72" s="51" t="s">
        <v>293</v>
      </c>
      <c r="P72" s="65" t="s">
        <v>293</v>
      </c>
      <c r="Q72" s="67"/>
      <c r="R72" s="52"/>
      <c r="S72" s="69"/>
      <c r="T72" s="88"/>
      <c r="U72" s="103"/>
    </row>
    <row r="73" spans="2:22" ht="28.2" customHeight="1" x14ac:dyDescent="0.35">
      <c r="B73" s="126"/>
      <c r="C73" s="127"/>
      <c r="D73" s="91" t="s">
        <v>626</v>
      </c>
      <c r="E73" s="92">
        <f t="shared" si="0"/>
        <v>70</v>
      </c>
      <c r="F73" s="91" t="s">
        <v>629</v>
      </c>
      <c r="G73" s="94" t="s">
        <v>527</v>
      </c>
      <c r="H73" s="81" t="s">
        <v>712</v>
      </c>
      <c r="I73" s="51" t="s">
        <v>293</v>
      </c>
      <c r="J73" s="51" t="s">
        <v>293</v>
      </c>
      <c r="K73" s="81" t="s">
        <v>293</v>
      </c>
      <c r="L73" s="51" t="s">
        <v>293</v>
      </c>
      <c r="M73" s="51" t="s">
        <v>293</v>
      </c>
      <c r="N73" s="51" t="s">
        <v>293</v>
      </c>
      <c r="O73" s="51" t="s">
        <v>293</v>
      </c>
      <c r="P73" s="65" t="s">
        <v>293</v>
      </c>
      <c r="Q73" s="67"/>
      <c r="R73" s="52"/>
      <c r="S73" s="69"/>
      <c r="T73" s="88"/>
      <c r="U73" s="103" t="s">
        <v>730</v>
      </c>
    </row>
    <row r="74" spans="2:22" ht="28.2" customHeight="1" x14ac:dyDescent="0.35">
      <c r="B74" s="126"/>
      <c r="C74" s="127"/>
      <c r="D74" s="96" t="s">
        <v>529</v>
      </c>
      <c r="E74" s="97">
        <f t="shared" si="0"/>
        <v>71</v>
      </c>
      <c r="F74" s="96" t="s">
        <v>531</v>
      </c>
      <c r="G74" s="99" t="s">
        <v>527</v>
      </c>
      <c r="H74" s="82" t="s">
        <v>293</v>
      </c>
      <c r="I74" s="53" t="s">
        <v>293</v>
      </c>
      <c r="J74" s="53" t="s">
        <v>293</v>
      </c>
      <c r="K74" s="82" t="s">
        <v>293</v>
      </c>
      <c r="L74" s="53" t="s">
        <v>293</v>
      </c>
      <c r="M74" s="53" t="s">
        <v>293</v>
      </c>
      <c r="N74" s="53" t="s">
        <v>293</v>
      </c>
      <c r="O74" s="53" t="s">
        <v>293</v>
      </c>
      <c r="P74" s="66" t="s">
        <v>293</v>
      </c>
      <c r="Q74" s="68"/>
      <c r="R74" s="54"/>
      <c r="S74" s="70"/>
      <c r="T74" s="361"/>
      <c r="U74" s="392" t="s">
        <v>767</v>
      </c>
    </row>
    <row r="75" spans="2:22" ht="28.2" customHeight="1" x14ac:dyDescent="0.35">
      <c r="B75" s="126"/>
      <c r="C75" s="127"/>
      <c r="D75" s="96" t="s">
        <v>523</v>
      </c>
      <c r="E75" s="97">
        <f t="shared" si="0"/>
        <v>72</v>
      </c>
      <c r="F75" s="96" t="s">
        <v>532</v>
      </c>
      <c r="G75" s="99" t="s">
        <v>527</v>
      </c>
      <c r="H75" s="82" t="s">
        <v>293</v>
      </c>
      <c r="I75" s="53" t="s">
        <v>293</v>
      </c>
      <c r="J75" s="53" t="s">
        <v>293</v>
      </c>
      <c r="K75" s="82" t="s">
        <v>293</v>
      </c>
      <c r="L75" s="53" t="s">
        <v>293</v>
      </c>
      <c r="M75" s="53" t="s">
        <v>293</v>
      </c>
      <c r="N75" s="53" t="s">
        <v>293</v>
      </c>
      <c r="O75" s="53" t="s">
        <v>293</v>
      </c>
      <c r="P75" s="66" t="s">
        <v>293</v>
      </c>
      <c r="Q75" s="68"/>
      <c r="R75" s="54"/>
      <c r="S75" s="70"/>
      <c r="T75" s="361"/>
      <c r="U75" s="392" t="s">
        <v>767</v>
      </c>
    </row>
    <row r="76" spans="2:22" ht="28.2" customHeight="1" x14ac:dyDescent="0.35">
      <c r="B76" s="126"/>
      <c r="C76" s="127"/>
      <c r="D76" s="96" t="s">
        <v>524</v>
      </c>
      <c r="E76" s="97">
        <f t="shared" si="0"/>
        <v>73</v>
      </c>
      <c r="F76" s="96" t="s">
        <v>533</v>
      </c>
      <c r="G76" s="99" t="s">
        <v>527</v>
      </c>
      <c r="H76" s="82" t="s">
        <v>293</v>
      </c>
      <c r="I76" s="53" t="s">
        <v>293</v>
      </c>
      <c r="J76" s="53" t="s">
        <v>293</v>
      </c>
      <c r="K76" s="82" t="s">
        <v>293</v>
      </c>
      <c r="L76" s="53" t="s">
        <v>293</v>
      </c>
      <c r="M76" s="53" t="s">
        <v>293</v>
      </c>
      <c r="N76" s="53" t="s">
        <v>293</v>
      </c>
      <c r="O76" s="53" t="s">
        <v>293</v>
      </c>
      <c r="P76" s="66" t="s">
        <v>293</v>
      </c>
      <c r="Q76" s="68"/>
      <c r="R76" s="54"/>
      <c r="S76" s="70"/>
      <c r="T76" s="361"/>
      <c r="U76" s="392" t="s">
        <v>767</v>
      </c>
    </row>
    <row r="77" spans="2:22" ht="28.2" customHeight="1" x14ac:dyDescent="0.35">
      <c r="B77" s="126"/>
      <c r="C77" s="127"/>
      <c r="D77" s="96" t="s">
        <v>525</v>
      </c>
      <c r="E77" s="97">
        <f t="shared" si="0"/>
        <v>74</v>
      </c>
      <c r="F77" s="96" t="s">
        <v>534</v>
      </c>
      <c r="G77" s="99" t="s">
        <v>527</v>
      </c>
      <c r="H77" s="82" t="s">
        <v>293</v>
      </c>
      <c r="I77" s="53" t="s">
        <v>293</v>
      </c>
      <c r="J77" s="53" t="s">
        <v>293</v>
      </c>
      <c r="K77" s="82" t="s">
        <v>293</v>
      </c>
      <c r="L77" s="53" t="s">
        <v>293</v>
      </c>
      <c r="M77" s="53" t="s">
        <v>293</v>
      </c>
      <c r="N77" s="53" t="s">
        <v>293</v>
      </c>
      <c r="O77" s="53" t="s">
        <v>293</v>
      </c>
      <c r="P77" s="66" t="s">
        <v>293</v>
      </c>
      <c r="Q77" s="68"/>
      <c r="R77" s="54"/>
      <c r="S77" s="70"/>
      <c r="T77" s="361"/>
      <c r="U77" s="392" t="s">
        <v>767</v>
      </c>
    </row>
    <row r="78" spans="2:22" ht="28.2" customHeight="1" x14ac:dyDescent="0.35">
      <c r="B78" s="126"/>
      <c r="C78" s="127"/>
      <c r="D78" s="96" t="s">
        <v>630</v>
      </c>
      <c r="E78" s="97">
        <f t="shared" si="0"/>
        <v>75</v>
      </c>
      <c r="F78" s="96" t="s">
        <v>521</v>
      </c>
      <c r="G78" s="99" t="s">
        <v>527</v>
      </c>
      <c r="H78" s="53" t="s">
        <v>293</v>
      </c>
      <c r="I78" s="53" t="s">
        <v>293</v>
      </c>
      <c r="J78" s="53" t="s">
        <v>293</v>
      </c>
      <c r="K78" s="53" t="s">
        <v>293</v>
      </c>
      <c r="L78" s="53" t="s">
        <v>293</v>
      </c>
      <c r="M78" s="53" t="s">
        <v>293</v>
      </c>
      <c r="N78" s="53" t="s">
        <v>293</v>
      </c>
      <c r="O78" s="53" t="s">
        <v>293</v>
      </c>
      <c r="P78" s="66" t="s">
        <v>293</v>
      </c>
      <c r="Q78" s="68"/>
      <c r="R78" s="54"/>
      <c r="S78" s="70"/>
      <c r="T78" s="361"/>
      <c r="U78" s="392" t="s">
        <v>767</v>
      </c>
    </row>
    <row r="79" spans="2:22" ht="28.2" customHeight="1" x14ac:dyDescent="0.35">
      <c r="B79" s="126"/>
      <c r="C79" s="127"/>
      <c r="D79" s="91" t="s">
        <v>616</v>
      </c>
      <c r="E79" s="92">
        <f t="shared" si="0"/>
        <v>76</v>
      </c>
      <c r="F79" s="91" t="s">
        <v>535</v>
      </c>
      <c r="G79" s="94" t="s">
        <v>617</v>
      </c>
      <c r="H79" s="81" t="s">
        <v>293</v>
      </c>
      <c r="I79" s="51" t="s">
        <v>293</v>
      </c>
      <c r="J79" s="51" t="s">
        <v>293</v>
      </c>
      <c r="K79" s="81" t="s">
        <v>712</v>
      </c>
      <c r="L79" s="51" t="s">
        <v>293</v>
      </c>
      <c r="M79" s="51" t="s">
        <v>293</v>
      </c>
      <c r="N79" s="51" t="s">
        <v>293</v>
      </c>
      <c r="O79" s="51" t="s">
        <v>293</v>
      </c>
      <c r="P79" s="65" t="s">
        <v>293</v>
      </c>
      <c r="Q79" s="67"/>
      <c r="R79" s="52"/>
      <c r="S79" s="69"/>
      <c r="T79" s="88"/>
      <c r="U79" s="103"/>
    </row>
    <row r="80" spans="2:22" ht="28.2" customHeight="1" x14ac:dyDescent="0.35">
      <c r="B80" s="129" t="s">
        <v>565</v>
      </c>
      <c r="C80" s="336" t="s">
        <v>566</v>
      </c>
      <c r="D80" s="91" t="s">
        <v>568</v>
      </c>
      <c r="E80" s="92">
        <f t="shared" si="0"/>
        <v>77</v>
      </c>
      <c r="F80" s="91"/>
      <c r="G80" s="94" t="s">
        <v>570</v>
      </c>
      <c r="H80" s="51" t="s">
        <v>293</v>
      </c>
      <c r="I80" s="51" t="s">
        <v>293</v>
      </c>
      <c r="J80" s="51" t="s">
        <v>293</v>
      </c>
      <c r="K80" s="81" t="s">
        <v>712</v>
      </c>
      <c r="L80" s="51" t="s">
        <v>293</v>
      </c>
      <c r="M80" s="51" t="s">
        <v>293</v>
      </c>
      <c r="N80" s="51" t="s">
        <v>293</v>
      </c>
      <c r="O80" s="51" t="s">
        <v>293</v>
      </c>
      <c r="P80" s="65" t="s">
        <v>293</v>
      </c>
      <c r="Q80" s="67"/>
      <c r="R80" s="52"/>
      <c r="S80" s="69"/>
      <c r="T80" s="88"/>
      <c r="U80" s="103" t="s">
        <v>731</v>
      </c>
    </row>
    <row r="81" spans="1:22" ht="28.2" customHeight="1" x14ac:dyDescent="0.35">
      <c r="B81" s="337"/>
      <c r="C81" s="336" t="s">
        <v>567</v>
      </c>
      <c r="D81" s="91" t="s">
        <v>569</v>
      </c>
      <c r="E81" s="92">
        <f t="shared" si="0"/>
        <v>78</v>
      </c>
      <c r="F81" s="91"/>
      <c r="G81" s="94" t="s">
        <v>570</v>
      </c>
      <c r="H81" s="51" t="s">
        <v>293</v>
      </c>
      <c r="I81" s="51" t="s">
        <v>293</v>
      </c>
      <c r="J81" s="51" t="s">
        <v>293</v>
      </c>
      <c r="K81" s="81" t="s">
        <v>712</v>
      </c>
      <c r="L81" s="51" t="s">
        <v>293</v>
      </c>
      <c r="M81" s="51" t="s">
        <v>293</v>
      </c>
      <c r="N81" s="51" t="s">
        <v>293</v>
      </c>
      <c r="O81" s="51" t="s">
        <v>293</v>
      </c>
      <c r="P81" s="65" t="s">
        <v>293</v>
      </c>
      <c r="Q81" s="67"/>
      <c r="R81" s="52"/>
      <c r="S81" s="69"/>
      <c r="T81" s="88"/>
      <c r="U81" s="103" t="s">
        <v>763</v>
      </c>
    </row>
    <row r="82" spans="1:22" ht="28.2" customHeight="1" x14ac:dyDescent="0.35">
      <c r="B82" s="300" t="s">
        <v>513</v>
      </c>
      <c r="C82" s="316" t="s">
        <v>518</v>
      </c>
      <c r="D82" s="302" t="s">
        <v>517</v>
      </c>
      <c r="E82" s="303">
        <f t="shared" si="0"/>
        <v>79</v>
      </c>
      <c r="F82" s="304" t="s">
        <v>514</v>
      </c>
      <c r="G82" s="305" t="s">
        <v>515</v>
      </c>
      <c r="H82" s="306" t="s">
        <v>293</v>
      </c>
      <c r="I82" s="306" t="s">
        <v>293</v>
      </c>
      <c r="J82" s="306" t="s">
        <v>293</v>
      </c>
      <c r="K82" s="306" t="s">
        <v>293</v>
      </c>
      <c r="L82" s="306" t="s">
        <v>293</v>
      </c>
      <c r="M82" s="306" t="s">
        <v>293</v>
      </c>
      <c r="N82" s="306" t="s">
        <v>293</v>
      </c>
      <c r="O82" s="306" t="s">
        <v>293</v>
      </c>
      <c r="P82" s="307" t="s">
        <v>293</v>
      </c>
      <c r="Q82" s="308"/>
      <c r="R82" s="309"/>
      <c r="S82" s="310"/>
      <c r="T82" s="311"/>
      <c r="U82" s="312"/>
      <c r="V82" s="130"/>
    </row>
    <row r="83" spans="1:22" ht="48.6" customHeight="1" x14ac:dyDescent="0.35">
      <c r="B83" s="313" t="s">
        <v>528</v>
      </c>
      <c r="C83" s="301"/>
      <c r="D83" s="314" t="s">
        <v>520</v>
      </c>
      <c r="E83" s="303">
        <f t="shared" si="0"/>
        <v>80</v>
      </c>
      <c r="F83" s="304" t="s">
        <v>520</v>
      </c>
      <c r="G83" s="305" t="s">
        <v>527</v>
      </c>
      <c r="H83" s="306" t="s">
        <v>293</v>
      </c>
      <c r="I83" s="306" t="s">
        <v>293</v>
      </c>
      <c r="J83" s="306" t="s">
        <v>293</v>
      </c>
      <c r="K83" s="306" t="s">
        <v>293</v>
      </c>
      <c r="L83" s="306" t="s">
        <v>293</v>
      </c>
      <c r="M83" s="306" t="s">
        <v>293</v>
      </c>
      <c r="N83" s="306" t="s">
        <v>293</v>
      </c>
      <c r="O83" s="306" t="s">
        <v>293</v>
      </c>
      <c r="P83" s="307" t="s">
        <v>293</v>
      </c>
      <c r="Q83" s="308"/>
      <c r="R83" s="309"/>
      <c r="S83" s="310"/>
      <c r="T83" s="311"/>
      <c r="U83" s="312"/>
      <c r="V83" s="130"/>
    </row>
    <row r="84" spans="1:22" ht="28.2" customHeight="1" x14ac:dyDescent="0.35">
      <c r="B84" s="315"/>
      <c r="C84" s="301"/>
      <c r="D84" s="314" t="s">
        <v>522</v>
      </c>
      <c r="E84" s="303">
        <f t="shared" si="0"/>
        <v>81</v>
      </c>
      <c r="F84" s="304" t="s">
        <v>530</v>
      </c>
      <c r="G84" s="305" t="s">
        <v>527</v>
      </c>
      <c r="H84" s="306" t="s">
        <v>293</v>
      </c>
      <c r="I84" s="306" t="s">
        <v>293</v>
      </c>
      <c r="J84" s="306" t="s">
        <v>293</v>
      </c>
      <c r="K84" s="306" t="s">
        <v>293</v>
      </c>
      <c r="L84" s="306" t="s">
        <v>293</v>
      </c>
      <c r="M84" s="306" t="s">
        <v>293</v>
      </c>
      <c r="N84" s="306" t="s">
        <v>293</v>
      </c>
      <c r="O84" s="306" t="s">
        <v>293</v>
      </c>
      <c r="P84" s="307" t="s">
        <v>293</v>
      </c>
      <c r="Q84" s="308"/>
      <c r="R84" s="309"/>
      <c r="S84" s="310"/>
      <c r="T84" s="311"/>
      <c r="U84" s="312"/>
    </row>
    <row r="85" spans="1:22" ht="28.2" customHeight="1" x14ac:dyDescent="0.35">
      <c r="B85" s="315"/>
      <c r="C85" s="301"/>
      <c r="D85" s="314" t="s">
        <v>529</v>
      </c>
      <c r="E85" s="303">
        <f t="shared" si="0"/>
        <v>82</v>
      </c>
      <c r="F85" s="314" t="s">
        <v>531</v>
      </c>
      <c r="G85" s="305" t="s">
        <v>527</v>
      </c>
      <c r="H85" s="306" t="s">
        <v>293</v>
      </c>
      <c r="I85" s="306" t="s">
        <v>293</v>
      </c>
      <c r="J85" s="306" t="s">
        <v>293</v>
      </c>
      <c r="K85" s="306" t="s">
        <v>293</v>
      </c>
      <c r="L85" s="306" t="s">
        <v>293</v>
      </c>
      <c r="M85" s="306" t="s">
        <v>293</v>
      </c>
      <c r="N85" s="306" t="s">
        <v>293</v>
      </c>
      <c r="O85" s="306" t="s">
        <v>293</v>
      </c>
      <c r="P85" s="307" t="s">
        <v>293</v>
      </c>
      <c r="Q85" s="308"/>
      <c r="R85" s="309"/>
      <c r="S85" s="310"/>
      <c r="T85" s="311"/>
      <c r="U85" s="312"/>
    </row>
    <row r="86" spans="1:22" ht="28.2" customHeight="1" x14ac:dyDescent="0.35">
      <c r="B86" s="315"/>
      <c r="C86" s="301"/>
      <c r="D86" s="314" t="s">
        <v>523</v>
      </c>
      <c r="E86" s="303">
        <f t="shared" si="0"/>
        <v>83</v>
      </c>
      <c r="F86" s="314" t="s">
        <v>532</v>
      </c>
      <c r="G86" s="305" t="s">
        <v>527</v>
      </c>
      <c r="H86" s="306" t="s">
        <v>293</v>
      </c>
      <c r="I86" s="306" t="s">
        <v>293</v>
      </c>
      <c r="J86" s="306" t="s">
        <v>293</v>
      </c>
      <c r="K86" s="306" t="s">
        <v>293</v>
      </c>
      <c r="L86" s="306" t="s">
        <v>293</v>
      </c>
      <c r="M86" s="306" t="s">
        <v>293</v>
      </c>
      <c r="N86" s="306" t="s">
        <v>293</v>
      </c>
      <c r="O86" s="306" t="s">
        <v>293</v>
      </c>
      <c r="P86" s="307" t="s">
        <v>293</v>
      </c>
      <c r="Q86" s="308"/>
      <c r="R86" s="309"/>
      <c r="S86" s="310"/>
      <c r="T86" s="311"/>
      <c r="U86" s="312"/>
      <c r="V86" s="130"/>
    </row>
    <row r="87" spans="1:22" ht="28.2" customHeight="1" x14ac:dyDescent="0.35">
      <c r="B87" s="315"/>
      <c r="C87" s="301"/>
      <c r="D87" s="314" t="s">
        <v>524</v>
      </c>
      <c r="E87" s="303">
        <f t="shared" si="0"/>
        <v>84</v>
      </c>
      <c r="F87" s="314" t="s">
        <v>533</v>
      </c>
      <c r="G87" s="305" t="s">
        <v>527</v>
      </c>
      <c r="H87" s="306" t="s">
        <v>293</v>
      </c>
      <c r="I87" s="306" t="s">
        <v>293</v>
      </c>
      <c r="J87" s="306" t="s">
        <v>293</v>
      </c>
      <c r="K87" s="306" t="s">
        <v>293</v>
      </c>
      <c r="L87" s="306" t="s">
        <v>293</v>
      </c>
      <c r="M87" s="306" t="s">
        <v>293</v>
      </c>
      <c r="N87" s="306" t="s">
        <v>293</v>
      </c>
      <c r="O87" s="306" t="s">
        <v>293</v>
      </c>
      <c r="P87" s="307" t="s">
        <v>293</v>
      </c>
      <c r="Q87" s="308"/>
      <c r="R87" s="309"/>
      <c r="S87" s="310"/>
      <c r="T87" s="311"/>
      <c r="U87" s="312"/>
      <c r="V87" s="130"/>
    </row>
    <row r="88" spans="1:22" ht="37.799999999999997" customHeight="1" x14ac:dyDescent="0.35">
      <c r="B88" s="315"/>
      <c r="C88" s="301"/>
      <c r="D88" s="314" t="s">
        <v>525</v>
      </c>
      <c r="E88" s="303">
        <f t="shared" si="0"/>
        <v>85</v>
      </c>
      <c r="F88" s="314" t="s">
        <v>534</v>
      </c>
      <c r="G88" s="305" t="s">
        <v>527</v>
      </c>
      <c r="H88" s="306" t="s">
        <v>293</v>
      </c>
      <c r="I88" s="306" t="s">
        <v>293</v>
      </c>
      <c r="J88" s="306" t="s">
        <v>293</v>
      </c>
      <c r="K88" s="306" t="s">
        <v>293</v>
      </c>
      <c r="L88" s="306" t="s">
        <v>293</v>
      </c>
      <c r="M88" s="306" t="s">
        <v>293</v>
      </c>
      <c r="N88" s="306" t="s">
        <v>293</v>
      </c>
      <c r="O88" s="306" t="s">
        <v>293</v>
      </c>
      <c r="P88" s="307" t="s">
        <v>293</v>
      </c>
      <c r="Q88" s="308"/>
      <c r="R88" s="309"/>
      <c r="S88" s="310"/>
      <c r="T88" s="311"/>
      <c r="U88" s="317"/>
    </row>
    <row r="89" spans="1:22" ht="28.2" customHeight="1" x14ac:dyDescent="0.35">
      <c r="B89" s="315"/>
      <c r="C89" s="301"/>
      <c r="D89" s="314" t="s">
        <v>519</v>
      </c>
      <c r="E89" s="303">
        <f t="shared" si="0"/>
        <v>86</v>
      </c>
      <c r="F89" s="314" t="s">
        <v>521</v>
      </c>
      <c r="G89" s="305" t="s">
        <v>527</v>
      </c>
      <c r="H89" s="306" t="s">
        <v>293</v>
      </c>
      <c r="I89" s="306" t="s">
        <v>293</v>
      </c>
      <c r="J89" s="306" t="s">
        <v>293</v>
      </c>
      <c r="K89" s="306" t="s">
        <v>293</v>
      </c>
      <c r="L89" s="306" t="s">
        <v>293</v>
      </c>
      <c r="M89" s="306" t="s">
        <v>293</v>
      </c>
      <c r="N89" s="306" t="s">
        <v>293</v>
      </c>
      <c r="O89" s="306" t="s">
        <v>293</v>
      </c>
      <c r="P89" s="307" t="s">
        <v>293</v>
      </c>
      <c r="Q89" s="308"/>
      <c r="R89" s="309"/>
      <c r="S89" s="310"/>
      <c r="T89" s="311"/>
      <c r="U89" s="312"/>
    </row>
    <row r="90" spans="1:22" ht="36" customHeight="1" x14ac:dyDescent="0.35">
      <c r="B90" s="315"/>
      <c r="C90" s="301"/>
      <c r="D90" s="314" t="s">
        <v>526</v>
      </c>
      <c r="E90" s="303">
        <f t="shared" si="0"/>
        <v>87</v>
      </c>
      <c r="F90" s="314" t="s">
        <v>535</v>
      </c>
      <c r="G90" s="305" t="s">
        <v>527</v>
      </c>
      <c r="H90" s="306" t="s">
        <v>293</v>
      </c>
      <c r="I90" s="306" t="s">
        <v>293</v>
      </c>
      <c r="J90" s="306" t="s">
        <v>293</v>
      </c>
      <c r="K90" s="306" t="s">
        <v>293</v>
      </c>
      <c r="L90" s="306" t="s">
        <v>293</v>
      </c>
      <c r="M90" s="306" t="s">
        <v>293</v>
      </c>
      <c r="N90" s="306" t="s">
        <v>293</v>
      </c>
      <c r="O90" s="306" t="s">
        <v>293</v>
      </c>
      <c r="P90" s="307" t="s">
        <v>293</v>
      </c>
      <c r="Q90" s="308"/>
      <c r="R90" s="309"/>
      <c r="S90" s="310"/>
      <c r="T90" s="311"/>
      <c r="U90" s="312"/>
    </row>
    <row r="91" spans="1:22" ht="28.2" customHeight="1" thickBot="1" x14ac:dyDescent="0.4">
      <c r="B91" s="333"/>
      <c r="C91" s="318"/>
      <c r="D91" s="319"/>
      <c r="E91" s="320"/>
      <c r="F91" s="321"/>
      <c r="G91" s="322"/>
      <c r="H91" s="323" t="s">
        <v>293</v>
      </c>
      <c r="I91" s="324" t="s">
        <v>293</v>
      </c>
      <c r="J91" s="324" t="s">
        <v>293</v>
      </c>
      <c r="K91" s="325" t="s">
        <v>293</v>
      </c>
      <c r="L91" s="324" t="s">
        <v>293</v>
      </c>
      <c r="M91" s="324" t="s">
        <v>293</v>
      </c>
      <c r="N91" s="325" t="s">
        <v>293</v>
      </c>
      <c r="O91" s="325" t="s">
        <v>293</v>
      </c>
      <c r="P91" s="326" t="s">
        <v>293</v>
      </c>
      <c r="Q91" s="327"/>
      <c r="R91" s="328"/>
      <c r="S91" s="329"/>
      <c r="T91" s="330"/>
      <c r="U91" s="331"/>
    </row>
    <row r="92" spans="1:22" ht="18" customHeight="1" x14ac:dyDescent="0.35">
      <c r="B92" s="556" t="s">
        <v>70</v>
      </c>
      <c r="C92" s="557"/>
      <c r="D92" s="557">
        <f>SUM(H94:P94)</f>
        <v>0</v>
      </c>
      <c r="E92" s="163"/>
      <c r="F92" s="164"/>
      <c r="G92" s="269" t="s">
        <v>275</v>
      </c>
      <c r="H92" s="166">
        <f t="shared" ref="H92:P92" si="1">COUNTIF(H4:H91,"●")+COUNTIF(H4:H91,"■")+COUNTIF(H4:H91,"OK")</f>
        <v>0</v>
      </c>
      <c r="I92" s="166">
        <f t="shared" si="1"/>
        <v>0</v>
      </c>
      <c r="J92" s="166">
        <f t="shared" si="1"/>
        <v>0</v>
      </c>
      <c r="K92" s="166">
        <f t="shared" si="1"/>
        <v>0</v>
      </c>
      <c r="L92" s="166">
        <f t="shared" si="1"/>
        <v>0</v>
      </c>
      <c r="M92" s="166">
        <f t="shared" si="1"/>
        <v>0</v>
      </c>
      <c r="N92" s="166">
        <f t="shared" si="1"/>
        <v>0</v>
      </c>
      <c r="O92" s="166">
        <f t="shared" si="1"/>
        <v>0</v>
      </c>
      <c r="P92" s="166">
        <f t="shared" si="1"/>
        <v>0</v>
      </c>
      <c r="Q92" s="571" t="s">
        <v>69</v>
      </c>
      <c r="R92" s="571"/>
      <c r="S92" s="571"/>
      <c r="T92" s="167"/>
      <c r="U92" s="168"/>
    </row>
    <row r="93" spans="1:22" ht="18" customHeight="1" x14ac:dyDescent="0.35">
      <c r="B93" s="558"/>
      <c r="C93" s="559"/>
      <c r="D93" s="559"/>
      <c r="E93" s="58"/>
      <c r="F93" s="59"/>
      <c r="G93" s="270" t="s">
        <v>274</v>
      </c>
      <c r="H93" s="78">
        <f t="shared" ref="H93:P93" si="2">COUNTIF(H4:H91,"×")+COUNTIF(H4:H91,"NG")</f>
        <v>0</v>
      </c>
      <c r="I93" s="79">
        <f t="shared" si="2"/>
        <v>0</v>
      </c>
      <c r="J93" s="79">
        <f t="shared" si="2"/>
        <v>0</v>
      </c>
      <c r="K93" s="79">
        <f t="shared" si="2"/>
        <v>0</v>
      </c>
      <c r="L93" s="79">
        <f t="shared" si="2"/>
        <v>0</v>
      </c>
      <c r="M93" s="79">
        <f t="shared" si="2"/>
        <v>0</v>
      </c>
      <c r="N93" s="79">
        <f t="shared" si="2"/>
        <v>0</v>
      </c>
      <c r="O93" s="79">
        <f t="shared" si="2"/>
        <v>0</v>
      </c>
      <c r="P93" s="80">
        <f t="shared" si="2"/>
        <v>0</v>
      </c>
      <c r="Q93" s="572"/>
      <c r="R93" s="572"/>
      <c r="S93" s="572"/>
      <c r="T93" s="74"/>
      <c r="U93" s="108"/>
    </row>
    <row r="94" spans="1:22" ht="18" customHeight="1" x14ac:dyDescent="0.35">
      <c r="B94" s="560" t="s">
        <v>67</v>
      </c>
      <c r="C94" s="561"/>
      <c r="D94" s="561">
        <f>SUM(H95:P95)</f>
        <v>204</v>
      </c>
      <c r="E94" s="48"/>
      <c r="F94" s="49"/>
      <c r="G94" s="270" t="s">
        <v>68</v>
      </c>
      <c r="H94" s="78">
        <f t="shared" ref="H94:P94" si="3">H92+H93</f>
        <v>0</v>
      </c>
      <c r="I94" s="79">
        <f t="shared" si="3"/>
        <v>0</v>
      </c>
      <c r="J94" s="79">
        <f t="shared" si="3"/>
        <v>0</v>
      </c>
      <c r="K94" s="79">
        <f t="shared" si="3"/>
        <v>0</v>
      </c>
      <c r="L94" s="79">
        <f t="shared" si="3"/>
        <v>0</v>
      </c>
      <c r="M94" s="79">
        <f t="shared" si="3"/>
        <v>0</v>
      </c>
      <c r="N94" s="79">
        <f t="shared" si="3"/>
        <v>0</v>
      </c>
      <c r="O94" s="79">
        <f t="shared" si="3"/>
        <v>0</v>
      </c>
      <c r="P94" s="80">
        <f t="shared" si="3"/>
        <v>0</v>
      </c>
      <c r="Q94" s="573">
        <f>COUNTA(Q4:Q91)</f>
        <v>0</v>
      </c>
      <c r="R94" s="575">
        <f>COUNTA(R4:R91)</f>
        <v>0</v>
      </c>
      <c r="S94" s="577">
        <f>COUNTA(S4:S91)</f>
        <v>0</v>
      </c>
      <c r="T94" s="74"/>
      <c r="U94" s="108"/>
    </row>
    <row r="95" spans="1:22" ht="18" customHeight="1" thickBot="1" x14ac:dyDescent="0.4">
      <c r="A95" s="122"/>
      <c r="B95" s="562"/>
      <c r="C95" s="563"/>
      <c r="D95" s="563"/>
      <c r="E95" s="109"/>
      <c r="F95" s="110"/>
      <c r="G95" s="271" t="s">
        <v>66</v>
      </c>
      <c r="H95" s="112">
        <f t="shared" ref="H95:P95" si="4">COUNTBLANK(H4:H91)+H94+COUNTIF(H4:H91,"□")</f>
        <v>63</v>
      </c>
      <c r="I95" s="113">
        <f t="shared" si="4"/>
        <v>0</v>
      </c>
      <c r="J95" s="113">
        <f t="shared" si="4"/>
        <v>0</v>
      </c>
      <c r="K95" s="113">
        <f t="shared" si="4"/>
        <v>8</v>
      </c>
      <c r="L95" s="113">
        <f t="shared" si="4"/>
        <v>58</v>
      </c>
      <c r="M95" s="113">
        <f t="shared" si="4"/>
        <v>58</v>
      </c>
      <c r="N95" s="113">
        <f t="shared" si="4"/>
        <v>0</v>
      </c>
      <c r="O95" s="113">
        <f t="shared" si="4"/>
        <v>17</v>
      </c>
      <c r="P95" s="114">
        <f t="shared" si="4"/>
        <v>0</v>
      </c>
      <c r="Q95" s="574"/>
      <c r="R95" s="576"/>
      <c r="S95" s="578"/>
      <c r="T95" s="115"/>
      <c r="U95" s="116"/>
    </row>
    <row r="96" spans="1:22" ht="24" customHeight="1" x14ac:dyDescent="0.35">
      <c r="F96" s="63"/>
      <c r="G96" s="63"/>
    </row>
  </sheetData>
  <autoFilter ref="A1:V96" xr:uid="{5DFD11E2-2AF8-4CC8-8AE1-B9C69D9A1FCA}"/>
  <mergeCells count="16">
    <mergeCell ref="B94:C95"/>
    <mergeCell ref="D94:D95"/>
    <mergeCell ref="Q94:Q95"/>
    <mergeCell ref="R94:R95"/>
    <mergeCell ref="S94:S95"/>
    <mergeCell ref="T2:T3"/>
    <mergeCell ref="U2:U3"/>
    <mergeCell ref="B92:C93"/>
    <mergeCell ref="D92:D93"/>
    <mergeCell ref="Q92:S93"/>
    <mergeCell ref="B2:B3"/>
    <mergeCell ref="C2:C3"/>
    <mergeCell ref="D2:D3"/>
    <mergeCell ref="E2:G2"/>
    <mergeCell ref="H2:P2"/>
    <mergeCell ref="Q2:S2"/>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C1" zoomScale="85" zoomScaleNormal="70" zoomScaleSheetLayoutView="85" workbookViewId="0">
      <pane ySplit="3" topLeftCell="A36" activePane="bottomLeft" state="frozen"/>
      <selection activeCell="F18" sqref="F18"/>
      <selection pane="bottomLeft" activeCell="M54" sqref="M54"/>
    </sheetView>
  </sheetViews>
  <sheetFormatPr defaultColWidth="8.77734375" defaultRowHeight="13.2" outlineLevelRow="1"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20.1093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562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hidden="1" customHeight="1" outlineLevel="1" x14ac:dyDescent="0.35">
      <c r="B4" s="411" t="s">
        <v>482</v>
      </c>
      <c r="C4" s="396" t="s">
        <v>484</v>
      </c>
      <c r="D4" s="391"/>
      <c r="E4" s="451">
        <f>ROW()-3</f>
        <v>1</v>
      </c>
      <c r="F4" s="452" t="s">
        <v>489</v>
      </c>
      <c r="G4" s="453" t="s">
        <v>490</v>
      </c>
      <c r="H4" s="53" t="s">
        <v>293</v>
      </c>
      <c r="I4" s="53" t="s">
        <v>293</v>
      </c>
      <c r="J4" s="53" t="s">
        <v>293</v>
      </c>
      <c r="K4" s="53" t="s">
        <v>293</v>
      </c>
      <c r="L4" s="53" t="s">
        <v>293</v>
      </c>
      <c r="M4" s="53" t="s">
        <v>293</v>
      </c>
      <c r="N4" s="53" t="s">
        <v>293</v>
      </c>
      <c r="O4" s="53" t="s">
        <v>293</v>
      </c>
      <c r="P4" s="53" t="s">
        <v>293</v>
      </c>
      <c r="Q4" s="395"/>
      <c r="R4" s="446"/>
      <c r="S4" s="447"/>
      <c r="T4" s="361"/>
      <c r="U4" s="481" t="s">
        <v>722</v>
      </c>
    </row>
    <row r="5" spans="1:22" ht="28.2" hidden="1" customHeight="1" outlineLevel="1" x14ac:dyDescent="0.35">
      <c r="B5" s="411" t="s">
        <v>564</v>
      </c>
      <c r="C5" s="394" t="s">
        <v>485</v>
      </c>
      <c r="D5" s="391" t="s">
        <v>486</v>
      </c>
      <c r="E5" s="97">
        <f t="shared" ref="E5:E54" si="0">ROW()-3</f>
        <v>2</v>
      </c>
      <c r="F5" s="98" t="s">
        <v>491</v>
      </c>
      <c r="G5" s="99" t="s">
        <v>493</v>
      </c>
      <c r="H5" s="53" t="s">
        <v>293</v>
      </c>
      <c r="I5" s="53" t="s">
        <v>293</v>
      </c>
      <c r="J5" s="53" t="s">
        <v>293</v>
      </c>
      <c r="K5" s="53" t="s">
        <v>293</v>
      </c>
      <c r="L5" s="53" t="s">
        <v>293</v>
      </c>
      <c r="M5" s="53" t="s">
        <v>293</v>
      </c>
      <c r="N5" s="53" t="s">
        <v>293</v>
      </c>
      <c r="O5" s="53" t="s">
        <v>293</v>
      </c>
      <c r="P5" s="53" t="s">
        <v>293</v>
      </c>
      <c r="Q5" s="68"/>
      <c r="R5" s="54"/>
      <c r="S5" s="70"/>
      <c r="T5" s="361"/>
      <c r="U5" s="105"/>
    </row>
    <row r="6" spans="1:22" ht="28.2" hidden="1" customHeight="1" outlineLevel="1" x14ac:dyDescent="0.35">
      <c r="B6" s="411"/>
      <c r="C6" s="393" t="s">
        <v>483</v>
      </c>
      <c r="D6" s="391" t="s">
        <v>571</v>
      </c>
      <c r="E6" s="97">
        <f t="shared" si="0"/>
        <v>3</v>
      </c>
      <c r="F6" s="98" t="s">
        <v>492</v>
      </c>
      <c r="G6" s="99" t="s">
        <v>497</v>
      </c>
      <c r="H6" s="53" t="s">
        <v>293</v>
      </c>
      <c r="I6" s="53" t="s">
        <v>293</v>
      </c>
      <c r="J6" s="53" t="s">
        <v>293</v>
      </c>
      <c r="K6" s="53" t="s">
        <v>293</v>
      </c>
      <c r="L6" s="53" t="s">
        <v>293</v>
      </c>
      <c r="M6" s="53" t="s">
        <v>293</v>
      </c>
      <c r="N6" s="53" t="s">
        <v>293</v>
      </c>
      <c r="O6" s="53" t="s">
        <v>293</v>
      </c>
      <c r="P6" s="53" t="s">
        <v>293</v>
      </c>
      <c r="Q6" s="68"/>
      <c r="R6" s="54"/>
      <c r="S6" s="70"/>
      <c r="T6" s="361"/>
      <c r="U6" s="392" t="s">
        <v>688</v>
      </c>
    </row>
    <row r="7" spans="1:22" ht="28.2" hidden="1" customHeight="1" outlineLevel="1" x14ac:dyDescent="0.35">
      <c r="B7" s="411"/>
      <c r="C7" s="448"/>
      <c r="D7" s="391" t="s">
        <v>572</v>
      </c>
      <c r="E7" s="97">
        <f t="shared" si="0"/>
        <v>4</v>
      </c>
      <c r="F7" s="98" t="s">
        <v>581</v>
      </c>
      <c r="G7" s="99" t="s">
        <v>497</v>
      </c>
      <c r="H7" s="53" t="s">
        <v>293</v>
      </c>
      <c r="I7" s="53" t="s">
        <v>293</v>
      </c>
      <c r="J7" s="53" t="s">
        <v>293</v>
      </c>
      <c r="K7" s="53" t="s">
        <v>293</v>
      </c>
      <c r="L7" s="53" t="s">
        <v>293</v>
      </c>
      <c r="M7" s="53" t="s">
        <v>293</v>
      </c>
      <c r="N7" s="53" t="s">
        <v>293</v>
      </c>
      <c r="O7" s="53" t="s">
        <v>293</v>
      </c>
      <c r="P7" s="53" t="s">
        <v>293</v>
      </c>
      <c r="Q7" s="68"/>
      <c r="R7" s="54"/>
      <c r="S7" s="70"/>
      <c r="T7" s="361"/>
      <c r="U7" s="392"/>
    </row>
    <row r="8" spans="1:22" ht="26.4" hidden="1" outlineLevel="1" x14ac:dyDescent="0.35">
      <c r="B8" s="411"/>
      <c r="C8" s="449"/>
      <c r="D8" s="391" t="s">
        <v>579</v>
      </c>
      <c r="E8" s="97">
        <f t="shared" si="0"/>
        <v>5</v>
      </c>
      <c r="F8" s="98" t="s">
        <v>580</v>
      </c>
      <c r="G8" s="99" t="s">
        <v>497</v>
      </c>
      <c r="H8" s="53" t="s">
        <v>293</v>
      </c>
      <c r="I8" s="53" t="s">
        <v>293</v>
      </c>
      <c r="J8" s="53" t="s">
        <v>293</v>
      </c>
      <c r="K8" s="53" t="s">
        <v>293</v>
      </c>
      <c r="L8" s="53" t="s">
        <v>293</v>
      </c>
      <c r="M8" s="53" t="s">
        <v>293</v>
      </c>
      <c r="N8" s="53" t="s">
        <v>293</v>
      </c>
      <c r="O8" s="53" t="s">
        <v>293</v>
      </c>
      <c r="P8" s="53" t="s">
        <v>293</v>
      </c>
      <c r="Q8" s="68"/>
      <c r="R8" s="54"/>
      <c r="S8" s="70"/>
      <c r="T8" s="361"/>
      <c r="U8" s="450"/>
    </row>
    <row r="9" spans="1:22" ht="28.2" hidden="1" customHeight="1" outlineLevel="1" x14ac:dyDescent="0.35">
      <c r="B9" s="411"/>
      <c r="C9" s="448"/>
      <c r="D9" s="391" t="s">
        <v>574</v>
      </c>
      <c r="E9" s="97">
        <f t="shared" si="0"/>
        <v>6</v>
      </c>
      <c r="F9" s="98" t="s">
        <v>492</v>
      </c>
      <c r="G9" s="99" t="s">
        <v>497</v>
      </c>
      <c r="H9" s="53" t="s">
        <v>293</v>
      </c>
      <c r="I9" s="53" t="s">
        <v>293</v>
      </c>
      <c r="J9" s="53" t="s">
        <v>293</v>
      </c>
      <c r="K9" s="53" t="s">
        <v>293</v>
      </c>
      <c r="L9" s="53" t="s">
        <v>293</v>
      </c>
      <c r="M9" s="53" t="s">
        <v>293</v>
      </c>
      <c r="N9" s="53" t="s">
        <v>293</v>
      </c>
      <c r="O9" s="53" t="s">
        <v>293</v>
      </c>
      <c r="P9" s="53" t="s">
        <v>293</v>
      </c>
      <c r="Q9" s="68"/>
      <c r="R9" s="54"/>
      <c r="S9" s="70"/>
      <c r="T9" s="361"/>
      <c r="U9" s="392"/>
    </row>
    <row r="10" spans="1:22" ht="28.2" hidden="1" customHeight="1" outlineLevel="1" x14ac:dyDescent="0.35">
      <c r="B10" s="411"/>
      <c r="C10" s="396"/>
      <c r="D10" s="391" t="s">
        <v>576</v>
      </c>
      <c r="E10" s="97">
        <f t="shared" si="0"/>
        <v>7</v>
      </c>
      <c r="F10" s="98" t="s">
        <v>580</v>
      </c>
      <c r="G10" s="99" t="s">
        <v>497</v>
      </c>
      <c r="H10" s="53" t="s">
        <v>293</v>
      </c>
      <c r="I10" s="53" t="s">
        <v>293</v>
      </c>
      <c r="J10" s="53" t="s">
        <v>293</v>
      </c>
      <c r="K10" s="53" t="s">
        <v>293</v>
      </c>
      <c r="L10" s="53" t="s">
        <v>293</v>
      </c>
      <c r="M10" s="53" t="s">
        <v>293</v>
      </c>
      <c r="N10" s="53" t="s">
        <v>293</v>
      </c>
      <c r="O10" s="53" t="s">
        <v>293</v>
      </c>
      <c r="P10" s="53" t="s">
        <v>293</v>
      </c>
      <c r="Q10" s="68"/>
      <c r="R10" s="54"/>
      <c r="S10" s="70"/>
      <c r="T10" s="361"/>
      <c r="U10" s="450"/>
    </row>
    <row r="11" spans="1:22" ht="28.2" hidden="1" customHeight="1" outlineLevel="1" x14ac:dyDescent="0.35">
      <c r="B11" s="411"/>
      <c r="C11" s="347" t="s">
        <v>487</v>
      </c>
      <c r="D11" s="391" t="s">
        <v>571</v>
      </c>
      <c r="E11" s="97">
        <f t="shared" si="0"/>
        <v>8</v>
      </c>
      <c r="F11" s="98" t="s">
        <v>495</v>
      </c>
      <c r="G11" s="99" t="s">
        <v>498</v>
      </c>
      <c r="H11" s="53" t="s">
        <v>293</v>
      </c>
      <c r="I11" s="53" t="s">
        <v>293</v>
      </c>
      <c r="J11" s="53" t="s">
        <v>293</v>
      </c>
      <c r="K11" s="53" t="s">
        <v>293</v>
      </c>
      <c r="L11" s="53" t="s">
        <v>293</v>
      </c>
      <c r="M11" s="53" t="s">
        <v>293</v>
      </c>
      <c r="N11" s="53" t="s">
        <v>293</v>
      </c>
      <c r="O11" s="53" t="s">
        <v>293</v>
      </c>
      <c r="P11" s="53" t="s">
        <v>293</v>
      </c>
      <c r="Q11" s="68"/>
      <c r="R11" s="54"/>
      <c r="S11" s="70"/>
      <c r="T11" s="361"/>
      <c r="U11" s="392" t="s">
        <v>688</v>
      </c>
      <c r="V11" s="130"/>
    </row>
    <row r="12" spans="1:22" ht="28.2" hidden="1" customHeight="1" outlineLevel="1" x14ac:dyDescent="0.35">
      <c r="B12" s="411"/>
      <c r="C12" s="393"/>
      <c r="D12" s="391" t="s">
        <v>572</v>
      </c>
      <c r="E12" s="97">
        <f t="shared" si="0"/>
        <v>9</v>
      </c>
      <c r="F12" s="98" t="s">
        <v>585</v>
      </c>
      <c r="G12" s="99" t="s">
        <v>498</v>
      </c>
      <c r="H12" s="53" t="s">
        <v>293</v>
      </c>
      <c r="I12" s="53" t="s">
        <v>293</v>
      </c>
      <c r="J12" s="53" t="s">
        <v>293</v>
      </c>
      <c r="K12" s="53" t="s">
        <v>293</v>
      </c>
      <c r="L12" s="53" t="s">
        <v>293</v>
      </c>
      <c r="M12" s="53" t="s">
        <v>293</v>
      </c>
      <c r="N12" s="53" t="s">
        <v>293</v>
      </c>
      <c r="O12" s="53" t="s">
        <v>293</v>
      </c>
      <c r="P12" s="53" t="s">
        <v>293</v>
      </c>
      <c r="Q12" s="68"/>
      <c r="R12" s="54"/>
      <c r="S12" s="70"/>
      <c r="T12" s="361"/>
      <c r="U12" s="105"/>
    </row>
    <row r="13" spans="1:22" ht="28.8" hidden="1" customHeight="1" outlineLevel="1" x14ac:dyDescent="0.35">
      <c r="B13" s="411"/>
      <c r="C13" s="396"/>
      <c r="D13" s="391" t="s">
        <v>579</v>
      </c>
      <c r="E13" s="97">
        <f t="shared" si="0"/>
        <v>10</v>
      </c>
      <c r="F13" s="98" t="s">
        <v>586</v>
      </c>
      <c r="G13" s="99" t="s">
        <v>498</v>
      </c>
      <c r="H13" s="53" t="s">
        <v>293</v>
      </c>
      <c r="I13" s="53" t="s">
        <v>293</v>
      </c>
      <c r="J13" s="53" t="s">
        <v>293</v>
      </c>
      <c r="K13" s="53" t="s">
        <v>293</v>
      </c>
      <c r="L13" s="53" t="s">
        <v>293</v>
      </c>
      <c r="M13" s="53" t="s">
        <v>293</v>
      </c>
      <c r="N13" s="53" t="s">
        <v>293</v>
      </c>
      <c r="O13" s="53" t="s">
        <v>293</v>
      </c>
      <c r="P13" s="53" t="s">
        <v>293</v>
      </c>
      <c r="Q13" s="68"/>
      <c r="R13" s="54"/>
      <c r="S13" s="70"/>
      <c r="T13" s="361"/>
      <c r="U13" s="105"/>
    </row>
    <row r="14" spans="1:22" ht="28.2" hidden="1" customHeight="1" outlineLevel="1" x14ac:dyDescent="0.35">
      <c r="B14" s="411"/>
      <c r="C14" s="393"/>
      <c r="D14" s="391" t="s">
        <v>574</v>
      </c>
      <c r="E14" s="97">
        <f t="shared" si="0"/>
        <v>11</v>
      </c>
      <c r="F14" s="98" t="s">
        <v>495</v>
      </c>
      <c r="G14" s="99" t="s">
        <v>498</v>
      </c>
      <c r="H14" s="53" t="s">
        <v>293</v>
      </c>
      <c r="I14" s="53" t="s">
        <v>293</v>
      </c>
      <c r="J14" s="53" t="s">
        <v>293</v>
      </c>
      <c r="K14" s="53" t="s">
        <v>293</v>
      </c>
      <c r="L14" s="53" t="s">
        <v>293</v>
      </c>
      <c r="M14" s="53" t="s">
        <v>293</v>
      </c>
      <c r="N14" s="53" t="s">
        <v>293</v>
      </c>
      <c r="O14" s="53" t="s">
        <v>293</v>
      </c>
      <c r="P14" s="53" t="s">
        <v>293</v>
      </c>
      <c r="Q14" s="68"/>
      <c r="R14" s="54"/>
      <c r="S14" s="70"/>
      <c r="T14" s="361"/>
      <c r="U14" s="392"/>
      <c r="V14" s="130"/>
    </row>
    <row r="15" spans="1:22" ht="28.2" hidden="1" customHeight="1" outlineLevel="1" x14ac:dyDescent="0.35">
      <c r="B15" s="411"/>
      <c r="C15" s="393"/>
      <c r="D15" s="391" t="s">
        <v>576</v>
      </c>
      <c r="E15" s="97">
        <f t="shared" si="0"/>
        <v>12</v>
      </c>
      <c r="F15" s="98" t="s">
        <v>586</v>
      </c>
      <c r="G15" s="99" t="s">
        <v>498</v>
      </c>
      <c r="H15" s="53" t="s">
        <v>293</v>
      </c>
      <c r="I15" s="53" t="s">
        <v>293</v>
      </c>
      <c r="J15" s="53" t="s">
        <v>293</v>
      </c>
      <c r="K15" s="53" t="s">
        <v>293</v>
      </c>
      <c r="L15" s="53" t="s">
        <v>293</v>
      </c>
      <c r="M15" s="53" t="s">
        <v>293</v>
      </c>
      <c r="N15" s="53" t="s">
        <v>293</v>
      </c>
      <c r="O15" s="53" t="s">
        <v>293</v>
      </c>
      <c r="P15" s="53" t="s">
        <v>293</v>
      </c>
      <c r="Q15" s="68"/>
      <c r="R15" s="54"/>
      <c r="S15" s="70"/>
      <c r="T15" s="361"/>
      <c r="U15" s="105"/>
    </row>
    <row r="16" spans="1:22" ht="28.2" hidden="1" customHeight="1" outlineLevel="1" x14ac:dyDescent="0.35">
      <c r="B16" s="411"/>
      <c r="C16" s="347" t="s">
        <v>488</v>
      </c>
      <c r="D16" s="393" t="s">
        <v>494</v>
      </c>
      <c r="E16" s="97">
        <f t="shared" si="0"/>
        <v>13</v>
      </c>
      <c r="F16" s="98" t="s">
        <v>587</v>
      </c>
      <c r="G16" s="99" t="s">
        <v>499</v>
      </c>
      <c r="H16" s="53" t="s">
        <v>293</v>
      </c>
      <c r="I16" s="53" t="s">
        <v>293</v>
      </c>
      <c r="J16" s="53" t="s">
        <v>293</v>
      </c>
      <c r="K16" s="53" t="s">
        <v>293</v>
      </c>
      <c r="L16" s="53" t="s">
        <v>293</v>
      </c>
      <c r="M16" s="53" t="s">
        <v>293</v>
      </c>
      <c r="N16" s="53" t="s">
        <v>293</v>
      </c>
      <c r="O16" s="53" t="s">
        <v>293</v>
      </c>
      <c r="P16" s="53" t="s">
        <v>293</v>
      </c>
      <c r="Q16" s="68"/>
      <c r="R16" s="54"/>
      <c r="S16" s="70"/>
      <c r="T16" s="361"/>
      <c r="U16" s="105"/>
    </row>
    <row r="17" spans="2:22" ht="28.2" hidden="1" customHeight="1" outlineLevel="1" x14ac:dyDescent="0.35">
      <c r="B17" s="411"/>
      <c r="C17" s="393"/>
      <c r="D17" s="393"/>
      <c r="E17" s="97">
        <f t="shared" si="0"/>
        <v>14</v>
      </c>
      <c r="F17" s="98" t="s">
        <v>588</v>
      </c>
      <c r="G17" s="99" t="s">
        <v>499</v>
      </c>
      <c r="H17" s="53" t="s">
        <v>293</v>
      </c>
      <c r="I17" s="53" t="s">
        <v>293</v>
      </c>
      <c r="J17" s="53" t="s">
        <v>293</v>
      </c>
      <c r="K17" s="53" t="s">
        <v>293</v>
      </c>
      <c r="L17" s="53" t="s">
        <v>293</v>
      </c>
      <c r="M17" s="53" t="s">
        <v>293</v>
      </c>
      <c r="N17" s="53" t="s">
        <v>293</v>
      </c>
      <c r="O17" s="53" t="s">
        <v>293</v>
      </c>
      <c r="P17" s="53" t="s">
        <v>293</v>
      </c>
      <c r="Q17" s="68"/>
      <c r="R17" s="54"/>
      <c r="S17" s="70"/>
      <c r="T17" s="361"/>
      <c r="U17" s="105"/>
    </row>
    <row r="18" spans="2:22" ht="28.2" hidden="1" customHeight="1" outlineLevel="1" x14ac:dyDescent="0.35">
      <c r="B18" s="411"/>
      <c r="C18" s="393"/>
      <c r="D18" s="391"/>
      <c r="E18" s="97">
        <f t="shared" si="0"/>
        <v>15</v>
      </c>
      <c r="F18" s="98" t="s">
        <v>589</v>
      </c>
      <c r="G18" s="99" t="s">
        <v>499</v>
      </c>
      <c r="H18" s="53" t="s">
        <v>293</v>
      </c>
      <c r="I18" s="53" t="s">
        <v>293</v>
      </c>
      <c r="J18" s="53" t="s">
        <v>293</v>
      </c>
      <c r="K18" s="53" t="s">
        <v>293</v>
      </c>
      <c r="L18" s="53" t="s">
        <v>293</v>
      </c>
      <c r="M18" s="53" t="s">
        <v>293</v>
      </c>
      <c r="N18" s="53" t="s">
        <v>293</v>
      </c>
      <c r="O18" s="53" t="s">
        <v>293</v>
      </c>
      <c r="P18" s="53" t="s">
        <v>293</v>
      </c>
      <c r="Q18" s="68"/>
      <c r="R18" s="54"/>
      <c r="S18" s="70"/>
      <c r="T18" s="361"/>
      <c r="U18" s="392" t="s">
        <v>689</v>
      </c>
    </row>
    <row r="19" spans="2:22" ht="28.2" hidden="1" customHeight="1" outlineLevel="1" x14ac:dyDescent="0.35">
      <c r="B19" s="411"/>
      <c r="C19" s="396"/>
      <c r="D19" s="393" t="s">
        <v>593</v>
      </c>
      <c r="E19" s="97">
        <f t="shared" si="0"/>
        <v>16</v>
      </c>
      <c r="F19" s="98" t="s">
        <v>595</v>
      </c>
      <c r="G19" s="99" t="s">
        <v>499</v>
      </c>
      <c r="H19" s="53" t="s">
        <v>293</v>
      </c>
      <c r="I19" s="53" t="s">
        <v>293</v>
      </c>
      <c r="J19" s="53" t="s">
        <v>293</v>
      </c>
      <c r="K19" s="53" t="s">
        <v>293</v>
      </c>
      <c r="L19" s="53" t="s">
        <v>293</v>
      </c>
      <c r="M19" s="53" t="s">
        <v>293</v>
      </c>
      <c r="N19" s="53" t="s">
        <v>293</v>
      </c>
      <c r="O19" s="53" t="s">
        <v>293</v>
      </c>
      <c r="P19" s="53" t="s">
        <v>293</v>
      </c>
      <c r="Q19" s="68"/>
      <c r="R19" s="54"/>
      <c r="S19" s="70"/>
      <c r="T19" s="361"/>
      <c r="U19" s="392"/>
    </row>
    <row r="20" spans="2:22" ht="28.2" hidden="1" customHeight="1" outlineLevel="1" x14ac:dyDescent="0.35">
      <c r="B20" s="411"/>
      <c r="C20" s="393"/>
      <c r="D20" s="393"/>
      <c r="E20" s="97">
        <f t="shared" si="0"/>
        <v>17</v>
      </c>
      <c r="F20" s="98" t="s">
        <v>631</v>
      </c>
      <c r="G20" s="99" t="s">
        <v>499</v>
      </c>
      <c r="H20" s="53" t="s">
        <v>293</v>
      </c>
      <c r="I20" s="53" t="s">
        <v>293</v>
      </c>
      <c r="J20" s="53" t="s">
        <v>293</v>
      </c>
      <c r="K20" s="53" t="s">
        <v>293</v>
      </c>
      <c r="L20" s="53" t="s">
        <v>293</v>
      </c>
      <c r="M20" s="53" t="s">
        <v>293</v>
      </c>
      <c r="N20" s="53" t="s">
        <v>293</v>
      </c>
      <c r="O20" s="53" t="s">
        <v>293</v>
      </c>
      <c r="P20" s="53" t="s">
        <v>293</v>
      </c>
      <c r="Q20" s="68"/>
      <c r="R20" s="54"/>
      <c r="S20" s="70"/>
      <c r="T20" s="361"/>
      <c r="U20" s="392"/>
    </row>
    <row r="21" spans="2:22" ht="28.2" hidden="1" customHeight="1" outlineLevel="1" x14ac:dyDescent="0.35">
      <c r="B21" s="411"/>
      <c r="C21" s="393"/>
      <c r="D21" s="393"/>
      <c r="E21" s="97">
        <f t="shared" si="0"/>
        <v>18</v>
      </c>
      <c r="F21" s="98" t="s">
        <v>594</v>
      </c>
      <c r="G21" s="99" t="s">
        <v>499</v>
      </c>
      <c r="H21" s="53" t="s">
        <v>293</v>
      </c>
      <c r="I21" s="53" t="s">
        <v>293</v>
      </c>
      <c r="J21" s="53" t="s">
        <v>293</v>
      </c>
      <c r="K21" s="53" t="s">
        <v>293</v>
      </c>
      <c r="L21" s="53" t="s">
        <v>293</v>
      </c>
      <c r="M21" s="53" t="s">
        <v>293</v>
      </c>
      <c r="N21" s="53" t="s">
        <v>293</v>
      </c>
      <c r="O21" s="53" t="s">
        <v>293</v>
      </c>
      <c r="P21" s="53" t="s">
        <v>293</v>
      </c>
      <c r="Q21" s="68"/>
      <c r="R21" s="54"/>
      <c r="S21" s="70"/>
      <c r="T21" s="361"/>
      <c r="U21" s="392" t="s">
        <v>689</v>
      </c>
    </row>
    <row r="22" spans="2:22" ht="28.2" hidden="1" customHeight="1" outlineLevel="1" x14ac:dyDescent="0.35">
      <c r="B22" s="455" t="s">
        <v>563</v>
      </c>
      <c r="C22" s="394" t="s">
        <v>485</v>
      </c>
      <c r="D22" s="394" t="s">
        <v>486</v>
      </c>
      <c r="E22" s="97">
        <f t="shared" si="0"/>
        <v>19</v>
      </c>
      <c r="F22" s="98" t="s">
        <v>491</v>
      </c>
      <c r="G22" s="99" t="s">
        <v>493</v>
      </c>
      <c r="H22" s="53" t="s">
        <v>293</v>
      </c>
      <c r="I22" s="53" t="s">
        <v>293</v>
      </c>
      <c r="J22" s="53" t="s">
        <v>293</v>
      </c>
      <c r="K22" s="53" t="s">
        <v>293</v>
      </c>
      <c r="L22" s="53" t="s">
        <v>293</v>
      </c>
      <c r="M22" s="53" t="s">
        <v>293</v>
      </c>
      <c r="N22" s="53" t="s">
        <v>293</v>
      </c>
      <c r="O22" s="53" t="s">
        <v>293</v>
      </c>
      <c r="P22" s="53" t="s">
        <v>293</v>
      </c>
      <c r="Q22" s="68"/>
      <c r="R22" s="54"/>
      <c r="S22" s="70"/>
      <c r="T22" s="361"/>
      <c r="U22" s="105"/>
    </row>
    <row r="23" spans="2:22" ht="28.2" hidden="1" customHeight="1" outlineLevel="1" x14ac:dyDescent="0.35">
      <c r="B23" s="411"/>
      <c r="C23" s="393" t="s">
        <v>483</v>
      </c>
      <c r="D23" s="391" t="s">
        <v>571</v>
      </c>
      <c r="E23" s="97">
        <f t="shared" si="0"/>
        <v>20</v>
      </c>
      <c r="F23" s="98" t="s">
        <v>492</v>
      </c>
      <c r="G23" s="99" t="s">
        <v>597</v>
      </c>
      <c r="H23" s="53" t="s">
        <v>293</v>
      </c>
      <c r="I23" s="53" t="s">
        <v>293</v>
      </c>
      <c r="J23" s="53" t="s">
        <v>293</v>
      </c>
      <c r="K23" s="53" t="s">
        <v>293</v>
      </c>
      <c r="L23" s="53" t="s">
        <v>293</v>
      </c>
      <c r="M23" s="53" t="s">
        <v>293</v>
      </c>
      <c r="N23" s="53" t="s">
        <v>293</v>
      </c>
      <c r="O23" s="53" t="s">
        <v>293</v>
      </c>
      <c r="P23" s="53" t="s">
        <v>293</v>
      </c>
      <c r="Q23" s="68"/>
      <c r="R23" s="54"/>
      <c r="S23" s="70"/>
      <c r="T23" s="361"/>
      <c r="U23" s="392" t="s">
        <v>688</v>
      </c>
    </row>
    <row r="24" spans="2:22" ht="28.2" hidden="1" customHeight="1" outlineLevel="1" x14ac:dyDescent="0.35">
      <c r="B24" s="411"/>
      <c r="C24" s="396"/>
      <c r="D24" s="391" t="s">
        <v>577</v>
      </c>
      <c r="E24" s="97">
        <f t="shared" si="0"/>
        <v>21</v>
      </c>
      <c r="F24" s="98" t="s">
        <v>492</v>
      </c>
      <c r="G24" s="99" t="s">
        <v>597</v>
      </c>
      <c r="H24" s="53" t="s">
        <v>293</v>
      </c>
      <c r="I24" s="53" t="s">
        <v>293</v>
      </c>
      <c r="J24" s="53" t="s">
        <v>293</v>
      </c>
      <c r="K24" s="53" t="s">
        <v>293</v>
      </c>
      <c r="L24" s="53" t="s">
        <v>293</v>
      </c>
      <c r="M24" s="53" t="s">
        <v>293</v>
      </c>
      <c r="N24" s="53" t="s">
        <v>293</v>
      </c>
      <c r="O24" s="53" t="s">
        <v>293</v>
      </c>
      <c r="P24" s="53" t="s">
        <v>293</v>
      </c>
      <c r="Q24" s="68"/>
      <c r="R24" s="54"/>
      <c r="S24" s="70"/>
      <c r="T24" s="361"/>
      <c r="U24" s="392"/>
    </row>
    <row r="25" spans="2:22" ht="26.4" hidden="1" outlineLevel="1" x14ac:dyDescent="0.35">
      <c r="B25" s="411"/>
      <c r="C25" s="449"/>
      <c r="D25" s="391" t="s">
        <v>579</v>
      </c>
      <c r="E25" s="97">
        <f t="shared" si="0"/>
        <v>22</v>
      </c>
      <c r="F25" s="98" t="s">
        <v>580</v>
      </c>
      <c r="G25" s="99" t="s">
        <v>597</v>
      </c>
      <c r="H25" s="53" t="s">
        <v>293</v>
      </c>
      <c r="I25" s="53" t="s">
        <v>293</v>
      </c>
      <c r="J25" s="53" t="s">
        <v>293</v>
      </c>
      <c r="K25" s="53" t="s">
        <v>293</v>
      </c>
      <c r="L25" s="53" t="s">
        <v>293</v>
      </c>
      <c r="M25" s="53" t="s">
        <v>293</v>
      </c>
      <c r="N25" s="53" t="s">
        <v>293</v>
      </c>
      <c r="O25" s="53" t="s">
        <v>293</v>
      </c>
      <c r="P25" s="53" t="s">
        <v>293</v>
      </c>
      <c r="Q25" s="68"/>
      <c r="R25" s="54"/>
      <c r="S25" s="70"/>
      <c r="T25" s="361"/>
      <c r="U25" s="105"/>
    </row>
    <row r="26" spans="2:22" ht="28.2" hidden="1" customHeight="1" outlineLevel="1" x14ac:dyDescent="0.35">
      <c r="B26" s="411"/>
      <c r="C26" s="448"/>
      <c r="D26" s="391" t="s">
        <v>574</v>
      </c>
      <c r="E26" s="97">
        <f t="shared" si="0"/>
        <v>23</v>
      </c>
      <c r="F26" s="98" t="s">
        <v>492</v>
      </c>
      <c r="G26" s="99" t="s">
        <v>597</v>
      </c>
      <c r="H26" s="53" t="s">
        <v>293</v>
      </c>
      <c r="I26" s="53" t="s">
        <v>293</v>
      </c>
      <c r="J26" s="53" t="s">
        <v>293</v>
      </c>
      <c r="K26" s="53" t="s">
        <v>293</v>
      </c>
      <c r="L26" s="53" t="s">
        <v>293</v>
      </c>
      <c r="M26" s="53" t="s">
        <v>293</v>
      </c>
      <c r="N26" s="53" t="s">
        <v>293</v>
      </c>
      <c r="O26" s="53" t="s">
        <v>293</v>
      </c>
      <c r="P26" s="53" t="s">
        <v>293</v>
      </c>
      <c r="Q26" s="68"/>
      <c r="R26" s="54"/>
      <c r="S26" s="70"/>
      <c r="T26" s="361"/>
      <c r="U26" s="392"/>
    </row>
    <row r="27" spans="2:22" ht="28.2" hidden="1" customHeight="1" outlineLevel="1" x14ac:dyDescent="0.35">
      <c r="B27" s="411"/>
      <c r="C27" s="396"/>
      <c r="D27" s="391" t="s">
        <v>576</v>
      </c>
      <c r="E27" s="97">
        <f t="shared" si="0"/>
        <v>24</v>
      </c>
      <c r="F27" s="98" t="s">
        <v>580</v>
      </c>
      <c r="G27" s="99" t="s">
        <v>597</v>
      </c>
      <c r="H27" s="53" t="s">
        <v>293</v>
      </c>
      <c r="I27" s="53" t="s">
        <v>293</v>
      </c>
      <c r="J27" s="53" t="s">
        <v>293</v>
      </c>
      <c r="K27" s="53" t="s">
        <v>293</v>
      </c>
      <c r="L27" s="53" t="s">
        <v>293</v>
      </c>
      <c r="M27" s="53" t="s">
        <v>293</v>
      </c>
      <c r="N27" s="53" t="s">
        <v>293</v>
      </c>
      <c r="O27" s="53" t="s">
        <v>293</v>
      </c>
      <c r="P27" s="53" t="s">
        <v>293</v>
      </c>
      <c r="Q27" s="68"/>
      <c r="R27" s="54"/>
      <c r="S27" s="70"/>
      <c r="T27" s="361"/>
      <c r="U27" s="392"/>
    </row>
    <row r="28" spans="2:22" ht="28.2" hidden="1" customHeight="1" outlineLevel="1" x14ac:dyDescent="0.35">
      <c r="B28" s="411"/>
      <c r="C28" s="347" t="s">
        <v>487</v>
      </c>
      <c r="D28" s="393" t="s">
        <v>582</v>
      </c>
      <c r="E28" s="97">
        <f t="shared" si="0"/>
        <v>25</v>
      </c>
      <c r="F28" s="98" t="s">
        <v>495</v>
      </c>
      <c r="G28" s="99" t="s">
        <v>598</v>
      </c>
      <c r="H28" s="53" t="s">
        <v>293</v>
      </c>
      <c r="I28" s="53" t="s">
        <v>293</v>
      </c>
      <c r="J28" s="53" t="s">
        <v>293</v>
      </c>
      <c r="K28" s="53" t="s">
        <v>293</v>
      </c>
      <c r="L28" s="53" t="s">
        <v>293</v>
      </c>
      <c r="M28" s="53" t="s">
        <v>293</v>
      </c>
      <c r="N28" s="53" t="s">
        <v>293</v>
      </c>
      <c r="O28" s="53" t="s">
        <v>293</v>
      </c>
      <c r="P28" s="53" t="s">
        <v>293</v>
      </c>
      <c r="Q28" s="68"/>
      <c r="R28" s="54"/>
      <c r="S28" s="70"/>
      <c r="T28" s="361"/>
      <c r="U28" s="392" t="s">
        <v>688</v>
      </c>
      <c r="V28" s="130"/>
    </row>
    <row r="29" spans="2:22" ht="26.4" hidden="1" outlineLevel="1" x14ac:dyDescent="0.35">
      <c r="B29" s="411"/>
      <c r="C29" s="393"/>
      <c r="D29" s="394" t="s">
        <v>583</v>
      </c>
      <c r="E29" s="97">
        <f t="shared" si="0"/>
        <v>26</v>
      </c>
      <c r="F29" s="98" t="s">
        <v>496</v>
      </c>
      <c r="G29" s="99" t="s">
        <v>598</v>
      </c>
      <c r="H29" s="53" t="s">
        <v>293</v>
      </c>
      <c r="I29" s="53" t="s">
        <v>293</v>
      </c>
      <c r="J29" s="53" t="s">
        <v>293</v>
      </c>
      <c r="K29" s="53" t="s">
        <v>293</v>
      </c>
      <c r="L29" s="53" t="s">
        <v>293</v>
      </c>
      <c r="M29" s="53" t="s">
        <v>293</v>
      </c>
      <c r="N29" s="53" t="s">
        <v>293</v>
      </c>
      <c r="O29" s="53" t="s">
        <v>293</v>
      </c>
      <c r="P29" s="53" t="s">
        <v>293</v>
      </c>
      <c r="Q29" s="68"/>
      <c r="R29" s="54"/>
      <c r="S29" s="70"/>
      <c r="T29" s="361"/>
      <c r="U29" s="392"/>
    </row>
    <row r="30" spans="2:22" ht="28.2" hidden="1" customHeight="1" outlineLevel="1" x14ac:dyDescent="0.35">
      <c r="B30" s="411"/>
      <c r="C30" s="393"/>
      <c r="D30" s="393" t="s">
        <v>590</v>
      </c>
      <c r="E30" s="97">
        <f t="shared" si="0"/>
        <v>27</v>
      </c>
      <c r="F30" s="98" t="s">
        <v>586</v>
      </c>
      <c r="G30" s="99" t="s">
        <v>598</v>
      </c>
      <c r="H30" s="53" t="s">
        <v>293</v>
      </c>
      <c r="I30" s="53" t="s">
        <v>293</v>
      </c>
      <c r="J30" s="53" t="s">
        <v>293</v>
      </c>
      <c r="K30" s="53" t="s">
        <v>293</v>
      </c>
      <c r="L30" s="53" t="s">
        <v>293</v>
      </c>
      <c r="M30" s="53" t="s">
        <v>293</v>
      </c>
      <c r="N30" s="53" t="s">
        <v>293</v>
      </c>
      <c r="O30" s="53" t="s">
        <v>293</v>
      </c>
      <c r="P30" s="53" t="s">
        <v>293</v>
      </c>
      <c r="Q30" s="68"/>
      <c r="R30" s="54"/>
      <c r="S30" s="70"/>
      <c r="T30" s="361"/>
      <c r="U30" s="392"/>
      <c r="V30" s="130"/>
    </row>
    <row r="31" spans="2:22" ht="28.8" hidden="1" customHeight="1" outlineLevel="1" x14ac:dyDescent="0.35">
      <c r="B31" s="411"/>
      <c r="C31" s="396"/>
      <c r="D31" s="394" t="s">
        <v>592</v>
      </c>
      <c r="E31" s="97">
        <f t="shared" si="0"/>
        <v>28</v>
      </c>
      <c r="F31" s="98" t="s">
        <v>586</v>
      </c>
      <c r="G31" s="99" t="s">
        <v>598</v>
      </c>
      <c r="H31" s="53" t="s">
        <v>293</v>
      </c>
      <c r="I31" s="53" t="s">
        <v>293</v>
      </c>
      <c r="J31" s="53" t="s">
        <v>293</v>
      </c>
      <c r="K31" s="53" t="s">
        <v>293</v>
      </c>
      <c r="L31" s="53" t="s">
        <v>293</v>
      </c>
      <c r="M31" s="53" t="s">
        <v>293</v>
      </c>
      <c r="N31" s="53" t="s">
        <v>293</v>
      </c>
      <c r="O31" s="53" t="s">
        <v>293</v>
      </c>
      <c r="P31" s="53" t="s">
        <v>293</v>
      </c>
      <c r="Q31" s="68"/>
      <c r="R31" s="54"/>
      <c r="S31" s="70"/>
      <c r="T31" s="361"/>
      <c r="U31" s="392"/>
    </row>
    <row r="32" spans="2:22" ht="28.2" hidden="1" customHeight="1" outlineLevel="1" x14ac:dyDescent="0.35">
      <c r="B32" s="411"/>
      <c r="C32" s="347" t="s">
        <v>488</v>
      </c>
      <c r="D32" s="393" t="s">
        <v>494</v>
      </c>
      <c r="E32" s="97">
        <f t="shared" si="0"/>
        <v>29</v>
      </c>
      <c r="F32" s="98" t="s">
        <v>587</v>
      </c>
      <c r="G32" s="99" t="s">
        <v>599</v>
      </c>
      <c r="H32" s="53" t="s">
        <v>293</v>
      </c>
      <c r="I32" s="53" t="s">
        <v>293</v>
      </c>
      <c r="J32" s="53" t="s">
        <v>293</v>
      </c>
      <c r="K32" s="53" t="s">
        <v>293</v>
      </c>
      <c r="L32" s="53" t="s">
        <v>293</v>
      </c>
      <c r="M32" s="53" t="s">
        <v>293</v>
      </c>
      <c r="N32" s="53" t="s">
        <v>293</v>
      </c>
      <c r="O32" s="53" t="s">
        <v>293</v>
      </c>
      <c r="P32" s="53" t="s">
        <v>293</v>
      </c>
      <c r="Q32" s="68"/>
      <c r="R32" s="54"/>
      <c r="S32" s="70"/>
      <c r="T32" s="361"/>
      <c r="U32" s="392"/>
    </row>
    <row r="33" spans="2:22" ht="28.2" hidden="1" customHeight="1" outlineLevel="1" x14ac:dyDescent="0.35">
      <c r="B33" s="411"/>
      <c r="C33" s="393"/>
      <c r="D33" s="393"/>
      <c r="E33" s="97">
        <f t="shared" si="0"/>
        <v>30</v>
      </c>
      <c r="F33" s="98" t="s">
        <v>588</v>
      </c>
      <c r="G33" s="99" t="s">
        <v>599</v>
      </c>
      <c r="H33" s="53" t="s">
        <v>293</v>
      </c>
      <c r="I33" s="53" t="s">
        <v>293</v>
      </c>
      <c r="J33" s="53" t="s">
        <v>293</v>
      </c>
      <c r="K33" s="53" t="s">
        <v>293</v>
      </c>
      <c r="L33" s="53" t="s">
        <v>293</v>
      </c>
      <c r="M33" s="53" t="s">
        <v>293</v>
      </c>
      <c r="N33" s="53" t="s">
        <v>293</v>
      </c>
      <c r="O33" s="53" t="s">
        <v>293</v>
      </c>
      <c r="P33" s="53" t="s">
        <v>293</v>
      </c>
      <c r="Q33" s="68"/>
      <c r="R33" s="54"/>
      <c r="S33" s="70"/>
      <c r="T33" s="361"/>
      <c r="U33" s="392"/>
    </row>
    <row r="34" spans="2:22" ht="26.4" hidden="1" outlineLevel="1" x14ac:dyDescent="0.35">
      <c r="B34" s="411"/>
      <c r="C34" s="396"/>
      <c r="D34" s="454" t="s">
        <v>593</v>
      </c>
      <c r="E34" s="97">
        <f t="shared" si="0"/>
        <v>31</v>
      </c>
      <c r="F34" s="98" t="s">
        <v>631</v>
      </c>
      <c r="G34" s="99" t="s">
        <v>599</v>
      </c>
      <c r="H34" s="53" t="s">
        <v>293</v>
      </c>
      <c r="I34" s="53" t="s">
        <v>293</v>
      </c>
      <c r="J34" s="53" t="s">
        <v>293</v>
      </c>
      <c r="K34" s="53" t="s">
        <v>293</v>
      </c>
      <c r="L34" s="53" t="s">
        <v>293</v>
      </c>
      <c r="M34" s="53" t="s">
        <v>293</v>
      </c>
      <c r="N34" s="53" t="s">
        <v>293</v>
      </c>
      <c r="O34" s="53" t="s">
        <v>293</v>
      </c>
      <c r="P34" s="53" t="s">
        <v>293</v>
      </c>
      <c r="Q34" s="68"/>
      <c r="R34" s="54"/>
      <c r="S34" s="70"/>
      <c r="T34" s="361"/>
      <c r="U34" s="392" t="s">
        <v>723</v>
      </c>
    </row>
    <row r="35" spans="2:22" ht="28.2" hidden="1" customHeight="1" outlineLevel="1" x14ac:dyDescent="0.35">
      <c r="B35" s="411"/>
      <c r="C35" s="393"/>
      <c r="D35" s="393"/>
      <c r="E35" s="97">
        <f t="shared" si="0"/>
        <v>32</v>
      </c>
      <c r="F35" s="98" t="s">
        <v>594</v>
      </c>
      <c r="G35" s="99" t="s">
        <v>599</v>
      </c>
      <c r="H35" s="53" t="s">
        <v>293</v>
      </c>
      <c r="I35" s="53" t="s">
        <v>293</v>
      </c>
      <c r="J35" s="53" t="s">
        <v>293</v>
      </c>
      <c r="K35" s="53" t="s">
        <v>293</v>
      </c>
      <c r="L35" s="53" t="s">
        <v>293</v>
      </c>
      <c r="M35" s="53" t="s">
        <v>293</v>
      </c>
      <c r="N35" s="53" t="s">
        <v>293</v>
      </c>
      <c r="O35" s="53" t="s">
        <v>293</v>
      </c>
      <c r="P35" s="66" t="s">
        <v>293</v>
      </c>
      <c r="Q35" s="68"/>
      <c r="R35" s="54"/>
      <c r="S35" s="70"/>
      <c r="T35" s="361"/>
      <c r="U35" s="392" t="s">
        <v>690</v>
      </c>
    </row>
    <row r="36" spans="2:22" ht="28.2" customHeight="1" collapsed="1" x14ac:dyDescent="0.35">
      <c r="B36" s="129" t="s">
        <v>500</v>
      </c>
      <c r="C36" s="292" t="s">
        <v>484</v>
      </c>
      <c r="D36" s="248"/>
      <c r="E36" s="246">
        <f t="shared" si="0"/>
        <v>33</v>
      </c>
      <c r="F36" s="100" t="s">
        <v>537</v>
      </c>
      <c r="G36" s="94" t="s">
        <v>536</v>
      </c>
      <c r="H36" s="81" t="s">
        <v>799</v>
      </c>
      <c r="I36" s="51" t="s">
        <v>293</v>
      </c>
      <c r="J36" s="51" t="s">
        <v>293</v>
      </c>
      <c r="K36" s="81" t="s">
        <v>799</v>
      </c>
      <c r="L36" s="81" t="s">
        <v>799</v>
      </c>
      <c r="M36" s="352" t="s">
        <v>799</v>
      </c>
      <c r="N36" s="81" t="s">
        <v>293</v>
      </c>
      <c r="O36" s="352" t="s">
        <v>799</v>
      </c>
      <c r="P36" s="65" t="s">
        <v>293</v>
      </c>
      <c r="Q36" s="67">
        <v>45686</v>
      </c>
      <c r="R36" s="52"/>
      <c r="S36" s="69"/>
      <c r="T36" s="88"/>
      <c r="U36" s="103" t="s">
        <v>822</v>
      </c>
    </row>
    <row r="37" spans="2:22" ht="28.2" customHeight="1" x14ac:dyDescent="0.35">
      <c r="B37" s="126"/>
      <c r="C37" s="293" t="s">
        <v>501</v>
      </c>
      <c r="D37" s="397" t="s">
        <v>502</v>
      </c>
      <c r="E37" s="97">
        <f t="shared" si="0"/>
        <v>34</v>
      </c>
      <c r="F37" s="98" t="s">
        <v>491</v>
      </c>
      <c r="G37" s="99" t="s">
        <v>507</v>
      </c>
      <c r="H37" s="53" t="s">
        <v>293</v>
      </c>
      <c r="I37" s="53" t="s">
        <v>293</v>
      </c>
      <c r="J37" s="53" t="s">
        <v>293</v>
      </c>
      <c r="K37" s="53" t="s">
        <v>293</v>
      </c>
      <c r="L37" s="53" t="s">
        <v>293</v>
      </c>
      <c r="M37" s="53" t="s">
        <v>293</v>
      </c>
      <c r="N37" s="53" t="s">
        <v>293</v>
      </c>
      <c r="O37" s="53" t="s">
        <v>293</v>
      </c>
      <c r="P37" s="53" t="s">
        <v>293</v>
      </c>
      <c r="Q37" s="68"/>
      <c r="R37" s="54"/>
      <c r="S37" s="70"/>
      <c r="T37" s="361"/>
      <c r="U37" s="105"/>
    </row>
    <row r="38" spans="2:22" ht="28.2" customHeight="1" x14ac:dyDescent="0.35">
      <c r="B38" s="126"/>
      <c r="C38" s="291"/>
      <c r="D38" s="245" t="s">
        <v>505</v>
      </c>
      <c r="E38" s="246">
        <f t="shared" si="0"/>
        <v>35</v>
      </c>
      <c r="F38" s="100" t="s">
        <v>504</v>
      </c>
      <c r="G38" s="94" t="s">
        <v>507</v>
      </c>
      <c r="H38" s="81" t="s">
        <v>799</v>
      </c>
      <c r="I38" s="51" t="s">
        <v>293</v>
      </c>
      <c r="J38" s="51" t="s">
        <v>293</v>
      </c>
      <c r="K38" s="81" t="s">
        <v>293</v>
      </c>
      <c r="L38" s="81" t="s">
        <v>799</v>
      </c>
      <c r="M38" s="352" t="s">
        <v>799</v>
      </c>
      <c r="N38" s="81" t="s">
        <v>293</v>
      </c>
      <c r="O38" s="352" t="s">
        <v>799</v>
      </c>
      <c r="P38" s="409" t="s">
        <v>293</v>
      </c>
      <c r="Q38" s="67">
        <v>45686</v>
      </c>
      <c r="R38" s="52"/>
      <c r="S38" s="69"/>
      <c r="T38" s="88"/>
      <c r="U38" s="407" t="s">
        <v>801</v>
      </c>
    </row>
    <row r="39" spans="2:22" ht="28.2" customHeight="1" x14ac:dyDescent="0.35">
      <c r="B39" s="126"/>
      <c r="C39" s="127"/>
      <c r="D39" s="245" t="s">
        <v>503</v>
      </c>
      <c r="E39" s="246">
        <f t="shared" si="0"/>
        <v>36</v>
      </c>
      <c r="F39" s="100" t="s">
        <v>506</v>
      </c>
      <c r="G39" s="94" t="s">
        <v>507</v>
      </c>
      <c r="H39" s="81" t="s">
        <v>799</v>
      </c>
      <c r="I39" s="51" t="s">
        <v>293</v>
      </c>
      <c r="J39" s="51" t="s">
        <v>293</v>
      </c>
      <c r="K39" s="81" t="s">
        <v>293</v>
      </c>
      <c r="L39" s="81" t="s">
        <v>799</v>
      </c>
      <c r="M39" s="352" t="s">
        <v>799</v>
      </c>
      <c r="N39" s="81" t="s">
        <v>293</v>
      </c>
      <c r="O39" s="352" t="s">
        <v>799</v>
      </c>
      <c r="P39" s="409" t="s">
        <v>293</v>
      </c>
      <c r="Q39" s="67">
        <v>45686</v>
      </c>
      <c r="R39" s="52"/>
      <c r="S39" s="69"/>
      <c r="T39" s="88"/>
      <c r="U39" s="407" t="s">
        <v>805</v>
      </c>
    </row>
    <row r="40" spans="2:22" ht="28.2" customHeight="1" x14ac:dyDescent="0.35">
      <c r="B40" s="126"/>
      <c r="C40" s="294" t="s">
        <v>508</v>
      </c>
      <c r="D40" s="397" t="s">
        <v>502</v>
      </c>
      <c r="E40" s="97">
        <f t="shared" si="0"/>
        <v>37</v>
      </c>
      <c r="F40" s="98" t="s">
        <v>491</v>
      </c>
      <c r="G40" s="99" t="s">
        <v>509</v>
      </c>
      <c r="H40" s="53" t="s">
        <v>293</v>
      </c>
      <c r="I40" s="53" t="s">
        <v>293</v>
      </c>
      <c r="J40" s="53" t="s">
        <v>293</v>
      </c>
      <c r="K40" s="53" t="s">
        <v>293</v>
      </c>
      <c r="L40" s="53" t="s">
        <v>293</v>
      </c>
      <c r="M40" s="53" t="s">
        <v>293</v>
      </c>
      <c r="N40" s="53" t="s">
        <v>293</v>
      </c>
      <c r="O40" s="53" t="s">
        <v>293</v>
      </c>
      <c r="P40" s="53" t="s">
        <v>293</v>
      </c>
      <c r="Q40" s="68"/>
      <c r="R40" s="54"/>
      <c r="S40" s="70"/>
      <c r="T40" s="361"/>
      <c r="U40" s="105"/>
    </row>
    <row r="41" spans="2:22" ht="28.2" customHeight="1" x14ac:dyDescent="0.35">
      <c r="B41" s="126"/>
      <c r="C41" s="127"/>
      <c r="D41" s="245" t="s">
        <v>505</v>
      </c>
      <c r="E41" s="246">
        <f t="shared" si="0"/>
        <v>38</v>
      </c>
      <c r="F41" s="100" t="s">
        <v>504</v>
      </c>
      <c r="G41" s="94" t="s">
        <v>509</v>
      </c>
      <c r="H41" s="81" t="s">
        <v>799</v>
      </c>
      <c r="I41" s="51" t="s">
        <v>293</v>
      </c>
      <c r="J41" s="51" t="s">
        <v>293</v>
      </c>
      <c r="K41" s="81" t="s">
        <v>293</v>
      </c>
      <c r="L41" s="81" t="s">
        <v>799</v>
      </c>
      <c r="M41" s="352" t="s">
        <v>799</v>
      </c>
      <c r="N41" s="81" t="s">
        <v>293</v>
      </c>
      <c r="O41" s="352" t="s">
        <v>799</v>
      </c>
      <c r="P41" s="65" t="s">
        <v>293</v>
      </c>
      <c r="Q41" s="67">
        <v>45686</v>
      </c>
      <c r="R41" s="52"/>
      <c r="S41" s="69"/>
      <c r="T41" s="88"/>
      <c r="U41" s="103" t="s">
        <v>803</v>
      </c>
    </row>
    <row r="42" spans="2:22" ht="28.2" customHeight="1" x14ac:dyDescent="0.35">
      <c r="B42" s="126"/>
      <c r="C42" s="127"/>
      <c r="D42" s="245" t="s">
        <v>503</v>
      </c>
      <c r="E42" s="246">
        <f t="shared" si="0"/>
        <v>39</v>
      </c>
      <c r="F42" s="100" t="s">
        <v>506</v>
      </c>
      <c r="G42" s="94" t="s">
        <v>509</v>
      </c>
      <c r="H42" s="81" t="s">
        <v>799</v>
      </c>
      <c r="I42" s="51" t="s">
        <v>293</v>
      </c>
      <c r="J42" s="51" t="s">
        <v>293</v>
      </c>
      <c r="K42" s="81" t="s">
        <v>293</v>
      </c>
      <c r="L42" s="81" t="s">
        <v>799</v>
      </c>
      <c r="M42" s="352" t="s">
        <v>799</v>
      </c>
      <c r="N42" s="81" t="s">
        <v>293</v>
      </c>
      <c r="O42" s="352" t="s">
        <v>799</v>
      </c>
      <c r="P42" s="65" t="s">
        <v>293</v>
      </c>
      <c r="Q42" s="67">
        <v>45686</v>
      </c>
      <c r="R42" s="52"/>
      <c r="S42" s="69"/>
      <c r="T42" s="88"/>
      <c r="U42" s="103" t="s">
        <v>804</v>
      </c>
      <c r="V42" s="130"/>
    </row>
    <row r="43" spans="2:22" ht="28.2" customHeight="1" x14ac:dyDescent="0.35">
      <c r="B43" s="126"/>
      <c r="C43" s="294" t="s">
        <v>510</v>
      </c>
      <c r="D43" s="397" t="s">
        <v>502</v>
      </c>
      <c r="E43" s="97">
        <f t="shared" si="0"/>
        <v>40</v>
      </c>
      <c r="F43" s="98" t="s">
        <v>491</v>
      </c>
      <c r="G43" s="99" t="s">
        <v>511</v>
      </c>
      <c r="H43" s="53" t="s">
        <v>293</v>
      </c>
      <c r="I43" s="53" t="s">
        <v>293</v>
      </c>
      <c r="J43" s="53" t="s">
        <v>293</v>
      </c>
      <c r="K43" s="53" t="s">
        <v>293</v>
      </c>
      <c r="L43" s="53" t="s">
        <v>293</v>
      </c>
      <c r="M43" s="53" t="s">
        <v>293</v>
      </c>
      <c r="N43" s="53" t="s">
        <v>293</v>
      </c>
      <c r="O43" s="53" t="s">
        <v>293</v>
      </c>
      <c r="P43" s="66" t="s">
        <v>293</v>
      </c>
      <c r="Q43" s="68"/>
      <c r="R43" s="54"/>
      <c r="S43" s="70"/>
      <c r="T43" s="361"/>
      <c r="U43" s="392"/>
      <c r="V43" s="130"/>
    </row>
    <row r="44" spans="2:22" ht="28.2" customHeight="1" x14ac:dyDescent="0.35">
      <c r="B44" s="126"/>
      <c r="C44" s="127"/>
      <c r="D44" s="245" t="s">
        <v>505</v>
      </c>
      <c r="E44" s="246">
        <f t="shared" si="0"/>
        <v>41</v>
      </c>
      <c r="F44" s="100" t="s">
        <v>504</v>
      </c>
      <c r="G44" s="94" t="s">
        <v>511</v>
      </c>
      <c r="H44" s="81" t="s">
        <v>799</v>
      </c>
      <c r="I44" s="51" t="s">
        <v>293</v>
      </c>
      <c r="J44" s="51" t="s">
        <v>293</v>
      </c>
      <c r="K44" s="81" t="s">
        <v>293</v>
      </c>
      <c r="L44" s="81" t="s">
        <v>799</v>
      </c>
      <c r="M44" s="352" t="s">
        <v>799</v>
      </c>
      <c r="N44" s="81" t="s">
        <v>293</v>
      </c>
      <c r="O44" s="352" t="s">
        <v>799</v>
      </c>
      <c r="P44" s="65" t="s">
        <v>293</v>
      </c>
      <c r="Q44" s="67">
        <v>45686</v>
      </c>
      <c r="R44" s="52"/>
      <c r="S44" s="69"/>
      <c r="T44" s="88"/>
      <c r="U44" s="103" t="s">
        <v>806</v>
      </c>
      <c r="V44" s="130"/>
    </row>
    <row r="45" spans="2:22" ht="28.2" customHeight="1" x14ac:dyDescent="0.35">
      <c r="B45" s="126"/>
      <c r="C45" s="127"/>
      <c r="D45" s="245" t="s">
        <v>503</v>
      </c>
      <c r="E45" s="246">
        <f t="shared" si="0"/>
        <v>42</v>
      </c>
      <c r="F45" s="100" t="s">
        <v>506</v>
      </c>
      <c r="G45" s="94" t="s">
        <v>511</v>
      </c>
      <c r="H45" s="81" t="s">
        <v>799</v>
      </c>
      <c r="I45" s="51" t="s">
        <v>293</v>
      </c>
      <c r="J45" s="51" t="s">
        <v>293</v>
      </c>
      <c r="K45" s="81" t="s">
        <v>293</v>
      </c>
      <c r="L45" s="81" t="s">
        <v>799</v>
      </c>
      <c r="M45" s="352" t="s">
        <v>799</v>
      </c>
      <c r="N45" s="81" t="s">
        <v>293</v>
      </c>
      <c r="O45" s="352" t="s">
        <v>799</v>
      </c>
      <c r="P45" s="65" t="s">
        <v>293</v>
      </c>
      <c r="Q45" s="67">
        <v>45686</v>
      </c>
      <c r="R45" s="52"/>
      <c r="S45" s="69"/>
      <c r="T45" s="88"/>
      <c r="U45" s="103" t="s">
        <v>805</v>
      </c>
      <c r="V45" s="130"/>
    </row>
    <row r="46" spans="2:22" ht="28.2" customHeight="1" x14ac:dyDescent="0.35">
      <c r="B46" s="126"/>
      <c r="C46" s="347" t="s">
        <v>333</v>
      </c>
      <c r="D46" s="397" t="s">
        <v>502</v>
      </c>
      <c r="E46" s="97">
        <f t="shared" si="0"/>
        <v>43</v>
      </c>
      <c r="F46" s="98" t="s">
        <v>491</v>
      </c>
      <c r="G46" s="99" t="s">
        <v>511</v>
      </c>
      <c r="H46" s="53" t="s">
        <v>293</v>
      </c>
      <c r="I46" s="53" t="s">
        <v>293</v>
      </c>
      <c r="J46" s="53" t="s">
        <v>293</v>
      </c>
      <c r="K46" s="53" t="s">
        <v>293</v>
      </c>
      <c r="L46" s="53" t="s">
        <v>293</v>
      </c>
      <c r="M46" s="53" t="s">
        <v>293</v>
      </c>
      <c r="N46" s="53" t="s">
        <v>293</v>
      </c>
      <c r="O46" s="53" t="s">
        <v>293</v>
      </c>
      <c r="P46" s="66" t="s">
        <v>293</v>
      </c>
      <c r="Q46" s="68"/>
      <c r="R46" s="54"/>
      <c r="S46" s="70"/>
      <c r="T46" s="361"/>
      <c r="U46" s="392" t="s">
        <v>691</v>
      </c>
    </row>
    <row r="47" spans="2:22" ht="28.2" customHeight="1" x14ac:dyDescent="0.35">
      <c r="B47" s="126"/>
      <c r="C47" s="396"/>
      <c r="D47" s="96" t="s">
        <v>505</v>
      </c>
      <c r="E47" s="97">
        <f t="shared" si="0"/>
        <v>44</v>
      </c>
      <c r="F47" s="98" t="s">
        <v>504</v>
      </c>
      <c r="G47" s="99" t="s">
        <v>512</v>
      </c>
      <c r="H47" s="53" t="s">
        <v>293</v>
      </c>
      <c r="I47" s="53" t="s">
        <v>293</v>
      </c>
      <c r="J47" s="53" t="s">
        <v>293</v>
      </c>
      <c r="K47" s="53" t="s">
        <v>293</v>
      </c>
      <c r="L47" s="53" t="s">
        <v>293</v>
      </c>
      <c r="M47" s="53" t="s">
        <v>293</v>
      </c>
      <c r="N47" s="53" t="s">
        <v>293</v>
      </c>
      <c r="O47" s="53" t="s">
        <v>293</v>
      </c>
      <c r="P47" s="66" t="s">
        <v>293</v>
      </c>
      <c r="Q47" s="68"/>
      <c r="R47" s="54"/>
      <c r="S47" s="70"/>
      <c r="T47" s="361"/>
      <c r="U47" s="392" t="s">
        <v>683</v>
      </c>
      <c r="V47" s="130"/>
    </row>
    <row r="48" spans="2:22" ht="28.2" customHeight="1" x14ac:dyDescent="0.35">
      <c r="B48" s="126"/>
      <c r="C48" s="391"/>
      <c r="D48" s="96" t="s">
        <v>503</v>
      </c>
      <c r="E48" s="97">
        <f t="shared" si="0"/>
        <v>45</v>
      </c>
      <c r="F48" s="98" t="s">
        <v>506</v>
      </c>
      <c r="G48" s="99" t="s">
        <v>512</v>
      </c>
      <c r="H48" s="53" t="s">
        <v>293</v>
      </c>
      <c r="I48" s="53" t="s">
        <v>293</v>
      </c>
      <c r="J48" s="53" t="s">
        <v>293</v>
      </c>
      <c r="K48" s="53" t="s">
        <v>293</v>
      </c>
      <c r="L48" s="53" t="s">
        <v>293</v>
      </c>
      <c r="M48" s="53" t="s">
        <v>293</v>
      </c>
      <c r="N48" s="53" t="s">
        <v>293</v>
      </c>
      <c r="O48" s="53" t="s">
        <v>293</v>
      </c>
      <c r="P48" s="66" t="s">
        <v>293</v>
      </c>
      <c r="Q48" s="68"/>
      <c r="R48" s="54"/>
      <c r="S48" s="70"/>
      <c r="T48" s="361"/>
      <c r="U48" s="392" t="s">
        <v>683</v>
      </c>
      <c r="V48" s="130"/>
    </row>
    <row r="49" spans="2:22" ht="26.4" x14ac:dyDescent="0.35">
      <c r="B49" s="126"/>
      <c r="C49" s="128" t="s">
        <v>600</v>
      </c>
      <c r="D49" s="291" t="s">
        <v>601</v>
      </c>
      <c r="E49" s="246">
        <f t="shared" si="0"/>
        <v>46</v>
      </c>
      <c r="F49" s="100" t="s">
        <v>605</v>
      </c>
      <c r="G49" s="94" t="s">
        <v>652</v>
      </c>
      <c r="H49" s="352" t="s">
        <v>799</v>
      </c>
      <c r="I49" s="51" t="s">
        <v>293</v>
      </c>
      <c r="J49" s="51" t="s">
        <v>293</v>
      </c>
      <c r="K49" s="352" t="s">
        <v>799</v>
      </c>
      <c r="L49" s="352" t="s">
        <v>799</v>
      </c>
      <c r="M49" s="352" t="s">
        <v>799</v>
      </c>
      <c r="N49" s="51" t="s">
        <v>293</v>
      </c>
      <c r="O49" s="352" t="s">
        <v>799</v>
      </c>
      <c r="P49" s="65" t="s">
        <v>293</v>
      </c>
      <c r="Q49" s="67">
        <v>45686</v>
      </c>
      <c r="R49" s="52"/>
      <c r="S49" s="69"/>
      <c r="T49" s="88"/>
      <c r="U49" s="104" t="s">
        <v>807</v>
      </c>
      <c r="V49" s="130"/>
    </row>
    <row r="50" spans="2:22" ht="28.2" customHeight="1" x14ac:dyDescent="0.35">
      <c r="B50" s="126"/>
      <c r="C50" s="291"/>
      <c r="D50" s="247" t="s">
        <v>602</v>
      </c>
      <c r="E50" s="246">
        <f t="shared" si="0"/>
        <v>47</v>
      </c>
      <c r="F50" s="100" t="s">
        <v>606</v>
      </c>
      <c r="G50" s="94" t="s">
        <v>604</v>
      </c>
      <c r="H50" s="352" t="s">
        <v>799</v>
      </c>
      <c r="I50" s="51" t="s">
        <v>293</v>
      </c>
      <c r="J50" s="51" t="s">
        <v>293</v>
      </c>
      <c r="K50" s="352" t="s">
        <v>799</v>
      </c>
      <c r="L50" s="352" t="s">
        <v>799</v>
      </c>
      <c r="M50" s="352" t="s">
        <v>799</v>
      </c>
      <c r="N50" s="51" t="s">
        <v>293</v>
      </c>
      <c r="O50" s="352" t="s">
        <v>799</v>
      </c>
      <c r="P50" s="65" t="s">
        <v>293</v>
      </c>
      <c r="Q50" s="67">
        <v>45686</v>
      </c>
      <c r="R50" s="52"/>
      <c r="S50" s="69"/>
      <c r="T50" s="88"/>
      <c r="U50" s="103" t="s">
        <v>808</v>
      </c>
    </row>
    <row r="51" spans="2:22" ht="28.8" customHeight="1" x14ac:dyDescent="0.35">
      <c r="B51" s="126"/>
      <c r="C51" s="127"/>
      <c r="D51" s="394" t="s">
        <v>603</v>
      </c>
      <c r="E51" s="97">
        <f t="shared" si="0"/>
        <v>48</v>
      </c>
      <c r="F51" s="98" t="s">
        <v>607</v>
      </c>
      <c r="G51" s="99" t="s">
        <v>685</v>
      </c>
      <c r="H51" s="53" t="s">
        <v>293</v>
      </c>
      <c r="I51" s="53" t="s">
        <v>293</v>
      </c>
      <c r="J51" s="53" t="s">
        <v>293</v>
      </c>
      <c r="K51" s="53" t="s">
        <v>293</v>
      </c>
      <c r="L51" s="53" t="s">
        <v>293</v>
      </c>
      <c r="M51" s="53" t="s">
        <v>293</v>
      </c>
      <c r="N51" s="53" t="s">
        <v>293</v>
      </c>
      <c r="O51" s="53" t="s">
        <v>293</v>
      </c>
      <c r="P51" s="53" t="s">
        <v>293</v>
      </c>
      <c r="Q51" s="68"/>
      <c r="R51" s="54"/>
      <c r="S51" s="70"/>
      <c r="T51" s="361"/>
      <c r="U51" s="105"/>
    </row>
    <row r="52" spans="2:22" ht="28.2" customHeight="1" x14ac:dyDescent="0.35">
      <c r="B52" s="126"/>
      <c r="C52" s="128" t="s">
        <v>608</v>
      </c>
      <c r="D52" s="393" t="s">
        <v>484</v>
      </c>
      <c r="E52" s="97">
        <f t="shared" si="0"/>
        <v>49</v>
      </c>
      <c r="F52" s="98" t="s">
        <v>612</v>
      </c>
      <c r="G52" s="99" t="s">
        <v>610</v>
      </c>
      <c r="H52" s="82" t="s">
        <v>293</v>
      </c>
      <c r="I52" s="53" t="s">
        <v>293</v>
      </c>
      <c r="J52" s="53" t="s">
        <v>293</v>
      </c>
      <c r="K52" s="82" t="s">
        <v>293</v>
      </c>
      <c r="L52" s="82" t="s">
        <v>293</v>
      </c>
      <c r="M52" s="82" t="s">
        <v>293</v>
      </c>
      <c r="N52" s="53" t="s">
        <v>293</v>
      </c>
      <c r="O52" s="82" t="s">
        <v>293</v>
      </c>
      <c r="P52" s="66" t="s">
        <v>293</v>
      </c>
      <c r="Q52" s="68"/>
      <c r="R52" s="54"/>
      <c r="S52" s="70"/>
      <c r="T52" s="361"/>
      <c r="U52" s="392" t="s">
        <v>767</v>
      </c>
      <c r="V52" s="130"/>
    </row>
    <row r="53" spans="2:22" ht="28.2" customHeight="1" x14ac:dyDescent="0.35">
      <c r="B53" s="126"/>
      <c r="C53" s="291"/>
      <c r="D53" s="294" t="s">
        <v>613</v>
      </c>
      <c r="E53" s="246">
        <f t="shared" si="0"/>
        <v>50</v>
      </c>
      <c r="F53" s="100" t="s">
        <v>504</v>
      </c>
      <c r="G53" s="94" t="s">
        <v>614</v>
      </c>
      <c r="H53" s="352" t="s">
        <v>799</v>
      </c>
      <c r="I53" s="51" t="s">
        <v>293</v>
      </c>
      <c r="J53" s="51" t="s">
        <v>293</v>
      </c>
      <c r="K53" s="352" t="s">
        <v>799</v>
      </c>
      <c r="L53" s="352" t="s">
        <v>799</v>
      </c>
      <c r="M53" s="352" t="s">
        <v>799</v>
      </c>
      <c r="N53" s="51" t="s">
        <v>293</v>
      </c>
      <c r="O53" s="352" t="s">
        <v>293</v>
      </c>
      <c r="P53" s="65" t="s">
        <v>293</v>
      </c>
      <c r="Q53" s="67"/>
      <c r="R53" s="52"/>
      <c r="S53" s="69"/>
      <c r="T53" s="88"/>
      <c r="U53" s="103" t="s">
        <v>846</v>
      </c>
    </row>
    <row r="54" spans="2:22" ht="28.8" customHeight="1" x14ac:dyDescent="0.35">
      <c r="B54" s="126"/>
      <c r="C54" s="127"/>
      <c r="D54" s="242"/>
      <c r="E54" s="246">
        <f t="shared" si="0"/>
        <v>51</v>
      </c>
      <c r="F54" s="100" t="s">
        <v>491</v>
      </c>
      <c r="G54" s="94" t="s">
        <v>615</v>
      </c>
      <c r="H54" s="352" t="s">
        <v>799</v>
      </c>
      <c r="I54" s="51" t="s">
        <v>293</v>
      </c>
      <c r="J54" s="51" t="s">
        <v>293</v>
      </c>
      <c r="K54" s="352" t="s">
        <v>799</v>
      </c>
      <c r="L54" s="352" t="s">
        <v>799</v>
      </c>
      <c r="M54" s="352" t="s">
        <v>799</v>
      </c>
      <c r="N54" s="51" t="s">
        <v>293</v>
      </c>
      <c r="O54" s="352" t="s">
        <v>293</v>
      </c>
      <c r="P54" s="65" t="s">
        <v>293</v>
      </c>
      <c r="Q54" s="67"/>
      <c r="R54" s="52"/>
      <c r="S54" s="69"/>
      <c r="T54" s="88"/>
      <c r="U54" s="103" t="s">
        <v>849</v>
      </c>
    </row>
    <row r="55" spans="2:22" ht="28.2" customHeight="1" x14ac:dyDescent="0.35">
      <c r="B55" s="300" t="s">
        <v>513</v>
      </c>
      <c r="C55" s="318" t="s">
        <v>518</v>
      </c>
      <c r="D55" s="302" t="s">
        <v>517</v>
      </c>
      <c r="E55" s="303">
        <f t="shared" ref="E55:E72" si="1">ROW()-3</f>
        <v>52</v>
      </c>
      <c r="F55" s="304" t="s">
        <v>514</v>
      </c>
      <c r="G55" s="305" t="s">
        <v>515</v>
      </c>
      <c r="H55" s="53" t="s">
        <v>293</v>
      </c>
      <c r="I55" s="53" t="s">
        <v>293</v>
      </c>
      <c r="J55" s="53" t="s">
        <v>293</v>
      </c>
      <c r="K55" s="53" t="s">
        <v>293</v>
      </c>
      <c r="L55" s="53" t="s">
        <v>293</v>
      </c>
      <c r="M55" s="53" t="s">
        <v>293</v>
      </c>
      <c r="N55" s="53" t="s">
        <v>293</v>
      </c>
      <c r="O55" s="53" t="s">
        <v>293</v>
      </c>
      <c r="P55" s="53" t="s">
        <v>293</v>
      </c>
      <c r="Q55" s="308"/>
      <c r="R55" s="309"/>
      <c r="S55" s="310"/>
      <c r="T55" s="311"/>
      <c r="U55" s="312"/>
      <c r="V55" s="130"/>
    </row>
    <row r="56" spans="2:22" ht="28.2" customHeight="1" x14ac:dyDescent="0.35">
      <c r="B56" s="313" t="s">
        <v>516</v>
      </c>
      <c r="C56" s="344"/>
      <c r="D56" s="314" t="s">
        <v>520</v>
      </c>
      <c r="E56" s="303">
        <f t="shared" si="1"/>
        <v>53</v>
      </c>
      <c r="F56" s="304" t="s">
        <v>520</v>
      </c>
      <c r="G56" s="305" t="s">
        <v>527</v>
      </c>
      <c r="H56" s="53" t="s">
        <v>293</v>
      </c>
      <c r="I56" s="53" t="s">
        <v>293</v>
      </c>
      <c r="J56" s="53" t="s">
        <v>293</v>
      </c>
      <c r="K56" s="53" t="s">
        <v>293</v>
      </c>
      <c r="L56" s="53" t="s">
        <v>293</v>
      </c>
      <c r="M56" s="53" t="s">
        <v>293</v>
      </c>
      <c r="N56" s="53" t="s">
        <v>293</v>
      </c>
      <c r="O56" s="53" t="s">
        <v>293</v>
      </c>
      <c r="P56" s="53" t="s">
        <v>293</v>
      </c>
      <c r="Q56" s="308"/>
      <c r="R56" s="309"/>
      <c r="S56" s="310"/>
      <c r="T56" s="311"/>
      <c r="U56" s="312"/>
    </row>
    <row r="57" spans="2:22" ht="28.2" customHeight="1" x14ac:dyDescent="0.35">
      <c r="B57" s="315"/>
      <c r="C57" s="301"/>
      <c r="D57" s="314" t="s">
        <v>522</v>
      </c>
      <c r="E57" s="303">
        <f t="shared" si="1"/>
        <v>54</v>
      </c>
      <c r="F57" s="304" t="s">
        <v>530</v>
      </c>
      <c r="G57" s="305" t="s">
        <v>527</v>
      </c>
      <c r="H57" s="53" t="s">
        <v>293</v>
      </c>
      <c r="I57" s="53" t="s">
        <v>293</v>
      </c>
      <c r="J57" s="53" t="s">
        <v>293</v>
      </c>
      <c r="K57" s="53" t="s">
        <v>293</v>
      </c>
      <c r="L57" s="53" t="s">
        <v>293</v>
      </c>
      <c r="M57" s="53" t="s">
        <v>293</v>
      </c>
      <c r="N57" s="53" t="s">
        <v>293</v>
      </c>
      <c r="O57" s="53" t="s">
        <v>293</v>
      </c>
      <c r="P57" s="53" t="s">
        <v>293</v>
      </c>
      <c r="Q57" s="308"/>
      <c r="R57" s="309"/>
      <c r="S57" s="310"/>
      <c r="T57" s="311"/>
      <c r="U57" s="312"/>
    </row>
    <row r="58" spans="2:22" ht="28.2" customHeight="1" x14ac:dyDescent="0.35">
      <c r="B58" s="315"/>
      <c r="C58" s="301"/>
      <c r="D58" s="314" t="s">
        <v>529</v>
      </c>
      <c r="E58" s="303">
        <f t="shared" si="1"/>
        <v>55</v>
      </c>
      <c r="F58" s="314" t="s">
        <v>531</v>
      </c>
      <c r="G58" s="305" t="s">
        <v>527</v>
      </c>
      <c r="H58" s="53" t="s">
        <v>293</v>
      </c>
      <c r="I58" s="53" t="s">
        <v>293</v>
      </c>
      <c r="J58" s="53" t="s">
        <v>293</v>
      </c>
      <c r="K58" s="53" t="s">
        <v>293</v>
      </c>
      <c r="L58" s="53" t="s">
        <v>293</v>
      </c>
      <c r="M58" s="53" t="s">
        <v>293</v>
      </c>
      <c r="N58" s="53" t="s">
        <v>293</v>
      </c>
      <c r="O58" s="53" t="s">
        <v>293</v>
      </c>
      <c r="P58" s="53" t="s">
        <v>293</v>
      </c>
      <c r="Q58" s="308"/>
      <c r="R58" s="309"/>
      <c r="S58" s="310"/>
      <c r="T58" s="311"/>
      <c r="U58" s="312"/>
    </row>
    <row r="59" spans="2:22" ht="28.2" customHeight="1" x14ac:dyDescent="0.35">
      <c r="B59" s="315"/>
      <c r="C59" s="301"/>
      <c r="D59" s="314" t="s">
        <v>523</v>
      </c>
      <c r="E59" s="303">
        <f t="shared" si="1"/>
        <v>56</v>
      </c>
      <c r="F59" s="314" t="s">
        <v>532</v>
      </c>
      <c r="G59" s="305" t="s">
        <v>527</v>
      </c>
      <c r="H59" s="53" t="s">
        <v>293</v>
      </c>
      <c r="I59" s="53" t="s">
        <v>293</v>
      </c>
      <c r="J59" s="53" t="s">
        <v>293</v>
      </c>
      <c r="K59" s="53" t="s">
        <v>293</v>
      </c>
      <c r="L59" s="53" t="s">
        <v>293</v>
      </c>
      <c r="M59" s="53" t="s">
        <v>293</v>
      </c>
      <c r="N59" s="53" t="s">
        <v>293</v>
      </c>
      <c r="O59" s="53" t="s">
        <v>293</v>
      </c>
      <c r="P59" s="53" t="s">
        <v>293</v>
      </c>
      <c r="Q59" s="308"/>
      <c r="R59" s="309"/>
      <c r="S59" s="310"/>
      <c r="T59" s="311"/>
      <c r="U59" s="312"/>
    </row>
    <row r="60" spans="2:22" ht="28.2" customHeight="1" x14ac:dyDescent="0.35">
      <c r="B60" s="315"/>
      <c r="C60" s="301"/>
      <c r="D60" s="314" t="s">
        <v>524</v>
      </c>
      <c r="E60" s="303">
        <f t="shared" si="1"/>
        <v>57</v>
      </c>
      <c r="F60" s="314" t="s">
        <v>533</v>
      </c>
      <c r="G60" s="305" t="s">
        <v>527</v>
      </c>
      <c r="H60" s="53" t="s">
        <v>293</v>
      </c>
      <c r="I60" s="53" t="s">
        <v>293</v>
      </c>
      <c r="J60" s="53" t="s">
        <v>293</v>
      </c>
      <c r="K60" s="53" t="s">
        <v>293</v>
      </c>
      <c r="L60" s="53" t="s">
        <v>293</v>
      </c>
      <c r="M60" s="53" t="s">
        <v>293</v>
      </c>
      <c r="N60" s="53" t="s">
        <v>293</v>
      </c>
      <c r="O60" s="53" t="s">
        <v>293</v>
      </c>
      <c r="P60" s="53" t="s">
        <v>293</v>
      </c>
      <c r="Q60" s="308"/>
      <c r="R60" s="309"/>
      <c r="S60" s="310"/>
      <c r="T60" s="311"/>
      <c r="U60" s="312"/>
    </row>
    <row r="61" spans="2:22" ht="28.2" customHeight="1" x14ac:dyDescent="0.35">
      <c r="B61" s="315"/>
      <c r="C61" s="301"/>
      <c r="D61" s="314" t="s">
        <v>525</v>
      </c>
      <c r="E61" s="303">
        <f t="shared" si="1"/>
        <v>58</v>
      </c>
      <c r="F61" s="314" t="s">
        <v>534</v>
      </c>
      <c r="G61" s="305" t="s">
        <v>527</v>
      </c>
      <c r="H61" s="53" t="s">
        <v>293</v>
      </c>
      <c r="I61" s="53" t="s">
        <v>293</v>
      </c>
      <c r="J61" s="53" t="s">
        <v>293</v>
      </c>
      <c r="K61" s="53" t="s">
        <v>293</v>
      </c>
      <c r="L61" s="53" t="s">
        <v>293</v>
      </c>
      <c r="M61" s="53" t="s">
        <v>293</v>
      </c>
      <c r="N61" s="53" t="s">
        <v>293</v>
      </c>
      <c r="O61" s="53" t="s">
        <v>293</v>
      </c>
      <c r="P61" s="53" t="s">
        <v>293</v>
      </c>
      <c r="Q61" s="308"/>
      <c r="R61" s="309"/>
      <c r="S61" s="310"/>
      <c r="T61" s="311"/>
      <c r="U61" s="312"/>
    </row>
    <row r="62" spans="2:22" ht="28.2" customHeight="1" x14ac:dyDescent="0.35">
      <c r="B62" s="315"/>
      <c r="C62" s="301"/>
      <c r="D62" s="314" t="s">
        <v>519</v>
      </c>
      <c r="E62" s="303">
        <f t="shared" si="1"/>
        <v>59</v>
      </c>
      <c r="F62" s="314" t="s">
        <v>521</v>
      </c>
      <c r="G62" s="305" t="s">
        <v>527</v>
      </c>
      <c r="H62" s="53" t="s">
        <v>293</v>
      </c>
      <c r="I62" s="53" t="s">
        <v>293</v>
      </c>
      <c r="J62" s="53" t="s">
        <v>293</v>
      </c>
      <c r="K62" s="53" t="s">
        <v>293</v>
      </c>
      <c r="L62" s="53" t="s">
        <v>293</v>
      </c>
      <c r="M62" s="53" t="s">
        <v>293</v>
      </c>
      <c r="N62" s="53" t="s">
        <v>293</v>
      </c>
      <c r="O62" s="53" t="s">
        <v>293</v>
      </c>
      <c r="P62" s="53" t="s">
        <v>293</v>
      </c>
      <c r="Q62" s="308"/>
      <c r="R62" s="309"/>
      <c r="S62" s="310"/>
      <c r="T62" s="311"/>
      <c r="U62" s="312"/>
    </row>
    <row r="63" spans="2:22" ht="28.2" customHeight="1" x14ac:dyDescent="0.35">
      <c r="B63" s="315"/>
      <c r="C63" s="301"/>
      <c r="D63" s="314" t="s">
        <v>526</v>
      </c>
      <c r="E63" s="303">
        <f t="shared" si="1"/>
        <v>60</v>
      </c>
      <c r="F63" s="314" t="s">
        <v>535</v>
      </c>
      <c r="G63" s="305" t="s">
        <v>527</v>
      </c>
      <c r="H63" s="53" t="s">
        <v>293</v>
      </c>
      <c r="I63" s="53" t="s">
        <v>293</v>
      </c>
      <c r="J63" s="53" t="s">
        <v>293</v>
      </c>
      <c r="K63" s="53" t="s">
        <v>293</v>
      </c>
      <c r="L63" s="53" t="s">
        <v>293</v>
      </c>
      <c r="M63" s="53" t="s">
        <v>293</v>
      </c>
      <c r="N63" s="53" t="s">
        <v>293</v>
      </c>
      <c r="O63" s="53" t="s">
        <v>293</v>
      </c>
      <c r="P63" s="53" t="s">
        <v>293</v>
      </c>
      <c r="Q63" s="308"/>
      <c r="R63" s="309"/>
      <c r="S63" s="310"/>
      <c r="T63" s="311"/>
      <c r="U63" s="312"/>
    </row>
    <row r="64" spans="2:22" ht="28.2" customHeight="1" x14ac:dyDescent="0.35">
      <c r="B64" s="300" t="s">
        <v>513</v>
      </c>
      <c r="C64" s="316" t="s">
        <v>518</v>
      </c>
      <c r="D64" s="302" t="s">
        <v>517</v>
      </c>
      <c r="E64" s="303">
        <f t="shared" si="1"/>
        <v>61</v>
      </c>
      <c r="F64" s="304" t="s">
        <v>514</v>
      </c>
      <c r="G64" s="305" t="s">
        <v>515</v>
      </c>
      <c r="H64" s="53" t="s">
        <v>293</v>
      </c>
      <c r="I64" s="53" t="s">
        <v>293</v>
      </c>
      <c r="J64" s="53" t="s">
        <v>293</v>
      </c>
      <c r="K64" s="53" t="s">
        <v>293</v>
      </c>
      <c r="L64" s="53" t="s">
        <v>293</v>
      </c>
      <c r="M64" s="53" t="s">
        <v>293</v>
      </c>
      <c r="N64" s="53" t="s">
        <v>293</v>
      </c>
      <c r="O64" s="53" t="s">
        <v>293</v>
      </c>
      <c r="P64" s="53" t="s">
        <v>293</v>
      </c>
      <c r="Q64" s="308"/>
      <c r="R64" s="309"/>
      <c r="S64" s="310"/>
      <c r="T64" s="311"/>
      <c r="U64" s="312"/>
      <c r="V64" s="130"/>
    </row>
    <row r="65" spans="1:22" ht="48.6" customHeight="1" x14ac:dyDescent="0.35">
      <c r="B65" s="313" t="s">
        <v>528</v>
      </c>
      <c r="C65" s="301"/>
      <c r="D65" s="314" t="s">
        <v>520</v>
      </c>
      <c r="E65" s="303">
        <f t="shared" si="1"/>
        <v>62</v>
      </c>
      <c r="F65" s="304" t="s">
        <v>520</v>
      </c>
      <c r="G65" s="305" t="s">
        <v>527</v>
      </c>
      <c r="H65" s="53" t="s">
        <v>293</v>
      </c>
      <c r="I65" s="53" t="s">
        <v>293</v>
      </c>
      <c r="J65" s="53" t="s">
        <v>293</v>
      </c>
      <c r="K65" s="53" t="s">
        <v>293</v>
      </c>
      <c r="L65" s="53" t="s">
        <v>293</v>
      </c>
      <c r="M65" s="53" t="s">
        <v>293</v>
      </c>
      <c r="N65" s="53" t="s">
        <v>293</v>
      </c>
      <c r="O65" s="53" t="s">
        <v>293</v>
      </c>
      <c r="P65" s="53" t="s">
        <v>293</v>
      </c>
      <c r="Q65" s="308"/>
      <c r="R65" s="309"/>
      <c r="S65" s="310"/>
      <c r="T65" s="311"/>
      <c r="U65" s="312"/>
      <c r="V65" s="130"/>
    </row>
    <row r="66" spans="1:22" ht="28.2" customHeight="1" x14ac:dyDescent="0.35">
      <c r="B66" s="315"/>
      <c r="C66" s="301"/>
      <c r="D66" s="314" t="s">
        <v>522</v>
      </c>
      <c r="E66" s="303">
        <f t="shared" si="1"/>
        <v>63</v>
      </c>
      <c r="F66" s="304" t="s">
        <v>530</v>
      </c>
      <c r="G66" s="305" t="s">
        <v>527</v>
      </c>
      <c r="H66" s="53" t="s">
        <v>293</v>
      </c>
      <c r="I66" s="53" t="s">
        <v>293</v>
      </c>
      <c r="J66" s="53" t="s">
        <v>293</v>
      </c>
      <c r="K66" s="53" t="s">
        <v>293</v>
      </c>
      <c r="L66" s="53" t="s">
        <v>293</v>
      </c>
      <c r="M66" s="53" t="s">
        <v>293</v>
      </c>
      <c r="N66" s="53" t="s">
        <v>293</v>
      </c>
      <c r="O66" s="53" t="s">
        <v>293</v>
      </c>
      <c r="P66" s="53" t="s">
        <v>293</v>
      </c>
      <c r="Q66" s="308"/>
      <c r="R66" s="309"/>
      <c r="S66" s="310"/>
      <c r="T66" s="311"/>
      <c r="U66" s="312"/>
    </row>
    <row r="67" spans="1:22" ht="28.2" customHeight="1" x14ac:dyDescent="0.35">
      <c r="B67" s="315"/>
      <c r="C67" s="301"/>
      <c r="D67" s="314" t="s">
        <v>529</v>
      </c>
      <c r="E67" s="303">
        <f t="shared" si="1"/>
        <v>64</v>
      </c>
      <c r="F67" s="314" t="s">
        <v>531</v>
      </c>
      <c r="G67" s="305" t="s">
        <v>527</v>
      </c>
      <c r="H67" s="53" t="s">
        <v>293</v>
      </c>
      <c r="I67" s="53" t="s">
        <v>293</v>
      </c>
      <c r="J67" s="53" t="s">
        <v>293</v>
      </c>
      <c r="K67" s="53" t="s">
        <v>293</v>
      </c>
      <c r="L67" s="53" t="s">
        <v>293</v>
      </c>
      <c r="M67" s="53" t="s">
        <v>293</v>
      </c>
      <c r="N67" s="53" t="s">
        <v>293</v>
      </c>
      <c r="O67" s="53" t="s">
        <v>293</v>
      </c>
      <c r="P67" s="53" t="s">
        <v>293</v>
      </c>
      <c r="Q67" s="308"/>
      <c r="R67" s="309"/>
      <c r="S67" s="310"/>
      <c r="T67" s="311"/>
      <c r="U67" s="312"/>
    </row>
    <row r="68" spans="1:22" ht="28.2" customHeight="1" x14ac:dyDescent="0.35">
      <c r="B68" s="315"/>
      <c r="C68" s="301"/>
      <c r="D68" s="314" t="s">
        <v>523</v>
      </c>
      <c r="E68" s="303">
        <f t="shared" si="1"/>
        <v>65</v>
      </c>
      <c r="F68" s="314" t="s">
        <v>532</v>
      </c>
      <c r="G68" s="305" t="s">
        <v>527</v>
      </c>
      <c r="H68" s="53" t="s">
        <v>293</v>
      </c>
      <c r="I68" s="53" t="s">
        <v>293</v>
      </c>
      <c r="J68" s="53" t="s">
        <v>293</v>
      </c>
      <c r="K68" s="53" t="s">
        <v>293</v>
      </c>
      <c r="L68" s="53" t="s">
        <v>293</v>
      </c>
      <c r="M68" s="53" t="s">
        <v>293</v>
      </c>
      <c r="N68" s="53" t="s">
        <v>293</v>
      </c>
      <c r="O68" s="53" t="s">
        <v>293</v>
      </c>
      <c r="P68" s="53" t="s">
        <v>293</v>
      </c>
      <c r="Q68" s="308"/>
      <c r="R68" s="309"/>
      <c r="S68" s="310"/>
      <c r="T68" s="311"/>
      <c r="U68" s="312"/>
      <c r="V68" s="130"/>
    </row>
    <row r="69" spans="1:22" ht="28.2" customHeight="1" x14ac:dyDescent="0.35">
      <c r="B69" s="315"/>
      <c r="C69" s="301"/>
      <c r="D69" s="314" t="s">
        <v>524</v>
      </c>
      <c r="E69" s="303">
        <f t="shared" si="1"/>
        <v>66</v>
      </c>
      <c r="F69" s="314" t="s">
        <v>533</v>
      </c>
      <c r="G69" s="305" t="s">
        <v>527</v>
      </c>
      <c r="H69" s="53" t="s">
        <v>293</v>
      </c>
      <c r="I69" s="53" t="s">
        <v>293</v>
      </c>
      <c r="J69" s="53" t="s">
        <v>293</v>
      </c>
      <c r="K69" s="53" t="s">
        <v>293</v>
      </c>
      <c r="L69" s="53" t="s">
        <v>293</v>
      </c>
      <c r="M69" s="53" t="s">
        <v>293</v>
      </c>
      <c r="N69" s="53" t="s">
        <v>293</v>
      </c>
      <c r="O69" s="53" t="s">
        <v>293</v>
      </c>
      <c r="P69" s="53" t="s">
        <v>293</v>
      </c>
      <c r="Q69" s="308"/>
      <c r="R69" s="309"/>
      <c r="S69" s="310"/>
      <c r="T69" s="311"/>
      <c r="U69" s="312"/>
      <c r="V69" s="130"/>
    </row>
    <row r="70" spans="1:22" ht="37.799999999999997" customHeight="1" x14ac:dyDescent="0.35">
      <c r="B70" s="315"/>
      <c r="C70" s="301"/>
      <c r="D70" s="314" t="s">
        <v>525</v>
      </c>
      <c r="E70" s="303">
        <f t="shared" si="1"/>
        <v>67</v>
      </c>
      <c r="F70" s="314" t="s">
        <v>534</v>
      </c>
      <c r="G70" s="305" t="s">
        <v>527</v>
      </c>
      <c r="H70" s="53" t="s">
        <v>293</v>
      </c>
      <c r="I70" s="53" t="s">
        <v>293</v>
      </c>
      <c r="J70" s="53" t="s">
        <v>293</v>
      </c>
      <c r="K70" s="53" t="s">
        <v>293</v>
      </c>
      <c r="L70" s="53" t="s">
        <v>293</v>
      </c>
      <c r="M70" s="53" t="s">
        <v>293</v>
      </c>
      <c r="N70" s="53" t="s">
        <v>293</v>
      </c>
      <c r="O70" s="53" t="s">
        <v>293</v>
      </c>
      <c r="P70" s="53" t="s">
        <v>293</v>
      </c>
      <c r="Q70" s="308"/>
      <c r="R70" s="309"/>
      <c r="S70" s="310"/>
      <c r="T70" s="311"/>
      <c r="U70" s="317"/>
    </row>
    <row r="71" spans="1:22" ht="28.2" customHeight="1" x14ac:dyDescent="0.35">
      <c r="B71" s="315"/>
      <c r="C71" s="301"/>
      <c r="D71" s="314" t="s">
        <v>519</v>
      </c>
      <c r="E71" s="303">
        <f t="shared" si="1"/>
        <v>68</v>
      </c>
      <c r="F71" s="314" t="s">
        <v>521</v>
      </c>
      <c r="G71" s="305" t="s">
        <v>527</v>
      </c>
      <c r="H71" s="53" t="s">
        <v>293</v>
      </c>
      <c r="I71" s="53" t="s">
        <v>293</v>
      </c>
      <c r="J71" s="53" t="s">
        <v>293</v>
      </c>
      <c r="K71" s="53" t="s">
        <v>293</v>
      </c>
      <c r="L71" s="53" t="s">
        <v>293</v>
      </c>
      <c r="M71" s="53" t="s">
        <v>293</v>
      </c>
      <c r="N71" s="53" t="s">
        <v>293</v>
      </c>
      <c r="O71" s="53" t="s">
        <v>293</v>
      </c>
      <c r="P71" s="53" t="s">
        <v>293</v>
      </c>
      <c r="Q71" s="308"/>
      <c r="R71" s="309"/>
      <c r="S71" s="310"/>
      <c r="T71" s="311"/>
      <c r="U71" s="312"/>
    </row>
    <row r="72" spans="1:22" ht="36" customHeight="1" x14ac:dyDescent="0.35">
      <c r="B72" s="315"/>
      <c r="C72" s="301"/>
      <c r="D72" s="314" t="s">
        <v>526</v>
      </c>
      <c r="E72" s="303">
        <f t="shared" si="1"/>
        <v>69</v>
      </c>
      <c r="F72" s="314" t="s">
        <v>535</v>
      </c>
      <c r="G72" s="305" t="s">
        <v>527</v>
      </c>
      <c r="H72" s="53" t="s">
        <v>293</v>
      </c>
      <c r="I72" s="53" t="s">
        <v>293</v>
      </c>
      <c r="J72" s="53" t="s">
        <v>293</v>
      </c>
      <c r="K72" s="53" t="s">
        <v>293</v>
      </c>
      <c r="L72" s="53" t="s">
        <v>293</v>
      </c>
      <c r="M72" s="53" t="s">
        <v>293</v>
      </c>
      <c r="N72" s="53" t="s">
        <v>293</v>
      </c>
      <c r="O72" s="53" t="s">
        <v>293</v>
      </c>
      <c r="P72" s="53" t="s">
        <v>293</v>
      </c>
      <c r="Q72" s="308"/>
      <c r="R72" s="309"/>
      <c r="S72" s="310"/>
      <c r="T72" s="311"/>
      <c r="U72" s="312"/>
    </row>
    <row r="73" spans="1:22" ht="28.2" customHeight="1" thickBot="1" x14ac:dyDescent="0.4">
      <c r="B73" s="315"/>
      <c r="C73" s="318"/>
      <c r="D73" s="319"/>
      <c r="E73" s="320"/>
      <c r="F73" s="321"/>
      <c r="G73" s="322"/>
      <c r="H73" s="53" t="s">
        <v>293</v>
      </c>
      <c r="I73" s="53" t="s">
        <v>293</v>
      </c>
      <c r="J73" s="53" t="s">
        <v>293</v>
      </c>
      <c r="K73" s="53" t="s">
        <v>293</v>
      </c>
      <c r="L73" s="53" t="s">
        <v>293</v>
      </c>
      <c r="M73" s="53" t="s">
        <v>293</v>
      </c>
      <c r="N73" s="53" t="s">
        <v>293</v>
      </c>
      <c r="O73" s="53" t="s">
        <v>293</v>
      </c>
      <c r="P73" s="53" t="s">
        <v>293</v>
      </c>
      <c r="Q73" s="327"/>
      <c r="R73" s="328"/>
      <c r="S73" s="329"/>
      <c r="T73" s="330"/>
      <c r="U73" s="331"/>
    </row>
    <row r="74" spans="1:22" ht="18" customHeight="1" x14ac:dyDescent="0.35">
      <c r="B74" s="556" t="s">
        <v>70</v>
      </c>
      <c r="C74" s="557"/>
      <c r="D74" s="557">
        <f>SUM(H76:P76)</f>
        <v>47</v>
      </c>
      <c r="E74" s="163"/>
      <c r="F74" s="164"/>
      <c r="G74" s="269" t="s">
        <v>275</v>
      </c>
      <c r="H74" s="166">
        <f t="shared" ref="H74:P74" si="2">COUNTIF(H4:H73,"●")+COUNTIF(H4:H73,"■")+COUNTIF(H4:H73,"OK")</f>
        <v>11</v>
      </c>
      <c r="I74" s="166">
        <f t="shared" si="2"/>
        <v>0</v>
      </c>
      <c r="J74" s="166">
        <f t="shared" si="2"/>
        <v>0</v>
      </c>
      <c r="K74" s="166">
        <f t="shared" si="2"/>
        <v>5</v>
      </c>
      <c r="L74" s="166">
        <f t="shared" si="2"/>
        <v>11</v>
      </c>
      <c r="M74" s="166">
        <f t="shared" si="2"/>
        <v>11</v>
      </c>
      <c r="N74" s="166">
        <f t="shared" si="2"/>
        <v>0</v>
      </c>
      <c r="O74" s="166">
        <f t="shared" si="2"/>
        <v>9</v>
      </c>
      <c r="P74" s="166">
        <f t="shared" si="2"/>
        <v>0</v>
      </c>
      <c r="Q74" s="571" t="s">
        <v>69</v>
      </c>
      <c r="R74" s="571"/>
      <c r="S74" s="571"/>
      <c r="T74" s="167"/>
      <c r="U74" s="168"/>
    </row>
    <row r="75" spans="1:22" ht="18" customHeight="1" x14ac:dyDescent="0.35">
      <c r="B75" s="558"/>
      <c r="C75" s="559"/>
      <c r="D75" s="559"/>
      <c r="E75" s="58"/>
      <c r="F75" s="59"/>
      <c r="G75" s="270" t="s">
        <v>274</v>
      </c>
      <c r="H75" s="78">
        <f t="shared" ref="H75:P75" si="3">COUNTIF(H4:H73,"×")+COUNTIF(H4:H73,"NG")</f>
        <v>0</v>
      </c>
      <c r="I75" s="79">
        <f t="shared" si="3"/>
        <v>0</v>
      </c>
      <c r="J75" s="78">
        <f t="shared" si="3"/>
        <v>0</v>
      </c>
      <c r="K75" s="79">
        <f t="shared" si="3"/>
        <v>0</v>
      </c>
      <c r="L75" s="78">
        <f t="shared" si="3"/>
        <v>0</v>
      </c>
      <c r="M75" s="79">
        <f t="shared" si="3"/>
        <v>0</v>
      </c>
      <c r="N75" s="78">
        <f t="shared" si="3"/>
        <v>0</v>
      </c>
      <c r="O75" s="79">
        <f t="shared" si="3"/>
        <v>0</v>
      </c>
      <c r="P75" s="78">
        <f t="shared" si="3"/>
        <v>0</v>
      </c>
      <c r="Q75" s="572"/>
      <c r="R75" s="572"/>
      <c r="S75" s="572"/>
      <c r="T75" s="74"/>
      <c r="U75" s="108"/>
    </row>
    <row r="76" spans="1:22" ht="18" customHeight="1" x14ac:dyDescent="0.35">
      <c r="B76" s="560" t="s">
        <v>67</v>
      </c>
      <c r="C76" s="561"/>
      <c r="D76" s="561">
        <f>SUM(H77:P77)</f>
        <v>47</v>
      </c>
      <c r="E76" s="48"/>
      <c r="F76" s="49"/>
      <c r="G76" s="270" t="s">
        <v>68</v>
      </c>
      <c r="H76" s="78">
        <f t="shared" ref="H76:P76" si="4">H74+H75</f>
        <v>11</v>
      </c>
      <c r="I76" s="79">
        <f t="shared" si="4"/>
        <v>0</v>
      </c>
      <c r="J76" s="79">
        <f t="shared" si="4"/>
        <v>0</v>
      </c>
      <c r="K76" s="79">
        <f t="shared" si="4"/>
        <v>5</v>
      </c>
      <c r="L76" s="79">
        <f t="shared" si="4"/>
        <v>11</v>
      </c>
      <c r="M76" s="79">
        <f t="shared" si="4"/>
        <v>11</v>
      </c>
      <c r="N76" s="79">
        <f t="shared" si="4"/>
        <v>0</v>
      </c>
      <c r="O76" s="79">
        <f t="shared" si="4"/>
        <v>9</v>
      </c>
      <c r="P76" s="80">
        <f t="shared" si="4"/>
        <v>0</v>
      </c>
      <c r="Q76" s="573">
        <f>COUNTA(Q4:Q73)</f>
        <v>9</v>
      </c>
      <c r="R76" s="575">
        <f>COUNTA(R4:R73)</f>
        <v>0</v>
      </c>
      <c r="S76" s="577">
        <f>COUNTA(S55:S73)</f>
        <v>0</v>
      </c>
      <c r="T76" s="74"/>
      <c r="U76" s="108"/>
    </row>
    <row r="77" spans="1:22" ht="18" customHeight="1" thickBot="1" x14ac:dyDescent="0.4">
      <c r="A77" s="122"/>
      <c r="B77" s="562"/>
      <c r="C77" s="563"/>
      <c r="D77" s="563"/>
      <c r="E77" s="109"/>
      <c r="F77" s="110"/>
      <c r="G77" s="271" t="s">
        <v>66</v>
      </c>
      <c r="H77" s="112">
        <f t="shared" ref="H77:P77" si="5">COUNTBLANK(H4:H73)+H76+COUNTIF(H4:H73,"□")</f>
        <v>11</v>
      </c>
      <c r="I77" s="113">
        <f t="shared" si="5"/>
        <v>0</v>
      </c>
      <c r="J77" s="112">
        <f t="shared" si="5"/>
        <v>0</v>
      </c>
      <c r="K77" s="113">
        <f t="shared" si="5"/>
        <v>5</v>
      </c>
      <c r="L77" s="112">
        <f t="shared" si="5"/>
        <v>11</v>
      </c>
      <c r="M77" s="113">
        <f t="shared" si="5"/>
        <v>11</v>
      </c>
      <c r="N77" s="112">
        <f t="shared" si="5"/>
        <v>0</v>
      </c>
      <c r="O77" s="113">
        <f t="shared" si="5"/>
        <v>9</v>
      </c>
      <c r="P77" s="112">
        <f t="shared" si="5"/>
        <v>0</v>
      </c>
      <c r="Q77" s="574"/>
      <c r="R77" s="576"/>
      <c r="S77" s="578"/>
      <c r="T77" s="115"/>
      <c r="U77" s="116"/>
    </row>
    <row r="78" spans="1:22" ht="24" customHeight="1" x14ac:dyDescent="0.35">
      <c r="F78" s="63"/>
      <c r="G78" s="63"/>
    </row>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topLeftCell="D1" zoomScale="80" zoomScaleNormal="70" zoomScaleSheetLayoutView="80" workbookViewId="0">
      <pane ySplit="3" topLeftCell="A49" activePane="bottomLeft" state="frozen"/>
      <selection activeCell="D17" sqref="D17"/>
      <selection pane="bottomLeft" activeCell="M64" sqref="M64"/>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42.1093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561</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482</v>
      </c>
      <c r="C4" s="127" t="s">
        <v>484</v>
      </c>
      <c r="D4" s="242"/>
      <c r="E4" s="451">
        <f>ROW()-3</f>
        <v>1</v>
      </c>
      <c r="F4" s="452" t="s">
        <v>489</v>
      </c>
      <c r="G4" s="453" t="s">
        <v>490</v>
      </c>
      <c r="H4" s="479" t="s">
        <v>293</v>
      </c>
      <c r="I4" s="479" t="s">
        <v>293</v>
      </c>
      <c r="J4" s="479" t="s">
        <v>293</v>
      </c>
      <c r="K4" s="479" t="s">
        <v>293</v>
      </c>
      <c r="L4" s="479" t="s">
        <v>293</v>
      </c>
      <c r="M4" s="479" t="s">
        <v>293</v>
      </c>
      <c r="N4" s="479" t="s">
        <v>293</v>
      </c>
      <c r="O4" s="479" t="s">
        <v>293</v>
      </c>
      <c r="P4" s="479" t="s">
        <v>293</v>
      </c>
      <c r="Q4" s="68"/>
      <c r="R4" s="54"/>
      <c r="S4" s="70"/>
      <c r="T4" s="361"/>
      <c r="U4" s="481" t="s">
        <v>780</v>
      </c>
    </row>
    <row r="5" spans="1:22" ht="28.2" customHeight="1" x14ac:dyDescent="0.35">
      <c r="B5" s="126" t="s">
        <v>564</v>
      </c>
      <c r="C5" s="247" t="s">
        <v>485</v>
      </c>
      <c r="D5" s="242" t="s">
        <v>486</v>
      </c>
      <c r="E5" s="246">
        <f t="shared" ref="E5:E54" si="0">ROW()-3</f>
        <v>2</v>
      </c>
      <c r="F5" s="100" t="s">
        <v>491</v>
      </c>
      <c r="G5" s="94" t="s">
        <v>493</v>
      </c>
      <c r="H5" s="51" t="s">
        <v>799</v>
      </c>
      <c r="I5" s="51" t="s">
        <v>293</v>
      </c>
      <c r="J5" s="51" t="s">
        <v>293</v>
      </c>
      <c r="K5" s="51" t="s">
        <v>799</v>
      </c>
      <c r="L5" s="51" t="s">
        <v>799</v>
      </c>
      <c r="M5" s="51" t="s">
        <v>799</v>
      </c>
      <c r="N5" s="51" t="s">
        <v>293</v>
      </c>
      <c r="O5" s="51" t="s">
        <v>293</v>
      </c>
      <c r="P5" s="51" t="s">
        <v>293</v>
      </c>
      <c r="Q5" s="67">
        <v>45686</v>
      </c>
      <c r="R5" s="52"/>
      <c r="S5" s="69"/>
      <c r="T5" s="88"/>
      <c r="U5" s="103" t="s">
        <v>809</v>
      </c>
    </row>
    <row r="6" spans="1:22" ht="28.2" customHeight="1" x14ac:dyDescent="0.35">
      <c r="B6" s="126"/>
      <c r="C6" s="291" t="s">
        <v>483</v>
      </c>
      <c r="D6" s="391" t="s">
        <v>571</v>
      </c>
      <c r="E6" s="97">
        <f t="shared" si="0"/>
        <v>3</v>
      </c>
      <c r="F6" s="98" t="s">
        <v>492</v>
      </c>
      <c r="G6" s="99" t="s">
        <v>497</v>
      </c>
      <c r="H6" s="53" t="s">
        <v>293</v>
      </c>
      <c r="I6" s="53" t="s">
        <v>293</v>
      </c>
      <c r="J6" s="53" t="s">
        <v>293</v>
      </c>
      <c r="K6" s="53" t="s">
        <v>293</v>
      </c>
      <c r="L6" s="53" t="s">
        <v>293</v>
      </c>
      <c r="M6" s="53" t="s">
        <v>293</v>
      </c>
      <c r="N6" s="53" t="s">
        <v>293</v>
      </c>
      <c r="O6" s="53" t="s">
        <v>293</v>
      </c>
      <c r="P6" s="53" t="s">
        <v>293</v>
      </c>
      <c r="Q6" s="395"/>
      <c r="R6" s="54"/>
      <c r="S6" s="70"/>
      <c r="T6" s="361"/>
      <c r="U6" s="392" t="s">
        <v>688</v>
      </c>
    </row>
    <row r="7" spans="1:22" ht="28.2" customHeight="1" x14ac:dyDescent="0.35">
      <c r="B7" s="126"/>
      <c r="C7" s="334"/>
      <c r="D7" s="242" t="s">
        <v>572</v>
      </c>
      <c r="E7" s="246">
        <f t="shared" si="0"/>
        <v>4</v>
      </c>
      <c r="F7" s="100" t="s">
        <v>581</v>
      </c>
      <c r="G7" s="94" t="s">
        <v>497</v>
      </c>
      <c r="H7" s="51" t="s">
        <v>799</v>
      </c>
      <c r="I7" s="51" t="s">
        <v>293</v>
      </c>
      <c r="J7" s="51" t="s">
        <v>293</v>
      </c>
      <c r="K7" s="51" t="s">
        <v>293</v>
      </c>
      <c r="L7" s="51" t="s">
        <v>799</v>
      </c>
      <c r="M7" s="51" t="s">
        <v>799</v>
      </c>
      <c r="N7" s="51" t="s">
        <v>293</v>
      </c>
      <c r="O7" s="51" t="s">
        <v>293</v>
      </c>
      <c r="P7" s="51" t="s">
        <v>293</v>
      </c>
      <c r="Q7" s="67">
        <v>45686</v>
      </c>
      <c r="R7" s="52"/>
      <c r="S7" s="69"/>
      <c r="T7" s="88"/>
      <c r="U7" s="103" t="s">
        <v>810</v>
      </c>
    </row>
    <row r="8" spans="1:22" ht="39.6" x14ac:dyDescent="0.35">
      <c r="B8" s="126"/>
      <c r="C8" s="335"/>
      <c r="D8" s="242" t="s">
        <v>714</v>
      </c>
      <c r="E8" s="246">
        <f t="shared" si="0"/>
        <v>5</v>
      </c>
      <c r="F8" s="100" t="s">
        <v>580</v>
      </c>
      <c r="G8" s="94" t="s">
        <v>497</v>
      </c>
      <c r="H8" s="51" t="s">
        <v>712</v>
      </c>
      <c r="I8" s="51" t="s">
        <v>293</v>
      </c>
      <c r="J8" s="51" t="s">
        <v>293</v>
      </c>
      <c r="K8" s="51" t="s">
        <v>293</v>
      </c>
      <c r="L8" s="51" t="s">
        <v>712</v>
      </c>
      <c r="M8" s="51" t="s">
        <v>712</v>
      </c>
      <c r="N8" s="51" t="s">
        <v>293</v>
      </c>
      <c r="O8" s="51" t="s">
        <v>293</v>
      </c>
      <c r="P8" s="51" t="s">
        <v>293</v>
      </c>
      <c r="Q8" s="67"/>
      <c r="R8" s="52"/>
      <c r="S8" s="69"/>
      <c r="T8" s="88"/>
      <c r="U8" s="104" t="s">
        <v>811</v>
      </c>
    </row>
    <row r="9" spans="1:22" ht="28.2" customHeight="1" x14ac:dyDescent="0.35">
      <c r="B9" s="126"/>
      <c r="C9" s="334"/>
      <c r="D9" s="242" t="s">
        <v>574</v>
      </c>
      <c r="E9" s="246">
        <f t="shared" si="0"/>
        <v>6</v>
      </c>
      <c r="F9" s="100" t="s">
        <v>492</v>
      </c>
      <c r="G9" s="94" t="s">
        <v>497</v>
      </c>
      <c r="H9" s="51" t="s">
        <v>799</v>
      </c>
      <c r="I9" s="51" t="s">
        <v>293</v>
      </c>
      <c r="J9" s="51" t="s">
        <v>293</v>
      </c>
      <c r="K9" s="51" t="s">
        <v>293</v>
      </c>
      <c r="L9" s="51" t="s">
        <v>799</v>
      </c>
      <c r="M9" s="51" t="s">
        <v>799</v>
      </c>
      <c r="N9" s="51" t="s">
        <v>293</v>
      </c>
      <c r="O9" s="51" t="s">
        <v>293</v>
      </c>
      <c r="P9" s="51" t="s">
        <v>293</v>
      </c>
      <c r="Q9" s="67">
        <v>45686</v>
      </c>
      <c r="R9" s="52"/>
      <c r="S9" s="69"/>
      <c r="T9" s="88"/>
      <c r="U9" s="106" t="s">
        <v>812</v>
      </c>
    </row>
    <row r="10" spans="1:22" ht="28.2" customHeight="1" x14ac:dyDescent="0.35">
      <c r="B10" s="126"/>
      <c r="C10" s="127"/>
      <c r="D10" s="242" t="s">
        <v>576</v>
      </c>
      <c r="E10" s="246">
        <f t="shared" si="0"/>
        <v>7</v>
      </c>
      <c r="F10" s="100" t="s">
        <v>580</v>
      </c>
      <c r="G10" s="94" t="s">
        <v>497</v>
      </c>
      <c r="H10" s="51" t="s">
        <v>712</v>
      </c>
      <c r="I10" s="51" t="s">
        <v>293</v>
      </c>
      <c r="J10" s="51" t="s">
        <v>293</v>
      </c>
      <c r="K10" s="51" t="s">
        <v>293</v>
      </c>
      <c r="L10" s="51" t="s">
        <v>712</v>
      </c>
      <c r="M10" s="51" t="s">
        <v>712</v>
      </c>
      <c r="N10" s="51" t="s">
        <v>293</v>
      </c>
      <c r="O10" s="51" t="s">
        <v>293</v>
      </c>
      <c r="P10" s="51" t="s">
        <v>293</v>
      </c>
      <c r="Q10" s="67"/>
      <c r="R10" s="52"/>
      <c r="S10" s="69"/>
      <c r="T10" s="88"/>
      <c r="U10" s="363" t="s">
        <v>811</v>
      </c>
    </row>
    <row r="11" spans="1:22" ht="28.2" customHeight="1" x14ac:dyDescent="0.35">
      <c r="B11" s="126"/>
      <c r="C11" s="128" t="s">
        <v>487</v>
      </c>
      <c r="D11" s="391" t="s">
        <v>571</v>
      </c>
      <c r="E11" s="97">
        <f t="shared" si="0"/>
        <v>8</v>
      </c>
      <c r="F11" s="98" t="s">
        <v>495</v>
      </c>
      <c r="G11" s="99" t="s">
        <v>498</v>
      </c>
      <c r="H11" s="53" t="s">
        <v>293</v>
      </c>
      <c r="I11" s="53" t="s">
        <v>293</v>
      </c>
      <c r="J11" s="53" t="s">
        <v>293</v>
      </c>
      <c r="K11" s="53" t="s">
        <v>293</v>
      </c>
      <c r="L11" s="53" t="s">
        <v>293</v>
      </c>
      <c r="M11" s="53" t="s">
        <v>293</v>
      </c>
      <c r="N11" s="53" t="s">
        <v>293</v>
      </c>
      <c r="O11" s="53" t="s">
        <v>293</v>
      </c>
      <c r="P11" s="66" t="s">
        <v>293</v>
      </c>
      <c r="Q11" s="395"/>
      <c r="R11" s="54"/>
      <c r="S11" s="70"/>
      <c r="T11" s="361"/>
      <c r="U11" s="392" t="s">
        <v>688</v>
      </c>
      <c r="V11" s="130"/>
    </row>
    <row r="12" spans="1:22" ht="28.2" customHeight="1" x14ac:dyDescent="0.35">
      <c r="B12" s="126"/>
      <c r="C12" s="291"/>
      <c r="D12" s="242" t="s">
        <v>572</v>
      </c>
      <c r="E12" s="246">
        <f t="shared" si="0"/>
        <v>9</v>
      </c>
      <c r="F12" s="100" t="s">
        <v>585</v>
      </c>
      <c r="G12" s="94" t="s">
        <v>498</v>
      </c>
      <c r="H12" s="51" t="s">
        <v>799</v>
      </c>
      <c r="I12" s="51" t="s">
        <v>293</v>
      </c>
      <c r="J12" s="51" t="s">
        <v>293</v>
      </c>
      <c r="K12" s="51" t="s">
        <v>293</v>
      </c>
      <c r="L12" s="51" t="s">
        <v>799</v>
      </c>
      <c r="M12" s="51" t="s">
        <v>799</v>
      </c>
      <c r="N12" s="51" t="s">
        <v>293</v>
      </c>
      <c r="O12" s="51" t="s">
        <v>293</v>
      </c>
      <c r="P12" s="51" t="s">
        <v>293</v>
      </c>
      <c r="Q12" s="67">
        <v>45686</v>
      </c>
      <c r="R12" s="52"/>
      <c r="S12" s="69"/>
      <c r="T12" s="88"/>
      <c r="U12" s="103" t="s">
        <v>814</v>
      </c>
    </row>
    <row r="13" spans="1:22" ht="39.6" x14ac:dyDescent="0.35">
      <c r="B13" s="126"/>
      <c r="C13" s="127"/>
      <c r="D13" s="242" t="s">
        <v>714</v>
      </c>
      <c r="E13" s="246">
        <f t="shared" si="0"/>
        <v>10</v>
      </c>
      <c r="F13" s="100" t="s">
        <v>586</v>
      </c>
      <c r="G13" s="94" t="s">
        <v>498</v>
      </c>
      <c r="H13" s="51" t="s">
        <v>712</v>
      </c>
      <c r="I13" s="51" t="s">
        <v>293</v>
      </c>
      <c r="J13" s="51" t="s">
        <v>293</v>
      </c>
      <c r="K13" s="51" t="s">
        <v>293</v>
      </c>
      <c r="L13" s="51" t="s">
        <v>712</v>
      </c>
      <c r="M13" s="51" t="s">
        <v>712</v>
      </c>
      <c r="N13" s="51" t="s">
        <v>293</v>
      </c>
      <c r="O13" s="51" t="s">
        <v>293</v>
      </c>
      <c r="P13" s="51" t="s">
        <v>293</v>
      </c>
      <c r="Q13" s="67"/>
      <c r="R13" s="52"/>
      <c r="S13" s="69"/>
      <c r="T13" s="88"/>
      <c r="U13" s="363" t="s">
        <v>811</v>
      </c>
    </row>
    <row r="14" spans="1:22" ht="28.2" customHeight="1" x14ac:dyDescent="0.35">
      <c r="B14" s="126"/>
      <c r="C14" s="291"/>
      <c r="D14" s="242" t="s">
        <v>574</v>
      </c>
      <c r="E14" s="246">
        <f t="shared" si="0"/>
        <v>11</v>
      </c>
      <c r="F14" s="100" t="s">
        <v>495</v>
      </c>
      <c r="G14" s="94" t="s">
        <v>498</v>
      </c>
      <c r="H14" s="51" t="s">
        <v>799</v>
      </c>
      <c r="I14" s="51" t="s">
        <v>293</v>
      </c>
      <c r="J14" s="51" t="s">
        <v>293</v>
      </c>
      <c r="K14" s="51" t="s">
        <v>293</v>
      </c>
      <c r="L14" s="51" t="s">
        <v>799</v>
      </c>
      <c r="M14" s="51" t="s">
        <v>799</v>
      </c>
      <c r="N14" s="51" t="s">
        <v>293</v>
      </c>
      <c r="O14" s="51" t="s">
        <v>293</v>
      </c>
      <c r="P14" s="51" t="s">
        <v>293</v>
      </c>
      <c r="Q14" s="67">
        <v>45686</v>
      </c>
      <c r="R14" s="52"/>
      <c r="S14" s="69"/>
      <c r="T14" s="88"/>
      <c r="U14" s="106" t="s">
        <v>813</v>
      </c>
      <c r="V14" s="130"/>
    </row>
    <row r="15" spans="1:22" ht="28.2" customHeight="1" x14ac:dyDescent="0.35">
      <c r="B15" s="126"/>
      <c r="C15" s="291"/>
      <c r="D15" s="242" t="s">
        <v>576</v>
      </c>
      <c r="E15" s="246">
        <f t="shared" si="0"/>
        <v>12</v>
      </c>
      <c r="F15" s="100" t="s">
        <v>586</v>
      </c>
      <c r="G15" s="94" t="s">
        <v>498</v>
      </c>
      <c r="H15" s="51" t="s">
        <v>712</v>
      </c>
      <c r="I15" s="51" t="s">
        <v>293</v>
      </c>
      <c r="J15" s="51" t="s">
        <v>293</v>
      </c>
      <c r="K15" s="51" t="s">
        <v>293</v>
      </c>
      <c r="L15" s="51" t="s">
        <v>712</v>
      </c>
      <c r="M15" s="51" t="s">
        <v>712</v>
      </c>
      <c r="N15" s="51" t="s">
        <v>293</v>
      </c>
      <c r="O15" s="51" t="s">
        <v>293</v>
      </c>
      <c r="P15" s="51" t="s">
        <v>293</v>
      </c>
      <c r="Q15" s="67"/>
      <c r="R15" s="52"/>
      <c r="S15" s="69"/>
      <c r="T15" s="88"/>
      <c r="U15" s="363" t="s">
        <v>811</v>
      </c>
    </row>
    <row r="16" spans="1:22" ht="28.2" customHeight="1" x14ac:dyDescent="0.35">
      <c r="B16" s="126"/>
      <c r="C16" s="128" t="s">
        <v>488</v>
      </c>
      <c r="D16" s="291" t="s">
        <v>494</v>
      </c>
      <c r="E16" s="246">
        <f t="shared" si="0"/>
        <v>13</v>
      </c>
      <c r="F16" s="100" t="s">
        <v>587</v>
      </c>
      <c r="G16" s="94" t="s">
        <v>499</v>
      </c>
      <c r="H16" s="51" t="s">
        <v>799</v>
      </c>
      <c r="I16" s="51" t="s">
        <v>293</v>
      </c>
      <c r="J16" s="51" t="s">
        <v>293</v>
      </c>
      <c r="K16" s="51" t="s">
        <v>293</v>
      </c>
      <c r="L16" s="51" t="s">
        <v>799</v>
      </c>
      <c r="M16" s="51" t="s">
        <v>799</v>
      </c>
      <c r="N16" s="51" t="s">
        <v>293</v>
      </c>
      <c r="O16" s="51" t="s">
        <v>293</v>
      </c>
      <c r="P16" s="51" t="s">
        <v>293</v>
      </c>
      <c r="Q16" s="67">
        <v>45686</v>
      </c>
      <c r="R16" s="52"/>
      <c r="S16" s="69"/>
      <c r="T16" s="88"/>
      <c r="U16" s="103" t="s">
        <v>817</v>
      </c>
    </row>
    <row r="17" spans="2:22" ht="28.2" customHeight="1" x14ac:dyDescent="0.35">
      <c r="B17" s="126"/>
      <c r="C17" s="291"/>
      <c r="D17" s="291"/>
      <c r="E17" s="246">
        <f t="shared" si="0"/>
        <v>14</v>
      </c>
      <c r="F17" s="100" t="s">
        <v>588</v>
      </c>
      <c r="G17" s="94" t="s">
        <v>499</v>
      </c>
      <c r="H17" s="51" t="s">
        <v>799</v>
      </c>
      <c r="I17" s="51" t="s">
        <v>293</v>
      </c>
      <c r="J17" s="51" t="s">
        <v>293</v>
      </c>
      <c r="K17" s="51" t="s">
        <v>293</v>
      </c>
      <c r="L17" s="51" t="s">
        <v>799</v>
      </c>
      <c r="M17" s="51" t="s">
        <v>799</v>
      </c>
      <c r="N17" s="51" t="s">
        <v>293</v>
      </c>
      <c r="O17" s="51" t="s">
        <v>293</v>
      </c>
      <c r="P17" s="51" t="s">
        <v>293</v>
      </c>
      <c r="Q17" s="67">
        <v>45686</v>
      </c>
      <c r="R17" s="52"/>
      <c r="S17" s="69"/>
      <c r="T17" s="88"/>
      <c r="U17" s="103" t="s">
        <v>818</v>
      </c>
    </row>
    <row r="18" spans="2:22" ht="28.2" customHeight="1" x14ac:dyDescent="0.35">
      <c r="B18" s="126"/>
      <c r="C18" s="291"/>
      <c r="D18" s="242"/>
      <c r="E18" s="246">
        <f t="shared" si="0"/>
        <v>15</v>
      </c>
      <c r="F18" s="100" t="s">
        <v>589</v>
      </c>
      <c r="G18" s="94" t="s">
        <v>499</v>
      </c>
      <c r="H18" s="51" t="s">
        <v>799</v>
      </c>
      <c r="I18" s="51" t="s">
        <v>293</v>
      </c>
      <c r="J18" s="51" t="s">
        <v>293</v>
      </c>
      <c r="K18" s="51" t="s">
        <v>293</v>
      </c>
      <c r="L18" s="51" t="s">
        <v>799</v>
      </c>
      <c r="M18" s="51" t="s">
        <v>799</v>
      </c>
      <c r="N18" s="51" t="s">
        <v>293</v>
      </c>
      <c r="O18" s="51" t="s">
        <v>293</v>
      </c>
      <c r="P18" s="51" t="s">
        <v>293</v>
      </c>
      <c r="Q18" s="67">
        <v>45686</v>
      </c>
      <c r="R18" s="52"/>
      <c r="S18" s="69"/>
      <c r="T18" s="88"/>
      <c r="U18" s="103" t="s">
        <v>819</v>
      </c>
    </row>
    <row r="19" spans="2:22" ht="28.2" customHeight="1" x14ac:dyDescent="0.35">
      <c r="B19" s="126"/>
      <c r="C19" s="127"/>
      <c r="D19" s="291" t="s">
        <v>593</v>
      </c>
      <c r="E19" s="246">
        <f t="shared" si="0"/>
        <v>16</v>
      </c>
      <c r="F19" s="100" t="s">
        <v>595</v>
      </c>
      <c r="G19" s="94" t="s">
        <v>499</v>
      </c>
      <c r="H19" s="51" t="s">
        <v>799</v>
      </c>
      <c r="I19" s="51" t="s">
        <v>293</v>
      </c>
      <c r="J19" s="51" t="s">
        <v>293</v>
      </c>
      <c r="K19" s="51" t="s">
        <v>293</v>
      </c>
      <c r="L19" s="51" t="s">
        <v>799</v>
      </c>
      <c r="M19" s="51" t="s">
        <v>799</v>
      </c>
      <c r="N19" s="51" t="s">
        <v>293</v>
      </c>
      <c r="O19" s="51" t="s">
        <v>293</v>
      </c>
      <c r="P19" s="51" t="s">
        <v>293</v>
      </c>
      <c r="Q19" s="67">
        <v>45686</v>
      </c>
      <c r="R19" s="52"/>
      <c r="S19" s="69"/>
      <c r="T19" s="88"/>
      <c r="U19" s="103" t="s">
        <v>820</v>
      </c>
    </row>
    <row r="20" spans="2:22" ht="28.2" customHeight="1" x14ac:dyDescent="0.35">
      <c r="B20" s="126"/>
      <c r="C20" s="291"/>
      <c r="D20" s="291"/>
      <c r="E20" s="246">
        <f t="shared" si="0"/>
        <v>17</v>
      </c>
      <c r="F20" s="100" t="s">
        <v>631</v>
      </c>
      <c r="G20" s="94" t="s">
        <v>499</v>
      </c>
      <c r="H20" s="51" t="s">
        <v>799</v>
      </c>
      <c r="I20" s="51" t="s">
        <v>293</v>
      </c>
      <c r="J20" s="51" t="s">
        <v>293</v>
      </c>
      <c r="K20" s="51" t="s">
        <v>293</v>
      </c>
      <c r="L20" s="51" t="s">
        <v>799</v>
      </c>
      <c r="M20" s="51" t="s">
        <v>799</v>
      </c>
      <c r="N20" s="51" t="s">
        <v>293</v>
      </c>
      <c r="O20" s="51" t="s">
        <v>293</v>
      </c>
      <c r="P20" s="51" t="s">
        <v>293</v>
      </c>
      <c r="Q20" s="67">
        <v>45686</v>
      </c>
      <c r="R20" s="52"/>
      <c r="S20" s="69"/>
      <c r="T20" s="88"/>
      <c r="U20" s="103" t="s">
        <v>821</v>
      </c>
    </row>
    <row r="21" spans="2:22" ht="28.2" customHeight="1" x14ac:dyDescent="0.35">
      <c r="B21" s="126"/>
      <c r="C21" s="291"/>
      <c r="D21" s="291"/>
      <c r="E21" s="246">
        <f t="shared" si="0"/>
        <v>18</v>
      </c>
      <c r="F21" s="100" t="s">
        <v>594</v>
      </c>
      <c r="G21" s="94" t="s">
        <v>499</v>
      </c>
      <c r="H21" s="51" t="s">
        <v>799</v>
      </c>
      <c r="I21" s="51" t="s">
        <v>293</v>
      </c>
      <c r="J21" s="51" t="s">
        <v>293</v>
      </c>
      <c r="K21" s="51" t="s">
        <v>293</v>
      </c>
      <c r="L21" s="51" t="s">
        <v>799</v>
      </c>
      <c r="M21" s="51" t="s">
        <v>799</v>
      </c>
      <c r="N21" s="51" t="s">
        <v>293</v>
      </c>
      <c r="O21" s="51" t="s">
        <v>293</v>
      </c>
      <c r="P21" s="51" t="s">
        <v>293</v>
      </c>
      <c r="Q21" s="67">
        <v>45686</v>
      </c>
      <c r="R21" s="52"/>
      <c r="S21" s="69"/>
      <c r="T21" s="88"/>
      <c r="U21" s="103" t="s">
        <v>823</v>
      </c>
    </row>
    <row r="22" spans="2:22" ht="28.2" customHeight="1" x14ac:dyDescent="0.35">
      <c r="B22" s="129" t="s">
        <v>563</v>
      </c>
      <c r="C22" s="247" t="s">
        <v>485</v>
      </c>
      <c r="D22" s="247" t="s">
        <v>486</v>
      </c>
      <c r="E22" s="246">
        <f t="shared" si="0"/>
        <v>19</v>
      </c>
      <c r="F22" s="100" t="s">
        <v>491</v>
      </c>
      <c r="G22" s="94" t="s">
        <v>493</v>
      </c>
      <c r="H22" s="51" t="s">
        <v>799</v>
      </c>
      <c r="I22" s="51" t="s">
        <v>293</v>
      </c>
      <c r="J22" s="51" t="s">
        <v>293</v>
      </c>
      <c r="K22" s="51" t="s">
        <v>293</v>
      </c>
      <c r="L22" s="51" t="s">
        <v>799</v>
      </c>
      <c r="M22" s="51" t="s">
        <v>799</v>
      </c>
      <c r="N22" s="51" t="s">
        <v>293</v>
      </c>
      <c r="O22" s="51" t="s">
        <v>293</v>
      </c>
      <c r="P22" s="51" t="s">
        <v>293</v>
      </c>
      <c r="Q22" s="67">
        <v>45686</v>
      </c>
      <c r="R22" s="52"/>
      <c r="S22" s="69"/>
      <c r="T22" s="88"/>
      <c r="U22" s="407" t="s">
        <v>824</v>
      </c>
    </row>
    <row r="23" spans="2:22" ht="28.2" customHeight="1" x14ac:dyDescent="0.35">
      <c r="B23" s="126"/>
      <c r="C23" s="291" t="s">
        <v>483</v>
      </c>
      <c r="D23" s="391" t="s">
        <v>571</v>
      </c>
      <c r="E23" s="97">
        <f t="shared" si="0"/>
        <v>20</v>
      </c>
      <c r="F23" s="98" t="s">
        <v>492</v>
      </c>
      <c r="G23" s="99" t="s">
        <v>597</v>
      </c>
      <c r="H23" s="53" t="s">
        <v>293</v>
      </c>
      <c r="I23" s="53" t="s">
        <v>293</v>
      </c>
      <c r="J23" s="53" t="s">
        <v>293</v>
      </c>
      <c r="K23" s="53" t="s">
        <v>293</v>
      </c>
      <c r="L23" s="53" t="s">
        <v>293</v>
      </c>
      <c r="M23" s="53" t="s">
        <v>293</v>
      </c>
      <c r="N23" s="53" t="s">
        <v>293</v>
      </c>
      <c r="O23" s="53" t="s">
        <v>293</v>
      </c>
      <c r="P23" s="53" t="s">
        <v>293</v>
      </c>
      <c r="Q23" s="68"/>
      <c r="R23" s="54"/>
      <c r="S23" s="70"/>
      <c r="T23" s="361"/>
      <c r="U23" s="392" t="s">
        <v>688</v>
      </c>
    </row>
    <row r="24" spans="2:22" ht="26.4" x14ac:dyDescent="0.35">
      <c r="B24" s="126"/>
      <c r="C24" s="127"/>
      <c r="D24" s="391" t="s">
        <v>577</v>
      </c>
      <c r="E24" s="97">
        <f t="shared" si="0"/>
        <v>21</v>
      </c>
      <c r="F24" s="98" t="s">
        <v>492</v>
      </c>
      <c r="G24" s="99" t="s">
        <v>597</v>
      </c>
      <c r="H24" s="53" t="s">
        <v>293</v>
      </c>
      <c r="I24" s="53" t="s">
        <v>293</v>
      </c>
      <c r="J24" s="53" t="s">
        <v>293</v>
      </c>
      <c r="K24" s="53" t="s">
        <v>293</v>
      </c>
      <c r="L24" s="53" t="s">
        <v>293</v>
      </c>
      <c r="M24" s="53" t="s">
        <v>293</v>
      </c>
      <c r="N24" s="53" t="s">
        <v>293</v>
      </c>
      <c r="O24" s="53" t="s">
        <v>293</v>
      </c>
      <c r="P24" s="53" t="s">
        <v>293</v>
      </c>
      <c r="Q24" s="68"/>
      <c r="R24" s="54"/>
      <c r="S24" s="70"/>
      <c r="T24" s="361"/>
      <c r="U24" s="392" t="s">
        <v>692</v>
      </c>
    </row>
    <row r="25" spans="2:22" ht="26.4" x14ac:dyDescent="0.35">
      <c r="B25" s="126"/>
      <c r="C25" s="335"/>
      <c r="D25" s="242" t="s">
        <v>579</v>
      </c>
      <c r="E25" s="246">
        <f t="shared" si="0"/>
        <v>22</v>
      </c>
      <c r="F25" s="100" t="s">
        <v>580</v>
      </c>
      <c r="G25" s="94" t="s">
        <v>597</v>
      </c>
      <c r="H25" s="51" t="s">
        <v>712</v>
      </c>
      <c r="I25" s="51" t="s">
        <v>293</v>
      </c>
      <c r="J25" s="51" t="s">
        <v>293</v>
      </c>
      <c r="K25" s="51" t="s">
        <v>293</v>
      </c>
      <c r="L25" s="51" t="s">
        <v>712</v>
      </c>
      <c r="M25" s="51" t="s">
        <v>712</v>
      </c>
      <c r="N25" s="51" t="s">
        <v>293</v>
      </c>
      <c r="O25" s="51" t="s">
        <v>293</v>
      </c>
      <c r="P25" s="51" t="s">
        <v>293</v>
      </c>
      <c r="Q25" s="67"/>
      <c r="R25" s="52"/>
      <c r="S25" s="69"/>
      <c r="T25" s="88"/>
      <c r="U25" s="363" t="s">
        <v>811</v>
      </c>
    </row>
    <row r="26" spans="2:22" ht="28.2" customHeight="1" x14ac:dyDescent="0.35">
      <c r="B26" s="126"/>
      <c r="C26" s="334"/>
      <c r="D26" s="242" t="s">
        <v>574</v>
      </c>
      <c r="E26" s="246">
        <f t="shared" si="0"/>
        <v>23</v>
      </c>
      <c r="F26" s="100" t="s">
        <v>492</v>
      </c>
      <c r="G26" s="94" t="s">
        <v>597</v>
      </c>
      <c r="H26" s="51" t="s">
        <v>799</v>
      </c>
      <c r="I26" s="51" t="s">
        <v>293</v>
      </c>
      <c r="J26" s="51" t="s">
        <v>293</v>
      </c>
      <c r="K26" s="51" t="s">
        <v>293</v>
      </c>
      <c r="L26" s="51" t="s">
        <v>799</v>
      </c>
      <c r="M26" s="51" t="s">
        <v>799</v>
      </c>
      <c r="N26" s="51" t="s">
        <v>293</v>
      </c>
      <c r="O26" s="51" t="s">
        <v>293</v>
      </c>
      <c r="P26" s="51" t="s">
        <v>293</v>
      </c>
      <c r="Q26" s="67">
        <v>45686</v>
      </c>
      <c r="R26" s="52"/>
      <c r="S26" s="69"/>
      <c r="T26" s="88"/>
      <c r="U26" s="106" t="s">
        <v>824</v>
      </c>
    </row>
    <row r="27" spans="2:22" ht="28.2" customHeight="1" x14ac:dyDescent="0.35">
      <c r="B27" s="126"/>
      <c r="C27" s="127"/>
      <c r="D27" s="242" t="s">
        <v>576</v>
      </c>
      <c r="E27" s="246">
        <f t="shared" si="0"/>
        <v>24</v>
      </c>
      <c r="F27" s="100" t="s">
        <v>580</v>
      </c>
      <c r="G27" s="94" t="s">
        <v>597</v>
      </c>
      <c r="H27" s="51" t="s">
        <v>712</v>
      </c>
      <c r="I27" s="51" t="s">
        <v>293</v>
      </c>
      <c r="J27" s="51" t="s">
        <v>293</v>
      </c>
      <c r="K27" s="51" t="s">
        <v>293</v>
      </c>
      <c r="L27" s="51" t="s">
        <v>712</v>
      </c>
      <c r="M27" s="51" t="s">
        <v>712</v>
      </c>
      <c r="N27" s="51" t="s">
        <v>293</v>
      </c>
      <c r="O27" s="51" t="s">
        <v>293</v>
      </c>
      <c r="P27" s="51" t="s">
        <v>293</v>
      </c>
      <c r="Q27" s="67"/>
      <c r="R27" s="52"/>
      <c r="S27" s="69"/>
      <c r="T27" s="88"/>
      <c r="U27" s="363" t="s">
        <v>811</v>
      </c>
    </row>
    <row r="28" spans="2:22" ht="28.2" customHeight="1" x14ac:dyDescent="0.35">
      <c r="B28" s="126"/>
      <c r="C28" s="128" t="s">
        <v>487</v>
      </c>
      <c r="D28" s="393" t="s">
        <v>582</v>
      </c>
      <c r="E28" s="97">
        <f t="shared" si="0"/>
        <v>25</v>
      </c>
      <c r="F28" s="98" t="s">
        <v>495</v>
      </c>
      <c r="G28" s="99" t="s">
        <v>598</v>
      </c>
      <c r="H28" s="53" t="s">
        <v>293</v>
      </c>
      <c r="I28" s="53" t="s">
        <v>293</v>
      </c>
      <c r="J28" s="53" t="s">
        <v>293</v>
      </c>
      <c r="K28" s="53" t="s">
        <v>293</v>
      </c>
      <c r="L28" s="53" t="s">
        <v>293</v>
      </c>
      <c r="M28" s="53" t="s">
        <v>293</v>
      </c>
      <c r="N28" s="53" t="s">
        <v>293</v>
      </c>
      <c r="O28" s="53" t="s">
        <v>293</v>
      </c>
      <c r="P28" s="53" t="s">
        <v>293</v>
      </c>
      <c r="Q28" s="68"/>
      <c r="R28" s="54"/>
      <c r="S28" s="70"/>
      <c r="T28" s="361"/>
      <c r="U28" s="392" t="s">
        <v>688</v>
      </c>
      <c r="V28" s="130"/>
    </row>
    <row r="29" spans="2:22" ht="26.4" x14ac:dyDescent="0.35">
      <c r="B29" s="126"/>
      <c r="C29" s="291"/>
      <c r="D29" s="394" t="s">
        <v>583</v>
      </c>
      <c r="E29" s="97">
        <f t="shared" si="0"/>
        <v>26</v>
      </c>
      <c r="F29" s="98" t="s">
        <v>496</v>
      </c>
      <c r="G29" s="99" t="s">
        <v>598</v>
      </c>
      <c r="H29" s="53" t="s">
        <v>293</v>
      </c>
      <c r="I29" s="53" t="s">
        <v>293</v>
      </c>
      <c r="J29" s="53" t="s">
        <v>293</v>
      </c>
      <c r="K29" s="53" t="s">
        <v>293</v>
      </c>
      <c r="L29" s="53" t="s">
        <v>293</v>
      </c>
      <c r="M29" s="53" t="s">
        <v>293</v>
      </c>
      <c r="N29" s="53" t="s">
        <v>293</v>
      </c>
      <c r="O29" s="53" t="s">
        <v>293</v>
      </c>
      <c r="P29" s="53" t="s">
        <v>293</v>
      </c>
      <c r="Q29" s="395"/>
      <c r="R29" s="54"/>
      <c r="S29" s="70"/>
      <c r="T29" s="361"/>
      <c r="U29" s="392"/>
    </row>
    <row r="30" spans="2:22" ht="28.2" customHeight="1" x14ac:dyDescent="0.35">
      <c r="B30" s="126"/>
      <c r="C30" s="291"/>
      <c r="D30" s="291" t="s">
        <v>590</v>
      </c>
      <c r="E30" s="246">
        <f t="shared" si="0"/>
        <v>27</v>
      </c>
      <c r="F30" s="100" t="s">
        <v>586</v>
      </c>
      <c r="G30" s="94" t="s">
        <v>598</v>
      </c>
      <c r="H30" s="51" t="s">
        <v>712</v>
      </c>
      <c r="I30" s="51" t="s">
        <v>293</v>
      </c>
      <c r="J30" s="51" t="s">
        <v>293</v>
      </c>
      <c r="K30" s="51" t="s">
        <v>293</v>
      </c>
      <c r="L30" s="51" t="s">
        <v>712</v>
      </c>
      <c r="M30" s="51" t="s">
        <v>712</v>
      </c>
      <c r="N30" s="51" t="s">
        <v>293</v>
      </c>
      <c r="O30" s="51" t="s">
        <v>293</v>
      </c>
      <c r="P30" s="51" t="s">
        <v>293</v>
      </c>
      <c r="Q30" s="67"/>
      <c r="R30" s="52"/>
      <c r="S30" s="69"/>
      <c r="T30" s="88"/>
      <c r="U30" s="363" t="s">
        <v>811</v>
      </c>
      <c r="V30" s="130"/>
    </row>
    <row r="31" spans="2:22" ht="28.8" customHeight="1" x14ac:dyDescent="0.35">
      <c r="B31" s="126"/>
      <c r="C31" s="127"/>
      <c r="D31" s="247" t="s">
        <v>592</v>
      </c>
      <c r="E31" s="246">
        <f t="shared" si="0"/>
        <v>28</v>
      </c>
      <c r="F31" s="100" t="s">
        <v>586</v>
      </c>
      <c r="G31" s="94" t="s">
        <v>598</v>
      </c>
      <c r="H31" s="51" t="s">
        <v>712</v>
      </c>
      <c r="I31" s="51" t="s">
        <v>293</v>
      </c>
      <c r="J31" s="51" t="s">
        <v>293</v>
      </c>
      <c r="K31" s="51" t="s">
        <v>293</v>
      </c>
      <c r="L31" s="51" t="s">
        <v>712</v>
      </c>
      <c r="M31" s="51" t="s">
        <v>712</v>
      </c>
      <c r="N31" s="51" t="s">
        <v>293</v>
      </c>
      <c r="O31" s="51" t="s">
        <v>293</v>
      </c>
      <c r="P31" s="51" t="s">
        <v>293</v>
      </c>
      <c r="Q31" s="67"/>
      <c r="R31" s="52"/>
      <c r="S31" s="69"/>
      <c r="T31" s="88"/>
      <c r="U31" s="363" t="s">
        <v>811</v>
      </c>
    </row>
    <row r="32" spans="2:22" ht="28.2" customHeight="1" x14ac:dyDescent="0.35">
      <c r="B32" s="126"/>
      <c r="C32" s="128" t="s">
        <v>488</v>
      </c>
      <c r="D32" s="291" t="s">
        <v>494</v>
      </c>
      <c r="E32" s="246">
        <f t="shared" si="0"/>
        <v>29</v>
      </c>
      <c r="F32" s="100" t="s">
        <v>587</v>
      </c>
      <c r="G32" s="94" t="s">
        <v>599</v>
      </c>
      <c r="H32" s="51" t="s">
        <v>799</v>
      </c>
      <c r="I32" s="51" t="s">
        <v>293</v>
      </c>
      <c r="J32" s="51" t="s">
        <v>293</v>
      </c>
      <c r="K32" s="51" t="s">
        <v>293</v>
      </c>
      <c r="L32" s="51" t="s">
        <v>799</v>
      </c>
      <c r="M32" s="51" t="s">
        <v>799</v>
      </c>
      <c r="N32" s="51" t="s">
        <v>293</v>
      </c>
      <c r="O32" s="51" t="s">
        <v>293</v>
      </c>
      <c r="P32" s="51" t="s">
        <v>293</v>
      </c>
      <c r="Q32" s="67">
        <v>45686</v>
      </c>
      <c r="R32" s="52"/>
      <c r="S32" s="69"/>
      <c r="T32" s="88"/>
      <c r="U32" s="103" t="s">
        <v>825</v>
      </c>
    </row>
    <row r="33" spans="2:22" ht="28.2" customHeight="1" x14ac:dyDescent="0.35">
      <c r="B33" s="126"/>
      <c r="C33" s="291"/>
      <c r="D33" s="291"/>
      <c r="E33" s="246">
        <f t="shared" si="0"/>
        <v>30</v>
      </c>
      <c r="F33" s="100" t="s">
        <v>588</v>
      </c>
      <c r="G33" s="94" t="s">
        <v>599</v>
      </c>
      <c r="H33" s="51" t="s">
        <v>799</v>
      </c>
      <c r="I33" s="51" t="s">
        <v>293</v>
      </c>
      <c r="J33" s="51" t="s">
        <v>293</v>
      </c>
      <c r="K33" s="51" t="s">
        <v>293</v>
      </c>
      <c r="L33" s="51" t="s">
        <v>799</v>
      </c>
      <c r="M33" s="51" t="s">
        <v>799</v>
      </c>
      <c r="N33" s="51" t="s">
        <v>293</v>
      </c>
      <c r="O33" s="51" t="s">
        <v>293</v>
      </c>
      <c r="P33" s="51" t="s">
        <v>293</v>
      </c>
      <c r="Q33" s="67">
        <v>45686</v>
      </c>
      <c r="R33" s="52"/>
      <c r="S33" s="69"/>
      <c r="T33" s="88"/>
      <c r="U33" s="103" t="s">
        <v>827</v>
      </c>
    </row>
    <row r="34" spans="2:22" ht="28.2" customHeight="1" x14ac:dyDescent="0.35">
      <c r="B34" s="126"/>
      <c r="C34" s="127"/>
      <c r="D34" s="294" t="s">
        <v>593</v>
      </c>
      <c r="E34" s="246">
        <f t="shared" si="0"/>
        <v>31</v>
      </c>
      <c r="F34" s="100" t="s">
        <v>631</v>
      </c>
      <c r="G34" s="94" t="s">
        <v>599</v>
      </c>
      <c r="H34" s="51" t="s">
        <v>799</v>
      </c>
      <c r="I34" s="51" t="s">
        <v>293</v>
      </c>
      <c r="J34" s="51" t="s">
        <v>293</v>
      </c>
      <c r="K34" s="51" t="s">
        <v>293</v>
      </c>
      <c r="L34" s="51" t="s">
        <v>799</v>
      </c>
      <c r="M34" s="51" t="s">
        <v>799</v>
      </c>
      <c r="N34" s="51" t="s">
        <v>293</v>
      </c>
      <c r="O34" s="51" t="s">
        <v>293</v>
      </c>
      <c r="P34" s="51" t="s">
        <v>293</v>
      </c>
      <c r="Q34" s="67">
        <v>45686</v>
      </c>
      <c r="R34" s="52"/>
      <c r="S34" s="69"/>
      <c r="T34" s="88"/>
      <c r="U34" s="103" t="s">
        <v>828</v>
      </c>
    </row>
    <row r="35" spans="2:22" ht="28.2" customHeight="1" x14ac:dyDescent="0.35">
      <c r="B35" s="126"/>
      <c r="C35" s="291"/>
      <c r="D35" s="291"/>
      <c r="E35" s="246">
        <f t="shared" si="0"/>
        <v>32</v>
      </c>
      <c r="F35" s="100" t="s">
        <v>594</v>
      </c>
      <c r="G35" s="94" t="s">
        <v>599</v>
      </c>
      <c r="H35" s="51" t="s">
        <v>799</v>
      </c>
      <c r="I35" s="51" t="s">
        <v>293</v>
      </c>
      <c r="J35" s="51" t="s">
        <v>293</v>
      </c>
      <c r="K35" s="51" t="s">
        <v>293</v>
      </c>
      <c r="L35" s="51" t="s">
        <v>799</v>
      </c>
      <c r="M35" s="51" t="s">
        <v>799</v>
      </c>
      <c r="N35" s="51" t="s">
        <v>293</v>
      </c>
      <c r="O35" s="51" t="s">
        <v>293</v>
      </c>
      <c r="P35" s="51" t="s">
        <v>293</v>
      </c>
      <c r="Q35" s="67">
        <v>45686</v>
      </c>
      <c r="R35" s="52"/>
      <c r="S35" s="69"/>
      <c r="T35" s="88"/>
      <c r="U35" s="103" t="s">
        <v>829</v>
      </c>
    </row>
    <row r="36" spans="2:22" ht="28.2" customHeight="1" x14ac:dyDescent="0.35">
      <c r="B36" s="129" t="s">
        <v>500</v>
      </c>
      <c r="C36" s="292" t="s">
        <v>484</v>
      </c>
      <c r="D36" s="248"/>
      <c r="E36" s="246">
        <f t="shared" si="0"/>
        <v>33</v>
      </c>
      <c r="F36" s="100" t="s">
        <v>537</v>
      </c>
      <c r="G36" s="94" t="s">
        <v>536</v>
      </c>
      <c r="H36" s="51" t="s">
        <v>799</v>
      </c>
      <c r="I36" s="51" t="s">
        <v>293</v>
      </c>
      <c r="J36" s="51" t="s">
        <v>293</v>
      </c>
      <c r="K36" s="51" t="s">
        <v>293</v>
      </c>
      <c r="L36" s="51" t="s">
        <v>293</v>
      </c>
      <c r="M36" s="51" t="s">
        <v>293</v>
      </c>
      <c r="N36" s="51" t="s">
        <v>293</v>
      </c>
      <c r="O36" s="51" t="s">
        <v>799</v>
      </c>
      <c r="P36" s="51" t="s">
        <v>293</v>
      </c>
      <c r="Q36" s="67">
        <v>45686</v>
      </c>
      <c r="R36" s="52"/>
      <c r="S36" s="69"/>
      <c r="T36" s="88"/>
      <c r="U36" s="103"/>
    </row>
    <row r="37" spans="2:22" ht="28.2" customHeight="1" x14ac:dyDescent="0.35">
      <c r="B37" s="126"/>
      <c r="C37" s="293" t="s">
        <v>501</v>
      </c>
      <c r="D37" s="248" t="s">
        <v>502</v>
      </c>
      <c r="E37" s="246">
        <f t="shared" si="0"/>
        <v>34</v>
      </c>
      <c r="F37" s="100" t="s">
        <v>491</v>
      </c>
      <c r="G37" s="94" t="s">
        <v>507</v>
      </c>
      <c r="H37" s="51" t="s">
        <v>799</v>
      </c>
      <c r="I37" s="51" t="s">
        <v>293</v>
      </c>
      <c r="J37" s="51" t="s">
        <v>293</v>
      </c>
      <c r="K37" s="51" t="s">
        <v>293</v>
      </c>
      <c r="L37" s="51" t="s">
        <v>799</v>
      </c>
      <c r="M37" s="51" t="s">
        <v>799</v>
      </c>
      <c r="N37" s="51" t="s">
        <v>293</v>
      </c>
      <c r="O37" s="51" t="s">
        <v>799</v>
      </c>
      <c r="P37" s="51" t="s">
        <v>293</v>
      </c>
      <c r="Q37" s="67">
        <v>45686</v>
      </c>
      <c r="R37" s="52"/>
      <c r="S37" s="69"/>
      <c r="T37" s="88"/>
      <c r="U37" s="106" t="s">
        <v>833</v>
      </c>
    </row>
    <row r="38" spans="2:22" ht="28.2" customHeight="1" x14ac:dyDescent="0.35">
      <c r="B38" s="126"/>
      <c r="C38" s="291"/>
      <c r="D38" s="245" t="s">
        <v>505</v>
      </c>
      <c r="E38" s="246">
        <f t="shared" si="0"/>
        <v>35</v>
      </c>
      <c r="F38" s="100" t="s">
        <v>504</v>
      </c>
      <c r="G38" s="94" t="s">
        <v>507</v>
      </c>
      <c r="H38" s="51" t="s">
        <v>799</v>
      </c>
      <c r="I38" s="51" t="s">
        <v>293</v>
      </c>
      <c r="J38" s="51" t="s">
        <v>293</v>
      </c>
      <c r="K38" s="51" t="s">
        <v>293</v>
      </c>
      <c r="L38" s="51" t="s">
        <v>799</v>
      </c>
      <c r="M38" s="51" t="s">
        <v>799</v>
      </c>
      <c r="N38" s="51" t="s">
        <v>293</v>
      </c>
      <c r="O38" s="51" t="s">
        <v>799</v>
      </c>
      <c r="P38" s="51" t="s">
        <v>293</v>
      </c>
      <c r="Q38" s="67">
        <v>45686</v>
      </c>
      <c r="R38" s="52"/>
      <c r="S38" s="69"/>
      <c r="T38" s="88"/>
      <c r="U38" s="103" t="s">
        <v>831</v>
      </c>
    </row>
    <row r="39" spans="2:22" ht="28.2" customHeight="1" x14ac:dyDescent="0.35">
      <c r="B39" s="126"/>
      <c r="C39" s="127"/>
      <c r="D39" s="245" t="s">
        <v>503</v>
      </c>
      <c r="E39" s="246">
        <f t="shared" si="0"/>
        <v>36</v>
      </c>
      <c r="F39" s="100" t="s">
        <v>506</v>
      </c>
      <c r="G39" s="94" t="s">
        <v>507</v>
      </c>
      <c r="H39" s="51" t="s">
        <v>799</v>
      </c>
      <c r="I39" s="51" t="s">
        <v>293</v>
      </c>
      <c r="J39" s="51" t="s">
        <v>293</v>
      </c>
      <c r="K39" s="51" t="s">
        <v>293</v>
      </c>
      <c r="L39" s="51" t="s">
        <v>799</v>
      </c>
      <c r="M39" s="51" t="s">
        <v>799</v>
      </c>
      <c r="N39" s="51" t="s">
        <v>293</v>
      </c>
      <c r="O39" s="51" t="s">
        <v>799</v>
      </c>
      <c r="P39" s="51" t="s">
        <v>293</v>
      </c>
      <c r="Q39" s="67">
        <v>45686</v>
      </c>
      <c r="R39" s="52"/>
      <c r="S39" s="69"/>
      <c r="T39" s="88"/>
      <c r="U39" s="103" t="s">
        <v>758</v>
      </c>
    </row>
    <row r="40" spans="2:22" ht="28.2" customHeight="1" x14ac:dyDescent="0.35">
      <c r="B40" s="126"/>
      <c r="C40" s="294" t="s">
        <v>508</v>
      </c>
      <c r="D40" s="248" t="s">
        <v>502</v>
      </c>
      <c r="E40" s="246">
        <f t="shared" si="0"/>
        <v>37</v>
      </c>
      <c r="F40" s="100" t="s">
        <v>491</v>
      </c>
      <c r="G40" s="94" t="s">
        <v>509</v>
      </c>
      <c r="H40" s="51" t="s">
        <v>799</v>
      </c>
      <c r="I40" s="51" t="s">
        <v>293</v>
      </c>
      <c r="J40" s="51" t="s">
        <v>293</v>
      </c>
      <c r="K40" s="51" t="s">
        <v>293</v>
      </c>
      <c r="L40" s="51" t="s">
        <v>799</v>
      </c>
      <c r="M40" s="51" t="s">
        <v>799</v>
      </c>
      <c r="N40" s="51" t="s">
        <v>293</v>
      </c>
      <c r="O40" s="51" t="s">
        <v>799</v>
      </c>
      <c r="P40" s="51" t="s">
        <v>293</v>
      </c>
      <c r="Q40" s="67">
        <v>45686</v>
      </c>
      <c r="R40" s="52"/>
      <c r="S40" s="69"/>
      <c r="T40" s="88"/>
      <c r="U40" s="106" t="s">
        <v>833</v>
      </c>
    </row>
    <row r="41" spans="2:22" ht="28.2" customHeight="1" x14ac:dyDescent="0.35">
      <c r="B41" s="126"/>
      <c r="C41" s="127"/>
      <c r="D41" s="245" t="s">
        <v>505</v>
      </c>
      <c r="E41" s="246">
        <f t="shared" si="0"/>
        <v>38</v>
      </c>
      <c r="F41" s="100" t="s">
        <v>504</v>
      </c>
      <c r="G41" s="94" t="s">
        <v>509</v>
      </c>
      <c r="H41" s="51" t="s">
        <v>799</v>
      </c>
      <c r="I41" s="51" t="s">
        <v>293</v>
      </c>
      <c r="J41" s="51" t="s">
        <v>293</v>
      </c>
      <c r="K41" s="51" t="s">
        <v>293</v>
      </c>
      <c r="L41" s="51" t="s">
        <v>799</v>
      </c>
      <c r="M41" s="51" t="s">
        <v>799</v>
      </c>
      <c r="N41" s="51" t="s">
        <v>293</v>
      </c>
      <c r="O41" s="51" t="s">
        <v>799</v>
      </c>
      <c r="P41" s="51" t="s">
        <v>293</v>
      </c>
      <c r="Q41" s="67">
        <v>45686</v>
      </c>
      <c r="R41" s="52"/>
      <c r="S41" s="69"/>
      <c r="T41" s="88"/>
      <c r="U41" s="103" t="s">
        <v>831</v>
      </c>
    </row>
    <row r="42" spans="2:22" ht="28.2" customHeight="1" x14ac:dyDescent="0.35">
      <c r="B42" s="126"/>
      <c r="C42" s="127"/>
      <c r="D42" s="245" t="s">
        <v>503</v>
      </c>
      <c r="E42" s="246">
        <f t="shared" si="0"/>
        <v>39</v>
      </c>
      <c r="F42" s="100" t="s">
        <v>506</v>
      </c>
      <c r="G42" s="94" t="s">
        <v>509</v>
      </c>
      <c r="H42" s="51" t="s">
        <v>799</v>
      </c>
      <c r="I42" s="51" t="s">
        <v>293</v>
      </c>
      <c r="J42" s="51" t="s">
        <v>293</v>
      </c>
      <c r="K42" s="51" t="s">
        <v>293</v>
      </c>
      <c r="L42" s="51" t="s">
        <v>799</v>
      </c>
      <c r="M42" s="51" t="s">
        <v>799</v>
      </c>
      <c r="N42" s="51" t="s">
        <v>293</v>
      </c>
      <c r="O42" s="51" t="s">
        <v>799</v>
      </c>
      <c r="P42" s="51" t="s">
        <v>293</v>
      </c>
      <c r="Q42" s="67">
        <v>45686</v>
      </c>
      <c r="R42" s="52"/>
      <c r="S42" s="69"/>
      <c r="T42" s="88"/>
      <c r="U42" s="103" t="s">
        <v>832</v>
      </c>
      <c r="V42" s="130"/>
    </row>
    <row r="43" spans="2:22" ht="28.2" customHeight="1" x14ac:dyDescent="0.35">
      <c r="B43" s="126"/>
      <c r="C43" s="294" t="s">
        <v>510</v>
      </c>
      <c r="D43" s="248" t="s">
        <v>502</v>
      </c>
      <c r="E43" s="246">
        <f t="shared" si="0"/>
        <v>40</v>
      </c>
      <c r="F43" s="100" t="s">
        <v>491</v>
      </c>
      <c r="G43" s="94" t="s">
        <v>511</v>
      </c>
      <c r="H43" s="51" t="s">
        <v>799</v>
      </c>
      <c r="I43" s="51" t="s">
        <v>293</v>
      </c>
      <c r="J43" s="51" t="s">
        <v>293</v>
      </c>
      <c r="K43" s="51" t="s">
        <v>293</v>
      </c>
      <c r="L43" s="51" t="s">
        <v>799</v>
      </c>
      <c r="M43" s="51" t="s">
        <v>799</v>
      </c>
      <c r="N43" s="51" t="s">
        <v>293</v>
      </c>
      <c r="O43" s="51" t="s">
        <v>799</v>
      </c>
      <c r="P43" s="51" t="s">
        <v>293</v>
      </c>
      <c r="Q43" s="67">
        <v>45686</v>
      </c>
      <c r="R43" s="52"/>
      <c r="S43" s="69"/>
      <c r="T43" s="88"/>
      <c r="U43" s="106" t="s">
        <v>833</v>
      </c>
      <c r="V43" s="130"/>
    </row>
    <row r="44" spans="2:22" ht="28.2" customHeight="1" x14ac:dyDescent="0.35">
      <c r="B44" s="126"/>
      <c r="C44" s="127"/>
      <c r="D44" s="245" t="s">
        <v>505</v>
      </c>
      <c r="E44" s="246">
        <f t="shared" si="0"/>
        <v>41</v>
      </c>
      <c r="F44" s="100" t="s">
        <v>504</v>
      </c>
      <c r="G44" s="94" t="s">
        <v>511</v>
      </c>
      <c r="H44" s="51" t="s">
        <v>799</v>
      </c>
      <c r="I44" s="51" t="s">
        <v>293</v>
      </c>
      <c r="J44" s="51" t="s">
        <v>293</v>
      </c>
      <c r="K44" s="51" t="s">
        <v>293</v>
      </c>
      <c r="L44" s="51" t="s">
        <v>799</v>
      </c>
      <c r="M44" s="51" t="s">
        <v>799</v>
      </c>
      <c r="N44" s="51" t="s">
        <v>293</v>
      </c>
      <c r="O44" s="51" t="s">
        <v>799</v>
      </c>
      <c r="P44" s="51" t="s">
        <v>293</v>
      </c>
      <c r="Q44" s="67">
        <v>45686</v>
      </c>
      <c r="R44" s="52"/>
      <c r="S44" s="69"/>
      <c r="T44" s="88"/>
      <c r="U44" s="106" t="s">
        <v>834</v>
      </c>
      <c r="V44" s="130"/>
    </row>
    <row r="45" spans="2:22" ht="28.2" customHeight="1" x14ac:dyDescent="0.35">
      <c r="B45" s="126"/>
      <c r="C45" s="127"/>
      <c r="D45" s="245" t="s">
        <v>503</v>
      </c>
      <c r="E45" s="246">
        <f t="shared" si="0"/>
        <v>42</v>
      </c>
      <c r="F45" s="100" t="s">
        <v>506</v>
      </c>
      <c r="G45" s="94" t="s">
        <v>511</v>
      </c>
      <c r="H45" s="51" t="s">
        <v>799</v>
      </c>
      <c r="I45" s="51" t="s">
        <v>293</v>
      </c>
      <c r="J45" s="51" t="s">
        <v>293</v>
      </c>
      <c r="K45" s="51" t="s">
        <v>293</v>
      </c>
      <c r="L45" s="51" t="s">
        <v>799</v>
      </c>
      <c r="M45" s="51" t="s">
        <v>799</v>
      </c>
      <c r="N45" s="51" t="s">
        <v>293</v>
      </c>
      <c r="O45" s="51" t="s">
        <v>799</v>
      </c>
      <c r="P45" s="51" t="s">
        <v>293</v>
      </c>
      <c r="Q45" s="67">
        <v>45686</v>
      </c>
      <c r="R45" s="52"/>
      <c r="S45" s="69"/>
      <c r="T45" s="88"/>
      <c r="U45" s="103" t="s">
        <v>835</v>
      </c>
      <c r="V45" s="130"/>
    </row>
    <row r="46" spans="2:22" ht="28.2" customHeight="1" x14ac:dyDescent="0.35">
      <c r="B46" s="126"/>
      <c r="C46" s="128" t="s">
        <v>333</v>
      </c>
      <c r="D46" s="248" t="s">
        <v>502</v>
      </c>
      <c r="E46" s="246">
        <f t="shared" si="0"/>
        <v>43</v>
      </c>
      <c r="F46" s="100" t="s">
        <v>491</v>
      </c>
      <c r="G46" s="94" t="s">
        <v>512</v>
      </c>
      <c r="H46" s="51" t="s">
        <v>799</v>
      </c>
      <c r="I46" s="51" t="s">
        <v>293</v>
      </c>
      <c r="J46" s="51" t="s">
        <v>293</v>
      </c>
      <c r="K46" s="51" t="s">
        <v>293</v>
      </c>
      <c r="L46" s="51" t="s">
        <v>799</v>
      </c>
      <c r="M46" s="51" t="s">
        <v>799</v>
      </c>
      <c r="N46" s="51" t="s">
        <v>293</v>
      </c>
      <c r="O46" s="51" t="s">
        <v>799</v>
      </c>
      <c r="P46" s="51" t="s">
        <v>293</v>
      </c>
      <c r="Q46" s="67">
        <v>45686</v>
      </c>
      <c r="R46" s="52"/>
      <c r="S46" s="69"/>
      <c r="T46" s="88"/>
      <c r="U46" s="103" t="s">
        <v>838</v>
      </c>
    </row>
    <row r="47" spans="2:22" ht="28.2" customHeight="1" x14ac:dyDescent="0.35">
      <c r="B47" s="126"/>
      <c r="C47" s="127"/>
      <c r="D47" s="245" t="s">
        <v>505</v>
      </c>
      <c r="E47" s="246">
        <f t="shared" si="0"/>
        <v>44</v>
      </c>
      <c r="F47" s="100" t="s">
        <v>504</v>
      </c>
      <c r="G47" s="94" t="s">
        <v>512</v>
      </c>
      <c r="H47" s="51" t="s">
        <v>799</v>
      </c>
      <c r="I47" s="51" t="s">
        <v>293</v>
      </c>
      <c r="J47" s="51" t="s">
        <v>293</v>
      </c>
      <c r="K47" s="51" t="s">
        <v>293</v>
      </c>
      <c r="L47" s="51" t="s">
        <v>799</v>
      </c>
      <c r="M47" s="51" t="s">
        <v>799</v>
      </c>
      <c r="N47" s="51" t="s">
        <v>293</v>
      </c>
      <c r="O47" s="51" t="s">
        <v>799</v>
      </c>
      <c r="P47" s="51" t="s">
        <v>293</v>
      </c>
      <c r="Q47" s="67">
        <v>45686</v>
      </c>
      <c r="R47" s="52"/>
      <c r="S47" s="69"/>
      <c r="T47" s="88"/>
      <c r="U47" s="103" t="s">
        <v>839</v>
      </c>
      <c r="V47" s="130"/>
    </row>
    <row r="48" spans="2:22" ht="28.2" customHeight="1" x14ac:dyDescent="0.35">
      <c r="B48" s="126"/>
      <c r="C48" s="242"/>
      <c r="D48" s="245" t="s">
        <v>503</v>
      </c>
      <c r="E48" s="246">
        <f t="shared" si="0"/>
        <v>45</v>
      </c>
      <c r="F48" s="100" t="s">
        <v>506</v>
      </c>
      <c r="G48" s="94" t="s">
        <v>512</v>
      </c>
      <c r="H48" s="51" t="s">
        <v>799</v>
      </c>
      <c r="I48" s="51" t="s">
        <v>293</v>
      </c>
      <c r="J48" s="51" t="s">
        <v>293</v>
      </c>
      <c r="K48" s="51" t="s">
        <v>293</v>
      </c>
      <c r="L48" s="51" t="s">
        <v>799</v>
      </c>
      <c r="M48" s="51" t="s">
        <v>799</v>
      </c>
      <c r="N48" s="51" t="s">
        <v>293</v>
      </c>
      <c r="O48" s="51" t="s">
        <v>799</v>
      </c>
      <c r="P48" s="51" t="s">
        <v>293</v>
      </c>
      <c r="Q48" s="67">
        <v>45686</v>
      </c>
      <c r="R48" s="52"/>
      <c r="S48" s="69"/>
      <c r="T48" s="88"/>
      <c r="U48" s="103" t="s">
        <v>840</v>
      </c>
      <c r="V48" s="130"/>
    </row>
    <row r="49" spans="2:22" ht="28.2" customHeight="1" x14ac:dyDescent="0.35">
      <c r="B49" s="126"/>
      <c r="C49" s="128" t="s">
        <v>600</v>
      </c>
      <c r="D49" s="393" t="s">
        <v>781</v>
      </c>
      <c r="E49" s="97">
        <f t="shared" si="0"/>
        <v>46</v>
      </c>
      <c r="F49" s="98" t="s">
        <v>605</v>
      </c>
      <c r="G49" s="99" t="s">
        <v>652</v>
      </c>
      <c r="H49" s="53" t="s">
        <v>293</v>
      </c>
      <c r="I49" s="53" t="s">
        <v>293</v>
      </c>
      <c r="J49" s="53" t="s">
        <v>293</v>
      </c>
      <c r="K49" s="53" t="s">
        <v>293</v>
      </c>
      <c r="L49" s="53" t="s">
        <v>293</v>
      </c>
      <c r="M49" s="53" t="s">
        <v>293</v>
      </c>
      <c r="N49" s="53" t="s">
        <v>293</v>
      </c>
      <c r="O49" s="53" t="s">
        <v>293</v>
      </c>
      <c r="P49" s="53" t="s">
        <v>293</v>
      </c>
      <c r="Q49" s="68"/>
      <c r="R49" s="54"/>
      <c r="S49" s="70"/>
      <c r="T49" s="361"/>
      <c r="U49" s="392" t="s">
        <v>780</v>
      </c>
      <c r="V49" s="130"/>
    </row>
    <row r="50" spans="2:22" ht="28.2" customHeight="1" x14ac:dyDescent="0.35">
      <c r="B50" s="126"/>
      <c r="C50" s="291"/>
      <c r="D50" s="247" t="s">
        <v>782</v>
      </c>
      <c r="E50" s="246">
        <f t="shared" si="0"/>
        <v>47</v>
      </c>
      <c r="F50" s="100" t="s">
        <v>606</v>
      </c>
      <c r="G50" s="94" t="s">
        <v>604</v>
      </c>
      <c r="H50" s="51" t="s">
        <v>799</v>
      </c>
      <c r="I50" s="51" t="s">
        <v>293</v>
      </c>
      <c r="J50" s="51" t="s">
        <v>293</v>
      </c>
      <c r="K50" s="51" t="s">
        <v>799</v>
      </c>
      <c r="L50" s="51" t="s">
        <v>799</v>
      </c>
      <c r="M50" s="51" t="s">
        <v>799</v>
      </c>
      <c r="N50" s="51" t="s">
        <v>293</v>
      </c>
      <c r="O50" s="51" t="s">
        <v>799</v>
      </c>
      <c r="P50" s="51" t="s">
        <v>293</v>
      </c>
      <c r="Q50" s="67">
        <v>45686</v>
      </c>
      <c r="R50" s="52"/>
      <c r="S50" s="69"/>
      <c r="T50" s="88"/>
      <c r="U50" s="103" t="s">
        <v>836</v>
      </c>
    </row>
    <row r="51" spans="2:22" ht="28.8" customHeight="1" x14ac:dyDescent="0.35">
      <c r="B51" s="126"/>
      <c r="C51" s="127"/>
      <c r="D51" s="247" t="s">
        <v>783</v>
      </c>
      <c r="E51" s="246">
        <f t="shared" si="0"/>
        <v>48</v>
      </c>
      <c r="F51" s="100" t="s">
        <v>607</v>
      </c>
      <c r="G51" s="94" t="s">
        <v>685</v>
      </c>
      <c r="H51" s="51" t="s">
        <v>799</v>
      </c>
      <c r="I51" s="51" t="s">
        <v>293</v>
      </c>
      <c r="J51" s="51" t="s">
        <v>293</v>
      </c>
      <c r="K51" s="51" t="s">
        <v>799</v>
      </c>
      <c r="L51" s="51" t="s">
        <v>799</v>
      </c>
      <c r="M51" s="51" t="s">
        <v>799</v>
      </c>
      <c r="N51" s="51" t="s">
        <v>293</v>
      </c>
      <c r="O51" s="51" t="s">
        <v>799</v>
      </c>
      <c r="P51" s="51" t="s">
        <v>293</v>
      </c>
      <c r="Q51" s="67">
        <v>45686</v>
      </c>
      <c r="R51" s="52"/>
      <c r="S51" s="69"/>
      <c r="T51" s="88"/>
      <c r="U51" s="103" t="s">
        <v>837</v>
      </c>
    </row>
    <row r="52" spans="2:22" ht="28.2" customHeight="1" x14ac:dyDescent="0.35">
      <c r="B52" s="126"/>
      <c r="C52" s="128" t="s">
        <v>608</v>
      </c>
      <c r="D52" s="393" t="s">
        <v>484</v>
      </c>
      <c r="E52" s="97">
        <f t="shared" si="0"/>
        <v>49</v>
      </c>
      <c r="F52" s="98" t="s">
        <v>612</v>
      </c>
      <c r="G52" s="99" t="s">
        <v>610</v>
      </c>
      <c r="H52" s="53" t="s">
        <v>293</v>
      </c>
      <c r="I52" s="53" t="s">
        <v>293</v>
      </c>
      <c r="J52" s="53" t="s">
        <v>293</v>
      </c>
      <c r="K52" s="53" t="s">
        <v>293</v>
      </c>
      <c r="L52" s="53" t="s">
        <v>293</v>
      </c>
      <c r="M52" s="53" t="s">
        <v>293</v>
      </c>
      <c r="N52" s="53" t="s">
        <v>293</v>
      </c>
      <c r="O52" s="53" t="s">
        <v>293</v>
      </c>
      <c r="P52" s="53" t="s">
        <v>293</v>
      </c>
      <c r="Q52" s="68"/>
      <c r="R52" s="54"/>
      <c r="S52" s="70"/>
      <c r="T52" s="361"/>
      <c r="U52" s="392" t="s">
        <v>780</v>
      </c>
      <c r="V52" s="130"/>
    </row>
    <row r="53" spans="2:22" ht="28.2" customHeight="1" x14ac:dyDescent="0.35">
      <c r="B53" s="126"/>
      <c r="C53" s="291"/>
      <c r="D53" s="294" t="s">
        <v>613</v>
      </c>
      <c r="E53" s="246">
        <f t="shared" si="0"/>
        <v>50</v>
      </c>
      <c r="F53" s="100" t="s">
        <v>504</v>
      </c>
      <c r="G53" s="94" t="s">
        <v>614</v>
      </c>
      <c r="H53" s="51" t="s">
        <v>799</v>
      </c>
      <c r="I53" s="51" t="s">
        <v>293</v>
      </c>
      <c r="J53" s="51" t="s">
        <v>293</v>
      </c>
      <c r="K53" s="51" t="s">
        <v>799</v>
      </c>
      <c r="L53" s="51" t="s">
        <v>799</v>
      </c>
      <c r="M53" s="51" t="s">
        <v>799</v>
      </c>
      <c r="N53" s="51" t="s">
        <v>293</v>
      </c>
      <c r="O53" s="51" t="s">
        <v>799</v>
      </c>
      <c r="P53" s="51" t="s">
        <v>293</v>
      </c>
      <c r="Q53" s="67">
        <v>45687</v>
      </c>
      <c r="R53" s="52"/>
      <c r="S53" s="69"/>
      <c r="T53" s="88"/>
      <c r="U53" s="103" t="s">
        <v>848</v>
      </c>
    </row>
    <row r="54" spans="2:22" ht="28.8" customHeight="1" x14ac:dyDescent="0.35">
      <c r="B54" s="126"/>
      <c r="C54" s="127"/>
      <c r="D54" s="242"/>
      <c r="E54" s="246">
        <f t="shared" si="0"/>
        <v>51</v>
      </c>
      <c r="F54" s="100" t="s">
        <v>491</v>
      </c>
      <c r="G54" s="94" t="s">
        <v>615</v>
      </c>
      <c r="H54" s="51" t="s">
        <v>799</v>
      </c>
      <c r="I54" s="51" t="s">
        <v>293</v>
      </c>
      <c r="J54" s="51" t="s">
        <v>293</v>
      </c>
      <c r="K54" s="51" t="s">
        <v>799</v>
      </c>
      <c r="L54" s="51" t="s">
        <v>799</v>
      </c>
      <c r="M54" s="51" t="s">
        <v>799</v>
      </c>
      <c r="N54" s="51" t="s">
        <v>293</v>
      </c>
      <c r="O54" s="51" t="s">
        <v>799</v>
      </c>
      <c r="P54" s="51" t="s">
        <v>293</v>
      </c>
      <c r="Q54" s="67">
        <v>45687</v>
      </c>
      <c r="R54" s="52"/>
      <c r="S54" s="69"/>
      <c r="T54" s="88"/>
      <c r="U54" s="103" t="s">
        <v>847</v>
      </c>
    </row>
    <row r="55" spans="2:22" ht="28.2" customHeight="1" x14ac:dyDescent="0.35">
      <c r="B55" s="300" t="s">
        <v>513</v>
      </c>
      <c r="C55" s="316" t="s">
        <v>518</v>
      </c>
      <c r="D55" s="302" t="s">
        <v>517</v>
      </c>
      <c r="E55" s="303">
        <f t="shared" ref="E55:E72" si="1">ROW()-3</f>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1"/>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1"/>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1"/>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1"/>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1"/>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1"/>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1"/>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1"/>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129" t="s">
        <v>513</v>
      </c>
      <c r="C64" s="294" t="s">
        <v>518</v>
      </c>
      <c r="D64" s="249" t="s">
        <v>517</v>
      </c>
      <c r="E64" s="92">
        <f t="shared" si="1"/>
        <v>61</v>
      </c>
      <c r="F64" s="93" t="s">
        <v>514</v>
      </c>
      <c r="G64" s="94" t="s">
        <v>515</v>
      </c>
      <c r="H64" s="51" t="s">
        <v>799</v>
      </c>
      <c r="I64" s="51" t="s">
        <v>293</v>
      </c>
      <c r="J64" s="51" t="s">
        <v>293</v>
      </c>
      <c r="K64" s="51" t="s">
        <v>293</v>
      </c>
      <c r="L64" s="51" t="s">
        <v>799</v>
      </c>
      <c r="M64" s="51" t="s">
        <v>799</v>
      </c>
      <c r="N64" s="51" t="s">
        <v>293</v>
      </c>
      <c r="O64" s="51" t="s">
        <v>293</v>
      </c>
      <c r="P64" s="65" t="s">
        <v>293</v>
      </c>
      <c r="Q64" s="67">
        <v>45687</v>
      </c>
      <c r="R64" s="52"/>
      <c r="S64" s="69"/>
      <c r="T64" s="88"/>
      <c r="U64" s="103" t="s">
        <v>850</v>
      </c>
      <c r="V64" s="130"/>
    </row>
    <row r="65" spans="1:22" ht="48.6" customHeight="1" x14ac:dyDescent="0.35">
      <c r="B65" s="295" t="s">
        <v>528</v>
      </c>
      <c r="C65" s="127"/>
      <c r="D65" s="91" t="s">
        <v>520</v>
      </c>
      <c r="E65" s="92">
        <f t="shared" si="1"/>
        <v>62</v>
      </c>
      <c r="F65" s="93" t="s">
        <v>520</v>
      </c>
      <c r="G65" s="94" t="s">
        <v>527</v>
      </c>
      <c r="H65" s="51" t="s">
        <v>799</v>
      </c>
      <c r="I65" s="51" t="s">
        <v>293</v>
      </c>
      <c r="J65" s="51" t="s">
        <v>293</v>
      </c>
      <c r="K65" s="51" t="s">
        <v>293</v>
      </c>
      <c r="L65" s="51" t="s">
        <v>293</v>
      </c>
      <c r="M65" s="51" t="s">
        <v>293</v>
      </c>
      <c r="N65" s="51" t="s">
        <v>293</v>
      </c>
      <c r="O65" s="51" t="s">
        <v>293</v>
      </c>
      <c r="P65" s="65" t="s">
        <v>293</v>
      </c>
      <c r="Q65" s="67">
        <v>45687</v>
      </c>
      <c r="R65" s="52"/>
      <c r="S65" s="69"/>
      <c r="T65" s="88"/>
      <c r="U65" s="103" t="s">
        <v>851</v>
      </c>
      <c r="V65" s="130"/>
    </row>
    <row r="66" spans="1:22" ht="28.2" customHeight="1" x14ac:dyDescent="0.35">
      <c r="B66" s="126"/>
      <c r="C66" s="127"/>
      <c r="D66" s="91" t="s">
        <v>522</v>
      </c>
      <c r="E66" s="92">
        <f t="shared" si="1"/>
        <v>63</v>
      </c>
      <c r="F66" s="93" t="s">
        <v>530</v>
      </c>
      <c r="G66" s="94" t="s">
        <v>527</v>
      </c>
      <c r="H66" s="51" t="s">
        <v>799</v>
      </c>
      <c r="I66" s="51" t="s">
        <v>293</v>
      </c>
      <c r="J66" s="51" t="s">
        <v>293</v>
      </c>
      <c r="K66" s="51" t="s">
        <v>293</v>
      </c>
      <c r="L66" s="51" t="s">
        <v>799</v>
      </c>
      <c r="M66" s="51" t="s">
        <v>799</v>
      </c>
      <c r="N66" s="51" t="s">
        <v>293</v>
      </c>
      <c r="O66" s="51" t="s">
        <v>293</v>
      </c>
      <c r="P66" s="65" t="s">
        <v>293</v>
      </c>
      <c r="Q66" s="67">
        <v>45687</v>
      </c>
      <c r="R66" s="52"/>
      <c r="S66" s="69"/>
      <c r="T66" s="88"/>
      <c r="U66" s="103" t="s">
        <v>852</v>
      </c>
    </row>
    <row r="67" spans="1:22" ht="28.2" customHeight="1" x14ac:dyDescent="0.35">
      <c r="B67" s="126"/>
      <c r="C67" s="127"/>
      <c r="D67" s="91" t="s">
        <v>529</v>
      </c>
      <c r="E67" s="92">
        <f t="shared" si="1"/>
        <v>64</v>
      </c>
      <c r="F67" s="91" t="s">
        <v>531</v>
      </c>
      <c r="G67" s="94" t="s">
        <v>527</v>
      </c>
      <c r="H67" s="51" t="s">
        <v>799</v>
      </c>
      <c r="I67" s="51" t="s">
        <v>293</v>
      </c>
      <c r="J67" s="51" t="s">
        <v>293</v>
      </c>
      <c r="K67" s="51" t="s">
        <v>293</v>
      </c>
      <c r="L67" s="51" t="s">
        <v>293</v>
      </c>
      <c r="M67" s="51" t="s">
        <v>293</v>
      </c>
      <c r="N67" s="51" t="s">
        <v>293</v>
      </c>
      <c r="O67" s="51" t="s">
        <v>293</v>
      </c>
      <c r="P67" s="65" t="s">
        <v>293</v>
      </c>
      <c r="Q67" s="67">
        <v>45687</v>
      </c>
      <c r="R67" s="52"/>
      <c r="S67" s="69"/>
      <c r="T67" s="88"/>
      <c r="U67" s="103" t="s">
        <v>853</v>
      </c>
    </row>
    <row r="68" spans="1:22" ht="28.2" customHeight="1" x14ac:dyDescent="0.35">
      <c r="B68" s="126"/>
      <c r="C68" s="127"/>
      <c r="D68" s="91" t="s">
        <v>523</v>
      </c>
      <c r="E68" s="92">
        <f t="shared" si="1"/>
        <v>65</v>
      </c>
      <c r="F68" s="91" t="s">
        <v>532</v>
      </c>
      <c r="G68" s="94" t="s">
        <v>527</v>
      </c>
      <c r="H68" s="51" t="s">
        <v>799</v>
      </c>
      <c r="I68" s="51" t="s">
        <v>293</v>
      </c>
      <c r="J68" s="51" t="s">
        <v>293</v>
      </c>
      <c r="K68" s="51" t="s">
        <v>293</v>
      </c>
      <c r="L68" s="51" t="s">
        <v>293</v>
      </c>
      <c r="M68" s="51" t="s">
        <v>293</v>
      </c>
      <c r="N68" s="51" t="s">
        <v>293</v>
      </c>
      <c r="O68" s="51" t="s">
        <v>293</v>
      </c>
      <c r="P68" s="65" t="s">
        <v>293</v>
      </c>
      <c r="Q68" s="67">
        <v>45687</v>
      </c>
      <c r="R68" s="52"/>
      <c r="S68" s="69"/>
      <c r="T68" s="88"/>
      <c r="U68" s="103"/>
      <c r="V68" s="130"/>
    </row>
    <row r="69" spans="1:22" ht="28.2" customHeight="1" x14ac:dyDescent="0.35">
      <c r="B69" s="126"/>
      <c r="C69" s="127"/>
      <c r="D69" s="91" t="s">
        <v>524</v>
      </c>
      <c r="E69" s="92">
        <f t="shared" si="1"/>
        <v>66</v>
      </c>
      <c r="F69" s="91" t="s">
        <v>533</v>
      </c>
      <c r="G69" s="94" t="s">
        <v>527</v>
      </c>
      <c r="H69" s="51" t="s">
        <v>799</v>
      </c>
      <c r="I69" s="51" t="s">
        <v>293</v>
      </c>
      <c r="J69" s="51" t="s">
        <v>293</v>
      </c>
      <c r="K69" s="51" t="s">
        <v>293</v>
      </c>
      <c r="L69" s="51" t="s">
        <v>293</v>
      </c>
      <c r="M69" s="51" t="s">
        <v>293</v>
      </c>
      <c r="N69" s="51" t="s">
        <v>293</v>
      </c>
      <c r="O69" s="51" t="s">
        <v>293</v>
      </c>
      <c r="P69" s="65" t="s">
        <v>293</v>
      </c>
      <c r="Q69" s="67">
        <v>45687</v>
      </c>
      <c r="R69" s="52"/>
      <c r="S69" s="69"/>
      <c r="T69" s="88"/>
      <c r="U69" s="103" t="s">
        <v>854</v>
      </c>
      <c r="V69" s="130"/>
    </row>
    <row r="70" spans="1:22" ht="37.799999999999997" customHeight="1" x14ac:dyDescent="0.35">
      <c r="B70" s="126"/>
      <c r="C70" s="127"/>
      <c r="D70" s="96" t="s">
        <v>525</v>
      </c>
      <c r="E70" s="97">
        <f t="shared" si="1"/>
        <v>67</v>
      </c>
      <c r="F70" s="96" t="s">
        <v>534</v>
      </c>
      <c r="G70" s="99" t="s">
        <v>527</v>
      </c>
      <c r="H70" s="53" t="s">
        <v>799</v>
      </c>
      <c r="I70" s="53" t="s">
        <v>293</v>
      </c>
      <c r="J70" s="53" t="s">
        <v>293</v>
      </c>
      <c r="K70" s="53" t="s">
        <v>293</v>
      </c>
      <c r="L70" s="53" t="s">
        <v>293</v>
      </c>
      <c r="M70" s="53" t="s">
        <v>293</v>
      </c>
      <c r="N70" s="53" t="s">
        <v>293</v>
      </c>
      <c r="O70" s="53" t="s">
        <v>293</v>
      </c>
      <c r="P70" s="66" t="s">
        <v>293</v>
      </c>
      <c r="Q70" s="68">
        <v>45687</v>
      </c>
      <c r="R70" s="54"/>
      <c r="S70" s="70"/>
      <c r="T70" s="361"/>
      <c r="U70" s="105" t="s">
        <v>266</v>
      </c>
    </row>
    <row r="71" spans="1:22" ht="28.2" customHeight="1" x14ac:dyDescent="0.35">
      <c r="B71" s="126"/>
      <c r="C71" s="127"/>
      <c r="D71" s="91" t="s">
        <v>519</v>
      </c>
      <c r="E71" s="92">
        <f t="shared" si="1"/>
        <v>68</v>
      </c>
      <c r="F71" s="91" t="s">
        <v>521</v>
      </c>
      <c r="G71" s="94" t="s">
        <v>527</v>
      </c>
      <c r="H71" s="51" t="s">
        <v>799</v>
      </c>
      <c r="I71" s="51" t="s">
        <v>293</v>
      </c>
      <c r="J71" s="51" t="s">
        <v>293</v>
      </c>
      <c r="K71" s="51" t="s">
        <v>293</v>
      </c>
      <c r="L71" s="51" t="s">
        <v>293</v>
      </c>
      <c r="M71" s="51" t="s">
        <v>293</v>
      </c>
      <c r="N71" s="51" t="s">
        <v>293</v>
      </c>
      <c r="O71" s="51" t="s">
        <v>293</v>
      </c>
      <c r="P71" s="65" t="s">
        <v>293</v>
      </c>
      <c r="Q71" s="67">
        <v>45687</v>
      </c>
      <c r="R71" s="52"/>
      <c r="S71" s="69"/>
      <c r="T71" s="88"/>
      <c r="U71" s="103" t="s">
        <v>855</v>
      </c>
    </row>
    <row r="72" spans="1:22" ht="36" customHeight="1" x14ac:dyDescent="0.35">
      <c r="B72" s="126"/>
      <c r="C72" s="127"/>
      <c r="D72" s="91" t="s">
        <v>526</v>
      </c>
      <c r="E72" s="92">
        <f t="shared" si="1"/>
        <v>69</v>
      </c>
      <c r="F72" s="91" t="s">
        <v>535</v>
      </c>
      <c r="G72" s="94" t="s">
        <v>617</v>
      </c>
      <c r="H72" s="51" t="s">
        <v>293</v>
      </c>
      <c r="I72" s="51" t="s">
        <v>293</v>
      </c>
      <c r="J72" s="51" t="s">
        <v>293</v>
      </c>
      <c r="K72" s="51" t="s">
        <v>799</v>
      </c>
      <c r="L72" s="51" t="s">
        <v>293</v>
      </c>
      <c r="M72" s="51" t="s">
        <v>293</v>
      </c>
      <c r="N72" s="51" t="s">
        <v>293</v>
      </c>
      <c r="O72" s="51" t="s">
        <v>293</v>
      </c>
      <c r="P72" s="65" t="s">
        <v>293</v>
      </c>
      <c r="Q72" s="67">
        <v>45687</v>
      </c>
      <c r="R72" s="52"/>
      <c r="S72" s="69"/>
      <c r="T72" s="88"/>
      <c r="U72" s="103"/>
    </row>
    <row r="73" spans="1:22" ht="28.2" customHeight="1" thickBot="1" x14ac:dyDescent="0.4">
      <c r="B73" s="332"/>
      <c r="C73" s="128"/>
      <c r="D73" s="159"/>
      <c r="E73" s="160"/>
      <c r="F73" s="161"/>
      <c r="G73" s="162"/>
      <c r="H73" s="83" t="s">
        <v>293</v>
      </c>
      <c r="I73" s="56" t="s">
        <v>293</v>
      </c>
      <c r="J73" s="56" t="s">
        <v>293</v>
      </c>
      <c r="K73" s="55" t="s">
        <v>293</v>
      </c>
      <c r="L73" s="56" t="s">
        <v>293</v>
      </c>
      <c r="M73" s="56" t="s">
        <v>293</v>
      </c>
      <c r="N73" s="55" t="s">
        <v>293</v>
      </c>
      <c r="O73" s="55" t="s">
        <v>293</v>
      </c>
      <c r="P73" s="75" t="s">
        <v>293</v>
      </c>
      <c r="Q73" s="76"/>
      <c r="R73" s="57"/>
      <c r="S73" s="77"/>
      <c r="T73" s="73"/>
      <c r="U73" s="107"/>
    </row>
    <row r="74" spans="1:22" ht="18" customHeight="1" x14ac:dyDescent="0.35">
      <c r="B74" s="556" t="s">
        <v>70</v>
      </c>
      <c r="C74" s="557"/>
      <c r="D74" s="557">
        <f>SUM(H76:P76)</f>
        <v>135</v>
      </c>
      <c r="E74" s="163"/>
      <c r="F74" s="483"/>
      <c r="G74" s="269" t="s">
        <v>275</v>
      </c>
      <c r="H74" s="166">
        <f t="shared" ref="H74:P74" si="2">COUNTIF(H4:H73,"●")+COUNTIF(H4:H73,"■")+COUNTIF(H4:H73,"OK")</f>
        <v>42</v>
      </c>
      <c r="I74" s="166">
        <f t="shared" si="2"/>
        <v>0</v>
      </c>
      <c r="J74" s="166">
        <f t="shared" si="2"/>
        <v>0</v>
      </c>
      <c r="K74" s="166">
        <f t="shared" si="2"/>
        <v>6</v>
      </c>
      <c r="L74" s="166">
        <f t="shared" si="2"/>
        <v>35</v>
      </c>
      <c r="M74" s="166">
        <f t="shared" si="2"/>
        <v>35</v>
      </c>
      <c r="N74" s="166">
        <f t="shared" si="2"/>
        <v>0</v>
      </c>
      <c r="O74" s="166">
        <f t="shared" si="2"/>
        <v>17</v>
      </c>
      <c r="P74" s="166">
        <f t="shared" si="2"/>
        <v>0</v>
      </c>
      <c r="Q74" s="571" t="s">
        <v>69</v>
      </c>
      <c r="R74" s="571"/>
      <c r="S74" s="571"/>
      <c r="T74" s="167"/>
      <c r="U74" s="168"/>
    </row>
    <row r="75" spans="1:22" ht="18" customHeight="1" x14ac:dyDescent="0.35">
      <c r="B75" s="558"/>
      <c r="C75" s="559"/>
      <c r="D75" s="559"/>
      <c r="E75" s="58"/>
      <c r="F75" s="484"/>
      <c r="G75" s="270" t="s">
        <v>274</v>
      </c>
      <c r="H75" s="78">
        <f>COUNTIF(H4:H73,"×")+COUNTIF(H4:H73,"NG")</f>
        <v>0</v>
      </c>
      <c r="I75" s="79">
        <f t="shared" ref="I75:P75" si="3">COUNTIF(I55:I73,"×")+COUNTIF(I55:I73,"NG")</f>
        <v>0</v>
      </c>
      <c r="J75" s="79">
        <f t="shared" si="3"/>
        <v>0</v>
      </c>
      <c r="K75" s="79">
        <f t="shared" si="3"/>
        <v>0</v>
      </c>
      <c r="L75" s="79">
        <f t="shared" si="3"/>
        <v>0</v>
      </c>
      <c r="M75" s="79">
        <f t="shared" si="3"/>
        <v>0</v>
      </c>
      <c r="N75" s="79">
        <f t="shared" si="3"/>
        <v>0</v>
      </c>
      <c r="O75" s="79">
        <f t="shared" si="3"/>
        <v>0</v>
      </c>
      <c r="P75" s="80">
        <f t="shared" si="3"/>
        <v>0</v>
      </c>
      <c r="Q75" s="572"/>
      <c r="R75" s="572"/>
      <c r="S75" s="572"/>
      <c r="T75" s="74"/>
      <c r="U75" s="108"/>
    </row>
    <row r="76" spans="1:22" ht="18" customHeight="1" x14ac:dyDescent="0.35">
      <c r="B76" s="560" t="s">
        <v>67</v>
      </c>
      <c r="C76" s="561"/>
      <c r="D76" s="561">
        <f>SUM(H77:P77)</f>
        <v>159</v>
      </c>
      <c r="E76" s="48"/>
      <c r="F76" s="49"/>
      <c r="G76" s="270" t="s">
        <v>68</v>
      </c>
      <c r="H76" s="78">
        <f t="shared" ref="H76:P76" si="4">H74+H75</f>
        <v>42</v>
      </c>
      <c r="I76" s="79">
        <f t="shared" si="4"/>
        <v>0</v>
      </c>
      <c r="J76" s="79">
        <f t="shared" si="4"/>
        <v>0</v>
      </c>
      <c r="K76" s="79">
        <f t="shared" si="4"/>
        <v>6</v>
      </c>
      <c r="L76" s="79">
        <f t="shared" si="4"/>
        <v>35</v>
      </c>
      <c r="M76" s="79">
        <f t="shared" si="4"/>
        <v>35</v>
      </c>
      <c r="N76" s="79">
        <f t="shared" si="4"/>
        <v>0</v>
      </c>
      <c r="O76" s="79">
        <f t="shared" si="4"/>
        <v>17</v>
      </c>
      <c r="P76" s="80">
        <f t="shared" si="4"/>
        <v>0</v>
      </c>
      <c r="Q76" s="573">
        <f>COUNTA(Q4:Q73)</f>
        <v>43</v>
      </c>
      <c r="R76" s="573">
        <f>COUNTA(R4:R73)</f>
        <v>0</v>
      </c>
      <c r="S76" s="573">
        <f>COUNTA(S4:S73)</f>
        <v>0</v>
      </c>
      <c r="T76" s="74"/>
      <c r="U76" s="108"/>
    </row>
    <row r="77" spans="1:22" ht="18" customHeight="1" thickBot="1" x14ac:dyDescent="0.4">
      <c r="A77" s="122"/>
      <c r="B77" s="562"/>
      <c r="C77" s="563"/>
      <c r="D77" s="563"/>
      <c r="E77" s="109"/>
      <c r="F77" s="110"/>
      <c r="G77" s="271" t="s">
        <v>66</v>
      </c>
      <c r="H77" s="112">
        <f t="shared" ref="H77:P77" si="5">COUNTBLANK(H4:H73)+H76+COUNTIF(H4:H73,"□")</f>
        <v>50</v>
      </c>
      <c r="I77" s="113">
        <f t="shared" si="5"/>
        <v>0</v>
      </c>
      <c r="J77" s="112">
        <f t="shared" si="5"/>
        <v>0</v>
      </c>
      <c r="K77" s="113">
        <f t="shared" si="5"/>
        <v>6</v>
      </c>
      <c r="L77" s="112">
        <f t="shared" si="5"/>
        <v>43</v>
      </c>
      <c r="M77" s="113">
        <f t="shared" si="5"/>
        <v>43</v>
      </c>
      <c r="N77" s="112">
        <f t="shared" si="5"/>
        <v>0</v>
      </c>
      <c r="O77" s="113">
        <f t="shared" si="5"/>
        <v>17</v>
      </c>
      <c r="P77" s="112">
        <f t="shared" si="5"/>
        <v>0</v>
      </c>
      <c r="Q77" s="574"/>
      <c r="R77" s="574"/>
      <c r="S77" s="574"/>
      <c r="T77" s="115"/>
      <c r="U77" s="116"/>
    </row>
    <row r="78" spans="1:22" ht="24" customHeight="1" x14ac:dyDescent="0.35">
      <c r="F78" s="63"/>
      <c r="G78" s="63"/>
    </row>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4" activePane="bottomLeft" state="frozen"/>
      <selection activeCell="D17" sqref="D17"/>
      <selection pane="bottomLeft"/>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643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4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647</v>
      </c>
      <c r="C4" s="127" t="s">
        <v>484</v>
      </c>
      <c r="D4" s="242"/>
      <c r="E4" s="243">
        <f>ROW()-3</f>
        <v>1</v>
      </c>
      <c r="F4" s="244" t="s">
        <v>489</v>
      </c>
      <c r="G4" s="90" t="s">
        <v>490</v>
      </c>
      <c r="H4" s="352" t="s">
        <v>712</v>
      </c>
      <c r="I4" s="350" t="s">
        <v>293</v>
      </c>
      <c r="J4" s="352" t="s">
        <v>293</v>
      </c>
      <c r="K4" s="352" t="s">
        <v>712</v>
      </c>
      <c r="L4" s="352" t="s">
        <v>712</v>
      </c>
      <c r="M4" s="352" t="s">
        <v>712</v>
      </c>
      <c r="N4" s="350" t="s">
        <v>293</v>
      </c>
      <c r="O4" s="350" t="s">
        <v>293</v>
      </c>
      <c r="P4" s="353" t="s">
        <v>293</v>
      </c>
      <c r="Q4" s="86"/>
      <c r="R4" s="62"/>
      <c r="S4" s="87"/>
      <c r="T4" s="88"/>
      <c r="U4" s="102"/>
    </row>
    <row r="5" spans="1:22" ht="28.2" customHeight="1" x14ac:dyDescent="0.35">
      <c r="B5" s="126" t="s">
        <v>564</v>
      </c>
      <c r="C5" s="247" t="s">
        <v>485</v>
      </c>
      <c r="D5" s="242" t="s">
        <v>486</v>
      </c>
      <c r="E5" s="246">
        <f t="shared" ref="E5:E68" si="0">ROW()-3</f>
        <v>2</v>
      </c>
      <c r="F5" s="100" t="s">
        <v>491</v>
      </c>
      <c r="G5" s="94" t="s">
        <v>493</v>
      </c>
      <c r="H5" s="352" t="s">
        <v>712</v>
      </c>
      <c r="I5" s="356" t="s">
        <v>293</v>
      </c>
      <c r="J5" s="356" t="s">
        <v>293</v>
      </c>
      <c r="K5" s="352" t="s">
        <v>712</v>
      </c>
      <c r="L5" s="352" t="s">
        <v>712</v>
      </c>
      <c r="M5" s="352" t="s">
        <v>712</v>
      </c>
      <c r="N5" s="352" t="s">
        <v>293</v>
      </c>
      <c r="O5" s="356" t="s">
        <v>293</v>
      </c>
      <c r="P5" s="357" t="s">
        <v>293</v>
      </c>
      <c r="Q5" s="86"/>
      <c r="R5" s="62"/>
      <c r="S5" s="87"/>
      <c r="T5" s="88"/>
      <c r="U5" s="103"/>
    </row>
    <row r="6" spans="1:22" ht="28.2" customHeight="1" x14ac:dyDescent="0.35">
      <c r="B6" s="126"/>
      <c r="C6" s="291" t="s">
        <v>483</v>
      </c>
      <c r="D6" s="391" t="s">
        <v>571</v>
      </c>
      <c r="E6" s="97">
        <f t="shared" si="0"/>
        <v>3</v>
      </c>
      <c r="F6" s="98" t="s">
        <v>492</v>
      </c>
      <c r="G6" s="99" t="s">
        <v>497</v>
      </c>
      <c r="H6" s="66" t="s">
        <v>293</v>
      </c>
      <c r="I6" s="53" t="s">
        <v>293</v>
      </c>
      <c r="J6" s="53" t="s">
        <v>293</v>
      </c>
      <c r="K6" s="53" t="s">
        <v>293</v>
      </c>
      <c r="L6" s="53" t="s">
        <v>293</v>
      </c>
      <c r="M6" s="53" t="s">
        <v>293</v>
      </c>
      <c r="N6" s="53" t="s">
        <v>293</v>
      </c>
      <c r="O6" s="53" t="s">
        <v>293</v>
      </c>
      <c r="P6" s="66" t="s">
        <v>293</v>
      </c>
      <c r="Q6" s="68"/>
      <c r="R6" s="54"/>
      <c r="S6" s="70"/>
      <c r="T6" s="361"/>
      <c r="U6" s="392" t="s">
        <v>688</v>
      </c>
    </row>
    <row r="7" spans="1:22" ht="28.2" customHeight="1" x14ac:dyDescent="0.35">
      <c r="B7" s="126"/>
      <c r="C7" s="334"/>
      <c r="D7" s="242" t="s">
        <v>572</v>
      </c>
      <c r="E7" s="246">
        <f t="shared" si="0"/>
        <v>4</v>
      </c>
      <c r="F7" s="100" t="s">
        <v>581</v>
      </c>
      <c r="G7" s="94" t="s">
        <v>497</v>
      </c>
      <c r="H7" s="352" t="s">
        <v>712</v>
      </c>
      <c r="I7" s="356" t="s">
        <v>293</v>
      </c>
      <c r="J7" s="356" t="s">
        <v>293</v>
      </c>
      <c r="K7" s="356" t="s">
        <v>293</v>
      </c>
      <c r="L7" s="352" t="s">
        <v>712</v>
      </c>
      <c r="M7" s="352" t="s">
        <v>712</v>
      </c>
      <c r="N7" s="356" t="s">
        <v>293</v>
      </c>
      <c r="O7" s="356" t="s">
        <v>293</v>
      </c>
      <c r="P7" s="357" t="s">
        <v>293</v>
      </c>
      <c r="Q7" s="86"/>
      <c r="R7" s="62"/>
      <c r="S7" s="87"/>
      <c r="T7" s="88"/>
      <c r="U7" s="104"/>
    </row>
    <row r="8" spans="1:22" ht="26.4" x14ac:dyDescent="0.35">
      <c r="B8" s="126"/>
      <c r="C8" s="335"/>
      <c r="D8" s="242" t="s">
        <v>579</v>
      </c>
      <c r="E8" s="246">
        <f t="shared" si="0"/>
        <v>5</v>
      </c>
      <c r="F8" s="100" t="s">
        <v>580</v>
      </c>
      <c r="G8" s="94" t="s">
        <v>497</v>
      </c>
      <c r="H8" s="352" t="s">
        <v>712</v>
      </c>
      <c r="I8" s="356" t="s">
        <v>293</v>
      </c>
      <c r="J8" s="356" t="s">
        <v>293</v>
      </c>
      <c r="K8" s="356" t="s">
        <v>293</v>
      </c>
      <c r="L8" s="352" t="s">
        <v>712</v>
      </c>
      <c r="M8" s="352" t="s">
        <v>712</v>
      </c>
      <c r="N8" s="356" t="s">
        <v>293</v>
      </c>
      <c r="O8" s="356" t="s">
        <v>293</v>
      </c>
      <c r="P8" s="357" t="s">
        <v>293</v>
      </c>
      <c r="Q8" s="86"/>
      <c r="R8" s="62"/>
      <c r="S8" s="87"/>
      <c r="T8" s="88"/>
      <c r="U8" s="103"/>
    </row>
    <row r="9" spans="1:22" ht="28.2" customHeight="1" x14ac:dyDescent="0.35">
      <c r="B9" s="126"/>
      <c r="C9" s="334"/>
      <c r="D9" s="242" t="s">
        <v>574</v>
      </c>
      <c r="E9" s="246">
        <f t="shared" si="0"/>
        <v>6</v>
      </c>
      <c r="F9" s="100" t="s">
        <v>492</v>
      </c>
      <c r="G9" s="94" t="s">
        <v>497</v>
      </c>
      <c r="H9" s="352" t="s">
        <v>712</v>
      </c>
      <c r="I9" s="356" t="s">
        <v>293</v>
      </c>
      <c r="J9" s="356" t="s">
        <v>293</v>
      </c>
      <c r="K9" s="356" t="s">
        <v>293</v>
      </c>
      <c r="L9" s="352" t="s">
        <v>712</v>
      </c>
      <c r="M9" s="352" t="s">
        <v>712</v>
      </c>
      <c r="N9" s="356" t="s">
        <v>293</v>
      </c>
      <c r="O9" s="356" t="s">
        <v>293</v>
      </c>
      <c r="P9" s="357" t="s">
        <v>293</v>
      </c>
      <c r="Q9" s="86"/>
      <c r="R9" s="62"/>
      <c r="S9" s="87"/>
      <c r="T9" s="88"/>
      <c r="U9" s="104" t="s">
        <v>715</v>
      </c>
    </row>
    <row r="10" spans="1:22" ht="28.2" customHeight="1" x14ac:dyDescent="0.35">
      <c r="B10" s="126"/>
      <c r="C10" s="127"/>
      <c r="D10" s="242" t="s">
        <v>576</v>
      </c>
      <c r="E10" s="246">
        <f t="shared" si="0"/>
        <v>7</v>
      </c>
      <c r="F10" s="100" t="s">
        <v>580</v>
      </c>
      <c r="G10" s="94" t="s">
        <v>497</v>
      </c>
      <c r="H10" s="352" t="s">
        <v>712</v>
      </c>
      <c r="I10" s="356" t="s">
        <v>293</v>
      </c>
      <c r="J10" s="356" t="s">
        <v>293</v>
      </c>
      <c r="K10" s="356" t="s">
        <v>293</v>
      </c>
      <c r="L10" s="352" t="s">
        <v>712</v>
      </c>
      <c r="M10" s="352" t="s">
        <v>712</v>
      </c>
      <c r="N10" s="405" t="s">
        <v>293</v>
      </c>
      <c r="O10" s="405" t="s">
        <v>293</v>
      </c>
      <c r="P10" s="409" t="s">
        <v>293</v>
      </c>
      <c r="Q10" s="86"/>
      <c r="R10" s="62"/>
      <c r="S10" s="87"/>
      <c r="T10" s="88"/>
      <c r="U10" s="408"/>
    </row>
    <row r="11" spans="1:22" ht="28.2" customHeight="1" x14ac:dyDescent="0.35">
      <c r="B11" s="126"/>
      <c r="C11" s="128" t="s">
        <v>487</v>
      </c>
      <c r="D11" s="391" t="s">
        <v>571</v>
      </c>
      <c r="E11" s="97">
        <f t="shared" si="0"/>
        <v>8</v>
      </c>
      <c r="F11" s="98" t="s">
        <v>495</v>
      </c>
      <c r="G11" s="99" t="s">
        <v>498</v>
      </c>
      <c r="H11" s="306" t="s">
        <v>293</v>
      </c>
      <c r="I11" s="306" t="s">
        <v>293</v>
      </c>
      <c r="J11" s="306" t="s">
        <v>293</v>
      </c>
      <c r="K11" s="306" t="s">
        <v>293</v>
      </c>
      <c r="L11" s="306" t="s">
        <v>293</v>
      </c>
      <c r="M11" s="306" t="s">
        <v>293</v>
      </c>
      <c r="N11" s="53" t="s">
        <v>293</v>
      </c>
      <c r="O11" s="53" t="s">
        <v>293</v>
      </c>
      <c r="P11" s="66" t="s">
        <v>293</v>
      </c>
      <c r="Q11" s="68"/>
      <c r="R11" s="54"/>
      <c r="S11" s="70"/>
      <c r="T11" s="361"/>
      <c r="U11" s="392" t="s">
        <v>688</v>
      </c>
      <c r="V11" s="130"/>
    </row>
    <row r="12" spans="1:22" ht="28.2" customHeight="1" x14ac:dyDescent="0.35">
      <c r="B12" s="126"/>
      <c r="C12" s="291"/>
      <c r="D12" s="242" t="s">
        <v>572</v>
      </c>
      <c r="E12" s="246">
        <f t="shared" si="0"/>
        <v>9</v>
      </c>
      <c r="F12" s="100" t="s">
        <v>585</v>
      </c>
      <c r="G12" s="94" t="s">
        <v>498</v>
      </c>
      <c r="H12" s="352" t="s">
        <v>712</v>
      </c>
      <c r="I12" s="356" t="s">
        <v>293</v>
      </c>
      <c r="J12" s="356" t="s">
        <v>293</v>
      </c>
      <c r="K12" s="356" t="s">
        <v>293</v>
      </c>
      <c r="L12" s="352" t="s">
        <v>712</v>
      </c>
      <c r="M12" s="352" t="s">
        <v>712</v>
      </c>
      <c r="N12" s="356" t="s">
        <v>293</v>
      </c>
      <c r="O12" s="356" t="s">
        <v>293</v>
      </c>
      <c r="P12" s="357" t="s">
        <v>293</v>
      </c>
      <c r="Q12" s="86"/>
      <c r="R12" s="62"/>
      <c r="S12" s="87"/>
      <c r="T12" s="88"/>
      <c r="U12" s="103"/>
    </row>
    <row r="13" spans="1:22" ht="28.8" customHeight="1" x14ac:dyDescent="0.35">
      <c r="B13" s="126"/>
      <c r="C13" s="127"/>
      <c r="D13" s="242" t="s">
        <v>579</v>
      </c>
      <c r="E13" s="246">
        <f t="shared" si="0"/>
        <v>10</v>
      </c>
      <c r="F13" s="100" t="s">
        <v>586</v>
      </c>
      <c r="G13" s="94" t="s">
        <v>498</v>
      </c>
      <c r="H13" s="352" t="s">
        <v>712</v>
      </c>
      <c r="I13" s="356" t="s">
        <v>293</v>
      </c>
      <c r="J13" s="356" t="s">
        <v>293</v>
      </c>
      <c r="K13" s="356" t="s">
        <v>293</v>
      </c>
      <c r="L13" s="352" t="s">
        <v>712</v>
      </c>
      <c r="M13" s="352" t="s">
        <v>712</v>
      </c>
      <c r="N13" s="356" t="s">
        <v>293</v>
      </c>
      <c r="O13" s="356" t="s">
        <v>293</v>
      </c>
      <c r="P13" s="357" t="s">
        <v>293</v>
      </c>
      <c r="Q13" s="86"/>
      <c r="R13" s="62"/>
      <c r="S13" s="87"/>
      <c r="T13" s="88"/>
      <c r="U13" s="103"/>
    </row>
    <row r="14" spans="1:22" ht="28.2" customHeight="1" x14ac:dyDescent="0.35">
      <c r="B14" s="126"/>
      <c r="C14" s="291"/>
      <c r="D14" s="242" t="s">
        <v>574</v>
      </c>
      <c r="E14" s="246">
        <f t="shared" si="0"/>
        <v>11</v>
      </c>
      <c r="F14" s="100" t="s">
        <v>495</v>
      </c>
      <c r="G14" s="94" t="s">
        <v>498</v>
      </c>
      <c r="H14" s="352" t="s">
        <v>712</v>
      </c>
      <c r="I14" s="356" t="s">
        <v>293</v>
      </c>
      <c r="J14" s="356" t="s">
        <v>293</v>
      </c>
      <c r="K14" s="356" t="s">
        <v>293</v>
      </c>
      <c r="L14" s="352" t="s">
        <v>712</v>
      </c>
      <c r="M14" s="352" t="s">
        <v>712</v>
      </c>
      <c r="N14" s="356" t="s">
        <v>293</v>
      </c>
      <c r="O14" s="356" t="s">
        <v>293</v>
      </c>
      <c r="P14" s="357" t="s">
        <v>293</v>
      </c>
      <c r="Q14" s="86"/>
      <c r="R14" s="62"/>
      <c r="S14" s="87"/>
      <c r="T14" s="88"/>
      <c r="U14" s="104" t="s">
        <v>717</v>
      </c>
      <c r="V14" s="130"/>
    </row>
    <row r="15" spans="1:22" ht="28.2" customHeight="1" x14ac:dyDescent="0.35">
      <c r="B15" s="126"/>
      <c r="C15" s="291"/>
      <c r="D15" s="242" t="s">
        <v>576</v>
      </c>
      <c r="E15" s="246">
        <f t="shared" si="0"/>
        <v>12</v>
      </c>
      <c r="F15" s="100" t="s">
        <v>586</v>
      </c>
      <c r="G15" s="94" t="s">
        <v>498</v>
      </c>
      <c r="H15" s="352" t="s">
        <v>712</v>
      </c>
      <c r="I15" s="356" t="s">
        <v>293</v>
      </c>
      <c r="J15" s="356" t="s">
        <v>293</v>
      </c>
      <c r="K15" s="356" t="s">
        <v>293</v>
      </c>
      <c r="L15" s="352" t="s">
        <v>712</v>
      </c>
      <c r="M15" s="352" t="s">
        <v>712</v>
      </c>
      <c r="N15" s="356" t="s">
        <v>293</v>
      </c>
      <c r="O15" s="356" t="s">
        <v>293</v>
      </c>
      <c r="P15" s="357" t="s">
        <v>293</v>
      </c>
      <c r="Q15" s="86"/>
      <c r="R15" s="62"/>
      <c r="S15" s="87"/>
      <c r="T15" s="88"/>
      <c r="U15" s="103"/>
    </row>
    <row r="16" spans="1:22" ht="28.2" customHeight="1" x14ac:dyDescent="0.35">
      <c r="B16" s="126"/>
      <c r="C16" s="128" t="s">
        <v>488</v>
      </c>
      <c r="D16" s="291" t="s">
        <v>494</v>
      </c>
      <c r="E16" s="246">
        <f t="shared" si="0"/>
        <v>13</v>
      </c>
      <c r="F16" s="100" t="s">
        <v>587</v>
      </c>
      <c r="G16" s="94" t="s">
        <v>499</v>
      </c>
      <c r="H16" s="352" t="s">
        <v>712</v>
      </c>
      <c r="I16" s="356" t="s">
        <v>293</v>
      </c>
      <c r="J16" s="356" t="s">
        <v>293</v>
      </c>
      <c r="K16" s="356" t="s">
        <v>293</v>
      </c>
      <c r="L16" s="352" t="s">
        <v>712</v>
      </c>
      <c r="M16" s="352" t="s">
        <v>712</v>
      </c>
      <c r="N16" s="356" t="s">
        <v>293</v>
      </c>
      <c r="O16" s="356" t="s">
        <v>293</v>
      </c>
      <c r="P16" s="357" t="s">
        <v>293</v>
      </c>
      <c r="Q16" s="86"/>
      <c r="R16" s="62"/>
      <c r="S16" s="87"/>
      <c r="T16" s="88"/>
      <c r="U16" s="104"/>
    </row>
    <row r="17" spans="2:22" ht="28.2" customHeight="1" x14ac:dyDescent="0.35">
      <c r="B17" s="126"/>
      <c r="C17" s="291"/>
      <c r="D17" s="291"/>
      <c r="E17" s="246">
        <f t="shared" si="0"/>
        <v>14</v>
      </c>
      <c r="F17" s="100" t="s">
        <v>588</v>
      </c>
      <c r="G17" s="94" t="s">
        <v>499</v>
      </c>
      <c r="H17" s="352" t="s">
        <v>712</v>
      </c>
      <c r="I17" s="356" t="s">
        <v>293</v>
      </c>
      <c r="J17" s="356" t="s">
        <v>293</v>
      </c>
      <c r="K17" s="356" t="s">
        <v>293</v>
      </c>
      <c r="L17" s="352" t="s">
        <v>712</v>
      </c>
      <c r="M17" s="352" t="s">
        <v>712</v>
      </c>
      <c r="N17" s="356" t="s">
        <v>293</v>
      </c>
      <c r="O17" s="356" t="s">
        <v>293</v>
      </c>
      <c r="P17" s="357" t="s">
        <v>293</v>
      </c>
      <c r="Q17" s="86"/>
      <c r="R17" s="62"/>
      <c r="S17" s="87"/>
      <c r="T17" s="88"/>
      <c r="U17" s="104"/>
    </row>
    <row r="18" spans="2:22" ht="28.2" customHeight="1" x14ac:dyDescent="0.35">
      <c r="B18" s="126"/>
      <c r="C18" s="291"/>
      <c r="D18" s="242"/>
      <c r="E18" s="246">
        <f t="shared" si="0"/>
        <v>15</v>
      </c>
      <c r="F18" s="100" t="s">
        <v>589</v>
      </c>
      <c r="G18" s="94" t="s">
        <v>499</v>
      </c>
      <c r="H18" s="352" t="s">
        <v>712</v>
      </c>
      <c r="I18" s="356" t="s">
        <v>293</v>
      </c>
      <c r="J18" s="356" t="s">
        <v>293</v>
      </c>
      <c r="K18" s="356" t="s">
        <v>293</v>
      </c>
      <c r="L18" s="352" t="s">
        <v>712</v>
      </c>
      <c r="M18" s="352" t="s">
        <v>712</v>
      </c>
      <c r="N18" s="356" t="s">
        <v>293</v>
      </c>
      <c r="O18" s="356" t="s">
        <v>293</v>
      </c>
      <c r="P18" s="357" t="s">
        <v>293</v>
      </c>
      <c r="Q18" s="86"/>
      <c r="R18" s="62"/>
      <c r="S18" s="87"/>
      <c r="T18" s="88"/>
      <c r="U18" s="104"/>
    </row>
    <row r="19" spans="2:22" ht="28.2" customHeight="1" x14ac:dyDescent="0.35">
      <c r="B19" s="126"/>
      <c r="C19" s="127"/>
      <c r="D19" s="291" t="s">
        <v>593</v>
      </c>
      <c r="E19" s="246">
        <f t="shared" si="0"/>
        <v>16</v>
      </c>
      <c r="F19" s="100" t="s">
        <v>595</v>
      </c>
      <c r="G19" s="94" t="s">
        <v>499</v>
      </c>
      <c r="H19" s="352" t="s">
        <v>712</v>
      </c>
      <c r="I19" s="356" t="s">
        <v>293</v>
      </c>
      <c r="J19" s="356" t="s">
        <v>293</v>
      </c>
      <c r="K19" s="356" t="s">
        <v>293</v>
      </c>
      <c r="L19" s="352" t="s">
        <v>712</v>
      </c>
      <c r="M19" s="352" t="s">
        <v>712</v>
      </c>
      <c r="N19" s="356" t="s">
        <v>293</v>
      </c>
      <c r="O19" s="356" t="s">
        <v>293</v>
      </c>
      <c r="P19" s="357" t="s">
        <v>293</v>
      </c>
      <c r="Q19" s="86"/>
      <c r="R19" s="62"/>
      <c r="S19" s="87"/>
      <c r="T19" s="88"/>
      <c r="U19" s="103"/>
    </row>
    <row r="20" spans="2:22" ht="28.2" customHeight="1" x14ac:dyDescent="0.35">
      <c r="B20" s="126"/>
      <c r="C20" s="291"/>
      <c r="D20" s="291"/>
      <c r="E20" s="246">
        <f t="shared" si="0"/>
        <v>17</v>
      </c>
      <c r="F20" s="100" t="s">
        <v>631</v>
      </c>
      <c r="G20" s="94" t="s">
        <v>499</v>
      </c>
      <c r="H20" s="352" t="s">
        <v>712</v>
      </c>
      <c r="I20" s="356" t="s">
        <v>293</v>
      </c>
      <c r="J20" s="356" t="s">
        <v>293</v>
      </c>
      <c r="K20" s="356" t="s">
        <v>293</v>
      </c>
      <c r="L20" s="352" t="s">
        <v>712</v>
      </c>
      <c r="M20" s="352" t="s">
        <v>712</v>
      </c>
      <c r="N20" s="356" t="s">
        <v>293</v>
      </c>
      <c r="O20" s="356" t="s">
        <v>293</v>
      </c>
      <c r="P20" s="357" t="s">
        <v>293</v>
      </c>
      <c r="Q20" s="86"/>
      <c r="R20" s="62"/>
      <c r="S20" s="87"/>
      <c r="T20" s="88"/>
      <c r="U20" s="104"/>
    </row>
    <row r="21" spans="2:22" ht="28.2" customHeight="1" x14ac:dyDescent="0.35">
      <c r="B21" s="126"/>
      <c r="C21" s="291"/>
      <c r="D21" s="291"/>
      <c r="E21" s="246">
        <f t="shared" si="0"/>
        <v>18</v>
      </c>
      <c r="F21" s="100" t="s">
        <v>594</v>
      </c>
      <c r="G21" s="94" t="s">
        <v>499</v>
      </c>
      <c r="H21" s="352" t="s">
        <v>712</v>
      </c>
      <c r="I21" s="356" t="s">
        <v>293</v>
      </c>
      <c r="J21" s="356" t="s">
        <v>293</v>
      </c>
      <c r="K21" s="356" t="s">
        <v>293</v>
      </c>
      <c r="L21" s="352" t="s">
        <v>712</v>
      </c>
      <c r="M21" s="352" t="s">
        <v>712</v>
      </c>
      <c r="N21" s="356" t="s">
        <v>293</v>
      </c>
      <c r="O21" s="356" t="s">
        <v>293</v>
      </c>
      <c r="P21" s="357" t="s">
        <v>293</v>
      </c>
      <c r="Q21" s="86"/>
      <c r="R21" s="62"/>
      <c r="S21" s="87"/>
      <c r="T21" s="88"/>
      <c r="U21" s="104"/>
    </row>
    <row r="22" spans="2:22" ht="28.2" customHeight="1" x14ac:dyDescent="0.35">
      <c r="B22" s="129" t="s">
        <v>563</v>
      </c>
      <c r="C22" s="247" t="s">
        <v>485</v>
      </c>
      <c r="D22" s="247" t="s">
        <v>486</v>
      </c>
      <c r="E22" s="246">
        <f t="shared" si="0"/>
        <v>19</v>
      </c>
      <c r="F22" s="100" t="s">
        <v>491</v>
      </c>
      <c r="G22" s="94" t="s">
        <v>493</v>
      </c>
      <c r="H22" s="352" t="s">
        <v>712</v>
      </c>
      <c r="I22" s="356" t="s">
        <v>293</v>
      </c>
      <c r="J22" s="356" t="s">
        <v>293</v>
      </c>
      <c r="K22" s="352" t="s">
        <v>712</v>
      </c>
      <c r="L22" s="352" t="s">
        <v>712</v>
      </c>
      <c r="M22" s="352" t="s">
        <v>712</v>
      </c>
      <c r="N22" s="356" t="s">
        <v>293</v>
      </c>
      <c r="O22" s="356" t="s">
        <v>293</v>
      </c>
      <c r="P22" s="357" t="s">
        <v>293</v>
      </c>
      <c r="Q22" s="86"/>
      <c r="R22" s="62"/>
      <c r="S22" s="87"/>
      <c r="T22" s="88"/>
      <c r="U22" s="103"/>
    </row>
    <row r="23" spans="2:22" ht="28.2" customHeight="1" x14ac:dyDescent="0.35">
      <c r="B23" s="126"/>
      <c r="C23" s="291" t="s">
        <v>483</v>
      </c>
      <c r="D23" s="391" t="s">
        <v>571</v>
      </c>
      <c r="E23" s="97">
        <f t="shared" si="0"/>
        <v>20</v>
      </c>
      <c r="F23" s="98" t="s">
        <v>492</v>
      </c>
      <c r="G23" s="99" t="s">
        <v>597</v>
      </c>
      <c r="H23" s="306" t="s">
        <v>389</v>
      </c>
      <c r="I23" s="306" t="s">
        <v>389</v>
      </c>
      <c r="J23" s="306" t="s">
        <v>293</v>
      </c>
      <c r="K23" s="306" t="s">
        <v>389</v>
      </c>
      <c r="L23" s="306" t="s">
        <v>389</v>
      </c>
      <c r="M23" s="306" t="s">
        <v>389</v>
      </c>
      <c r="N23" s="53" t="s">
        <v>293</v>
      </c>
      <c r="O23" s="53" t="s">
        <v>293</v>
      </c>
      <c r="P23" s="66" t="s">
        <v>293</v>
      </c>
      <c r="Q23" s="68"/>
      <c r="R23" s="54"/>
      <c r="S23" s="70"/>
      <c r="T23" s="361"/>
      <c r="U23" s="392" t="s">
        <v>688</v>
      </c>
    </row>
    <row r="24" spans="2:22" ht="28.2" customHeight="1" x14ac:dyDescent="0.35">
      <c r="B24" s="126"/>
      <c r="C24" s="127"/>
      <c r="D24" s="391" t="s">
        <v>577</v>
      </c>
      <c r="E24" s="97">
        <f t="shared" si="0"/>
        <v>21</v>
      </c>
      <c r="F24" s="98" t="s">
        <v>492</v>
      </c>
      <c r="G24" s="99" t="s">
        <v>597</v>
      </c>
      <c r="H24" s="82" t="s">
        <v>389</v>
      </c>
      <c r="I24" s="53" t="s">
        <v>389</v>
      </c>
      <c r="J24" s="53" t="s">
        <v>293</v>
      </c>
      <c r="K24" s="82" t="s">
        <v>389</v>
      </c>
      <c r="L24" s="82" t="s">
        <v>389</v>
      </c>
      <c r="M24" s="82" t="s">
        <v>389</v>
      </c>
      <c r="N24" s="53" t="s">
        <v>293</v>
      </c>
      <c r="O24" s="53" t="s">
        <v>293</v>
      </c>
      <c r="P24" s="66" t="s">
        <v>293</v>
      </c>
      <c r="Q24" s="395"/>
      <c r="R24" s="446"/>
      <c r="S24" s="447"/>
      <c r="T24" s="361"/>
      <c r="U24" s="392" t="s">
        <v>752</v>
      </c>
    </row>
    <row r="25" spans="2:22" ht="26.4" x14ac:dyDescent="0.35">
      <c r="B25" s="126"/>
      <c r="C25" s="127"/>
      <c r="D25" s="242" t="s">
        <v>579</v>
      </c>
      <c r="E25" s="246">
        <f t="shared" si="0"/>
        <v>22</v>
      </c>
      <c r="F25" s="100" t="s">
        <v>580</v>
      </c>
      <c r="G25" s="94" t="s">
        <v>597</v>
      </c>
      <c r="H25" s="352" t="s">
        <v>712</v>
      </c>
      <c r="I25" s="356" t="s">
        <v>293</v>
      </c>
      <c r="J25" s="356" t="s">
        <v>293</v>
      </c>
      <c r="K25" s="356" t="s">
        <v>293</v>
      </c>
      <c r="L25" s="352" t="s">
        <v>712</v>
      </c>
      <c r="M25" s="352" t="s">
        <v>712</v>
      </c>
      <c r="N25" s="356" t="s">
        <v>293</v>
      </c>
      <c r="O25" s="356" t="s">
        <v>293</v>
      </c>
      <c r="P25" s="357" t="s">
        <v>293</v>
      </c>
      <c r="Q25" s="86"/>
      <c r="R25" s="62"/>
      <c r="S25" s="87"/>
      <c r="T25" s="88"/>
      <c r="U25" s="408"/>
    </row>
    <row r="26" spans="2:22" ht="28.2" customHeight="1" x14ac:dyDescent="0.35">
      <c r="B26" s="126"/>
      <c r="C26" s="127"/>
      <c r="D26" s="242" t="s">
        <v>574</v>
      </c>
      <c r="E26" s="246">
        <f t="shared" si="0"/>
        <v>23</v>
      </c>
      <c r="F26" s="100" t="s">
        <v>492</v>
      </c>
      <c r="G26" s="94" t="s">
        <v>597</v>
      </c>
      <c r="H26" s="352" t="s">
        <v>712</v>
      </c>
      <c r="I26" s="356" t="s">
        <v>293</v>
      </c>
      <c r="J26" s="356" t="s">
        <v>293</v>
      </c>
      <c r="K26" s="356" t="s">
        <v>293</v>
      </c>
      <c r="L26" s="352" t="s">
        <v>712</v>
      </c>
      <c r="M26" s="352" t="s">
        <v>712</v>
      </c>
      <c r="N26" s="356" t="s">
        <v>293</v>
      </c>
      <c r="O26" s="356" t="s">
        <v>293</v>
      </c>
      <c r="P26" s="357" t="s">
        <v>293</v>
      </c>
      <c r="Q26" s="86"/>
      <c r="R26" s="62"/>
      <c r="S26" s="87"/>
      <c r="T26" s="88"/>
      <c r="U26" s="104"/>
    </row>
    <row r="27" spans="2:22" ht="28.2" customHeight="1" x14ac:dyDescent="0.35">
      <c r="B27" s="126"/>
      <c r="C27" s="127"/>
      <c r="D27" s="242" t="s">
        <v>576</v>
      </c>
      <c r="E27" s="246">
        <f t="shared" si="0"/>
        <v>24</v>
      </c>
      <c r="F27" s="100" t="s">
        <v>580</v>
      </c>
      <c r="G27" s="94" t="s">
        <v>597</v>
      </c>
      <c r="H27" s="352" t="s">
        <v>712</v>
      </c>
      <c r="I27" s="356" t="s">
        <v>293</v>
      </c>
      <c r="J27" s="356" t="s">
        <v>293</v>
      </c>
      <c r="K27" s="356" t="s">
        <v>293</v>
      </c>
      <c r="L27" s="352" t="s">
        <v>712</v>
      </c>
      <c r="M27" s="352" t="s">
        <v>712</v>
      </c>
      <c r="N27" s="356" t="s">
        <v>293</v>
      </c>
      <c r="O27" s="356" t="s">
        <v>293</v>
      </c>
      <c r="P27" s="357" t="s">
        <v>293</v>
      </c>
      <c r="Q27" s="86"/>
      <c r="R27" s="62"/>
      <c r="S27" s="87"/>
      <c r="T27" s="88"/>
      <c r="U27" s="408"/>
    </row>
    <row r="28" spans="2:22" ht="28.2" customHeight="1" x14ac:dyDescent="0.35">
      <c r="B28" s="126"/>
      <c r="C28" s="128" t="s">
        <v>487</v>
      </c>
      <c r="D28" s="393" t="s">
        <v>582</v>
      </c>
      <c r="E28" s="97">
        <f t="shared" si="0"/>
        <v>25</v>
      </c>
      <c r="F28" s="98" t="s">
        <v>495</v>
      </c>
      <c r="G28" s="99" t="s">
        <v>598</v>
      </c>
      <c r="H28" s="82" t="s">
        <v>675</v>
      </c>
      <c r="I28" s="53" t="s">
        <v>675</v>
      </c>
      <c r="J28" s="53" t="s">
        <v>293</v>
      </c>
      <c r="K28" s="53" t="s">
        <v>293</v>
      </c>
      <c r="L28" s="53" t="s">
        <v>293</v>
      </c>
      <c r="M28" s="53" t="s">
        <v>293</v>
      </c>
      <c r="N28" s="53" t="s">
        <v>293</v>
      </c>
      <c r="O28" s="53" t="s">
        <v>293</v>
      </c>
      <c r="P28" s="66" t="s">
        <v>293</v>
      </c>
      <c r="Q28" s="68"/>
      <c r="R28" s="54"/>
      <c r="S28" s="70"/>
      <c r="T28" s="361"/>
      <c r="U28" s="392" t="s">
        <v>688</v>
      </c>
      <c r="V28" s="130"/>
    </row>
    <row r="29" spans="2:22" ht="26.4" x14ac:dyDescent="0.35">
      <c r="B29" s="126"/>
      <c r="C29" s="291"/>
      <c r="D29" s="394" t="s">
        <v>583</v>
      </c>
      <c r="E29" s="97">
        <f t="shared" si="0"/>
        <v>26</v>
      </c>
      <c r="F29" s="98" t="s">
        <v>496</v>
      </c>
      <c r="G29" s="99" t="s">
        <v>598</v>
      </c>
      <c r="H29" s="53" t="s">
        <v>389</v>
      </c>
      <c r="I29" s="53" t="s">
        <v>389</v>
      </c>
      <c r="J29" s="53" t="s">
        <v>389</v>
      </c>
      <c r="K29" s="53" t="s">
        <v>389</v>
      </c>
      <c r="L29" s="53" t="s">
        <v>389</v>
      </c>
      <c r="M29" s="53" t="s">
        <v>389</v>
      </c>
      <c r="N29" s="53" t="s">
        <v>293</v>
      </c>
      <c r="O29" s="53" t="s">
        <v>293</v>
      </c>
      <c r="P29" s="66" t="s">
        <v>293</v>
      </c>
      <c r="Q29" s="395"/>
      <c r="R29" s="446"/>
      <c r="S29" s="447"/>
      <c r="T29" s="361"/>
      <c r="U29" s="392" t="s">
        <v>752</v>
      </c>
    </row>
    <row r="30" spans="2:22" ht="28.2" customHeight="1" x14ac:dyDescent="0.35">
      <c r="B30" s="126"/>
      <c r="C30" s="291"/>
      <c r="D30" s="247" t="s">
        <v>590</v>
      </c>
      <c r="E30" s="246">
        <f t="shared" si="0"/>
        <v>27</v>
      </c>
      <c r="F30" s="100" t="s">
        <v>586</v>
      </c>
      <c r="G30" s="94" t="s">
        <v>598</v>
      </c>
      <c r="H30" s="352" t="s">
        <v>712</v>
      </c>
      <c r="I30" s="356" t="s">
        <v>293</v>
      </c>
      <c r="J30" s="356" t="s">
        <v>293</v>
      </c>
      <c r="K30" s="356" t="s">
        <v>293</v>
      </c>
      <c r="L30" s="352" t="s">
        <v>712</v>
      </c>
      <c r="M30" s="352" t="s">
        <v>712</v>
      </c>
      <c r="N30" s="356" t="s">
        <v>293</v>
      </c>
      <c r="O30" s="356" t="s">
        <v>293</v>
      </c>
      <c r="P30" s="357" t="s">
        <v>293</v>
      </c>
      <c r="Q30" s="86"/>
      <c r="R30" s="62"/>
      <c r="S30" s="87"/>
      <c r="T30" s="88"/>
      <c r="U30" s="104"/>
      <c r="V30" s="130"/>
    </row>
    <row r="31" spans="2:22" ht="28.8" customHeight="1" x14ac:dyDescent="0.35">
      <c r="B31" s="126"/>
      <c r="C31" s="127"/>
      <c r="D31" s="247" t="s">
        <v>592</v>
      </c>
      <c r="E31" s="246">
        <f t="shared" si="0"/>
        <v>28</v>
      </c>
      <c r="F31" s="100" t="s">
        <v>586</v>
      </c>
      <c r="G31" s="94" t="s">
        <v>598</v>
      </c>
      <c r="H31" s="352" t="s">
        <v>712</v>
      </c>
      <c r="I31" s="356" t="s">
        <v>293</v>
      </c>
      <c r="J31" s="356" t="s">
        <v>293</v>
      </c>
      <c r="K31" s="356" t="s">
        <v>293</v>
      </c>
      <c r="L31" s="352" t="s">
        <v>712</v>
      </c>
      <c r="M31" s="352" t="s">
        <v>712</v>
      </c>
      <c r="N31" s="356" t="s">
        <v>293</v>
      </c>
      <c r="O31" s="356" t="s">
        <v>293</v>
      </c>
      <c r="P31" s="357" t="s">
        <v>293</v>
      </c>
      <c r="Q31" s="86"/>
      <c r="R31" s="62"/>
      <c r="S31" s="87"/>
      <c r="T31" s="88"/>
      <c r="U31" s="408"/>
    </row>
    <row r="32" spans="2:22" ht="28.2" customHeight="1" x14ac:dyDescent="0.35">
      <c r="B32" s="126"/>
      <c r="C32" s="128" t="s">
        <v>488</v>
      </c>
      <c r="D32" s="291" t="s">
        <v>494</v>
      </c>
      <c r="E32" s="246">
        <f t="shared" si="0"/>
        <v>29</v>
      </c>
      <c r="F32" s="100" t="s">
        <v>587</v>
      </c>
      <c r="G32" s="94" t="s">
        <v>599</v>
      </c>
      <c r="H32" s="352" t="s">
        <v>712</v>
      </c>
      <c r="I32" s="356" t="s">
        <v>293</v>
      </c>
      <c r="J32" s="356" t="s">
        <v>293</v>
      </c>
      <c r="K32" s="356" t="s">
        <v>293</v>
      </c>
      <c r="L32" s="352" t="s">
        <v>712</v>
      </c>
      <c r="M32" s="352" t="s">
        <v>712</v>
      </c>
      <c r="N32" s="356" t="s">
        <v>293</v>
      </c>
      <c r="O32" s="356" t="s">
        <v>293</v>
      </c>
      <c r="P32" s="357" t="s">
        <v>293</v>
      </c>
      <c r="Q32" s="86"/>
      <c r="R32" s="62"/>
      <c r="S32" s="87"/>
      <c r="T32" s="88"/>
      <c r="U32" s="408"/>
    </row>
    <row r="33" spans="2:22" ht="28.2" customHeight="1" x14ac:dyDescent="0.35">
      <c r="B33" s="126"/>
      <c r="C33" s="291"/>
      <c r="D33" s="291"/>
      <c r="E33" s="246">
        <f t="shared" si="0"/>
        <v>30</v>
      </c>
      <c r="F33" s="100" t="s">
        <v>588</v>
      </c>
      <c r="G33" s="94" t="s">
        <v>599</v>
      </c>
      <c r="H33" s="352" t="s">
        <v>712</v>
      </c>
      <c r="I33" s="356" t="s">
        <v>293</v>
      </c>
      <c r="J33" s="356" t="s">
        <v>293</v>
      </c>
      <c r="K33" s="356" t="s">
        <v>293</v>
      </c>
      <c r="L33" s="352" t="s">
        <v>712</v>
      </c>
      <c r="M33" s="352" t="s">
        <v>712</v>
      </c>
      <c r="N33" s="356" t="s">
        <v>293</v>
      </c>
      <c r="O33" s="356" t="s">
        <v>293</v>
      </c>
      <c r="P33" s="357" t="s">
        <v>293</v>
      </c>
      <c r="Q33" s="86"/>
      <c r="R33" s="62"/>
      <c r="S33" s="87"/>
      <c r="T33" s="88"/>
      <c r="U33" s="408"/>
    </row>
    <row r="34" spans="2:22" ht="28.2" customHeight="1" x14ac:dyDescent="0.35">
      <c r="B34" s="126"/>
      <c r="C34" s="127"/>
      <c r="D34" s="294" t="s">
        <v>593</v>
      </c>
      <c r="E34" s="246">
        <f t="shared" si="0"/>
        <v>31</v>
      </c>
      <c r="F34" s="100" t="s">
        <v>631</v>
      </c>
      <c r="G34" s="94" t="s">
        <v>599</v>
      </c>
      <c r="H34" s="352" t="s">
        <v>712</v>
      </c>
      <c r="I34" s="356" t="s">
        <v>293</v>
      </c>
      <c r="J34" s="356" t="s">
        <v>293</v>
      </c>
      <c r="K34" s="356" t="s">
        <v>293</v>
      </c>
      <c r="L34" s="352" t="s">
        <v>712</v>
      </c>
      <c r="M34" s="352" t="s">
        <v>712</v>
      </c>
      <c r="N34" s="356" t="s">
        <v>293</v>
      </c>
      <c r="O34" s="356" t="s">
        <v>293</v>
      </c>
      <c r="P34" s="357" t="s">
        <v>293</v>
      </c>
      <c r="Q34" s="86"/>
      <c r="R34" s="62"/>
      <c r="S34" s="87"/>
      <c r="T34" s="88"/>
      <c r="U34" s="408"/>
    </row>
    <row r="35" spans="2:22" ht="28.2" customHeight="1" x14ac:dyDescent="0.35">
      <c r="B35" s="126"/>
      <c r="C35" s="291"/>
      <c r="D35" s="291"/>
      <c r="E35" s="246">
        <f t="shared" si="0"/>
        <v>32</v>
      </c>
      <c r="F35" s="100" t="s">
        <v>594</v>
      </c>
      <c r="G35" s="94" t="s">
        <v>599</v>
      </c>
      <c r="H35" s="352" t="s">
        <v>712</v>
      </c>
      <c r="I35" s="356" t="s">
        <v>293</v>
      </c>
      <c r="J35" s="356" t="s">
        <v>293</v>
      </c>
      <c r="K35" s="356" t="s">
        <v>293</v>
      </c>
      <c r="L35" s="352" t="s">
        <v>712</v>
      </c>
      <c r="M35" s="352" t="s">
        <v>712</v>
      </c>
      <c r="N35" s="356" t="s">
        <v>293</v>
      </c>
      <c r="O35" s="356" t="s">
        <v>293</v>
      </c>
      <c r="P35" s="357" t="s">
        <v>293</v>
      </c>
      <c r="Q35" s="86"/>
      <c r="R35" s="62"/>
      <c r="S35" s="87"/>
      <c r="T35" s="88"/>
      <c r="U35" s="103"/>
    </row>
    <row r="36" spans="2:22" ht="28.2" customHeight="1" x14ac:dyDescent="0.35">
      <c r="B36" s="129" t="s">
        <v>500</v>
      </c>
      <c r="C36" s="292" t="s">
        <v>484</v>
      </c>
      <c r="D36" s="248"/>
      <c r="E36" s="246">
        <f t="shared" si="0"/>
        <v>33</v>
      </c>
      <c r="F36" s="100" t="s">
        <v>537</v>
      </c>
      <c r="G36" s="94" t="s">
        <v>536</v>
      </c>
      <c r="H36" s="352" t="s">
        <v>712</v>
      </c>
      <c r="I36" s="356" t="s">
        <v>293</v>
      </c>
      <c r="J36" s="356" t="s">
        <v>293</v>
      </c>
      <c r="K36" s="356" t="s">
        <v>293</v>
      </c>
      <c r="L36" s="356" t="s">
        <v>293</v>
      </c>
      <c r="M36" s="356" t="s">
        <v>293</v>
      </c>
      <c r="N36" s="356" t="s">
        <v>293</v>
      </c>
      <c r="O36" s="352" t="s">
        <v>712</v>
      </c>
      <c r="P36" s="357" t="s">
        <v>293</v>
      </c>
      <c r="Q36" s="86"/>
      <c r="R36" s="62"/>
      <c r="S36" s="87"/>
      <c r="T36" s="88"/>
      <c r="U36" s="103"/>
    </row>
    <row r="37" spans="2:22" ht="28.2" customHeight="1" x14ac:dyDescent="0.35">
      <c r="B37" s="126"/>
      <c r="C37" s="293" t="s">
        <v>501</v>
      </c>
      <c r="D37" s="248" t="s">
        <v>502</v>
      </c>
      <c r="E37" s="246">
        <f t="shared" si="0"/>
        <v>34</v>
      </c>
      <c r="F37" s="100" t="s">
        <v>491</v>
      </c>
      <c r="G37" s="94" t="s">
        <v>507</v>
      </c>
      <c r="H37" s="352" t="s">
        <v>712</v>
      </c>
      <c r="I37" s="356" t="s">
        <v>293</v>
      </c>
      <c r="J37" s="356" t="s">
        <v>293</v>
      </c>
      <c r="K37" s="356" t="s">
        <v>293</v>
      </c>
      <c r="L37" s="352" t="s">
        <v>712</v>
      </c>
      <c r="M37" s="352" t="s">
        <v>712</v>
      </c>
      <c r="N37" s="356" t="s">
        <v>293</v>
      </c>
      <c r="O37" s="352" t="s">
        <v>712</v>
      </c>
      <c r="P37" s="357" t="s">
        <v>293</v>
      </c>
      <c r="Q37" s="86"/>
      <c r="R37" s="62"/>
      <c r="S37" s="87"/>
      <c r="T37" s="88"/>
      <c r="U37" s="103"/>
    </row>
    <row r="38" spans="2:22" ht="28.2" customHeight="1" x14ac:dyDescent="0.35">
      <c r="B38" s="126"/>
      <c r="C38" s="291"/>
      <c r="D38" s="245" t="s">
        <v>505</v>
      </c>
      <c r="E38" s="246">
        <f t="shared" si="0"/>
        <v>35</v>
      </c>
      <c r="F38" s="100" t="s">
        <v>504</v>
      </c>
      <c r="G38" s="94" t="s">
        <v>507</v>
      </c>
      <c r="H38" s="352" t="s">
        <v>712</v>
      </c>
      <c r="I38" s="356" t="s">
        <v>293</v>
      </c>
      <c r="J38" s="356" t="s">
        <v>293</v>
      </c>
      <c r="K38" s="356" t="s">
        <v>293</v>
      </c>
      <c r="L38" s="352" t="s">
        <v>712</v>
      </c>
      <c r="M38" s="352" t="s">
        <v>712</v>
      </c>
      <c r="N38" s="356" t="s">
        <v>293</v>
      </c>
      <c r="O38" s="352" t="s">
        <v>712</v>
      </c>
      <c r="P38" s="357" t="s">
        <v>293</v>
      </c>
      <c r="Q38" s="86"/>
      <c r="R38" s="62"/>
      <c r="S38" s="87"/>
      <c r="T38" s="88"/>
      <c r="U38" s="103"/>
    </row>
    <row r="39" spans="2:22" ht="28.2" customHeight="1" x14ac:dyDescent="0.35">
      <c r="B39" s="126"/>
      <c r="C39" s="127"/>
      <c r="D39" s="245" t="s">
        <v>503</v>
      </c>
      <c r="E39" s="246">
        <f t="shared" si="0"/>
        <v>36</v>
      </c>
      <c r="F39" s="100" t="s">
        <v>506</v>
      </c>
      <c r="G39" s="94" t="s">
        <v>507</v>
      </c>
      <c r="H39" s="352" t="s">
        <v>712</v>
      </c>
      <c r="I39" s="356" t="s">
        <v>293</v>
      </c>
      <c r="J39" s="356" t="s">
        <v>293</v>
      </c>
      <c r="K39" s="356" t="s">
        <v>293</v>
      </c>
      <c r="L39" s="352" t="s">
        <v>712</v>
      </c>
      <c r="M39" s="352" t="s">
        <v>712</v>
      </c>
      <c r="N39" s="356" t="s">
        <v>293</v>
      </c>
      <c r="O39" s="352" t="s">
        <v>712</v>
      </c>
      <c r="P39" s="357" t="s">
        <v>293</v>
      </c>
      <c r="Q39" s="86"/>
      <c r="R39" s="62"/>
      <c r="S39" s="87"/>
      <c r="T39" s="88"/>
      <c r="U39" s="103" t="s">
        <v>753</v>
      </c>
    </row>
    <row r="40" spans="2:22" ht="28.2" customHeight="1" x14ac:dyDescent="0.35">
      <c r="B40" s="126"/>
      <c r="C40" s="294" t="s">
        <v>508</v>
      </c>
      <c r="D40" s="248" t="s">
        <v>502</v>
      </c>
      <c r="E40" s="246">
        <f t="shared" si="0"/>
        <v>37</v>
      </c>
      <c r="F40" s="100" t="s">
        <v>491</v>
      </c>
      <c r="G40" s="94" t="s">
        <v>509</v>
      </c>
      <c r="H40" s="352" t="s">
        <v>712</v>
      </c>
      <c r="I40" s="356" t="s">
        <v>293</v>
      </c>
      <c r="J40" s="356" t="s">
        <v>293</v>
      </c>
      <c r="K40" s="356" t="s">
        <v>293</v>
      </c>
      <c r="L40" s="352" t="s">
        <v>712</v>
      </c>
      <c r="M40" s="352" t="s">
        <v>712</v>
      </c>
      <c r="N40" s="356" t="s">
        <v>293</v>
      </c>
      <c r="O40" s="352" t="s">
        <v>712</v>
      </c>
      <c r="P40" s="357" t="s">
        <v>293</v>
      </c>
      <c r="Q40" s="86"/>
      <c r="R40" s="62"/>
      <c r="S40" s="87"/>
      <c r="T40" s="88"/>
      <c r="U40" s="103"/>
    </row>
    <row r="41" spans="2:22" ht="28.2" customHeight="1" x14ac:dyDescent="0.35">
      <c r="B41" s="126"/>
      <c r="C41" s="127"/>
      <c r="D41" s="245" t="s">
        <v>505</v>
      </c>
      <c r="E41" s="246">
        <f t="shared" si="0"/>
        <v>38</v>
      </c>
      <c r="F41" s="100" t="s">
        <v>504</v>
      </c>
      <c r="G41" s="94" t="s">
        <v>509</v>
      </c>
      <c r="H41" s="352" t="s">
        <v>712</v>
      </c>
      <c r="I41" s="356" t="s">
        <v>293</v>
      </c>
      <c r="J41" s="356" t="s">
        <v>293</v>
      </c>
      <c r="K41" s="356" t="s">
        <v>293</v>
      </c>
      <c r="L41" s="352" t="s">
        <v>712</v>
      </c>
      <c r="M41" s="352" t="s">
        <v>712</v>
      </c>
      <c r="N41" s="356" t="s">
        <v>293</v>
      </c>
      <c r="O41" s="352" t="s">
        <v>712</v>
      </c>
      <c r="P41" s="357" t="s">
        <v>293</v>
      </c>
      <c r="Q41" s="86"/>
      <c r="R41" s="62"/>
      <c r="S41" s="87"/>
      <c r="T41" s="88"/>
      <c r="U41" s="103"/>
    </row>
    <row r="42" spans="2:22" ht="28.2" customHeight="1" x14ac:dyDescent="0.35">
      <c r="B42" s="126"/>
      <c r="C42" s="127"/>
      <c r="D42" s="245" t="s">
        <v>503</v>
      </c>
      <c r="E42" s="246">
        <f t="shared" si="0"/>
        <v>39</v>
      </c>
      <c r="F42" s="100" t="s">
        <v>506</v>
      </c>
      <c r="G42" s="94" t="s">
        <v>509</v>
      </c>
      <c r="H42" s="352" t="s">
        <v>712</v>
      </c>
      <c r="I42" s="356" t="s">
        <v>293</v>
      </c>
      <c r="J42" s="356" t="s">
        <v>293</v>
      </c>
      <c r="K42" s="356" t="s">
        <v>293</v>
      </c>
      <c r="L42" s="352" t="s">
        <v>712</v>
      </c>
      <c r="M42" s="352" t="s">
        <v>712</v>
      </c>
      <c r="N42" s="356" t="s">
        <v>293</v>
      </c>
      <c r="O42" s="352" t="s">
        <v>712</v>
      </c>
      <c r="P42" s="357" t="s">
        <v>293</v>
      </c>
      <c r="Q42" s="86"/>
      <c r="R42" s="62"/>
      <c r="S42" s="87"/>
      <c r="T42" s="88"/>
      <c r="U42" s="103" t="s">
        <v>753</v>
      </c>
      <c r="V42" s="130"/>
    </row>
    <row r="43" spans="2:22" ht="28.2" customHeight="1" x14ac:dyDescent="0.35">
      <c r="B43" s="126"/>
      <c r="C43" s="294" t="s">
        <v>510</v>
      </c>
      <c r="D43" s="248" t="s">
        <v>502</v>
      </c>
      <c r="E43" s="246">
        <f t="shared" si="0"/>
        <v>40</v>
      </c>
      <c r="F43" s="100" t="s">
        <v>491</v>
      </c>
      <c r="G43" s="94" t="s">
        <v>511</v>
      </c>
      <c r="H43" s="352" t="s">
        <v>712</v>
      </c>
      <c r="I43" s="356" t="s">
        <v>293</v>
      </c>
      <c r="J43" s="356" t="s">
        <v>293</v>
      </c>
      <c r="K43" s="356" t="s">
        <v>293</v>
      </c>
      <c r="L43" s="352" t="s">
        <v>712</v>
      </c>
      <c r="M43" s="352" t="s">
        <v>712</v>
      </c>
      <c r="N43" s="356" t="s">
        <v>293</v>
      </c>
      <c r="O43" s="352" t="s">
        <v>712</v>
      </c>
      <c r="P43" s="357" t="s">
        <v>293</v>
      </c>
      <c r="Q43" s="86"/>
      <c r="R43" s="62"/>
      <c r="S43" s="87"/>
      <c r="T43" s="88"/>
      <c r="U43" s="104"/>
      <c r="V43" s="130"/>
    </row>
    <row r="44" spans="2:22" ht="28.2" customHeight="1" x14ac:dyDescent="0.35">
      <c r="B44" s="126"/>
      <c r="C44" s="127"/>
      <c r="D44" s="245" t="s">
        <v>505</v>
      </c>
      <c r="E44" s="246">
        <f t="shared" si="0"/>
        <v>41</v>
      </c>
      <c r="F44" s="100" t="s">
        <v>504</v>
      </c>
      <c r="G44" s="94" t="s">
        <v>511</v>
      </c>
      <c r="H44" s="352" t="s">
        <v>712</v>
      </c>
      <c r="I44" s="356" t="s">
        <v>293</v>
      </c>
      <c r="J44" s="356" t="s">
        <v>293</v>
      </c>
      <c r="K44" s="356" t="s">
        <v>293</v>
      </c>
      <c r="L44" s="352" t="s">
        <v>712</v>
      </c>
      <c r="M44" s="352" t="s">
        <v>712</v>
      </c>
      <c r="N44" s="356" t="s">
        <v>293</v>
      </c>
      <c r="O44" s="352" t="s">
        <v>712</v>
      </c>
      <c r="P44" s="357" t="s">
        <v>293</v>
      </c>
      <c r="Q44" s="86"/>
      <c r="R44" s="62"/>
      <c r="S44" s="87"/>
      <c r="T44" s="88"/>
      <c r="U44" s="104"/>
      <c r="V44" s="130"/>
    </row>
    <row r="45" spans="2:22" ht="28.2" customHeight="1" x14ac:dyDescent="0.35">
      <c r="B45" s="126"/>
      <c r="C45" s="127"/>
      <c r="D45" s="245" t="s">
        <v>503</v>
      </c>
      <c r="E45" s="246">
        <f t="shared" si="0"/>
        <v>42</v>
      </c>
      <c r="F45" s="100" t="s">
        <v>506</v>
      </c>
      <c r="G45" s="94" t="s">
        <v>511</v>
      </c>
      <c r="H45" s="352" t="s">
        <v>712</v>
      </c>
      <c r="I45" s="356" t="s">
        <v>293</v>
      </c>
      <c r="J45" s="356" t="s">
        <v>293</v>
      </c>
      <c r="K45" s="356" t="s">
        <v>293</v>
      </c>
      <c r="L45" s="352" t="s">
        <v>712</v>
      </c>
      <c r="M45" s="352" t="s">
        <v>712</v>
      </c>
      <c r="N45" s="356" t="s">
        <v>293</v>
      </c>
      <c r="O45" s="352" t="s">
        <v>712</v>
      </c>
      <c r="P45" s="357" t="s">
        <v>293</v>
      </c>
      <c r="Q45" s="86"/>
      <c r="R45" s="62"/>
      <c r="S45" s="87"/>
      <c r="T45" s="88"/>
      <c r="U45" s="104"/>
      <c r="V45" s="130"/>
    </row>
    <row r="46" spans="2:22" ht="28.2" customHeight="1" x14ac:dyDescent="0.35">
      <c r="B46" s="126"/>
      <c r="C46" s="128" t="s">
        <v>333</v>
      </c>
      <c r="D46" s="248" t="s">
        <v>502</v>
      </c>
      <c r="E46" s="246">
        <f t="shared" si="0"/>
        <v>43</v>
      </c>
      <c r="F46" s="100" t="s">
        <v>491</v>
      </c>
      <c r="G46" s="94" t="s">
        <v>512</v>
      </c>
      <c r="H46" s="352" t="s">
        <v>712</v>
      </c>
      <c r="I46" s="356" t="s">
        <v>293</v>
      </c>
      <c r="J46" s="356" t="s">
        <v>293</v>
      </c>
      <c r="K46" s="356" t="s">
        <v>293</v>
      </c>
      <c r="L46" s="352" t="s">
        <v>712</v>
      </c>
      <c r="M46" s="352" t="s">
        <v>712</v>
      </c>
      <c r="N46" s="356" t="s">
        <v>293</v>
      </c>
      <c r="O46" s="352" t="s">
        <v>712</v>
      </c>
      <c r="P46" s="357" t="s">
        <v>293</v>
      </c>
      <c r="Q46" s="86"/>
      <c r="R46" s="62"/>
      <c r="S46" s="87"/>
      <c r="T46" s="88"/>
      <c r="U46" s="360"/>
    </row>
    <row r="47" spans="2:22" ht="28.2" customHeight="1" x14ac:dyDescent="0.35">
      <c r="B47" s="126"/>
      <c r="C47" s="127"/>
      <c r="D47" s="245" t="s">
        <v>505</v>
      </c>
      <c r="E47" s="246">
        <f t="shared" si="0"/>
        <v>44</v>
      </c>
      <c r="F47" s="100" t="s">
        <v>504</v>
      </c>
      <c r="G47" s="94" t="s">
        <v>512</v>
      </c>
      <c r="H47" s="352" t="s">
        <v>712</v>
      </c>
      <c r="I47" s="356" t="s">
        <v>293</v>
      </c>
      <c r="J47" s="356" t="s">
        <v>293</v>
      </c>
      <c r="K47" s="356" t="s">
        <v>293</v>
      </c>
      <c r="L47" s="352" t="s">
        <v>712</v>
      </c>
      <c r="M47" s="352" t="s">
        <v>712</v>
      </c>
      <c r="N47" s="356" t="s">
        <v>293</v>
      </c>
      <c r="O47" s="352" t="s">
        <v>712</v>
      </c>
      <c r="P47" s="357" t="s">
        <v>293</v>
      </c>
      <c r="Q47" s="86"/>
      <c r="R47" s="62"/>
      <c r="S47" s="87"/>
      <c r="T47" s="88"/>
      <c r="U47" s="360"/>
      <c r="V47" s="130"/>
    </row>
    <row r="48" spans="2:22" ht="28.2" customHeight="1" x14ac:dyDescent="0.35">
      <c r="B48" s="126"/>
      <c r="C48" s="242"/>
      <c r="D48" s="245" t="s">
        <v>503</v>
      </c>
      <c r="E48" s="246">
        <f t="shared" si="0"/>
        <v>45</v>
      </c>
      <c r="F48" s="100" t="s">
        <v>506</v>
      </c>
      <c r="G48" s="94" t="s">
        <v>512</v>
      </c>
      <c r="H48" s="352" t="s">
        <v>712</v>
      </c>
      <c r="I48" s="356" t="s">
        <v>293</v>
      </c>
      <c r="J48" s="356" t="s">
        <v>293</v>
      </c>
      <c r="K48" s="356" t="s">
        <v>293</v>
      </c>
      <c r="L48" s="352" t="s">
        <v>712</v>
      </c>
      <c r="M48" s="352" t="s">
        <v>712</v>
      </c>
      <c r="N48" s="356" t="s">
        <v>293</v>
      </c>
      <c r="O48" s="352" t="s">
        <v>712</v>
      </c>
      <c r="P48" s="357" t="s">
        <v>293</v>
      </c>
      <c r="Q48" s="86"/>
      <c r="R48" s="62"/>
      <c r="S48" s="87"/>
      <c r="T48" s="88"/>
      <c r="U48" s="360"/>
      <c r="V48" s="130"/>
    </row>
    <row r="49" spans="2:22" ht="28.2" customHeight="1" x14ac:dyDescent="0.35">
      <c r="B49" s="126"/>
      <c r="C49" s="128" t="s">
        <v>600</v>
      </c>
      <c r="D49" s="291" t="s">
        <v>601</v>
      </c>
      <c r="E49" s="246">
        <f t="shared" si="0"/>
        <v>46</v>
      </c>
      <c r="F49" s="100" t="s">
        <v>605</v>
      </c>
      <c r="G49" s="94" t="s">
        <v>652</v>
      </c>
      <c r="H49" s="352" t="s">
        <v>712</v>
      </c>
      <c r="I49" s="356" t="s">
        <v>389</v>
      </c>
      <c r="J49" s="356" t="s">
        <v>293</v>
      </c>
      <c r="K49" s="352" t="s">
        <v>712</v>
      </c>
      <c r="L49" s="352" t="s">
        <v>712</v>
      </c>
      <c r="M49" s="352" t="s">
        <v>712</v>
      </c>
      <c r="N49" s="356" t="s">
        <v>293</v>
      </c>
      <c r="O49" s="352" t="s">
        <v>712</v>
      </c>
      <c r="P49" s="357" t="s">
        <v>293</v>
      </c>
      <c r="Q49" s="86"/>
      <c r="R49" s="62"/>
      <c r="S49" s="87"/>
      <c r="T49" s="88"/>
      <c r="U49" s="104"/>
      <c r="V49" s="130"/>
    </row>
    <row r="50" spans="2:22" ht="28.2" customHeight="1" x14ac:dyDescent="0.35">
      <c r="B50" s="126"/>
      <c r="C50" s="291"/>
      <c r="D50" s="247" t="s">
        <v>602</v>
      </c>
      <c r="E50" s="246">
        <f t="shared" si="0"/>
        <v>47</v>
      </c>
      <c r="F50" s="100" t="s">
        <v>606</v>
      </c>
      <c r="G50" s="94" t="s">
        <v>604</v>
      </c>
      <c r="H50" s="352" t="s">
        <v>712</v>
      </c>
      <c r="I50" s="356" t="s">
        <v>389</v>
      </c>
      <c r="J50" s="356" t="s">
        <v>293</v>
      </c>
      <c r="K50" s="352" t="s">
        <v>712</v>
      </c>
      <c r="L50" s="352" t="s">
        <v>712</v>
      </c>
      <c r="M50" s="352" t="s">
        <v>712</v>
      </c>
      <c r="N50" s="356" t="s">
        <v>293</v>
      </c>
      <c r="O50" s="352" t="s">
        <v>712</v>
      </c>
      <c r="P50" s="357" t="s">
        <v>293</v>
      </c>
      <c r="Q50" s="86"/>
      <c r="R50" s="62"/>
      <c r="S50" s="87"/>
      <c r="T50" s="88"/>
      <c r="U50" s="363"/>
    </row>
    <row r="51" spans="2:22" ht="28.8" customHeight="1" x14ac:dyDescent="0.35">
      <c r="B51" s="126"/>
      <c r="C51" s="127"/>
      <c r="D51" s="247" t="s">
        <v>603</v>
      </c>
      <c r="E51" s="246">
        <f t="shared" si="0"/>
        <v>48</v>
      </c>
      <c r="F51" s="100" t="s">
        <v>607</v>
      </c>
      <c r="G51" s="94" t="s">
        <v>685</v>
      </c>
      <c r="H51" s="352" t="s">
        <v>712</v>
      </c>
      <c r="I51" s="356" t="s">
        <v>389</v>
      </c>
      <c r="J51" s="356" t="s">
        <v>293</v>
      </c>
      <c r="K51" s="352" t="s">
        <v>712</v>
      </c>
      <c r="L51" s="352" t="s">
        <v>712</v>
      </c>
      <c r="M51" s="352" t="s">
        <v>712</v>
      </c>
      <c r="N51" s="356" t="s">
        <v>293</v>
      </c>
      <c r="O51" s="352" t="s">
        <v>712</v>
      </c>
      <c r="P51" s="357" t="s">
        <v>293</v>
      </c>
      <c r="Q51" s="86"/>
      <c r="R51" s="62"/>
      <c r="S51" s="87"/>
      <c r="T51" s="88"/>
      <c r="U51" s="363"/>
    </row>
    <row r="52" spans="2:22" ht="28.2" customHeight="1" x14ac:dyDescent="0.35">
      <c r="B52" s="126"/>
      <c r="C52" s="128" t="s">
        <v>608</v>
      </c>
      <c r="D52" s="291" t="s">
        <v>484</v>
      </c>
      <c r="E52" s="246">
        <f t="shared" si="0"/>
        <v>49</v>
      </c>
      <c r="F52" s="100" t="s">
        <v>612</v>
      </c>
      <c r="G52" s="94" t="s">
        <v>610</v>
      </c>
      <c r="H52" s="352" t="s">
        <v>712</v>
      </c>
      <c r="I52" s="356" t="s">
        <v>389</v>
      </c>
      <c r="J52" s="356" t="s">
        <v>293</v>
      </c>
      <c r="K52" s="352" t="s">
        <v>712</v>
      </c>
      <c r="L52" s="352" t="s">
        <v>712</v>
      </c>
      <c r="M52" s="352" t="s">
        <v>712</v>
      </c>
      <c r="N52" s="356" t="s">
        <v>293</v>
      </c>
      <c r="O52" s="352" t="s">
        <v>712</v>
      </c>
      <c r="P52" s="357" t="s">
        <v>293</v>
      </c>
      <c r="Q52" s="86"/>
      <c r="R52" s="62"/>
      <c r="S52" s="87"/>
      <c r="T52" s="88"/>
      <c r="U52" s="104"/>
      <c r="V52" s="130"/>
    </row>
    <row r="53" spans="2:22" ht="28.2" customHeight="1" x14ac:dyDescent="0.35">
      <c r="B53" s="126"/>
      <c r="C53" s="291"/>
      <c r="D53" s="294" t="s">
        <v>613</v>
      </c>
      <c r="E53" s="246">
        <f t="shared" si="0"/>
        <v>50</v>
      </c>
      <c r="F53" s="100" t="s">
        <v>504</v>
      </c>
      <c r="G53" s="94" t="s">
        <v>614</v>
      </c>
      <c r="H53" s="352" t="s">
        <v>712</v>
      </c>
      <c r="I53" s="356" t="s">
        <v>389</v>
      </c>
      <c r="J53" s="356" t="s">
        <v>293</v>
      </c>
      <c r="K53" s="352" t="s">
        <v>712</v>
      </c>
      <c r="L53" s="352" t="s">
        <v>712</v>
      </c>
      <c r="M53" s="352" t="s">
        <v>712</v>
      </c>
      <c r="N53" s="356" t="s">
        <v>293</v>
      </c>
      <c r="O53" s="352" t="s">
        <v>712</v>
      </c>
      <c r="P53" s="357" t="s">
        <v>293</v>
      </c>
      <c r="Q53" s="86"/>
      <c r="R53" s="62"/>
      <c r="S53" s="87"/>
      <c r="T53" s="88"/>
      <c r="U53" s="103"/>
    </row>
    <row r="54" spans="2:22" ht="28.8" customHeight="1" x14ac:dyDescent="0.35">
      <c r="B54" s="126"/>
      <c r="C54" s="127"/>
      <c r="D54" s="242"/>
      <c r="E54" s="246">
        <f t="shared" si="0"/>
        <v>51</v>
      </c>
      <c r="F54" s="100" t="s">
        <v>491</v>
      </c>
      <c r="G54" s="94" t="s">
        <v>615</v>
      </c>
      <c r="H54" s="352" t="s">
        <v>712</v>
      </c>
      <c r="I54" s="356" t="s">
        <v>389</v>
      </c>
      <c r="J54" s="356" t="s">
        <v>293</v>
      </c>
      <c r="K54" s="352" t="s">
        <v>712</v>
      </c>
      <c r="L54" s="352" t="s">
        <v>712</v>
      </c>
      <c r="M54" s="352" t="s">
        <v>712</v>
      </c>
      <c r="N54" s="356" t="s">
        <v>293</v>
      </c>
      <c r="O54" s="352" t="s">
        <v>712</v>
      </c>
      <c r="P54" s="357" t="s">
        <v>293</v>
      </c>
      <c r="Q54" s="86"/>
      <c r="R54" s="62"/>
      <c r="S54" s="87"/>
      <c r="T54" s="88"/>
      <c r="U54" s="103"/>
    </row>
    <row r="55" spans="2:22" ht="28.2" customHeight="1" x14ac:dyDescent="0.35">
      <c r="B55" s="300" t="s">
        <v>513</v>
      </c>
      <c r="C55" s="316" t="s">
        <v>518</v>
      </c>
      <c r="D55" s="302" t="s">
        <v>517</v>
      </c>
      <c r="E55" s="303">
        <f t="shared" si="0"/>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0"/>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0"/>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0"/>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0"/>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0"/>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0"/>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0"/>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0"/>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129" t="s">
        <v>513</v>
      </c>
      <c r="C64" s="294" t="s">
        <v>518</v>
      </c>
      <c r="D64" s="249" t="s">
        <v>517</v>
      </c>
      <c r="E64" s="92">
        <f t="shared" si="0"/>
        <v>61</v>
      </c>
      <c r="F64" s="93" t="s">
        <v>514</v>
      </c>
      <c r="G64" s="94" t="s">
        <v>515</v>
      </c>
      <c r="H64" s="352" t="s">
        <v>712</v>
      </c>
      <c r="I64" s="356" t="s">
        <v>389</v>
      </c>
      <c r="J64" s="356" t="s">
        <v>293</v>
      </c>
      <c r="K64" s="356" t="s">
        <v>293</v>
      </c>
      <c r="L64" s="352" t="s">
        <v>712</v>
      </c>
      <c r="M64" s="352" t="s">
        <v>712</v>
      </c>
      <c r="N64" s="356" t="s">
        <v>293</v>
      </c>
      <c r="O64" s="356" t="s">
        <v>293</v>
      </c>
      <c r="P64" s="357" t="s">
        <v>293</v>
      </c>
      <c r="Q64" s="86"/>
      <c r="R64" s="62"/>
      <c r="S64" s="87"/>
      <c r="T64" s="88"/>
      <c r="U64" s="103"/>
      <c r="V64" s="130"/>
    </row>
    <row r="65" spans="1:22" ht="48.6" customHeight="1" x14ac:dyDescent="0.35">
      <c r="B65" s="295" t="s">
        <v>528</v>
      </c>
      <c r="C65" s="127"/>
      <c r="D65" s="91" t="s">
        <v>520</v>
      </c>
      <c r="E65" s="92">
        <f t="shared" si="0"/>
        <v>62</v>
      </c>
      <c r="F65" s="93" t="s">
        <v>520</v>
      </c>
      <c r="G65" s="94" t="s">
        <v>527</v>
      </c>
      <c r="H65" s="352" t="s">
        <v>712</v>
      </c>
      <c r="I65" s="356" t="s">
        <v>389</v>
      </c>
      <c r="J65" s="356" t="s">
        <v>293</v>
      </c>
      <c r="K65" s="356" t="s">
        <v>293</v>
      </c>
      <c r="L65" s="356" t="s">
        <v>293</v>
      </c>
      <c r="M65" s="356" t="s">
        <v>293</v>
      </c>
      <c r="N65" s="356" t="s">
        <v>293</v>
      </c>
      <c r="O65" s="356" t="s">
        <v>293</v>
      </c>
      <c r="P65" s="357" t="s">
        <v>293</v>
      </c>
      <c r="Q65" s="86"/>
      <c r="R65" s="62"/>
      <c r="S65" s="87"/>
      <c r="T65" s="88"/>
      <c r="U65" s="103"/>
      <c r="V65" s="130"/>
    </row>
    <row r="66" spans="1:22" ht="28.2" customHeight="1" x14ac:dyDescent="0.35">
      <c r="B66" s="126"/>
      <c r="C66" s="127"/>
      <c r="D66" s="91" t="s">
        <v>522</v>
      </c>
      <c r="E66" s="92">
        <f t="shared" si="0"/>
        <v>63</v>
      </c>
      <c r="F66" s="93" t="s">
        <v>530</v>
      </c>
      <c r="G66" s="94" t="s">
        <v>527</v>
      </c>
      <c r="H66" s="352" t="s">
        <v>712</v>
      </c>
      <c r="I66" s="356" t="s">
        <v>389</v>
      </c>
      <c r="J66" s="356" t="s">
        <v>293</v>
      </c>
      <c r="K66" s="356" t="s">
        <v>293</v>
      </c>
      <c r="L66" s="352" t="s">
        <v>712</v>
      </c>
      <c r="M66" s="352" t="s">
        <v>712</v>
      </c>
      <c r="N66" s="356" t="s">
        <v>293</v>
      </c>
      <c r="O66" s="356" t="s">
        <v>293</v>
      </c>
      <c r="P66" s="357" t="s">
        <v>293</v>
      </c>
      <c r="Q66" s="86"/>
      <c r="R66" s="62"/>
      <c r="S66" s="87"/>
      <c r="T66" s="88"/>
      <c r="U66" s="103"/>
    </row>
    <row r="67" spans="1:22" ht="28.2" customHeight="1" x14ac:dyDescent="0.35">
      <c r="B67" s="126"/>
      <c r="C67" s="127"/>
      <c r="D67" s="91" t="s">
        <v>529</v>
      </c>
      <c r="E67" s="92">
        <f t="shared" si="0"/>
        <v>64</v>
      </c>
      <c r="F67" s="91" t="s">
        <v>531</v>
      </c>
      <c r="G67" s="94" t="s">
        <v>527</v>
      </c>
      <c r="H67" s="352" t="s">
        <v>712</v>
      </c>
      <c r="I67" s="356" t="s">
        <v>389</v>
      </c>
      <c r="J67" s="356" t="s">
        <v>293</v>
      </c>
      <c r="K67" s="356" t="s">
        <v>293</v>
      </c>
      <c r="L67" s="352" t="s">
        <v>712</v>
      </c>
      <c r="M67" s="352" t="s">
        <v>712</v>
      </c>
      <c r="N67" s="356" t="s">
        <v>293</v>
      </c>
      <c r="O67" s="356" t="s">
        <v>293</v>
      </c>
      <c r="P67" s="357" t="s">
        <v>293</v>
      </c>
      <c r="Q67" s="86"/>
      <c r="R67" s="62"/>
      <c r="S67" s="87"/>
      <c r="T67" s="88"/>
      <c r="U67" s="103"/>
    </row>
    <row r="68" spans="1:22" ht="28.2" customHeight="1" x14ac:dyDescent="0.35">
      <c r="B68" s="126"/>
      <c r="C68" s="127"/>
      <c r="D68" s="91" t="s">
        <v>523</v>
      </c>
      <c r="E68" s="92">
        <f t="shared" si="0"/>
        <v>65</v>
      </c>
      <c r="F68" s="91" t="s">
        <v>532</v>
      </c>
      <c r="G68" s="94" t="s">
        <v>527</v>
      </c>
      <c r="H68" s="352" t="s">
        <v>712</v>
      </c>
      <c r="I68" s="356" t="s">
        <v>389</v>
      </c>
      <c r="J68" s="356" t="s">
        <v>293</v>
      </c>
      <c r="K68" s="356" t="s">
        <v>293</v>
      </c>
      <c r="L68" s="352" t="s">
        <v>712</v>
      </c>
      <c r="M68" s="352" t="s">
        <v>712</v>
      </c>
      <c r="N68" s="356" t="s">
        <v>293</v>
      </c>
      <c r="O68" s="356" t="s">
        <v>293</v>
      </c>
      <c r="P68" s="357" t="s">
        <v>293</v>
      </c>
      <c r="Q68" s="86"/>
      <c r="R68" s="62"/>
      <c r="S68" s="87"/>
      <c r="T68" s="88"/>
      <c r="U68" s="103"/>
      <c r="V68" s="130"/>
    </row>
    <row r="69" spans="1:22" ht="28.2" customHeight="1" x14ac:dyDescent="0.35">
      <c r="B69" s="126"/>
      <c r="C69" s="127"/>
      <c r="D69" s="91" t="s">
        <v>524</v>
      </c>
      <c r="E69" s="92">
        <f t="shared" ref="E69:E72" si="1">ROW()-3</f>
        <v>66</v>
      </c>
      <c r="F69" s="91" t="s">
        <v>533</v>
      </c>
      <c r="G69" s="94" t="s">
        <v>527</v>
      </c>
      <c r="H69" s="352" t="s">
        <v>712</v>
      </c>
      <c r="I69" s="356" t="s">
        <v>389</v>
      </c>
      <c r="J69" s="356" t="s">
        <v>293</v>
      </c>
      <c r="K69" s="356" t="s">
        <v>293</v>
      </c>
      <c r="L69" s="352" t="s">
        <v>712</v>
      </c>
      <c r="M69" s="352" t="s">
        <v>712</v>
      </c>
      <c r="N69" s="356" t="s">
        <v>293</v>
      </c>
      <c r="O69" s="356" t="s">
        <v>293</v>
      </c>
      <c r="P69" s="357" t="s">
        <v>293</v>
      </c>
      <c r="Q69" s="86"/>
      <c r="R69" s="62"/>
      <c r="S69" s="87"/>
      <c r="T69" s="88"/>
      <c r="U69" s="103"/>
      <c r="V69" s="130"/>
    </row>
    <row r="70" spans="1:22" ht="37.799999999999997" customHeight="1" x14ac:dyDescent="0.35">
      <c r="B70" s="126"/>
      <c r="C70" s="127"/>
      <c r="D70" s="91" t="s">
        <v>525</v>
      </c>
      <c r="E70" s="92">
        <f t="shared" si="1"/>
        <v>67</v>
      </c>
      <c r="F70" s="91" t="s">
        <v>534</v>
      </c>
      <c r="G70" s="94" t="s">
        <v>527</v>
      </c>
      <c r="H70" s="352" t="s">
        <v>712</v>
      </c>
      <c r="I70" s="356" t="s">
        <v>389</v>
      </c>
      <c r="J70" s="356" t="s">
        <v>293</v>
      </c>
      <c r="K70" s="356" t="s">
        <v>293</v>
      </c>
      <c r="L70" s="356" t="s">
        <v>293</v>
      </c>
      <c r="M70" s="356" t="s">
        <v>293</v>
      </c>
      <c r="N70" s="356" t="s">
        <v>293</v>
      </c>
      <c r="O70" s="356" t="s">
        <v>293</v>
      </c>
      <c r="P70" s="357" t="s">
        <v>293</v>
      </c>
      <c r="Q70" s="86"/>
      <c r="R70" s="62"/>
      <c r="S70" s="87"/>
      <c r="T70" s="88"/>
      <c r="U70" s="104"/>
    </row>
    <row r="71" spans="1:22" ht="28.2" customHeight="1" x14ac:dyDescent="0.35">
      <c r="B71" s="126"/>
      <c r="C71" s="127"/>
      <c r="D71" s="91" t="s">
        <v>519</v>
      </c>
      <c r="E71" s="92">
        <f t="shared" si="1"/>
        <v>68</v>
      </c>
      <c r="F71" s="91" t="s">
        <v>521</v>
      </c>
      <c r="G71" s="94" t="s">
        <v>527</v>
      </c>
      <c r="H71" s="352" t="s">
        <v>712</v>
      </c>
      <c r="I71" s="356" t="s">
        <v>389</v>
      </c>
      <c r="J71" s="356" t="s">
        <v>293</v>
      </c>
      <c r="K71" s="356" t="s">
        <v>293</v>
      </c>
      <c r="L71" s="352" t="s">
        <v>712</v>
      </c>
      <c r="M71" s="352" t="s">
        <v>712</v>
      </c>
      <c r="N71" s="356" t="s">
        <v>293</v>
      </c>
      <c r="O71" s="356" t="s">
        <v>293</v>
      </c>
      <c r="P71" s="357" t="s">
        <v>293</v>
      </c>
      <c r="Q71" s="86"/>
      <c r="R71" s="62"/>
      <c r="S71" s="87"/>
      <c r="T71" s="88"/>
      <c r="U71" s="103"/>
    </row>
    <row r="72" spans="1:22" ht="36" customHeight="1" x14ac:dyDescent="0.35">
      <c r="B72" s="126"/>
      <c r="C72" s="127"/>
      <c r="D72" s="91" t="s">
        <v>526</v>
      </c>
      <c r="E72" s="92">
        <f t="shared" si="1"/>
        <v>69</v>
      </c>
      <c r="F72" s="91" t="s">
        <v>535</v>
      </c>
      <c r="G72" s="94" t="s">
        <v>617</v>
      </c>
      <c r="H72" s="356" t="s">
        <v>389</v>
      </c>
      <c r="I72" s="356" t="s">
        <v>389</v>
      </c>
      <c r="J72" s="356" t="s">
        <v>293</v>
      </c>
      <c r="K72" s="352" t="s">
        <v>712</v>
      </c>
      <c r="L72" s="51" t="s">
        <v>293</v>
      </c>
      <c r="M72" s="51" t="s">
        <v>293</v>
      </c>
      <c r="N72" s="51" t="s">
        <v>293</v>
      </c>
      <c r="O72" s="51" t="s">
        <v>293</v>
      </c>
      <c r="P72" s="65" t="s">
        <v>293</v>
      </c>
      <c r="Q72" s="86"/>
      <c r="R72" s="62"/>
      <c r="S72" s="87"/>
      <c r="T72" s="88"/>
      <c r="U72" s="103"/>
    </row>
    <row r="73" spans="1:22" ht="28.2" customHeight="1" x14ac:dyDescent="0.35">
      <c r="B73" s="129" t="s">
        <v>754</v>
      </c>
      <c r="C73" s="128" t="s">
        <v>755</v>
      </c>
      <c r="D73" s="91"/>
      <c r="E73" s="92"/>
      <c r="F73" s="93" t="s">
        <v>756</v>
      </c>
      <c r="G73" s="94" t="s">
        <v>757</v>
      </c>
      <c r="H73" s="352" t="s">
        <v>712</v>
      </c>
      <c r="I73" s="356" t="s">
        <v>389</v>
      </c>
      <c r="J73" s="356" t="s">
        <v>293</v>
      </c>
      <c r="K73" s="352" t="s">
        <v>712</v>
      </c>
      <c r="L73" s="51" t="s">
        <v>293</v>
      </c>
      <c r="M73" s="51" t="s">
        <v>293</v>
      </c>
      <c r="N73" s="50" t="s">
        <v>293</v>
      </c>
      <c r="O73" s="50" t="s">
        <v>293</v>
      </c>
      <c r="P73" s="65" t="s">
        <v>293</v>
      </c>
      <c r="Q73" s="86"/>
      <c r="R73" s="62"/>
      <c r="S73" s="87"/>
      <c r="T73" s="88"/>
      <c r="U73" s="103"/>
    </row>
    <row r="74" spans="1:22" ht="28.2" customHeight="1" thickBot="1" x14ac:dyDescent="0.4">
      <c r="B74" s="126"/>
      <c r="C74" s="128"/>
      <c r="D74" s="159"/>
      <c r="E74" s="160"/>
      <c r="F74" s="161"/>
      <c r="G74" s="162"/>
      <c r="H74" s="83" t="s">
        <v>293</v>
      </c>
      <c r="I74" s="56" t="s">
        <v>293</v>
      </c>
      <c r="J74" s="56" t="s">
        <v>293</v>
      </c>
      <c r="K74" s="55" t="s">
        <v>293</v>
      </c>
      <c r="L74" s="56" t="s">
        <v>293</v>
      </c>
      <c r="M74" s="56" t="s">
        <v>293</v>
      </c>
      <c r="N74" s="55" t="s">
        <v>293</v>
      </c>
      <c r="O74" s="55" t="s">
        <v>293</v>
      </c>
      <c r="P74" s="75" t="s">
        <v>293</v>
      </c>
      <c r="Q74" s="76"/>
      <c r="R74" s="57"/>
      <c r="S74" s="77"/>
      <c r="T74" s="73"/>
      <c r="U74" s="107"/>
    </row>
    <row r="75" spans="1:22" ht="18" customHeight="1" x14ac:dyDescent="0.35">
      <c r="B75" s="556" t="s">
        <v>70</v>
      </c>
      <c r="C75" s="557"/>
      <c r="D75" s="557">
        <f>SUM(H77:P77)</f>
        <v>0</v>
      </c>
      <c r="E75" s="163"/>
      <c r="F75" s="164"/>
      <c r="G75" s="269" t="s">
        <v>275</v>
      </c>
      <c r="H75" s="166">
        <f>COUNTIF(H4:H74,"●")+COUNTIF(H4:H74,"■")+COUNTIF(H4:H74,"OK")</f>
        <v>0</v>
      </c>
      <c r="I75" s="166">
        <f t="shared" ref="I75:P75" si="2">COUNTIF(I4:I74,"●")+COUNTIF(I4:I74,"■")+COUNTIF(I4:I74,"OK")</f>
        <v>0</v>
      </c>
      <c r="J75" s="166">
        <f t="shared" si="2"/>
        <v>0</v>
      </c>
      <c r="K75" s="166">
        <f t="shared" si="2"/>
        <v>0</v>
      </c>
      <c r="L75" s="166">
        <f t="shared" si="2"/>
        <v>0</v>
      </c>
      <c r="M75" s="166">
        <f t="shared" si="2"/>
        <v>0</v>
      </c>
      <c r="N75" s="166">
        <f t="shared" si="2"/>
        <v>0</v>
      </c>
      <c r="O75" s="166">
        <f t="shared" si="2"/>
        <v>0</v>
      </c>
      <c r="P75" s="166">
        <f t="shared" si="2"/>
        <v>0</v>
      </c>
      <c r="Q75" s="571" t="s">
        <v>69</v>
      </c>
      <c r="R75" s="571"/>
      <c r="S75" s="571"/>
      <c r="T75" s="167"/>
      <c r="U75" s="168"/>
    </row>
    <row r="76" spans="1:22" ht="18" customHeight="1" x14ac:dyDescent="0.35">
      <c r="B76" s="558"/>
      <c r="C76" s="559"/>
      <c r="D76" s="559"/>
      <c r="E76" s="58"/>
      <c r="F76" s="59"/>
      <c r="G76" s="270" t="s">
        <v>274</v>
      </c>
      <c r="H76" s="78">
        <f>COUNTIF(H4:H74,"×")+COUNTIF(H4:H74,"NG")</f>
        <v>0</v>
      </c>
      <c r="I76" s="78">
        <f t="shared" ref="I76:P76" si="3">COUNTIF(I4:I74,"×")+COUNTIF(I4:I74,"NG")</f>
        <v>0</v>
      </c>
      <c r="J76" s="78">
        <f t="shared" si="3"/>
        <v>0</v>
      </c>
      <c r="K76" s="78">
        <f t="shared" si="3"/>
        <v>0</v>
      </c>
      <c r="L76" s="78">
        <f t="shared" si="3"/>
        <v>0</v>
      </c>
      <c r="M76" s="78">
        <f t="shared" si="3"/>
        <v>0</v>
      </c>
      <c r="N76" s="78">
        <f t="shared" si="3"/>
        <v>0</v>
      </c>
      <c r="O76" s="78">
        <f t="shared" si="3"/>
        <v>0</v>
      </c>
      <c r="P76" s="78">
        <f t="shared" si="3"/>
        <v>0</v>
      </c>
      <c r="Q76" s="572"/>
      <c r="R76" s="572"/>
      <c r="S76" s="572"/>
      <c r="T76" s="74"/>
      <c r="U76" s="108"/>
    </row>
    <row r="77" spans="1:22" ht="18" customHeight="1" x14ac:dyDescent="0.35">
      <c r="B77" s="560" t="s">
        <v>67</v>
      </c>
      <c r="C77" s="561"/>
      <c r="D77" s="561">
        <f>SUM(H78:P78)</f>
        <v>184</v>
      </c>
      <c r="E77" s="48"/>
      <c r="F77" s="49"/>
      <c r="G77" s="270" t="s">
        <v>68</v>
      </c>
      <c r="H77" s="78">
        <f t="shared" ref="H77:P77" si="4">H75+H76</f>
        <v>0</v>
      </c>
      <c r="I77" s="79">
        <f t="shared" si="4"/>
        <v>0</v>
      </c>
      <c r="J77" s="79">
        <f t="shared" si="4"/>
        <v>0</v>
      </c>
      <c r="K77" s="79">
        <f t="shared" si="4"/>
        <v>0</v>
      </c>
      <c r="L77" s="79">
        <f t="shared" si="4"/>
        <v>0</v>
      </c>
      <c r="M77" s="79">
        <f t="shared" si="4"/>
        <v>0</v>
      </c>
      <c r="N77" s="79">
        <f t="shared" si="4"/>
        <v>0</v>
      </c>
      <c r="O77" s="79">
        <f t="shared" si="4"/>
        <v>0</v>
      </c>
      <c r="P77" s="80">
        <f t="shared" si="4"/>
        <v>0</v>
      </c>
      <c r="Q77" s="573">
        <f>COUNTA(Q4:Q74)</f>
        <v>0</v>
      </c>
      <c r="R77" s="575">
        <f>COUNTA(R4:R74)</f>
        <v>0</v>
      </c>
      <c r="S77" s="577">
        <f>COUNTA(S4:S74)</f>
        <v>0</v>
      </c>
      <c r="T77" s="74"/>
      <c r="U77" s="108"/>
    </row>
    <row r="78" spans="1:22" ht="18" customHeight="1" thickBot="1" x14ac:dyDescent="0.4">
      <c r="A78" s="122"/>
      <c r="B78" s="562"/>
      <c r="C78" s="563"/>
      <c r="D78" s="563"/>
      <c r="E78" s="109"/>
      <c r="F78" s="110"/>
      <c r="G78" s="271" t="s">
        <v>66</v>
      </c>
      <c r="H78" s="112">
        <f>COUNTBLANK(H4:H74)+H77+COUNTIF(H4:H74,"□")</f>
        <v>54</v>
      </c>
      <c r="I78" s="112">
        <f t="shared" ref="I78:P78" si="5">COUNTBLANK(I4:I74)+I77+COUNTIF(I4:I74,"□")</f>
        <v>0</v>
      </c>
      <c r="J78" s="112">
        <f t="shared" si="5"/>
        <v>0</v>
      </c>
      <c r="K78" s="112">
        <f t="shared" si="5"/>
        <v>11</v>
      </c>
      <c r="L78" s="112">
        <f t="shared" si="5"/>
        <v>50</v>
      </c>
      <c r="M78" s="112">
        <f t="shared" si="5"/>
        <v>50</v>
      </c>
      <c r="N78" s="112">
        <f t="shared" si="5"/>
        <v>0</v>
      </c>
      <c r="O78" s="112">
        <f t="shared" si="5"/>
        <v>19</v>
      </c>
      <c r="P78" s="112">
        <f t="shared" si="5"/>
        <v>0</v>
      </c>
      <c r="Q78" s="574"/>
      <c r="R78" s="576"/>
      <c r="S78" s="578"/>
      <c r="T78" s="115"/>
      <c r="U78" s="116"/>
    </row>
    <row r="79" spans="1:22" ht="24" customHeight="1" x14ac:dyDescent="0.35">
      <c r="F79" s="63"/>
      <c r="G79" s="63"/>
    </row>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72" activePane="bottomLeft" state="frozen"/>
      <selection activeCell="D17" sqref="D17"/>
      <selection pane="bottomLeft" activeCell="U65" sqref="U65"/>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643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48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647</v>
      </c>
      <c r="C4" s="127" t="s">
        <v>484</v>
      </c>
      <c r="D4" s="242"/>
      <c r="E4" s="243">
        <f>ROW()-3</f>
        <v>1</v>
      </c>
      <c r="F4" s="244" t="s">
        <v>489</v>
      </c>
      <c r="G4" s="90" t="s">
        <v>490</v>
      </c>
      <c r="H4" s="352" t="s">
        <v>712</v>
      </c>
      <c r="I4" s="350" t="s">
        <v>293</v>
      </c>
      <c r="J4" s="352" t="s">
        <v>293</v>
      </c>
      <c r="K4" s="352" t="s">
        <v>712</v>
      </c>
      <c r="L4" s="352" t="s">
        <v>712</v>
      </c>
      <c r="M4" s="352" t="s">
        <v>712</v>
      </c>
      <c r="N4" s="350" t="s">
        <v>293</v>
      </c>
      <c r="O4" s="350" t="s">
        <v>293</v>
      </c>
      <c r="P4" s="353" t="s">
        <v>293</v>
      </c>
      <c r="Q4" s="86"/>
      <c r="R4" s="62"/>
      <c r="S4" s="87"/>
      <c r="T4" s="88"/>
      <c r="U4" s="102"/>
    </row>
    <row r="5" spans="1:22" ht="28.2" customHeight="1" x14ac:dyDescent="0.35">
      <c r="B5" s="126" t="s">
        <v>564</v>
      </c>
      <c r="C5" s="247" t="s">
        <v>485</v>
      </c>
      <c r="D5" s="242" t="s">
        <v>486</v>
      </c>
      <c r="E5" s="246">
        <f t="shared" ref="E5:E68" si="0">ROW()-3</f>
        <v>2</v>
      </c>
      <c r="F5" s="100" t="s">
        <v>491</v>
      </c>
      <c r="G5" s="94" t="s">
        <v>493</v>
      </c>
      <c r="H5" s="352" t="s">
        <v>712</v>
      </c>
      <c r="I5" s="356" t="s">
        <v>293</v>
      </c>
      <c r="J5" s="356" t="s">
        <v>293</v>
      </c>
      <c r="K5" s="352" t="s">
        <v>712</v>
      </c>
      <c r="L5" s="352" t="s">
        <v>712</v>
      </c>
      <c r="M5" s="352" t="s">
        <v>712</v>
      </c>
      <c r="N5" s="352" t="s">
        <v>293</v>
      </c>
      <c r="O5" s="356" t="s">
        <v>293</v>
      </c>
      <c r="P5" s="357" t="s">
        <v>293</v>
      </c>
      <c r="Q5" s="86"/>
      <c r="R5" s="62"/>
      <c r="S5" s="87"/>
      <c r="T5" s="88"/>
      <c r="U5" s="103"/>
    </row>
    <row r="6" spans="1:22" ht="28.2" customHeight="1" x14ac:dyDescent="0.35">
      <c r="B6" s="126"/>
      <c r="C6" s="291" t="s">
        <v>483</v>
      </c>
      <c r="D6" s="391" t="s">
        <v>571</v>
      </c>
      <c r="E6" s="97">
        <f t="shared" si="0"/>
        <v>3</v>
      </c>
      <c r="F6" s="98" t="s">
        <v>492</v>
      </c>
      <c r="G6" s="99" t="s">
        <v>497</v>
      </c>
      <c r="H6" s="66" t="s">
        <v>293</v>
      </c>
      <c r="I6" s="53" t="s">
        <v>293</v>
      </c>
      <c r="J6" s="53" t="s">
        <v>293</v>
      </c>
      <c r="K6" s="53" t="s">
        <v>293</v>
      </c>
      <c r="L6" s="53" t="s">
        <v>293</v>
      </c>
      <c r="M6" s="53" t="s">
        <v>293</v>
      </c>
      <c r="N6" s="53" t="s">
        <v>293</v>
      </c>
      <c r="O6" s="53" t="s">
        <v>293</v>
      </c>
      <c r="P6" s="66" t="s">
        <v>293</v>
      </c>
      <c r="Q6" s="68"/>
      <c r="R6" s="54"/>
      <c r="S6" s="70"/>
      <c r="T6" s="361"/>
      <c r="U6" s="392" t="s">
        <v>688</v>
      </c>
    </row>
    <row r="7" spans="1:22" ht="28.2" customHeight="1" x14ac:dyDescent="0.35">
      <c r="B7" s="126"/>
      <c r="C7" s="334"/>
      <c r="D7" s="242" t="s">
        <v>572</v>
      </c>
      <c r="E7" s="246">
        <f t="shared" si="0"/>
        <v>4</v>
      </c>
      <c r="F7" s="100" t="s">
        <v>581</v>
      </c>
      <c r="G7" s="94" t="s">
        <v>497</v>
      </c>
      <c r="H7" s="352" t="s">
        <v>712</v>
      </c>
      <c r="I7" s="356" t="s">
        <v>293</v>
      </c>
      <c r="J7" s="356" t="s">
        <v>293</v>
      </c>
      <c r="K7" s="356" t="s">
        <v>293</v>
      </c>
      <c r="L7" s="352" t="s">
        <v>712</v>
      </c>
      <c r="M7" s="352" t="s">
        <v>712</v>
      </c>
      <c r="N7" s="356" t="s">
        <v>293</v>
      </c>
      <c r="O7" s="356" t="s">
        <v>293</v>
      </c>
      <c r="P7" s="357" t="s">
        <v>293</v>
      </c>
      <c r="Q7" s="86"/>
      <c r="R7" s="62"/>
      <c r="S7" s="87"/>
      <c r="T7" s="88"/>
      <c r="U7" s="104"/>
    </row>
    <row r="8" spans="1:22" ht="26.4" x14ac:dyDescent="0.35">
      <c r="B8" s="126"/>
      <c r="C8" s="335"/>
      <c r="D8" s="242" t="s">
        <v>579</v>
      </c>
      <c r="E8" s="246">
        <f t="shared" si="0"/>
        <v>5</v>
      </c>
      <c r="F8" s="100" t="s">
        <v>580</v>
      </c>
      <c r="G8" s="94" t="s">
        <v>497</v>
      </c>
      <c r="H8" s="352" t="s">
        <v>712</v>
      </c>
      <c r="I8" s="356" t="s">
        <v>293</v>
      </c>
      <c r="J8" s="356" t="s">
        <v>293</v>
      </c>
      <c r="K8" s="356" t="s">
        <v>293</v>
      </c>
      <c r="L8" s="352" t="s">
        <v>712</v>
      </c>
      <c r="M8" s="352" t="s">
        <v>712</v>
      </c>
      <c r="N8" s="356" t="s">
        <v>293</v>
      </c>
      <c r="O8" s="356" t="s">
        <v>293</v>
      </c>
      <c r="P8" s="357" t="s">
        <v>293</v>
      </c>
      <c r="Q8" s="86"/>
      <c r="R8" s="62"/>
      <c r="S8" s="87"/>
      <c r="T8" s="88"/>
      <c r="U8" s="103"/>
    </row>
    <row r="9" spans="1:22" ht="28.2" customHeight="1" x14ac:dyDescent="0.35">
      <c r="B9" s="126"/>
      <c r="C9" s="334"/>
      <c r="D9" s="242" t="s">
        <v>574</v>
      </c>
      <c r="E9" s="246">
        <f t="shared" si="0"/>
        <v>6</v>
      </c>
      <c r="F9" s="100" t="s">
        <v>492</v>
      </c>
      <c r="G9" s="94" t="s">
        <v>497</v>
      </c>
      <c r="H9" s="352" t="s">
        <v>712</v>
      </c>
      <c r="I9" s="356" t="s">
        <v>293</v>
      </c>
      <c r="J9" s="356" t="s">
        <v>293</v>
      </c>
      <c r="K9" s="356" t="s">
        <v>293</v>
      </c>
      <c r="L9" s="352" t="s">
        <v>712</v>
      </c>
      <c r="M9" s="352" t="s">
        <v>712</v>
      </c>
      <c r="N9" s="356" t="s">
        <v>293</v>
      </c>
      <c r="O9" s="356" t="s">
        <v>293</v>
      </c>
      <c r="P9" s="357" t="s">
        <v>293</v>
      </c>
      <c r="Q9" s="86"/>
      <c r="R9" s="62"/>
      <c r="S9" s="87"/>
      <c r="T9" s="88"/>
      <c r="U9" s="104" t="s">
        <v>715</v>
      </c>
    </row>
    <row r="10" spans="1:22" ht="28.2" customHeight="1" x14ac:dyDescent="0.35">
      <c r="B10" s="126"/>
      <c r="C10" s="127"/>
      <c r="D10" s="242" t="s">
        <v>576</v>
      </c>
      <c r="E10" s="246">
        <f t="shared" si="0"/>
        <v>7</v>
      </c>
      <c r="F10" s="100" t="s">
        <v>580</v>
      </c>
      <c r="G10" s="94" t="s">
        <v>497</v>
      </c>
      <c r="H10" s="352" t="s">
        <v>712</v>
      </c>
      <c r="I10" s="356" t="s">
        <v>293</v>
      </c>
      <c r="J10" s="356" t="s">
        <v>293</v>
      </c>
      <c r="K10" s="356" t="s">
        <v>293</v>
      </c>
      <c r="L10" s="352" t="s">
        <v>712</v>
      </c>
      <c r="M10" s="352" t="s">
        <v>712</v>
      </c>
      <c r="N10" s="405" t="s">
        <v>293</v>
      </c>
      <c r="O10" s="405" t="s">
        <v>293</v>
      </c>
      <c r="P10" s="409" t="s">
        <v>293</v>
      </c>
      <c r="Q10" s="86"/>
      <c r="R10" s="62"/>
      <c r="S10" s="87"/>
      <c r="T10" s="88"/>
      <c r="U10" s="408"/>
    </row>
    <row r="11" spans="1:22" ht="28.2" customHeight="1" x14ac:dyDescent="0.35">
      <c r="B11" s="126"/>
      <c r="C11" s="128" t="s">
        <v>487</v>
      </c>
      <c r="D11" s="391" t="s">
        <v>571</v>
      </c>
      <c r="E11" s="97">
        <f t="shared" si="0"/>
        <v>8</v>
      </c>
      <c r="F11" s="98" t="s">
        <v>495</v>
      </c>
      <c r="G11" s="99" t="s">
        <v>498</v>
      </c>
      <c r="H11" s="306" t="s">
        <v>293</v>
      </c>
      <c r="I11" s="306" t="s">
        <v>293</v>
      </c>
      <c r="J11" s="306" t="s">
        <v>293</v>
      </c>
      <c r="K11" s="306" t="s">
        <v>293</v>
      </c>
      <c r="L11" s="306" t="s">
        <v>293</v>
      </c>
      <c r="M11" s="306" t="s">
        <v>293</v>
      </c>
      <c r="N11" s="53" t="s">
        <v>293</v>
      </c>
      <c r="O11" s="53" t="s">
        <v>293</v>
      </c>
      <c r="P11" s="66" t="s">
        <v>293</v>
      </c>
      <c r="Q11" s="68"/>
      <c r="R11" s="54"/>
      <c r="S11" s="70"/>
      <c r="T11" s="361"/>
      <c r="U11" s="392" t="s">
        <v>688</v>
      </c>
      <c r="V11" s="130"/>
    </row>
    <row r="12" spans="1:22" ht="28.2" customHeight="1" x14ac:dyDescent="0.35">
      <c r="B12" s="126"/>
      <c r="C12" s="291"/>
      <c r="D12" s="242" t="s">
        <v>572</v>
      </c>
      <c r="E12" s="246">
        <f t="shared" si="0"/>
        <v>9</v>
      </c>
      <c r="F12" s="100" t="s">
        <v>585</v>
      </c>
      <c r="G12" s="94" t="s">
        <v>498</v>
      </c>
      <c r="H12" s="352" t="s">
        <v>712</v>
      </c>
      <c r="I12" s="356" t="s">
        <v>293</v>
      </c>
      <c r="J12" s="356" t="s">
        <v>293</v>
      </c>
      <c r="K12" s="356" t="s">
        <v>293</v>
      </c>
      <c r="L12" s="352" t="s">
        <v>712</v>
      </c>
      <c r="M12" s="352" t="s">
        <v>712</v>
      </c>
      <c r="N12" s="356" t="s">
        <v>293</v>
      </c>
      <c r="O12" s="356" t="s">
        <v>293</v>
      </c>
      <c r="P12" s="357" t="s">
        <v>293</v>
      </c>
      <c r="Q12" s="86"/>
      <c r="R12" s="62"/>
      <c r="S12" s="87"/>
      <c r="T12" s="88"/>
      <c r="U12" s="103"/>
    </row>
    <row r="13" spans="1:22" ht="28.8" customHeight="1" x14ac:dyDescent="0.35">
      <c r="B13" s="126"/>
      <c r="C13" s="127"/>
      <c r="D13" s="242" t="s">
        <v>579</v>
      </c>
      <c r="E13" s="246">
        <f t="shared" si="0"/>
        <v>10</v>
      </c>
      <c r="F13" s="100" t="s">
        <v>586</v>
      </c>
      <c r="G13" s="94" t="s">
        <v>498</v>
      </c>
      <c r="H13" s="352" t="s">
        <v>712</v>
      </c>
      <c r="I13" s="356" t="s">
        <v>293</v>
      </c>
      <c r="J13" s="356" t="s">
        <v>293</v>
      </c>
      <c r="K13" s="356" t="s">
        <v>293</v>
      </c>
      <c r="L13" s="352" t="s">
        <v>712</v>
      </c>
      <c r="M13" s="352" t="s">
        <v>712</v>
      </c>
      <c r="N13" s="356" t="s">
        <v>293</v>
      </c>
      <c r="O13" s="356" t="s">
        <v>293</v>
      </c>
      <c r="P13" s="357" t="s">
        <v>293</v>
      </c>
      <c r="Q13" s="86"/>
      <c r="R13" s="62"/>
      <c r="S13" s="87"/>
      <c r="T13" s="88"/>
      <c r="U13" s="103"/>
    </row>
    <row r="14" spans="1:22" ht="28.2" customHeight="1" x14ac:dyDescent="0.35">
      <c r="B14" s="126"/>
      <c r="C14" s="291"/>
      <c r="D14" s="242" t="s">
        <v>574</v>
      </c>
      <c r="E14" s="246">
        <f t="shared" si="0"/>
        <v>11</v>
      </c>
      <c r="F14" s="100" t="s">
        <v>495</v>
      </c>
      <c r="G14" s="94" t="s">
        <v>498</v>
      </c>
      <c r="H14" s="352" t="s">
        <v>712</v>
      </c>
      <c r="I14" s="356" t="s">
        <v>293</v>
      </c>
      <c r="J14" s="356" t="s">
        <v>293</v>
      </c>
      <c r="K14" s="356" t="s">
        <v>293</v>
      </c>
      <c r="L14" s="352" t="s">
        <v>712</v>
      </c>
      <c r="M14" s="352" t="s">
        <v>712</v>
      </c>
      <c r="N14" s="356" t="s">
        <v>293</v>
      </c>
      <c r="O14" s="356" t="s">
        <v>293</v>
      </c>
      <c r="P14" s="357" t="s">
        <v>293</v>
      </c>
      <c r="Q14" s="86"/>
      <c r="R14" s="62"/>
      <c r="S14" s="87"/>
      <c r="T14" s="88"/>
      <c r="U14" s="104" t="s">
        <v>717</v>
      </c>
      <c r="V14" s="130"/>
    </row>
    <row r="15" spans="1:22" ht="28.2" customHeight="1" x14ac:dyDescent="0.35">
      <c r="B15" s="126"/>
      <c r="C15" s="291"/>
      <c r="D15" s="242" t="s">
        <v>576</v>
      </c>
      <c r="E15" s="246">
        <f t="shared" si="0"/>
        <v>12</v>
      </c>
      <c r="F15" s="100" t="s">
        <v>586</v>
      </c>
      <c r="G15" s="94" t="s">
        <v>498</v>
      </c>
      <c r="H15" s="352" t="s">
        <v>712</v>
      </c>
      <c r="I15" s="356" t="s">
        <v>293</v>
      </c>
      <c r="J15" s="356" t="s">
        <v>293</v>
      </c>
      <c r="K15" s="356" t="s">
        <v>293</v>
      </c>
      <c r="L15" s="352" t="s">
        <v>712</v>
      </c>
      <c r="M15" s="352" t="s">
        <v>712</v>
      </c>
      <c r="N15" s="356" t="s">
        <v>293</v>
      </c>
      <c r="O15" s="356" t="s">
        <v>293</v>
      </c>
      <c r="P15" s="357" t="s">
        <v>293</v>
      </c>
      <c r="Q15" s="86"/>
      <c r="R15" s="62"/>
      <c r="S15" s="87"/>
      <c r="T15" s="88"/>
      <c r="U15" s="103"/>
    </row>
    <row r="16" spans="1:22" ht="28.2" customHeight="1" x14ac:dyDescent="0.35">
      <c r="B16" s="126"/>
      <c r="C16" s="128" t="s">
        <v>488</v>
      </c>
      <c r="D16" s="291" t="s">
        <v>494</v>
      </c>
      <c r="E16" s="246">
        <f t="shared" si="0"/>
        <v>13</v>
      </c>
      <c r="F16" s="100" t="s">
        <v>587</v>
      </c>
      <c r="G16" s="94" t="s">
        <v>499</v>
      </c>
      <c r="H16" s="352" t="s">
        <v>712</v>
      </c>
      <c r="I16" s="356" t="s">
        <v>293</v>
      </c>
      <c r="J16" s="356" t="s">
        <v>293</v>
      </c>
      <c r="K16" s="356" t="s">
        <v>293</v>
      </c>
      <c r="L16" s="352" t="s">
        <v>712</v>
      </c>
      <c r="M16" s="352" t="s">
        <v>712</v>
      </c>
      <c r="N16" s="356" t="s">
        <v>293</v>
      </c>
      <c r="O16" s="356" t="s">
        <v>293</v>
      </c>
      <c r="P16" s="357" t="s">
        <v>293</v>
      </c>
      <c r="Q16" s="86"/>
      <c r="R16" s="62"/>
      <c r="S16" s="87"/>
      <c r="T16" s="88"/>
      <c r="U16" s="104"/>
    </row>
    <row r="17" spans="2:22" ht="28.2" customHeight="1" x14ac:dyDescent="0.35">
      <c r="B17" s="126"/>
      <c r="C17" s="291"/>
      <c r="D17" s="291"/>
      <c r="E17" s="246">
        <f t="shared" si="0"/>
        <v>14</v>
      </c>
      <c r="F17" s="100" t="s">
        <v>588</v>
      </c>
      <c r="G17" s="94" t="s">
        <v>499</v>
      </c>
      <c r="H17" s="352" t="s">
        <v>712</v>
      </c>
      <c r="I17" s="356" t="s">
        <v>293</v>
      </c>
      <c r="J17" s="356" t="s">
        <v>293</v>
      </c>
      <c r="K17" s="356" t="s">
        <v>293</v>
      </c>
      <c r="L17" s="352" t="s">
        <v>712</v>
      </c>
      <c r="M17" s="352" t="s">
        <v>712</v>
      </c>
      <c r="N17" s="356" t="s">
        <v>293</v>
      </c>
      <c r="O17" s="356" t="s">
        <v>293</v>
      </c>
      <c r="P17" s="357" t="s">
        <v>293</v>
      </c>
      <c r="Q17" s="86"/>
      <c r="R17" s="62"/>
      <c r="S17" s="87"/>
      <c r="T17" s="88"/>
      <c r="U17" s="104"/>
    </row>
    <row r="18" spans="2:22" ht="28.2" customHeight="1" x14ac:dyDescent="0.35">
      <c r="B18" s="126"/>
      <c r="C18" s="291"/>
      <c r="D18" s="242"/>
      <c r="E18" s="246">
        <f t="shared" si="0"/>
        <v>15</v>
      </c>
      <c r="F18" s="100" t="s">
        <v>589</v>
      </c>
      <c r="G18" s="94" t="s">
        <v>499</v>
      </c>
      <c r="H18" s="352" t="s">
        <v>712</v>
      </c>
      <c r="I18" s="356" t="s">
        <v>293</v>
      </c>
      <c r="J18" s="356" t="s">
        <v>293</v>
      </c>
      <c r="K18" s="356" t="s">
        <v>293</v>
      </c>
      <c r="L18" s="352" t="s">
        <v>712</v>
      </c>
      <c r="M18" s="352" t="s">
        <v>712</v>
      </c>
      <c r="N18" s="356" t="s">
        <v>293</v>
      </c>
      <c r="O18" s="356" t="s">
        <v>293</v>
      </c>
      <c r="P18" s="357" t="s">
        <v>293</v>
      </c>
      <c r="Q18" s="86"/>
      <c r="R18" s="62"/>
      <c r="S18" s="87"/>
      <c r="T18" s="88"/>
      <c r="U18" s="104"/>
    </row>
    <row r="19" spans="2:22" ht="28.2" customHeight="1" x14ac:dyDescent="0.35">
      <c r="B19" s="126"/>
      <c r="C19" s="127"/>
      <c r="D19" s="291" t="s">
        <v>593</v>
      </c>
      <c r="E19" s="246">
        <f t="shared" si="0"/>
        <v>16</v>
      </c>
      <c r="F19" s="100" t="s">
        <v>595</v>
      </c>
      <c r="G19" s="94" t="s">
        <v>499</v>
      </c>
      <c r="H19" s="352" t="s">
        <v>712</v>
      </c>
      <c r="I19" s="356" t="s">
        <v>293</v>
      </c>
      <c r="J19" s="356" t="s">
        <v>293</v>
      </c>
      <c r="K19" s="356" t="s">
        <v>293</v>
      </c>
      <c r="L19" s="352" t="s">
        <v>712</v>
      </c>
      <c r="M19" s="352" t="s">
        <v>712</v>
      </c>
      <c r="N19" s="356" t="s">
        <v>293</v>
      </c>
      <c r="O19" s="356" t="s">
        <v>293</v>
      </c>
      <c r="P19" s="357" t="s">
        <v>293</v>
      </c>
      <c r="Q19" s="86"/>
      <c r="R19" s="62"/>
      <c r="S19" s="87"/>
      <c r="T19" s="88"/>
      <c r="U19" s="103"/>
    </row>
    <row r="20" spans="2:22" ht="28.2" customHeight="1" x14ac:dyDescent="0.35">
      <c r="B20" s="126"/>
      <c r="C20" s="291"/>
      <c r="D20" s="291"/>
      <c r="E20" s="246">
        <f t="shared" si="0"/>
        <v>17</v>
      </c>
      <c r="F20" s="100" t="s">
        <v>631</v>
      </c>
      <c r="G20" s="94" t="s">
        <v>499</v>
      </c>
      <c r="H20" s="352" t="s">
        <v>712</v>
      </c>
      <c r="I20" s="356" t="s">
        <v>293</v>
      </c>
      <c r="J20" s="356" t="s">
        <v>293</v>
      </c>
      <c r="K20" s="356" t="s">
        <v>293</v>
      </c>
      <c r="L20" s="352" t="s">
        <v>712</v>
      </c>
      <c r="M20" s="352" t="s">
        <v>712</v>
      </c>
      <c r="N20" s="356" t="s">
        <v>293</v>
      </c>
      <c r="O20" s="356" t="s">
        <v>293</v>
      </c>
      <c r="P20" s="357" t="s">
        <v>293</v>
      </c>
      <c r="Q20" s="86"/>
      <c r="R20" s="62"/>
      <c r="S20" s="87"/>
      <c r="T20" s="88"/>
      <c r="U20" s="104"/>
    </row>
    <row r="21" spans="2:22" ht="28.2" customHeight="1" x14ac:dyDescent="0.35">
      <c r="B21" s="126"/>
      <c r="C21" s="291"/>
      <c r="D21" s="291"/>
      <c r="E21" s="246">
        <f t="shared" si="0"/>
        <v>18</v>
      </c>
      <c r="F21" s="100" t="s">
        <v>594</v>
      </c>
      <c r="G21" s="94" t="s">
        <v>499</v>
      </c>
      <c r="H21" s="352" t="s">
        <v>712</v>
      </c>
      <c r="I21" s="356" t="s">
        <v>293</v>
      </c>
      <c r="J21" s="356" t="s">
        <v>293</v>
      </c>
      <c r="K21" s="356" t="s">
        <v>293</v>
      </c>
      <c r="L21" s="352" t="s">
        <v>712</v>
      </c>
      <c r="M21" s="352" t="s">
        <v>712</v>
      </c>
      <c r="N21" s="356" t="s">
        <v>293</v>
      </c>
      <c r="O21" s="356" t="s">
        <v>293</v>
      </c>
      <c r="P21" s="357" t="s">
        <v>293</v>
      </c>
      <c r="Q21" s="86"/>
      <c r="R21" s="62"/>
      <c r="S21" s="87"/>
      <c r="T21" s="88"/>
      <c r="U21" s="104"/>
    </row>
    <row r="22" spans="2:22" ht="28.2" customHeight="1" x14ac:dyDescent="0.35">
      <c r="B22" s="129" t="s">
        <v>563</v>
      </c>
      <c r="C22" s="247" t="s">
        <v>485</v>
      </c>
      <c r="D22" s="247" t="s">
        <v>486</v>
      </c>
      <c r="E22" s="246">
        <f t="shared" si="0"/>
        <v>19</v>
      </c>
      <c r="F22" s="100" t="s">
        <v>491</v>
      </c>
      <c r="G22" s="94" t="s">
        <v>493</v>
      </c>
      <c r="H22" s="352" t="s">
        <v>712</v>
      </c>
      <c r="I22" s="356" t="s">
        <v>293</v>
      </c>
      <c r="J22" s="356" t="s">
        <v>293</v>
      </c>
      <c r="K22" s="352" t="s">
        <v>712</v>
      </c>
      <c r="L22" s="352" t="s">
        <v>712</v>
      </c>
      <c r="M22" s="352" t="s">
        <v>712</v>
      </c>
      <c r="N22" s="356" t="s">
        <v>293</v>
      </c>
      <c r="O22" s="356" t="s">
        <v>293</v>
      </c>
      <c r="P22" s="357" t="s">
        <v>293</v>
      </c>
      <c r="Q22" s="86"/>
      <c r="R22" s="62"/>
      <c r="S22" s="87"/>
      <c r="T22" s="88"/>
      <c r="U22" s="103"/>
    </row>
    <row r="23" spans="2:22" ht="28.2" customHeight="1" x14ac:dyDescent="0.35">
      <c r="B23" s="126"/>
      <c r="C23" s="291" t="s">
        <v>483</v>
      </c>
      <c r="D23" s="391" t="s">
        <v>571</v>
      </c>
      <c r="E23" s="97">
        <f t="shared" si="0"/>
        <v>20</v>
      </c>
      <c r="F23" s="98" t="s">
        <v>492</v>
      </c>
      <c r="G23" s="99" t="s">
        <v>597</v>
      </c>
      <c r="H23" s="306" t="s">
        <v>389</v>
      </c>
      <c r="I23" s="306" t="s">
        <v>389</v>
      </c>
      <c r="J23" s="306" t="s">
        <v>293</v>
      </c>
      <c r="K23" s="306" t="s">
        <v>389</v>
      </c>
      <c r="L23" s="306" t="s">
        <v>389</v>
      </c>
      <c r="M23" s="306" t="s">
        <v>389</v>
      </c>
      <c r="N23" s="53" t="s">
        <v>293</v>
      </c>
      <c r="O23" s="53" t="s">
        <v>293</v>
      </c>
      <c r="P23" s="66" t="s">
        <v>293</v>
      </c>
      <c r="Q23" s="68"/>
      <c r="R23" s="54"/>
      <c r="S23" s="70"/>
      <c r="T23" s="361"/>
      <c r="U23" s="392" t="s">
        <v>688</v>
      </c>
    </row>
    <row r="24" spans="2:22" ht="28.2" customHeight="1" x14ac:dyDescent="0.35">
      <c r="B24" s="126"/>
      <c r="C24" s="127"/>
      <c r="D24" s="391" t="s">
        <v>577</v>
      </c>
      <c r="E24" s="97">
        <f t="shared" si="0"/>
        <v>21</v>
      </c>
      <c r="F24" s="98" t="s">
        <v>492</v>
      </c>
      <c r="G24" s="99" t="s">
        <v>597</v>
      </c>
      <c r="H24" s="82" t="s">
        <v>389</v>
      </c>
      <c r="I24" s="53" t="s">
        <v>389</v>
      </c>
      <c r="J24" s="53" t="s">
        <v>293</v>
      </c>
      <c r="K24" s="82" t="s">
        <v>389</v>
      </c>
      <c r="L24" s="82" t="s">
        <v>389</v>
      </c>
      <c r="M24" s="82" t="s">
        <v>389</v>
      </c>
      <c r="N24" s="53" t="s">
        <v>293</v>
      </c>
      <c r="O24" s="53" t="s">
        <v>293</v>
      </c>
      <c r="P24" s="66" t="s">
        <v>293</v>
      </c>
      <c r="Q24" s="395"/>
      <c r="R24" s="446"/>
      <c r="S24" s="447"/>
      <c r="T24" s="361"/>
      <c r="U24" s="392" t="s">
        <v>752</v>
      </c>
    </row>
    <row r="25" spans="2:22" ht="26.4" x14ac:dyDescent="0.35">
      <c r="B25" s="126"/>
      <c r="C25" s="127"/>
      <c r="D25" s="242" t="s">
        <v>579</v>
      </c>
      <c r="E25" s="246">
        <f t="shared" si="0"/>
        <v>22</v>
      </c>
      <c r="F25" s="100" t="s">
        <v>580</v>
      </c>
      <c r="G25" s="94" t="s">
        <v>597</v>
      </c>
      <c r="H25" s="352" t="s">
        <v>712</v>
      </c>
      <c r="I25" s="356" t="s">
        <v>293</v>
      </c>
      <c r="J25" s="356" t="s">
        <v>293</v>
      </c>
      <c r="K25" s="356" t="s">
        <v>293</v>
      </c>
      <c r="L25" s="352" t="s">
        <v>712</v>
      </c>
      <c r="M25" s="352" t="s">
        <v>712</v>
      </c>
      <c r="N25" s="356" t="s">
        <v>293</v>
      </c>
      <c r="O25" s="356" t="s">
        <v>293</v>
      </c>
      <c r="P25" s="357" t="s">
        <v>293</v>
      </c>
      <c r="Q25" s="86"/>
      <c r="R25" s="62"/>
      <c r="S25" s="87"/>
      <c r="T25" s="88"/>
      <c r="U25" s="408"/>
    </row>
    <row r="26" spans="2:22" ht="28.2" customHeight="1" x14ac:dyDescent="0.35">
      <c r="B26" s="126"/>
      <c r="C26" s="127"/>
      <c r="D26" s="242" t="s">
        <v>574</v>
      </c>
      <c r="E26" s="246">
        <f t="shared" si="0"/>
        <v>23</v>
      </c>
      <c r="F26" s="100" t="s">
        <v>492</v>
      </c>
      <c r="G26" s="94" t="s">
        <v>597</v>
      </c>
      <c r="H26" s="352" t="s">
        <v>712</v>
      </c>
      <c r="I26" s="356" t="s">
        <v>293</v>
      </c>
      <c r="J26" s="356" t="s">
        <v>293</v>
      </c>
      <c r="K26" s="356" t="s">
        <v>293</v>
      </c>
      <c r="L26" s="352" t="s">
        <v>712</v>
      </c>
      <c r="M26" s="352" t="s">
        <v>712</v>
      </c>
      <c r="N26" s="356" t="s">
        <v>293</v>
      </c>
      <c r="O26" s="356" t="s">
        <v>293</v>
      </c>
      <c r="P26" s="357" t="s">
        <v>293</v>
      </c>
      <c r="Q26" s="86"/>
      <c r="R26" s="62"/>
      <c r="S26" s="87"/>
      <c r="T26" s="88"/>
      <c r="U26" s="104"/>
    </row>
    <row r="27" spans="2:22" ht="28.2" customHeight="1" x14ac:dyDescent="0.35">
      <c r="B27" s="126"/>
      <c r="C27" s="127"/>
      <c r="D27" s="242" t="s">
        <v>576</v>
      </c>
      <c r="E27" s="246">
        <f t="shared" si="0"/>
        <v>24</v>
      </c>
      <c r="F27" s="100" t="s">
        <v>580</v>
      </c>
      <c r="G27" s="94" t="s">
        <v>597</v>
      </c>
      <c r="H27" s="352" t="s">
        <v>712</v>
      </c>
      <c r="I27" s="356" t="s">
        <v>293</v>
      </c>
      <c r="J27" s="356" t="s">
        <v>293</v>
      </c>
      <c r="K27" s="356" t="s">
        <v>293</v>
      </c>
      <c r="L27" s="352" t="s">
        <v>712</v>
      </c>
      <c r="M27" s="352" t="s">
        <v>712</v>
      </c>
      <c r="N27" s="356" t="s">
        <v>293</v>
      </c>
      <c r="O27" s="356" t="s">
        <v>293</v>
      </c>
      <c r="P27" s="357" t="s">
        <v>293</v>
      </c>
      <c r="Q27" s="86"/>
      <c r="R27" s="62"/>
      <c r="S27" s="87"/>
      <c r="T27" s="88"/>
      <c r="U27" s="408"/>
    </row>
    <row r="28" spans="2:22" ht="28.2" customHeight="1" x14ac:dyDescent="0.35">
      <c r="B28" s="126"/>
      <c r="C28" s="128" t="s">
        <v>487</v>
      </c>
      <c r="D28" s="393" t="s">
        <v>582</v>
      </c>
      <c r="E28" s="97">
        <f t="shared" si="0"/>
        <v>25</v>
      </c>
      <c r="F28" s="98" t="s">
        <v>495</v>
      </c>
      <c r="G28" s="99" t="s">
        <v>598</v>
      </c>
      <c r="H28" s="82" t="s">
        <v>389</v>
      </c>
      <c r="I28" s="53" t="s">
        <v>389</v>
      </c>
      <c r="J28" s="53" t="s">
        <v>293</v>
      </c>
      <c r="K28" s="53" t="s">
        <v>293</v>
      </c>
      <c r="L28" s="53" t="s">
        <v>293</v>
      </c>
      <c r="M28" s="53" t="s">
        <v>293</v>
      </c>
      <c r="N28" s="53" t="s">
        <v>293</v>
      </c>
      <c r="O28" s="53" t="s">
        <v>293</v>
      </c>
      <c r="P28" s="66" t="s">
        <v>293</v>
      </c>
      <c r="Q28" s="68"/>
      <c r="R28" s="54"/>
      <c r="S28" s="70"/>
      <c r="T28" s="361"/>
      <c r="U28" s="392" t="s">
        <v>688</v>
      </c>
      <c r="V28" s="130"/>
    </row>
    <row r="29" spans="2:22" ht="26.4" x14ac:dyDescent="0.35">
      <c r="B29" s="126"/>
      <c r="C29" s="291"/>
      <c r="D29" s="394" t="s">
        <v>583</v>
      </c>
      <c r="E29" s="97">
        <f t="shared" si="0"/>
        <v>26</v>
      </c>
      <c r="F29" s="98" t="s">
        <v>496</v>
      </c>
      <c r="G29" s="99" t="s">
        <v>598</v>
      </c>
      <c r="H29" s="53" t="s">
        <v>389</v>
      </c>
      <c r="I29" s="53" t="s">
        <v>389</v>
      </c>
      <c r="J29" s="53" t="s">
        <v>389</v>
      </c>
      <c r="K29" s="53" t="s">
        <v>389</v>
      </c>
      <c r="L29" s="53" t="s">
        <v>389</v>
      </c>
      <c r="M29" s="53" t="s">
        <v>389</v>
      </c>
      <c r="N29" s="53" t="s">
        <v>293</v>
      </c>
      <c r="O29" s="53" t="s">
        <v>293</v>
      </c>
      <c r="P29" s="66" t="s">
        <v>293</v>
      </c>
      <c r="Q29" s="395"/>
      <c r="R29" s="446"/>
      <c r="S29" s="447"/>
      <c r="T29" s="361"/>
      <c r="U29" s="392" t="s">
        <v>752</v>
      </c>
    </row>
    <row r="30" spans="2:22" ht="28.2" customHeight="1" x14ac:dyDescent="0.35">
      <c r="B30" s="126"/>
      <c r="C30" s="291"/>
      <c r="D30" s="247" t="s">
        <v>590</v>
      </c>
      <c r="E30" s="246">
        <f t="shared" si="0"/>
        <v>27</v>
      </c>
      <c r="F30" s="100" t="s">
        <v>586</v>
      </c>
      <c r="G30" s="94" t="s">
        <v>598</v>
      </c>
      <c r="H30" s="352" t="s">
        <v>712</v>
      </c>
      <c r="I30" s="356" t="s">
        <v>293</v>
      </c>
      <c r="J30" s="356" t="s">
        <v>293</v>
      </c>
      <c r="K30" s="356" t="s">
        <v>293</v>
      </c>
      <c r="L30" s="352" t="s">
        <v>712</v>
      </c>
      <c r="M30" s="352" t="s">
        <v>712</v>
      </c>
      <c r="N30" s="356" t="s">
        <v>293</v>
      </c>
      <c r="O30" s="356" t="s">
        <v>293</v>
      </c>
      <c r="P30" s="357" t="s">
        <v>293</v>
      </c>
      <c r="Q30" s="86"/>
      <c r="R30" s="62"/>
      <c r="S30" s="87"/>
      <c r="T30" s="88"/>
      <c r="U30" s="104"/>
      <c r="V30" s="130"/>
    </row>
    <row r="31" spans="2:22" ht="28.8" customHeight="1" x14ac:dyDescent="0.35">
      <c r="B31" s="126"/>
      <c r="C31" s="127"/>
      <c r="D31" s="247" t="s">
        <v>592</v>
      </c>
      <c r="E31" s="246">
        <f t="shared" si="0"/>
        <v>28</v>
      </c>
      <c r="F31" s="100" t="s">
        <v>586</v>
      </c>
      <c r="G31" s="94" t="s">
        <v>598</v>
      </c>
      <c r="H31" s="352" t="s">
        <v>712</v>
      </c>
      <c r="I31" s="356" t="s">
        <v>293</v>
      </c>
      <c r="J31" s="356" t="s">
        <v>293</v>
      </c>
      <c r="K31" s="356" t="s">
        <v>293</v>
      </c>
      <c r="L31" s="352" t="s">
        <v>712</v>
      </c>
      <c r="M31" s="352" t="s">
        <v>712</v>
      </c>
      <c r="N31" s="356" t="s">
        <v>293</v>
      </c>
      <c r="O31" s="356" t="s">
        <v>293</v>
      </c>
      <c r="P31" s="357" t="s">
        <v>293</v>
      </c>
      <c r="Q31" s="86"/>
      <c r="R31" s="62"/>
      <c r="S31" s="87"/>
      <c r="T31" s="88"/>
      <c r="U31" s="408"/>
    </row>
    <row r="32" spans="2:22" ht="28.2" customHeight="1" x14ac:dyDescent="0.35">
      <c r="B32" s="126"/>
      <c r="C32" s="128" t="s">
        <v>488</v>
      </c>
      <c r="D32" s="291" t="s">
        <v>494</v>
      </c>
      <c r="E32" s="246">
        <f t="shared" si="0"/>
        <v>29</v>
      </c>
      <c r="F32" s="100" t="s">
        <v>587</v>
      </c>
      <c r="G32" s="94" t="s">
        <v>599</v>
      </c>
      <c r="H32" s="352" t="s">
        <v>712</v>
      </c>
      <c r="I32" s="356" t="s">
        <v>293</v>
      </c>
      <c r="J32" s="356" t="s">
        <v>293</v>
      </c>
      <c r="K32" s="356" t="s">
        <v>293</v>
      </c>
      <c r="L32" s="352" t="s">
        <v>712</v>
      </c>
      <c r="M32" s="352" t="s">
        <v>712</v>
      </c>
      <c r="N32" s="356" t="s">
        <v>293</v>
      </c>
      <c r="O32" s="356" t="s">
        <v>293</v>
      </c>
      <c r="P32" s="357" t="s">
        <v>293</v>
      </c>
      <c r="Q32" s="86"/>
      <c r="R32" s="62"/>
      <c r="S32" s="87"/>
      <c r="T32" s="88"/>
      <c r="U32" s="408"/>
    </row>
    <row r="33" spans="2:22" ht="28.2" customHeight="1" x14ac:dyDescent="0.35">
      <c r="B33" s="126"/>
      <c r="C33" s="291"/>
      <c r="D33" s="291"/>
      <c r="E33" s="246">
        <f t="shared" si="0"/>
        <v>30</v>
      </c>
      <c r="F33" s="100" t="s">
        <v>588</v>
      </c>
      <c r="G33" s="94" t="s">
        <v>599</v>
      </c>
      <c r="H33" s="352" t="s">
        <v>712</v>
      </c>
      <c r="I33" s="356" t="s">
        <v>293</v>
      </c>
      <c r="J33" s="356" t="s">
        <v>293</v>
      </c>
      <c r="K33" s="356" t="s">
        <v>293</v>
      </c>
      <c r="L33" s="352" t="s">
        <v>712</v>
      </c>
      <c r="M33" s="352" t="s">
        <v>712</v>
      </c>
      <c r="N33" s="356" t="s">
        <v>293</v>
      </c>
      <c r="O33" s="356" t="s">
        <v>293</v>
      </c>
      <c r="P33" s="357" t="s">
        <v>293</v>
      </c>
      <c r="Q33" s="86"/>
      <c r="R33" s="62"/>
      <c r="S33" s="87"/>
      <c r="T33" s="88"/>
      <c r="U33" s="408"/>
    </row>
    <row r="34" spans="2:22" ht="28.2" customHeight="1" x14ac:dyDescent="0.35">
      <c r="B34" s="126"/>
      <c r="C34" s="127"/>
      <c r="D34" s="294" t="s">
        <v>593</v>
      </c>
      <c r="E34" s="246">
        <f t="shared" si="0"/>
        <v>31</v>
      </c>
      <c r="F34" s="100" t="s">
        <v>631</v>
      </c>
      <c r="G34" s="94" t="s">
        <v>599</v>
      </c>
      <c r="H34" s="352" t="s">
        <v>712</v>
      </c>
      <c r="I34" s="356" t="s">
        <v>293</v>
      </c>
      <c r="J34" s="356" t="s">
        <v>293</v>
      </c>
      <c r="K34" s="356" t="s">
        <v>293</v>
      </c>
      <c r="L34" s="352" t="s">
        <v>712</v>
      </c>
      <c r="M34" s="352" t="s">
        <v>712</v>
      </c>
      <c r="N34" s="356" t="s">
        <v>293</v>
      </c>
      <c r="O34" s="356" t="s">
        <v>293</v>
      </c>
      <c r="P34" s="357" t="s">
        <v>293</v>
      </c>
      <c r="Q34" s="86"/>
      <c r="R34" s="62"/>
      <c r="S34" s="87"/>
      <c r="T34" s="88"/>
      <c r="U34" s="408"/>
    </row>
    <row r="35" spans="2:22" ht="28.2" customHeight="1" x14ac:dyDescent="0.35">
      <c r="B35" s="126"/>
      <c r="C35" s="291"/>
      <c r="D35" s="291"/>
      <c r="E35" s="246">
        <f t="shared" si="0"/>
        <v>32</v>
      </c>
      <c r="F35" s="100" t="s">
        <v>594</v>
      </c>
      <c r="G35" s="94" t="s">
        <v>599</v>
      </c>
      <c r="H35" s="352" t="s">
        <v>712</v>
      </c>
      <c r="I35" s="356" t="s">
        <v>293</v>
      </c>
      <c r="J35" s="356" t="s">
        <v>293</v>
      </c>
      <c r="K35" s="356" t="s">
        <v>293</v>
      </c>
      <c r="L35" s="352" t="s">
        <v>712</v>
      </c>
      <c r="M35" s="352" t="s">
        <v>712</v>
      </c>
      <c r="N35" s="356" t="s">
        <v>293</v>
      </c>
      <c r="O35" s="356" t="s">
        <v>293</v>
      </c>
      <c r="P35" s="357" t="s">
        <v>293</v>
      </c>
      <c r="Q35" s="86"/>
      <c r="R35" s="62"/>
      <c r="S35" s="87"/>
      <c r="T35" s="88"/>
      <c r="U35" s="103"/>
    </row>
    <row r="36" spans="2:22" ht="28.2" customHeight="1" x14ac:dyDescent="0.35">
      <c r="B36" s="129" t="s">
        <v>500</v>
      </c>
      <c r="C36" s="292" t="s">
        <v>484</v>
      </c>
      <c r="D36" s="248"/>
      <c r="E36" s="246">
        <f t="shared" si="0"/>
        <v>33</v>
      </c>
      <c r="F36" s="100" t="s">
        <v>537</v>
      </c>
      <c r="G36" s="94" t="s">
        <v>536</v>
      </c>
      <c r="H36" s="352" t="s">
        <v>712</v>
      </c>
      <c r="I36" s="356" t="s">
        <v>293</v>
      </c>
      <c r="J36" s="356" t="s">
        <v>293</v>
      </c>
      <c r="K36" s="356" t="s">
        <v>293</v>
      </c>
      <c r="L36" s="356" t="s">
        <v>293</v>
      </c>
      <c r="M36" s="356" t="s">
        <v>293</v>
      </c>
      <c r="N36" s="356" t="s">
        <v>293</v>
      </c>
      <c r="O36" s="352" t="s">
        <v>712</v>
      </c>
      <c r="P36" s="357" t="s">
        <v>293</v>
      </c>
      <c r="Q36" s="86"/>
      <c r="R36" s="62"/>
      <c r="S36" s="87"/>
      <c r="T36" s="88"/>
      <c r="U36" s="103"/>
    </row>
    <row r="37" spans="2:22" ht="28.2" customHeight="1" x14ac:dyDescent="0.35">
      <c r="B37" s="126"/>
      <c r="C37" s="293" t="s">
        <v>501</v>
      </c>
      <c r="D37" s="248" t="s">
        <v>502</v>
      </c>
      <c r="E37" s="246">
        <f t="shared" si="0"/>
        <v>34</v>
      </c>
      <c r="F37" s="100" t="s">
        <v>491</v>
      </c>
      <c r="G37" s="94" t="s">
        <v>507</v>
      </c>
      <c r="H37" s="352" t="s">
        <v>712</v>
      </c>
      <c r="I37" s="356" t="s">
        <v>293</v>
      </c>
      <c r="J37" s="356" t="s">
        <v>293</v>
      </c>
      <c r="K37" s="356" t="s">
        <v>293</v>
      </c>
      <c r="L37" s="352" t="s">
        <v>712</v>
      </c>
      <c r="M37" s="352" t="s">
        <v>712</v>
      </c>
      <c r="N37" s="356" t="s">
        <v>293</v>
      </c>
      <c r="O37" s="352" t="s">
        <v>712</v>
      </c>
      <c r="P37" s="357" t="s">
        <v>293</v>
      </c>
      <c r="Q37" s="86"/>
      <c r="R37" s="62"/>
      <c r="S37" s="87"/>
      <c r="T37" s="88"/>
      <c r="U37" s="103"/>
    </row>
    <row r="38" spans="2:22" ht="28.2" customHeight="1" x14ac:dyDescent="0.35">
      <c r="B38" s="126"/>
      <c r="C38" s="291"/>
      <c r="D38" s="245" t="s">
        <v>505</v>
      </c>
      <c r="E38" s="246">
        <f t="shared" si="0"/>
        <v>35</v>
      </c>
      <c r="F38" s="100" t="s">
        <v>504</v>
      </c>
      <c r="G38" s="94" t="s">
        <v>507</v>
      </c>
      <c r="H38" s="352" t="s">
        <v>712</v>
      </c>
      <c r="I38" s="356" t="s">
        <v>293</v>
      </c>
      <c r="J38" s="356" t="s">
        <v>293</v>
      </c>
      <c r="K38" s="356" t="s">
        <v>293</v>
      </c>
      <c r="L38" s="352" t="s">
        <v>712</v>
      </c>
      <c r="M38" s="352" t="s">
        <v>712</v>
      </c>
      <c r="N38" s="356" t="s">
        <v>293</v>
      </c>
      <c r="O38" s="352" t="s">
        <v>712</v>
      </c>
      <c r="P38" s="357" t="s">
        <v>293</v>
      </c>
      <c r="Q38" s="86"/>
      <c r="R38" s="62"/>
      <c r="S38" s="87"/>
      <c r="T38" s="88"/>
      <c r="U38" s="103"/>
    </row>
    <row r="39" spans="2:22" ht="28.2" customHeight="1" x14ac:dyDescent="0.35">
      <c r="B39" s="126"/>
      <c r="C39" s="127"/>
      <c r="D39" s="245" t="s">
        <v>503</v>
      </c>
      <c r="E39" s="246">
        <f t="shared" si="0"/>
        <v>36</v>
      </c>
      <c r="F39" s="100" t="s">
        <v>506</v>
      </c>
      <c r="G39" s="94" t="s">
        <v>507</v>
      </c>
      <c r="H39" s="352" t="s">
        <v>712</v>
      </c>
      <c r="I39" s="356" t="s">
        <v>293</v>
      </c>
      <c r="J39" s="356" t="s">
        <v>293</v>
      </c>
      <c r="K39" s="356" t="s">
        <v>293</v>
      </c>
      <c r="L39" s="352" t="s">
        <v>712</v>
      </c>
      <c r="M39" s="352" t="s">
        <v>712</v>
      </c>
      <c r="N39" s="356" t="s">
        <v>293</v>
      </c>
      <c r="O39" s="352" t="s">
        <v>712</v>
      </c>
      <c r="P39" s="357" t="s">
        <v>293</v>
      </c>
      <c r="Q39" s="86"/>
      <c r="R39" s="62"/>
      <c r="S39" s="87"/>
      <c r="T39" s="88"/>
      <c r="U39" s="103" t="s">
        <v>753</v>
      </c>
    </row>
    <row r="40" spans="2:22" ht="28.2" customHeight="1" x14ac:dyDescent="0.35">
      <c r="B40" s="126"/>
      <c r="C40" s="294" t="s">
        <v>508</v>
      </c>
      <c r="D40" s="248" t="s">
        <v>502</v>
      </c>
      <c r="E40" s="246">
        <f t="shared" si="0"/>
        <v>37</v>
      </c>
      <c r="F40" s="100" t="s">
        <v>491</v>
      </c>
      <c r="G40" s="94" t="s">
        <v>509</v>
      </c>
      <c r="H40" s="352" t="s">
        <v>712</v>
      </c>
      <c r="I40" s="356" t="s">
        <v>293</v>
      </c>
      <c r="J40" s="356" t="s">
        <v>293</v>
      </c>
      <c r="K40" s="356" t="s">
        <v>293</v>
      </c>
      <c r="L40" s="352" t="s">
        <v>712</v>
      </c>
      <c r="M40" s="352" t="s">
        <v>712</v>
      </c>
      <c r="N40" s="356" t="s">
        <v>293</v>
      </c>
      <c r="O40" s="352" t="s">
        <v>712</v>
      </c>
      <c r="P40" s="357" t="s">
        <v>293</v>
      </c>
      <c r="Q40" s="86"/>
      <c r="R40" s="62"/>
      <c r="S40" s="87"/>
      <c r="T40" s="88"/>
      <c r="U40" s="103"/>
    </row>
    <row r="41" spans="2:22" ht="28.2" customHeight="1" x14ac:dyDescent="0.35">
      <c r="B41" s="126"/>
      <c r="C41" s="127"/>
      <c r="D41" s="245" t="s">
        <v>505</v>
      </c>
      <c r="E41" s="246">
        <f t="shared" si="0"/>
        <v>38</v>
      </c>
      <c r="F41" s="100" t="s">
        <v>504</v>
      </c>
      <c r="G41" s="94" t="s">
        <v>509</v>
      </c>
      <c r="H41" s="352" t="s">
        <v>712</v>
      </c>
      <c r="I41" s="356" t="s">
        <v>293</v>
      </c>
      <c r="J41" s="356" t="s">
        <v>293</v>
      </c>
      <c r="K41" s="356" t="s">
        <v>293</v>
      </c>
      <c r="L41" s="352" t="s">
        <v>712</v>
      </c>
      <c r="M41" s="352" t="s">
        <v>712</v>
      </c>
      <c r="N41" s="356" t="s">
        <v>293</v>
      </c>
      <c r="O41" s="352" t="s">
        <v>712</v>
      </c>
      <c r="P41" s="357" t="s">
        <v>293</v>
      </c>
      <c r="Q41" s="86"/>
      <c r="R41" s="62"/>
      <c r="S41" s="87"/>
      <c r="T41" s="88"/>
      <c r="U41" s="103"/>
    </row>
    <row r="42" spans="2:22" ht="28.2" customHeight="1" x14ac:dyDescent="0.35">
      <c r="B42" s="126"/>
      <c r="C42" s="127"/>
      <c r="D42" s="245" t="s">
        <v>503</v>
      </c>
      <c r="E42" s="246">
        <f t="shared" si="0"/>
        <v>39</v>
      </c>
      <c r="F42" s="100" t="s">
        <v>506</v>
      </c>
      <c r="G42" s="94" t="s">
        <v>509</v>
      </c>
      <c r="H42" s="352" t="s">
        <v>712</v>
      </c>
      <c r="I42" s="356" t="s">
        <v>293</v>
      </c>
      <c r="J42" s="356" t="s">
        <v>293</v>
      </c>
      <c r="K42" s="356" t="s">
        <v>293</v>
      </c>
      <c r="L42" s="352" t="s">
        <v>712</v>
      </c>
      <c r="M42" s="352" t="s">
        <v>712</v>
      </c>
      <c r="N42" s="356" t="s">
        <v>293</v>
      </c>
      <c r="O42" s="352" t="s">
        <v>712</v>
      </c>
      <c r="P42" s="357" t="s">
        <v>293</v>
      </c>
      <c r="Q42" s="86"/>
      <c r="R42" s="62"/>
      <c r="S42" s="87"/>
      <c r="T42" s="88"/>
      <c r="U42" s="103" t="s">
        <v>753</v>
      </c>
      <c r="V42" s="130"/>
    </row>
    <row r="43" spans="2:22" ht="28.2" customHeight="1" x14ac:dyDescent="0.35">
      <c r="B43" s="126"/>
      <c r="C43" s="294" t="s">
        <v>510</v>
      </c>
      <c r="D43" s="248" t="s">
        <v>502</v>
      </c>
      <c r="E43" s="246">
        <f t="shared" si="0"/>
        <v>40</v>
      </c>
      <c r="F43" s="100" t="s">
        <v>491</v>
      </c>
      <c r="G43" s="94" t="s">
        <v>511</v>
      </c>
      <c r="H43" s="352" t="s">
        <v>712</v>
      </c>
      <c r="I43" s="356" t="s">
        <v>293</v>
      </c>
      <c r="J43" s="356" t="s">
        <v>293</v>
      </c>
      <c r="K43" s="356" t="s">
        <v>293</v>
      </c>
      <c r="L43" s="352" t="s">
        <v>712</v>
      </c>
      <c r="M43" s="352" t="s">
        <v>712</v>
      </c>
      <c r="N43" s="356" t="s">
        <v>293</v>
      </c>
      <c r="O43" s="352" t="s">
        <v>712</v>
      </c>
      <c r="P43" s="357" t="s">
        <v>293</v>
      </c>
      <c r="Q43" s="86"/>
      <c r="R43" s="62"/>
      <c r="S43" s="87"/>
      <c r="T43" s="88"/>
      <c r="U43" s="104"/>
      <c r="V43" s="130"/>
    </row>
    <row r="44" spans="2:22" ht="28.2" customHeight="1" x14ac:dyDescent="0.35">
      <c r="B44" s="126"/>
      <c r="C44" s="127"/>
      <c r="D44" s="245" t="s">
        <v>505</v>
      </c>
      <c r="E44" s="246">
        <f t="shared" si="0"/>
        <v>41</v>
      </c>
      <c r="F44" s="100" t="s">
        <v>504</v>
      </c>
      <c r="G44" s="94" t="s">
        <v>511</v>
      </c>
      <c r="H44" s="352" t="s">
        <v>712</v>
      </c>
      <c r="I44" s="356" t="s">
        <v>293</v>
      </c>
      <c r="J44" s="356" t="s">
        <v>293</v>
      </c>
      <c r="K44" s="356" t="s">
        <v>293</v>
      </c>
      <c r="L44" s="352" t="s">
        <v>712</v>
      </c>
      <c r="M44" s="352" t="s">
        <v>712</v>
      </c>
      <c r="N44" s="356" t="s">
        <v>293</v>
      </c>
      <c r="O44" s="352" t="s">
        <v>712</v>
      </c>
      <c r="P44" s="357" t="s">
        <v>293</v>
      </c>
      <c r="Q44" s="86"/>
      <c r="R44" s="62"/>
      <c r="S44" s="87"/>
      <c r="T44" s="88"/>
      <c r="U44" s="104"/>
      <c r="V44" s="130"/>
    </row>
    <row r="45" spans="2:22" ht="28.2" customHeight="1" x14ac:dyDescent="0.35">
      <c r="B45" s="126"/>
      <c r="C45" s="127"/>
      <c r="D45" s="245" t="s">
        <v>503</v>
      </c>
      <c r="E45" s="246">
        <f t="shared" si="0"/>
        <v>42</v>
      </c>
      <c r="F45" s="100" t="s">
        <v>506</v>
      </c>
      <c r="G45" s="94" t="s">
        <v>511</v>
      </c>
      <c r="H45" s="352" t="s">
        <v>712</v>
      </c>
      <c r="I45" s="356" t="s">
        <v>293</v>
      </c>
      <c r="J45" s="356" t="s">
        <v>293</v>
      </c>
      <c r="K45" s="356" t="s">
        <v>293</v>
      </c>
      <c r="L45" s="352" t="s">
        <v>712</v>
      </c>
      <c r="M45" s="352" t="s">
        <v>712</v>
      </c>
      <c r="N45" s="356" t="s">
        <v>293</v>
      </c>
      <c r="O45" s="352" t="s">
        <v>712</v>
      </c>
      <c r="P45" s="357" t="s">
        <v>293</v>
      </c>
      <c r="Q45" s="86"/>
      <c r="R45" s="62"/>
      <c r="S45" s="87"/>
      <c r="T45" s="88"/>
      <c r="U45" s="104"/>
      <c r="V45" s="130"/>
    </row>
    <row r="46" spans="2:22" ht="28.2" customHeight="1" x14ac:dyDescent="0.35">
      <c r="B46" s="126"/>
      <c r="C46" s="128" t="s">
        <v>333</v>
      </c>
      <c r="D46" s="248" t="s">
        <v>502</v>
      </c>
      <c r="E46" s="246">
        <f t="shared" si="0"/>
        <v>43</v>
      </c>
      <c r="F46" s="100" t="s">
        <v>491</v>
      </c>
      <c r="G46" s="94" t="s">
        <v>512</v>
      </c>
      <c r="H46" s="352" t="s">
        <v>712</v>
      </c>
      <c r="I46" s="356" t="s">
        <v>293</v>
      </c>
      <c r="J46" s="356" t="s">
        <v>293</v>
      </c>
      <c r="K46" s="356" t="s">
        <v>293</v>
      </c>
      <c r="L46" s="352" t="s">
        <v>712</v>
      </c>
      <c r="M46" s="352" t="s">
        <v>712</v>
      </c>
      <c r="N46" s="356" t="s">
        <v>293</v>
      </c>
      <c r="O46" s="352" t="s">
        <v>712</v>
      </c>
      <c r="P46" s="357" t="s">
        <v>293</v>
      </c>
      <c r="Q46" s="86"/>
      <c r="R46" s="62"/>
      <c r="S46" s="87"/>
      <c r="T46" s="88"/>
      <c r="U46" s="360"/>
    </row>
    <row r="47" spans="2:22" ht="28.2" customHeight="1" x14ac:dyDescent="0.35">
      <c r="B47" s="126"/>
      <c r="C47" s="127"/>
      <c r="D47" s="245" t="s">
        <v>505</v>
      </c>
      <c r="E47" s="246">
        <f t="shared" si="0"/>
        <v>44</v>
      </c>
      <c r="F47" s="100" t="s">
        <v>504</v>
      </c>
      <c r="G47" s="94" t="s">
        <v>512</v>
      </c>
      <c r="H47" s="352" t="s">
        <v>712</v>
      </c>
      <c r="I47" s="356" t="s">
        <v>293</v>
      </c>
      <c r="J47" s="356" t="s">
        <v>293</v>
      </c>
      <c r="K47" s="356" t="s">
        <v>293</v>
      </c>
      <c r="L47" s="352" t="s">
        <v>712</v>
      </c>
      <c r="M47" s="352" t="s">
        <v>712</v>
      </c>
      <c r="N47" s="356" t="s">
        <v>293</v>
      </c>
      <c r="O47" s="352" t="s">
        <v>712</v>
      </c>
      <c r="P47" s="357" t="s">
        <v>293</v>
      </c>
      <c r="Q47" s="86"/>
      <c r="R47" s="62"/>
      <c r="S47" s="87"/>
      <c r="T47" s="88"/>
      <c r="U47" s="360"/>
      <c r="V47" s="130"/>
    </row>
    <row r="48" spans="2:22" ht="28.2" customHeight="1" x14ac:dyDescent="0.35">
      <c r="B48" s="126"/>
      <c r="C48" s="242"/>
      <c r="D48" s="245" t="s">
        <v>503</v>
      </c>
      <c r="E48" s="246">
        <f t="shared" si="0"/>
        <v>45</v>
      </c>
      <c r="F48" s="100" t="s">
        <v>506</v>
      </c>
      <c r="G48" s="94" t="s">
        <v>512</v>
      </c>
      <c r="H48" s="352" t="s">
        <v>712</v>
      </c>
      <c r="I48" s="356" t="s">
        <v>293</v>
      </c>
      <c r="J48" s="356" t="s">
        <v>293</v>
      </c>
      <c r="K48" s="356" t="s">
        <v>293</v>
      </c>
      <c r="L48" s="352" t="s">
        <v>712</v>
      </c>
      <c r="M48" s="352" t="s">
        <v>712</v>
      </c>
      <c r="N48" s="356" t="s">
        <v>293</v>
      </c>
      <c r="O48" s="352" t="s">
        <v>712</v>
      </c>
      <c r="P48" s="357" t="s">
        <v>293</v>
      </c>
      <c r="Q48" s="86"/>
      <c r="R48" s="62"/>
      <c r="S48" s="87"/>
      <c r="T48" s="88"/>
      <c r="U48" s="360"/>
      <c r="V48" s="130"/>
    </row>
    <row r="49" spans="2:22" ht="28.2" customHeight="1" x14ac:dyDescent="0.35">
      <c r="B49" s="126"/>
      <c r="C49" s="128" t="s">
        <v>600</v>
      </c>
      <c r="D49" s="291" t="s">
        <v>601</v>
      </c>
      <c r="E49" s="246">
        <f t="shared" si="0"/>
        <v>46</v>
      </c>
      <c r="F49" s="100" t="s">
        <v>605</v>
      </c>
      <c r="G49" s="94" t="s">
        <v>652</v>
      </c>
      <c r="H49" s="352" t="s">
        <v>712</v>
      </c>
      <c r="I49" s="356" t="s">
        <v>389</v>
      </c>
      <c r="J49" s="356" t="s">
        <v>293</v>
      </c>
      <c r="K49" s="352" t="s">
        <v>712</v>
      </c>
      <c r="L49" s="352" t="s">
        <v>712</v>
      </c>
      <c r="M49" s="352" t="s">
        <v>712</v>
      </c>
      <c r="N49" s="356" t="s">
        <v>293</v>
      </c>
      <c r="O49" s="352" t="s">
        <v>712</v>
      </c>
      <c r="P49" s="357" t="s">
        <v>293</v>
      </c>
      <c r="Q49" s="86"/>
      <c r="R49" s="62"/>
      <c r="S49" s="87"/>
      <c r="T49" s="88"/>
      <c r="U49" s="104"/>
      <c r="V49" s="130"/>
    </row>
    <row r="50" spans="2:22" ht="28.2" customHeight="1" x14ac:dyDescent="0.35">
      <c r="B50" s="126"/>
      <c r="C50" s="291"/>
      <c r="D50" s="247" t="s">
        <v>602</v>
      </c>
      <c r="E50" s="246">
        <f t="shared" si="0"/>
        <v>47</v>
      </c>
      <c r="F50" s="100" t="s">
        <v>606</v>
      </c>
      <c r="G50" s="94" t="s">
        <v>604</v>
      </c>
      <c r="H50" s="352" t="s">
        <v>712</v>
      </c>
      <c r="I50" s="356" t="s">
        <v>389</v>
      </c>
      <c r="J50" s="356" t="s">
        <v>293</v>
      </c>
      <c r="K50" s="352" t="s">
        <v>712</v>
      </c>
      <c r="L50" s="352" t="s">
        <v>712</v>
      </c>
      <c r="M50" s="352" t="s">
        <v>712</v>
      </c>
      <c r="N50" s="356" t="s">
        <v>293</v>
      </c>
      <c r="O50" s="352" t="s">
        <v>712</v>
      </c>
      <c r="P50" s="357" t="s">
        <v>293</v>
      </c>
      <c r="Q50" s="86"/>
      <c r="R50" s="62"/>
      <c r="S50" s="87"/>
      <c r="T50" s="88"/>
      <c r="U50" s="363"/>
    </row>
    <row r="51" spans="2:22" ht="28.8" customHeight="1" x14ac:dyDescent="0.35">
      <c r="B51" s="126"/>
      <c r="C51" s="127"/>
      <c r="D51" s="247" t="s">
        <v>603</v>
      </c>
      <c r="E51" s="246">
        <f t="shared" si="0"/>
        <v>48</v>
      </c>
      <c r="F51" s="100" t="s">
        <v>607</v>
      </c>
      <c r="G51" s="94" t="s">
        <v>685</v>
      </c>
      <c r="H51" s="352" t="s">
        <v>712</v>
      </c>
      <c r="I51" s="356" t="s">
        <v>389</v>
      </c>
      <c r="J51" s="356" t="s">
        <v>293</v>
      </c>
      <c r="K51" s="352" t="s">
        <v>712</v>
      </c>
      <c r="L51" s="352" t="s">
        <v>712</v>
      </c>
      <c r="M51" s="352" t="s">
        <v>712</v>
      </c>
      <c r="N51" s="356" t="s">
        <v>293</v>
      </c>
      <c r="O51" s="352" t="s">
        <v>712</v>
      </c>
      <c r="P51" s="357" t="s">
        <v>293</v>
      </c>
      <c r="Q51" s="86"/>
      <c r="R51" s="62"/>
      <c r="S51" s="87"/>
      <c r="T51" s="88"/>
      <c r="U51" s="363"/>
    </row>
    <row r="52" spans="2:22" ht="28.2" customHeight="1" x14ac:dyDescent="0.35">
      <c r="B52" s="126"/>
      <c r="C52" s="128" t="s">
        <v>608</v>
      </c>
      <c r="D52" s="291" t="s">
        <v>484</v>
      </c>
      <c r="E52" s="246">
        <f t="shared" si="0"/>
        <v>49</v>
      </c>
      <c r="F52" s="100" t="s">
        <v>612</v>
      </c>
      <c r="G52" s="94" t="s">
        <v>610</v>
      </c>
      <c r="H52" s="352" t="s">
        <v>712</v>
      </c>
      <c r="I52" s="356" t="s">
        <v>389</v>
      </c>
      <c r="J52" s="356" t="s">
        <v>293</v>
      </c>
      <c r="K52" s="352" t="s">
        <v>712</v>
      </c>
      <c r="L52" s="352" t="s">
        <v>712</v>
      </c>
      <c r="M52" s="352" t="s">
        <v>712</v>
      </c>
      <c r="N52" s="356" t="s">
        <v>293</v>
      </c>
      <c r="O52" s="352" t="s">
        <v>712</v>
      </c>
      <c r="P52" s="357" t="s">
        <v>293</v>
      </c>
      <c r="Q52" s="86"/>
      <c r="R52" s="62"/>
      <c r="S52" s="87"/>
      <c r="T52" s="88"/>
      <c r="U52" s="104"/>
      <c r="V52" s="130"/>
    </row>
    <row r="53" spans="2:22" ht="28.2" customHeight="1" x14ac:dyDescent="0.35">
      <c r="B53" s="126"/>
      <c r="C53" s="291"/>
      <c r="D53" s="294" t="s">
        <v>613</v>
      </c>
      <c r="E53" s="246">
        <f t="shared" si="0"/>
        <v>50</v>
      </c>
      <c r="F53" s="100" t="s">
        <v>504</v>
      </c>
      <c r="G53" s="94" t="s">
        <v>614</v>
      </c>
      <c r="H53" s="352" t="s">
        <v>712</v>
      </c>
      <c r="I53" s="356" t="s">
        <v>389</v>
      </c>
      <c r="J53" s="356" t="s">
        <v>293</v>
      </c>
      <c r="K53" s="352" t="s">
        <v>712</v>
      </c>
      <c r="L53" s="352" t="s">
        <v>712</v>
      </c>
      <c r="M53" s="352" t="s">
        <v>712</v>
      </c>
      <c r="N53" s="356" t="s">
        <v>293</v>
      </c>
      <c r="O53" s="352" t="s">
        <v>712</v>
      </c>
      <c r="P53" s="357" t="s">
        <v>293</v>
      </c>
      <c r="Q53" s="86"/>
      <c r="R53" s="62"/>
      <c r="S53" s="87"/>
      <c r="T53" s="88"/>
      <c r="U53" s="103"/>
    </row>
    <row r="54" spans="2:22" ht="28.8" customHeight="1" x14ac:dyDescent="0.35">
      <c r="B54" s="126"/>
      <c r="C54" s="127"/>
      <c r="D54" s="242"/>
      <c r="E54" s="246">
        <f t="shared" si="0"/>
        <v>51</v>
      </c>
      <c r="F54" s="100" t="s">
        <v>491</v>
      </c>
      <c r="G54" s="94" t="s">
        <v>615</v>
      </c>
      <c r="H54" s="352" t="s">
        <v>712</v>
      </c>
      <c r="I54" s="356" t="s">
        <v>389</v>
      </c>
      <c r="J54" s="356" t="s">
        <v>293</v>
      </c>
      <c r="K54" s="352" t="s">
        <v>712</v>
      </c>
      <c r="L54" s="352" t="s">
        <v>712</v>
      </c>
      <c r="M54" s="352" t="s">
        <v>712</v>
      </c>
      <c r="N54" s="356" t="s">
        <v>293</v>
      </c>
      <c r="O54" s="352" t="s">
        <v>712</v>
      </c>
      <c r="P54" s="357" t="s">
        <v>293</v>
      </c>
      <c r="Q54" s="86"/>
      <c r="R54" s="62"/>
      <c r="S54" s="87"/>
      <c r="T54" s="88"/>
      <c r="U54" s="103"/>
    </row>
    <row r="55" spans="2:22" ht="28.2" customHeight="1" x14ac:dyDescent="0.35">
      <c r="B55" s="300" t="s">
        <v>513</v>
      </c>
      <c r="C55" s="316" t="s">
        <v>518</v>
      </c>
      <c r="D55" s="302" t="s">
        <v>517</v>
      </c>
      <c r="E55" s="303">
        <f t="shared" si="0"/>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0"/>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0"/>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0"/>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0"/>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0"/>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0"/>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0"/>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0"/>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455" t="s">
        <v>513</v>
      </c>
      <c r="C64" s="454" t="s">
        <v>518</v>
      </c>
      <c r="D64" s="398" t="s">
        <v>517</v>
      </c>
      <c r="E64" s="97">
        <f t="shared" si="0"/>
        <v>61</v>
      </c>
      <c r="F64" s="98" t="s">
        <v>514</v>
      </c>
      <c r="G64" s="99" t="s">
        <v>515</v>
      </c>
      <c r="H64" s="82" t="s">
        <v>293</v>
      </c>
      <c r="I64" s="53" t="s">
        <v>293</v>
      </c>
      <c r="J64" s="53" t="s">
        <v>293</v>
      </c>
      <c r="K64" s="53" t="s">
        <v>293</v>
      </c>
      <c r="L64" s="82" t="s">
        <v>293</v>
      </c>
      <c r="M64" s="82" t="s">
        <v>293</v>
      </c>
      <c r="N64" s="53" t="s">
        <v>293</v>
      </c>
      <c r="O64" s="53" t="s">
        <v>293</v>
      </c>
      <c r="P64" s="66" t="s">
        <v>293</v>
      </c>
      <c r="Q64" s="395"/>
      <c r="R64" s="446"/>
      <c r="S64" s="447"/>
      <c r="T64" s="361"/>
      <c r="U64" s="105"/>
      <c r="V64" s="130"/>
    </row>
    <row r="65" spans="1:22" ht="48.6" customHeight="1" x14ac:dyDescent="0.35">
      <c r="B65" s="487" t="s">
        <v>528</v>
      </c>
      <c r="C65" s="396"/>
      <c r="D65" s="96" t="s">
        <v>520</v>
      </c>
      <c r="E65" s="97">
        <f t="shared" si="0"/>
        <v>62</v>
      </c>
      <c r="F65" s="98" t="s">
        <v>520</v>
      </c>
      <c r="G65" s="99" t="s">
        <v>527</v>
      </c>
      <c r="H65" s="82" t="s">
        <v>293</v>
      </c>
      <c r="I65" s="53" t="s">
        <v>389</v>
      </c>
      <c r="J65" s="53" t="s">
        <v>293</v>
      </c>
      <c r="K65" s="53" t="s">
        <v>293</v>
      </c>
      <c r="L65" s="53" t="s">
        <v>293</v>
      </c>
      <c r="M65" s="53" t="s">
        <v>293</v>
      </c>
      <c r="N65" s="53" t="s">
        <v>293</v>
      </c>
      <c r="O65" s="53" t="s">
        <v>293</v>
      </c>
      <c r="P65" s="66" t="s">
        <v>293</v>
      </c>
      <c r="Q65" s="395"/>
      <c r="R65" s="446"/>
      <c r="S65" s="447"/>
      <c r="T65" s="361"/>
      <c r="U65" s="105"/>
      <c r="V65" s="130"/>
    </row>
    <row r="66" spans="1:22" ht="28.2" customHeight="1" x14ac:dyDescent="0.35">
      <c r="B66" s="411"/>
      <c r="C66" s="396"/>
      <c r="D66" s="96" t="s">
        <v>522</v>
      </c>
      <c r="E66" s="97">
        <f t="shared" si="0"/>
        <v>63</v>
      </c>
      <c r="F66" s="98" t="s">
        <v>530</v>
      </c>
      <c r="G66" s="99" t="s">
        <v>527</v>
      </c>
      <c r="H66" s="82" t="s">
        <v>293</v>
      </c>
      <c r="I66" s="53" t="s">
        <v>293</v>
      </c>
      <c r="J66" s="53" t="s">
        <v>293</v>
      </c>
      <c r="K66" s="53" t="s">
        <v>293</v>
      </c>
      <c r="L66" s="82" t="s">
        <v>293</v>
      </c>
      <c r="M66" s="82" t="s">
        <v>293</v>
      </c>
      <c r="N66" s="53" t="s">
        <v>293</v>
      </c>
      <c r="O66" s="53" t="s">
        <v>293</v>
      </c>
      <c r="P66" s="66" t="s">
        <v>293</v>
      </c>
      <c r="Q66" s="395"/>
      <c r="R66" s="446"/>
      <c r="S66" s="447"/>
      <c r="T66" s="361"/>
      <c r="U66" s="105"/>
    </row>
    <row r="67" spans="1:22" ht="28.2" customHeight="1" x14ac:dyDescent="0.35">
      <c r="B67" s="411"/>
      <c r="C67" s="396"/>
      <c r="D67" s="96" t="s">
        <v>529</v>
      </c>
      <c r="E67" s="97">
        <f t="shared" si="0"/>
        <v>64</v>
      </c>
      <c r="F67" s="96" t="s">
        <v>531</v>
      </c>
      <c r="G67" s="99" t="s">
        <v>527</v>
      </c>
      <c r="H67" s="82" t="s">
        <v>293</v>
      </c>
      <c r="I67" s="53" t="s">
        <v>293</v>
      </c>
      <c r="J67" s="53" t="s">
        <v>293</v>
      </c>
      <c r="K67" s="53" t="s">
        <v>293</v>
      </c>
      <c r="L67" s="82" t="s">
        <v>293</v>
      </c>
      <c r="M67" s="82" t="s">
        <v>293</v>
      </c>
      <c r="N67" s="53" t="s">
        <v>293</v>
      </c>
      <c r="O67" s="53" t="s">
        <v>293</v>
      </c>
      <c r="P67" s="66" t="s">
        <v>293</v>
      </c>
      <c r="Q67" s="395"/>
      <c r="R67" s="446"/>
      <c r="S67" s="447"/>
      <c r="T67" s="361"/>
      <c r="U67" s="105"/>
    </row>
    <row r="68" spans="1:22" ht="28.2" customHeight="1" x14ac:dyDescent="0.35">
      <c r="B68" s="411"/>
      <c r="C68" s="396"/>
      <c r="D68" s="96" t="s">
        <v>523</v>
      </c>
      <c r="E68" s="97">
        <f t="shared" si="0"/>
        <v>65</v>
      </c>
      <c r="F68" s="96" t="s">
        <v>532</v>
      </c>
      <c r="G68" s="99" t="s">
        <v>527</v>
      </c>
      <c r="H68" s="82" t="s">
        <v>293</v>
      </c>
      <c r="I68" s="53" t="s">
        <v>293</v>
      </c>
      <c r="J68" s="53" t="s">
        <v>293</v>
      </c>
      <c r="K68" s="53" t="s">
        <v>293</v>
      </c>
      <c r="L68" s="82" t="s">
        <v>293</v>
      </c>
      <c r="M68" s="82" t="s">
        <v>293</v>
      </c>
      <c r="N68" s="53" t="s">
        <v>293</v>
      </c>
      <c r="O68" s="53" t="s">
        <v>293</v>
      </c>
      <c r="P68" s="66" t="s">
        <v>293</v>
      </c>
      <c r="Q68" s="395"/>
      <c r="R68" s="446"/>
      <c r="S68" s="447"/>
      <c r="T68" s="361"/>
      <c r="U68" s="105"/>
      <c r="V68" s="130"/>
    </row>
    <row r="69" spans="1:22" ht="28.2" customHeight="1" x14ac:dyDescent="0.35">
      <c r="B69" s="411"/>
      <c r="C69" s="396"/>
      <c r="D69" s="96" t="s">
        <v>524</v>
      </c>
      <c r="E69" s="97">
        <f t="shared" ref="E69:E72" si="1">ROW()-3</f>
        <v>66</v>
      </c>
      <c r="F69" s="96" t="s">
        <v>533</v>
      </c>
      <c r="G69" s="99" t="s">
        <v>527</v>
      </c>
      <c r="H69" s="82" t="s">
        <v>293</v>
      </c>
      <c r="I69" s="53" t="s">
        <v>293</v>
      </c>
      <c r="J69" s="53" t="s">
        <v>293</v>
      </c>
      <c r="K69" s="53" t="s">
        <v>293</v>
      </c>
      <c r="L69" s="82" t="s">
        <v>293</v>
      </c>
      <c r="M69" s="82" t="s">
        <v>293</v>
      </c>
      <c r="N69" s="53" t="s">
        <v>293</v>
      </c>
      <c r="O69" s="53" t="s">
        <v>293</v>
      </c>
      <c r="P69" s="66" t="s">
        <v>293</v>
      </c>
      <c r="Q69" s="395"/>
      <c r="R69" s="446"/>
      <c r="S69" s="447"/>
      <c r="T69" s="361"/>
      <c r="U69" s="105"/>
      <c r="V69" s="130"/>
    </row>
    <row r="70" spans="1:22" ht="37.799999999999997" customHeight="1" x14ac:dyDescent="0.35">
      <c r="B70" s="411"/>
      <c r="C70" s="396"/>
      <c r="D70" s="96" t="s">
        <v>525</v>
      </c>
      <c r="E70" s="97">
        <f t="shared" si="1"/>
        <v>67</v>
      </c>
      <c r="F70" s="96" t="s">
        <v>534</v>
      </c>
      <c r="G70" s="99" t="s">
        <v>527</v>
      </c>
      <c r="H70" s="82" t="s">
        <v>293</v>
      </c>
      <c r="I70" s="53" t="s">
        <v>293</v>
      </c>
      <c r="J70" s="53" t="s">
        <v>293</v>
      </c>
      <c r="K70" s="53" t="s">
        <v>293</v>
      </c>
      <c r="L70" s="53" t="s">
        <v>293</v>
      </c>
      <c r="M70" s="53" t="s">
        <v>293</v>
      </c>
      <c r="N70" s="53" t="s">
        <v>293</v>
      </c>
      <c r="O70" s="53" t="s">
        <v>293</v>
      </c>
      <c r="P70" s="66" t="s">
        <v>293</v>
      </c>
      <c r="Q70" s="395"/>
      <c r="R70" s="446"/>
      <c r="S70" s="447"/>
      <c r="T70" s="361"/>
      <c r="U70" s="392"/>
    </row>
    <row r="71" spans="1:22" ht="28.2" customHeight="1" x14ac:dyDescent="0.35">
      <c r="B71" s="411"/>
      <c r="C71" s="396"/>
      <c r="D71" s="96" t="s">
        <v>519</v>
      </c>
      <c r="E71" s="97">
        <f t="shared" si="1"/>
        <v>68</v>
      </c>
      <c r="F71" s="96" t="s">
        <v>521</v>
      </c>
      <c r="G71" s="99" t="s">
        <v>527</v>
      </c>
      <c r="H71" s="82" t="s">
        <v>293</v>
      </c>
      <c r="I71" s="53" t="s">
        <v>293</v>
      </c>
      <c r="J71" s="53" t="s">
        <v>293</v>
      </c>
      <c r="K71" s="53" t="s">
        <v>293</v>
      </c>
      <c r="L71" s="82" t="s">
        <v>293</v>
      </c>
      <c r="M71" s="82" t="s">
        <v>293</v>
      </c>
      <c r="N71" s="53" t="s">
        <v>293</v>
      </c>
      <c r="O71" s="53" t="s">
        <v>293</v>
      </c>
      <c r="P71" s="66" t="s">
        <v>293</v>
      </c>
      <c r="Q71" s="395"/>
      <c r="R71" s="446"/>
      <c r="S71" s="447"/>
      <c r="T71" s="361"/>
      <c r="U71" s="105"/>
    </row>
    <row r="72" spans="1:22" ht="36" customHeight="1" x14ac:dyDescent="0.35">
      <c r="B72" s="411"/>
      <c r="C72" s="396"/>
      <c r="D72" s="96" t="s">
        <v>526</v>
      </c>
      <c r="E72" s="97">
        <f t="shared" si="1"/>
        <v>69</v>
      </c>
      <c r="F72" s="96" t="s">
        <v>535</v>
      </c>
      <c r="G72" s="99" t="s">
        <v>617</v>
      </c>
      <c r="H72" s="53" t="s">
        <v>293</v>
      </c>
      <c r="I72" s="53" t="s">
        <v>293</v>
      </c>
      <c r="J72" s="53" t="s">
        <v>293</v>
      </c>
      <c r="K72" s="82" t="s">
        <v>293</v>
      </c>
      <c r="L72" s="53" t="s">
        <v>293</v>
      </c>
      <c r="M72" s="53" t="s">
        <v>293</v>
      </c>
      <c r="N72" s="53" t="s">
        <v>293</v>
      </c>
      <c r="O72" s="53" t="s">
        <v>293</v>
      </c>
      <c r="P72" s="66" t="s">
        <v>293</v>
      </c>
      <c r="Q72" s="395"/>
      <c r="R72" s="446"/>
      <c r="S72" s="447"/>
      <c r="T72" s="361"/>
      <c r="U72" s="105"/>
    </row>
    <row r="73" spans="1:22" ht="28.2" customHeight="1" x14ac:dyDescent="0.35">
      <c r="B73" s="129" t="s">
        <v>754</v>
      </c>
      <c r="C73" s="128" t="s">
        <v>755</v>
      </c>
      <c r="D73" s="91"/>
      <c r="E73" s="92"/>
      <c r="F73" s="93" t="s">
        <v>756</v>
      </c>
      <c r="G73" s="94" t="s">
        <v>757</v>
      </c>
      <c r="H73" s="352" t="s">
        <v>712</v>
      </c>
      <c r="I73" s="356" t="s">
        <v>389</v>
      </c>
      <c r="J73" s="356" t="s">
        <v>293</v>
      </c>
      <c r="K73" s="352" t="s">
        <v>712</v>
      </c>
      <c r="L73" s="51" t="s">
        <v>293</v>
      </c>
      <c r="M73" s="51" t="s">
        <v>293</v>
      </c>
      <c r="N73" s="50" t="s">
        <v>293</v>
      </c>
      <c r="O73" s="50" t="s">
        <v>293</v>
      </c>
      <c r="P73" s="65" t="s">
        <v>293</v>
      </c>
      <c r="Q73" s="86"/>
      <c r="R73" s="62"/>
      <c r="S73" s="87"/>
      <c r="T73" s="88"/>
      <c r="U73" s="103"/>
    </row>
    <row r="74" spans="1:22" ht="28.2" customHeight="1" thickBot="1" x14ac:dyDescent="0.4">
      <c r="B74" s="126"/>
      <c r="C74" s="128"/>
      <c r="D74" s="159"/>
      <c r="E74" s="160"/>
      <c r="F74" s="161"/>
      <c r="G74" s="162"/>
      <c r="H74" s="83" t="s">
        <v>293</v>
      </c>
      <c r="I74" s="56" t="s">
        <v>293</v>
      </c>
      <c r="J74" s="56" t="s">
        <v>293</v>
      </c>
      <c r="K74" s="55" t="s">
        <v>293</v>
      </c>
      <c r="L74" s="56" t="s">
        <v>293</v>
      </c>
      <c r="M74" s="56" t="s">
        <v>293</v>
      </c>
      <c r="N74" s="55" t="s">
        <v>293</v>
      </c>
      <c r="O74" s="55" t="s">
        <v>293</v>
      </c>
      <c r="P74" s="75" t="s">
        <v>293</v>
      </c>
      <c r="Q74" s="76"/>
      <c r="R74" s="57"/>
      <c r="S74" s="77"/>
      <c r="T74" s="73"/>
      <c r="U74" s="107"/>
    </row>
    <row r="75" spans="1:22" ht="18" customHeight="1" x14ac:dyDescent="0.35">
      <c r="B75" s="556" t="s">
        <v>70</v>
      </c>
      <c r="C75" s="557"/>
      <c r="D75" s="557">
        <f>SUM(H77:P77)</f>
        <v>0</v>
      </c>
      <c r="E75" s="163"/>
      <c r="F75" s="164"/>
      <c r="G75" s="269" t="s">
        <v>275</v>
      </c>
      <c r="H75" s="166">
        <f>COUNTIF(H4:H74,"●")+COUNTIF(H4:H74,"■")+COUNTIF(H4:H74,"OK")</f>
        <v>0</v>
      </c>
      <c r="I75" s="166">
        <f t="shared" ref="I75:P75" si="2">COUNTIF(I4:I74,"●")+COUNTIF(I4:I74,"■")+COUNTIF(I4:I74,"OK")</f>
        <v>0</v>
      </c>
      <c r="J75" s="166">
        <f t="shared" si="2"/>
        <v>0</v>
      </c>
      <c r="K75" s="166">
        <f t="shared" si="2"/>
        <v>0</v>
      </c>
      <c r="L75" s="166">
        <f t="shared" si="2"/>
        <v>0</v>
      </c>
      <c r="M75" s="166">
        <f t="shared" si="2"/>
        <v>0</v>
      </c>
      <c r="N75" s="166">
        <f t="shared" si="2"/>
        <v>0</v>
      </c>
      <c r="O75" s="166">
        <f t="shared" si="2"/>
        <v>0</v>
      </c>
      <c r="P75" s="166">
        <f t="shared" si="2"/>
        <v>0</v>
      </c>
      <c r="Q75" s="571" t="s">
        <v>69</v>
      </c>
      <c r="R75" s="571"/>
      <c r="S75" s="571"/>
      <c r="T75" s="167"/>
      <c r="U75" s="168"/>
    </row>
    <row r="76" spans="1:22" ht="18" customHeight="1" x14ac:dyDescent="0.35">
      <c r="B76" s="558"/>
      <c r="C76" s="559"/>
      <c r="D76" s="559"/>
      <c r="E76" s="58"/>
      <c r="F76" s="59"/>
      <c r="G76" s="270" t="s">
        <v>274</v>
      </c>
      <c r="H76" s="78">
        <f>COUNTIF(H4:H74,"×")+COUNTIF(H4:H74,"NG")</f>
        <v>0</v>
      </c>
      <c r="I76" s="78">
        <f t="shared" ref="I76:P76" si="3">COUNTIF(I4:I74,"×")+COUNTIF(I4:I74,"NG")</f>
        <v>0</v>
      </c>
      <c r="J76" s="78">
        <f t="shared" si="3"/>
        <v>0</v>
      </c>
      <c r="K76" s="78">
        <f t="shared" si="3"/>
        <v>0</v>
      </c>
      <c r="L76" s="78">
        <f t="shared" si="3"/>
        <v>0</v>
      </c>
      <c r="M76" s="78">
        <f t="shared" si="3"/>
        <v>0</v>
      </c>
      <c r="N76" s="78">
        <f t="shared" si="3"/>
        <v>0</v>
      </c>
      <c r="O76" s="78">
        <f t="shared" si="3"/>
        <v>0</v>
      </c>
      <c r="P76" s="78">
        <f t="shared" si="3"/>
        <v>0</v>
      </c>
      <c r="Q76" s="572"/>
      <c r="R76" s="572"/>
      <c r="S76" s="572"/>
      <c r="T76" s="74"/>
      <c r="U76" s="108"/>
    </row>
    <row r="77" spans="1:22" ht="18" customHeight="1" x14ac:dyDescent="0.35">
      <c r="B77" s="560" t="s">
        <v>67</v>
      </c>
      <c r="C77" s="561"/>
      <c r="D77" s="561">
        <f>SUM(H78:P78)</f>
        <v>163</v>
      </c>
      <c r="E77" s="48"/>
      <c r="F77" s="49"/>
      <c r="G77" s="270" t="s">
        <v>68</v>
      </c>
      <c r="H77" s="78">
        <f t="shared" ref="H77:P77" si="4">H75+H76</f>
        <v>0</v>
      </c>
      <c r="I77" s="79">
        <f t="shared" si="4"/>
        <v>0</v>
      </c>
      <c r="J77" s="79">
        <f t="shared" si="4"/>
        <v>0</v>
      </c>
      <c r="K77" s="79">
        <f t="shared" si="4"/>
        <v>0</v>
      </c>
      <c r="L77" s="79">
        <f t="shared" si="4"/>
        <v>0</v>
      </c>
      <c r="M77" s="79">
        <f t="shared" si="4"/>
        <v>0</v>
      </c>
      <c r="N77" s="79">
        <f t="shared" si="4"/>
        <v>0</v>
      </c>
      <c r="O77" s="79">
        <f t="shared" si="4"/>
        <v>0</v>
      </c>
      <c r="P77" s="80">
        <f t="shared" si="4"/>
        <v>0</v>
      </c>
      <c r="Q77" s="573">
        <f>COUNTA(Q4:Q74)</f>
        <v>0</v>
      </c>
      <c r="R77" s="575">
        <f>COUNTA(R4:R74)</f>
        <v>0</v>
      </c>
      <c r="S77" s="577">
        <f>COUNTA(S4:S74)</f>
        <v>0</v>
      </c>
      <c r="T77" s="74"/>
      <c r="U77" s="108"/>
    </row>
    <row r="78" spans="1:22" ht="18" customHeight="1" thickBot="1" x14ac:dyDescent="0.4">
      <c r="A78" s="122"/>
      <c r="B78" s="562"/>
      <c r="C78" s="563"/>
      <c r="D78" s="563"/>
      <c r="E78" s="109"/>
      <c r="F78" s="110"/>
      <c r="G78" s="271" t="s">
        <v>66</v>
      </c>
      <c r="H78" s="112">
        <f>COUNTBLANK(H4:H74)+H77+COUNTIF(H4:H74,"□")</f>
        <v>46</v>
      </c>
      <c r="I78" s="112">
        <f t="shared" ref="I78:P78" si="5">COUNTBLANK(I4:I74)+I77+COUNTIF(I4:I74,"□")</f>
        <v>0</v>
      </c>
      <c r="J78" s="112">
        <f t="shared" si="5"/>
        <v>0</v>
      </c>
      <c r="K78" s="112">
        <f t="shared" si="5"/>
        <v>10</v>
      </c>
      <c r="L78" s="112">
        <f t="shared" si="5"/>
        <v>44</v>
      </c>
      <c r="M78" s="112">
        <f t="shared" si="5"/>
        <v>44</v>
      </c>
      <c r="N78" s="112">
        <f t="shared" si="5"/>
        <v>0</v>
      </c>
      <c r="O78" s="112">
        <f t="shared" si="5"/>
        <v>19</v>
      </c>
      <c r="P78" s="112">
        <f t="shared" si="5"/>
        <v>0</v>
      </c>
      <c r="Q78" s="574"/>
      <c r="R78" s="576"/>
      <c r="S78" s="578"/>
      <c r="T78" s="115"/>
      <c r="U78" s="116"/>
    </row>
    <row r="79" spans="1:22" ht="24" customHeight="1" x14ac:dyDescent="0.35">
      <c r="F79" s="63"/>
      <c r="G79" s="63"/>
    </row>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O11" sqref="O11"/>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538</v>
      </c>
      <c r="E1" s="125"/>
    </row>
    <row r="2" spans="1:22" ht="24" customHeight="1" x14ac:dyDescent="0.35">
      <c r="A2" s="122"/>
      <c r="B2" s="552" t="s">
        <v>94</v>
      </c>
      <c r="C2" s="554" t="s">
        <v>93</v>
      </c>
      <c r="D2" s="554" t="s">
        <v>235</v>
      </c>
      <c r="E2" s="564" t="s">
        <v>228</v>
      </c>
      <c r="F2" s="565"/>
      <c r="G2" s="566"/>
      <c r="H2" s="579" t="s">
        <v>553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542</v>
      </c>
      <c r="G3" s="118" t="s">
        <v>88</v>
      </c>
      <c r="H3" s="131" t="s">
        <v>87</v>
      </c>
      <c r="I3" s="132" t="s">
        <v>86</v>
      </c>
      <c r="J3" s="133" t="s">
        <v>84</v>
      </c>
      <c r="K3" s="133" t="s">
        <v>554</v>
      </c>
      <c r="L3" s="133" t="s">
        <v>555</v>
      </c>
      <c r="M3" s="133" t="s">
        <v>556</v>
      </c>
      <c r="N3" s="296" t="s">
        <v>389</v>
      </c>
      <c r="O3" s="297" t="s">
        <v>389</v>
      </c>
      <c r="P3" s="298" t="s">
        <v>389</v>
      </c>
      <c r="Q3" s="117" t="s">
        <v>78</v>
      </c>
      <c r="R3" s="119" t="s">
        <v>77</v>
      </c>
      <c r="S3" s="120" t="s">
        <v>229</v>
      </c>
      <c r="T3" s="555"/>
      <c r="U3" s="570"/>
    </row>
    <row r="4" spans="1:22" ht="28.2" customHeight="1" x14ac:dyDescent="0.35">
      <c r="B4" s="126" t="s">
        <v>539</v>
      </c>
      <c r="C4" s="127" t="s">
        <v>540</v>
      </c>
      <c r="D4" s="242" t="s">
        <v>541</v>
      </c>
      <c r="E4" s="243">
        <f>ROW()-3</f>
        <v>1</v>
      </c>
      <c r="F4" s="244" t="s">
        <v>560</v>
      </c>
      <c r="G4" s="90" t="s">
        <v>544</v>
      </c>
      <c r="H4" s="84" t="s">
        <v>800</v>
      </c>
      <c r="I4" s="51" t="s">
        <v>293</v>
      </c>
      <c r="J4" s="84" t="s">
        <v>800</v>
      </c>
      <c r="K4" s="61" t="s">
        <v>557</v>
      </c>
      <c r="L4" s="61" t="s">
        <v>557</v>
      </c>
      <c r="M4" s="61" t="s">
        <v>557</v>
      </c>
      <c r="N4" s="61" t="s">
        <v>293</v>
      </c>
      <c r="O4" s="61" t="s">
        <v>293</v>
      </c>
      <c r="P4" s="85" t="s">
        <v>293</v>
      </c>
      <c r="Q4" s="86">
        <v>45686</v>
      </c>
      <c r="R4" s="62"/>
      <c r="S4" s="87"/>
      <c r="T4" s="88" t="s">
        <v>802</v>
      </c>
      <c r="U4" s="102"/>
    </row>
    <row r="5" spans="1:22" ht="28.2" customHeight="1" x14ac:dyDescent="0.35">
      <c r="B5" s="126"/>
      <c r="C5" s="291"/>
      <c r="D5" s="291" t="s">
        <v>543</v>
      </c>
      <c r="E5" s="246">
        <f t="shared" ref="E5:E19" si="0">ROW()-3</f>
        <v>2</v>
      </c>
      <c r="F5" s="100" t="s">
        <v>552</v>
      </c>
      <c r="G5" s="94" t="s">
        <v>545</v>
      </c>
      <c r="H5" s="84" t="s">
        <v>800</v>
      </c>
      <c r="I5" s="51" t="s">
        <v>293</v>
      </c>
      <c r="J5" s="84" t="s">
        <v>800</v>
      </c>
      <c r="K5" s="51" t="s">
        <v>293</v>
      </c>
      <c r="L5" s="51" t="s">
        <v>293</v>
      </c>
      <c r="M5" s="51" t="s">
        <v>293</v>
      </c>
      <c r="N5" s="51" t="s">
        <v>293</v>
      </c>
      <c r="O5" s="51" t="s">
        <v>293</v>
      </c>
      <c r="P5" s="65" t="s">
        <v>293</v>
      </c>
      <c r="Q5" s="86">
        <v>45686</v>
      </c>
      <c r="R5" s="62"/>
      <c r="S5" s="87"/>
      <c r="T5" s="88" t="s">
        <v>802</v>
      </c>
      <c r="U5" s="103"/>
    </row>
    <row r="6" spans="1:22" ht="28.2" customHeight="1" x14ac:dyDescent="0.35">
      <c r="B6" s="126"/>
      <c r="C6" s="291"/>
      <c r="D6" s="291"/>
      <c r="E6" s="246">
        <f t="shared" si="0"/>
        <v>3</v>
      </c>
      <c r="F6" s="100" t="s">
        <v>546</v>
      </c>
      <c r="G6" s="94" t="s">
        <v>547</v>
      </c>
      <c r="H6" s="84" t="s">
        <v>800</v>
      </c>
      <c r="I6" s="51" t="s">
        <v>293</v>
      </c>
      <c r="J6" s="84" t="s">
        <v>800</v>
      </c>
      <c r="K6" s="51" t="s">
        <v>293</v>
      </c>
      <c r="L6" s="51" t="s">
        <v>293</v>
      </c>
      <c r="M6" s="51" t="s">
        <v>293</v>
      </c>
      <c r="N6" s="51" t="s">
        <v>389</v>
      </c>
      <c r="O6" s="51" t="s">
        <v>293</v>
      </c>
      <c r="P6" s="65" t="s">
        <v>293</v>
      </c>
      <c r="Q6" s="86">
        <v>45686</v>
      </c>
      <c r="R6" s="62"/>
      <c r="S6" s="87"/>
      <c r="T6" s="88" t="s">
        <v>802</v>
      </c>
      <c r="U6" s="104"/>
    </row>
    <row r="7" spans="1:22" ht="28.2" customHeight="1" x14ac:dyDescent="0.35">
      <c r="B7" s="126"/>
      <c r="C7" s="291"/>
      <c r="D7" s="242"/>
      <c r="E7" s="246">
        <f t="shared" si="0"/>
        <v>4</v>
      </c>
      <c r="F7" s="100" t="s">
        <v>558</v>
      </c>
      <c r="G7" s="94" t="s">
        <v>559</v>
      </c>
      <c r="H7" s="84" t="s">
        <v>800</v>
      </c>
      <c r="I7" s="51" t="s">
        <v>293</v>
      </c>
      <c r="J7" s="84" t="s">
        <v>800</v>
      </c>
      <c r="K7" s="51" t="s">
        <v>293</v>
      </c>
      <c r="L7" s="51" t="s">
        <v>293</v>
      </c>
      <c r="M7" s="51" t="s">
        <v>293</v>
      </c>
      <c r="N7" s="51" t="s">
        <v>389</v>
      </c>
      <c r="O7" s="51" t="s">
        <v>293</v>
      </c>
      <c r="P7" s="65" t="s">
        <v>293</v>
      </c>
      <c r="Q7" s="86">
        <v>45686</v>
      </c>
      <c r="R7" s="62"/>
      <c r="S7" s="87"/>
      <c r="T7" s="88" t="s">
        <v>802</v>
      </c>
      <c r="U7" s="104"/>
    </row>
    <row r="8" spans="1:22" ht="28.2" customHeight="1" x14ac:dyDescent="0.35">
      <c r="B8" s="126"/>
      <c r="C8" s="291"/>
      <c r="D8" s="291" t="s">
        <v>548</v>
      </c>
      <c r="E8" s="246">
        <f t="shared" si="0"/>
        <v>5</v>
      </c>
      <c r="F8" s="100" t="s">
        <v>551</v>
      </c>
      <c r="G8" s="94" t="s">
        <v>545</v>
      </c>
      <c r="H8" s="84" t="s">
        <v>800</v>
      </c>
      <c r="I8" s="51" t="s">
        <v>293</v>
      </c>
      <c r="J8" s="84" t="s">
        <v>800</v>
      </c>
      <c r="K8" s="51" t="s">
        <v>293</v>
      </c>
      <c r="L8" s="51" t="s">
        <v>293</v>
      </c>
      <c r="M8" s="51" t="s">
        <v>293</v>
      </c>
      <c r="N8" s="51" t="s">
        <v>293</v>
      </c>
      <c r="O8" s="51" t="s">
        <v>293</v>
      </c>
      <c r="P8" s="65" t="s">
        <v>293</v>
      </c>
      <c r="Q8" s="86">
        <v>45686</v>
      </c>
      <c r="R8" s="62"/>
      <c r="S8" s="87"/>
      <c r="T8" s="88" t="s">
        <v>802</v>
      </c>
      <c r="U8" s="104"/>
    </row>
    <row r="9" spans="1:22" ht="28.2" customHeight="1" x14ac:dyDescent="0.35">
      <c r="B9" s="126"/>
      <c r="C9" s="291"/>
      <c r="D9" s="291"/>
      <c r="E9" s="246">
        <f t="shared" si="0"/>
        <v>6</v>
      </c>
      <c r="F9" s="100" t="s">
        <v>546</v>
      </c>
      <c r="G9" s="94" t="s">
        <v>547</v>
      </c>
      <c r="H9" s="84" t="s">
        <v>800</v>
      </c>
      <c r="I9" s="51" t="s">
        <v>293</v>
      </c>
      <c r="J9" s="84" t="s">
        <v>800</v>
      </c>
      <c r="K9" s="51" t="s">
        <v>293</v>
      </c>
      <c r="L9" s="51" t="s">
        <v>293</v>
      </c>
      <c r="M9" s="51" t="s">
        <v>293</v>
      </c>
      <c r="N9" s="51" t="s">
        <v>293</v>
      </c>
      <c r="O9" s="51" t="s">
        <v>293</v>
      </c>
      <c r="P9" s="65" t="s">
        <v>293</v>
      </c>
      <c r="Q9" s="86">
        <v>45686</v>
      </c>
      <c r="R9" s="62"/>
      <c r="S9" s="87"/>
      <c r="T9" s="88" t="s">
        <v>802</v>
      </c>
      <c r="U9" s="103"/>
    </row>
    <row r="10" spans="1:22" ht="28.2" customHeight="1" x14ac:dyDescent="0.35">
      <c r="B10" s="126"/>
      <c r="C10" s="291"/>
      <c r="D10" s="242"/>
      <c r="E10" s="246">
        <f t="shared" si="0"/>
        <v>7</v>
      </c>
      <c r="F10" s="100" t="s">
        <v>558</v>
      </c>
      <c r="G10" s="94" t="s">
        <v>559</v>
      </c>
      <c r="H10" s="84" t="s">
        <v>800</v>
      </c>
      <c r="I10" s="51" t="s">
        <v>293</v>
      </c>
      <c r="J10" s="84" t="s">
        <v>800</v>
      </c>
      <c r="K10" s="51" t="s">
        <v>293</v>
      </c>
      <c r="L10" s="51" t="s">
        <v>293</v>
      </c>
      <c r="M10" s="51" t="s">
        <v>293</v>
      </c>
      <c r="N10" s="51" t="s">
        <v>389</v>
      </c>
      <c r="O10" s="51" t="s">
        <v>293</v>
      </c>
      <c r="P10" s="65" t="s">
        <v>293</v>
      </c>
      <c r="Q10" s="86">
        <v>45686</v>
      </c>
      <c r="R10" s="62"/>
      <c r="S10" s="87"/>
      <c r="T10" s="88" t="s">
        <v>802</v>
      </c>
      <c r="U10" s="104"/>
    </row>
    <row r="11" spans="1:22" ht="28.2" customHeight="1" x14ac:dyDescent="0.35">
      <c r="B11" s="126"/>
      <c r="C11" s="291"/>
      <c r="D11" s="291" t="s">
        <v>549</v>
      </c>
      <c r="E11" s="246">
        <f t="shared" si="0"/>
        <v>8</v>
      </c>
      <c r="F11" s="100" t="s">
        <v>550</v>
      </c>
      <c r="G11" s="94" t="s">
        <v>545</v>
      </c>
      <c r="H11" s="84" t="s">
        <v>800</v>
      </c>
      <c r="I11" s="51" t="s">
        <v>293</v>
      </c>
      <c r="J11" s="84" t="s">
        <v>800</v>
      </c>
      <c r="K11" s="51" t="s">
        <v>293</v>
      </c>
      <c r="L11" s="51" t="s">
        <v>293</v>
      </c>
      <c r="M11" s="51" t="s">
        <v>293</v>
      </c>
      <c r="N11" s="51" t="s">
        <v>293</v>
      </c>
      <c r="O11" s="51" t="s">
        <v>293</v>
      </c>
      <c r="P11" s="65" t="s">
        <v>293</v>
      </c>
      <c r="Q11" s="86">
        <v>45686</v>
      </c>
      <c r="R11" s="62"/>
      <c r="S11" s="87"/>
      <c r="T11" s="88" t="s">
        <v>802</v>
      </c>
      <c r="U11" s="104"/>
    </row>
    <row r="12" spans="1:22" ht="28.2" customHeight="1" x14ac:dyDescent="0.35">
      <c r="B12" s="126"/>
      <c r="C12" s="290"/>
      <c r="D12" s="291"/>
      <c r="E12" s="246">
        <f t="shared" si="0"/>
        <v>9</v>
      </c>
      <c r="F12" s="100" t="s">
        <v>546</v>
      </c>
      <c r="G12" s="94" t="s">
        <v>547</v>
      </c>
      <c r="H12" s="84" t="s">
        <v>800</v>
      </c>
      <c r="I12" s="51" t="s">
        <v>293</v>
      </c>
      <c r="J12" s="84" t="s">
        <v>800</v>
      </c>
      <c r="K12" s="51" t="s">
        <v>293</v>
      </c>
      <c r="L12" s="51" t="s">
        <v>293</v>
      </c>
      <c r="M12" s="51" t="s">
        <v>293</v>
      </c>
      <c r="N12" s="51" t="s">
        <v>293</v>
      </c>
      <c r="O12" s="51" t="s">
        <v>293</v>
      </c>
      <c r="P12" s="65" t="s">
        <v>293</v>
      </c>
      <c r="Q12" s="86">
        <v>45686</v>
      </c>
      <c r="R12" s="62"/>
      <c r="S12" s="87"/>
      <c r="T12" s="88" t="s">
        <v>802</v>
      </c>
      <c r="U12" s="104"/>
      <c r="V12" s="130"/>
    </row>
    <row r="13" spans="1:22" ht="28.2" customHeight="1" x14ac:dyDescent="0.35">
      <c r="B13" s="126"/>
      <c r="C13" s="291"/>
      <c r="D13" s="242"/>
      <c r="E13" s="246">
        <f t="shared" si="0"/>
        <v>10</v>
      </c>
      <c r="F13" s="100" t="s">
        <v>558</v>
      </c>
      <c r="G13" s="94" t="s">
        <v>559</v>
      </c>
      <c r="H13" s="84" t="s">
        <v>800</v>
      </c>
      <c r="I13" s="51" t="s">
        <v>293</v>
      </c>
      <c r="J13" s="84" t="s">
        <v>800</v>
      </c>
      <c r="K13" s="51" t="s">
        <v>293</v>
      </c>
      <c r="L13" s="51" t="s">
        <v>293</v>
      </c>
      <c r="M13" s="51" t="s">
        <v>293</v>
      </c>
      <c r="N13" s="51" t="s">
        <v>389</v>
      </c>
      <c r="O13" s="51" t="s">
        <v>293</v>
      </c>
      <c r="P13" s="65" t="s">
        <v>293</v>
      </c>
      <c r="Q13" s="86">
        <v>45686</v>
      </c>
      <c r="R13" s="62"/>
      <c r="S13" s="87"/>
      <c r="T13" s="88" t="s">
        <v>802</v>
      </c>
      <c r="U13" s="104"/>
    </row>
    <row r="14" spans="1:22" ht="28.2" customHeight="1" x14ac:dyDescent="0.35">
      <c r="B14" s="126"/>
      <c r="C14" s="291"/>
      <c r="D14" s="291" t="s">
        <v>645</v>
      </c>
      <c r="E14" s="246">
        <f t="shared" si="0"/>
        <v>11</v>
      </c>
      <c r="F14" s="100" t="s">
        <v>644</v>
      </c>
      <c r="G14" s="94" t="s">
        <v>545</v>
      </c>
      <c r="H14" s="84" t="s">
        <v>712</v>
      </c>
      <c r="I14" s="51" t="s">
        <v>293</v>
      </c>
      <c r="J14" s="84" t="s">
        <v>712</v>
      </c>
      <c r="K14" s="51" t="s">
        <v>293</v>
      </c>
      <c r="L14" s="51" t="s">
        <v>293</v>
      </c>
      <c r="M14" s="51" t="s">
        <v>293</v>
      </c>
      <c r="N14" s="51" t="s">
        <v>293</v>
      </c>
      <c r="O14" s="51" t="s">
        <v>293</v>
      </c>
      <c r="P14" s="65" t="s">
        <v>293</v>
      </c>
      <c r="Q14" s="86"/>
      <c r="R14" s="62"/>
      <c r="S14" s="87"/>
      <c r="T14" s="88"/>
      <c r="U14" s="104"/>
    </row>
    <row r="15" spans="1:22" ht="28.2" customHeight="1" x14ac:dyDescent="0.35">
      <c r="B15" s="126"/>
      <c r="C15" s="290"/>
      <c r="D15" s="291"/>
      <c r="E15" s="246">
        <f t="shared" si="0"/>
        <v>12</v>
      </c>
      <c r="F15" s="100" t="s">
        <v>546</v>
      </c>
      <c r="G15" s="94" t="s">
        <v>547</v>
      </c>
      <c r="H15" s="84" t="s">
        <v>712</v>
      </c>
      <c r="I15" s="51" t="s">
        <v>293</v>
      </c>
      <c r="J15" s="84" t="s">
        <v>712</v>
      </c>
      <c r="K15" s="51" t="s">
        <v>293</v>
      </c>
      <c r="L15" s="51" t="s">
        <v>293</v>
      </c>
      <c r="M15" s="51" t="s">
        <v>293</v>
      </c>
      <c r="N15" s="51" t="s">
        <v>293</v>
      </c>
      <c r="O15" s="51" t="s">
        <v>293</v>
      </c>
      <c r="P15" s="65" t="s">
        <v>293</v>
      </c>
      <c r="Q15" s="86"/>
      <c r="R15" s="62"/>
      <c r="S15" s="87"/>
      <c r="T15" s="88"/>
      <c r="U15" s="104"/>
      <c r="V15" s="130"/>
    </row>
    <row r="16" spans="1:22" ht="28.2" customHeight="1" x14ac:dyDescent="0.35">
      <c r="B16" s="126"/>
      <c r="C16" s="291"/>
      <c r="D16" s="242"/>
      <c r="E16" s="246">
        <f t="shared" si="0"/>
        <v>13</v>
      </c>
      <c r="F16" s="100" t="s">
        <v>558</v>
      </c>
      <c r="G16" s="94" t="s">
        <v>559</v>
      </c>
      <c r="H16" s="84" t="s">
        <v>712</v>
      </c>
      <c r="I16" s="51" t="s">
        <v>293</v>
      </c>
      <c r="J16" s="84" t="s">
        <v>712</v>
      </c>
      <c r="K16" s="51" t="s">
        <v>293</v>
      </c>
      <c r="L16" s="51" t="s">
        <v>293</v>
      </c>
      <c r="M16" s="51" t="s">
        <v>293</v>
      </c>
      <c r="N16" s="51" t="s">
        <v>389</v>
      </c>
      <c r="O16" s="51" t="s">
        <v>293</v>
      </c>
      <c r="P16" s="65" t="s">
        <v>293</v>
      </c>
      <c r="Q16" s="86"/>
      <c r="R16" s="62"/>
      <c r="S16" s="87"/>
      <c r="T16" s="88"/>
      <c r="U16" s="104"/>
    </row>
    <row r="17" spans="1:22" ht="28.2" customHeight="1" x14ac:dyDescent="0.35">
      <c r="B17" s="126"/>
      <c r="C17" s="291"/>
      <c r="D17" s="291" t="s">
        <v>646</v>
      </c>
      <c r="E17" s="246">
        <f t="shared" si="0"/>
        <v>14</v>
      </c>
      <c r="F17" s="100" t="s">
        <v>644</v>
      </c>
      <c r="G17" s="94" t="s">
        <v>545</v>
      </c>
      <c r="H17" s="84" t="s">
        <v>712</v>
      </c>
      <c r="I17" s="51" t="s">
        <v>293</v>
      </c>
      <c r="J17" s="84" t="s">
        <v>712</v>
      </c>
      <c r="K17" s="51" t="s">
        <v>293</v>
      </c>
      <c r="L17" s="51" t="s">
        <v>293</v>
      </c>
      <c r="M17" s="51" t="s">
        <v>293</v>
      </c>
      <c r="N17" s="51" t="s">
        <v>293</v>
      </c>
      <c r="O17" s="51" t="s">
        <v>293</v>
      </c>
      <c r="P17" s="65" t="s">
        <v>293</v>
      </c>
      <c r="Q17" s="86"/>
      <c r="R17" s="62"/>
      <c r="S17" s="87"/>
      <c r="T17" s="88"/>
      <c r="U17" s="104"/>
    </row>
    <row r="18" spans="1:22" ht="28.2" customHeight="1" x14ac:dyDescent="0.35">
      <c r="B18" s="126"/>
      <c r="C18" s="290"/>
      <c r="D18" s="291"/>
      <c r="E18" s="246">
        <f t="shared" si="0"/>
        <v>15</v>
      </c>
      <c r="F18" s="100" t="s">
        <v>546</v>
      </c>
      <c r="G18" s="94" t="s">
        <v>547</v>
      </c>
      <c r="H18" s="84" t="s">
        <v>712</v>
      </c>
      <c r="I18" s="51" t="s">
        <v>293</v>
      </c>
      <c r="J18" s="84" t="s">
        <v>712</v>
      </c>
      <c r="K18" s="51" t="s">
        <v>293</v>
      </c>
      <c r="L18" s="51" t="s">
        <v>293</v>
      </c>
      <c r="M18" s="51" t="s">
        <v>293</v>
      </c>
      <c r="N18" s="51" t="s">
        <v>293</v>
      </c>
      <c r="O18" s="51" t="s">
        <v>293</v>
      </c>
      <c r="P18" s="65" t="s">
        <v>293</v>
      </c>
      <c r="Q18" s="86"/>
      <c r="R18" s="62"/>
      <c r="S18" s="87"/>
      <c r="T18" s="88"/>
      <c r="U18" s="104"/>
      <c r="V18" s="130"/>
    </row>
    <row r="19" spans="1:22" ht="28.2" customHeight="1" x14ac:dyDescent="0.35">
      <c r="B19" s="126"/>
      <c r="C19" s="291"/>
      <c r="D19" s="242"/>
      <c r="E19" s="246">
        <f t="shared" si="0"/>
        <v>16</v>
      </c>
      <c r="F19" s="100" t="s">
        <v>558</v>
      </c>
      <c r="G19" s="94" t="s">
        <v>559</v>
      </c>
      <c r="H19" s="84" t="s">
        <v>712</v>
      </c>
      <c r="I19" s="51" t="s">
        <v>293</v>
      </c>
      <c r="J19" s="84" t="s">
        <v>712</v>
      </c>
      <c r="K19" s="51" t="s">
        <v>293</v>
      </c>
      <c r="L19" s="51" t="s">
        <v>293</v>
      </c>
      <c r="M19" s="51" t="s">
        <v>293</v>
      </c>
      <c r="N19" s="51" t="s">
        <v>389</v>
      </c>
      <c r="O19" s="51" t="s">
        <v>293</v>
      </c>
      <c r="P19" s="65" t="s">
        <v>293</v>
      </c>
      <c r="Q19" s="86"/>
      <c r="R19" s="62"/>
      <c r="S19" s="87"/>
      <c r="T19" s="88"/>
      <c r="U19" s="104"/>
    </row>
    <row r="20" spans="1:22" ht="28.2" customHeight="1" x14ac:dyDescent="0.35">
      <c r="B20" s="129"/>
      <c r="C20" s="294"/>
      <c r="D20" s="242"/>
      <c r="E20" s="246"/>
      <c r="F20" s="100"/>
      <c r="G20" s="94"/>
      <c r="H20" s="64" t="s">
        <v>293</v>
      </c>
      <c r="I20" s="51" t="s">
        <v>293</v>
      </c>
      <c r="J20" s="51" t="s">
        <v>293</v>
      </c>
      <c r="K20" s="50" t="s">
        <v>293</v>
      </c>
      <c r="L20" s="51" t="s">
        <v>293</v>
      </c>
      <c r="M20" s="51" t="s">
        <v>293</v>
      </c>
      <c r="N20" s="51" t="s">
        <v>293</v>
      </c>
      <c r="O20" s="51" t="s">
        <v>293</v>
      </c>
      <c r="P20" s="65" t="s">
        <v>293</v>
      </c>
      <c r="Q20" s="67"/>
      <c r="R20" s="52"/>
      <c r="S20" s="69"/>
      <c r="T20" s="88"/>
      <c r="U20" s="103"/>
    </row>
    <row r="21" spans="1:22" ht="28.2" customHeight="1" x14ac:dyDescent="0.35">
      <c r="B21" s="299"/>
      <c r="C21" s="128"/>
      <c r="D21" s="91"/>
      <c r="E21" s="92"/>
      <c r="F21" s="93"/>
      <c r="G21" s="94"/>
      <c r="H21" s="64" t="s">
        <v>293</v>
      </c>
      <c r="I21" s="51" t="s">
        <v>293</v>
      </c>
      <c r="J21" s="51" t="s">
        <v>293</v>
      </c>
      <c r="K21" s="50" t="s">
        <v>293</v>
      </c>
      <c r="L21" s="51" t="s">
        <v>293</v>
      </c>
      <c r="M21" s="51" t="s">
        <v>293</v>
      </c>
      <c r="N21" s="50" t="s">
        <v>293</v>
      </c>
      <c r="O21" s="50" t="s">
        <v>293</v>
      </c>
      <c r="P21" s="65" t="s">
        <v>293</v>
      </c>
      <c r="Q21" s="67"/>
      <c r="R21" s="52"/>
      <c r="S21" s="69"/>
      <c r="T21" s="71"/>
      <c r="U21" s="103"/>
    </row>
    <row r="22" spans="1:22" ht="28.2" customHeight="1" thickBot="1" x14ac:dyDescent="0.4">
      <c r="B22" s="126"/>
      <c r="C22" s="128"/>
      <c r="D22" s="159"/>
      <c r="E22" s="160"/>
      <c r="F22" s="161"/>
      <c r="G22" s="162"/>
      <c r="H22" s="83" t="s">
        <v>293</v>
      </c>
      <c r="I22" s="56" t="s">
        <v>293</v>
      </c>
      <c r="J22" s="56" t="s">
        <v>293</v>
      </c>
      <c r="K22" s="55" t="s">
        <v>293</v>
      </c>
      <c r="L22" s="56" t="s">
        <v>293</v>
      </c>
      <c r="M22" s="56" t="s">
        <v>293</v>
      </c>
      <c r="N22" s="55" t="s">
        <v>293</v>
      </c>
      <c r="O22" s="55" t="s">
        <v>293</v>
      </c>
      <c r="P22" s="75" t="s">
        <v>293</v>
      </c>
      <c r="Q22" s="76"/>
      <c r="R22" s="57"/>
      <c r="S22" s="77"/>
      <c r="T22" s="73"/>
      <c r="U22" s="107"/>
    </row>
    <row r="23" spans="1:22" ht="18" customHeight="1" x14ac:dyDescent="0.35">
      <c r="B23" s="556" t="s">
        <v>70</v>
      </c>
      <c r="C23" s="557"/>
      <c r="D23" s="557">
        <f>SUM(H25:P25)</f>
        <v>20</v>
      </c>
      <c r="E23" s="163"/>
      <c r="F23" s="164"/>
      <c r="G23" s="269" t="s">
        <v>275</v>
      </c>
      <c r="H23" s="166">
        <f>COUNTIF(H4:H22,"●")+COUNTIF(H4:H22,"■")+COUNTIF(H4:H22,"OK")</f>
        <v>10</v>
      </c>
      <c r="I23" s="166">
        <f t="shared" ref="I23:P23" si="1">COUNTIF(I4:I22,"●")+COUNTIF(I4:I22,"■")+COUNTIF(I4:I22,"OK")</f>
        <v>0</v>
      </c>
      <c r="J23" s="166">
        <f t="shared" si="1"/>
        <v>10</v>
      </c>
      <c r="K23" s="166">
        <f t="shared" si="1"/>
        <v>0</v>
      </c>
      <c r="L23" s="166">
        <f t="shared" si="1"/>
        <v>0</v>
      </c>
      <c r="M23" s="166">
        <f t="shared" si="1"/>
        <v>0</v>
      </c>
      <c r="N23" s="166">
        <f t="shared" si="1"/>
        <v>0</v>
      </c>
      <c r="O23" s="166">
        <f t="shared" si="1"/>
        <v>0</v>
      </c>
      <c r="P23" s="166">
        <f t="shared" si="1"/>
        <v>0</v>
      </c>
      <c r="Q23" s="571" t="s">
        <v>69</v>
      </c>
      <c r="R23" s="571"/>
      <c r="S23" s="571"/>
      <c r="T23" s="167"/>
      <c r="U23" s="168"/>
    </row>
    <row r="24" spans="1:22" ht="18" customHeight="1" x14ac:dyDescent="0.35">
      <c r="B24" s="558"/>
      <c r="C24" s="559"/>
      <c r="D24" s="559"/>
      <c r="E24" s="58"/>
      <c r="F24" s="59"/>
      <c r="G24" s="270" t="s">
        <v>274</v>
      </c>
      <c r="H24" s="78">
        <f t="shared" ref="H24:P24" si="2">COUNTIF(H4:H22,"×")+COUNTIF(H4:H22,"NG")</f>
        <v>0</v>
      </c>
      <c r="I24" s="79">
        <f t="shared" si="2"/>
        <v>0</v>
      </c>
      <c r="J24" s="79">
        <f t="shared" si="2"/>
        <v>0</v>
      </c>
      <c r="K24" s="79">
        <f t="shared" si="2"/>
        <v>0</v>
      </c>
      <c r="L24" s="79">
        <f t="shared" si="2"/>
        <v>0</v>
      </c>
      <c r="M24" s="79">
        <f t="shared" si="2"/>
        <v>0</v>
      </c>
      <c r="N24" s="79">
        <f t="shared" si="2"/>
        <v>0</v>
      </c>
      <c r="O24" s="79">
        <f t="shared" si="2"/>
        <v>0</v>
      </c>
      <c r="P24" s="80">
        <f t="shared" si="2"/>
        <v>0</v>
      </c>
      <c r="Q24" s="572"/>
      <c r="R24" s="572"/>
      <c r="S24" s="572"/>
      <c r="T24" s="74"/>
      <c r="U24" s="108"/>
    </row>
    <row r="25" spans="1:22" ht="18" customHeight="1" x14ac:dyDescent="0.35">
      <c r="B25" s="560" t="s">
        <v>67</v>
      </c>
      <c r="C25" s="561"/>
      <c r="D25" s="561">
        <f>SUM(H26:P26)</f>
        <v>32</v>
      </c>
      <c r="E25" s="48"/>
      <c r="F25" s="49"/>
      <c r="G25" s="270" t="s">
        <v>68</v>
      </c>
      <c r="H25" s="78">
        <f t="shared" ref="H25:P25" si="3">H23+H24</f>
        <v>10</v>
      </c>
      <c r="I25" s="79">
        <f t="shared" si="3"/>
        <v>0</v>
      </c>
      <c r="J25" s="79">
        <f t="shared" si="3"/>
        <v>10</v>
      </c>
      <c r="K25" s="79">
        <f t="shared" si="3"/>
        <v>0</v>
      </c>
      <c r="L25" s="79">
        <f t="shared" si="3"/>
        <v>0</v>
      </c>
      <c r="M25" s="79">
        <f t="shared" si="3"/>
        <v>0</v>
      </c>
      <c r="N25" s="79">
        <f t="shared" si="3"/>
        <v>0</v>
      </c>
      <c r="O25" s="79">
        <f t="shared" si="3"/>
        <v>0</v>
      </c>
      <c r="P25" s="80">
        <f t="shared" si="3"/>
        <v>0</v>
      </c>
      <c r="Q25" s="573">
        <f>COUNTA(Q4:Q22)</f>
        <v>10</v>
      </c>
      <c r="R25" s="575">
        <f>COUNTA(R4:R22)</f>
        <v>0</v>
      </c>
      <c r="S25" s="577">
        <f>COUNTA(S4:S22)</f>
        <v>0</v>
      </c>
      <c r="T25" s="74"/>
      <c r="U25" s="108"/>
    </row>
    <row r="26" spans="1:22" ht="18" customHeight="1" thickBot="1" x14ac:dyDescent="0.4">
      <c r="A26" s="122"/>
      <c r="B26" s="562"/>
      <c r="C26" s="563"/>
      <c r="D26" s="563"/>
      <c r="E26" s="109"/>
      <c r="F26" s="110"/>
      <c r="G26" s="271" t="s">
        <v>66</v>
      </c>
      <c r="H26" s="112">
        <f t="shared" ref="H26:P26" si="4">COUNTBLANK(H4:H22)+H25+COUNTIF(H4:H22,"□")</f>
        <v>16</v>
      </c>
      <c r="I26" s="113">
        <f t="shared" si="4"/>
        <v>0</v>
      </c>
      <c r="J26" s="113">
        <f t="shared" si="4"/>
        <v>16</v>
      </c>
      <c r="K26" s="113">
        <f t="shared" si="4"/>
        <v>0</v>
      </c>
      <c r="L26" s="113">
        <f t="shared" si="4"/>
        <v>0</v>
      </c>
      <c r="M26" s="113">
        <f t="shared" si="4"/>
        <v>0</v>
      </c>
      <c r="N26" s="113">
        <f t="shared" si="4"/>
        <v>0</v>
      </c>
      <c r="O26" s="113">
        <f t="shared" si="4"/>
        <v>0</v>
      </c>
      <c r="P26" s="114">
        <f t="shared" si="4"/>
        <v>0</v>
      </c>
      <c r="Q26" s="574"/>
      <c r="R26" s="576"/>
      <c r="S26" s="578"/>
      <c r="T26" s="115"/>
      <c r="U26" s="116"/>
    </row>
    <row r="27" spans="1:22" ht="24" customHeight="1" x14ac:dyDescent="0.35">
      <c r="F27" s="63"/>
      <c r="G27" s="63"/>
    </row>
  </sheetData>
  <mergeCells count="16">
    <mergeCell ref="T2:T3"/>
    <mergeCell ref="U2:U3"/>
    <mergeCell ref="B23:C24"/>
    <mergeCell ref="D23:D24"/>
    <mergeCell ref="Q23:S24"/>
    <mergeCell ref="B2:B3"/>
    <mergeCell ref="C2:C3"/>
    <mergeCell ref="D2:D3"/>
    <mergeCell ref="E2:G2"/>
    <mergeCell ref="H2:P2"/>
    <mergeCell ref="Q2:S2"/>
    <mergeCell ref="B25:C26"/>
    <mergeCell ref="D25:D26"/>
    <mergeCell ref="Q25:Q26"/>
    <mergeCell ref="R25:R26"/>
    <mergeCell ref="S25:S26"/>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2" x14ac:dyDescent="0.2"/>
  <cols>
    <col min="9" max="9" width="12.88671875" bestFit="1" customWidth="1"/>
  </cols>
  <sheetData>
    <row r="1" spans="2:9" x14ac:dyDescent="0.2">
      <c r="B1" t="s">
        <v>727</v>
      </c>
      <c r="I1" t="s">
        <v>728</v>
      </c>
    </row>
    <row r="2" spans="2:9" x14ac:dyDescent="0.2">
      <c r="B2">
        <v>2899999999994</v>
      </c>
      <c r="I2">
        <v>2818208658799</v>
      </c>
    </row>
    <row r="17" spans="2:2" x14ac:dyDescent="0.2">
      <c r="B17" t="s">
        <v>726</v>
      </c>
    </row>
  </sheetData>
  <phoneticPr fontId="23"/>
  <pageMargins left="0.7" right="0.7" top="0.75" bottom="0.75" header="0.3" footer="0.3"/>
  <drawing r:id="rId1"/>
  <legacyDrawing r:id="rId2"/>
  <controls>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15</xdr:col>
                <xdr:colOff>198120</xdr:colOff>
                <xdr:row>11</xdr:row>
                <xdr:rowOff>106680</xdr:rowOff>
              </to>
            </anchor>
          </controlPr>
        </control>
      </mc:Choice>
      <mc:Fallback>
        <control shapeId="13314" r:id="rId3" name="BarCodeCtrl2"/>
      </mc:Fallback>
    </mc:AlternateContent>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8</xdr:col>
                <xdr:colOff>45720</xdr:colOff>
                <xdr:row>11</xdr:row>
                <xdr:rowOff>137160</xdr:rowOff>
              </to>
            </anchor>
          </controlPr>
        </control>
      </mc:Choice>
      <mc:Fallback>
        <control shapeId="13313" r:id="rId5" name="BarCodeCtrl1"/>
      </mc:Fallback>
    </mc:AlternateContent>
    <mc:AlternateContent xmlns:mc="http://schemas.openxmlformats.org/markup-compatibility/2006">
      <mc:Choice Requires="x14">
        <control shapeId="13315" r:id="rId7" name="BarCodeCtrl3">
          <controlPr defaultSize="0" autoLine="0" autoPict="0" r:id="rId8">
            <anchor moveWithCells="1">
              <from>
                <xdr:col>0</xdr:col>
                <xdr:colOff>350520</xdr:colOff>
                <xdr:row>17</xdr:row>
                <xdr:rowOff>83820</xdr:rowOff>
              </from>
              <to>
                <xdr:col>5</xdr:col>
                <xdr:colOff>441960</xdr:colOff>
                <xdr:row>22</xdr:row>
                <xdr:rowOff>121920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2"/>
  <sheetViews>
    <sheetView view="pageBreakPreview" zoomScale="80" zoomScaleNormal="70" zoomScaleSheetLayoutView="80" workbookViewId="0">
      <pane ySplit="3" topLeftCell="A4" activePane="bottomLeft" state="frozen"/>
      <selection pane="bottomLeft"/>
    </sheetView>
  </sheetViews>
  <sheetFormatPr defaultColWidth="8.77734375" defaultRowHeight="15" x14ac:dyDescent="0.4"/>
  <cols>
    <col min="1" max="1" width="3.109375" style="170" customWidth="1"/>
    <col min="2" max="2" width="12.88671875" style="170" customWidth="1"/>
    <col min="3" max="4" width="14.109375" style="170" bestFit="1" customWidth="1"/>
    <col min="5" max="5" width="4.33203125" style="170" customWidth="1"/>
    <col min="6" max="6" width="22.6640625" style="170" customWidth="1"/>
    <col min="7" max="7" width="21.33203125" style="170" bestFit="1" customWidth="1"/>
    <col min="8" max="8" width="11.88671875" style="170" customWidth="1"/>
    <col min="9" max="9" width="53.21875" style="170" bestFit="1" customWidth="1"/>
    <col min="10" max="10" width="63.77734375" style="170" bestFit="1" customWidth="1"/>
    <col min="11" max="12" width="4.77734375" style="172" customWidth="1"/>
    <col min="13" max="13" width="5.21875" style="172" customWidth="1"/>
    <col min="14" max="19" width="4.77734375" style="172" customWidth="1"/>
    <col min="20" max="22" width="4.33203125" style="172" customWidth="1"/>
    <col min="23" max="23" width="6" style="172" customWidth="1"/>
    <col min="24" max="24" width="28.88671875" style="173" customWidth="1"/>
    <col min="25" max="25" width="4.77734375" style="173" customWidth="1"/>
    <col min="26" max="16384" width="8.77734375" style="173"/>
  </cols>
  <sheetData>
    <row r="1" spans="1:24" s="124" customFormat="1" ht="20.399999999999999" thickBot="1" x14ac:dyDescent="0.4">
      <c r="A1" s="121"/>
      <c r="B1" s="125" t="s">
        <v>298</v>
      </c>
      <c r="C1" s="125"/>
      <c r="D1" s="121"/>
      <c r="E1" s="121"/>
      <c r="F1" s="123"/>
      <c r="G1" s="123"/>
      <c r="H1" s="123"/>
      <c r="I1" s="123"/>
      <c r="J1" s="123"/>
      <c r="K1" s="123"/>
      <c r="L1" s="123"/>
      <c r="M1" s="123"/>
      <c r="N1" s="123"/>
      <c r="O1" s="123"/>
      <c r="P1" s="123"/>
      <c r="Q1" s="123"/>
      <c r="R1" s="123"/>
      <c r="S1" s="123"/>
    </row>
    <row r="2" spans="1:24" s="124" customFormat="1" ht="24.6" customHeight="1" x14ac:dyDescent="0.35">
      <c r="A2" s="122"/>
      <c r="B2" s="552" t="s">
        <v>94</v>
      </c>
      <c r="C2" s="554" t="s">
        <v>93</v>
      </c>
      <c r="D2" s="554" t="s">
        <v>235</v>
      </c>
      <c r="E2" s="568" t="s">
        <v>228</v>
      </c>
      <c r="F2" s="568"/>
      <c r="G2" s="568"/>
      <c r="H2" s="568"/>
      <c r="I2" s="568"/>
      <c r="J2" s="619"/>
      <c r="K2" s="622" t="s">
        <v>283</v>
      </c>
      <c r="L2" s="623"/>
      <c r="M2" s="623"/>
      <c r="N2" s="623"/>
      <c r="O2" s="623"/>
      <c r="P2" s="623"/>
      <c r="Q2" s="623"/>
      <c r="R2" s="623"/>
      <c r="S2" s="623"/>
      <c r="T2" s="567" t="s">
        <v>230</v>
      </c>
      <c r="U2" s="568"/>
      <c r="V2" s="619"/>
      <c r="W2" s="554" t="s">
        <v>76</v>
      </c>
      <c r="X2" s="569" t="s">
        <v>75</v>
      </c>
    </row>
    <row r="3" spans="1:24" s="124" customFormat="1" ht="27" thickBot="1" x14ac:dyDescent="0.4">
      <c r="A3" s="122"/>
      <c r="B3" s="553"/>
      <c r="C3" s="555"/>
      <c r="D3" s="555"/>
      <c r="E3" s="283" t="s">
        <v>91</v>
      </c>
      <c r="F3" s="620" t="s">
        <v>90</v>
      </c>
      <c r="G3" s="621"/>
      <c r="H3" s="620" t="s">
        <v>89</v>
      </c>
      <c r="I3" s="621"/>
      <c r="J3" s="118" t="s">
        <v>88</v>
      </c>
      <c r="K3" s="131" t="s">
        <v>87</v>
      </c>
      <c r="L3" s="132" t="s">
        <v>86</v>
      </c>
      <c r="M3" s="132" t="s">
        <v>85</v>
      </c>
      <c r="N3" s="133" t="s">
        <v>84</v>
      </c>
      <c r="O3" s="133" t="s">
        <v>83</v>
      </c>
      <c r="P3" s="133" t="s">
        <v>82</v>
      </c>
      <c r="Q3" s="133" t="s">
        <v>81</v>
      </c>
      <c r="R3" s="132" t="s">
        <v>80</v>
      </c>
      <c r="S3" s="284" t="s">
        <v>79</v>
      </c>
      <c r="T3" s="117" t="s">
        <v>78</v>
      </c>
      <c r="U3" s="119" t="s">
        <v>77</v>
      </c>
      <c r="V3" s="285" t="s">
        <v>229</v>
      </c>
      <c r="W3" s="555"/>
      <c r="X3" s="570"/>
    </row>
    <row r="4" spans="1:24" ht="79.2" x14ac:dyDescent="0.4">
      <c r="B4" s="192" t="s">
        <v>73</v>
      </c>
      <c r="C4" s="191" t="s">
        <v>285</v>
      </c>
      <c r="D4" s="193" t="s">
        <v>284</v>
      </c>
      <c r="E4" s="273">
        <f>ROW()-3</f>
        <v>1</v>
      </c>
      <c r="F4" s="274" t="s">
        <v>660</v>
      </c>
      <c r="G4" s="275" t="s">
        <v>382</v>
      </c>
      <c r="H4" s="275" t="s">
        <v>71</v>
      </c>
      <c r="I4" s="276"/>
      <c r="J4" s="277" t="s">
        <v>661</v>
      </c>
      <c r="K4" s="84" t="s">
        <v>712</v>
      </c>
      <c r="L4" s="61" t="s">
        <v>293</v>
      </c>
      <c r="M4" s="61" t="s">
        <v>293</v>
      </c>
      <c r="N4" s="60" t="s">
        <v>712</v>
      </c>
      <c r="O4" s="61" t="s">
        <v>293</v>
      </c>
      <c r="P4" s="61" t="s">
        <v>293</v>
      </c>
      <c r="Q4" s="60" t="s">
        <v>712</v>
      </c>
      <c r="R4" s="61" t="s">
        <v>293</v>
      </c>
      <c r="S4" s="278" t="s">
        <v>293</v>
      </c>
      <c r="T4" s="279"/>
      <c r="U4" s="62"/>
      <c r="V4" s="280"/>
      <c r="W4" s="281"/>
      <c r="X4" s="282"/>
    </row>
    <row r="5" spans="1:24" ht="79.2" x14ac:dyDescent="0.4">
      <c r="B5" s="192"/>
      <c r="C5" s="191"/>
      <c r="D5" s="195"/>
      <c r="E5" s="196">
        <f t="shared" ref="E5:E72" si="0">ROW()-3</f>
        <v>2</v>
      </c>
      <c r="F5" s="182"/>
      <c r="G5" s="183"/>
      <c r="H5" s="183" t="s">
        <v>74</v>
      </c>
      <c r="I5" s="184" t="s">
        <v>384</v>
      </c>
      <c r="J5" s="185" t="s">
        <v>474</v>
      </c>
      <c r="K5" s="64" t="s">
        <v>712</v>
      </c>
      <c r="L5" s="51" t="s">
        <v>293</v>
      </c>
      <c r="M5" s="51" t="s">
        <v>293</v>
      </c>
      <c r="N5" s="50" t="s">
        <v>712</v>
      </c>
      <c r="O5" s="51" t="s">
        <v>293</v>
      </c>
      <c r="P5" s="51" t="s">
        <v>293</v>
      </c>
      <c r="Q5" s="50" t="s">
        <v>712</v>
      </c>
      <c r="R5" s="51" t="s">
        <v>293</v>
      </c>
      <c r="S5" s="186" t="s">
        <v>293</v>
      </c>
      <c r="T5" s="279"/>
      <c r="U5" s="52"/>
      <c r="V5" s="272"/>
      <c r="W5" s="281"/>
      <c r="X5" s="187"/>
    </row>
    <row r="6" spans="1:24" ht="92.4" x14ac:dyDescent="0.4">
      <c r="B6" s="192"/>
      <c r="C6" s="191"/>
      <c r="D6" s="195"/>
      <c r="E6" s="196">
        <f t="shared" si="0"/>
        <v>3</v>
      </c>
      <c r="F6" s="182"/>
      <c r="G6" s="183"/>
      <c r="H6" s="183" t="s">
        <v>74</v>
      </c>
      <c r="I6" s="184" t="s">
        <v>387</v>
      </c>
      <c r="J6" s="277" t="s">
        <v>671</v>
      </c>
      <c r="K6" s="50" t="s">
        <v>712</v>
      </c>
      <c r="L6" s="51" t="s">
        <v>293</v>
      </c>
      <c r="M6" s="51" t="s">
        <v>293</v>
      </c>
      <c r="N6" s="50" t="s">
        <v>712</v>
      </c>
      <c r="O6" s="51" t="s">
        <v>293</v>
      </c>
      <c r="P6" s="51" t="s">
        <v>293</v>
      </c>
      <c r="Q6" s="50" t="s">
        <v>712</v>
      </c>
      <c r="R6" s="51" t="s">
        <v>293</v>
      </c>
      <c r="S6" s="186" t="s">
        <v>293</v>
      </c>
      <c r="T6" s="279"/>
      <c r="U6" s="52"/>
      <c r="V6" s="272"/>
      <c r="W6" s="281"/>
      <c r="X6" s="187"/>
    </row>
    <row r="7" spans="1:24" ht="52.8" x14ac:dyDescent="0.4">
      <c r="B7" s="192"/>
      <c r="C7" s="191"/>
      <c r="D7" s="195"/>
      <c r="E7" s="196">
        <f t="shared" si="0"/>
        <v>4</v>
      </c>
      <c r="F7" s="182"/>
      <c r="G7" s="183"/>
      <c r="H7" s="183" t="s">
        <v>71</v>
      </c>
      <c r="I7" s="184" t="s">
        <v>697</v>
      </c>
      <c r="J7" s="185" t="s">
        <v>662</v>
      </c>
      <c r="K7" s="50" t="s">
        <v>712</v>
      </c>
      <c r="L7" s="51" t="s">
        <v>293</v>
      </c>
      <c r="M7" s="51" t="s">
        <v>293</v>
      </c>
      <c r="N7" s="50" t="s">
        <v>712</v>
      </c>
      <c r="O7" s="51" t="s">
        <v>293</v>
      </c>
      <c r="P7" s="51" t="s">
        <v>293</v>
      </c>
      <c r="Q7" s="50" t="s">
        <v>712</v>
      </c>
      <c r="R7" s="51" t="s">
        <v>293</v>
      </c>
      <c r="S7" s="186" t="s">
        <v>293</v>
      </c>
      <c r="T7" s="279"/>
      <c r="U7" s="52"/>
      <c r="V7" s="272"/>
      <c r="W7" s="281"/>
      <c r="X7" s="187"/>
    </row>
    <row r="8" spans="1:24" ht="92.4" x14ac:dyDescent="0.4">
      <c r="B8" s="192"/>
      <c r="C8" s="191"/>
      <c r="D8" s="195"/>
      <c r="E8" s="196">
        <f t="shared" si="0"/>
        <v>5</v>
      </c>
      <c r="F8" s="182"/>
      <c r="G8" s="183"/>
      <c r="H8" s="183" t="s">
        <v>71</v>
      </c>
      <c r="I8" s="184" t="s">
        <v>383</v>
      </c>
      <c r="J8" s="185" t="s">
        <v>696</v>
      </c>
      <c r="K8" s="50" t="s">
        <v>712</v>
      </c>
      <c r="L8" s="51" t="s">
        <v>293</v>
      </c>
      <c r="M8" s="51" t="s">
        <v>293</v>
      </c>
      <c r="N8" s="50" t="s">
        <v>712</v>
      </c>
      <c r="O8" s="51" t="s">
        <v>293</v>
      </c>
      <c r="P8" s="51" t="s">
        <v>293</v>
      </c>
      <c r="Q8" s="50" t="s">
        <v>712</v>
      </c>
      <c r="R8" s="51" t="s">
        <v>293</v>
      </c>
      <c r="S8" s="186" t="s">
        <v>293</v>
      </c>
      <c r="T8" s="279"/>
      <c r="U8" s="52"/>
      <c r="V8" s="272"/>
      <c r="W8" s="281"/>
      <c r="X8" s="187"/>
    </row>
    <row r="9" spans="1:24" ht="66" x14ac:dyDescent="0.4">
      <c r="B9" s="192"/>
      <c r="C9" s="191"/>
      <c r="D9" s="195"/>
      <c r="E9" s="196">
        <f t="shared" si="0"/>
        <v>6</v>
      </c>
      <c r="F9" s="182"/>
      <c r="G9" s="183"/>
      <c r="H9" s="183" t="s">
        <v>74</v>
      </c>
      <c r="I9" s="184" t="s">
        <v>664</v>
      </c>
      <c r="J9" s="185" t="s">
        <v>476</v>
      </c>
      <c r="K9" s="50" t="s">
        <v>712</v>
      </c>
      <c r="L9" s="51" t="s">
        <v>293</v>
      </c>
      <c r="M9" s="51" t="s">
        <v>293</v>
      </c>
      <c r="N9" s="50" t="s">
        <v>712</v>
      </c>
      <c r="O9" s="50" t="s">
        <v>712</v>
      </c>
      <c r="P9" s="50" t="s">
        <v>712</v>
      </c>
      <c r="Q9" s="50" t="s">
        <v>712</v>
      </c>
      <c r="R9" s="51" t="s">
        <v>293</v>
      </c>
      <c r="S9" s="186" t="s">
        <v>293</v>
      </c>
      <c r="T9" s="279"/>
      <c r="U9" s="52"/>
      <c r="V9" s="272"/>
      <c r="W9" s="281"/>
      <c r="X9" s="187"/>
    </row>
    <row r="10" spans="1:24" ht="66" x14ac:dyDescent="0.4">
      <c r="B10" s="192"/>
      <c r="C10" s="191"/>
      <c r="D10" s="195"/>
      <c r="E10" s="196">
        <f t="shared" si="0"/>
        <v>7</v>
      </c>
      <c r="F10" s="182"/>
      <c r="G10" s="183"/>
      <c r="H10" s="183" t="s">
        <v>74</v>
      </c>
      <c r="I10" s="184" t="s">
        <v>674</v>
      </c>
      <c r="J10" s="185" t="s">
        <v>475</v>
      </c>
      <c r="K10" s="50" t="s">
        <v>712</v>
      </c>
      <c r="L10" s="51" t="s">
        <v>293</v>
      </c>
      <c r="M10" s="51" t="s">
        <v>293</v>
      </c>
      <c r="N10" s="50" t="s">
        <v>712</v>
      </c>
      <c r="O10" s="50" t="s">
        <v>712</v>
      </c>
      <c r="P10" s="50" t="s">
        <v>712</v>
      </c>
      <c r="Q10" s="50" t="s">
        <v>712</v>
      </c>
      <c r="R10" s="51" t="s">
        <v>293</v>
      </c>
      <c r="S10" s="186" t="s">
        <v>293</v>
      </c>
      <c r="T10" s="279"/>
      <c r="U10" s="52"/>
      <c r="V10" s="272"/>
      <c r="W10" s="281"/>
      <c r="X10" s="187"/>
    </row>
    <row r="11" spans="1:24" ht="52.8" x14ac:dyDescent="0.4">
      <c r="B11" s="192"/>
      <c r="C11" s="191"/>
      <c r="D11" s="195"/>
      <c r="E11" s="196">
        <f t="shared" si="0"/>
        <v>8</v>
      </c>
      <c r="F11" s="182"/>
      <c r="G11" s="183"/>
      <c r="H11" s="183" t="s">
        <v>71</v>
      </c>
      <c r="I11" s="184" t="s">
        <v>386</v>
      </c>
      <c r="J11" s="185" t="s">
        <v>477</v>
      </c>
      <c r="K11" s="50" t="s">
        <v>712</v>
      </c>
      <c r="L11" s="51" t="s">
        <v>293</v>
      </c>
      <c r="M11" s="51" t="s">
        <v>293</v>
      </c>
      <c r="N11" s="50" t="s">
        <v>712</v>
      </c>
      <c r="O11" s="51" t="s">
        <v>293</v>
      </c>
      <c r="P11" s="51" t="s">
        <v>293</v>
      </c>
      <c r="Q11" s="50" t="s">
        <v>712</v>
      </c>
      <c r="R11" s="51" t="s">
        <v>293</v>
      </c>
      <c r="S11" s="186" t="s">
        <v>293</v>
      </c>
      <c r="T11" s="279"/>
      <c r="U11" s="52"/>
      <c r="V11" s="272"/>
      <c r="W11" s="281"/>
      <c r="X11" s="187"/>
    </row>
    <row r="12" spans="1:24" ht="66" x14ac:dyDescent="0.4">
      <c r="B12" s="192"/>
      <c r="C12" s="191"/>
      <c r="D12" s="193"/>
      <c r="E12" s="196">
        <f t="shared" si="0"/>
        <v>9</v>
      </c>
      <c r="F12" s="274" t="s">
        <v>660</v>
      </c>
      <c r="G12" s="275" t="s">
        <v>698</v>
      </c>
      <c r="H12" s="275" t="s">
        <v>71</v>
      </c>
      <c r="I12" s="276"/>
      <c r="J12" s="277" t="s">
        <v>666</v>
      </c>
      <c r="K12" s="50" t="s">
        <v>712</v>
      </c>
      <c r="L12" s="51" t="s">
        <v>293</v>
      </c>
      <c r="M12" s="51" t="s">
        <v>293</v>
      </c>
      <c r="N12" s="50" t="s">
        <v>712</v>
      </c>
      <c r="O12" s="61" t="s">
        <v>293</v>
      </c>
      <c r="P12" s="61" t="s">
        <v>293</v>
      </c>
      <c r="Q12" s="61" t="s">
        <v>293</v>
      </c>
      <c r="R12" s="61" t="s">
        <v>293</v>
      </c>
      <c r="S12" s="278" t="s">
        <v>293</v>
      </c>
      <c r="T12" s="279"/>
      <c r="U12" s="62"/>
      <c r="V12" s="280"/>
      <c r="W12" s="281"/>
      <c r="X12" s="187"/>
    </row>
    <row r="13" spans="1:24" ht="79.2" x14ac:dyDescent="0.4">
      <c r="B13" s="192"/>
      <c r="C13" s="191"/>
      <c r="D13" s="195"/>
      <c r="E13" s="196">
        <f t="shared" si="0"/>
        <v>10</v>
      </c>
      <c r="F13" s="182"/>
      <c r="G13" s="183"/>
      <c r="H13" s="183" t="s">
        <v>74</v>
      </c>
      <c r="I13" s="184" t="s">
        <v>388</v>
      </c>
      <c r="J13" s="185" t="s">
        <v>474</v>
      </c>
      <c r="K13" s="50" t="s">
        <v>712</v>
      </c>
      <c r="L13" s="51" t="s">
        <v>293</v>
      </c>
      <c r="M13" s="51" t="s">
        <v>293</v>
      </c>
      <c r="N13" s="50" t="s">
        <v>712</v>
      </c>
      <c r="O13" s="51" t="s">
        <v>293</v>
      </c>
      <c r="P13" s="51" t="s">
        <v>293</v>
      </c>
      <c r="Q13" s="50" t="s">
        <v>712</v>
      </c>
      <c r="R13" s="51" t="s">
        <v>293</v>
      </c>
      <c r="S13" s="186" t="s">
        <v>293</v>
      </c>
      <c r="T13" s="279"/>
      <c r="U13" s="62"/>
      <c r="V13" s="280"/>
      <c r="W13" s="281"/>
      <c r="X13" s="187"/>
    </row>
    <row r="14" spans="1:24" ht="66" x14ac:dyDescent="0.4">
      <c r="B14" s="192"/>
      <c r="C14" s="191"/>
      <c r="D14" s="195"/>
      <c r="E14" s="196">
        <f t="shared" si="0"/>
        <v>11</v>
      </c>
      <c r="F14" s="182"/>
      <c r="G14" s="183"/>
      <c r="H14" s="183" t="s">
        <v>74</v>
      </c>
      <c r="I14" s="184" t="s">
        <v>387</v>
      </c>
      <c r="J14" s="277" t="s">
        <v>667</v>
      </c>
      <c r="K14" s="50" t="s">
        <v>712</v>
      </c>
      <c r="L14" s="51" t="s">
        <v>293</v>
      </c>
      <c r="M14" s="51" t="s">
        <v>293</v>
      </c>
      <c r="N14" s="50" t="s">
        <v>712</v>
      </c>
      <c r="O14" s="51" t="s">
        <v>293</v>
      </c>
      <c r="P14" s="51" t="s">
        <v>293</v>
      </c>
      <c r="Q14" s="51" t="s">
        <v>293</v>
      </c>
      <c r="R14" s="51" t="s">
        <v>293</v>
      </c>
      <c r="S14" s="186" t="s">
        <v>293</v>
      </c>
      <c r="T14" s="279"/>
      <c r="U14" s="62"/>
      <c r="V14" s="280"/>
      <c r="W14" s="281"/>
      <c r="X14" s="187"/>
    </row>
    <row r="15" spans="1:24" ht="79.2" x14ac:dyDescent="0.4">
      <c r="B15" s="192"/>
      <c r="C15" s="191"/>
      <c r="D15" s="195"/>
      <c r="E15" s="196">
        <f t="shared" si="0"/>
        <v>12</v>
      </c>
      <c r="F15" s="182"/>
      <c r="G15" s="183"/>
      <c r="H15" s="183" t="s">
        <v>74</v>
      </c>
      <c r="I15" s="184" t="s">
        <v>668</v>
      </c>
      <c r="J15" s="185" t="s">
        <v>699</v>
      </c>
      <c r="K15" s="50" t="s">
        <v>712</v>
      </c>
      <c r="L15" s="51" t="s">
        <v>293</v>
      </c>
      <c r="M15" s="51" t="s">
        <v>293</v>
      </c>
      <c r="N15" s="50" t="s">
        <v>712</v>
      </c>
      <c r="O15" s="51" t="s">
        <v>293</v>
      </c>
      <c r="P15" s="51" t="s">
        <v>293</v>
      </c>
      <c r="Q15" s="51" t="s">
        <v>389</v>
      </c>
      <c r="R15" s="51" t="s">
        <v>293</v>
      </c>
      <c r="S15" s="186" t="s">
        <v>293</v>
      </c>
      <c r="T15" s="279"/>
      <c r="U15" s="62"/>
      <c r="V15" s="280"/>
      <c r="W15" s="281"/>
      <c r="X15" s="187"/>
    </row>
    <row r="16" spans="1:24" ht="92.4" x14ac:dyDescent="0.4">
      <c r="B16" s="192"/>
      <c r="C16" s="191"/>
      <c r="D16" s="195"/>
      <c r="E16" s="196">
        <f t="shared" si="0"/>
        <v>13</v>
      </c>
      <c r="F16" s="182"/>
      <c r="G16" s="183"/>
      <c r="H16" s="275" t="s">
        <v>71</v>
      </c>
      <c r="I16" s="184" t="s">
        <v>670</v>
      </c>
      <c r="J16" s="277" t="s">
        <v>671</v>
      </c>
      <c r="K16" s="50" t="s">
        <v>712</v>
      </c>
      <c r="L16" s="51" t="s">
        <v>293</v>
      </c>
      <c r="M16" s="51" t="s">
        <v>293</v>
      </c>
      <c r="N16" s="50" t="s">
        <v>712</v>
      </c>
      <c r="O16" s="51" t="s">
        <v>293</v>
      </c>
      <c r="P16" s="51" t="s">
        <v>293</v>
      </c>
      <c r="Q16" s="50" t="s">
        <v>712</v>
      </c>
      <c r="R16" s="51" t="s">
        <v>293</v>
      </c>
      <c r="S16" s="186" t="s">
        <v>293</v>
      </c>
      <c r="T16" s="279"/>
      <c r="U16" s="62"/>
      <c r="V16" s="280"/>
      <c r="W16" s="281"/>
      <c r="X16" s="187"/>
    </row>
    <row r="17" spans="2:24" ht="79.2" x14ac:dyDescent="0.4">
      <c r="B17" s="192"/>
      <c r="C17" s="191"/>
      <c r="D17" s="195"/>
      <c r="E17" s="196">
        <f t="shared" si="0"/>
        <v>14</v>
      </c>
      <c r="F17" s="182"/>
      <c r="G17" s="183"/>
      <c r="H17" s="183" t="s">
        <v>74</v>
      </c>
      <c r="I17" s="184" t="s">
        <v>294</v>
      </c>
      <c r="J17" s="185" t="s">
        <v>474</v>
      </c>
      <c r="K17" s="50" t="s">
        <v>712</v>
      </c>
      <c r="L17" s="51" t="s">
        <v>293</v>
      </c>
      <c r="M17" s="51" t="s">
        <v>293</v>
      </c>
      <c r="N17" s="50" t="s">
        <v>712</v>
      </c>
      <c r="O17" s="51" t="s">
        <v>293</v>
      </c>
      <c r="P17" s="51" t="s">
        <v>293</v>
      </c>
      <c r="Q17" s="50" t="s">
        <v>712</v>
      </c>
      <c r="R17" s="51" t="s">
        <v>293</v>
      </c>
      <c r="S17" s="186" t="s">
        <v>293</v>
      </c>
      <c r="T17" s="279"/>
      <c r="U17" s="62"/>
      <c r="V17" s="280"/>
      <c r="W17" s="281"/>
      <c r="X17" s="187"/>
    </row>
    <row r="18" spans="2:24" ht="92.4" x14ac:dyDescent="0.4">
      <c r="B18" s="192"/>
      <c r="C18" s="191"/>
      <c r="D18" s="195"/>
      <c r="E18" s="196">
        <f t="shared" si="0"/>
        <v>15</v>
      </c>
      <c r="F18" s="182"/>
      <c r="G18" s="183"/>
      <c r="H18" s="183" t="s">
        <v>74</v>
      </c>
      <c r="I18" s="184" t="s">
        <v>387</v>
      </c>
      <c r="J18" s="277" t="s">
        <v>671</v>
      </c>
      <c r="K18" s="50" t="s">
        <v>712</v>
      </c>
      <c r="L18" s="51" t="s">
        <v>293</v>
      </c>
      <c r="M18" s="51" t="s">
        <v>293</v>
      </c>
      <c r="N18" s="50" t="s">
        <v>712</v>
      </c>
      <c r="O18" s="51" t="s">
        <v>293</v>
      </c>
      <c r="P18" s="51" t="s">
        <v>293</v>
      </c>
      <c r="Q18" s="50" t="s">
        <v>712</v>
      </c>
      <c r="R18" s="51" t="s">
        <v>293</v>
      </c>
      <c r="S18" s="186" t="s">
        <v>293</v>
      </c>
      <c r="T18" s="279"/>
      <c r="U18" s="62"/>
      <c r="V18" s="280"/>
      <c r="W18" s="281"/>
      <c r="X18" s="187"/>
    </row>
    <row r="19" spans="2:24" ht="52.8" x14ac:dyDescent="0.4">
      <c r="B19" s="192"/>
      <c r="C19" s="191"/>
      <c r="D19" s="195"/>
      <c r="E19" s="196">
        <f t="shared" si="0"/>
        <v>16</v>
      </c>
      <c r="F19" s="182"/>
      <c r="G19" s="183"/>
      <c r="H19" s="183" t="s">
        <v>71</v>
      </c>
      <c r="I19" s="184" t="s">
        <v>697</v>
      </c>
      <c r="J19" s="185" t="s">
        <v>662</v>
      </c>
      <c r="K19" s="50" t="s">
        <v>712</v>
      </c>
      <c r="L19" s="51" t="s">
        <v>293</v>
      </c>
      <c r="M19" s="51" t="s">
        <v>293</v>
      </c>
      <c r="N19" s="50" t="s">
        <v>712</v>
      </c>
      <c r="O19" s="51" t="s">
        <v>293</v>
      </c>
      <c r="P19" s="51" t="s">
        <v>293</v>
      </c>
      <c r="Q19" s="50" t="s">
        <v>712</v>
      </c>
      <c r="R19" s="51" t="s">
        <v>293</v>
      </c>
      <c r="S19" s="186" t="s">
        <v>293</v>
      </c>
      <c r="T19" s="279"/>
      <c r="U19" s="52"/>
      <c r="V19" s="272"/>
      <c r="W19" s="281"/>
      <c r="X19" s="187"/>
    </row>
    <row r="20" spans="2:24" ht="92.4" x14ac:dyDescent="0.4">
      <c r="B20" s="192"/>
      <c r="C20" s="191"/>
      <c r="D20" s="195"/>
      <c r="E20" s="196">
        <f t="shared" si="0"/>
        <v>17</v>
      </c>
      <c r="F20" s="182"/>
      <c r="G20" s="183"/>
      <c r="H20" s="183" t="s">
        <v>71</v>
      </c>
      <c r="I20" s="184" t="s">
        <v>383</v>
      </c>
      <c r="J20" s="185" t="s">
        <v>663</v>
      </c>
      <c r="K20" s="50" t="s">
        <v>712</v>
      </c>
      <c r="L20" s="51" t="s">
        <v>293</v>
      </c>
      <c r="M20" s="51" t="s">
        <v>293</v>
      </c>
      <c r="N20" s="50" t="s">
        <v>712</v>
      </c>
      <c r="O20" s="51" t="s">
        <v>293</v>
      </c>
      <c r="P20" s="51" t="s">
        <v>293</v>
      </c>
      <c r="Q20" s="50" t="s">
        <v>712</v>
      </c>
      <c r="R20" s="51" t="s">
        <v>293</v>
      </c>
      <c r="S20" s="186" t="s">
        <v>293</v>
      </c>
      <c r="T20" s="279"/>
      <c r="U20" s="52"/>
      <c r="V20" s="272"/>
      <c r="W20" s="281"/>
      <c r="X20" s="187"/>
    </row>
    <row r="21" spans="2:24" ht="66" x14ac:dyDescent="0.4">
      <c r="B21" s="192"/>
      <c r="C21" s="191"/>
      <c r="D21" s="195"/>
      <c r="E21" s="196">
        <f t="shared" si="0"/>
        <v>18</v>
      </c>
      <c r="F21" s="182"/>
      <c r="G21" s="183"/>
      <c r="H21" s="183" t="s">
        <v>74</v>
      </c>
      <c r="I21" s="184" t="s">
        <v>664</v>
      </c>
      <c r="J21" s="185" t="s">
        <v>476</v>
      </c>
      <c r="K21" s="50" t="s">
        <v>712</v>
      </c>
      <c r="L21" s="51" t="s">
        <v>293</v>
      </c>
      <c r="M21" s="51" t="s">
        <v>293</v>
      </c>
      <c r="N21" s="50" t="s">
        <v>712</v>
      </c>
      <c r="O21" s="50" t="s">
        <v>712</v>
      </c>
      <c r="P21" s="50" t="s">
        <v>712</v>
      </c>
      <c r="Q21" s="50" t="s">
        <v>712</v>
      </c>
      <c r="R21" s="51" t="s">
        <v>293</v>
      </c>
      <c r="S21" s="186" t="s">
        <v>293</v>
      </c>
      <c r="T21" s="279"/>
      <c r="U21" s="52"/>
      <c r="V21" s="272"/>
      <c r="W21" s="281"/>
      <c r="X21" s="187"/>
    </row>
    <row r="22" spans="2:24" ht="66" x14ac:dyDescent="0.4">
      <c r="B22" s="192"/>
      <c r="C22" s="191"/>
      <c r="D22" s="195"/>
      <c r="E22" s="196">
        <f t="shared" si="0"/>
        <v>19</v>
      </c>
      <c r="F22" s="182"/>
      <c r="G22" s="183"/>
      <c r="H22" s="183" t="s">
        <v>74</v>
      </c>
      <c r="I22" s="184" t="s">
        <v>674</v>
      </c>
      <c r="J22" s="185" t="s">
        <v>475</v>
      </c>
      <c r="K22" s="50" t="s">
        <v>712</v>
      </c>
      <c r="L22" s="51" t="s">
        <v>293</v>
      </c>
      <c r="M22" s="51" t="s">
        <v>293</v>
      </c>
      <c r="N22" s="50" t="s">
        <v>712</v>
      </c>
      <c r="O22" s="50" t="s">
        <v>712</v>
      </c>
      <c r="P22" s="50" t="s">
        <v>712</v>
      </c>
      <c r="Q22" s="50" t="s">
        <v>712</v>
      </c>
      <c r="R22" s="51" t="s">
        <v>293</v>
      </c>
      <c r="S22" s="186" t="s">
        <v>293</v>
      </c>
      <c r="T22" s="279"/>
      <c r="U22" s="52"/>
      <c r="V22" s="272"/>
      <c r="W22" s="281"/>
      <c r="X22" s="187"/>
    </row>
    <row r="23" spans="2:24" ht="52.8" x14ac:dyDescent="0.4">
      <c r="B23" s="192"/>
      <c r="C23" s="191"/>
      <c r="D23" s="195"/>
      <c r="E23" s="196">
        <f t="shared" si="0"/>
        <v>20</v>
      </c>
      <c r="F23" s="182"/>
      <c r="G23" s="183"/>
      <c r="H23" s="183" t="s">
        <v>71</v>
      </c>
      <c r="I23" s="184" t="s">
        <v>386</v>
      </c>
      <c r="J23" s="185" t="s">
        <v>477</v>
      </c>
      <c r="K23" s="50" t="s">
        <v>712</v>
      </c>
      <c r="L23" s="51" t="s">
        <v>293</v>
      </c>
      <c r="M23" s="51" t="s">
        <v>293</v>
      </c>
      <c r="N23" s="50" t="s">
        <v>712</v>
      </c>
      <c r="O23" s="51" t="s">
        <v>293</v>
      </c>
      <c r="P23" s="51" t="s">
        <v>293</v>
      </c>
      <c r="Q23" s="50" t="s">
        <v>712</v>
      </c>
      <c r="R23" s="51" t="s">
        <v>293</v>
      </c>
      <c r="S23" s="186" t="s">
        <v>293</v>
      </c>
      <c r="T23" s="279"/>
      <c r="U23" s="52"/>
      <c r="V23" s="272"/>
      <c r="W23" s="281"/>
      <c r="X23" s="187"/>
    </row>
    <row r="24" spans="2:24" ht="92.4" x14ac:dyDescent="0.4">
      <c r="B24" s="192"/>
      <c r="C24" s="191"/>
      <c r="D24" s="198" t="s">
        <v>286</v>
      </c>
      <c r="E24" s="196">
        <f t="shared" si="0"/>
        <v>21</v>
      </c>
      <c r="F24" s="274" t="s">
        <v>660</v>
      </c>
      <c r="G24" s="275" t="s">
        <v>382</v>
      </c>
      <c r="H24" s="275" t="s">
        <v>71</v>
      </c>
      <c r="I24" s="276"/>
      <c r="J24" s="277" t="s">
        <v>671</v>
      </c>
      <c r="K24" s="50" t="s">
        <v>712</v>
      </c>
      <c r="L24" s="51" t="s">
        <v>293</v>
      </c>
      <c r="M24" s="51" t="s">
        <v>293</v>
      </c>
      <c r="N24" s="50" t="s">
        <v>712</v>
      </c>
      <c r="O24" s="51" t="s">
        <v>293</v>
      </c>
      <c r="P24" s="51" t="s">
        <v>293</v>
      </c>
      <c r="Q24" s="50" t="s">
        <v>712</v>
      </c>
      <c r="R24" s="61" t="s">
        <v>293</v>
      </c>
      <c r="S24" s="278" t="s">
        <v>293</v>
      </c>
      <c r="T24" s="279"/>
      <c r="U24" s="62"/>
      <c r="V24" s="280"/>
      <c r="W24" s="281"/>
      <c r="X24" s="187"/>
    </row>
    <row r="25" spans="2:24" ht="79.2" x14ac:dyDescent="0.4">
      <c r="B25" s="192"/>
      <c r="C25" s="191"/>
      <c r="D25" s="195"/>
      <c r="E25" s="196">
        <f t="shared" si="0"/>
        <v>22</v>
      </c>
      <c r="F25" s="182"/>
      <c r="G25" s="183"/>
      <c r="H25" s="183" t="s">
        <v>74</v>
      </c>
      <c r="I25" s="184" t="s">
        <v>384</v>
      </c>
      <c r="J25" s="185" t="s">
        <v>474</v>
      </c>
      <c r="K25" s="50" t="s">
        <v>712</v>
      </c>
      <c r="L25" s="51" t="s">
        <v>293</v>
      </c>
      <c r="M25" s="51" t="s">
        <v>293</v>
      </c>
      <c r="N25" s="50" t="s">
        <v>712</v>
      </c>
      <c r="O25" s="51" t="s">
        <v>293</v>
      </c>
      <c r="P25" s="51" t="s">
        <v>293</v>
      </c>
      <c r="Q25" s="50" t="s">
        <v>712</v>
      </c>
      <c r="R25" s="51" t="s">
        <v>293</v>
      </c>
      <c r="S25" s="186" t="s">
        <v>293</v>
      </c>
      <c r="T25" s="279"/>
      <c r="U25" s="52"/>
      <c r="V25" s="272"/>
      <c r="W25" s="281"/>
      <c r="X25" s="187"/>
    </row>
    <row r="26" spans="2:24" ht="92.4" x14ac:dyDescent="0.4">
      <c r="B26" s="192"/>
      <c r="C26" s="191"/>
      <c r="D26" s="195"/>
      <c r="E26" s="196">
        <f t="shared" si="0"/>
        <v>23</v>
      </c>
      <c r="F26" s="182"/>
      <c r="G26" s="183"/>
      <c r="H26" s="183" t="s">
        <v>74</v>
      </c>
      <c r="I26" s="184" t="s">
        <v>387</v>
      </c>
      <c r="J26" s="277" t="s">
        <v>671</v>
      </c>
      <c r="K26" s="50" t="s">
        <v>712</v>
      </c>
      <c r="L26" s="51" t="s">
        <v>293</v>
      </c>
      <c r="M26" s="51" t="s">
        <v>293</v>
      </c>
      <c r="N26" s="50" t="s">
        <v>712</v>
      </c>
      <c r="O26" s="51" t="s">
        <v>293</v>
      </c>
      <c r="P26" s="51" t="s">
        <v>293</v>
      </c>
      <c r="Q26" s="50" t="s">
        <v>712</v>
      </c>
      <c r="R26" s="51" t="s">
        <v>293</v>
      </c>
      <c r="S26" s="186" t="s">
        <v>293</v>
      </c>
      <c r="T26" s="279"/>
      <c r="U26" s="52"/>
      <c r="V26" s="272"/>
      <c r="W26" s="281"/>
      <c r="X26" s="187"/>
    </row>
    <row r="27" spans="2:24" ht="52.8" x14ac:dyDescent="0.4">
      <c r="B27" s="192"/>
      <c r="C27" s="191"/>
      <c r="D27" s="195"/>
      <c r="E27" s="196">
        <f t="shared" si="0"/>
        <v>24</v>
      </c>
      <c r="F27" s="182"/>
      <c r="G27" s="183"/>
      <c r="H27" s="183" t="s">
        <v>71</v>
      </c>
      <c r="I27" s="184" t="s">
        <v>700</v>
      </c>
      <c r="J27" s="185" t="s">
        <v>479</v>
      </c>
      <c r="K27" s="50" t="s">
        <v>712</v>
      </c>
      <c r="L27" s="51" t="s">
        <v>293</v>
      </c>
      <c r="M27" s="51" t="s">
        <v>293</v>
      </c>
      <c r="N27" s="50" t="s">
        <v>712</v>
      </c>
      <c r="O27" s="51" t="s">
        <v>293</v>
      </c>
      <c r="P27" s="51" t="s">
        <v>293</v>
      </c>
      <c r="Q27" s="50" t="s">
        <v>712</v>
      </c>
      <c r="R27" s="51" t="s">
        <v>293</v>
      </c>
      <c r="S27" s="186" t="s">
        <v>293</v>
      </c>
      <c r="T27" s="279"/>
      <c r="U27" s="52"/>
      <c r="V27" s="272"/>
      <c r="W27" s="281"/>
      <c r="X27" s="187"/>
    </row>
    <row r="28" spans="2:24" ht="66" x14ac:dyDescent="0.4">
      <c r="B28" s="192"/>
      <c r="C28" s="191"/>
      <c r="D28" s="195"/>
      <c r="E28" s="196">
        <f t="shared" si="0"/>
        <v>25</v>
      </c>
      <c r="F28" s="182"/>
      <c r="G28" s="183"/>
      <c r="H28" s="183" t="s">
        <v>407</v>
      </c>
      <c r="I28" s="184" t="s">
        <v>404</v>
      </c>
      <c r="J28" s="185" t="s">
        <v>672</v>
      </c>
      <c r="K28" s="50" t="s">
        <v>712</v>
      </c>
      <c r="L28" s="51" t="s">
        <v>293</v>
      </c>
      <c r="M28" s="51" t="s">
        <v>293</v>
      </c>
      <c r="N28" s="50" t="s">
        <v>712</v>
      </c>
      <c r="O28" s="51" t="s">
        <v>293</v>
      </c>
      <c r="P28" s="51" t="s">
        <v>293</v>
      </c>
      <c r="Q28" s="50" t="s">
        <v>712</v>
      </c>
      <c r="R28" s="51" t="s">
        <v>293</v>
      </c>
      <c r="S28" s="186" t="s">
        <v>293</v>
      </c>
      <c r="T28" s="279"/>
      <c r="U28" s="52"/>
      <c r="V28" s="272"/>
      <c r="W28" s="281"/>
      <c r="X28" s="187"/>
    </row>
    <row r="29" spans="2:24" ht="52.8" x14ac:dyDescent="0.4">
      <c r="B29" s="192"/>
      <c r="C29" s="191"/>
      <c r="D29" s="195"/>
      <c r="E29" s="196">
        <f t="shared" si="0"/>
        <v>26</v>
      </c>
      <c r="F29" s="182"/>
      <c r="G29" s="183"/>
      <c r="H29" s="183" t="s">
        <v>407</v>
      </c>
      <c r="I29" s="184" t="s">
        <v>405</v>
      </c>
      <c r="J29" s="185" t="s">
        <v>481</v>
      </c>
      <c r="K29" s="50" t="s">
        <v>712</v>
      </c>
      <c r="L29" s="51" t="s">
        <v>293</v>
      </c>
      <c r="M29" s="51" t="s">
        <v>293</v>
      </c>
      <c r="N29" s="50" t="s">
        <v>712</v>
      </c>
      <c r="O29" s="51" t="s">
        <v>293</v>
      </c>
      <c r="P29" s="51" t="s">
        <v>293</v>
      </c>
      <c r="Q29" s="51" t="s">
        <v>293</v>
      </c>
      <c r="R29" s="51" t="s">
        <v>293</v>
      </c>
      <c r="S29" s="186" t="s">
        <v>293</v>
      </c>
      <c r="T29" s="279"/>
      <c r="U29" s="52"/>
      <c r="V29" s="272"/>
      <c r="W29" s="281"/>
      <c r="X29" s="187"/>
    </row>
    <row r="30" spans="2:24" ht="79.2" x14ac:dyDescent="0.4">
      <c r="B30" s="192"/>
      <c r="C30" s="191"/>
      <c r="D30" s="195"/>
      <c r="E30" s="196">
        <f t="shared" si="0"/>
        <v>27</v>
      </c>
      <c r="F30" s="182"/>
      <c r="G30" s="183"/>
      <c r="H30" s="183" t="s">
        <v>407</v>
      </c>
      <c r="I30" s="184" t="s">
        <v>406</v>
      </c>
      <c r="J30" s="277" t="s">
        <v>473</v>
      </c>
      <c r="K30" s="50" t="s">
        <v>712</v>
      </c>
      <c r="L30" s="51" t="s">
        <v>293</v>
      </c>
      <c r="M30" s="51" t="s">
        <v>293</v>
      </c>
      <c r="N30" s="50" t="s">
        <v>712</v>
      </c>
      <c r="O30" s="51" t="s">
        <v>293</v>
      </c>
      <c r="P30" s="51" t="s">
        <v>293</v>
      </c>
      <c r="Q30" s="50" t="s">
        <v>712</v>
      </c>
      <c r="R30" s="51" t="s">
        <v>293</v>
      </c>
      <c r="S30" s="186" t="s">
        <v>293</v>
      </c>
      <c r="T30" s="279"/>
      <c r="U30" s="52"/>
      <c r="V30" s="272"/>
      <c r="W30" s="281"/>
      <c r="X30" s="187"/>
    </row>
    <row r="31" spans="2:24" ht="52.8" x14ac:dyDescent="0.4">
      <c r="B31" s="192"/>
      <c r="C31" s="191"/>
      <c r="D31" s="195"/>
      <c r="E31" s="196">
        <f t="shared" si="0"/>
        <v>28</v>
      </c>
      <c r="F31" s="182"/>
      <c r="G31" s="183"/>
      <c r="H31" s="183" t="s">
        <v>71</v>
      </c>
      <c r="I31" s="184" t="s">
        <v>391</v>
      </c>
      <c r="J31" s="185" t="s">
        <v>479</v>
      </c>
      <c r="K31" s="50" t="s">
        <v>712</v>
      </c>
      <c r="L31" s="51" t="s">
        <v>293</v>
      </c>
      <c r="M31" s="51" t="s">
        <v>293</v>
      </c>
      <c r="N31" s="50" t="s">
        <v>712</v>
      </c>
      <c r="O31" s="51" t="s">
        <v>293</v>
      </c>
      <c r="P31" s="51" t="s">
        <v>293</v>
      </c>
      <c r="Q31" s="50" t="s">
        <v>712</v>
      </c>
      <c r="R31" s="51" t="s">
        <v>293</v>
      </c>
      <c r="S31" s="186" t="s">
        <v>293</v>
      </c>
      <c r="T31" s="279"/>
      <c r="U31" s="52"/>
      <c r="V31" s="272"/>
      <c r="W31" s="281"/>
      <c r="X31" s="187"/>
    </row>
    <row r="32" spans="2:24" ht="92.4" x14ac:dyDescent="0.4">
      <c r="B32" s="192"/>
      <c r="C32" s="191"/>
      <c r="D32" s="195"/>
      <c r="E32" s="196">
        <f t="shared" si="0"/>
        <v>29</v>
      </c>
      <c r="F32" s="182"/>
      <c r="G32" s="183"/>
      <c r="H32" s="183" t="s">
        <v>71</v>
      </c>
      <c r="I32" s="184" t="s">
        <v>701</v>
      </c>
      <c r="J32" s="185" t="s">
        <v>663</v>
      </c>
      <c r="K32" s="50" t="s">
        <v>712</v>
      </c>
      <c r="L32" s="51" t="s">
        <v>293</v>
      </c>
      <c r="M32" s="51" t="s">
        <v>293</v>
      </c>
      <c r="N32" s="50" t="s">
        <v>712</v>
      </c>
      <c r="O32" s="51" t="s">
        <v>293</v>
      </c>
      <c r="P32" s="51" t="s">
        <v>293</v>
      </c>
      <c r="Q32" s="50" t="s">
        <v>712</v>
      </c>
      <c r="R32" s="51" t="s">
        <v>293</v>
      </c>
      <c r="S32" s="186" t="s">
        <v>293</v>
      </c>
      <c r="T32" s="279"/>
      <c r="U32" s="52"/>
      <c r="V32" s="272"/>
      <c r="W32" s="281"/>
      <c r="X32" s="187"/>
    </row>
    <row r="33" spans="2:24" ht="66" x14ac:dyDescent="0.4">
      <c r="B33" s="192"/>
      <c r="C33" s="191"/>
      <c r="D33" s="195"/>
      <c r="E33" s="196">
        <f t="shared" si="0"/>
        <v>30</v>
      </c>
      <c r="F33" s="182"/>
      <c r="G33" s="183"/>
      <c r="H33" s="183" t="s">
        <v>74</v>
      </c>
      <c r="I33" s="184" t="s">
        <v>673</v>
      </c>
      <c r="J33" s="185" t="s">
        <v>476</v>
      </c>
      <c r="K33" s="50" t="s">
        <v>712</v>
      </c>
      <c r="L33" s="51" t="s">
        <v>293</v>
      </c>
      <c r="M33" s="51" t="s">
        <v>293</v>
      </c>
      <c r="N33" s="50" t="s">
        <v>712</v>
      </c>
      <c r="O33" s="51" t="s">
        <v>293</v>
      </c>
      <c r="P33" s="51" t="s">
        <v>293</v>
      </c>
      <c r="Q33" s="50" t="s">
        <v>712</v>
      </c>
      <c r="R33" s="51" t="s">
        <v>293</v>
      </c>
      <c r="S33" s="186" t="s">
        <v>293</v>
      </c>
      <c r="T33" s="279"/>
      <c r="U33" s="52"/>
      <c r="V33" s="272"/>
      <c r="W33" s="281"/>
      <c r="X33" s="187"/>
    </row>
    <row r="34" spans="2:24" ht="92.4" x14ac:dyDescent="0.4">
      <c r="B34" s="192"/>
      <c r="C34" s="198" t="s">
        <v>393</v>
      </c>
      <c r="D34" s="198" t="s">
        <v>284</v>
      </c>
      <c r="E34" s="273">
        <f>ROW()-3</f>
        <v>31</v>
      </c>
      <c r="F34" s="274" t="s">
        <v>660</v>
      </c>
      <c r="G34" s="275" t="s">
        <v>394</v>
      </c>
      <c r="H34" s="275" t="s">
        <v>71</v>
      </c>
      <c r="I34" s="276"/>
      <c r="J34" s="277" t="s">
        <v>671</v>
      </c>
      <c r="K34" s="50" t="s">
        <v>712</v>
      </c>
      <c r="L34" s="51" t="s">
        <v>293</v>
      </c>
      <c r="M34" s="51" t="s">
        <v>293</v>
      </c>
      <c r="N34" s="50" t="s">
        <v>712</v>
      </c>
      <c r="O34" s="51" t="s">
        <v>293</v>
      </c>
      <c r="P34" s="51" t="s">
        <v>293</v>
      </c>
      <c r="Q34" s="50" t="s">
        <v>712</v>
      </c>
      <c r="R34" s="61" t="s">
        <v>293</v>
      </c>
      <c r="S34" s="278" t="s">
        <v>293</v>
      </c>
      <c r="T34" s="279"/>
      <c r="U34" s="62"/>
      <c r="V34" s="280"/>
      <c r="W34" s="281"/>
      <c r="X34" s="282"/>
    </row>
    <row r="35" spans="2:24" ht="79.2" x14ac:dyDescent="0.4">
      <c r="B35" s="192"/>
      <c r="C35" s="191"/>
      <c r="D35" s="195"/>
      <c r="E35" s="196">
        <f t="shared" si="0"/>
        <v>32</v>
      </c>
      <c r="F35" s="182"/>
      <c r="G35" s="183"/>
      <c r="H35" s="183" t="s">
        <v>74</v>
      </c>
      <c r="I35" s="184" t="s">
        <v>384</v>
      </c>
      <c r="J35" s="185" t="s">
        <v>474</v>
      </c>
      <c r="K35" s="50" t="s">
        <v>712</v>
      </c>
      <c r="L35" s="51" t="s">
        <v>293</v>
      </c>
      <c r="M35" s="51" t="s">
        <v>293</v>
      </c>
      <c r="N35" s="50" t="s">
        <v>712</v>
      </c>
      <c r="O35" s="51" t="s">
        <v>293</v>
      </c>
      <c r="P35" s="51" t="s">
        <v>293</v>
      </c>
      <c r="Q35" s="50" t="s">
        <v>712</v>
      </c>
      <c r="R35" s="51" t="s">
        <v>293</v>
      </c>
      <c r="S35" s="186" t="s">
        <v>293</v>
      </c>
      <c r="T35" s="279"/>
      <c r="U35" s="52"/>
      <c r="V35" s="272"/>
      <c r="W35" s="281"/>
      <c r="X35" s="187"/>
    </row>
    <row r="36" spans="2:24" ht="92.4" x14ac:dyDescent="0.4">
      <c r="B36" s="192"/>
      <c r="C36" s="191"/>
      <c r="D36" s="195"/>
      <c r="E36" s="196">
        <f t="shared" si="0"/>
        <v>33</v>
      </c>
      <c r="F36" s="182"/>
      <c r="G36" s="183"/>
      <c r="H36" s="183" t="s">
        <v>74</v>
      </c>
      <c r="I36" s="184" t="s">
        <v>387</v>
      </c>
      <c r="J36" s="277" t="s">
        <v>671</v>
      </c>
      <c r="K36" s="50" t="s">
        <v>712</v>
      </c>
      <c r="L36" s="51" t="s">
        <v>293</v>
      </c>
      <c r="M36" s="51" t="s">
        <v>293</v>
      </c>
      <c r="N36" s="50" t="s">
        <v>712</v>
      </c>
      <c r="O36" s="51" t="s">
        <v>293</v>
      </c>
      <c r="P36" s="51" t="s">
        <v>293</v>
      </c>
      <c r="Q36" s="50" t="s">
        <v>712</v>
      </c>
      <c r="R36" s="51" t="s">
        <v>293</v>
      </c>
      <c r="S36" s="186" t="s">
        <v>293</v>
      </c>
      <c r="T36" s="279"/>
      <c r="U36" s="52"/>
      <c r="V36" s="272"/>
      <c r="W36" s="281"/>
      <c r="X36" s="187"/>
    </row>
    <row r="37" spans="2:24" ht="52.8" x14ac:dyDescent="0.4">
      <c r="B37" s="192"/>
      <c r="C37" s="191"/>
      <c r="D37" s="195"/>
      <c r="E37" s="196">
        <f t="shared" si="0"/>
        <v>34</v>
      </c>
      <c r="F37" s="182"/>
      <c r="G37" s="183"/>
      <c r="H37" s="183" t="s">
        <v>71</v>
      </c>
      <c r="I37" s="184" t="s">
        <v>702</v>
      </c>
      <c r="J37" s="185" t="s">
        <v>662</v>
      </c>
      <c r="K37" s="50" t="s">
        <v>712</v>
      </c>
      <c r="L37" s="51" t="s">
        <v>293</v>
      </c>
      <c r="M37" s="51" t="s">
        <v>293</v>
      </c>
      <c r="N37" s="50" t="s">
        <v>712</v>
      </c>
      <c r="O37" s="51" t="s">
        <v>293</v>
      </c>
      <c r="P37" s="51" t="s">
        <v>293</v>
      </c>
      <c r="Q37" s="50" t="s">
        <v>712</v>
      </c>
      <c r="R37" s="51" t="s">
        <v>293</v>
      </c>
      <c r="S37" s="186" t="s">
        <v>293</v>
      </c>
      <c r="T37" s="279"/>
      <c r="U37" s="52"/>
      <c r="V37" s="272"/>
      <c r="W37" s="188"/>
      <c r="X37" s="187"/>
    </row>
    <row r="38" spans="2:24" ht="52.8" x14ac:dyDescent="0.4">
      <c r="B38" s="192"/>
      <c r="C38" s="191"/>
      <c r="D38" s="195"/>
      <c r="E38" s="196">
        <f t="shared" si="0"/>
        <v>35</v>
      </c>
      <c r="F38" s="182"/>
      <c r="G38" s="183"/>
      <c r="H38" s="183" t="s">
        <v>71</v>
      </c>
      <c r="I38" s="184"/>
      <c r="J38" s="185" t="s">
        <v>480</v>
      </c>
      <c r="K38" s="50" t="s">
        <v>712</v>
      </c>
      <c r="L38" s="51" t="s">
        <v>293</v>
      </c>
      <c r="M38" s="51" t="s">
        <v>293</v>
      </c>
      <c r="N38" s="50" t="s">
        <v>712</v>
      </c>
      <c r="O38" s="51" t="s">
        <v>293</v>
      </c>
      <c r="P38" s="51" t="s">
        <v>293</v>
      </c>
      <c r="Q38" s="51" t="s">
        <v>293</v>
      </c>
      <c r="R38" s="51" t="s">
        <v>293</v>
      </c>
      <c r="S38" s="186" t="s">
        <v>293</v>
      </c>
      <c r="T38" s="279"/>
      <c r="U38" s="52"/>
      <c r="V38" s="272"/>
      <c r="W38" s="188"/>
      <c r="X38" s="187"/>
    </row>
    <row r="39" spans="2:24" ht="92.4" x14ac:dyDescent="0.4">
      <c r="B39" s="192"/>
      <c r="C39" s="191"/>
      <c r="D39" s="195"/>
      <c r="E39" s="196">
        <f t="shared" si="0"/>
        <v>36</v>
      </c>
      <c r="F39" s="182"/>
      <c r="G39" s="183"/>
      <c r="H39" s="183" t="s">
        <v>71</v>
      </c>
      <c r="I39" s="184" t="s">
        <v>383</v>
      </c>
      <c r="J39" s="185" t="s">
        <v>663</v>
      </c>
      <c r="K39" s="50" t="s">
        <v>712</v>
      </c>
      <c r="L39" s="51" t="s">
        <v>293</v>
      </c>
      <c r="M39" s="51" t="s">
        <v>293</v>
      </c>
      <c r="N39" s="50" t="s">
        <v>712</v>
      </c>
      <c r="O39" s="51" t="s">
        <v>293</v>
      </c>
      <c r="P39" s="51" t="s">
        <v>293</v>
      </c>
      <c r="Q39" s="50" t="s">
        <v>712</v>
      </c>
      <c r="R39" s="51" t="s">
        <v>293</v>
      </c>
      <c r="S39" s="186" t="s">
        <v>293</v>
      </c>
      <c r="T39" s="279"/>
      <c r="U39" s="52"/>
      <c r="V39" s="272"/>
      <c r="W39" s="188"/>
      <c r="X39" s="187"/>
    </row>
    <row r="40" spans="2:24" ht="66" x14ac:dyDescent="0.4">
      <c r="B40" s="192"/>
      <c r="C40" s="191"/>
      <c r="D40" s="195"/>
      <c r="E40" s="196">
        <f t="shared" si="0"/>
        <v>37</v>
      </c>
      <c r="F40" s="182"/>
      <c r="G40" s="183"/>
      <c r="H40" s="183" t="s">
        <v>74</v>
      </c>
      <c r="I40" s="184" t="s">
        <v>664</v>
      </c>
      <c r="J40" s="185" t="s">
        <v>476</v>
      </c>
      <c r="K40" s="50" t="s">
        <v>712</v>
      </c>
      <c r="L40" s="51" t="s">
        <v>293</v>
      </c>
      <c r="M40" s="51" t="s">
        <v>293</v>
      </c>
      <c r="N40" s="50" t="s">
        <v>712</v>
      </c>
      <c r="O40" s="50" t="s">
        <v>712</v>
      </c>
      <c r="P40" s="50" t="s">
        <v>712</v>
      </c>
      <c r="Q40" s="50" t="s">
        <v>712</v>
      </c>
      <c r="R40" s="51" t="s">
        <v>293</v>
      </c>
      <c r="S40" s="186" t="s">
        <v>293</v>
      </c>
      <c r="T40" s="279"/>
      <c r="U40" s="52"/>
      <c r="V40" s="272"/>
      <c r="W40" s="188"/>
      <c r="X40" s="187"/>
    </row>
    <row r="41" spans="2:24" ht="66" x14ac:dyDescent="0.4">
      <c r="B41" s="192"/>
      <c r="C41" s="191"/>
      <c r="D41" s="195"/>
      <c r="E41" s="196">
        <f t="shared" si="0"/>
        <v>38</v>
      </c>
      <c r="F41" s="182"/>
      <c r="G41" s="183"/>
      <c r="H41" s="183" t="s">
        <v>74</v>
      </c>
      <c r="I41" s="184" t="s">
        <v>674</v>
      </c>
      <c r="J41" s="185" t="s">
        <v>475</v>
      </c>
      <c r="K41" s="50" t="s">
        <v>712</v>
      </c>
      <c r="L41" s="51" t="s">
        <v>293</v>
      </c>
      <c r="M41" s="51" t="s">
        <v>293</v>
      </c>
      <c r="N41" s="50" t="s">
        <v>712</v>
      </c>
      <c r="O41" s="50" t="s">
        <v>712</v>
      </c>
      <c r="P41" s="50" t="s">
        <v>712</v>
      </c>
      <c r="Q41" s="50" t="s">
        <v>712</v>
      </c>
      <c r="R41" s="51" t="s">
        <v>293</v>
      </c>
      <c r="S41" s="186" t="s">
        <v>293</v>
      </c>
      <c r="T41" s="279"/>
      <c r="U41" s="52"/>
      <c r="V41" s="272"/>
      <c r="W41" s="188"/>
      <c r="X41" s="187"/>
    </row>
    <row r="42" spans="2:24" ht="52.8" x14ac:dyDescent="0.4">
      <c r="B42" s="192"/>
      <c r="C42" s="191"/>
      <c r="D42" s="195"/>
      <c r="E42" s="196">
        <f t="shared" si="0"/>
        <v>39</v>
      </c>
      <c r="F42" s="182"/>
      <c r="G42" s="183"/>
      <c r="H42" s="183" t="s">
        <v>71</v>
      </c>
      <c r="I42" s="184" t="s">
        <v>386</v>
      </c>
      <c r="J42" s="185" t="s">
        <v>477</v>
      </c>
      <c r="K42" s="50" t="s">
        <v>712</v>
      </c>
      <c r="L42" s="51" t="s">
        <v>293</v>
      </c>
      <c r="M42" s="51" t="s">
        <v>293</v>
      </c>
      <c r="N42" s="50" t="s">
        <v>712</v>
      </c>
      <c r="O42" s="51" t="s">
        <v>293</v>
      </c>
      <c r="P42" s="51" t="s">
        <v>293</v>
      </c>
      <c r="Q42" s="50" t="s">
        <v>712</v>
      </c>
      <c r="R42" s="51" t="s">
        <v>293</v>
      </c>
      <c r="S42" s="186" t="s">
        <v>293</v>
      </c>
      <c r="T42" s="279"/>
      <c r="U42" s="52"/>
      <c r="V42" s="272"/>
      <c r="W42" s="188"/>
      <c r="X42" s="187"/>
    </row>
    <row r="43" spans="2:24" ht="92.4" x14ac:dyDescent="0.4">
      <c r="B43" s="192"/>
      <c r="C43" s="191"/>
      <c r="D43" s="193"/>
      <c r="E43" s="196">
        <f t="shared" si="0"/>
        <v>40</v>
      </c>
      <c r="F43" s="274" t="s">
        <v>660</v>
      </c>
      <c r="G43" s="275" t="s">
        <v>395</v>
      </c>
      <c r="H43" s="275" t="s">
        <v>71</v>
      </c>
      <c r="I43" s="276"/>
      <c r="J43" s="277" t="s">
        <v>671</v>
      </c>
      <c r="K43" s="50" t="s">
        <v>712</v>
      </c>
      <c r="L43" s="51" t="s">
        <v>293</v>
      </c>
      <c r="M43" s="51" t="s">
        <v>293</v>
      </c>
      <c r="N43" s="50" t="s">
        <v>712</v>
      </c>
      <c r="O43" s="61" t="s">
        <v>293</v>
      </c>
      <c r="P43" s="61" t="s">
        <v>293</v>
      </c>
      <c r="Q43" s="61" t="s">
        <v>293</v>
      </c>
      <c r="R43" s="61" t="s">
        <v>293</v>
      </c>
      <c r="S43" s="278" t="s">
        <v>293</v>
      </c>
      <c r="T43" s="279"/>
      <c r="U43" s="52"/>
      <c r="V43" s="272"/>
      <c r="W43" s="188"/>
      <c r="X43" s="187"/>
    </row>
    <row r="44" spans="2:24" ht="79.2" x14ac:dyDescent="0.4">
      <c r="B44" s="192"/>
      <c r="C44" s="191"/>
      <c r="D44" s="195"/>
      <c r="E44" s="196">
        <f t="shared" si="0"/>
        <v>41</v>
      </c>
      <c r="F44" s="182"/>
      <c r="G44" s="183"/>
      <c r="H44" s="183" t="s">
        <v>74</v>
      </c>
      <c r="I44" s="184" t="s">
        <v>388</v>
      </c>
      <c r="J44" s="185" t="s">
        <v>474</v>
      </c>
      <c r="K44" s="50" t="s">
        <v>712</v>
      </c>
      <c r="L44" s="51" t="s">
        <v>293</v>
      </c>
      <c r="M44" s="51" t="s">
        <v>293</v>
      </c>
      <c r="N44" s="50" t="s">
        <v>712</v>
      </c>
      <c r="O44" s="51" t="s">
        <v>293</v>
      </c>
      <c r="P44" s="51" t="s">
        <v>293</v>
      </c>
      <c r="Q44" s="50" t="s">
        <v>712</v>
      </c>
      <c r="R44" s="51" t="s">
        <v>293</v>
      </c>
      <c r="S44" s="186" t="s">
        <v>293</v>
      </c>
      <c r="T44" s="279"/>
      <c r="U44" s="52"/>
      <c r="V44" s="272"/>
      <c r="W44" s="188"/>
      <c r="X44" s="187"/>
    </row>
    <row r="45" spans="2:24" ht="92.4" x14ac:dyDescent="0.4">
      <c r="B45" s="192"/>
      <c r="C45" s="191"/>
      <c r="D45" s="195"/>
      <c r="E45" s="196">
        <f t="shared" si="0"/>
        <v>42</v>
      </c>
      <c r="F45" s="182"/>
      <c r="G45" s="183"/>
      <c r="H45" s="183" t="s">
        <v>74</v>
      </c>
      <c r="I45" s="184" t="s">
        <v>387</v>
      </c>
      <c r="J45" s="277" t="s">
        <v>671</v>
      </c>
      <c r="K45" s="50" t="s">
        <v>712</v>
      </c>
      <c r="L45" s="51" t="s">
        <v>293</v>
      </c>
      <c r="M45" s="51" t="s">
        <v>293</v>
      </c>
      <c r="N45" s="50" t="s">
        <v>712</v>
      </c>
      <c r="O45" s="51" t="s">
        <v>293</v>
      </c>
      <c r="P45" s="51" t="s">
        <v>293</v>
      </c>
      <c r="Q45" s="50" t="s">
        <v>712</v>
      </c>
      <c r="R45" s="51" t="s">
        <v>293</v>
      </c>
      <c r="S45" s="186" t="s">
        <v>293</v>
      </c>
      <c r="T45" s="279"/>
      <c r="U45" s="52"/>
      <c r="V45" s="272"/>
      <c r="W45" s="188"/>
      <c r="X45" s="187"/>
    </row>
    <row r="46" spans="2:24" ht="79.2" x14ac:dyDescent="0.4">
      <c r="B46" s="192"/>
      <c r="C46" s="191"/>
      <c r="D46" s="195"/>
      <c r="E46" s="196">
        <f t="shared" si="0"/>
        <v>43</v>
      </c>
      <c r="F46" s="182"/>
      <c r="G46" s="183"/>
      <c r="H46" s="183" t="s">
        <v>74</v>
      </c>
      <c r="I46" s="184" t="s">
        <v>668</v>
      </c>
      <c r="J46" s="185" t="s">
        <v>669</v>
      </c>
      <c r="K46" s="50" t="s">
        <v>712</v>
      </c>
      <c r="L46" s="51" t="s">
        <v>293</v>
      </c>
      <c r="M46" s="51" t="s">
        <v>293</v>
      </c>
      <c r="N46" s="50" t="s">
        <v>712</v>
      </c>
      <c r="O46" s="51" t="s">
        <v>293</v>
      </c>
      <c r="P46" s="51" t="s">
        <v>293</v>
      </c>
      <c r="Q46" s="51" t="s">
        <v>389</v>
      </c>
      <c r="R46" s="51" t="s">
        <v>293</v>
      </c>
      <c r="S46" s="186" t="s">
        <v>293</v>
      </c>
      <c r="T46" s="279"/>
      <c r="U46" s="52"/>
      <c r="V46" s="272"/>
      <c r="W46" s="188"/>
      <c r="X46" s="187"/>
    </row>
    <row r="47" spans="2:24" ht="92.4" x14ac:dyDescent="0.4">
      <c r="B47" s="192"/>
      <c r="C47" s="191"/>
      <c r="D47" s="195"/>
      <c r="E47" s="196">
        <f t="shared" si="0"/>
        <v>44</v>
      </c>
      <c r="F47" s="182"/>
      <c r="G47" s="183"/>
      <c r="H47" s="275" t="s">
        <v>71</v>
      </c>
      <c r="I47" s="184" t="s">
        <v>390</v>
      </c>
      <c r="J47" s="277" t="s">
        <v>671</v>
      </c>
      <c r="K47" s="50" t="s">
        <v>712</v>
      </c>
      <c r="L47" s="51" t="s">
        <v>293</v>
      </c>
      <c r="M47" s="51" t="s">
        <v>293</v>
      </c>
      <c r="N47" s="50" t="s">
        <v>712</v>
      </c>
      <c r="O47" s="51" t="s">
        <v>293</v>
      </c>
      <c r="P47" s="51" t="s">
        <v>293</v>
      </c>
      <c r="Q47" s="50" t="s">
        <v>712</v>
      </c>
      <c r="R47" s="51" t="s">
        <v>293</v>
      </c>
      <c r="S47" s="186" t="s">
        <v>293</v>
      </c>
      <c r="T47" s="279"/>
      <c r="U47" s="52"/>
      <c r="V47" s="272"/>
      <c r="W47" s="188"/>
      <c r="X47" s="187"/>
    </row>
    <row r="48" spans="2:24" ht="79.2" x14ac:dyDescent="0.4">
      <c r="B48" s="192"/>
      <c r="C48" s="191"/>
      <c r="D48" s="195"/>
      <c r="E48" s="196">
        <f t="shared" si="0"/>
        <v>45</v>
      </c>
      <c r="F48" s="182"/>
      <c r="G48" s="183"/>
      <c r="H48" s="183" t="s">
        <v>74</v>
      </c>
      <c r="I48" s="184" t="s">
        <v>294</v>
      </c>
      <c r="J48" s="185" t="s">
        <v>474</v>
      </c>
      <c r="K48" s="50" t="s">
        <v>712</v>
      </c>
      <c r="L48" s="51" t="s">
        <v>293</v>
      </c>
      <c r="M48" s="51" t="s">
        <v>293</v>
      </c>
      <c r="N48" s="50" t="s">
        <v>712</v>
      </c>
      <c r="O48" s="51" t="s">
        <v>293</v>
      </c>
      <c r="P48" s="51" t="s">
        <v>293</v>
      </c>
      <c r="Q48" s="50" t="s">
        <v>712</v>
      </c>
      <c r="R48" s="51" t="s">
        <v>293</v>
      </c>
      <c r="S48" s="186" t="s">
        <v>293</v>
      </c>
      <c r="T48" s="279"/>
      <c r="U48" s="52"/>
      <c r="V48" s="272"/>
      <c r="W48" s="188"/>
      <c r="X48" s="187"/>
    </row>
    <row r="49" spans="2:24" ht="92.4" x14ac:dyDescent="0.4">
      <c r="B49" s="192"/>
      <c r="C49" s="191"/>
      <c r="D49" s="195"/>
      <c r="E49" s="196">
        <f t="shared" si="0"/>
        <v>46</v>
      </c>
      <c r="F49" s="182"/>
      <c r="G49" s="183"/>
      <c r="H49" s="183" t="s">
        <v>74</v>
      </c>
      <c r="I49" s="184" t="s">
        <v>387</v>
      </c>
      <c r="J49" s="277" t="s">
        <v>671</v>
      </c>
      <c r="K49" s="50" t="s">
        <v>712</v>
      </c>
      <c r="L49" s="51" t="s">
        <v>293</v>
      </c>
      <c r="M49" s="51" t="s">
        <v>293</v>
      </c>
      <c r="N49" s="50" t="s">
        <v>712</v>
      </c>
      <c r="O49" s="51" t="s">
        <v>293</v>
      </c>
      <c r="P49" s="51" t="s">
        <v>293</v>
      </c>
      <c r="Q49" s="50" t="s">
        <v>712</v>
      </c>
      <c r="R49" s="51" t="s">
        <v>293</v>
      </c>
      <c r="S49" s="186" t="s">
        <v>293</v>
      </c>
      <c r="T49" s="279"/>
      <c r="U49" s="52"/>
      <c r="V49" s="272"/>
      <c r="W49" s="188"/>
      <c r="X49" s="187"/>
    </row>
    <row r="50" spans="2:24" ht="52.8" x14ac:dyDescent="0.4">
      <c r="B50" s="192"/>
      <c r="C50" s="191"/>
      <c r="D50" s="195"/>
      <c r="E50" s="196">
        <f t="shared" si="0"/>
        <v>47</v>
      </c>
      <c r="F50" s="182"/>
      <c r="G50" s="183"/>
      <c r="H50" s="183" t="s">
        <v>71</v>
      </c>
      <c r="I50" s="184" t="s">
        <v>702</v>
      </c>
      <c r="J50" s="185" t="s">
        <v>662</v>
      </c>
      <c r="K50" s="50" t="s">
        <v>712</v>
      </c>
      <c r="L50" s="51" t="s">
        <v>293</v>
      </c>
      <c r="M50" s="51" t="s">
        <v>293</v>
      </c>
      <c r="N50" s="50" t="s">
        <v>712</v>
      </c>
      <c r="O50" s="51" t="s">
        <v>293</v>
      </c>
      <c r="P50" s="51" t="s">
        <v>293</v>
      </c>
      <c r="Q50" s="50" t="s">
        <v>712</v>
      </c>
      <c r="R50" s="51" t="s">
        <v>293</v>
      </c>
      <c r="S50" s="186" t="s">
        <v>293</v>
      </c>
      <c r="T50" s="279"/>
      <c r="U50" s="52"/>
      <c r="V50" s="272"/>
      <c r="W50" s="188"/>
      <c r="X50" s="187"/>
    </row>
    <row r="51" spans="2:24" ht="52.8" x14ac:dyDescent="0.4">
      <c r="B51" s="192"/>
      <c r="C51" s="191"/>
      <c r="D51" s="195"/>
      <c r="E51" s="196">
        <f t="shared" si="0"/>
        <v>48</v>
      </c>
      <c r="F51" s="182"/>
      <c r="G51" s="183"/>
      <c r="H51" s="183" t="s">
        <v>71</v>
      </c>
      <c r="I51" s="184"/>
      <c r="J51" s="185" t="s">
        <v>480</v>
      </c>
      <c r="K51" s="50" t="s">
        <v>712</v>
      </c>
      <c r="L51" s="51" t="s">
        <v>293</v>
      </c>
      <c r="M51" s="51" t="s">
        <v>293</v>
      </c>
      <c r="N51" s="50" t="s">
        <v>712</v>
      </c>
      <c r="O51" s="51" t="s">
        <v>293</v>
      </c>
      <c r="P51" s="51" t="s">
        <v>293</v>
      </c>
      <c r="Q51" s="51" t="s">
        <v>293</v>
      </c>
      <c r="R51" s="51" t="s">
        <v>293</v>
      </c>
      <c r="S51" s="186" t="s">
        <v>293</v>
      </c>
      <c r="T51" s="279"/>
      <c r="U51" s="52"/>
      <c r="V51" s="272"/>
      <c r="W51" s="188"/>
      <c r="X51" s="187"/>
    </row>
    <row r="52" spans="2:24" ht="92.4" x14ac:dyDescent="0.4">
      <c r="B52" s="192"/>
      <c r="C52" s="191"/>
      <c r="D52" s="195"/>
      <c r="E52" s="196">
        <f t="shared" si="0"/>
        <v>49</v>
      </c>
      <c r="F52" s="182"/>
      <c r="G52" s="183"/>
      <c r="H52" s="183" t="s">
        <v>71</v>
      </c>
      <c r="I52" s="184" t="s">
        <v>383</v>
      </c>
      <c r="J52" s="185" t="s">
        <v>663</v>
      </c>
      <c r="K52" s="50" t="s">
        <v>712</v>
      </c>
      <c r="L52" s="51" t="s">
        <v>293</v>
      </c>
      <c r="M52" s="51" t="s">
        <v>293</v>
      </c>
      <c r="N52" s="50" t="s">
        <v>712</v>
      </c>
      <c r="O52" s="51" t="s">
        <v>293</v>
      </c>
      <c r="P52" s="51" t="s">
        <v>293</v>
      </c>
      <c r="Q52" s="50" t="s">
        <v>712</v>
      </c>
      <c r="R52" s="51" t="s">
        <v>293</v>
      </c>
      <c r="S52" s="186" t="s">
        <v>293</v>
      </c>
      <c r="T52" s="279"/>
      <c r="U52" s="52"/>
      <c r="V52" s="272"/>
      <c r="W52" s="188"/>
      <c r="X52" s="187"/>
    </row>
    <row r="53" spans="2:24" ht="66" x14ac:dyDescent="0.4">
      <c r="B53" s="192"/>
      <c r="C53" s="191"/>
      <c r="D53" s="195"/>
      <c r="E53" s="196">
        <f t="shared" si="0"/>
        <v>50</v>
      </c>
      <c r="F53" s="182"/>
      <c r="G53" s="183"/>
      <c r="H53" s="183" t="s">
        <v>74</v>
      </c>
      <c r="I53" s="184" t="s">
        <v>664</v>
      </c>
      <c r="J53" s="185" t="s">
        <v>476</v>
      </c>
      <c r="K53" s="50" t="s">
        <v>712</v>
      </c>
      <c r="L53" s="51" t="s">
        <v>293</v>
      </c>
      <c r="M53" s="51" t="s">
        <v>293</v>
      </c>
      <c r="N53" s="50" t="s">
        <v>712</v>
      </c>
      <c r="O53" s="50" t="s">
        <v>712</v>
      </c>
      <c r="P53" s="50" t="s">
        <v>712</v>
      </c>
      <c r="Q53" s="50" t="s">
        <v>712</v>
      </c>
      <c r="R53" s="51" t="s">
        <v>293</v>
      </c>
      <c r="S53" s="186" t="s">
        <v>293</v>
      </c>
      <c r="T53" s="279"/>
      <c r="U53" s="52"/>
      <c r="V53" s="272"/>
      <c r="W53" s="188"/>
      <c r="X53" s="187"/>
    </row>
    <row r="54" spans="2:24" ht="66" x14ac:dyDescent="0.4">
      <c r="B54" s="192"/>
      <c r="C54" s="191"/>
      <c r="D54" s="195"/>
      <c r="E54" s="196">
        <f t="shared" si="0"/>
        <v>51</v>
      </c>
      <c r="F54" s="182"/>
      <c r="G54" s="183"/>
      <c r="H54" s="183" t="s">
        <v>74</v>
      </c>
      <c r="I54" s="184" t="s">
        <v>665</v>
      </c>
      <c r="J54" s="185" t="s">
        <v>475</v>
      </c>
      <c r="K54" s="50" t="s">
        <v>712</v>
      </c>
      <c r="L54" s="51" t="s">
        <v>293</v>
      </c>
      <c r="M54" s="51" t="s">
        <v>293</v>
      </c>
      <c r="N54" s="50" t="s">
        <v>712</v>
      </c>
      <c r="O54" s="50" t="s">
        <v>712</v>
      </c>
      <c r="P54" s="50" t="s">
        <v>712</v>
      </c>
      <c r="Q54" s="50" t="s">
        <v>712</v>
      </c>
      <c r="R54" s="51" t="s">
        <v>293</v>
      </c>
      <c r="S54" s="186" t="s">
        <v>293</v>
      </c>
      <c r="T54" s="279"/>
      <c r="U54" s="52"/>
      <c r="V54" s="272"/>
      <c r="W54" s="188"/>
      <c r="X54" s="187"/>
    </row>
    <row r="55" spans="2:24" ht="52.8" x14ac:dyDescent="0.4">
      <c r="B55" s="192"/>
      <c r="C55" s="191"/>
      <c r="D55" s="195"/>
      <c r="E55" s="196">
        <f t="shared" si="0"/>
        <v>52</v>
      </c>
      <c r="F55" s="182"/>
      <c r="G55" s="183"/>
      <c r="H55" s="183" t="s">
        <v>71</v>
      </c>
      <c r="I55" s="184" t="s">
        <v>386</v>
      </c>
      <c r="J55" s="185" t="s">
        <v>477</v>
      </c>
      <c r="K55" s="50" t="s">
        <v>712</v>
      </c>
      <c r="L55" s="51" t="s">
        <v>293</v>
      </c>
      <c r="M55" s="51" t="s">
        <v>293</v>
      </c>
      <c r="N55" s="50" t="s">
        <v>712</v>
      </c>
      <c r="O55" s="51" t="s">
        <v>293</v>
      </c>
      <c r="P55" s="51" t="s">
        <v>293</v>
      </c>
      <c r="Q55" s="50" t="s">
        <v>712</v>
      </c>
      <c r="R55" s="51" t="s">
        <v>293</v>
      </c>
      <c r="S55" s="186" t="s">
        <v>293</v>
      </c>
      <c r="T55" s="279"/>
      <c r="U55" s="52"/>
      <c r="V55" s="272"/>
      <c r="W55" s="188"/>
      <c r="X55" s="187"/>
    </row>
    <row r="56" spans="2:24" ht="92.4" x14ac:dyDescent="0.4">
      <c r="B56" s="192"/>
      <c r="C56" s="191"/>
      <c r="D56" s="198" t="s">
        <v>286</v>
      </c>
      <c r="E56" s="196">
        <f t="shared" si="0"/>
        <v>53</v>
      </c>
      <c r="F56" s="274" t="s">
        <v>660</v>
      </c>
      <c r="G56" s="275" t="s">
        <v>396</v>
      </c>
      <c r="H56" s="275" t="s">
        <v>71</v>
      </c>
      <c r="I56" s="276"/>
      <c r="J56" s="277" t="s">
        <v>671</v>
      </c>
      <c r="K56" s="50" t="s">
        <v>712</v>
      </c>
      <c r="L56" s="51" t="s">
        <v>293</v>
      </c>
      <c r="M56" s="51" t="s">
        <v>293</v>
      </c>
      <c r="N56" s="50" t="s">
        <v>712</v>
      </c>
      <c r="O56" s="51" t="s">
        <v>293</v>
      </c>
      <c r="P56" s="51" t="s">
        <v>293</v>
      </c>
      <c r="Q56" s="50" t="s">
        <v>712</v>
      </c>
      <c r="R56" s="61" t="s">
        <v>293</v>
      </c>
      <c r="S56" s="278" t="s">
        <v>293</v>
      </c>
      <c r="T56" s="279"/>
      <c r="U56" s="52"/>
      <c r="V56" s="272"/>
      <c r="W56" s="281"/>
      <c r="X56" s="187"/>
    </row>
    <row r="57" spans="2:24" ht="79.2" x14ac:dyDescent="0.4">
      <c r="B57" s="192"/>
      <c r="C57" s="191"/>
      <c r="D57" s="195"/>
      <c r="E57" s="196">
        <f t="shared" si="0"/>
        <v>54</v>
      </c>
      <c r="F57" s="182"/>
      <c r="G57" s="183"/>
      <c r="H57" s="183" t="s">
        <v>74</v>
      </c>
      <c r="I57" s="184" t="s">
        <v>384</v>
      </c>
      <c r="J57" s="185" t="s">
        <v>474</v>
      </c>
      <c r="K57" s="50" t="s">
        <v>712</v>
      </c>
      <c r="L57" s="51" t="s">
        <v>293</v>
      </c>
      <c r="M57" s="51" t="s">
        <v>293</v>
      </c>
      <c r="N57" s="50" t="s">
        <v>712</v>
      </c>
      <c r="O57" s="51" t="s">
        <v>293</v>
      </c>
      <c r="P57" s="51" t="s">
        <v>293</v>
      </c>
      <c r="Q57" s="50" t="s">
        <v>712</v>
      </c>
      <c r="R57" s="51" t="s">
        <v>293</v>
      </c>
      <c r="S57" s="186" t="s">
        <v>293</v>
      </c>
      <c r="T57" s="279"/>
      <c r="U57" s="52"/>
      <c r="V57" s="272"/>
      <c r="W57" s="281"/>
      <c r="X57" s="187"/>
    </row>
    <row r="58" spans="2:24" ht="92.4" x14ac:dyDescent="0.4">
      <c r="B58" s="192"/>
      <c r="C58" s="191"/>
      <c r="D58" s="195"/>
      <c r="E58" s="196">
        <f t="shared" si="0"/>
        <v>55</v>
      </c>
      <c r="F58" s="182"/>
      <c r="G58" s="183"/>
      <c r="H58" s="183" t="s">
        <v>74</v>
      </c>
      <c r="I58" s="184" t="s">
        <v>387</v>
      </c>
      <c r="J58" s="277" t="s">
        <v>671</v>
      </c>
      <c r="K58" s="50" t="s">
        <v>712</v>
      </c>
      <c r="L58" s="51" t="s">
        <v>293</v>
      </c>
      <c r="M58" s="51" t="s">
        <v>293</v>
      </c>
      <c r="N58" s="50" t="s">
        <v>712</v>
      </c>
      <c r="O58" s="51" t="s">
        <v>293</v>
      </c>
      <c r="P58" s="51" t="s">
        <v>293</v>
      </c>
      <c r="Q58" s="50" t="s">
        <v>712</v>
      </c>
      <c r="R58" s="51" t="s">
        <v>293</v>
      </c>
      <c r="S58" s="186" t="s">
        <v>293</v>
      </c>
      <c r="T58" s="279"/>
      <c r="U58" s="52"/>
      <c r="V58" s="272"/>
      <c r="W58" s="281"/>
      <c r="X58" s="187"/>
    </row>
    <row r="59" spans="2:24" ht="52.8" x14ac:dyDescent="0.4">
      <c r="B59" s="192"/>
      <c r="C59" s="191"/>
      <c r="D59" s="195"/>
      <c r="E59" s="196">
        <f t="shared" si="0"/>
        <v>56</v>
      </c>
      <c r="F59" s="182"/>
      <c r="G59" s="183"/>
      <c r="H59" s="183" t="s">
        <v>71</v>
      </c>
      <c r="I59" s="184" t="s">
        <v>700</v>
      </c>
      <c r="J59" s="185" t="s">
        <v>479</v>
      </c>
      <c r="K59" s="50" t="s">
        <v>712</v>
      </c>
      <c r="L59" s="51" t="s">
        <v>293</v>
      </c>
      <c r="M59" s="51" t="s">
        <v>293</v>
      </c>
      <c r="N59" s="50" t="s">
        <v>712</v>
      </c>
      <c r="O59" s="51" t="s">
        <v>293</v>
      </c>
      <c r="P59" s="51" t="s">
        <v>293</v>
      </c>
      <c r="Q59" s="50" t="s">
        <v>712</v>
      </c>
      <c r="R59" s="51" t="s">
        <v>293</v>
      </c>
      <c r="S59" s="186" t="s">
        <v>293</v>
      </c>
      <c r="T59" s="279"/>
      <c r="U59" s="52"/>
      <c r="V59" s="272"/>
      <c r="W59" s="188"/>
      <c r="X59" s="187"/>
    </row>
    <row r="60" spans="2:24" ht="52.8" x14ac:dyDescent="0.4">
      <c r="B60" s="192"/>
      <c r="C60" s="191"/>
      <c r="D60" s="195"/>
      <c r="E60" s="196">
        <f t="shared" si="0"/>
        <v>57</v>
      </c>
      <c r="F60" s="182"/>
      <c r="G60" s="183"/>
      <c r="H60" s="183" t="s">
        <v>71</v>
      </c>
      <c r="I60" s="184"/>
      <c r="J60" s="185" t="s">
        <v>478</v>
      </c>
      <c r="K60" s="50" t="s">
        <v>712</v>
      </c>
      <c r="L60" s="51" t="s">
        <v>293</v>
      </c>
      <c r="M60" s="51" t="s">
        <v>293</v>
      </c>
      <c r="N60" s="50" t="s">
        <v>712</v>
      </c>
      <c r="O60" s="51" t="s">
        <v>293</v>
      </c>
      <c r="P60" s="51" t="s">
        <v>293</v>
      </c>
      <c r="Q60" s="50" t="s">
        <v>712</v>
      </c>
      <c r="R60" s="51" t="s">
        <v>293</v>
      </c>
      <c r="S60" s="186" t="s">
        <v>293</v>
      </c>
      <c r="T60" s="279"/>
      <c r="U60" s="52"/>
      <c r="V60" s="272"/>
      <c r="W60" s="188"/>
      <c r="X60" s="187"/>
    </row>
    <row r="61" spans="2:24" ht="92.4" x14ac:dyDescent="0.4">
      <c r="B61" s="192"/>
      <c r="C61" s="191"/>
      <c r="D61" s="195"/>
      <c r="E61" s="196">
        <f t="shared" si="0"/>
        <v>58</v>
      </c>
      <c r="F61" s="182"/>
      <c r="G61" s="183"/>
      <c r="H61" s="183" t="s">
        <v>71</v>
      </c>
      <c r="I61" s="184" t="s">
        <v>392</v>
      </c>
      <c r="J61" s="185" t="s">
        <v>663</v>
      </c>
      <c r="K61" s="50" t="s">
        <v>712</v>
      </c>
      <c r="L61" s="51" t="s">
        <v>293</v>
      </c>
      <c r="M61" s="51" t="s">
        <v>293</v>
      </c>
      <c r="N61" s="50" t="s">
        <v>712</v>
      </c>
      <c r="O61" s="51" t="s">
        <v>293</v>
      </c>
      <c r="P61" s="51" t="s">
        <v>293</v>
      </c>
      <c r="Q61" s="50" t="s">
        <v>712</v>
      </c>
      <c r="R61" s="51" t="s">
        <v>293</v>
      </c>
      <c r="S61" s="186" t="s">
        <v>293</v>
      </c>
      <c r="T61" s="279"/>
      <c r="U61" s="52"/>
      <c r="V61" s="272"/>
      <c r="W61" s="188"/>
      <c r="X61" s="187"/>
    </row>
    <row r="62" spans="2:24" ht="66" x14ac:dyDescent="0.4">
      <c r="B62" s="192"/>
      <c r="C62" s="191"/>
      <c r="D62" s="195"/>
      <c r="E62" s="196">
        <f t="shared" si="0"/>
        <v>59</v>
      </c>
      <c r="F62" s="182"/>
      <c r="G62" s="183"/>
      <c r="H62" s="183" t="s">
        <v>74</v>
      </c>
      <c r="I62" s="184" t="s">
        <v>673</v>
      </c>
      <c r="J62" s="185" t="s">
        <v>476</v>
      </c>
      <c r="K62" s="50" t="s">
        <v>712</v>
      </c>
      <c r="L62" s="51" t="s">
        <v>293</v>
      </c>
      <c r="M62" s="51" t="s">
        <v>293</v>
      </c>
      <c r="N62" s="50" t="s">
        <v>712</v>
      </c>
      <c r="O62" s="50" t="s">
        <v>712</v>
      </c>
      <c r="P62" s="50" t="s">
        <v>712</v>
      </c>
      <c r="Q62" s="50" t="s">
        <v>712</v>
      </c>
      <c r="R62" s="51" t="s">
        <v>293</v>
      </c>
      <c r="S62" s="186" t="s">
        <v>293</v>
      </c>
      <c r="T62" s="279"/>
      <c r="U62" s="52"/>
      <c r="V62" s="272"/>
      <c r="W62" s="188"/>
      <c r="X62" s="187"/>
    </row>
    <row r="63" spans="2:24" ht="79.2" x14ac:dyDescent="0.4">
      <c r="B63" s="197" t="s">
        <v>291</v>
      </c>
      <c r="C63" s="198" t="s">
        <v>285</v>
      </c>
      <c r="D63" s="198" t="s">
        <v>284</v>
      </c>
      <c r="E63" s="273">
        <f>ROW()-3</f>
        <v>60</v>
      </c>
      <c r="F63" s="274" t="s">
        <v>290</v>
      </c>
      <c r="G63" s="275" t="s">
        <v>382</v>
      </c>
      <c r="H63" s="275" t="s">
        <v>71</v>
      </c>
      <c r="I63" s="276"/>
      <c r="J63" s="277" t="s">
        <v>473</v>
      </c>
      <c r="K63" s="50" t="s">
        <v>712</v>
      </c>
      <c r="L63" s="51" t="s">
        <v>293</v>
      </c>
      <c r="M63" s="51" t="s">
        <v>293</v>
      </c>
      <c r="N63" s="50" t="s">
        <v>712</v>
      </c>
      <c r="O63" s="51" t="s">
        <v>293</v>
      </c>
      <c r="P63" s="51" t="s">
        <v>293</v>
      </c>
      <c r="Q63" s="50" t="s">
        <v>712</v>
      </c>
      <c r="R63" s="61" t="s">
        <v>293</v>
      </c>
      <c r="S63" s="278" t="s">
        <v>293</v>
      </c>
      <c r="T63" s="279"/>
      <c r="U63" s="52"/>
      <c r="V63" s="272"/>
      <c r="W63" s="188"/>
      <c r="X63" s="282"/>
    </row>
    <row r="64" spans="2:24" ht="79.2" x14ac:dyDescent="0.4">
      <c r="B64" s="192"/>
      <c r="C64" s="191"/>
      <c r="D64" s="195"/>
      <c r="E64" s="196">
        <f t="shared" si="0"/>
        <v>61</v>
      </c>
      <c r="F64" s="182"/>
      <c r="G64" s="183"/>
      <c r="H64" s="183" t="s">
        <v>74</v>
      </c>
      <c r="I64" s="184" t="s">
        <v>384</v>
      </c>
      <c r="J64" s="185" t="s">
        <v>474</v>
      </c>
      <c r="K64" s="50" t="s">
        <v>712</v>
      </c>
      <c r="L64" s="51" t="s">
        <v>293</v>
      </c>
      <c r="M64" s="51" t="s">
        <v>293</v>
      </c>
      <c r="N64" s="50" t="s">
        <v>712</v>
      </c>
      <c r="O64" s="51" t="s">
        <v>293</v>
      </c>
      <c r="P64" s="51" t="s">
        <v>293</v>
      </c>
      <c r="Q64" s="50" t="s">
        <v>712</v>
      </c>
      <c r="R64" s="51" t="s">
        <v>293</v>
      </c>
      <c r="S64" s="186" t="s">
        <v>293</v>
      </c>
      <c r="T64" s="279"/>
      <c r="U64" s="52"/>
      <c r="V64" s="272"/>
      <c r="W64" s="188"/>
      <c r="X64" s="187"/>
    </row>
    <row r="65" spans="2:24" ht="79.2" x14ac:dyDescent="0.4">
      <c r="B65" s="192"/>
      <c r="C65" s="191"/>
      <c r="D65" s="195"/>
      <c r="E65" s="196">
        <f t="shared" si="0"/>
        <v>62</v>
      </c>
      <c r="F65" s="182"/>
      <c r="G65" s="183"/>
      <c r="H65" s="183" t="s">
        <v>74</v>
      </c>
      <c r="I65" s="184" t="s">
        <v>387</v>
      </c>
      <c r="J65" s="277" t="s">
        <v>473</v>
      </c>
      <c r="K65" s="50" t="s">
        <v>712</v>
      </c>
      <c r="L65" s="51" t="s">
        <v>293</v>
      </c>
      <c r="M65" s="51" t="s">
        <v>293</v>
      </c>
      <c r="N65" s="50" t="s">
        <v>712</v>
      </c>
      <c r="O65" s="51" t="s">
        <v>293</v>
      </c>
      <c r="P65" s="51" t="s">
        <v>293</v>
      </c>
      <c r="Q65" s="50" t="s">
        <v>712</v>
      </c>
      <c r="R65" s="51" t="s">
        <v>293</v>
      </c>
      <c r="S65" s="186" t="s">
        <v>293</v>
      </c>
      <c r="T65" s="279"/>
      <c r="U65" s="52"/>
      <c r="V65" s="272"/>
      <c r="W65" s="188"/>
      <c r="X65" s="187"/>
    </row>
    <row r="66" spans="2:24" ht="52.8" x14ac:dyDescent="0.4">
      <c r="B66" s="192"/>
      <c r="C66" s="191"/>
      <c r="D66" s="195"/>
      <c r="E66" s="196">
        <f t="shared" si="0"/>
        <v>63</v>
      </c>
      <c r="F66" s="182"/>
      <c r="G66" s="183"/>
      <c r="H66" s="183" t="s">
        <v>71</v>
      </c>
      <c r="I66" s="184" t="s">
        <v>385</v>
      </c>
      <c r="J66" s="185" t="s">
        <v>662</v>
      </c>
      <c r="K66" s="50" t="s">
        <v>712</v>
      </c>
      <c r="L66" s="51" t="s">
        <v>293</v>
      </c>
      <c r="M66" s="51" t="s">
        <v>293</v>
      </c>
      <c r="N66" s="50" t="s">
        <v>712</v>
      </c>
      <c r="O66" s="51" t="s">
        <v>293</v>
      </c>
      <c r="P66" s="51" t="s">
        <v>293</v>
      </c>
      <c r="Q66" s="50" t="s">
        <v>712</v>
      </c>
      <c r="R66" s="51" t="s">
        <v>293</v>
      </c>
      <c r="S66" s="186" t="s">
        <v>293</v>
      </c>
      <c r="T66" s="279"/>
      <c r="U66" s="52"/>
      <c r="V66" s="272"/>
      <c r="W66" s="188"/>
      <c r="X66" s="187"/>
    </row>
    <row r="67" spans="2:24" ht="92.4" x14ac:dyDescent="0.4">
      <c r="B67" s="192"/>
      <c r="C67" s="191"/>
      <c r="D67" s="195"/>
      <c r="E67" s="196">
        <f t="shared" si="0"/>
        <v>64</v>
      </c>
      <c r="F67" s="182"/>
      <c r="G67" s="183"/>
      <c r="H67" s="183" t="s">
        <v>71</v>
      </c>
      <c r="I67" s="184" t="s">
        <v>383</v>
      </c>
      <c r="J67" s="185" t="s">
        <v>663</v>
      </c>
      <c r="K67" s="50" t="s">
        <v>712</v>
      </c>
      <c r="L67" s="51" t="s">
        <v>293</v>
      </c>
      <c r="M67" s="51" t="s">
        <v>293</v>
      </c>
      <c r="N67" s="50" t="s">
        <v>712</v>
      </c>
      <c r="O67" s="51" t="s">
        <v>293</v>
      </c>
      <c r="P67" s="51" t="s">
        <v>293</v>
      </c>
      <c r="Q67" s="50" t="s">
        <v>712</v>
      </c>
      <c r="R67" s="51" t="s">
        <v>293</v>
      </c>
      <c r="S67" s="186" t="s">
        <v>293</v>
      </c>
      <c r="T67" s="279"/>
      <c r="U67" s="52"/>
      <c r="V67" s="272"/>
      <c r="W67" s="188"/>
      <c r="X67" s="187"/>
    </row>
    <row r="68" spans="2:24" ht="66" x14ac:dyDescent="0.4">
      <c r="B68" s="192"/>
      <c r="C68" s="191"/>
      <c r="D68" s="195"/>
      <c r="E68" s="196">
        <f t="shared" si="0"/>
        <v>65</v>
      </c>
      <c r="F68" s="182"/>
      <c r="G68" s="183"/>
      <c r="H68" s="183" t="s">
        <v>74</v>
      </c>
      <c r="I68" s="184" t="s">
        <v>664</v>
      </c>
      <c r="J68" s="185" t="s">
        <v>476</v>
      </c>
      <c r="K68" s="50" t="s">
        <v>712</v>
      </c>
      <c r="L68" s="51" t="s">
        <v>293</v>
      </c>
      <c r="M68" s="51" t="s">
        <v>293</v>
      </c>
      <c r="N68" s="50" t="s">
        <v>712</v>
      </c>
      <c r="O68" s="50" t="s">
        <v>712</v>
      </c>
      <c r="P68" s="50" t="s">
        <v>712</v>
      </c>
      <c r="Q68" s="50" t="s">
        <v>712</v>
      </c>
      <c r="R68" s="51" t="s">
        <v>293</v>
      </c>
      <c r="S68" s="186" t="s">
        <v>293</v>
      </c>
      <c r="T68" s="279"/>
      <c r="U68" s="52"/>
      <c r="V68" s="272"/>
      <c r="W68" s="188"/>
      <c r="X68" s="187"/>
    </row>
    <row r="69" spans="2:24" ht="66" x14ac:dyDescent="0.4">
      <c r="B69" s="192"/>
      <c r="C69" s="191"/>
      <c r="D69" s="195"/>
      <c r="E69" s="196">
        <f t="shared" si="0"/>
        <v>66</v>
      </c>
      <c r="F69" s="182"/>
      <c r="G69" s="183"/>
      <c r="H69" s="183" t="s">
        <v>74</v>
      </c>
      <c r="I69" s="184" t="s">
        <v>674</v>
      </c>
      <c r="J69" s="185" t="s">
        <v>475</v>
      </c>
      <c r="K69" s="50" t="s">
        <v>712</v>
      </c>
      <c r="L69" s="51" t="s">
        <v>293</v>
      </c>
      <c r="M69" s="51" t="s">
        <v>293</v>
      </c>
      <c r="N69" s="50" t="s">
        <v>712</v>
      </c>
      <c r="O69" s="50" t="s">
        <v>712</v>
      </c>
      <c r="P69" s="50" t="s">
        <v>712</v>
      </c>
      <c r="Q69" s="50" t="s">
        <v>712</v>
      </c>
      <c r="R69" s="51" t="s">
        <v>293</v>
      </c>
      <c r="S69" s="186" t="s">
        <v>293</v>
      </c>
      <c r="T69" s="279"/>
      <c r="U69" s="52"/>
      <c r="V69" s="272"/>
      <c r="W69" s="188"/>
      <c r="X69" s="187"/>
    </row>
    <row r="70" spans="2:24" ht="52.8" x14ac:dyDescent="0.4">
      <c r="B70" s="192"/>
      <c r="C70" s="191"/>
      <c r="D70" s="195"/>
      <c r="E70" s="196">
        <f t="shared" si="0"/>
        <v>67</v>
      </c>
      <c r="F70" s="182"/>
      <c r="G70" s="183"/>
      <c r="H70" s="183" t="s">
        <v>71</v>
      </c>
      <c r="I70" s="184" t="s">
        <v>386</v>
      </c>
      <c r="J70" s="185" t="s">
        <v>477</v>
      </c>
      <c r="K70" s="50" t="s">
        <v>712</v>
      </c>
      <c r="L70" s="51" t="s">
        <v>293</v>
      </c>
      <c r="M70" s="51" t="s">
        <v>293</v>
      </c>
      <c r="N70" s="50" t="s">
        <v>712</v>
      </c>
      <c r="O70" s="51" t="s">
        <v>293</v>
      </c>
      <c r="P70" s="51" t="s">
        <v>293</v>
      </c>
      <c r="Q70" s="50" t="s">
        <v>712</v>
      </c>
      <c r="R70" s="51" t="s">
        <v>293</v>
      </c>
      <c r="S70" s="186" t="s">
        <v>293</v>
      </c>
      <c r="T70" s="279"/>
      <c r="U70" s="52"/>
      <c r="V70" s="272"/>
      <c r="W70" s="188"/>
      <c r="X70" s="187"/>
    </row>
    <row r="71" spans="2:24" ht="79.2" x14ac:dyDescent="0.4">
      <c r="B71" s="192"/>
      <c r="C71" s="191"/>
      <c r="D71" s="198" t="s">
        <v>286</v>
      </c>
      <c r="E71" s="196">
        <f t="shared" si="0"/>
        <v>68</v>
      </c>
      <c r="F71" s="274" t="s">
        <v>290</v>
      </c>
      <c r="G71" s="275" t="s">
        <v>382</v>
      </c>
      <c r="H71" s="275" t="s">
        <v>71</v>
      </c>
      <c r="I71" s="276"/>
      <c r="J71" s="277" t="s">
        <v>473</v>
      </c>
      <c r="K71" s="50" t="s">
        <v>712</v>
      </c>
      <c r="L71" s="51" t="s">
        <v>293</v>
      </c>
      <c r="M71" s="51" t="s">
        <v>293</v>
      </c>
      <c r="N71" s="50" t="s">
        <v>712</v>
      </c>
      <c r="O71" s="51" t="s">
        <v>293</v>
      </c>
      <c r="P71" s="51" t="s">
        <v>293</v>
      </c>
      <c r="Q71" s="50" t="s">
        <v>712</v>
      </c>
      <c r="R71" s="61" t="s">
        <v>293</v>
      </c>
      <c r="S71" s="278" t="s">
        <v>293</v>
      </c>
      <c r="T71" s="279"/>
      <c r="U71" s="52"/>
      <c r="V71" s="272"/>
      <c r="W71" s="188"/>
      <c r="X71" s="187"/>
    </row>
    <row r="72" spans="2:24" ht="79.2" x14ac:dyDescent="0.4">
      <c r="B72" s="192"/>
      <c r="C72" s="191"/>
      <c r="D72" s="195"/>
      <c r="E72" s="196">
        <f t="shared" si="0"/>
        <v>69</v>
      </c>
      <c r="F72" s="182"/>
      <c r="G72" s="183"/>
      <c r="H72" s="183" t="s">
        <v>74</v>
      </c>
      <c r="I72" s="184" t="s">
        <v>384</v>
      </c>
      <c r="J72" s="185" t="s">
        <v>474</v>
      </c>
      <c r="K72" s="50" t="s">
        <v>712</v>
      </c>
      <c r="L72" s="51" t="s">
        <v>293</v>
      </c>
      <c r="M72" s="51" t="s">
        <v>293</v>
      </c>
      <c r="N72" s="50" t="s">
        <v>712</v>
      </c>
      <c r="O72" s="51" t="s">
        <v>293</v>
      </c>
      <c r="P72" s="51" t="s">
        <v>293</v>
      </c>
      <c r="Q72" s="50" t="s">
        <v>712</v>
      </c>
      <c r="R72" s="51" t="s">
        <v>293</v>
      </c>
      <c r="S72" s="186" t="s">
        <v>293</v>
      </c>
      <c r="T72" s="279"/>
      <c r="U72" s="52"/>
      <c r="V72" s="272"/>
      <c r="W72" s="188"/>
      <c r="X72" s="187"/>
    </row>
    <row r="73" spans="2:24" ht="79.2" x14ac:dyDescent="0.4">
      <c r="B73" s="192"/>
      <c r="C73" s="191"/>
      <c r="D73" s="195"/>
      <c r="E73" s="196">
        <f t="shared" ref="E73:E76" si="1">ROW()-3</f>
        <v>70</v>
      </c>
      <c r="F73" s="182"/>
      <c r="G73" s="183"/>
      <c r="H73" s="183" t="s">
        <v>74</v>
      </c>
      <c r="I73" s="184" t="s">
        <v>387</v>
      </c>
      <c r="J73" s="277" t="s">
        <v>473</v>
      </c>
      <c r="K73" s="50" t="s">
        <v>712</v>
      </c>
      <c r="L73" s="51" t="s">
        <v>293</v>
      </c>
      <c r="M73" s="51" t="s">
        <v>293</v>
      </c>
      <c r="N73" s="50" t="s">
        <v>712</v>
      </c>
      <c r="O73" s="51" t="s">
        <v>293</v>
      </c>
      <c r="P73" s="51" t="s">
        <v>293</v>
      </c>
      <c r="Q73" s="50" t="s">
        <v>712</v>
      </c>
      <c r="R73" s="51" t="s">
        <v>293</v>
      </c>
      <c r="S73" s="186" t="s">
        <v>293</v>
      </c>
      <c r="T73" s="279"/>
      <c r="U73" s="52"/>
      <c r="V73" s="272"/>
      <c r="W73" s="188"/>
      <c r="X73" s="187"/>
    </row>
    <row r="74" spans="2:24" ht="52.8" x14ac:dyDescent="0.4">
      <c r="B74" s="192"/>
      <c r="C74" s="191"/>
      <c r="D74" s="195"/>
      <c r="E74" s="196">
        <f t="shared" si="1"/>
        <v>71</v>
      </c>
      <c r="F74" s="182"/>
      <c r="G74" s="183"/>
      <c r="H74" s="183" t="s">
        <v>71</v>
      </c>
      <c r="I74" s="184" t="s">
        <v>391</v>
      </c>
      <c r="J74" s="185" t="s">
        <v>479</v>
      </c>
      <c r="K74" s="50" t="s">
        <v>712</v>
      </c>
      <c r="L74" s="51" t="s">
        <v>293</v>
      </c>
      <c r="M74" s="51" t="s">
        <v>293</v>
      </c>
      <c r="N74" s="50" t="s">
        <v>712</v>
      </c>
      <c r="O74" s="51" t="s">
        <v>293</v>
      </c>
      <c r="P74" s="51" t="s">
        <v>293</v>
      </c>
      <c r="Q74" s="50" t="s">
        <v>712</v>
      </c>
      <c r="R74" s="51" t="s">
        <v>293</v>
      </c>
      <c r="S74" s="186" t="s">
        <v>293</v>
      </c>
      <c r="T74" s="279"/>
      <c r="U74" s="52"/>
      <c r="V74" s="272"/>
      <c r="W74" s="188"/>
      <c r="X74" s="187"/>
    </row>
    <row r="75" spans="2:24" ht="92.4" x14ac:dyDescent="0.4">
      <c r="B75" s="192"/>
      <c r="C75" s="191"/>
      <c r="D75" s="195"/>
      <c r="E75" s="196">
        <f t="shared" si="1"/>
        <v>72</v>
      </c>
      <c r="F75" s="182"/>
      <c r="G75" s="183"/>
      <c r="H75" s="183" t="s">
        <v>71</v>
      </c>
      <c r="I75" s="184" t="s">
        <v>392</v>
      </c>
      <c r="J75" s="185" t="s">
        <v>663</v>
      </c>
      <c r="K75" s="50" t="s">
        <v>712</v>
      </c>
      <c r="L75" s="51" t="s">
        <v>293</v>
      </c>
      <c r="M75" s="51" t="s">
        <v>293</v>
      </c>
      <c r="N75" s="50" t="s">
        <v>712</v>
      </c>
      <c r="O75" s="51" t="s">
        <v>293</v>
      </c>
      <c r="P75" s="51" t="s">
        <v>293</v>
      </c>
      <c r="Q75" s="50" t="s">
        <v>712</v>
      </c>
      <c r="R75" s="51" t="s">
        <v>293</v>
      </c>
      <c r="S75" s="186" t="s">
        <v>293</v>
      </c>
      <c r="T75" s="279"/>
      <c r="U75" s="52"/>
      <c r="V75" s="272"/>
      <c r="W75" s="188"/>
      <c r="X75" s="187"/>
    </row>
    <row r="76" spans="2:24" ht="66" x14ac:dyDescent="0.4">
      <c r="B76" s="192"/>
      <c r="C76" s="191"/>
      <c r="D76" s="195"/>
      <c r="E76" s="196">
        <f t="shared" si="1"/>
        <v>73</v>
      </c>
      <c r="F76" s="182"/>
      <c r="G76" s="183"/>
      <c r="H76" s="183" t="s">
        <v>74</v>
      </c>
      <c r="I76" s="184" t="s">
        <v>673</v>
      </c>
      <c r="J76" s="185" t="s">
        <v>476</v>
      </c>
      <c r="K76" s="50" t="s">
        <v>712</v>
      </c>
      <c r="L76" s="51" t="s">
        <v>293</v>
      </c>
      <c r="M76" s="51" t="s">
        <v>293</v>
      </c>
      <c r="N76" s="50" t="s">
        <v>712</v>
      </c>
      <c r="O76" s="50" t="s">
        <v>712</v>
      </c>
      <c r="P76" s="50" t="s">
        <v>712</v>
      </c>
      <c r="Q76" s="50" t="s">
        <v>712</v>
      </c>
      <c r="R76" s="51" t="s">
        <v>293</v>
      </c>
      <c r="S76" s="186" t="s">
        <v>293</v>
      </c>
      <c r="T76" s="279"/>
      <c r="U76" s="52"/>
      <c r="V76" s="272"/>
      <c r="W76" s="188"/>
      <c r="X76" s="187"/>
    </row>
    <row r="77" spans="2:24" ht="79.2" x14ac:dyDescent="0.4">
      <c r="B77" s="192"/>
      <c r="C77" s="198" t="s">
        <v>393</v>
      </c>
      <c r="D77" s="198" t="s">
        <v>284</v>
      </c>
      <c r="E77" s="273">
        <f>ROW()-3</f>
        <v>74</v>
      </c>
      <c r="F77" s="274" t="s">
        <v>290</v>
      </c>
      <c r="G77" s="275" t="s">
        <v>394</v>
      </c>
      <c r="H77" s="275" t="s">
        <v>71</v>
      </c>
      <c r="I77" s="276"/>
      <c r="J77" s="277" t="s">
        <v>473</v>
      </c>
      <c r="K77" s="50" t="s">
        <v>712</v>
      </c>
      <c r="L77" s="51" t="s">
        <v>293</v>
      </c>
      <c r="M77" s="51" t="s">
        <v>293</v>
      </c>
      <c r="N77" s="50" t="s">
        <v>712</v>
      </c>
      <c r="O77" s="51" t="s">
        <v>293</v>
      </c>
      <c r="P77" s="51" t="s">
        <v>293</v>
      </c>
      <c r="Q77" s="50" t="s">
        <v>712</v>
      </c>
      <c r="R77" s="61" t="s">
        <v>293</v>
      </c>
      <c r="S77" s="278" t="s">
        <v>293</v>
      </c>
      <c r="T77" s="279"/>
      <c r="U77" s="52"/>
      <c r="V77" s="272"/>
      <c r="W77" s="188"/>
      <c r="X77" s="282"/>
    </row>
    <row r="78" spans="2:24" ht="79.2" x14ac:dyDescent="0.4">
      <c r="B78" s="192"/>
      <c r="C78" s="191"/>
      <c r="D78" s="195"/>
      <c r="E78" s="196">
        <f t="shared" ref="E78:E92" si="2">ROW()-3</f>
        <v>75</v>
      </c>
      <c r="F78" s="182"/>
      <c r="G78" s="183"/>
      <c r="H78" s="183" t="s">
        <v>74</v>
      </c>
      <c r="I78" s="184" t="s">
        <v>384</v>
      </c>
      <c r="J78" s="185" t="s">
        <v>474</v>
      </c>
      <c r="K78" s="50" t="s">
        <v>712</v>
      </c>
      <c r="L78" s="51" t="s">
        <v>293</v>
      </c>
      <c r="M78" s="51" t="s">
        <v>293</v>
      </c>
      <c r="N78" s="50" t="s">
        <v>712</v>
      </c>
      <c r="O78" s="51" t="s">
        <v>293</v>
      </c>
      <c r="P78" s="51" t="s">
        <v>293</v>
      </c>
      <c r="Q78" s="50" t="s">
        <v>712</v>
      </c>
      <c r="R78" s="51" t="s">
        <v>293</v>
      </c>
      <c r="S78" s="186" t="s">
        <v>293</v>
      </c>
      <c r="T78" s="279"/>
      <c r="U78" s="52"/>
      <c r="V78" s="272"/>
      <c r="W78" s="188"/>
      <c r="X78" s="187"/>
    </row>
    <row r="79" spans="2:24" ht="79.2" x14ac:dyDescent="0.4">
      <c r="B79" s="192"/>
      <c r="C79" s="191"/>
      <c r="D79" s="195"/>
      <c r="E79" s="196">
        <f t="shared" si="2"/>
        <v>76</v>
      </c>
      <c r="F79" s="182"/>
      <c r="G79" s="183"/>
      <c r="H79" s="183" t="s">
        <v>74</v>
      </c>
      <c r="I79" s="184" t="s">
        <v>387</v>
      </c>
      <c r="J79" s="277" t="s">
        <v>473</v>
      </c>
      <c r="K79" s="50" t="s">
        <v>712</v>
      </c>
      <c r="L79" s="51" t="s">
        <v>293</v>
      </c>
      <c r="M79" s="51" t="s">
        <v>293</v>
      </c>
      <c r="N79" s="50" t="s">
        <v>712</v>
      </c>
      <c r="O79" s="51" t="s">
        <v>293</v>
      </c>
      <c r="P79" s="51" t="s">
        <v>293</v>
      </c>
      <c r="Q79" s="50" t="s">
        <v>712</v>
      </c>
      <c r="R79" s="51" t="s">
        <v>293</v>
      </c>
      <c r="S79" s="186" t="s">
        <v>293</v>
      </c>
      <c r="T79" s="279"/>
      <c r="U79" s="52"/>
      <c r="V79" s="272"/>
      <c r="W79" s="188"/>
      <c r="X79" s="187"/>
    </row>
    <row r="80" spans="2:24" ht="52.8" x14ac:dyDescent="0.4">
      <c r="B80" s="192"/>
      <c r="C80" s="191"/>
      <c r="D80" s="195"/>
      <c r="E80" s="196">
        <f t="shared" si="2"/>
        <v>77</v>
      </c>
      <c r="F80" s="182"/>
      <c r="G80" s="183"/>
      <c r="H80" s="183" t="s">
        <v>71</v>
      </c>
      <c r="I80" s="184" t="s">
        <v>385</v>
      </c>
      <c r="J80" s="185" t="s">
        <v>662</v>
      </c>
      <c r="K80" s="50" t="s">
        <v>712</v>
      </c>
      <c r="L80" s="51" t="s">
        <v>293</v>
      </c>
      <c r="M80" s="51" t="s">
        <v>293</v>
      </c>
      <c r="N80" s="50" t="s">
        <v>712</v>
      </c>
      <c r="O80" s="51" t="s">
        <v>293</v>
      </c>
      <c r="P80" s="51" t="s">
        <v>293</v>
      </c>
      <c r="Q80" s="50" t="s">
        <v>712</v>
      </c>
      <c r="R80" s="51" t="s">
        <v>293</v>
      </c>
      <c r="S80" s="186" t="s">
        <v>293</v>
      </c>
      <c r="T80" s="279"/>
      <c r="U80" s="52"/>
      <c r="V80" s="272"/>
      <c r="W80" s="188"/>
      <c r="X80" s="187"/>
    </row>
    <row r="81" spans="2:24" ht="52.8" x14ac:dyDescent="0.4">
      <c r="B81" s="192"/>
      <c r="C81" s="191"/>
      <c r="D81" s="195"/>
      <c r="E81" s="196">
        <f t="shared" si="2"/>
        <v>78</v>
      </c>
      <c r="F81" s="182"/>
      <c r="G81" s="183"/>
      <c r="H81" s="183" t="s">
        <v>71</v>
      </c>
      <c r="I81" s="184"/>
      <c r="J81" s="185" t="s">
        <v>480</v>
      </c>
      <c r="K81" s="50" t="s">
        <v>712</v>
      </c>
      <c r="L81" s="51" t="s">
        <v>293</v>
      </c>
      <c r="M81" s="51" t="s">
        <v>293</v>
      </c>
      <c r="N81" s="50" t="s">
        <v>712</v>
      </c>
      <c r="O81" s="51" t="s">
        <v>293</v>
      </c>
      <c r="P81" s="51" t="s">
        <v>293</v>
      </c>
      <c r="Q81" s="50" t="s">
        <v>712</v>
      </c>
      <c r="R81" s="51" t="s">
        <v>293</v>
      </c>
      <c r="S81" s="186" t="s">
        <v>293</v>
      </c>
      <c r="T81" s="279"/>
      <c r="U81" s="52"/>
      <c r="V81" s="272"/>
      <c r="W81" s="188"/>
      <c r="X81" s="187"/>
    </row>
    <row r="82" spans="2:24" ht="92.4" x14ac:dyDescent="0.4">
      <c r="B82" s="192"/>
      <c r="C82" s="191"/>
      <c r="D82" s="195"/>
      <c r="E82" s="196">
        <f t="shared" si="2"/>
        <v>79</v>
      </c>
      <c r="F82" s="182"/>
      <c r="G82" s="183"/>
      <c r="H82" s="183" t="s">
        <v>71</v>
      </c>
      <c r="I82" s="184" t="s">
        <v>383</v>
      </c>
      <c r="J82" s="185" t="s">
        <v>663</v>
      </c>
      <c r="K82" s="50" t="s">
        <v>712</v>
      </c>
      <c r="L82" s="51" t="s">
        <v>293</v>
      </c>
      <c r="M82" s="51" t="s">
        <v>293</v>
      </c>
      <c r="N82" s="50" t="s">
        <v>712</v>
      </c>
      <c r="O82" s="51" t="s">
        <v>293</v>
      </c>
      <c r="P82" s="51" t="s">
        <v>293</v>
      </c>
      <c r="Q82" s="50" t="s">
        <v>712</v>
      </c>
      <c r="R82" s="51" t="s">
        <v>293</v>
      </c>
      <c r="S82" s="186" t="s">
        <v>293</v>
      </c>
      <c r="T82" s="279"/>
      <c r="U82" s="52"/>
      <c r="V82" s="272"/>
      <c r="W82" s="188"/>
      <c r="X82" s="187"/>
    </row>
    <row r="83" spans="2:24" ht="66" x14ac:dyDescent="0.4">
      <c r="B83" s="192"/>
      <c r="C83" s="191"/>
      <c r="D83" s="195"/>
      <c r="E83" s="196">
        <f t="shared" si="2"/>
        <v>80</v>
      </c>
      <c r="F83" s="182"/>
      <c r="G83" s="183"/>
      <c r="H83" s="183" t="s">
        <v>74</v>
      </c>
      <c r="I83" s="184" t="s">
        <v>664</v>
      </c>
      <c r="J83" s="185" t="s">
        <v>476</v>
      </c>
      <c r="K83" s="50" t="s">
        <v>712</v>
      </c>
      <c r="L83" s="51" t="s">
        <v>293</v>
      </c>
      <c r="M83" s="51" t="s">
        <v>293</v>
      </c>
      <c r="N83" s="50" t="s">
        <v>712</v>
      </c>
      <c r="O83" s="50" t="s">
        <v>712</v>
      </c>
      <c r="P83" s="50" t="s">
        <v>712</v>
      </c>
      <c r="Q83" s="50" t="s">
        <v>712</v>
      </c>
      <c r="R83" s="51" t="s">
        <v>293</v>
      </c>
      <c r="S83" s="186" t="s">
        <v>293</v>
      </c>
      <c r="T83" s="279"/>
      <c r="U83" s="52"/>
      <c r="V83" s="272"/>
      <c r="W83" s="188"/>
      <c r="X83" s="187"/>
    </row>
    <row r="84" spans="2:24" ht="66" x14ac:dyDescent="0.4">
      <c r="B84" s="192"/>
      <c r="C84" s="191"/>
      <c r="D84" s="195"/>
      <c r="E84" s="196">
        <f t="shared" si="2"/>
        <v>81</v>
      </c>
      <c r="F84" s="182"/>
      <c r="G84" s="183"/>
      <c r="H84" s="183" t="s">
        <v>74</v>
      </c>
      <c r="I84" s="184" t="s">
        <v>674</v>
      </c>
      <c r="J84" s="185" t="s">
        <v>475</v>
      </c>
      <c r="K84" s="50" t="s">
        <v>712</v>
      </c>
      <c r="L84" s="51" t="s">
        <v>293</v>
      </c>
      <c r="M84" s="51" t="s">
        <v>293</v>
      </c>
      <c r="N84" s="50" t="s">
        <v>712</v>
      </c>
      <c r="O84" s="50" t="s">
        <v>712</v>
      </c>
      <c r="P84" s="50" t="s">
        <v>712</v>
      </c>
      <c r="Q84" s="50" t="s">
        <v>712</v>
      </c>
      <c r="R84" s="51" t="s">
        <v>293</v>
      </c>
      <c r="S84" s="186" t="s">
        <v>293</v>
      </c>
      <c r="T84" s="279"/>
      <c r="U84" s="52"/>
      <c r="V84" s="272"/>
      <c r="W84" s="188"/>
      <c r="X84" s="187"/>
    </row>
    <row r="85" spans="2:24" ht="52.8" x14ac:dyDescent="0.4">
      <c r="B85" s="192"/>
      <c r="C85" s="191"/>
      <c r="D85" s="195"/>
      <c r="E85" s="196">
        <f t="shared" si="2"/>
        <v>82</v>
      </c>
      <c r="F85" s="182"/>
      <c r="G85" s="183"/>
      <c r="H85" s="183" t="s">
        <v>71</v>
      </c>
      <c r="I85" s="184" t="s">
        <v>386</v>
      </c>
      <c r="J85" s="185" t="s">
        <v>477</v>
      </c>
      <c r="K85" s="50" t="s">
        <v>712</v>
      </c>
      <c r="L85" s="51" t="s">
        <v>293</v>
      </c>
      <c r="M85" s="51" t="s">
        <v>293</v>
      </c>
      <c r="N85" s="50" t="s">
        <v>712</v>
      </c>
      <c r="O85" s="51" t="s">
        <v>293</v>
      </c>
      <c r="P85" s="51" t="s">
        <v>293</v>
      </c>
      <c r="Q85" s="50" t="s">
        <v>712</v>
      </c>
      <c r="R85" s="51" t="s">
        <v>293</v>
      </c>
      <c r="S85" s="186" t="s">
        <v>293</v>
      </c>
      <c r="T85" s="279"/>
      <c r="U85" s="52"/>
      <c r="V85" s="272"/>
      <c r="W85" s="188"/>
      <c r="X85" s="187"/>
    </row>
    <row r="86" spans="2:24" ht="79.2" x14ac:dyDescent="0.4">
      <c r="B86" s="192"/>
      <c r="C86" s="191"/>
      <c r="D86" s="198" t="s">
        <v>286</v>
      </c>
      <c r="E86" s="196">
        <f t="shared" si="2"/>
        <v>83</v>
      </c>
      <c r="F86" s="274" t="s">
        <v>290</v>
      </c>
      <c r="G86" s="275" t="s">
        <v>396</v>
      </c>
      <c r="H86" s="275" t="s">
        <v>71</v>
      </c>
      <c r="I86" s="276"/>
      <c r="J86" s="277" t="s">
        <v>473</v>
      </c>
      <c r="K86" s="50" t="s">
        <v>712</v>
      </c>
      <c r="L86" s="51" t="s">
        <v>293</v>
      </c>
      <c r="M86" s="51" t="s">
        <v>293</v>
      </c>
      <c r="N86" s="50" t="s">
        <v>712</v>
      </c>
      <c r="O86" s="51" t="s">
        <v>293</v>
      </c>
      <c r="P86" s="51" t="s">
        <v>293</v>
      </c>
      <c r="Q86" s="50" t="s">
        <v>712</v>
      </c>
      <c r="R86" s="61" t="s">
        <v>293</v>
      </c>
      <c r="S86" s="278" t="s">
        <v>293</v>
      </c>
      <c r="T86" s="279"/>
      <c r="U86" s="52"/>
      <c r="V86" s="272"/>
      <c r="W86" s="188"/>
      <c r="X86" s="187"/>
    </row>
    <row r="87" spans="2:24" ht="79.2" x14ac:dyDescent="0.4">
      <c r="B87" s="192"/>
      <c r="C87" s="191"/>
      <c r="D87" s="195"/>
      <c r="E87" s="196">
        <f t="shared" si="2"/>
        <v>84</v>
      </c>
      <c r="F87" s="182"/>
      <c r="G87" s="183"/>
      <c r="H87" s="183" t="s">
        <v>74</v>
      </c>
      <c r="I87" s="184" t="s">
        <v>384</v>
      </c>
      <c r="J87" s="185" t="s">
        <v>474</v>
      </c>
      <c r="K87" s="50" t="s">
        <v>712</v>
      </c>
      <c r="L87" s="51" t="s">
        <v>293</v>
      </c>
      <c r="M87" s="51" t="s">
        <v>293</v>
      </c>
      <c r="N87" s="50" t="s">
        <v>712</v>
      </c>
      <c r="O87" s="51" t="s">
        <v>293</v>
      </c>
      <c r="P87" s="51" t="s">
        <v>293</v>
      </c>
      <c r="Q87" s="50" t="s">
        <v>712</v>
      </c>
      <c r="R87" s="51" t="s">
        <v>293</v>
      </c>
      <c r="S87" s="186" t="s">
        <v>293</v>
      </c>
      <c r="T87" s="279"/>
      <c r="U87" s="52"/>
      <c r="V87" s="272"/>
      <c r="W87" s="188"/>
      <c r="X87" s="187"/>
    </row>
    <row r="88" spans="2:24" ht="79.2" x14ac:dyDescent="0.4">
      <c r="B88" s="192"/>
      <c r="C88" s="191"/>
      <c r="D88" s="195"/>
      <c r="E88" s="196">
        <f t="shared" si="2"/>
        <v>85</v>
      </c>
      <c r="F88" s="182"/>
      <c r="G88" s="183"/>
      <c r="H88" s="183" t="s">
        <v>74</v>
      </c>
      <c r="I88" s="184" t="s">
        <v>387</v>
      </c>
      <c r="J88" s="277" t="s">
        <v>473</v>
      </c>
      <c r="K88" s="50" t="s">
        <v>712</v>
      </c>
      <c r="L88" s="51" t="s">
        <v>293</v>
      </c>
      <c r="M88" s="51" t="s">
        <v>293</v>
      </c>
      <c r="N88" s="50" t="s">
        <v>712</v>
      </c>
      <c r="O88" s="51" t="s">
        <v>293</v>
      </c>
      <c r="P88" s="51" t="s">
        <v>293</v>
      </c>
      <c r="Q88" s="50" t="s">
        <v>712</v>
      </c>
      <c r="R88" s="51" t="s">
        <v>293</v>
      </c>
      <c r="S88" s="186" t="s">
        <v>293</v>
      </c>
      <c r="T88" s="279"/>
      <c r="U88" s="52"/>
      <c r="V88" s="272"/>
      <c r="W88" s="188"/>
      <c r="X88" s="187"/>
    </row>
    <row r="89" spans="2:24" ht="52.8" x14ac:dyDescent="0.4">
      <c r="B89" s="192"/>
      <c r="C89" s="191"/>
      <c r="D89" s="195"/>
      <c r="E89" s="196">
        <f t="shared" si="2"/>
        <v>86</v>
      </c>
      <c r="F89" s="400"/>
      <c r="G89" s="183"/>
      <c r="H89" s="183" t="s">
        <v>71</v>
      </c>
      <c r="I89" s="184" t="s">
        <v>391</v>
      </c>
      <c r="J89" s="185" t="s">
        <v>479</v>
      </c>
      <c r="K89" s="50" t="s">
        <v>712</v>
      </c>
      <c r="L89" s="51" t="s">
        <v>293</v>
      </c>
      <c r="M89" s="51" t="s">
        <v>293</v>
      </c>
      <c r="N89" s="50" t="s">
        <v>712</v>
      </c>
      <c r="O89" s="51" t="s">
        <v>293</v>
      </c>
      <c r="P89" s="51" t="s">
        <v>293</v>
      </c>
      <c r="Q89" s="50" t="s">
        <v>712</v>
      </c>
      <c r="R89" s="51" t="s">
        <v>293</v>
      </c>
      <c r="S89" s="186" t="s">
        <v>293</v>
      </c>
      <c r="T89" s="279"/>
      <c r="U89" s="52"/>
      <c r="V89" s="272"/>
      <c r="W89" s="188"/>
      <c r="X89" s="187"/>
    </row>
    <row r="90" spans="2:24" ht="52.8" x14ac:dyDescent="0.4">
      <c r="B90" s="192"/>
      <c r="C90" s="191"/>
      <c r="D90" s="195"/>
      <c r="E90" s="196">
        <f t="shared" si="2"/>
        <v>87</v>
      </c>
      <c r="F90" s="182"/>
      <c r="G90" s="183"/>
      <c r="H90" s="183" t="s">
        <v>71</v>
      </c>
      <c r="I90" s="184"/>
      <c r="J90" s="185" t="s">
        <v>478</v>
      </c>
      <c r="K90" s="50" t="s">
        <v>712</v>
      </c>
      <c r="L90" s="51" t="s">
        <v>293</v>
      </c>
      <c r="M90" s="51" t="s">
        <v>293</v>
      </c>
      <c r="N90" s="50" t="s">
        <v>712</v>
      </c>
      <c r="O90" s="51" t="s">
        <v>293</v>
      </c>
      <c r="P90" s="51" t="s">
        <v>293</v>
      </c>
      <c r="Q90" s="50" t="s">
        <v>712</v>
      </c>
      <c r="R90" s="51" t="s">
        <v>293</v>
      </c>
      <c r="S90" s="186" t="s">
        <v>293</v>
      </c>
      <c r="T90" s="279"/>
      <c r="U90" s="52"/>
      <c r="V90" s="272"/>
      <c r="W90" s="188"/>
      <c r="X90" s="187"/>
    </row>
    <row r="91" spans="2:24" ht="92.4" x14ac:dyDescent="0.4">
      <c r="B91" s="192"/>
      <c r="C91" s="191"/>
      <c r="D91" s="195"/>
      <c r="E91" s="196">
        <f t="shared" si="2"/>
        <v>88</v>
      </c>
      <c r="F91" s="182"/>
      <c r="G91" s="183"/>
      <c r="H91" s="183" t="s">
        <v>71</v>
      </c>
      <c r="I91" s="184" t="s">
        <v>392</v>
      </c>
      <c r="J91" s="185" t="s">
        <v>663</v>
      </c>
      <c r="K91" s="50" t="s">
        <v>712</v>
      </c>
      <c r="L91" s="51" t="s">
        <v>293</v>
      </c>
      <c r="M91" s="51" t="s">
        <v>293</v>
      </c>
      <c r="N91" s="50" t="s">
        <v>712</v>
      </c>
      <c r="O91" s="51" t="s">
        <v>293</v>
      </c>
      <c r="P91" s="51" t="s">
        <v>293</v>
      </c>
      <c r="Q91" s="50" t="s">
        <v>712</v>
      </c>
      <c r="R91" s="51" t="s">
        <v>293</v>
      </c>
      <c r="S91" s="186" t="s">
        <v>293</v>
      </c>
      <c r="T91" s="279"/>
      <c r="U91" s="52"/>
      <c r="V91" s="272"/>
      <c r="W91" s="188"/>
      <c r="X91" s="187"/>
    </row>
    <row r="92" spans="2:24" ht="66" x14ac:dyDescent="0.4">
      <c r="B92" s="192"/>
      <c r="C92" s="191"/>
      <c r="D92" s="195"/>
      <c r="E92" s="196">
        <f t="shared" si="2"/>
        <v>89</v>
      </c>
      <c r="F92" s="182"/>
      <c r="G92" s="183"/>
      <c r="H92" s="183" t="s">
        <v>74</v>
      </c>
      <c r="I92" s="184" t="s">
        <v>673</v>
      </c>
      <c r="J92" s="185" t="s">
        <v>476</v>
      </c>
      <c r="K92" s="50" t="s">
        <v>712</v>
      </c>
      <c r="L92" s="51" t="s">
        <v>293</v>
      </c>
      <c r="M92" s="51" t="s">
        <v>293</v>
      </c>
      <c r="N92" s="50" t="s">
        <v>712</v>
      </c>
      <c r="O92" s="50" t="s">
        <v>712</v>
      </c>
      <c r="P92" s="50" t="s">
        <v>712</v>
      </c>
      <c r="Q92" s="50" t="s">
        <v>712</v>
      </c>
      <c r="R92" s="51" t="s">
        <v>293</v>
      </c>
      <c r="S92" s="186" t="s">
        <v>293</v>
      </c>
      <c r="T92" s="279"/>
      <c r="U92" s="52"/>
      <c r="V92" s="272"/>
      <c r="W92" s="188"/>
      <c r="X92" s="187"/>
    </row>
    <row r="93" spans="2:24" ht="79.2" x14ac:dyDescent="0.4">
      <c r="B93" s="197" t="s">
        <v>292</v>
      </c>
      <c r="C93" s="198" t="s">
        <v>285</v>
      </c>
      <c r="D93" s="198" t="s">
        <v>284</v>
      </c>
      <c r="E93" s="273">
        <f>ROW()-3</f>
        <v>90</v>
      </c>
      <c r="F93" s="274" t="s">
        <v>397</v>
      </c>
      <c r="G93" s="275" t="s">
        <v>382</v>
      </c>
      <c r="H93" s="275" t="s">
        <v>71</v>
      </c>
      <c r="I93" s="276"/>
      <c r="J93" s="277" t="s">
        <v>473</v>
      </c>
      <c r="K93" s="50" t="s">
        <v>712</v>
      </c>
      <c r="L93" s="51" t="s">
        <v>293</v>
      </c>
      <c r="M93" s="51" t="s">
        <v>293</v>
      </c>
      <c r="N93" s="50" t="s">
        <v>712</v>
      </c>
      <c r="O93" s="51" t="s">
        <v>293</v>
      </c>
      <c r="P93" s="51" t="s">
        <v>293</v>
      </c>
      <c r="Q93" s="50" t="s">
        <v>712</v>
      </c>
      <c r="R93" s="61" t="s">
        <v>293</v>
      </c>
      <c r="S93" s="278" t="s">
        <v>293</v>
      </c>
      <c r="T93" s="279"/>
      <c r="U93" s="52"/>
      <c r="V93" s="272"/>
      <c r="W93" s="188"/>
      <c r="X93" s="282"/>
    </row>
    <row r="94" spans="2:24" ht="79.2" x14ac:dyDescent="0.4">
      <c r="B94" s="192"/>
      <c r="C94" s="191"/>
      <c r="D94" s="195"/>
      <c r="E94" s="196">
        <f t="shared" ref="E94:E106" si="3">ROW()-3</f>
        <v>91</v>
      </c>
      <c r="F94" s="182"/>
      <c r="G94" s="183"/>
      <c r="H94" s="183" t="s">
        <v>74</v>
      </c>
      <c r="I94" s="184" t="s">
        <v>384</v>
      </c>
      <c r="J94" s="185" t="s">
        <v>474</v>
      </c>
      <c r="K94" s="50" t="s">
        <v>712</v>
      </c>
      <c r="L94" s="51" t="s">
        <v>293</v>
      </c>
      <c r="M94" s="51" t="s">
        <v>293</v>
      </c>
      <c r="N94" s="50" t="s">
        <v>712</v>
      </c>
      <c r="O94" s="51" t="s">
        <v>293</v>
      </c>
      <c r="P94" s="51" t="s">
        <v>293</v>
      </c>
      <c r="Q94" s="50" t="s">
        <v>712</v>
      </c>
      <c r="R94" s="51" t="s">
        <v>293</v>
      </c>
      <c r="S94" s="186" t="s">
        <v>293</v>
      </c>
      <c r="T94" s="279"/>
      <c r="U94" s="52"/>
      <c r="V94" s="272"/>
      <c r="W94" s="188"/>
      <c r="X94" s="187"/>
    </row>
    <row r="95" spans="2:24" ht="79.2" x14ac:dyDescent="0.4">
      <c r="B95" s="192"/>
      <c r="C95" s="191"/>
      <c r="D95" s="195"/>
      <c r="E95" s="196">
        <f t="shared" si="3"/>
        <v>92</v>
      </c>
      <c r="F95" s="182"/>
      <c r="G95" s="183"/>
      <c r="H95" s="183" t="s">
        <v>74</v>
      </c>
      <c r="I95" s="184" t="s">
        <v>387</v>
      </c>
      <c r="J95" s="277" t="s">
        <v>473</v>
      </c>
      <c r="K95" s="50" t="s">
        <v>712</v>
      </c>
      <c r="L95" s="51" t="s">
        <v>293</v>
      </c>
      <c r="M95" s="51" t="s">
        <v>293</v>
      </c>
      <c r="N95" s="50" t="s">
        <v>712</v>
      </c>
      <c r="O95" s="51" t="s">
        <v>293</v>
      </c>
      <c r="P95" s="51" t="s">
        <v>293</v>
      </c>
      <c r="Q95" s="50" t="s">
        <v>712</v>
      </c>
      <c r="R95" s="51" t="s">
        <v>293</v>
      </c>
      <c r="S95" s="186" t="s">
        <v>293</v>
      </c>
      <c r="T95" s="279"/>
      <c r="U95" s="52"/>
      <c r="V95" s="272"/>
      <c r="W95" s="188"/>
      <c r="X95" s="187"/>
    </row>
    <row r="96" spans="2:24" ht="52.8" x14ac:dyDescent="0.4">
      <c r="B96" s="192"/>
      <c r="C96" s="191"/>
      <c r="D96" s="195"/>
      <c r="E96" s="196">
        <f t="shared" si="3"/>
        <v>93</v>
      </c>
      <c r="F96" s="182"/>
      <c r="G96" s="183"/>
      <c r="H96" s="183" t="s">
        <v>71</v>
      </c>
      <c r="I96" s="184" t="s">
        <v>385</v>
      </c>
      <c r="J96" s="185" t="s">
        <v>662</v>
      </c>
      <c r="K96" s="50" t="s">
        <v>712</v>
      </c>
      <c r="L96" s="51" t="s">
        <v>293</v>
      </c>
      <c r="M96" s="51" t="s">
        <v>293</v>
      </c>
      <c r="N96" s="50" t="s">
        <v>712</v>
      </c>
      <c r="O96" s="51" t="s">
        <v>293</v>
      </c>
      <c r="P96" s="51" t="s">
        <v>293</v>
      </c>
      <c r="Q96" s="50" t="s">
        <v>712</v>
      </c>
      <c r="R96" s="51" t="s">
        <v>293</v>
      </c>
      <c r="S96" s="186" t="s">
        <v>293</v>
      </c>
      <c r="T96" s="279"/>
      <c r="U96" s="52"/>
      <c r="V96" s="272"/>
      <c r="W96" s="188"/>
      <c r="X96" s="187"/>
    </row>
    <row r="97" spans="2:24" ht="92.4" x14ac:dyDescent="0.4">
      <c r="B97" s="192"/>
      <c r="C97" s="191"/>
      <c r="D97" s="195"/>
      <c r="E97" s="196">
        <f t="shared" si="3"/>
        <v>94</v>
      </c>
      <c r="F97" s="182"/>
      <c r="G97" s="183"/>
      <c r="H97" s="183" t="s">
        <v>71</v>
      </c>
      <c r="I97" s="184" t="s">
        <v>383</v>
      </c>
      <c r="J97" s="185" t="s">
        <v>663</v>
      </c>
      <c r="K97" s="50" t="s">
        <v>712</v>
      </c>
      <c r="L97" s="51" t="s">
        <v>293</v>
      </c>
      <c r="M97" s="51" t="s">
        <v>293</v>
      </c>
      <c r="N97" s="50" t="s">
        <v>712</v>
      </c>
      <c r="O97" s="51" t="s">
        <v>293</v>
      </c>
      <c r="P97" s="51" t="s">
        <v>293</v>
      </c>
      <c r="Q97" s="50" t="s">
        <v>712</v>
      </c>
      <c r="R97" s="51" t="s">
        <v>293</v>
      </c>
      <c r="S97" s="186" t="s">
        <v>293</v>
      </c>
      <c r="T97" s="279"/>
      <c r="U97" s="52"/>
      <c r="V97" s="272"/>
      <c r="W97" s="188"/>
      <c r="X97" s="187"/>
    </row>
    <row r="98" spans="2:24" ht="66" x14ac:dyDescent="0.4">
      <c r="B98" s="192"/>
      <c r="C98" s="191"/>
      <c r="D98" s="195"/>
      <c r="E98" s="196">
        <f t="shared" si="3"/>
        <v>95</v>
      </c>
      <c r="F98" s="182"/>
      <c r="G98" s="183"/>
      <c r="H98" s="183" t="s">
        <v>74</v>
      </c>
      <c r="I98" s="184" t="s">
        <v>664</v>
      </c>
      <c r="J98" s="185" t="s">
        <v>476</v>
      </c>
      <c r="K98" s="50" t="s">
        <v>712</v>
      </c>
      <c r="L98" s="51" t="s">
        <v>293</v>
      </c>
      <c r="M98" s="51" t="s">
        <v>293</v>
      </c>
      <c r="N98" s="50" t="s">
        <v>712</v>
      </c>
      <c r="O98" s="50" t="s">
        <v>712</v>
      </c>
      <c r="P98" s="50" t="s">
        <v>712</v>
      </c>
      <c r="Q98" s="50" t="s">
        <v>712</v>
      </c>
      <c r="R98" s="51" t="s">
        <v>293</v>
      </c>
      <c r="S98" s="186" t="s">
        <v>293</v>
      </c>
      <c r="T98" s="279"/>
      <c r="U98" s="52"/>
      <c r="V98" s="272"/>
      <c r="W98" s="188"/>
      <c r="X98" s="187"/>
    </row>
    <row r="99" spans="2:24" ht="66" x14ac:dyDescent="0.4">
      <c r="B99" s="192"/>
      <c r="C99" s="191"/>
      <c r="D99" s="195"/>
      <c r="E99" s="196">
        <f t="shared" si="3"/>
        <v>96</v>
      </c>
      <c r="F99" s="182"/>
      <c r="G99" s="183"/>
      <c r="H99" s="183" t="s">
        <v>74</v>
      </c>
      <c r="I99" s="184" t="s">
        <v>674</v>
      </c>
      <c r="J99" s="185" t="s">
        <v>475</v>
      </c>
      <c r="K99" s="50" t="s">
        <v>712</v>
      </c>
      <c r="L99" s="51" t="s">
        <v>293</v>
      </c>
      <c r="M99" s="51" t="s">
        <v>293</v>
      </c>
      <c r="N99" s="50" t="s">
        <v>712</v>
      </c>
      <c r="O99" s="50" t="s">
        <v>712</v>
      </c>
      <c r="P99" s="50" t="s">
        <v>712</v>
      </c>
      <c r="Q99" s="50" t="s">
        <v>712</v>
      </c>
      <c r="R99" s="51" t="s">
        <v>293</v>
      </c>
      <c r="S99" s="186" t="s">
        <v>293</v>
      </c>
      <c r="T99" s="279"/>
      <c r="U99" s="52"/>
      <c r="V99" s="272"/>
      <c r="W99" s="188"/>
      <c r="X99" s="187"/>
    </row>
    <row r="100" spans="2:24" ht="52.8" x14ac:dyDescent="0.4">
      <c r="B100" s="192"/>
      <c r="C100" s="191"/>
      <c r="D100" s="195"/>
      <c r="E100" s="196">
        <f t="shared" si="3"/>
        <v>97</v>
      </c>
      <c r="F100" s="182"/>
      <c r="G100" s="183"/>
      <c r="H100" s="183" t="s">
        <v>71</v>
      </c>
      <c r="I100" s="184" t="s">
        <v>386</v>
      </c>
      <c r="J100" s="185" t="s">
        <v>477</v>
      </c>
      <c r="K100" s="50" t="s">
        <v>712</v>
      </c>
      <c r="L100" s="51" t="s">
        <v>293</v>
      </c>
      <c r="M100" s="51" t="s">
        <v>293</v>
      </c>
      <c r="N100" s="50" t="s">
        <v>712</v>
      </c>
      <c r="O100" s="51" t="s">
        <v>293</v>
      </c>
      <c r="P100" s="51" t="s">
        <v>293</v>
      </c>
      <c r="Q100" s="50" t="s">
        <v>712</v>
      </c>
      <c r="R100" s="51" t="s">
        <v>293</v>
      </c>
      <c r="S100" s="186" t="s">
        <v>293</v>
      </c>
      <c r="T100" s="279"/>
      <c r="U100" s="52"/>
      <c r="V100" s="272"/>
      <c r="W100" s="188"/>
      <c r="X100" s="187"/>
    </row>
    <row r="101" spans="2:24" ht="79.2" x14ac:dyDescent="0.4">
      <c r="B101" s="192"/>
      <c r="C101" s="191"/>
      <c r="D101" s="198" t="s">
        <v>286</v>
      </c>
      <c r="E101" s="196">
        <f t="shared" si="3"/>
        <v>98</v>
      </c>
      <c r="F101" s="274" t="s">
        <v>398</v>
      </c>
      <c r="G101" s="275" t="s">
        <v>382</v>
      </c>
      <c r="H101" s="275" t="s">
        <v>71</v>
      </c>
      <c r="I101" s="276"/>
      <c r="J101" s="277" t="s">
        <v>473</v>
      </c>
      <c r="K101" s="50" t="s">
        <v>712</v>
      </c>
      <c r="L101" s="51" t="s">
        <v>293</v>
      </c>
      <c r="M101" s="51" t="s">
        <v>293</v>
      </c>
      <c r="N101" s="50" t="s">
        <v>712</v>
      </c>
      <c r="O101" s="51" t="s">
        <v>293</v>
      </c>
      <c r="P101" s="51" t="s">
        <v>293</v>
      </c>
      <c r="Q101" s="50" t="s">
        <v>712</v>
      </c>
      <c r="R101" s="61" t="s">
        <v>293</v>
      </c>
      <c r="S101" s="278" t="s">
        <v>293</v>
      </c>
      <c r="T101" s="279"/>
      <c r="U101" s="52"/>
      <c r="V101" s="272"/>
      <c r="W101" s="188"/>
      <c r="X101" s="187"/>
    </row>
    <row r="102" spans="2:24" ht="79.2" x14ac:dyDescent="0.4">
      <c r="B102" s="192"/>
      <c r="C102" s="191"/>
      <c r="D102" s="195"/>
      <c r="E102" s="196">
        <f t="shared" si="3"/>
        <v>99</v>
      </c>
      <c r="F102" s="182"/>
      <c r="G102" s="183"/>
      <c r="H102" s="183" t="s">
        <v>74</v>
      </c>
      <c r="I102" s="184" t="s">
        <v>384</v>
      </c>
      <c r="J102" s="185" t="s">
        <v>474</v>
      </c>
      <c r="K102" s="50" t="s">
        <v>712</v>
      </c>
      <c r="L102" s="51" t="s">
        <v>293</v>
      </c>
      <c r="M102" s="51" t="s">
        <v>293</v>
      </c>
      <c r="N102" s="50" t="s">
        <v>712</v>
      </c>
      <c r="O102" s="51" t="s">
        <v>293</v>
      </c>
      <c r="P102" s="51" t="s">
        <v>293</v>
      </c>
      <c r="Q102" s="50" t="s">
        <v>712</v>
      </c>
      <c r="R102" s="51" t="s">
        <v>293</v>
      </c>
      <c r="S102" s="186" t="s">
        <v>293</v>
      </c>
      <c r="T102" s="279"/>
      <c r="U102" s="52"/>
      <c r="V102" s="272"/>
      <c r="W102" s="188"/>
      <c r="X102" s="187"/>
    </row>
    <row r="103" spans="2:24" ht="79.2" x14ac:dyDescent="0.4">
      <c r="B103" s="192"/>
      <c r="C103" s="191"/>
      <c r="D103" s="195"/>
      <c r="E103" s="196">
        <f t="shared" si="3"/>
        <v>100</v>
      </c>
      <c r="F103" s="182"/>
      <c r="G103" s="183"/>
      <c r="H103" s="183" t="s">
        <v>74</v>
      </c>
      <c r="I103" s="184" t="s">
        <v>387</v>
      </c>
      <c r="J103" s="277" t="s">
        <v>473</v>
      </c>
      <c r="K103" s="50" t="s">
        <v>712</v>
      </c>
      <c r="L103" s="51" t="s">
        <v>293</v>
      </c>
      <c r="M103" s="51" t="s">
        <v>293</v>
      </c>
      <c r="N103" s="50" t="s">
        <v>712</v>
      </c>
      <c r="O103" s="51" t="s">
        <v>293</v>
      </c>
      <c r="P103" s="51" t="s">
        <v>293</v>
      </c>
      <c r="Q103" s="50" t="s">
        <v>712</v>
      </c>
      <c r="R103" s="51" t="s">
        <v>293</v>
      </c>
      <c r="S103" s="186" t="s">
        <v>293</v>
      </c>
      <c r="T103" s="279"/>
      <c r="U103" s="52"/>
      <c r="V103" s="272"/>
      <c r="W103" s="188"/>
      <c r="X103" s="187"/>
    </row>
    <row r="104" spans="2:24" ht="52.8" x14ac:dyDescent="0.4">
      <c r="B104" s="192"/>
      <c r="C104" s="191"/>
      <c r="D104" s="195"/>
      <c r="E104" s="196">
        <f t="shared" si="3"/>
        <v>101</v>
      </c>
      <c r="F104" s="182"/>
      <c r="G104" s="183"/>
      <c r="H104" s="183" t="s">
        <v>71</v>
      </c>
      <c r="I104" s="184" t="s">
        <v>391</v>
      </c>
      <c r="J104" s="185" t="s">
        <v>479</v>
      </c>
      <c r="K104" s="50" t="s">
        <v>712</v>
      </c>
      <c r="L104" s="51" t="s">
        <v>293</v>
      </c>
      <c r="M104" s="51" t="s">
        <v>293</v>
      </c>
      <c r="N104" s="50" t="s">
        <v>712</v>
      </c>
      <c r="O104" s="51" t="s">
        <v>293</v>
      </c>
      <c r="P104" s="51" t="s">
        <v>293</v>
      </c>
      <c r="Q104" s="50" t="s">
        <v>712</v>
      </c>
      <c r="R104" s="51" t="s">
        <v>293</v>
      </c>
      <c r="S104" s="186" t="s">
        <v>293</v>
      </c>
      <c r="T104" s="279"/>
      <c r="U104" s="52"/>
      <c r="V104" s="272"/>
      <c r="W104" s="188"/>
      <c r="X104" s="187"/>
    </row>
    <row r="105" spans="2:24" ht="92.4" x14ac:dyDescent="0.4">
      <c r="B105" s="192"/>
      <c r="C105" s="191"/>
      <c r="D105" s="195"/>
      <c r="E105" s="196">
        <f t="shared" si="3"/>
        <v>102</v>
      </c>
      <c r="F105" s="182"/>
      <c r="G105" s="183"/>
      <c r="H105" s="183" t="s">
        <v>71</v>
      </c>
      <c r="I105" s="184" t="s">
        <v>392</v>
      </c>
      <c r="J105" s="185" t="s">
        <v>663</v>
      </c>
      <c r="K105" s="50" t="s">
        <v>712</v>
      </c>
      <c r="L105" s="51" t="s">
        <v>293</v>
      </c>
      <c r="M105" s="51" t="s">
        <v>293</v>
      </c>
      <c r="N105" s="50" t="s">
        <v>712</v>
      </c>
      <c r="O105" s="51" t="s">
        <v>293</v>
      </c>
      <c r="P105" s="51" t="s">
        <v>293</v>
      </c>
      <c r="Q105" s="50" t="s">
        <v>712</v>
      </c>
      <c r="R105" s="51" t="s">
        <v>293</v>
      </c>
      <c r="S105" s="186" t="s">
        <v>293</v>
      </c>
      <c r="T105" s="279"/>
      <c r="U105" s="52"/>
      <c r="V105" s="272"/>
      <c r="W105" s="188"/>
      <c r="X105" s="187"/>
    </row>
    <row r="106" spans="2:24" ht="66" x14ac:dyDescent="0.4">
      <c r="B106" s="192"/>
      <c r="C106" s="191"/>
      <c r="D106" s="195"/>
      <c r="E106" s="196">
        <f t="shared" si="3"/>
        <v>103</v>
      </c>
      <c r="F106" s="182"/>
      <c r="G106" s="183"/>
      <c r="H106" s="183" t="s">
        <v>74</v>
      </c>
      <c r="I106" s="184" t="s">
        <v>673</v>
      </c>
      <c r="J106" s="185" t="s">
        <v>476</v>
      </c>
      <c r="K106" s="50" t="s">
        <v>712</v>
      </c>
      <c r="L106" s="51" t="s">
        <v>293</v>
      </c>
      <c r="M106" s="51" t="s">
        <v>293</v>
      </c>
      <c r="N106" s="50" t="s">
        <v>712</v>
      </c>
      <c r="O106" s="50" t="s">
        <v>712</v>
      </c>
      <c r="P106" s="50" t="s">
        <v>712</v>
      </c>
      <c r="Q106" s="50" t="s">
        <v>712</v>
      </c>
      <c r="R106" s="51" t="s">
        <v>293</v>
      </c>
      <c r="S106" s="186" t="s">
        <v>293</v>
      </c>
      <c r="T106" s="279"/>
      <c r="U106" s="52"/>
      <c r="V106" s="272"/>
      <c r="W106" s="188"/>
      <c r="X106" s="187"/>
    </row>
    <row r="107" spans="2:24" ht="79.2" x14ac:dyDescent="0.4">
      <c r="B107" s="192"/>
      <c r="C107" s="198" t="s">
        <v>393</v>
      </c>
      <c r="D107" s="198" t="s">
        <v>284</v>
      </c>
      <c r="E107" s="273">
        <f>ROW()-3</f>
        <v>104</v>
      </c>
      <c r="F107" s="274" t="s">
        <v>398</v>
      </c>
      <c r="G107" s="275" t="s">
        <v>394</v>
      </c>
      <c r="H107" s="275" t="s">
        <v>71</v>
      </c>
      <c r="I107" s="276"/>
      <c r="J107" s="277" t="s">
        <v>473</v>
      </c>
      <c r="K107" s="50" t="s">
        <v>712</v>
      </c>
      <c r="L107" s="51" t="s">
        <v>293</v>
      </c>
      <c r="M107" s="51" t="s">
        <v>293</v>
      </c>
      <c r="N107" s="50" t="s">
        <v>712</v>
      </c>
      <c r="O107" s="51" t="s">
        <v>293</v>
      </c>
      <c r="P107" s="51" t="s">
        <v>293</v>
      </c>
      <c r="Q107" s="50" t="s">
        <v>712</v>
      </c>
      <c r="R107" s="61" t="s">
        <v>293</v>
      </c>
      <c r="S107" s="278" t="s">
        <v>293</v>
      </c>
      <c r="T107" s="279"/>
      <c r="U107" s="52"/>
      <c r="V107" s="272"/>
      <c r="W107" s="188"/>
      <c r="X107" s="282"/>
    </row>
    <row r="108" spans="2:24" ht="79.2" x14ac:dyDescent="0.4">
      <c r="B108" s="192"/>
      <c r="C108" s="191"/>
      <c r="D108" s="195"/>
      <c r="E108" s="196">
        <f t="shared" ref="E108:E122" si="4">ROW()-3</f>
        <v>105</v>
      </c>
      <c r="F108" s="182"/>
      <c r="G108" s="183"/>
      <c r="H108" s="183" t="s">
        <v>74</v>
      </c>
      <c r="I108" s="184" t="s">
        <v>384</v>
      </c>
      <c r="J108" s="185" t="s">
        <v>474</v>
      </c>
      <c r="K108" s="50" t="s">
        <v>712</v>
      </c>
      <c r="L108" s="51" t="s">
        <v>293</v>
      </c>
      <c r="M108" s="51" t="s">
        <v>293</v>
      </c>
      <c r="N108" s="50" t="s">
        <v>712</v>
      </c>
      <c r="O108" s="51" t="s">
        <v>293</v>
      </c>
      <c r="P108" s="51" t="s">
        <v>293</v>
      </c>
      <c r="Q108" s="50" t="s">
        <v>712</v>
      </c>
      <c r="R108" s="51" t="s">
        <v>293</v>
      </c>
      <c r="S108" s="186" t="s">
        <v>293</v>
      </c>
      <c r="T108" s="279"/>
      <c r="U108" s="52"/>
      <c r="V108" s="272"/>
      <c r="W108" s="188"/>
      <c r="X108" s="187"/>
    </row>
    <row r="109" spans="2:24" ht="79.2" x14ac:dyDescent="0.4">
      <c r="B109" s="192"/>
      <c r="C109" s="191"/>
      <c r="D109" s="195"/>
      <c r="E109" s="196">
        <f t="shared" si="4"/>
        <v>106</v>
      </c>
      <c r="F109" s="182"/>
      <c r="G109" s="183"/>
      <c r="H109" s="183" t="s">
        <v>74</v>
      </c>
      <c r="I109" s="184" t="s">
        <v>387</v>
      </c>
      <c r="J109" s="277" t="s">
        <v>473</v>
      </c>
      <c r="K109" s="50" t="s">
        <v>712</v>
      </c>
      <c r="L109" s="51" t="s">
        <v>293</v>
      </c>
      <c r="M109" s="51" t="s">
        <v>293</v>
      </c>
      <c r="N109" s="50" t="s">
        <v>712</v>
      </c>
      <c r="O109" s="51" t="s">
        <v>293</v>
      </c>
      <c r="P109" s="51" t="s">
        <v>293</v>
      </c>
      <c r="Q109" s="50" t="s">
        <v>712</v>
      </c>
      <c r="R109" s="51" t="s">
        <v>293</v>
      </c>
      <c r="S109" s="186" t="s">
        <v>293</v>
      </c>
      <c r="T109" s="279"/>
      <c r="U109" s="52"/>
      <c r="V109" s="272"/>
      <c r="W109" s="188"/>
      <c r="X109" s="187"/>
    </row>
    <row r="110" spans="2:24" ht="52.8" x14ac:dyDescent="0.4">
      <c r="B110" s="192"/>
      <c r="C110" s="191"/>
      <c r="D110" s="195"/>
      <c r="E110" s="196">
        <f t="shared" si="4"/>
        <v>107</v>
      </c>
      <c r="F110" s="182"/>
      <c r="G110" s="183"/>
      <c r="H110" s="183" t="s">
        <v>71</v>
      </c>
      <c r="I110" s="184" t="s">
        <v>385</v>
      </c>
      <c r="J110" s="185" t="s">
        <v>662</v>
      </c>
      <c r="K110" s="50" t="s">
        <v>712</v>
      </c>
      <c r="L110" s="51" t="s">
        <v>293</v>
      </c>
      <c r="M110" s="51" t="s">
        <v>293</v>
      </c>
      <c r="N110" s="50" t="s">
        <v>712</v>
      </c>
      <c r="O110" s="51" t="s">
        <v>293</v>
      </c>
      <c r="P110" s="51" t="s">
        <v>293</v>
      </c>
      <c r="Q110" s="50" t="s">
        <v>712</v>
      </c>
      <c r="R110" s="51" t="s">
        <v>293</v>
      </c>
      <c r="S110" s="186" t="s">
        <v>293</v>
      </c>
      <c r="T110" s="279"/>
      <c r="U110" s="52"/>
      <c r="V110" s="272"/>
      <c r="W110" s="188"/>
      <c r="X110" s="187"/>
    </row>
    <row r="111" spans="2:24" ht="52.8" x14ac:dyDescent="0.4">
      <c r="B111" s="192"/>
      <c r="C111" s="191"/>
      <c r="D111" s="195"/>
      <c r="E111" s="196">
        <f t="shared" si="4"/>
        <v>108</v>
      </c>
      <c r="F111" s="182"/>
      <c r="G111" s="183"/>
      <c r="H111" s="183" t="s">
        <v>71</v>
      </c>
      <c r="I111" s="184"/>
      <c r="J111" s="185" t="s">
        <v>480</v>
      </c>
      <c r="K111" s="50" t="s">
        <v>712</v>
      </c>
      <c r="L111" s="51" t="s">
        <v>293</v>
      </c>
      <c r="M111" s="51" t="s">
        <v>293</v>
      </c>
      <c r="N111" s="50" t="s">
        <v>712</v>
      </c>
      <c r="O111" s="51" t="s">
        <v>293</v>
      </c>
      <c r="P111" s="51" t="s">
        <v>293</v>
      </c>
      <c r="Q111" s="50" t="s">
        <v>712</v>
      </c>
      <c r="R111" s="51" t="s">
        <v>293</v>
      </c>
      <c r="S111" s="186" t="s">
        <v>293</v>
      </c>
      <c r="T111" s="279"/>
      <c r="U111" s="52"/>
      <c r="V111" s="272"/>
      <c r="W111" s="188"/>
      <c r="X111" s="187"/>
    </row>
    <row r="112" spans="2:24" ht="92.4" x14ac:dyDescent="0.4">
      <c r="B112" s="192"/>
      <c r="C112" s="191"/>
      <c r="D112" s="195"/>
      <c r="E112" s="196">
        <f t="shared" si="4"/>
        <v>109</v>
      </c>
      <c r="F112" s="182"/>
      <c r="G112" s="183"/>
      <c r="H112" s="183" t="s">
        <v>71</v>
      </c>
      <c r="I112" s="184" t="s">
        <v>383</v>
      </c>
      <c r="J112" s="185" t="s">
        <v>663</v>
      </c>
      <c r="K112" s="50" t="s">
        <v>712</v>
      </c>
      <c r="L112" s="51" t="s">
        <v>293</v>
      </c>
      <c r="M112" s="51" t="s">
        <v>293</v>
      </c>
      <c r="N112" s="50" t="s">
        <v>712</v>
      </c>
      <c r="O112" s="51" t="s">
        <v>293</v>
      </c>
      <c r="P112" s="51" t="s">
        <v>293</v>
      </c>
      <c r="Q112" s="50" t="s">
        <v>712</v>
      </c>
      <c r="R112" s="51" t="s">
        <v>293</v>
      </c>
      <c r="S112" s="186" t="s">
        <v>293</v>
      </c>
      <c r="T112" s="279"/>
      <c r="U112" s="52"/>
      <c r="V112" s="272"/>
      <c r="W112" s="188"/>
      <c r="X112" s="187"/>
    </row>
    <row r="113" spans="2:25" ht="66" x14ac:dyDescent="0.4">
      <c r="B113" s="192"/>
      <c r="C113" s="191"/>
      <c r="D113" s="195"/>
      <c r="E113" s="196">
        <f t="shared" si="4"/>
        <v>110</v>
      </c>
      <c r="F113" s="182"/>
      <c r="G113" s="183"/>
      <c r="H113" s="183" t="s">
        <v>74</v>
      </c>
      <c r="I113" s="184" t="s">
        <v>664</v>
      </c>
      <c r="J113" s="185" t="s">
        <v>476</v>
      </c>
      <c r="K113" s="50" t="s">
        <v>712</v>
      </c>
      <c r="L113" s="51" t="s">
        <v>293</v>
      </c>
      <c r="M113" s="51" t="s">
        <v>293</v>
      </c>
      <c r="N113" s="50" t="s">
        <v>712</v>
      </c>
      <c r="O113" s="50" t="s">
        <v>712</v>
      </c>
      <c r="P113" s="50" t="s">
        <v>712</v>
      </c>
      <c r="Q113" s="50" t="s">
        <v>712</v>
      </c>
      <c r="R113" s="51" t="s">
        <v>293</v>
      </c>
      <c r="S113" s="186" t="s">
        <v>293</v>
      </c>
      <c r="T113" s="279"/>
      <c r="U113" s="52"/>
      <c r="V113" s="272"/>
      <c r="W113" s="188"/>
      <c r="X113" s="187"/>
    </row>
    <row r="114" spans="2:25" ht="66" x14ac:dyDescent="0.4">
      <c r="B114" s="192"/>
      <c r="C114" s="191"/>
      <c r="D114" s="195"/>
      <c r="E114" s="196">
        <f t="shared" si="4"/>
        <v>111</v>
      </c>
      <c r="F114" s="182"/>
      <c r="G114" s="183"/>
      <c r="H114" s="183" t="s">
        <v>74</v>
      </c>
      <c r="I114" s="184" t="s">
        <v>674</v>
      </c>
      <c r="J114" s="185" t="s">
        <v>475</v>
      </c>
      <c r="K114" s="50" t="s">
        <v>712</v>
      </c>
      <c r="L114" s="51" t="s">
        <v>293</v>
      </c>
      <c r="M114" s="51" t="s">
        <v>293</v>
      </c>
      <c r="N114" s="50" t="s">
        <v>712</v>
      </c>
      <c r="O114" s="50" t="s">
        <v>712</v>
      </c>
      <c r="P114" s="50" t="s">
        <v>712</v>
      </c>
      <c r="Q114" s="50" t="s">
        <v>712</v>
      </c>
      <c r="R114" s="51" t="s">
        <v>293</v>
      </c>
      <c r="S114" s="186" t="s">
        <v>293</v>
      </c>
      <c r="T114" s="279"/>
      <c r="U114" s="52"/>
      <c r="V114" s="272"/>
      <c r="W114" s="188"/>
      <c r="X114" s="187"/>
    </row>
    <row r="115" spans="2:25" ht="52.8" x14ac:dyDescent="0.4">
      <c r="B115" s="192"/>
      <c r="C115" s="191"/>
      <c r="D115" s="195"/>
      <c r="E115" s="196">
        <f t="shared" si="4"/>
        <v>112</v>
      </c>
      <c r="F115" s="182"/>
      <c r="G115" s="183"/>
      <c r="H115" s="183" t="s">
        <v>71</v>
      </c>
      <c r="I115" s="184" t="s">
        <v>386</v>
      </c>
      <c r="J115" s="185" t="s">
        <v>477</v>
      </c>
      <c r="K115" s="50" t="s">
        <v>712</v>
      </c>
      <c r="L115" s="51" t="s">
        <v>293</v>
      </c>
      <c r="M115" s="51" t="s">
        <v>293</v>
      </c>
      <c r="N115" s="50" t="s">
        <v>712</v>
      </c>
      <c r="O115" s="51" t="s">
        <v>293</v>
      </c>
      <c r="P115" s="51" t="s">
        <v>293</v>
      </c>
      <c r="Q115" s="50" t="s">
        <v>712</v>
      </c>
      <c r="R115" s="51" t="s">
        <v>293</v>
      </c>
      <c r="S115" s="186" t="s">
        <v>293</v>
      </c>
      <c r="T115" s="279"/>
      <c r="U115" s="52"/>
      <c r="V115" s="272"/>
      <c r="W115" s="188"/>
      <c r="X115" s="187"/>
    </row>
    <row r="116" spans="2:25" ht="79.2" x14ac:dyDescent="0.4">
      <c r="B116" s="192"/>
      <c r="C116" s="191"/>
      <c r="D116" s="198" t="s">
        <v>286</v>
      </c>
      <c r="E116" s="196">
        <f t="shared" si="4"/>
        <v>113</v>
      </c>
      <c r="F116" s="274" t="s">
        <v>398</v>
      </c>
      <c r="G116" s="275" t="s">
        <v>396</v>
      </c>
      <c r="H116" s="275" t="s">
        <v>71</v>
      </c>
      <c r="I116" s="276"/>
      <c r="J116" s="277" t="s">
        <v>473</v>
      </c>
      <c r="K116" s="50" t="s">
        <v>712</v>
      </c>
      <c r="L116" s="51" t="s">
        <v>293</v>
      </c>
      <c r="M116" s="51" t="s">
        <v>293</v>
      </c>
      <c r="N116" s="50" t="s">
        <v>712</v>
      </c>
      <c r="O116" s="51" t="s">
        <v>293</v>
      </c>
      <c r="P116" s="51" t="s">
        <v>293</v>
      </c>
      <c r="Q116" s="50" t="s">
        <v>712</v>
      </c>
      <c r="R116" s="61" t="s">
        <v>293</v>
      </c>
      <c r="S116" s="278" t="s">
        <v>293</v>
      </c>
      <c r="T116" s="279"/>
      <c r="U116" s="52"/>
      <c r="V116" s="272"/>
      <c r="W116" s="188"/>
      <c r="X116" s="187"/>
    </row>
    <row r="117" spans="2:25" ht="79.2" x14ac:dyDescent="0.4">
      <c r="B117" s="192"/>
      <c r="C117" s="191"/>
      <c r="D117" s="195"/>
      <c r="E117" s="196">
        <f t="shared" si="4"/>
        <v>114</v>
      </c>
      <c r="F117" s="182"/>
      <c r="G117" s="183"/>
      <c r="H117" s="183" t="s">
        <v>74</v>
      </c>
      <c r="I117" s="184" t="s">
        <v>384</v>
      </c>
      <c r="J117" s="185" t="s">
        <v>474</v>
      </c>
      <c r="K117" s="50" t="s">
        <v>712</v>
      </c>
      <c r="L117" s="51" t="s">
        <v>293</v>
      </c>
      <c r="M117" s="51" t="s">
        <v>293</v>
      </c>
      <c r="N117" s="50" t="s">
        <v>712</v>
      </c>
      <c r="O117" s="51" t="s">
        <v>293</v>
      </c>
      <c r="P117" s="51" t="s">
        <v>293</v>
      </c>
      <c r="Q117" s="50" t="s">
        <v>712</v>
      </c>
      <c r="R117" s="51" t="s">
        <v>293</v>
      </c>
      <c r="S117" s="186" t="s">
        <v>293</v>
      </c>
      <c r="T117" s="279"/>
      <c r="U117" s="52"/>
      <c r="V117" s="272"/>
      <c r="W117" s="188"/>
      <c r="X117" s="187"/>
    </row>
    <row r="118" spans="2:25" ht="79.2" x14ac:dyDescent="0.4">
      <c r="B118" s="192"/>
      <c r="C118" s="191"/>
      <c r="D118" s="195"/>
      <c r="E118" s="196">
        <f t="shared" si="4"/>
        <v>115</v>
      </c>
      <c r="F118" s="182"/>
      <c r="G118" s="183"/>
      <c r="H118" s="183" t="s">
        <v>74</v>
      </c>
      <c r="I118" s="184" t="s">
        <v>387</v>
      </c>
      <c r="J118" s="277" t="s">
        <v>473</v>
      </c>
      <c r="K118" s="50" t="s">
        <v>712</v>
      </c>
      <c r="L118" s="51" t="s">
        <v>293</v>
      </c>
      <c r="M118" s="51" t="s">
        <v>293</v>
      </c>
      <c r="N118" s="50" t="s">
        <v>712</v>
      </c>
      <c r="O118" s="51" t="s">
        <v>293</v>
      </c>
      <c r="P118" s="51" t="s">
        <v>293</v>
      </c>
      <c r="Q118" s="50" t="s">
        <v>712</v>
      </c>
      <c r="R118" s="51" t="s">
        <v>293</v>
      </c>
      <c r="S118" s="186" t="s">
        <v>293</v>
      </c>
      <c r="T118" s="279"/>
      <c r="U118" s="52"/>
      <c r="V118" s="272"/>
      <c r="W118" s="188"/>
      <c r="X118" s="187"/>
    </row>
    <row r="119" spans="2:25" ht="52.8" x14ac:dyDescent="0.4">
      <c r="B119" s="192"/>
      <c r="C119" s="191"/>
      <c r="D119" s="195"/>
      <c r="E119" s="196">
        <f t="shared" si="4"/>
        <v>116</v>
      </c>
      <c r="F119" s="182"/>
      <c r="G119" s="183"/>
      <c r="H119" s="183" t="s">
        <v>71</v>
      </c>
      <c r="I119" s="184" t="s">
        <v>391</v>
      </c>
      <c r="J119" s="185" t="s">
        <v>479</v>
      </c>
      <c r="K119" s="50" t="s">
        <v>712</v>
      </c>
      <c r="L119" s="51" t="s">
        <v>293</v>
      </c>
      <c r="M119" s="51" t="s">
        <v>293</v>
      </c>
      <c r="N119" s="50" t="s">
        <v>712</v>
      </c>
      <c r="O119" s="51" t="s">
        <v>293</v>
      </c>
      <c r="P119" s="51" t="s">
        <v>293</v>
      </c>
      <c r="Q119" s="50" t="s">
        <v>712</v>
      </c>
      <c r="R119" s="51" t="s">
        <v>293</v>
      </c>
      <c r="S119" s="186" t="s">
        <v>293</v>
      </c>
      <c r="T119" s="279"/>
      <c r="U119" s="52"/>
      <c r="V119" s="272"/>
      <c r="W119" s="188"/>
      <c r="X119" s="187"/>
    </row>
    <row r="120" spans="2:25" ht="52.8" x14ac:dyDescent="0.4">
      <c r="B120" s="192"/>
      <c r="C120" s="191"/>
      <c r="D120" s="195"/>
      <c r="E120" s="196">
        <f t="shared" si="4"/>
        <v>117</v>
      </c>
      <c r="F120" s="182"/>
      <c r="G120" s="183"/>
      <c r="H120" s="183" t="s">
        <v>71</v>
      </c>
      <c r="I120" s="184"/>
      <c r="J120" s="185" t="s">
        <v>478</v>
      </c>
      <c r="K120" s="50" t="s">
        <v>712</v>
      </c>
      <c r="L120" s="51" t="s">
        <v>293</v>
      </c>
      <c r="M120" s="51" t="s">
        <v>293</v>
      </c>
      <c r="N120" s="50" t="s">
        <v>712</v>
      </c>
      <c r="O120" s="51" t="s">
        <v>293</v>
      </c>
      <c r="P120" s="51" t="s">
        <v>293</v>
      </c>
      <c r="Q120" s="50" t="s">
        <v>712</v>
      </c>
      <c r="R120" s="51" t="s">
        <v>293</v>
      </c>
      <c r="S120" s="186" t="s">
        <v>293</v>
      </c>
      <c r="T120" s="279"/>
      <c r="U120" s="52"/>
      <c r="V120" s="272"/>
      <c r="W120" s="188"/>
      <c r="X120" s="187"/>
    </row>
    <row r="121" spans="2:25" ht="92.4" x14ac:dyDescent="0.4">
      <c r="B121" s="192"/>
      <c r="C121" s="191"/>
      <c r="D121" s="195"/>
      <c r="E121" s="196">
        <f t="shared" si="4"/>
        <v>118</v>
      </c>
      <c r="F121" s="182"/>
      <c r="G121" s="183"/>
      <c r="H121" s="183" t="s">
        <v>71</v>
      </c>
      <c r="I121" s="184" t="s">
        <v>392</v>
      </c>
      <c r="J121" s="185" t="s">
        <v>663</v>
      </c>
      <c r="K121" s="50" t="s">
        <v>712</v>
      </c>
      <c r="L121" s="51" t="s">
        <v>293</v>
      </c>
      <c r="M121" s="51" t="s">
        <v>293</v>
      </c>
      <c r="N121" s="50" t="s">
        <v>712</v>
      </c>
      <c r="O121" s="51" t="s">
        <v>293</v>
      </c>
      <c r="P121" s="51" t="s">
        <v>293</v>
      </c>
      <c r="Q121" s="50" t="s">
        <v>712</v>
      </c>
      <c r="R121" s="51" t="s">
        <v>293</v>
      </c>
      <c r="S121" s="186" t="s">
        <v>293</v>
      </c>
      <c r="T121" s="279"/>
      <c r="U121" s="52"/>
      <c r="V121" s="272"/>
      <c r="W121" s="188"/>
      <c r="X121" s="187"/>
    </row>
    <row r="122" spans="2:25" ht="66" x14ac:dyDescent="0.4">
      <c r="B122" s="192"/>
      <c r="C122" s="191"/>
      <c r="D122" s="195"/>
      <c r="E122" s="196">
        <f t="shared" si="4"/>
        <v>119</v>
      </c>
      <c r="F122" s="182"/>
      <c r="G122" s="183"/>
      <c r="H122" s="183" t="s">
        <v>74</v>
      </c>
      <c r="I122" s="184" t="s">
        <v>673</v>
      </c>
      <c r="J122" s="185" t="s">
        <v>476</v>
      </c>
      <c r="K122" s="50" t="s">
        <v>712</v>
      </c>
      <c r="L122" s="51" t="s">
        <v>293</v>
      </c>
      <c r="M122" s="51" t="s">
        <v>293</v>
      </c>
      <c r="N122" s="50" t="s">
        <v>712</v>
      </c>
      <c r="O122" s="50" t="s">
        <v>712</v>
      </c>
      <c r="P122" s="50" t="s">
        <v>712</v>
      </c>
      <c r="Q122" s="50" t="s">
        <v>712</v>
      </c>
      <c r="R122" s="51" t="s">
        <v>293</v>
      </c>
      <c r="S122" s="186" t="s">
        <v>293</v>
      </c>
      <c r="T122" s="279"/>
      <c r="U122" s="52"/>
      <c r="V122" s="272"/>
      <c r="W122" s="188"/>
      <c r="X122" s="187"/>
    </row>
    <row r="123" spans="2:25" ht="66" x14ac:dyDescent="0.4">
      <c r="B123" s="433" t="s">
        <v>73</v>
      </c>
      <c r="C123" s="189" t="s">
        <v>287</v>
      </c>
      <c r="D123" s="189" t="s">
        <v>72</v>
      </c>
      <c r="E123" s="434">
        <f t="shared" ref="E123:E127" si="5">ROW()-3</f>
        <v>120</v>
      </c>
      <c r="F123" s="182" t="s">
        <v>289</v>
      </c>
      <c r="G123" s="183" t="s">
        <v>399</v>
      </c>
      <c r="H123" s="183"/>
      <c r="I123" s="184"/>
      <c r="J123" s="185" t="s">
        <v>400</v>
      </c>
      <c r="K123" s="50" t="s">
        <v>712</v>
      </c>
      <c r="L123" s="51" t="s">
        <v>293</v>
      </c>
      <c r="M123" s="51" t="s">
        <v>293</v>
      </c>
      <c r="N123" s="50" t="s">
        <v>712</v>
      </c>
      <c r="O123" s="50" t="s">
        <v>712</v>
      </c>
      <c r="P123" s="50" t="s">
        <v>712</v>
      </c>
      <c r="Q123" s="405" t="s">
        <v>293</v>
      </c>
      <c r="R123" s="405" t="s">
        <v>293</v>
      </c>
      <c r="S123" s="435" t="s">
        <v>293</v>
      </c>
      <c r="T123" s="436"/>
      <c r="U123" s="406"/>
      <c r="V123" s="437"/>
      <c r="W123" s="438"/>
      <c r="X123" s="439" t="s">
        <v>705</v>
      </c>
      <c r="Y123" s="174"/>
    </row>
    <row r="124" spans="2:25" ht="66" x14ac:dyDescent="0.4">
      <c r="B124" s="190"/>
      <c r="C124" s="189" t="s">
        <v>288</v>
      </c>
      <c r="D124" s="194" t="s">
        <v>401</v>
      </c>
      <c r="E124" s="196">
        <f t="shared" si="5"/>
        <v>121</v>
      </c>
      <c r="F124" s="182" t="s">
        <v>289</v>
      </c>
      <c r="G124" s="183" t="s">
        <v>402</v>
      </c>
      <c r="H124" s="183"/>
      <c r="I124" s="184"/>
      <c r="J124" s="185" t="s">
        <v>400</v>
      </c>
      <c r="K124" s="50" t="s">
        <v>712</v>
      </c>
      <c r="L124" s="51" t="s">
        <v>293</v>
      </c>
      <c r="M124" s="51" t="s">
        <v>293</v>
      </c>
      <c r="N124" s="50" t="s">
        <v>712</v>
      </c>
      <c r="O124" s="50" t="s">
        <v>712</v>
      </c>
      <c r="P124" s="50" t="s">
        <v>712</v>
      </c>
      <c r="Q124" s="51" t="s">
        <v>293</v>
      </c>
      <c r="R124" s="51" t="s">
        <v>293</v>
      </c>
      <c r="S124" s="186" t="s">
        <v>293</v>
      </c>
      <c r="T124" s="279"/>
      <c r="U124" s="52"/>
      <c r="V124" s="272"/>
      <c r="W124" s="188"/>
      <c r="X124" s="187"/>
      <c r="Y124" s="174"/>
    </row>
    <row r="125" spans="2:25" ht="66" x14ac:dyDescent="0.4">
      <c r="B125" s="433" t="s">
        <v>403</v>
      </c>
      <c r="C125" s="189" t="s">
        <v>287</v>
      </c>
      <c r="D125" s="189" t="s">
        <v>72</v>
      </c>
      <c r="E125" s="434">
        <f t="shared" si="5"/>
        <v>122</v>
      </c>
      <c r="F125" s="182" t="s">
        <v>290</v>
      </c>
      <c r="G125" s="183" t="s">
        <v>399</v>
      </c>
      <c r="H125" s="183"/>
      <c r="I125" s="184"/>
      <c r="J125" s="185" t="s">
        <v>400</v>
      </c>
      <c r="K125" s="50" t="s">
        <v>712</v>
      </c>
      <c r="L125" s="51" t="s">
        <v>293</v>
      </c>
      <c r="M125" s="51" t="s">
        <v>293</v>
      </c>
      <c r="N125" s="50" t="s">
        <v>712</v>
      </c>
      <c r="O125" s="50" t="s">
        <v>712</v>
      </c>
      <c r="P125" s="50" t="s">
        <v>712</v>
      </c>
      <c r="Q125" s="405" t="s">
        <v>293</v>
      </c>
      <c r="R125" s="405" t="s">
        <v>293</v>
      </c>
      <c r="S125" s="435" t="s">
        <v>293</v>
      </c>
      <c r="T125" s="436"/>
      <c r="U125" s="406"/>
      <c r="V125" s="437"/>
      <c r="W125" s="438"/>
      <c r="X125" s="439" t="s">
        <v>705</v>
      </c>
      <c r="Y125" s="174"/>
    </row>
    <row r="126" spans="2:25" ht="66" x14ac:dyDescent="0.4">
      <c r="B126" s="190"/>
      <c r="C126" s="189" t="s">
        <v>288</v>
      </c>
      <c r="D126" s="194" t="s">
        <v>401</v>
      </c>
      <c r="E126" s="196">
        <f t="shared" si="5"/>
        <v>123</v>
      </c>
      <c r="F126" s="182" t="s">
        <v>290</v>
      </c>
      <c r="G126" s="183" t="s">
        <v>402</v>
      </c>
      <c r="H126" s="183"/>
      <c r="I126" s="184"/>
      <c r="J126" s="185" t="s">
        <v>400</v>
      </c>
      <c r="K126" s="50" t="s">
        <v>712</v>
      </c>
      <c r="L126" s="51" t="s">
        <v>293</v>
      </c>
      <c r="M126" s="51" t="s">
        <v>293</v>
      </c>
      <c r="N126" s="50" t="s">
        <v>712</v>
      </c>
      <c r="O126" s="50" t="s">
        <v>712</v>
      </c>
      <c r="P126" s="50" t="s">
        <v>712</v>
      </c>
      <c r="Q126" s="51" t="s">
        <v>293</v>
      </c>
      <c r="R126" s="51" t="s">
        <v>293</v>
      </c>
      <c r="S126" s="186" t="s">
        <v>293</v>
      </c>
      <c r="T126" s="279"/>
      <c r="U126" s="52"/>
      <c r="V126" s="272"/>
      <c r="W126" s="188"/>
      <c r="X126" s="187"/>
      <c r="Y126" s="174"/>
    </row>
    <row r="127" spans="2:25" ht="54" customHeight="1" thickBot="1" x14ac:dyDescent="0.45">
      <c r="B127" s="190" t="s">
        <v>350</v>
      </c>
      <c r="C127" s="189" t="s">
        <v>350</v>
      </c>
      <c r="D127" s="194" t="s">
        <v>350</v>
      </c>
      <c r="E127" s="196">
        <f t="shared" si="5"/>
        <v>124</v>
      </c>
      <c r="F127" s="182" t="s">
        <v>703</v>
      </c>
      <c r="G127" s="183"/>
      <c r="H127" s="183"/>
      <c r="I127" s="184"/>
      <c r="J127" s="185" t="s">
        <v>351</v>
      </c>
      <c r="K127" s="50" t="s">
        <v>712</v>
      </c>
      <c r="L127" s="51" t="s">
        <v>293</v>
      </c>
      <c r="M127" s="51" t="s">
        <v>293</v>
      </c>
      <c r="N127" s="50" t="s">
        <v>712</v>
      </c>
      <c r="O127" s="50" t="s">
        <v>712</v>
      </c>
      <c r="P127" s="50" t="s">
        <v>712</v>
      </c>
      <c r="Q127" s="51" t="s">
        <v>293</v>
      </c>
      <c r="R127" s="51" t="s">
        <v>293</v>
      </c>
      <c r="S127" s="186" t="s">
        <v>293</v>
      </c>
      <c r="T127" s="279"/>
      <c r="U127" s="52"/>
      <c r="V127" s="272"/>
      <c r="W127" s="188"/>
      <c r="X127" s="187"/>
      <c r="Y127" s="174"/>
    </row>
    <row r="128" spans="2:25" ht="21.6" customHeight="1" x14ac:dyDescent="0.4">
      <c r="B128" s="556" t="s">
        <v>70</v>
      </c>
      <c r="C128" s="557"/>
      <c r="D128" s="557">
        <f>SUM(K130:S130)</f>
        <v>411</v>
      </c>
      <c r="E128" s="163"/>
      <c r="F128" s="164"/>
      <c r="G128" s="176"/>
      <c r="H128" s="176"/>
      <c r="I128" s="177"/>
      <c r="J128" s="165" t="s">
        <v>275</v>
      </c>
      <c r="K128" s="166">
        <f t="shared" ref="K128:S128" si="6">COUNTIF(K4:K127,"○")+COUNTIF(K4:K127,"□")+COUNTIF(K4:K127,"OK")</f>
        <v>124</v>
      </c>
      <c r="L128" s="166">
        <f t="shared" si="6"/>
        <v>0</v>
      </c>
      <c r="M128" s="166">
        <f t="shared" si="6"/>
        <v>0</v>
      </c>
      <c r="N128" s="166">
        <f t="shared" si="6"/>
        <v>124</v>
      </c>
      <c r="O128" s="166">
        <f t="shared" si="6"/>
        <v>26</v>
      </c>
      <c r="P128" s="166">
        <f t="shared" si="6"/>
        <v>26</v>
      </c>
      <c r="Q128" s="166">
        <f t="shared" si="6"/>
        <v>111</v>
      </c>
      <c r="R128" s="166">
        <f t="shared" si="6"/>
        <v>0</v>
      </c>
      <c r="S128" s="166">
        <f t="shared" si="6"/>
        <v>0</v>
      </c>
      <c r="T128" s="571" t="s">
        <v>69</v>
      </c>
      <c r="U128" s="571"/>
      <c r="V128" s="571"/>
      <c r="W128" s="167"/>
      <c r="X128" s="168"/>
    </row>
    <row r="129" spans="1:24" ht="21.6" customHeight="1" x14ac:dyDescent="0.4">
      <c r="B129" s="558"/>
      <c r="C129" s="559"/>
      <c r="D129" s="559"/>
      <c r="E129" s="58"/>
      <c r="F129" s="59"/>
      <c r="G129" s="199"/>
      <c r="H129" s="199"/>
      <c r="I129" s="200"/>
      <c r="J129" s="89" t="s">
        <v>274</v>
      </c>
      <c r="K129" s="78">
        <f>COUNTIF(K4:K127,"×")+COUNTIF(K4:K127,"NG")</f>
        <v>0</v>
      </c>
      <c r="L129" s="79">
        <f t="shared" ref="L129:S129" si="7">COUNTIF(L4:L126,"×")+COUNTIF(L4:L126,"NG")</f>
        <v>0</v>
      </c>
      <c r="M129" s="79">
        <f t="shared" si="7"/>
        <v>0</v>
      </c>
      <c r="N129" s="79">
        <f t="shared" si="7"/>
        <v>0</v>
      </c>
      <c r="O129" s="79">
        <f t="shared" si="7"/>
        <v>0</v>
      </c>
      <c r="P129" s="79">
        <f t="shared" si="7"/>
        <v>0</v>
      </c>
      <c r="Q129" s="79">
        <f t="shared" si="7"/>
        <v>0</v>
      </c>
      <c r="R129" s="79">
        <f t="shared" si="7"/>
        <v>0</v>
      </c>
      <c r="S129" s="80">
        <f t="shared" si="7"/>
        <v>0</v>
      </c>
      <c r="T129" s="572"/>
      <c r="U129" s="572"/>
      <c r="V129" s="572"/>
      <c r="W129" s="74"/>
      <c r="X129" s="108"/>
    </row>
    <row r="130" spans="1:24" ht="21.6" customHeight="1" x14ac:dyDescent="0.4">
      <c r="B130" s="617" t="s">
        <v>67</v>
      </c>
      <c r="C130" s="618"/>
      <c r="D130" s="618">
        <f>SUM(K131:S131)</f>
        <v>822</v>
      </c>
      <c r="E130" s="48"/>
      <c r="F130" s="49"/>
      <c r="G130" s="180"/>
      <c r="H130" s="180"/>
      <c r="I130" s="181"/>
      <c r="J130" s="89" t="s">
        <v>68</v>
      </c>
      <c r="K130" s="78">
        <f>K128+K129</f>
        <v>124</v>
      </c>
      <c r="L130" s="79">
        <f t="shared" ref="L130:S130" si="8">L128+L129</f>
        <v>0</v>
      </c>
      <c r="M130" s="79">
        <f t="shared" si="8"/>
        <v>0</v>
      </c>
      <c r="N130" s="79">
        <f t="shared" si="8"/>
        <v>124</v>
      </c>
      <c r="O130" s="79">
        <f t="shared" si="8"/>
        <v>26</v>
      </c>
      <c r="P130" s="79">
        <f t="shared" si="8"/>
        <v>26</v>
      </c>
      <c r="Q130" s="79">
        <f t="shared" si="8"/>
        <v>111</v>
      </c>
      <c r="R130" s="79">
        <f t="shared" si="8"/>
        <v>0</v>
      </c>
      <c r="S130" s="80">
        <f t="shared" si="8"/>
        <v>0</v>
      </c>
      <c r="T130" s="573">
        <f>COUNTA(T4:T127)</f>
        <v>0</v>
      </c>
      <c r="U130" s="575">
        <f>COUNTA(U4:U127)</f>
        <v>0</v>
      </c>
      <c r="V130" s="577">
        <f>COUNTA(V4:V127)</f>
        <v>0</v>
      </c>
      <c r="W130" s="74"/>
      <c r="X130" s="108"/>
    </row>
    <row r="131" spans="1:24" ht="21.6" customHeight="1" thickBot="1" x14ac:dyDescent="0.45">
      <c r="A131" s="171"/>
      <c r="B131" s="562"/>
      <c r="C131" s="563"/>
      <c r="D131" s="563"/>
      <c r="E131" s="109"/>
      <c r="F131" s="110"/>
      <c r="G131" s="178"/>
      <c r="H131" s="178"/>
      <c r="I131" s="179"/>
      <c r="J131" s="111" t="s">
        <v>66</v>
      </c>
      <c r="K131" s="112">
        <f>COUNTBLANK(K4:K127)+K130+COUNTIF(K4:K127,"□")</f>
        <v>248</v>
      </c>
      <c r="L131" s="113">
        <f t="shared" ref="L131:S131" si="9">COUNTBLANK(L4:L127)+L130+COUNTIF(L4:L127,"□")</f>
        <v>0</v>
      </c>
      <c r="M131" s="113">
        <f t="shared" si="9"/>
        <v>0</v>
      </c>
      <c r="N131" s="113">
        <f t="shared" si="9"/>
        <v>248</v>
      </c>
      <c r="O131" s="113">
        <f t="shared" si="9"/>
        <v>52</v>
      </c>
      <c r="P131" s="113">
        <f t="shared" si="9"/>
        <v>52</v>
      </c>
      <c r="Q131" s="113">
        <f t="shared" si="9"/>
        <v>222</v>
      </c>
      <c r="R131" s="113">
        <f t="shared" si="9"/>
        <v>0</v>
      </c>
      <c r="S131" s="114">
        <f t="shared" si="9"/>
        <v>0</v>
      </c>
      <c r="T131" s="574"/>
      <c r="U131" s="576"/>
      <c r="V131" s="578"/>
      <c r="W131" s="115"/>
      <c r="X131" s="116"/>
    </row>
    <row r="132" spans="1:24" x14ac:dyDescent="0.4">
      <c r="F132" s="175"/>
      <c r="G132" s="175"/>
      <c r="H132" s="175"/>
      <c r="I132" s="175"/>
      <c r="J132" s="175"/>
    </row>
  </sheetData>
  <mergeCells count="18">
    <mergeCell ref="T2:V2"/>
    <mergeCell ref="W2:W3"/>
    <mergeCell ref="X2:X3"/>
    <mergeCell ref="F3:G3"/>
    <mergeCell ref="K2:S2"/>
    <mergeCell ref="E2:J2"/>
    <mergeCell ref="H3:I3"/>
    <mergeCell ref="B2:B3"/>
    <mergeCell ref="C2:C3"/>
    <mergeCell ref="D2:D3"/>
    <mergeCell ref="B128:C129"/>
    <mergeCell ref="D128:D129"/>
    <mergeCell ref="B130:C131"/>
    <mergeCell ref="D130:D131"/>
    <mergeCell ref="T128:V129"/>
    <mergeCell ref="T130:T131"/>
    <mergeCell ref="U130:U131"/>
    <mergeCell ref="V130:V131"/>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409946-9082-4F82-92FD-068D8B91AD39}"/>
</file>

<file path=customXml/itemProps2.xml><?xml version="1.0" encoding="utf-8"?>
<ds:datastoreItem xmlns:ds="http://schemas.openxmlformats.org/officeDocument/2006/customXml" ds:itemID="{2BD2307C-6D24-411B-9E08-0622EC888910}">
  <ds:schemaRefs>
    <ds:schemaRef ds:uri="http://schemas.microsoft.com/sharepoint/v3/contenttype/forms"/>
  </ds:schemaRefs>
</ds:datastoreItem>
</file>

<file path=customXml/itemProps3.xml><?xml version="1.0" encoding="utf-8"?>
<ds:datastoreItem xmlns:ds="http://schemas.openxmlformats.org/officeDocument/2006/customXml" ds:itemID="{AE4946B4-2606-4F2C-9EA9-93B17CB66AB4}">
  <ds:schemaRefs>
    <ds:schemaRef ds:uri="http://schemas.openxmlformats.org/package/2006/metadata/core-properties"/>
    <ds:schemaRef ds:uri="http://purl.org/dc/dcmitype/"/>
    <ds:schemaRef ds:uri="http://www.w3.org/XML/1998/namespace"/>
    <ds:schemaRef ds:uri="55b7a9d6-bcaa-4a9d-b1c7-8801531a7bf3"/>
    <ds:schemaRef ds:uri="http://schemas.microsoft.com/office/infopath/2007/PartnerControls"/>
    <ds:schemaRef ds:uri="e85bf11c-610f-4c75-b4c1-3f2e492bcdf6"/>
    <ds:schemaRef ds:uri="http://schemas.microsoft.com/office/2006/documentManagement/types"/>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ＦＴＥＣ流ソリ</dc:creator>
  <cp:lastModifiedBy>Hatakeyama, Haruma/畠山 榛麻</cp:lastModifiedBy>
  <cp:lastPrinted>2023-03-09T05:30:23Z</cp:lastPrinted>
  <dcterms:created xsi:type="dcterms:W3CDTF">1998-07-21T06:12:02Z</dcterms:created>
  <dcterms:modified xsi:type="dcterms:W3CDTF">2025-01-30T04:16:18Z</dcterms:modified>
  <cp:category>ＦＴＥＣ</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